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timti\Desktop\Code_Sandbox\annuity_model\"/>
    </mc:Choice>
  </mc:AlternateContent>
  <xr:revisionPtr revIDLastSave="0" documentId="13_ncr:1_{3B383735-4BAF-480D-BFED-38C563949C42}" xr6:coauthVersionLast="47" xr6:coauthVersionMax="47" xr10:uidLastSave="{00000000-0000-0000-0000-000000000000}"/>
  <bookViews>
    <workbookView xWindow="2050" yWindow="330" windowWidth="25860" windowHeight="12720" activeTab="7" xr2:uid="{00000000-000D-0000-FFFF-FFFF00000000}"/>
  </bookViews>
  <sheets>
    <sheet name="Inputs" sheetId="1" r:id="rId1"/>
    <sheet name="YieldCurve" sheetId="2" r:id="rId2"/>
    <sheet name="RP2014_Qx" sheetId="3" r:id="rId3"/>
    <sheet name="MP2016_Long" sheetId="4" r:id="rId4"/>
    <sheet name="MonthlyCurve" sheetId="5" r:id="rId5"/>
    <sheet name="Projection" sheetId="6" r:id="rId6"/>
    <sheet name="Dashboard" sheetId="7" r:id="rId7"/>
    <sheet name="Python_Runbook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7" l="1"/>
  <c r="B8" i="7"/>
  <c r="B7" i="7"/>
  <c r="E6" i="7"/>
  <c r="B6" i="7"/>
  <c r="E5" i="7"/>
  <c r="B5" i="7"/>
  <c r="E4" i="7"/>
  <c r="B4" i="7"/>
  <c r="G543" i="6"/>
  <c r="E543" i="6"/>
  <c r="B543" i="6"/>
  <c r="C543" i="6" s="1"/>
  <c r="D543" i="6" s="1"/>
  <c r="G542" i="6"/>
  <c r="E542" i="6"/>
  <c r="C542" i="6"/>
  <c r="D542" i="6" s="1"/>
  <c r="B542" i="6"/>
  <c r="G541" i="6"/>
  <c r="E541" i="6"/>
  <c r="C541" i="6"/>
  <c r="D541" i="6" s="1"/>
  <c r="B541" i="6"/>
  <c r="G540" i="6"/>
  <c r="E540" i="6"/>
  <c r="B540" i="6"/>
  <c r="C540" i="6" s="1"/>
  <c r="D540" i="6" s="1"/>
  <c r="I540" i="6" s="1"/>
  <c r="G539" i="6"/>
  <c r="E539" i="6"/>
  <c r="B539" i="6"/>
  <c r="C539" i="6" s="1"/>
  <c r="D539" i="6" s="1"/>
  <c r="G538" i="6"/>
  <c r="E538" i="6"/>
  <c r="B538" i="6"/>
  <c r="C538" i="6" s="1"/>
  <c r="D538" i="6" s="1"/>
  <c r="G537" i="6"/>
  <c r="E537" i="6"/>
  <c r="B537" i="6"/>
  <c r="C537" i="6" s="1"/>
  <c r="D537" i="6" s="1"/>
  <c r="G536" i="6"/>
  <c r="E536" i="6"/>
  <c r="C536" i="6"/>
  <c r="D536" i="6" s="1"/>
  <c r="B536" i="6"/>
  <c r="G535" i="6"/>
  <c r="E535" i="6"/>
  <c r="C535" i="6"/>
  <c r="D535" i="6" s="1"/>
  <c r="B535" i="6"/>
  <c r="I534" i="6"/>
  <c r="G534" i="6"/>
  <c r="E534" i="6"/>
  <c r="B534" i="6"/>
  <c r="C534" i="6" s="1"/>
  <c r="D534" i="6" s="1"/>
  <c r="H534" i="6" s="1"/>
  <c r="I533" i="6"/>
  <c r="J533" i="6" s="1"/>
  <c r="K533" i="6" s="1"/>
  <c r="L533" i="6" s="1"/>
  <c r="G533" i="6"/>
  <c r="E533" i="6"/>
  <c r="B533" i="6"/>
  <c r="C533" i="6" s="1"/>
  <c r="D533" i="6" s="1"/>
  <c r="H533" i="6" s="1"/>
  <c r="G532" i="6"/>
  <c r="E532" i="6"/>
  <c r="B532" i="6"/>
  <c r="C532" i="6" s="1"/>
  <c r="D532" i="6" s="1"/>
  <c r="G531" i="6"/>
  <c r="E531" i="6"/>
  <c r="D531" i="6"/>
  <c r="C531" i="6"/>
  <c r="B531" i="6"/>
  <c r="G530" i="6"/>
  <c r="E530" i="6"/>
  <c r="B530" i="6"/>
  <c r="C530" i="6" s="1"/>
  <c r="D530" i="6" s="1"/>
  <c r="G529" i="6"/>
  <c r="E529" i="6"/>
  <c r="B529" i="6"/>
  <c r="C529" i="6" s="1"/>
  <c r="D529" i="6" s="1"/>
  <c r="H528" i="6"/>
  <c r="J528" i="6" s="1"/>
  <c r="K528" i="6" s="1"/>
  <c r="L528" i="6" s="1"/>
  <c r="G528" i="6"/>
  <c r="E528" i="6"/>
  <c r="B528" i="6"/>
  <c r="C528" i="6" s="1"/>
  <c r="D528" i="6" s="1"/>
  <c r="I528" i="6" s="1"/>
  <c r="G527" i="6"/>
  <c r="E527" i="6"/>
  <c r="B527" i="6"/>
  <c r="C527" i="6" s="1"/>
  <c r="D527" i="6" s="1"/>
  <c r="G526" i="6"/>
  <c r="E526" i="6"/>
  <c r="C526" i="6"/>
  <c r="D526" i="6" s="1"/>
  <c r="B526" i="6"/>
  <c r="G525" i="6"/>
  <c r="E525" i="6"/>
  <c r="B525" i="6"/>
  <c r="C525" i="6" s="1"/>
  <c r="D525" i="6" s="1"/>
  <c r="G524" i="6"/>
  <c r="E524" i="6"/>
  <c r="C524" i="6"/>
  <c r="D524" i="6" s="1"/>
  <c r="I524" i="6" s="1"/>
  <c r="B524" i="6"/>
  <c r="I523" i="6"/>
  <c r="G523" i="6"/>
  <c r="E523" i="6"/>
  <c r="B523" i="6"/>
  <c r="C523" i="6" s="1"/>
  <c r="D523" i="6" s="1"/>
  <c r="H523" i="6" s="1"/>
  <c r="G522" i="6"/>
  <c r="E522" i="6"/>
  <c r="B522" i="6"/>
  <c r="C522" i="6" s="1"/>
  <c r="D522" i="6" s="1"/>
  <c r="G521" i="6"/>
  <c r="E521" i="6"/>
  <c r="B521" i="6"/>
  <c r="C521" i="6" s="1"/>
  <c r="D521" i="6" s="1"/>
  <c r="G520" i="6"/>
  <c r="E520" i="6"/>
  <c r="C520" i="6"/>
  <c r="D520" i="6" s="1"/>
  <c r="B520" i="6"/>
  <c r="G519" i="6"/>
  <c r="E519" i="6"/>
  <c r="C519" i="6"/>
  <c r="D519" i="6" s="1"/>
  <c r="B519" i="6"/>
  <c r="H518" i="6"/>
  <c r="G518" i="6"/>
  <c r="E518" i="6"/>
  <c r="B518" i="6"/>
  <c r="C518" i="6" s="1"/>
  <c r="D518" i="6" s="1"/>
  <c r="I518" i="6" s="1"/>
  <c r="G517" i="6"/>
  <c r="E517" i="6"/>
  <c r="B517" i="6"/>
  <c r="C517" i="6" s="1"/>
  <c r="D517" i="6" s="1"/>
  <c r="H517" i="6" s="1"/>
  <c r="G516" i="6"/>
  <c r="E516" i="6"/>
  <c r="B516" i="6"/>
  <c r="C516" i="6" s="1"/>
  <c r="D516" i="6" s="1"/>
  <c r="G515" i="6"/>
  <c r="E515" i="6"/>
  <c r="C515" i="6"/>
  <c r="D515" i="6" s="1"/>
  <c r="B515" i="6"/>
  <c r="G514" i="6"/>
  <c r="E514" i="6"/>
  <c r="B514" i="6"/>
  <c r="C514" i="6" s="1"/>
  <c r="D514" i="6" s="1"/>
  <c r="G513" i="6"/>
  <c r="E513" i="6"/>
  <c r="B513" i="6"/>
  <c r="C513" i="6" s="1"/>
  <c r="D513" i="6" s="1"/>
  <c r="H512" i="6"/>
  <c r="G512" i="6"/>
  <c r="E512" i="6"/>
  <c r="B512" i="6"/>
  <c r="C512" i="6" s="1"/>
  <c r="D512" i="6" s="1"/>
  <c r="I512" i="6" s="1"/>
  <c r="J512" i="6" s="1"/>
  <c r="K512" i="6" s="1"/>
  <c r="L512" i="6" s="1"/>
  <c r="G511" i="6"/>
  <c r="E511" i="6"/>
  <c r="C511" i="6"/>
  <c r="D511" i="6" s="1"/>
  <c r="B511" i="6"/>
  <c r="G510" i="6"/>
  <c r="E510" i="6"/>
  <c r="B510" i="6"/>
  <c r="C510" i="6" s="1"/>
  <c r="D510" i="6" s="1"/>
  <c r="G509" i="6"/>
  <c r="E509" i="6"/>
  <c r="B509" i="6"/>
  <c r="C509" i="6" s="1"/>
  <c r="D509" i="6" s="1"/>
  <c r="G508" i="6"/>
  <c r="E508" i="6"/>
  <c r="B508" i="6"/>
  <c r="C508" i="6" s="1"/>
  <c r="D508" i="6" s="1"/>
  <c r="G507" i="6"/>
  <c r="E507" i="6"/>
  <c r="D507" i="6"/>
  <c r="B507" i="6"/>
  <c r="C507" i="6" s="1"/>
  <c r="I506" i="6"/>
  <c r="G506" i="6"/>
  <c r="E506" i="6"/>
  <c r="C506" i="6"/>
  <c r="D506" i="6" s="1"/>
  <c r="H506" i="6" s="1"/>
  <c r="B506" i="6"/>
  <c r="G505" i="6"/>
  <c r="E505" i="6"/>
  <c r="I505" i="6" s="1"/>
  <c r="C505" i="6"/>
  <c r="D505" i="6" s="1"/>
  <c r="H505" i="6" s="1"/>
  <c r="B505" i="6"/>
  <c r="H504" i="6"/>
  <c r="J504" i="6" s="1"/>
  <c r="K504" i="6" s="1"/>
  <c r="L504" i="6" s="1"/>
  <c r="G504" i="6"/>
  <c r="E504" i="6"/>
  <c r="I504" i="6" s="1"/>
  <c r="C504" i="6"/>
  <c r="D504" i="6" s="1"/>
  <c r="B504" i="6"/>
  <c r="I503" i="6"/>
  <c r="J503" i="6" s="1"/>
  <c r="K503" i="6" s="1"/>
  <c r="L503" i="6" s="1"/>
  <c r="G503" i="6"/>
  <c r="E503" i="6"/>
  <c r="C503" i="6"/>
  <c r="D503" i="6" s="1"/>
  <c r="H503" i="6" s="1"/>
  <c r="B503" i="6"/>
  <c r="H502" i="6"/>
  <c r="G502" i="6"/>
  <c r="E502" i="6"/>
  <c r="B502" i="6"/>
  <c r="C502" i="6" s="1"/>
  <c r="D502" i="6" s="1"/>
  <c r="G501" i="6"/>
  <c r="E501" i="6"/>
  <c r="C501" i="6"/>
  <c r="D501" i="6" s="1"/>
  <c r="B501" i="6"/>
  <c r="G500" i="6"/>
  <c r="E500" i="6"/>
  <c r="B500" i="6"/>
  <c r="C500" i="6" s="1"/>
  <c r="D500" i="6" s="1"/>
  <c r="G499" i="6"/>
  <c r="E499" i="6"/>
  <c r="B499" i="6"/>
  <c r="C499" i="6" s="1"/>
  <c r="D499" i="6" s="1"/>
  <c r="G498" i="6"/>
  <c r="E498" i="6"/>
  <c r="B498" i="6"/>
  <c r="C498" i="6" s="1"/>
  <c r="D498" i="6" s="1"/>
  <c r="I497" i="6"/>
  <c r="G497" i="6"/>
  <c r="E497" i="6"/>
  <c r="D497" i="6"/>
  <c r="H497" i="6" s="1"/>
  <c r="B497" i="6"/>
  <c r="C497" i="6" s="1"/>
  <c r="J496" i="6"/>
  <c r="K496" i="6" s="1"/>
  <c r="L496" i="6" s="1"/>
  <c r="H496" i="6"/>
  <c r="G496" i="6"/>
  <c r="E496" i="6"/>
  <c r="C496" i="6"/>
  <c r="D496" i="6" s="1"/>
  <c r="I496" i="6" s="1"/>
  <c r="B496" i="6"/>
  <c r="G495" i="6"/>
  <c r="E495" i="6"/>
  <c r="B495" i="6"/>
  <c r="C495" i="6" s="1"/>
  <c r="D495" i="6" s="1"/>
  <c r="G494" i="6"/>
  <c r="E494" i="6"/>
  <c r="B494" i="6"/>
  <c r="C494" i="6" s="1"/>
  <c r="D494" i="6" s="1"/>
  <c r="G493" i="6"/>
  <c r="E493" i="6"/>
  <c r="D493" i="6"/>
  <c r="C493" i="6"/>
  <c r="B493" i="6"/>
  <c r="I492" i="6"/>
  <c r="G492" i="6"/>
  <c r="E492" i="6"/>
  <c r="B492" i="6"/>
  <c r="C492" i="6" s="1"/>
  <c r="D492" i="6" s="1"/>
  <c r="H492" i="6" s="1"/>
  <c r="G491" i="6"/>
  <c r="E491" i="6"/>
  <c r="D491" i="6"/>
  <c r="B491" i="6"/>
  <c r="C491" i="6" s="1"/>
  <c r="J490" i="6"/>
  <c r="K490" i="6" s="1"/>
  <c r="L490" i="6" s="1"/>
  <c r="H490" i="6"/>
  <c r="G490" i="6"/>
  <c r="E490" i="6"/>
  <c r="C490" i="6"/>
  <c r="D490" i="6" s="1"/>
  <c r="I490" i="6" s="1"/>
  <c r="B490" i="6"/>
  <c r="G489" i="6"/>
  <c r="E489" i="6"/>
  <c r="C489" i="6"/>
  <c r="D489" i="6" s="1"/>
  <c r="B489" i="6"/>
  <c r="I488" i="6"/>
  <c r="G488" i="6"/>
  <c r="E488" i="6"/>
  <c r="B488" i="6"/>
  <c r="C488" i="6" s="1"/>
  <c r="D488" i="6" s="1"/>
  <c r="H488" i="6" s="1"/>
  <c r="H487" i="6"/>
  <c r="J487" i="6" s="1"/>
  <c r="K487" i="6" s="1"/>
  <c r="L487" i="6" s="1"/>
  <c r="G487" i="6"/>
  <c r="E487" i="6"/>
  <c r="D487" i="6"/>
  <c r="I487" i="6" s="1"/>
  <c r="B487" i="6"/>
  <c r="C487" i="6" s="1"/>
  <c r="G486" i="6"/>
  <c r="E486" i="6"/>
  <c r="B486" i="6"/>
  <c r="C486" i="6" s="1"/>
  <c r="D486" i="6" s="1"/>
  <c r="J485" i="6"/>
  <c r="K485" i="6" s="1"/>
  <c r="L485" i="6" s="1"/>
  <c r="H485" i="6"/>
  <c r="G485" i="6"/>
  <c r="E485" i="6"/>
  <c r="D485" i="6"/>
  <c r="I485" i="6" s="1"/>
  <c r="B485" i="6"/>
  <c r="C485" i="6" s="1"/>
  <c r="G484" i="6"/>
  <c r="E484" i="6"/>
  <c r="D484" i="6"/>
  <c r="B484" i="6"/>
  <c r="C484" i="6" s="1"/>
  <c r="H483" i="6"/>
  <c r="J483" i="6" s="1"/>
  <c r="K483" i="6" s="1"/>
  <c r="L483" i="6" s="1"/>
  <c r="G483" i="6"/>
  <c r="E483" i="6"/>
  <c r="D483" i="6"/>
  <c r="I483" i="6" s="1"/>
  <c r="B483" i="6"/>
  <c r="C483" i="6" s="1"/>
  <c r="G482" i="6"/>
  <c r="E482" i="6"/>
  <c r="D482" i="6"/>
  <c r="I482" i="6" s="1"/>
  <c r="C482" i="6"/>
  <c r="B482" i="6"/>
  <c r="G481" i="6"/>
  <c r="E481" i="6"/>
  <c r="D481" i="6"/>
  <c r="B481" i="6"/>
  <c r="C481" i="6" s="1"/>
  <c r="G480" i="6"/>
  <c r="E480" i="6"/>
  <c r="D480" i="6"/>
  <c r="B480" i="6"/>
  <c r="C480" i="6" s="1"/>
  <c r="H479" i="6"/>
  <c r="J479" i="6" s="1"/>
  <c r="K479" i="6" s="1"/>
  <c r="L479" i="6" s="1"/>
  <c r="G479" i="6"/>
  <c r="E479" i="6"/>
  <c r="D479" i="6"/>
  <c r="I479" i="6" s="1"/>
  <c r="B479" i="6"/>
  <c r="C479" i="6" s="1"/>
  <c r="G478" i="6"/>
  <c r="E478" i="6"/>
  <c r="C478" i="6"/>
  <c r="D478" i="6" s="1"/>
  <c r="B478" i="6"/>
  <c r="G477" i="6"/>
  <c r="E477" i="6"/>
  <c r="D477" i="6"/>
  <c r="I477" i="6" s="1"/>
  <c r="B477" i="6"/>
  <c r="C477" i="6" s="1"/>
  <c r="K476" i="6"/>
  <c r="L476" i="6" s="1"/>
  <c r="H476" i="6"/>
  <c r="J476" i="6" s="1"/>
  <c r="G476" i="6"/>
  <c r="E476" i="6"/>
  <c r="B476" i="6"/>
  <c r="C476" i="6" s="1"/>
  <c r="D476" i="6" s="1"/>
  <c r="I476" i="6" s="1"/>
  <c r="G475" i="6"/>
  <c r="E475" i="6"/>
  <c r="B475" i="6"/>
  <c r="C475" i="6" s="1"/>
  <c r="D475" i="6" s="1"/>
  <c r="K474" i="6"/>
  <c r="L474" i="6" s="1"/>
  <c r="J474" i="6"/>
  <c r="H474" i="6"/>
  <c r="G474" i="6"/>
  <c r="E474" i="6"/>
  <c r="D474" i="6"/>
  <c r="I474" i="6" s="1"/>
  <c r="B474" i="6"/>
  <c r="C474" i="6" s="1"/>
  <c r="G473" i="6"/>
  <c r="E473" i="6"/>
  <c r="D473" i="6"/>
  <c r="B473" i="6"/>
  <c r="C473" i="6" s="1"/>
  <c r="G472" i="6"/>
  <c r="E472" i="6"/>
  <c r="D472" i="6"/>
  <c r="I472" i="6" s="1"/>
  <c r="B472" i="6"/>
  <c r="C472" i="6" s="1"/>
  <c r="G471" i="6"/>
  <c r="E471" i="6"/>
  <c r="B471" i="6"/>
  <c r="C471" i="6" s="1"/>
  <c r="D471" i="6" s="1"/>
  <c r="G470" i="6"/>
  <c r="E470" i="6"/>
  <c r="B470" i="6"/>
  <c r="C470" i="6" s="1"/>
  <c r="D470" i="6" s="1"/>
  <c r="G469" i="6"/>
  <c r="E469" i="6"/>
  <c r="C469" i="6"/>
  <c r="D469" i="6" s="1"/>
  <c r="B469" i="6"/>
  <c r="G468" i="6"/>
  <c r="E468" i="6"/>
  <c r="C468" i="6"/>
  <c r="D468" i="6" s="1"/>
  <c r="B468" i="6"/>
  <c r="G467" i="6"/>
  <c r="E467" i="6"/>
  <c r="C467" i="6"/>
  <c r="D467" i="6" s="1"/>
  <c r="B467" i="6"/>
  <c r="G466" i="6"/>
  <c r="E466" i="6"/>
  <c r="B466" i="6"/>
  <c r="C466" i="6" s="1"/>
  <c r="D466" i="6" s="1"/>
  <c r="G465" i="6"/>
  <c r="E465" i="6"/>
  <c r="C465" i="6"/>
  <c r="D465" i="6" s="1"/>
  <c r="B465" i="6"/>
  <c r="G464" i="6"/>
  <c r="E464" i="6"/>
  <c r="C464" i="6"/>
  <c r="D464" i="6" s="1"/>
  <c r="B464" i="6"/>
  <c r="K463" i="6"/>
  <c r="L463" i="6" s="1"/>
  <c r="H463" i="6"/>
  <c r="J463" i="6" s="1"/>
  <c r="G463" i="6"/>
  <c r="E463" i="6"/>
  <c r="C463" i="6"/>
  <c r="D463" i="6" s="1"/>
  <c r="I463" i="6" s="1"/>
  <c r="B463" i="6"/>
  <c r="G462" i="6"/>
  <c r="E462" i="6"/>
  <c r="B462" i="6"/>
  <c r="C462" i="6" s="1"/>
  <c r="D462" i="6" s="1"/>
  <c r="I461" i="6"/>
  <c r="G461" i="6"/>
  <c r="E461" i="6"/>
  <c r="B461" i="6"/>
  <c r="C461" i="6" s="1"/>
  <c r="D461" i="6" s="1"/>
  <c r="H461" i="6" s="1"/>
  <c r="G460" i="6"/>
  <c r="E460" i="6"/>
  <c r="D460" i="6"/>
  <c r="C460" i="6"/>
  <c r="B460" i="6"/>
  <c r="H459" i="6"/>
  <c r="J459" i="6" s="1"/>
  <c r="K459" i="6" s="1"/>
  <c r="L459" i="6" s="1"/>
  <c r="G459" i="6"/>
  <c r="E459" i="6"/>
  <c r="C459" i="6"/>
  <c r="D459" i="6" s="1"/>
  <c r="I459" i="6" s="1"/>
  <c r="B459" i="6"/>
  <c r="G458" i="6"/>
  <c r="E458" i="6"/>
  <c r="C458" i="6"/>
  <c r="D458" i="6" s="1"/>
  <c r="B458" i="6"/>
  <c r="G457" i="6"/>
  <c r="E457" i="6"/>
  <c r="C457" i="6"/>
  <c r="D457" i="6" s="1"/>
  <c r="B457" i="6"/>
  <c r="G456" i="6"/>
  <c r="E456" i="6"/>
  <c r="B456" i="6"/>
  <c r="C456" i="6" s="1"/>
  <c r="D456" i="6" s="1"/>
  <c r="G455" i="6"/>
  <c r="E455" i="6"/>
  <c r="D455" i="6"/>
  <c r="C455" i="6"/>
  <c r="B455" i="6"/>
  <c r="G454" i="6"/>
  <c r="E454" i="6"/>
  <c r="C454" i="6"/>
  <c r="D454" i="6" s="1"/>
  <c r="B454" i="6"/>
  <c r="G453" i="6"/>
  <c r="E453" i="6"/>
  <c r="C453" i="6"/>
  <c r="D453" i="6" s="1"/>
  <c r="B453" i="6"/>
  <c r="G452" i="6"/>
  <c r="E452" i="6"/>
  <c r="C452" i="6"/>
  <c r="D452" i="6" s="1"/>
  <c r="B452" i="6"/>
  <c r="G451" i="6"/>
  <c r="E451" i="6"/>
  <c r="D451" i="6"/>
  <c r="C451" i="6"/>
  <c r="B451" i="6"/>
  <c r="G450" i="6"/>
  <c r="E450" i="6"/>
  <c r="C450" i="6"/>
  <c r="D450" i="6" s="1"/>
  <c r="H450" i="6" s="1"/>
  <c r="B450" i="6"/>
  <c r="G449" i="6"/>
  <c r="E449" i="6"/>
  <c r="B449" i="6"/>
  <c r="C449" i="6" s="1"/>
  <c r="D449" i="6" s="1"/>
  <c r="G448" i="6"/>
  <c r="E448" i="6"/>
  <c r="D448" i="6"/>
  <c r="C448" i="6"/>
  <c r="B448" i="6"/>
  <c r="G447" i="6"/>
  <c r="E447" i="6"/>
  <c r="D447" i="6"/>
  <c r="C447" i="6"/>
  <c r="B447" i="6"/>
  <c r="G446" i="6"/>
  <c r="E446" i="6"/>
  <c r="B446" i="6"/>
  <c r="C446" i="6" s="1"/>
  <c r="D446" i="6" s="1"/>
  <c r="G445" i="6"/>
  <c r="E445" i="6"/>
  <c r="B445" i="6"/>
  <c r="C445" i="6" s="1"/>
  <c r="D445" i="6" s="1"/>
  <c r="G444" i="6"/>
  <c r="E444" i="6"/>
  <c r="C444" i="6"/>
  <c r="D444" i="6" s="1"/>
  <c r="B444" i="6"/>
  <c r="G443" i="6"/>
  <c r="E443" i="6"/>
  <c r="C443" i="6"/>
  <c r="D443" i="6" s="1"/>
  <c r="B443" i="6"/>
  <c r="G442" i="6"/>
  <c r="E442" i="6"/>
  <c r="B442" i="6"/>
  <c r="C442" i="6" s="1"/>
  <c r="D442" i="6" s="1"/>
  <c r="G441" i="6"/>
  <c r="E441" i="6"/>
  <c r="B441" i="6"/>
  <c r="C441" i="6" s="1"/>
  <c r="D441" i="6" s="1"/>
  <c r="G440" i="6"/>
  <c r="E440" i="6"/>
  <c r="C440" i="6"/>
  <c r="D440" i="6" s="1"/>
  <c r="B440" i="6"/>
  <c r="G439" i="6"/>
  <c r="E439" i="6"/>
  <c r="C439" i="6"/>
  <c r="D439" i="6" s="1"/>
  <c r="B439" i="6"/>
  <c r="G438" i="6"/>
  <c r="E438" i="6"/>
  <c r="B438" i="6"/>
  <c r="C438" i="6" s="1"/>
  <c r="D438" i="6" s="1"/>
  <c r="G437" i="6"/>
  <c r="E437" i="6"/>
  <c r="B437" i="6"/>
  <c r="C437" i="6" s="1"/>
  <c r="D437" i="6" s="1"/>
  <c r="G436" i="6"/>
  <c r="E436" i="6"/>
  <c r="B436" i="6"/>
  <c r="C436" i="6" s="1"/>
  <c r="D436" i="6" s="1"/>
  <c r="G435" i="6"/>
  <c r="E435" i="6"/>
  <c r="D435" i="6"/>
  <c r="H435" i="6" s="1"/>
  <c r="C435" i="6"/>
  <c r="B435" i="6"/>
  <c r="G434" i="6"/>
  <c r="E434" i="6"/>
  <c r="C434" i="6"/>
  <c r="D434" i="6" s="1"/>
  <c r="B434" i="6"/>
  <c r="H433" i="6"/>
  <c r="J433" i="6" s="1"/>
  <c r="K433" i="6" s="1"/>
  <c r="L433" i="6" s="1"/>
  <c r="G433" i="6"/>
  <c r="E433" i="6"/>
  <c r="C433" i="6"/>
  <c r="D433" i="6" s="1"/>
  <c r="I433" i="6" s="1"/>
  <c r="B433" i="6"/>
  <c r="G432" i="6"/>
  <c r="E432" i="6"/>
  <c r="B432" i="6"/>
  <c r="C432" i="6" s="1"/>
  <c r="D432" i="6" s="1"/>
  <c r="I431" i="6"/>
  <c r="G431" i="6"/>
  <c r="E431" i="6"/>
  <c r="D431" i="6"/>
  <c r="H431" i="6" s="1"/>
  <c r="C431" i="6"/>
  <c r="B431" i="6"/>
  <c r="G430" i="6"/>
  <c r="E430" i="6"/>
  <c r="C430" i="6"/>
  <c r="D430" i="6" s="1"/>
  <c r="B430" i="6"/>
  <c r="G429" i="6"/>
  <c r="E429" i="6"/>
  <c r="C429" i="6"/>
  <c r="D429" i="6" s="1"/>
  <c r="I429" i="6" s="1"/>
  <c r="B429" i="6"/>
  <c r="G428" i="6"/>
  <c r="E428" i="6"/>
  <c r="B428" i="6"/>
  <c r="C428" i="6" s="1"/>
  <c r="D428" i="6" s="1"/>
  <c r="I427" i="6"/>
  <c r="G427" i="6"/>
  <c r="E427" i="6"/>
  <c r="D427" i="6"/>
  <c r="H427" i="6" s="1"/>
  <c r="C427" i="6"/>
  <c r="B427" i="6"/>
  <c r="G426" i="6"/>
  <c r="E426" i="6"/>
  <c r="C426" i="6"/>
  <c r="D426" i="6" s="1"/>
  <c r="B426" i="6"/>
  <c r="G425" i="6"/>
  <c r="E425" i="6"/>
  <c r="C425" i="6"/>
  <c r="D425" i="6" s="1"/>
  <c r="I425" i="6" s="1"/>
  <c r="B425" i="6"/>
  <c r="G424" i="6"/>
  <c r="E424" i="6"/>
  <c r="D424" i="6"/>
  <c r="B424" i="6"/>
  <c r="C424" i="6" s="1"/>
  <c r="I423" i="6"/>
  <c r="G423" i="6"/>
  <c r="E423" i="6"/>
  <c r="D423" i="6"/>
  <c r="H423" i="6" s="1"/>
  <c r="C423" i="6"/>
  <c r="B423" i="6"/>
  <c r="G422" i="6"/>
  <c r="E422" i="6"/>
  <c r="C422" i="6"/>
  <c r="D422" i="6" s="1"/>
  <c r="B422" i="6"/>
  <c r="H421" i="6"/>
  <c r="G421" i="6"/>
  <c r="E421" i="6"/>
  <c r="C421" i="6"/>
  <c r="D421" i="6" s="1"/>
  <c r="I421" i="6" s="1"/>
  <c r="B421" i="6"/>
  <c r="G420" i="6"/>
  <c r="E420" i="6"/>
  <c r="D420" i="6"/>
  <c r="B420" i="6"/>
  <c r="C420" i="6" s="1"/>
  <c r="I419" i="6"/>
  <c r="G419" i="6"/>
  <c r="E419" i="6"/>
  <c r="D419" i="6"/>
  <c r="H419" i="6" s="1"/>
  <c r="C419" i="6"/>
  <c r="B419" i="6"/>
  <c r="H418" i="6"/>
  <c r="G418" i="6"/>
  <c r="E418" i="6"/>
  <c r="C418" i="6"/>
  <c r="D418" i="6" s="1"/>
  <c r="I418" i="6" s="1"/>
  <c r="J418" i="6" s="1"/>
  <c r="K418" i="6" s="1"/>
  <c r="L418" i="6" s="1"/>
  <c r="B418" i="6"/>
  <c r="J417" i="6"/>
  <c r="K417" i="6" s="1"/>
  <c r="L417" i="6" s="1"/>
  <c r="H417" i="6"/>
  <c r="G417" i="6"/>
  <c r="E417" i="6"/>
  <c r="C417" i="6"/>
  <c r="D417" i="6" s="1"/>
  <c r="I417" i="6" s="1"/>
  <c r="B417" i="6"/>
  <c r="G416" i="6"/>
  <c r="E416" i="6"/>
  <c r="D416" i="6"/>
  <c r="C416" i="6"/>
  <c r="B416" i="6"/>
  <c r="G415" i="6"/>
  <c r="E415" i="6"/>
  <c r="D415" i="6"/>
  <c r="H415" i="6" s="1"/>
  <c r="C415" i="6"/>
  <c r="B415" i="6"/>
  <c r="G414" i="6"/>
  <c r="E414" i="6"/>
  <c r="C414" i="6"/>
  <c r="D414" i="6" s="1"/>
  <c r="B414" i="6"/>
  <c r="G413" i="6"/>
  <c r="E413" i="6"/>
  <c r="C413" i="6"/>
  <c r="D413" i="6" s="1"/>
  <c r="I413" i="6" s="1"/>
  <c r="B413" i="6"/>
  <c r="G412" i="6"/>
  <c r="E412" i="6"/>
  <c r="C412" i="6"/>
  <c r="D412" i="6" s="1"/>
  <c r="B412" i="6"/>
  <c r="G411" i="6"/>
  <c r="E411" i="6"/>
  <c r="D411" i="6"/>
  <c r="C411" i="6"/>
  <c r="B411" i="6"/>
  <c r="J410" i="6"/>
  <c r="K410" i="6" s="1"/>
  <c r="L410" i="6" s="1"/>
  <c r="H410" i="6"/>
  <c r="G410" i="6"/>
  <c r="E410" i="6"/>
  <c r="C410" i="6"/>
  <c r="D410" i="6" s="1"/>
  <c r="I410" i="6" s="1"/>
  <c r="B410" i="6"/>
  <c r="H409" i="6"/>
  <c r="J409" i="6" s="1"/>
  <c r="K409" i="6" s="1"/>
  <c r="L409" i="6" s="1"/>
  <c r="G409" i="6"/>
  <c r="E409" i="6"/>
  <c r="C409" i="6"/>
  <c r="D409" i="6" s="1"/>
  <c r="I409" i="6" s="1"/>
  <c r="B409" i="6"/>
  <c r="G408" i="6"/>
  <c r="E408" i="6"/>
  <c r="B408" i="6"/>
  <c r="C408" i="6" s="1"/>
  <c r="D408" i="6" s="1"/>
  <c r="G407" i="6"/>
  <c r="E407" i="6"/>
  <c r="D407" i="6"/>
  <c r="I407" i="6" s="1"/>
  <c r="C407" i="6"/>
  <c r="B407" i="6"/>
  <c r="H406" i="6"/>
  <c r="J406" i="6" s="1"/>
  <c r="K406" i="6" s="1"/>
  <c r="L406" i="6" s="1"/>
  <c r="G406" i="6"/>
  <c r="E406" i="6"/>
  <c r="B406" i="6"/>
  <c r="C406" i="6" s="1"/>
  <c r="D406" i="6" s="1"/>
  <c r="I406" i="6" s="1"/>
  <c r="H405" i="6"/>
  <c r="G405" i="6"/>
  <c r="E405" i="6"/>
  <c r="B405" i="6"/>
  <c r="C405" i="6" s="1"/>
  <c r="D405" i="6" s="1"/>
  <c r="I405" i="6" s="1"/>
  <c r="G404" i="6"/>
  <c r="E404" i="6"/>
  <c r="B404" i="6"/>
  <c r="C404" i="6" s="1"/>
  <c r="D404" i="6" s="1"/>
  <c r="G403" i="6"/>
  <c r="E403" i="6"/>
  <c r="D403" i="6"/>
  <c r="I403" i="6" s="1"/>
  <c r="C403" i="6"/>
  <c r="B403" i="6"/>
  <c r="G402" i="6"/>
  <c r="E402" i="6"/>
  <c r="B402" i="6"/>
  <c r="C402" i="6" s="1"/>
  <c r="D402" i="6" s="1"/>
  <c r="I401" i="6"/>
  <c r="H401" i="6"/>
  <c r="G401" i="6"/>
  <c r="E401" i="6"/>
  <c r="D401" i="6"/>
  <c r="B401" i="6"/>
  <c r="C401" i="6" s="1"/>
  <c r="G400" i="6"/>
  <c r="E400" i="6"/>
  <c r="B400" i="6"/>
  <c r="C400" i="6" s="1"/>
  <c r="D400" i="6" s="1"/>
  <c r="I399" i="6"/>
  <c r="H399" i="6"/>
  <c r="G399" i="6"/>
  <c r="E399" i="6"/>
  <c r="B399" i="6"/>
  <c r="C399" i="6" s="1"/>
  <c r="D399" i="6" s="1"/>
  <c r="G398" i="6"/>
  <c r="E398" i="6"/>
  <c r="B398" i="6"/>
  <c r="C398" i="6" s="1"/>
  <c r="D398" i="6" s="1"/>
  <c r="J397" i="6"/>
  <c r="K397" i="6" s="1"/>
  <c r="L397" i="6" s="1"/>
  <c r="I397" i="6"/>
  <c r="G397" i="6"/>
  <c r="E397" i="6"/>
  <c r="B397" i="6"/>
  <c r="C397" i="6" s="1"/>
  <c r="D397" i="6" s="1"/>
  <c r="H397" i="6" s="1"/>
  <c r="I396" i="6"/>
  <c r="G396" i="6"/>
  <c r="E396" i="6"/>
  <c r="D396" i="6"/>
  <c r="H396" i="6" s="1"/>
  <c r="C396" i="6"/>
  <c r="B396" i="6"/>
  <c r="G395" i="6"/>
  <c r="E395" i="6"/>
  <c r="B395" i="6"/>
  <c r="C395" i="6" s="1"/>
  <c r="D395" i="6" s="1"/>
  <c r="I395" i="6" s="1"/>
  <c r="G394" i="6"/>
  <c r="E394" i="6"/>
  <c r="C394" i="6"/>
  <c r="D394" i="6" s="1"/>
  <c r="B394" i="6"/>
  <c r="I393" i="6"/>
  <c r="J393" i="6" s="1"/>
  <c r="K393" i="6" s="1"/>
  <c r="L393" i="6" s="1"/>
  <c r="G393" i="6"/>
  <c r="E393" i="6"/>
  <c r="D393" i="6"/>
  <c r="H393" i="6" s="1"/>
  <c r="B393" i="6"/>
  <c r="C393" i="6" s="1"/>
  <c r="I392" i="6"/>
  <c r="G392" i="6"/>
  <c r="E392" i="6"/>
  <c r="D392" i="6"/>
  <c r="H392" i="6" s="1"/>
  <c r="C392" i="6"/>
  <c r="B392" i="6"/>
  <c r="I391" i="6"/>
  <c r="H391" i="6"/>
  <c r="J391" i="6" s="1"/>
  <c r="K391" i="6" s="1"/>
  <c r="L391" i="6" s="1"/>
  <c r="G391" i="6"/>
  <c r="E391" i="6"/>
  <c r="C391" i="6"/>
  <c r="D391" i="6" s="1"/>
  <c r="B391" i="6"/>
  <c r="G390" i="6"/>
  <c r="E390" i="6"/>
  <c r="C390" i="6"/>
  <c r="D390" i="6" s="1"/>
  <c r="B390" i="6"/>
  <c r="G389" i="6"/>
  <c r="E389" i="6"/>
  <c r="B389" i="6"/>
  <c r="C389" i="6" s="1"/>
  <c r="D389" i="6" s="1"/>
  <c r="G388" i="6"/>
  <c r="E388" i="6"/>
  <c r="C388" i="6"/>
  <c r="D388" i="6" s="1"/>
  <c r="B388" i="6"/>
  <c r="G387" i="6"/>
  <c r="E387" i="6"/>
  <c r="B387" i="6"/>
  <c r="C387" i="6" s="1"/>
  <c r="D387" i="6" s="1"/>
  <c r="G386" i="6"/>
  <c r="E386" i="6"/>
  <c r="D386" i="6"/>
  <c r="C386" i="6"/>
  <c r="B386" i="6"/>
  <c r="G385" i="6"/>
  <c r="E385" i="6"/>
  <c r="C385" i="6"/>
  <c r="D385" i="6" s="1"/>
  <c r="B385" i="6"/>
  <c r="G384" i="6"/>
  <c r="E384" i="6"/>
  <c r="C384" i="6"/>
  <c r="D384" i="6" s="1"/>
  <c r="B384" i="6"/>
  <c r="G383" i="6"/>
  <c r="E383" i="6"/>
  <c r="B383" i="6"/>
  <c r="C383" i="6" s="1"/>
  <c r="D383" i="6" s="1"/>
  <c r="G382" i="6"/>
  <c r="E382" i="6"/>
  <c r="C382" i="6"/>
  <c r="D382" i="6" s="1"/>
  <c r="H382" i="6" s="1"/>
  <c r="B382" i="6"/>
  <c r="I381" i="6"/>
  <c r="G381" i="6"/>
  <c r="E381" i="6"/>
  <c r="B381" i="6"/>
  <c r="C381" i="6" s="1"/>
  <c r="D381" i="6" s="1"/>
  <c r="H381" i="6" s="1"/>
  <c r="I380" i="6"/>
  <c r="G380" i="6"/>
  <c r="E380" i="6"/>
  <c r="D380" i="6"/>
  <c r="H380" i="6" s="1"/>
  <c r="C380" i="6"/>
  <c r="B380" i="6"/>
  <c r="I379" i="6"/>
  <c r="H379" i="6"/>
  <c r="J379" i="6" s="1"/>
  <c r="K379" i="6" s="1"/>
  <c r="L379" i="6" s="1"/>
  <c r="G379" i="6"/>
  <c r="E379" i="6"/>
  <c r="C379" i="6"/>
  <c r="D379" i="6" s="1"/>
  <c r="B379" i="6"/>
  <c r="I378" i="6"/>
  <c r="G378" i="6"/>
  <c r="E378" i="6"/>
  <c r="D378" i="6"/>
  <c r="H378" i="6" s="1"/>
  <c r="C378" i="6"/>
  <c r="B378" i="6"/>
  <c r="I377" i="6"/>
  <c r="J377" i="6" s="1"/>
  <c r="K377" i="6" s="1"/>
  <c r="L377" i="6" s="1"/>
  <c r="H377" i="6"/>
  <c r="G377" i="6"/>
  <c r="E377" i="6"/>
  <c r="C377" i="6"/>
  <c r="D377" i="6" s="1"/>
  <c r="B377" i="6"/>
  <c r="I376" i="6"/>
  <c r="G376" i="6"/>
  <c r="E376" i="6"/>
  <c r="D376" i="6"/>
  <c r="H376" i="6" s="1"/>
  <c r="C376" i="6"/>
  <c r="B376" i="6"/>
  <c r="G375" i="6"/>
  <c r="E375" i="6"/>
  <c r="C375" i="6"/>
  <c r="D375" i="6" s="1"/>
  <c r="I375" i="6" s="1"/>
  <c r="B375" i="6"/>
  <c r="G374" i="6"/>
  <c r="E374" i="6"/>
  <c r="D374" i="6"/>
  <c r="C374" i="6"/>
  <c r="B374" i="6"/>
  <c r="G373" i="6"/>
  <c r="E373" i="6"/>
  <c r="C373" i="6"/>
  <c r="D373" i="6" s="1"/>
  <c r="B373" i="6"/>
  <c r="G372" i="6"/>
  <c r="E372" i="6"/>
  <c r="C372" i="6"/>
  <c r="D372" i="6" s="1"/>
  <c r="B372" i="6"/>
  <c r="G371" i="6"/>
  <c r="E371" i="6"/>
  <c r="C371" i="6"/>
  <c r="D371" i="6" s="1"/>
  <c r="B371" i="6"/>
  <c r="G370" i="6"/>
  <c r="E370" i="6"/>
  <c r="C370" i="6"/>
  <c r="D370" i="6" s="1"/>
  <c r="B370" i="6"/>
  <c r="G369" i="6"/>
  <c r="E369" i="6"/>
  <c r="B369" i="6"/>
  <c r="C369" i="6" s="1"/>
  <c r="D369" i="6" s="1"/>
  <c r="G368" i="6"/>
  <c r="E368" i="6"/>
  <c r="D368" i="6"/>
  <c r="H368" i="6" s="1"/>
  <c r="C368" i="6"/>
  <c r="B368" i="6"/>
  <c r="G367" i="6"/>
  <c r="E367" i="6"/>
  <c r="C367" i="6"/>
  <c r="D367" i="6" s="1"/>
  <c r="B367" i="6"/>
  <c r="I366" i="6"/>
  <c r="G366" i="6"/>
  <c r="E366" i="6"/>
  <c r="C366" i="6"/>
  <c r="D366" i="6" s="1"/>
  <c r="H366" i="6" s="1"/>
  <c r="B366" i="6"/>
  <c r="I365" i="6"/>
  <c r="H365" i="6"/>
  <c r="G365" i="6"/>
  <c r="E365" i="6"/>
  <c r="B365" i="6"/>
  <c r="C365" i="6" s="1"/>
  <c r="D365" i="6" s="1"/>
  <c r="I364" i="6"/>
  <c r="G364" i="6"/>
  <c r="E364" i="6"/>
  <c r="D364" i="6"/>
  <c r="H364" i="6" s="1"/>
  <c r="C364" i="6"/>
  <c r="B364" i="6"/>
  <c r="I363" i="6"/>
  <c r="H363" i="6"/>
  <c r="G363" i="6"/>
  <c r="E363" i="6"/>
  <c r="B363" i="6"/>
  <c r="C363" i="6" s="1"/>
  <c r="D363" i="6" s="1"/>
  <c r="G362" i="6"/>
  <c r="E362" i="6"/>
  <c r="D362" i="6"/>
  <c r="H362" i="6" s="1"/>
  <c r="C362" i="6"/>
  <c r="B362" i="6"/>
  <c r="G361" i="6"/>
  <c r="E361" i="6"/>
  <c r="C361" i="6"/>
  <c r="D361" i="6" s="1"/>
  <c r="B361" i="6"/>
  <c r="G360" i="6"/>
  <c r="E360" i="6"/>
  <c r="D360" i="6"/>
  <c r="C360" i="6"/>
  <c r="B360" i="6"/>
  <c r="G359" i="6"/>
  <c r="E359" i="6"/>
  <c r="B359" i="6"/>
  <c r="C359" i="6" s="1"/>
  <c r="D359" i="6" s="1"/>
  <c r="H359" i="6" s="1"/>
  <c r="I358" i="6"/>
  <c r="G358" i="6"/>
  <c r="E358" i="6"/>
  <c r="B358" i="6"/>
  <c r="C358" i="6" s="1"/>
  <c r="D358" i="6" s="1"/>
  <c r="H358" i="6" s="1"/>
  <c r="G357" i="6"/>
  <c r="E357" i="6"/>
  <c r="B357" i="6"/>
  <c r="C357" i="6" s="1"/>
  <c r="D357" i="6" s="1"/>
  <c r="H356" i="6"/>
  <c r="G356" i="6"/>
  <c r="E356" i="6"/>
  <c r="C356" i="6"/>
  <c r="D356" i="6" s="1"/>
  <c r="I356" i="6" s="1"/>
  <c r="B356" i="6"/>
  <c r="G355" i="6"/>
  <c r="E355" i="6"/>
  <c r="B355" i="6"/>
  <c r="C355" i="6" s="1"/>
  <c r="D355" i="6" s="1"/>
  <c r="G354" i="6"/>
  <c r="E354" i="6"/>
  <c r="C354" i="6"/>
  <c r="D354" i="6" s="1"/>
  <c r="I354" i="6" s="1"/>
  <c r="B354" i="6"/>
  <c r="G353" i="6"/>
  <c r="E353" i="6"/>
  <c r="D353" i="6"/>
  <c r="B353" i="6"/>
  <c r="C353" i="6" s="1"/>
  <c r="H352" i="6"/>
  <c r="G352" i="6"/>
  <c r="E352" i="6"/>
  <c r="C352" i="6"/>
  <c r="D352" i="6" s="1"/>
  <c r="I352" i="6" s="1"/>
  <c r="B352" i="6"/>
  <c r="G351" i="6"/>
  <c r="E351" i="6"/>
  <c r="B351" i="6"/>
  <c r="C351" i="6" s="1"/>
  <c r="D351" i="6" s="1"/>
  <c r="G350" i="6"/>
  <c r="E350" i="6"/>
  <c r="C350" i="6"/>
  <c r="D350" i="6" s="1"/>
  <c r="I350" i="6" s="1"/>
  <c r="B350" i="6"/>
  <c r="G349" i="6"/>
  <c r="E349" i="6"/>
  <c r="B349" i="6"/>
  <c r="C349" i="6" s="1"/>
  <c r="D349" i="6" s="1"/>
  <c r="H348" i="6"/>
  <c r="G348" i="6"/>
  <c r="E348" i="6"/>
  <c r="C348" i="6"/>
  <c r="D348" i="6" s="1"/>
  <c r="I348" i="6" s="1"/>
  <c r="B348" i="6"/>
  <c r="G347" i="6"/>
  <c r="E347" i="6"/>
  <c r="B347" i="6"/>
  <c r="C347" i="6" s="1"/>
  <c r="D347" i="6" s="1"/>
  <c r="G346" i="6"/>
  <c r="E346" i="6"/>
  <c r="C346" i="6"/>
  <c r="D346" i="6" s="1"/>
  <c r="I346" i="6" s="1"/>
  <c r="B346" i="6"/>
  <c r="G345" i="6"/>
  <c r="E345" i="6"/>
  <c r="D345" i="6"/>
  <c r="B345" i="6"/>
  <c r="C345" i="6" s="1"/>
  <c r="H344" i="6"/>
  <c r="G344" i="6"/>
  <c r="E344" i="6"/>
  <c r="C344" i="6"/>
  <c r="D344" i="6" s="1"/>
  <c r="I344" i="6" s="1"/>
  <c r="B344" i="6"/>
  <c r="G343" i="6"/>
  <c r="E343" i="6"/>
  <c r="B343" i="6"/>
  <c r="C343" i="6" s="1"/>
  <c r="D343" i="6" s="1"/>
  <c r="G342" i="6"/>
  <c r="E342" i="6"/>
  <c r="C342" i="6"/>
  <c r="D342" i="6" s="1"/>
  <c r="I342" i="6" s="1"/>
  <c r="B342" i="6"/>
  <c r="G341" i="6"/>
  <c r="E341" i="6"/>
  <c r="B341" i="6"/>
  <c r="C341" i="6" s="1"/>
  <c r="D341" i="6" s="1"/>
  <c r="H340" i="6"/>
  <c r="G340" i="6"/>
  <c r="E340" i="6"/>
  <c r="C340" i="6"/>
  <c r="D340" i="6" s="1"/>
  <c r="I340" i="6" s="1"/>
  <c r="B340" i="6"/>
  <c r="G339" i="6"/>
  <c r="E339" i="6"/>
  <c r="B339" i="6"/>
  <c r="C339" i="6" s="1"/>
  <c r="D339" i="6" s="1"/>
  <c r="G338" i="6"/>
  <c r="E338" i="6"/>
  <c r="C338" i="6"/>
  <c r="D338" i="6" s="1"/>
  <c r="I338" i="6" s="1"/>
  <c r="B338" i="6"/>
  <c r="G337" i="6"/>
  <c r="E337" i="6"/>
  <c r="D337" i="6"/>
  <c r="B337" i="6"/>
  <c r="C337" i="6" s="1"/>
  <c r="H336" i="6"/>
  <c r="G336" i="6"/>
  <c r="E336" i="6"/>
  <c r="C336" i="6"/>
  <c r="D336" i="6" s="1"/>
  <c r="I336" i="6" s="1"/>
  <c r="B336" i="6"/>
  <c r="G335" i="6"/>
  <c r="E335" i="6"/>
  <c r="B335" i="6"/>
  <c r="C335" i="6" s="1"/>
  <c r="D335" i="6" s="1"/>
  <c r="G334" i="6"/>
  <c r="E334" i="6"/>
  <c r="C334" i="6"/>
  <c r="D334" i="6" s="1"/>
  <c r="I334" i="6" s="1"/>
  <c r="B334" i="6"/>
  <c r="G333" i="6"/>
  <c r="E333" i="6"/>
  <c r="B333" i="6"/>
  <c r="C333" i="6" s="1"/>
  <c r="D333" i="6" s="1"/>
  <c r="H332" i="6"/>
  <c r="G332" i="6"/>
  <c r="E332" i="6"/>
  <c r="C332" i="6"/>
  <c r="D332" i="6" s="1"/>
  <c r="I332" i="6" s="1"/>
  <c r="B332" i="6"/>
  <c r="G331" i="6"/>
  <c r="E331" i="6"/>
  <c r="B331" i="6"/>
  <c r="C331" i="6" s="1"/>
  <c r="D331" i="6" s="1"/>
  <c r="G330" i="6"/>
  <c r="E330" i="6"/>
  <c r="C330" i="6"/>
  <c r="D330" i="6" s="1"/>
  <c r="I330" i="6" s="1"/>
  <c r="B330" i="6"/>
  <c r="G329" i="6"/>
  <c r="E329" i="6"/>
  <c r="B329" i="6"/>
  <c r="C329" i="6" s="1"/>
  <c r="D329" i="6" s="1"/>
  <c r="H328" i="6"/>
  <c r="G328" i="6"/>
  <c r="E328" i="6"/>
  <c r="C328" i="6"/>
  <c r="D328" i="6" s="1"/>
  <c r="I328" i="6" s="1"/>
  <c r="B328" i="6"/>
  <c r="G327" i="6"/>
  <c r="E327" i="6"/>
  <c r="B327" i="6"/>
  <c r="C327" i="6" s="1"/>
  <c r="D327" i="6" s="1"/>
  <c r="G326" i="6"/>
  <c r="E326" i="6"/>
  <c r="C326" i="6"/>
  <c r="D326" i="6" s="1"/>
  <c r="I326" i="6" s="1"/>
  <c r="B326" i="6"/>
  <c r="G325" i="6"/>
  <c r="E325" i="6"/>
  <c r="B325" i="6"/>
  <c r="C325" i="6" s="1"/>
  <c r="D325" i="6" s="1"/>
  <c r="H324" i="6"/>
  <c r="G324" i="6"/>
  <c r="E324" i="6"/>
  <c r="C324" i="6"/>
  <c r="D324" i="6" s="1"/>
  <c r="I324" i="6" s="1"/>
  <c r="B324" i="6"/>
  <c r="G323" i="6"/>
  <c r="E323" i="6"/>
  <c r="D323" i="6"/>
  <c r="B323" i="6"/>
  <c r="C323" i="6" s="1"/>
  <c r="G322" i="6"/>
  <c r="E322" i="6"/>
  <c r="C322" i="6"/>
  <c r="D322" i="6" s="1"/>
  <c r="I322" i="6" s="1"/>
  <c r="B322" i="6"/>
  <c r="G321" i="6"/>
  <c r="E321" i="6"/>
  <c r="D321" i="6"/>
  <c r="B321" i="6"/>
  <c r="C321" i="6" s="1"/>
  <c r="H320" i="6"/>
  <c r="G320" i="6"/>
  <c r="E320" i="6"/>
  <c r="C320" i="6"/>
  <c r="D320" i="6" s="1"/>
  <c r="I320" i="6" s="1"/>
  <c r="B320" i="6"/>
  <c r="G319" i="6"/>
  <c r="E319" i="6"/>
  <c r="D319" i="6"/>
  <c r="B319" i="6"/>
  <c r="C319" i="6" s="1"/>
  <c r="G318" i="6"/>
  <c r="E318" i="6"/>
  <c r="C318" i="6"/>
  <c r="D318" i="6" s="1"/>
  <c r="I318" i="6" s="1"/>
  <c r="B318" i="6"/>
  <c r="G317" i="6"/>
  <c r="E317" i="6"/>
  <c r="D317" i="6"/>
  <c r="B317" i="6"/>
  <c r="C317" i="6" s="1"/>
  <c r="H316" i="6"/>
  <c r="G316" i="6"/>
  <c r="E316" i="6"/>
  <c r="C316" i="6"/>
  <c r="D316" i="6" s="1"/>
  <c r="I316" i="6" s="1"/>
  <c r="B316" i="6"/>
  <c r="G315" i="6"/>
  <c r="E315" i="6"/>
  <c r="D315" i="6"/>
  <c r="B315" i="6"/>
  <c r="C315" i="6" s="1"/>
  <c r="G314" i="6"/>
  <c r="E314" i="6"/>
  <c r="C314" i="6"/>
  <c r="D314" i="6" s="1"/>
  <c r="I314" i="6" s="1"/>
  <c r="B314" i="6"/>
  <c r="G313" i="6"/>
  <c r="E313" i="6"/>
  <c r="B313" i="6"/>
  <c r="C313" i="6" s="1"/>
  <c r="D313" i="6" s="1"/>
  <c r="H312" i="6"/>
  <c r="G312" i="6"/>
  <c r="E312" i="6"/>
  <c r="C312" i="6"/>
  <c r="D312" i="6" s="1"/>
  <c r="I312" i="6" s="1"/>
  <c r="B312" i="6"/>
  <c r="G311" i="6"/>
  <c r="E311" i="6"/>
  <c r="B311" i="6"/>
  <c r="C311" i="6" s="1"/>
  <c r="D311" i="6" s="1"/>
  <c r="G310" i="6"/>
  <c r="E310" i="6"/>
  <c r="C310" i="6"/>
  <c r="D310" i="6" s="1"/>
  <c r="B310" i="6"/>
  <c r="I309" i="6"/>
  <c r="G309" i="6"/>
  <c r="E309" i="6"/>
  <c r="D309" i="6"/>
  <c r="H309" i="6" s="1"/>
  <c r="J309" i="6" s="1"/>
  <c r="K309" i="6" s="1"/>
  <c r="L309" i="6" s="1"/>
  <c r="C309" i="6"/>
  <c r="B309" i="6"/>
  <c r="G308" i="6"/>
  <c r="E308" i="6"/>
  <c r="C308" i="6"/>
  <c r="D308" i="6" s="1"/>
  <c r="I308" i="6" s="1"/>
  <c r="B308" i="6"/>
  <c r="G307" i="6"/>
  <c r="E307" i="6"/>
  <c r="C307" i="6"/>
  <c r="D307" i="6" s="1"/>
  <c r="H307" i="6" s="1"/>
  <c r="B307" i="6"/>
  <c r="G306" i="6"/>
  <c r="E306" i="6"/>
  <c r="C306" i="6"/>
  <c r="D306" i="6" s="1"/>
  <c r="I306" i="6" s="1"/>
  <c r="B306" i="6"/>
  <c r="G305" i="6"/>
  <c r="E305" i="6"/>
  <c r="B305" i="6"/>
  <c r="C305" i="6" s="1"/>
  <c r="D305" i="6" s="1"/>
  <c r="I304" i="6"/>
  <c r="H304" i="6"/>
  <c r="G304" i="6"/>
  <c r="E304" i="6"/>
  <c r="C304" i="6"/>
  <c r="D304" i="6" s="1"/>
  <c r="B304" i="6"/>
  <c r="G303" i="6"/>
  <c r="E303" i="6"/>
  <c r="B303" i="6"/>
  <c r="C303" i="6" s="1"/>
  <c r="D303" i="6" s="1"/>
  <c r="G302" i="6"/>
  <c r="E302" i="6"/>
  <c r="I302" i="6" s="1"/>
  <c r="C302" i="6"/>
  <c r="D302" i="6" s="1"/>
  <c r="H302" i="6" s="1"/>
  <c r="B302" i="6"/>
  <c r="G301" i="6"/>
  <c r="E301" i="6"/>
  <c r="D301" i="6"/>
  <c r="H301" i="6" s="1"/>
  <c r="C301" i="6"/>
  <c r="B301" i="6"/>
  <c r="I300" i="6"/>
  <c r="H300" i="6"/>
  <c r="J300" i="6" s="1"/>
  <c r="K300" i="6" s="1"/>
  <c r="L300" i="6" s="1"/>
  <c r="G300" i="6"/>
  <c r="E300" i="6"/>
  <c r="C300" i="6"/>
  <c r="D300" i="6" s="1"/>
  <c r="B300" i="6"/>
  <c r="G299" i="6"/>
  <c r="E299" i="6"/>
  <c r="B299" i="6"/>
  <c r="C299" i="6" s="1"/>
  <c r="D299" i="6" s="1"/>
  <c r="H298" i="6"/>
  <c r="G298" i="6"/>
  <c r="E298" i="6"/>
  <c r="C298" i="6"/>
  <c r="D298" i="6" s="1"/>
  <c r="I298" i="6" s="1"/>
  <c r="B298" i="6"/>
  <c r="I297" i="6"/>
  <c r="G297" i="6"/>
  <c r="E297" i="6"/>
  <c r="B297" i="6"/>
  <c r="C297" i="6" s="1"/>
  <c r="D297" i="6" s="1"/>
  <c r="H297" i="6" s="1"/>
  <c r="G296" i="6"/>
  <c r="E296" i="6"/>
  <c r="I296" i="6" s="1"/>
  <c r="C296" i="6"/>
  <c r="D296" i="6" s="1"/>
  <c r="H296" i="6" s="1"/>
  <c r="B296" i="6"/>
  <c r="G295" i="6"/>
  <c r="E295" i="6"/>
  <c r="D295" i="6"/>
  <c r="B295" i="6"/>
  <c r="C295" i="6" s="1"/>
  <c r="G294" i="6"/>
  <c r="E294" i="6"/>
  <c r="C294" i="6"/>
  <c r="D294" i="6" s="1"/>
  <c r="H294" i="6" s="1"/>
  <c r="B294" i="6"/>
  <c r="G293" i="6"/>
  <c r="E293" i="6"/>
  <c r="C293" i="6"/>
  <c r="D293" i="6" s="1"/>
  <c r="B293" i="6"/>
  <c r="H292" i="6"/>
  <c r="G292" i="6"/>
  <c r="E292" i="6"/>
  <c r="C292" i="6"/>
  <c r="D292" i="6" s="1"/>
  <c r="B292" i="6"/>
  <c r="G291" i="6"/>
  <c r="E291" i="6"/>
  <c r="D291" i="6"/>
  <c r="B291" i="6"/>
  <c r="C291" i="6" s="1"/>
  <c r="G290" i="6"/>
  <c r="E290" i="6"/>
  <c r="C290" i="6"/>
  <c r="D290" i="6" s="1"/>
  <c r="B290" i="6"/>
  <c r="G289" i="6"/>
  <c r="E289" i="6"/>
  <c r="C289" i="6"/>
  <c r="D289" i="6" s="1"/>
  <c r="B289" i="6"/>
  <c r="I288" i="6"/>
  <c r="H288" i="6"/>
  <c r="G288" i="6"/>
  <c r="E288" i="6"/>
  <c r="C288" i="6"/>
  <c r="D288" i="6" s="1"/>
  <c r="B288" i="6"/>
  <c r="G287" i="6"/>
  <c r="E287" i="6"/>
  <c r="D287" i="6"/>
  <c r="B287" i="6"/>
  <c r="C287" i="6" s="1"/>
  <c r="I286" i="6"/>
  <c r="H286" i="6"/>
  <c r="J286" i="6" s="1"/>
  <c r="K286" i="6" s="1"/>
  <c r="L286" i="6" s="1"/>
  <c r="G286" i="6"/>
  <c r="E286" i="6"/>
  <c r="C286" i="6"/>
  <c r="D286" i="6" s="1"/>
  <c r="B286" i="6"/>
  <c r="G285" i="6"/>
  <c r="E285" i="6"/>
  <c r="D285" i="6"/>
  <c r="H285" i="6" s="1"/>
  <c r="C285" i="6"/>
  <c r="B285" i="6"/>
  <c r="I284" i="6"/>
  <c r="H284" i="6"/>
  <c r="G284" i="6"/>
  <c r="E284" i="6"/>
  <c r="C284" i="6"/>
  <c r="D284" i="6" s="1"/>
  <c r="B284" i="6"/>
  <c r="G283" i="6"/>
  <c r="E283" i="6"/>
  <c r="B283" i="6"/>
  <c r="C283" i="6" s="1"/>
  <c r="D283" i="6" s="1"/>
  <c r="H282" i="6"/>
  <c r="G282" i="6"/>
  <c r="E282" i="6"/>
  <c r="C282" i="6"/>
  <c r="D282" i="6" s="1"/>
  <c r="I282" i="6" s="1"/>
  <c r="B282" i="6"/>
  <c r="G281" i="6"/>
  <c r="E281" i="6"/>
  <c r="B281" i="6"/>
  <c r="C281" i="6" s="1"/>
  <c r="D281" i="6" s="1"/>
  <c r="G280" i="6"/>
  <c r="E280" i="6"/>
  <c r="C280" i="6"/>
  <c r="D280" i="6" s="1"/>
  <c r="B280" i="6"/>
  <c r="G279" i="6"/>
  <c r="E279" i="6"/>
  <c r="B279" i="6"/>
  <c r="C279" i="6" s="1"/>
  <c r="D279" i="6" s="1"/>
  <c r="G278" i="6"/>
  <c r="E278" i="6"/>
  <c r="C278" i="6"/>
  <c r="D278" i="6" s="1"/>
  <c r="B278" i="6"/>
  <c r="G277" i="6"/>
  <c r="E277" i="6"/>
  <c r="B277" i="6"/>
  <c r="C277" i="6" s="1"/>
  <c r="D277" i="6" s="1"/>
  <c r="H276" i="6"/>
  <c r="J276" i="6" s="1"/>
  <c r="K276" i="6" s="1"/>
  <c r="L276" i="6" s="1"/>
  <c r="G276" i="6"/>
  <c r="E276" i="6"/>
  <c r="B276" i="6"/>
  <c r="C276" i="6" s="1"/>
  <c r="D276" i="6" s="1"/>
  <c r="I276" i="6" s="1"/>
  <c r="G275" i="6"/>
  <c r="E275" i="6"/>
  <c r="C275" i="6"/>
  <c r="D275" i="6" s="1"/>
  <c r="B275" i="6"/>
  <c r="I274" i="6"/>
  <c r="J274" i="6" s="1"/>
  <c r="K274" i="6" s="1"/>
  <c r="L274" i="6" s="1"/>
  <c r="G274" i="6"/>
  <c r="E274" i="6"/>
  <c r="B274" i="6"/>
  <c r="C274" i="6" s="1"/>
  <c r="D274" i="6" s="1"/>
  <c r="H274" i="6" s="1"/>
  <c r="G273" i="6"/>
  <c r="E273" i="6"/>
  <c r="B273" i="6"/>
  <c r="C273" i="6" s="1"/>
  <c r="D273" i="6" s="1"/>
  <c r="H272" i="6"/>
  <c r="G272" i="6"/>
  <c r="E272" i="6"/>
  <c r="I272" i="6" s="1"/>
  <c r="C272" i="6"/>
  <c r="D272" i="6" s="1"/>
  <c r="B272" i="6"/>
  <c r="G271" i="6"/>
  <c r="E271" i="6"/>
  <c r="B271" i="6"/>
  <c r="C271" i="6" s="1"/>
  <c r="D271" i="6" s="1"/>
  <c r="H270" i="6"/>
  <c r="G270" i="6"/>
  <c r="E270" i="6"/>
  <c r="C270" i="6"/>
  <c r="D270" i="6" s="1"/>
  <c r="I270" i="6" s="1"/>
  <c r="B270" i="6"/>
  <c r="G269" i="6"/>
  <c r="E269" i="6"/>
  <c r="B269" i="6"/>
  <c r="C269" i="6" s="1"/>
  <c r="D269" i="6" s="1"/>
  <c r="G268" i="6"/>
  <c r="E268" i="6"/>
  <c r="C268" i="6"/>
  <c r="D268" i="6" s="1"/>
  <c r="B268" i="6"/>
  <c r="G267" i="6"/>
  <c r="E267" i="6"/>
  <c r="C267" i="6"/>
  <c r="D267" i="6" s="1"/>
  <c r="B267" i="6"/>
  <c r="I266" i="6"/>
  <c r="J266" i="6" s="1"/>
  <c r="K266" i="6" s="1"/>
  <c r="L266" i="6" s="1"/>
  <c r="G266" i="6"/>
  <c r="E266" i="6"/>
  <c r="B266" i="6"/>
  <c r="C266" i="6" s="1"/>
  <c r="D266" i="6" s="1"/>
  <c r="H266" i="6" s="1"/>
  <c r="I265" i="6"/>
  <c r="G265" i="6"/>
  <c r="E265" i="6"/>
  <c r="D265" i="6"/>
  <c r="H265" i="6" s="1"/>
  <c r="B265" i="6"/>
  <c r="C265" i="6" s="1"/>
  <c r="G264" i="6"/>
  <c r="E264" i="6"/>
  <c r="C264" i="6"/>
  <c r="D264" i="6" s="1"/>
  <c r="B264" i="6"/>
  <c r="G263" i="6"/>
  <c r="E263" i="6"/>
  <c r="B263" i="6"/>
  <c r="C263" i="6" s="1"/>
  <c r="D263" i="6" s="1"/>
  <c r="H262" i="6"/>
  <c r="G262" i="6"/>
  <c r="E262" i="6"/>
  <c r="C262" i="6"/>
  <c r="D262" i="6" s="1"/>
  <c r="I262" i="6" s="1"/>
  <c r="B262" i="6"/>
  <c r="G261" i="6"/>
  <c r="E261" i="6"/>
  <c r="D261" i="6"/>
  <c r="H261" i="6" s="1"/>
  <c r="B261" i="6"/>
  <c r="C261" i="6" s="1"/>
  <c r="G260" i="6"/>
  <c r="E260" i="6"/>
  <c r="B260" i="6"/>
  <c r="C260" i="6" s="1"/>
  <c r="D260" i="6" s="1"/>
  <c r="I260" i="6" s="1"/>
  <c r="J259" i="6"/>
  <c r="K259" i="6" s="1"/>
  <c r="L259" i="6" s="1"/>
  <c r="I259" i="6"/>
  <c r="G259" i="6"/>
  <c r="E259" i="6"/>
  <c r="C259" i="6"/>
  <c r="D259" i="6" s="1"/>
  <c r="H259" i="6" s="1"/>
  <c r="B259" i="6"/>
  <c r="G258" i="6"/>
  <c r="E258" i="6"/>
  <c r="B258" i="6"/>
  <c r="C258" i="6" s="1"/>
  <c r="D258" i="6" s="1"/>
  <c r="G257" i="6"/>
  <c r="E257" i="6"/>
  <c r="B257" i="6"/>
  <c r="C257" i="6" s="1"/>
  <c r="D257" i="6" s="1"/>
  <c r="I256" i="6"/>
  <c r="G256" i="6"/>
  <c r="E256" i="6"/>
  <c r="B256" i="6"/>
  <c r="C256" i="6" s="1"/>
  <c r="D256" i="6" s="1"/>
  <c r="H256" i="6" s="1"/>
  <c r="J256" i="6" s="1"/>
  <c r="K256" i="6" s="1"/>
  <c r="L256" i="6" s="1"/>
  <c r="G255" i="6"/>
  <c r="E255" i="6"/>
  <c r="D255" i="6"/>
  <c r="H255" i="6" s="1"/>
  <c r="B255" i="6"/>
  <c r="C255" i="6" s="1"/>
  <c r="G254" i="6"/>
  <c r="E254" i="6"/>
  <c r="C254" i="6"/>
  <c r="D254" i="6" s="1"/>
  <c r="B254" i="6"/>
  <c r="H253" i="6"/>
  <c r="J253" i="6" s="1"/>
  <c r="K253" i="6" s="1"/>
  <c r="L253" i="6" s="1"/>
  <c r="G253" i="6"/>
  <c r="E253" i="6"/>
  <c r="B253" i="6"/>
  <c r="C253" i="6" s="1"/>
  <c r="D253" i="6" s="1"/>
  <c r="I253" i="6" s="1"/>
  <c r="G252" i="6"/>
  <c r="E252" i="6"/>
  <c r="B252" i="6"/>
  <c r="C252" i="6" s="1"/>
  <c r="D252" i="6" s="1"/>
  <c r="I252" i="6" s="1"/>
  <c r="G251" i="6"/>
  <c r="E251" i="6"/>
  <c r="D251" i="6"/>
  <c r="H251" i="6" s="1"/>
  <c r="B251" i="6"/>
  <c r="C251" i="6" s="1"/>
  <c r="G250" i="6"/>
  <c r="E250" i="6"/>
  <c r="C250" i="6"/>
  <c r="D250" i="6" s="1"/>
  <c r="B250" i="6"/>
  <c r="H249" i="6"/>
  <c r="J249" i="6" s="1"/>
  <c r="K249" i="6" s="1"/>
  <c r="L249" i="6" s="1"/>
  <c r="G249" i="6"/>
  <c r="E249" i="6"/>
  <c r="B249" i="6"/>
  <c r="C249" i="6" s="1"/>
  <c r="D249" i="6" s="1"/>
  <c r="I249" i="6" s="1"/>
  <c r="H248" i="6"/>
  <c r="G248" i="6"/>
  <c r="E248" i="6"/>
  <c r="B248" i="6"/>
  <c r="C248" i="6" s="1"/>
  <c r="D248" i="6" s="1"/>
  <c r="G247" i="6"/>
  <c r="E247" i="6"/>
  <c r="D247" i="6"/>
  <c r="H247" i="6" s="1"/>
  <c r="B247" i="6"/>
  <c r="C247" i="6" s="1"/>
  <c r="G246" i="6"/>
  <c r="E246" i="6"/>
  <c r="C246" i="6"/>
  <c r="D246" i="6" s="1"/>
  <c r="B246" i="6"/>
  <c r="H245" i="6"/>
  <c r="J245" i="6" s="1"/>
  <c r="K245" i="6" s="1"/>
  <c r="L245" i="6" s="1"/>
  <c r="G245" i="6"/>
  <c r="E245" i="6"/>
  <c r="B245" i="6"/>
  <c r="C245" i="6" s="1"/>
  <c r="D245" i="6" s="1"/>
  <c r="I245" i="6" s="1"/>
  <c r="H244" i="6"/>
  <c r="G244" i="6"/>
  <c r="E244" i="6"/>
  <c r="B244" i="6"/>
  <c r="C244" i="6" s="1"/>
  <c r="D244" i="6" s="1"/>
  <c r="G243" i="6"/>
  <c r="E243" i="6"/>
  <c r="D243" i="6"/>
  <c r="H243" i="6" s="1"/>
  <c r="B243" i="6"/>
  <c r="C243" i="6" s="1"/>
  <c r="G242" i="6"/>
  <c r="E242" i="6"/>
  <c r="C242" i="6"/>
  <c r="D242" i="6" s="1"/>
  <c r="B242" i="6"/>
  <c r="H241" i="6"/>
  <c r="J241" i="6" s="1"/>
  <c r="K241" i="6" s="1"/>
  <c r="L241" i="6" s="1"/>
  <c r="G241" i="6"/>
  <c r="E241" i="6"/>
  <c r="B241" i="6"/>
  <c r="C241" i="6" s="1"/>
  <c r="D241" i="6" s="1"/>
  <c r="I241" i="6" s="1"/>
  <c r="H240" i="6"/>
  <c r="G240" i="6"/>
  <c r="E240" i="6"/>
  <c r="B240" i="6"/>
  <c r="C240" i="6" s="1"/>
  <c r="D240" i="6" s="1"/>
  <c r="I240" i="6" s="1"/>
  <c r="G239" i="6"/>
  <c r="E239" i="6"/>
  <c r="D239" i="6"/>
  <c r="H239" i="6" s="1"/>
  <c r="B239" i="6"/>
  <c r="C239" i="6" s="1"/>
  <c r="G238" i="6"/>
  <c r="E238" i="6"/>
  <c r="C238" i="6"/>
  <c r="D238" i="6" s="1"/>
  <c r="B238" i="6"/>
  <c r="H237" i="6"/>
  <c r="J237" i="6" s="1"/>
  <c r="K237" i="6" s="1"/>
  <c r="L237" i="6" s="1"/>
  <c r="G237" i="6"/>
  <c r="E237" i="6"/>
  <c r="B237" i="6"/>
  <c r="C237" i="6" s="1"/>
  <c r="D237" i="6" s="1"/>
  <c r="I237" i="6" s="1"/>
  <c r="I236" i="6"/>
  <c r="H236" i="6"/>
  <c r="G236" i="6"/>
  <c r="E236" i="6"/>
  <c r="D236" i="6"/>
  <c r="B236" i="6"/>
  <c r="C236" i="6" s="1"/>
  <c r="G235" i="6"/>
  <c r="E235" i="6"/>
  <c r="D235" i="6"/>
  <c r="B235" i="6"/>
  <c r="C235" i="6" s="1"/>
  <c r="G234" i="6"/>
  <c r="E234" i="6"/>
  <c r="C234" i="6"/>
  <c r="D234" i="6" s="1"/>
  <c r="B234" i="6"/>
  <c r="G233" i="6"/>
  <c r="E233" i="6"/>
  <c r="B233" i="6"/>
  <c r="C233" i="6" s="1"/>
  <c r="D233" i="6" s="1"/>
  <c r="G232" i="6"/>
  <c r="E232" i="6"/>
  <c r="B232" i="6"/>
  <c r="C232" i="6" s="1"/>
  <c r="D232" i="6" s="1"/>
  <c r="G231" i="6"/>
  <c r="E231" i="6"/>
  <c r="B231" i="6"/>
  <c r="C231" i="6" s="1"/>
  <c r="D231" i="6" s="1"/>
  <c r="G230" i="6"/>
  <c r="E230" i="6"/>
  <c r="D230" i="6"/>
  <c r="C230" i="6"/>
  <c r="B230" i="6"/>
  <c r="G229" i="6"/>
  <c r="E229" i="6"/>
  <c r="B229" i="6"/>
  <c r="C229" i="6" s="1"/>
  <c r="D229" i="6" s="1"/>
  <c r="I228" i="6"/>
  <c r="J228" i="6" s="1"/>
  <c r="K228" i="6" s="1"/>
  <c r="L228" i="6" s="1"/>
  <c r="G228" i="6"/>
  <c r="E228" i="6"/>
  <c r="D228" i="6"/>
  <c r="H228" i="6" s="1"/>
  <c r="B228" i="6"/>
  <c r="C228" i="6" s="1"/>
  <c r="I227" i="6"/>
  <c r="G227" i="6"/>
  <c r="E227" i="6"/>
  <c r="D227" i="6"/>
  <c r="H227" i="6" s="1"/>
  <c r="B227" i="6"/>
  <c r="C227" i="6" s="1"/>
  <c r="G226" i="6"/>
  <c r="E226" i="6"/>
  <c r="C226" i="6"/>
  <c r="D226" i="6" s="1"/>
  <c r="B226" i="6"/>
  <c r="G225" i="6"/>
  <c r="E225" i="6"/>
  <c r="B225" i="6"/>
  <c r="C225" i="6" s="1"/>
  <c r="D225" i="6" s="1"/>
  <c r="G224" i="6"/>
  <c r="E224" i="6"/>
  <c r="B224" i="6"/>
  <c r="C224" i="6" s="1"/>
  <c r="D224" i="6" s="1"/>
  <c r="G223" i="6"/>
  <c r="E223" i="6"/>
  <c r="B223" i="6"/>
  <c r="C223" i="6" s="1"/>
  <c r="D223" i="6" s="1"/>
  <c r="G222" i="6"/>
  <c r="E222" i="6"/>
  <c r="D222" i="6"/>
  <c r="C222" i="6"/>
  <c r="B222" i="6"/>
  <c r="G221" i="6"/>
  <c r="E221" i="6"/>
  <c r="B221" i="6"/>
  <c r="C221" i="6" s="1"/>
  <c r="D221" i="6" s="1"/>
  <c r="G220" i="6"/>
  <c r="E220" i="6"/>
  <c r="D220" i="6"/>
  <c r="H220" i="6" s="1"/>
  <c r="B220" i="6"/>
  <c r="C220" i="6" s="1"/>
  <c r="G219" i="6"/>
  <c r="E219" i="6"/>
  <c r="D219" i="6"/>
  <c r="B219" i="6"/>
  <c r="C219" i="6" s="1"/>
  <c r="I218" i="6"/>
  <c r="H218" i="6"/>
  <c r="J218" i="6" s="1"/>
  <c r="K218" i="6" s="1"/>
  <c r="L218" i="6" s="1"/>
  <c r="G218" i="6"/>
  <c r="E218" i="6"/>
  <c r="C218" i="6"/>
  <c r="D218" i="6" s="1"/>
  <c r="B218" i="6"/>
  <c r="G217" i="6"/>
  <c r="E217" i="6"/>
  <c r="B217" i="6"/>
  <c r="C217" i="6" s="1"/>
  <c r="D217" i="6" s="1"/>
  <c r="I217" i="6" s="1"/>
  <c r="G216" i="6"/>
  <c r="E216" i="6"/>
  <c r="B216" i="6"/>
  <c r="C216" i="6" s="1"/>
  <c r="D216" i="6" s="1"/>
  <c r="G215" i="6"/>
  <c r="E215" i="6"/>
  <c r="B215" i="6"/>
  <c r="C215" i="6" s="1"/>
  <c r="D215" i="6" s="1"/>
  <c r="I214" i="6"/>
  <c r="H214" i="6"/>
  <c r="J214" i="6" s="1"/>
  <c r="K214" i="6" s="1"/>
  <c r="L214" i="6" s="1"/>
  <c r="G214" i="6"/>
  <c r="E214" i="6"/>
  <c r="D214" i="6"/>
  <c r="C214" i="6"/>
  <c r="B214" i="6"/>
  <c r="H213" i="6"/>
  <c r="G213" i="6"/>
  <c r="E213" i="6"/>
  <c r="B213" i="6"/>
  <c r="C213" i="6" s="1"/>
  <c r="D213" i="6" s="1"/>
  <c r="G212" i="6"/>
  <c r="E212" i="6"/>
  <c r="D212" i="6"/>
  <c r="B212" i="6"/>
  <c r="C212" i="6" s="1"/>
  <c r="G211" i="6"/>
  <c r="E211" i="6"/>
  <c r="D211" i="6"/>
  <c r="B211" i="6"/>
  <c r="C211" i="6" s="1"/>
  <c r="G210" i="6"/>
  <c r="E210" i="6"/>
  <c r="C210" i="6"/>
  <c r="D210" i="6" s="1"/>
  <c r="B210" i="6"/>
  <c r="G209" i="6"/>
  <c r="E209" i="6"/>
  <c r="B209" i="6"/>
  <c r="C209" i="6" s="1"/>
  <c r="D209" i="6" s="1"/>
  <c r="H208" i="6"/>
  <c r="G208" i="6"/>
  <c r="E208" i="6"/>
  <c r="D208" i="6"/>
  <c r="C208" i="6"/>
  <c r="B208" i="6"/>
  <c r="G207" i="6"/>
  <c r="E207" i="6"/>
  <c r="B207" i="6"/>
  <c r="C207" i="6" s="1"/>
  <c r="D207" i="6" s="1"/>
  <c r="G206" i="6"/>
  <c r="E206" i="6"/>
  <c r="D206" i="6"/>
  <c r="C206" i="6"/>
  <c r="B206" i="6"/>
  <c r="J205" i="6"/>
  <c r="K205" i="6" s="1"/>
  <c r="L205" i="6" s="1"/>
  <c r="H205" i="6"/>
  <c r="G205" i="6"/>
  <c r="E205" i="6"/>
  <c r="B205" i="6"/>
  <c r="C205" i="6" s="1"/>
  <c r="D205" i="6" s="1"/>
  <c r="I205" i="6" s="1"/>
  <c r="G204" i="6"/>
  <c r="E204" i="6"/>
  <c r="C204" i="6"/>
  <c r="D204" i="6" s="1"/>
  <c r="B204" i="6"/>
  <c r="G203" i="6"/>
  <c r="E203" i="6"/>
  <c r="D203" i="6"/>
  <c r="B203" i="6"/>
  <c r="C203" i="6" s="1"/>
  <c r="I202" i="6"/>
  <c r="G202" i="6"/>
  <c r="E202" i="6"/>
  <c r="C202" i="6"/>
  <c r="D202" i="6" s="1"/>
  <c r="H202" i="6" s="1"/>
  <c r="B202" i="6"/>
  <c r="G201" i="6"/>
  <c r="E201" i="6"/>
  <c r="B201" i="6"/>
  <c r="C201" i="6" s="1"/>
  <c r="D201" i="6" s="1"/>
  <c r="H200" i="6"/>
  <c r="G200" i="6"/>
  <c r="E200" i="6"/>
  <c r="D200" i="6"/>
  <c r="C200" i="6"/>
  <c r="B200" i="6"/>
  <c r="G199" i="6"/>
  <c r="E199" i="6"/>
  <c r="B199" i="6"/>
  <c r="C199" i="6" s="1"/>
  <c r="D199" i="6" s="1"/>
  <c r="G198" i="6"/>
  <c r="E198" i="6"/>
  <c r="C198" i="6"/>
  <c r="D198" i="6" s="1"/>
  <c r="B198" i="6"/>
  <c r="H197" i="6"/>
  <c r="J197" i="6" s="1"/>
  <c r="K197" i="6" s="1"/>
  <c r="L197" i="6" s="1"/>
  <c r="G197" i="6"/>
  <c r="E197" i="6"/>
  <c r="B197" i="6"/>
  <c r="C197" i="6" s="1"/>
  <c r="D197" i="6" s="1"/>
  <c r="I197" i="6" s="1"/>
  <c r="G196" i="6"/>
  <c r="E196" i="6"/>
  <c r="D196" i="6"/>
  <c r="C196" i="6"/>
  <c r="B196" i="6"/>
  <c r="G195" i="6"/>
  <c r="E195" i="6"/>
  <c r="D195" i="6"/>
  <c r="B195" i="6"/>
  <c r="C195" i="6" s="1"/>
  <c r="G194" i="6"/>
  <c r="E194" i="6"/>
  <c r="C194" i="6"/>
  <c r="D194" i="6" s="1"/>
  <c r="B194" i="6"/>
  <c r="G193" i="6"/>
  <c r="E193" i="6"/>
  <c r="B193" i="6"/>
  <c r="C193" i="6" s="1"/>
  <c r="D193" i="6" s="1"/>
  <c r="H192" i="6"/>
  <c r="G192" i="6"/>
  <c r="E192" i="6"/>
  <c r="D192" i="6"/>
  <c r="C192" i="6"/>
  <c r="B192" i="6"/>
  <c r="G191" i="6"/>
  <c r="E191" i="6"/>
  <c r="D191" i="6"/>
  <c r="B191" i="6"/>
  <c r="C191" i="6" s="1"/>
  <c r="G190" i="6"/>
  <c r="E190" i="6"/>
  <c r="D190" i="6"/>
  <c r="C190" i="6"/>
  <c r="B190" i="6"/>
  <c r="J189" i="6"/>
  <c r="K189" i="6" s="1"/>
  <c r="L189" i="6" s="1"/>
  <c r="H189" i="6"/>
  <c r="G189" i="6"/>
  <c r="E189" i="6"/>
  <c r="B189" i="6"/>
  <c r="C189" i="6" s="1"/>
  <c r="D189" i="6" s="1"/>
  <c r="I189" i="6" s="1"/>
  <c r="G188" i="6"/>
  <c r="E188" i="6"/>
  <c r="D188" i="6"/>
  <c r="C188" i="6"/>
  <c r="B188" i="6"/>
  <c r="G187" i="6"/>
  <c r="E187" i="6"/>
  <c r="D187" i="6"/>
  <c r="B187" i="6"/>
  <c r="C187" i="6" s="1"/>
  <c r="G186" i="6"/>
  <c r="E186" i="6"/>
  <c r="C186" i="6"/>
  <c r="D186" i="6" s="1"/>
  <c r="B186" i="6"/>
  <c r="H185" i="6"/>
  <c r="G185" i="6"/>
  <c r="E185" i="6"/>
  <c r="B185" i="6"/>
  <c r="C185" i="6" s="1"/>
  <c r="D185" i="6" s="1"/>
  <c r="G184" i="6"/>
  <c r="E184" i="6"/>
  <c r="B184" i="6"/>
  <c r="C184" i="6" s="1"/>
  <c r="D184" i="6" s="1"/>
  <c r="G183" i="6"/>
  <c r="E183" i="6"/>
  <c r="D183" i="6"/>
  <c r="B183" i="6"/>
  <c r="C183" i="6" s="1"/>
  <c r="G182" i="6"/>
  <c r="E182" i="6"/>
  <c r="C182" i="6"/>
  <c r="D182" i="6" s="1"/>
  <c r="B182" i="6"/>
  <c r="H181" i="6"/>
  <c r="J181" i="6" s="1"/>
  <c r="K181" i="6" s="1"/>
  <c r="L181" i="6" s="1"/>
  <c r="G181" i="6"/>
  <c r="E181" i="6"/>
  <c r="B181" i="6"/>
  <c r="C181" i="6" s="1"/>
  <c r="D181" i="6" s="1"/>
  <c r="I181" i="6" s="1"/>
  <c r="H180" i="6"/>
  <c r="J180" i="6" s="1"/>
  <c r="K180" i="6" s="1"/>
  <c r="L180" i="6" s="1"/>
  <c r="G180" i="6"/>
  <c r="E180" i="6"/>
  <c r="C180" i="6"/>
  <c r="D180" i="6" s="1"/>
  <c r="I180" i="6" s="1"/>
  <c r="B180" i="6"/>
  <c r="G179" i="6"/>
  <c r="E179" i="6"/>
  <c r="D179" i="6"/>
  <c r="B179" i="6"/>
  <c r="C179" i="6" s="1"/>
  <c r="G178" i="6"/>
  <c r="E178" i="6"/>
  <c r="D178" i="6"/>
  <c r="C178" i="6"/>
  <c r="B178" i="6"/>
  <c r="G177" i="6"/>
  <c r="E177" i="6"/>
  <c r="B177" i="6"/>
  <c r="C177" i="6" s="1"/>
  <c r="D177" i="6" s="1"/>
  <c r="G176" i="6"/>
  <c r="E176" i="6"/>
  <c r="B176" i="6"/>
  <c r="C176" i="6" s="1"/>
  <c r="D176" i="6" s="1"/>
  <c r="G175" i="6"/>
  <c r="E175" i="6"/>
  <c r="D175" i="6"/>
  <c r="B175" i="6"/>
  <c r="C175" i="6" s="1"/>
  <c r="G174" i="6"/>
  <c r="E174" i="6"/>
  <c r="I174" i="6" s="1"/>
  <c r="D174" i="6"/>
  <c r="H174" i="6" s="1"/>
  <c r="C174" i="6"/>
  <c r="B174" i="6"/>
  <c r="G173" i="6"/>
  <c r="E173" i="6"/>
  <c r="D173" i="6"/>
  <c r="I173" i="6" s="1"/>
  <c r="C173" i="6"/>
  <c r="B173" i="6"/>
  <c r="G172" i="6"/>
  <c r="E172" i="6"/>
  <c r="C172" i="6"/>
  <c r="D172" i="6" s="1"/>
  <c r="B172" i="6"/>
  <c r="G171" i="6"/>
  <c r="E171" i="6"/>
  <c r="B171" i="6"/>
  <c r="C171" i="6" s="1"/>
  <c r="D171" i="6" s="1"/>
  <c r="G170" i="6"/>
  <c r="E170" i="6"/>
  <c r="C170" i="6"/>
  <c r="D170" i="6" s="1"/>
  <c r="B170" i="6"/>
  <c r="H169" i="6"/>
  <c r="G169" i="6"/>
  <c r="E169" i="6"/>
  <c r="D169" i="6"/>
  <c r="C169" i="6"/>
  <c r="B169" i="6"/>
  <c r="G168" i="6"/>
  <c r="E168" i="6"/>
  <c r="C168" i="6"/>
  <c r="D168" i="6" s="1"/>
  <c r="B168" i="6"/>
  <c r="H167" i="6"/>
  <c r="J167" i="6" s="1"/>
  <c r="K167" i="6" s="1"/>
  <c r="L167" i="6" s="1"/>
  <c r="G167" i="6"/>
  <c r="E167" i="6"/>
  <c r="B167" i="6"/>
  <c r="C167" i="6" s="1"/>
  <c r="D167" i="6" s="1"/>
  <c r="I167" i="6" s="1"/>
  <c r="G166" i="6"/>
  <c r="E166" i="6"/>
  <c r="D166" i="6"/>
  <c r="H166" i="6" s="1"/>
  <c r="C166" i="6"/>
  <c r="B166" i="6"/>
  <c r="H165" i="6"/>
  <c r="G165" i="6"/>
  <c r="E165" i="6"/>
  <c r="D165" i="6"/>
  <c r="C165" i="6"/>
  <c r="B165" i="6"/>
  <c r="I164" i="6"/>
  <c r="G164" i="6"/>
  <c r="E164" i="6"/>
  <c r="C164" i="6"/>
  <c r="D164" i="6" s="1"/>
  <c r="H164" i="6" s="1"/>
  <c r="J164" i="6" s="1"/>
  <c r="K164" i="6" s="1"/>
  <c r="L164" i="6" s="1"/>
  <c r="B164" i="6"/>
  <c r="H163" i="6"/>
  <c r="J163" i="6" s="1"/>
  <c r="K163" i="6" s="1"/>
  <c r="L163" i="6" s="1"/>
  <c r="G163" i="6"/>
  <c r="E163" i="6"/>
  <c r="B163" i="6"/>
  <c r="C163" i="6" s="1"/>
  <c r="D163" i="6" s="1"/>
  <c r="I163" i="6" s="1"/>
  <c r="G162" i="6"/>
  <c r="E162" i="6"/>
  <c r="C162" i="6"/>
  <c r="D162" i="6" s="1"/>
  <c r="B162" i="6"/>
  <c r="G161" i="6"/>
  <c r="E161" i="6"/>
  <c r="C161" i="6"/>
  <c r="D161" i="6" s="1"/>
  <c r="B161" i="6"/>
  <c r="I160" i="6"/>
  <c r="H160" i="6"/>
  <c r="J160" i="6" s="1"/>
  <c r="K160" i="6" s="1"/>
  <c r="L160" i="6" s="1"/>
  <c r="G160" i="6"/>
  <c r="E160" i="6"/>
  <c r="C160" i="6"/>
  <c r="D160" i="6" s="1"/>
  <c r="B160" i="6"/>
  <c r="G159" i="6"/>
  <c r="E159" i="6"/>
  <c r="C159" i="6"/>
  <c r="D159" i="6" s="1"/>
  <c r="B159" i="6"/>
  <c r="G158" i="6"/>
  <c r="E158" i="6"/>
  <c r="D158" i="6"/>
  <c r="C158" i="6"/>
  <c r="B158" i="6"/>
  <c r="G157" i="6"/>
  <c r="E157" i="6"/>
  <c r="C157" i="6"/>
  <c r="D157" i="6" s="1"/>
  <c r="B157" i="6"/>
  <c r="I156" i="6"/>
  <c r="H156" i="6"/>
  <c r="G156" i="6"/>
  <c r="E156" i="6"/>
  <c r="C156" i="6"/>
  <c r="D156" i="6" s="1"/>
  <c r="B156" i="6"/>
  <c r="G155" i="6"/>
  <c r="E155" i="6"/>
  <c r="B155" i="6"/>
  <c r="C155" i="6" s="1"/>
  <c r="D155" i="6" s="1"/>
  <c r="I154" i="6"/>
  <c r="G154" i="6"/>
  <c r="E154" i="6"/>
  <c r="D154" i="6"/>
  <c r="H154" i="6" s="1"/>
  <c r="C154" i="6"/>
  <c r="B154" i="6"/>
  <c r="G153" i="6"/>
  <c r="E153" i="6"/>
  <c r="C153" i="6"/>
  <c r="D153" i="6" s="1"/>
  <c r="B153" i="6"/>
  <c r="I152" i="6"/>
  <c r="H152" i="6"/>
  <c r="J152" i="6" s="1"/>
  <c r="K152" i="6" s="1"/>
  <c r="L152" i="6" s="1"/>
  <c r="G152" i="6"/>
  <c r="E152" i="6"/>
  <c r="C152" i="6"/>
  <c r="D152" i="6" s="1"/>
  <c r="B152" i="6"/>
  <c r="G151" i="6"/>
  <c r="E151" i="6"/>
  <c r="B151" i="6"/>
  <c r="C151" i="6" s="1"/>
  <c r="D151" i="6" s="1"/>
  <c r="G150" i="6"/>
  <c r="E150" i="6"/>
  <c r="D150" i="6"/>
  <c r="C150" i="6"/>
  <c r="B150" i="6"/>
  <c r="G149" i="6"/>
  <c r="E149" i="6"/>
  <c r="C149" i="6"/>
  <c r="D149" i="6" s="1"/>
  <c r="B149" i="6"/>
  <c r="G148" i="6"/>
  <c r="E148" i="6"/>
  <c r="C148" i="6"/>
  <c r="D148" i="6" s="1"/>
  <c r="B148" i="6"/>
  <c r="J147" i="6"/>
  <c r="K147" i="6" s="1"/>
  <c r="L147" i="6" s="1"/>
  <c r="I147" i="6"/>
  <c r="G147" i="6"/>
  <c r="E147" i="6"/>
  <c r="C147" i="6"/>
  <c r="D147" i="6" s="1"/>
  <c r="H147" i="6" s="1"/>
  <c r="B147" i="6"/>
  <c r="G146" i="6"/>
  <c r="E146" i="6"/>
  <c r="D146" i="6"/>
  <c r="C146" i="6"/>
  <c r="B146" i="6"/>
  <c r="H145" i="6"/>
  <c r="J145" i="6" s="1"/>
  <c r="K145" i="6" s="1"/>
  <c r="L145" i="6" s="1"/>
  <c r="G145" i="6"/>
  <c r="E145" i="6"/>
  <c r="C145" i="6"/>
  <c r="D145" i="6" s="1"/>
  <c r="I145" i="6" s="1"/>
  <c r="B145" i="6"/>
  <c r="G144" i="6"/>
  <c r="E144" i="6"/>
  <c r="C144" i="6"/>
  <c r="D144" i="6" s="1"/>
  <c r="B144" i="6"/>
  <c r="G143" i="6"/>
  <c r="E143" i="6"/>
  <c r="B143" i="6"/>
  <c r="C143" i="6" s="1"/>
  <c r="D143" i="6" s="1"/>
  <c r="G142" i="6"/>
  <c r="E142" i="6"/>
  <c r="I142" i="6" s="1"/>
  <c r="D142" i="6"/>
  <c r="H142" i="6" s="1"/>
  <c r="C142" i="6"/>
  <c r="B142" i="6"/>
  <c r="H141" i="6"/>
  <c r="G141" i="6"/>
  <c r="E141" i="6"/>
  <c r="D141" i="6"/>
  <c r="C141" i="6"/>
  <c r="B141" i="6"/>
  <c r="G140" i="6"/>
  <c r="E140" i="6"/>
  <c r="C140" i="6"/>
  <c r="D140" i="6" s="1"/>
  <c r="B140" i="6"/>
  <c r="G139" i="6"/>
  <c r="E139" i="6"/>
  <c r="C139" i="6"/>
  <c r="D139" i="6" s="1"/>
  <c r="B139" i="6"/>
  <c r="G138" i="6"/>
  <c r="E138" i="6"/>
  <c r="C138" i="6"/>
  <c r="D138" i="6" s="1"/>
  <c r="H138" i="6" s="1"/>
  <c r="B138" i="6"/>
  <c r="G137" i="6"/>
  <c r="E137" i="6"/>
  <c r="D137" i="6"/>
  <c r="C137" i="6"/>
  <c r="B137" i="6"/>
  <c r="H136" i="6"/>
  <c r="J136" i="6" s="1"/>
  <c r="K136" i="6" s="1"/>
  <c r="L136" i="6" s="1"/>
  <c r="G136" i="6"/>
  <c r="E136" i="6"/>
  <c r="C136" i="6"/>
  <c r="D136" i="6" s="1"/>
  <c r="I136" i="6" s="1"/>
  <c r="B136" i="6"/>
  <c r="G135" i="6"/>
  <c r="E135" i="6"/>
  <c r="C135" i="6"/>
  <c r="D135" i="6" s="1"/>
  <c r="B135" i="6"/>
  <c r="I134" i="6"/>
  <c r="G134" i="6"/>
  <c r="E134" i="6"/>
  <c r="D134" i="6"/>
  <c r="H134" i="6" s="1"/>
  <c r="C134" i="6"/>
  <c r="B134" i="6"/>
  <c r="H133" i="6"/>
  <c r="G133" i="6"/>
  <c r="E133" i="6"/>
  <c r="D133" i="6"/>
  <c r="C133" i="6"/>
  <c r="B133" i="6"/>
  <c r="I132" i="6"/>
  <c r="H132" i="6"/>
  <c r="J132" i="6" s="1"/>
  <c r="K132" i="6" s="1"/>
  <c r="L132" i="6" s="1"/>
  <c r="G132" i="6"/>
  <c r="E132" i="6"/>
  <c r="D132" i="6"/>
  <c r="B132" i="6"/>
  <c r="C132" i="6" s="1"/>
  <c r="H131" i="6"/>
  <c r="G131" i="6"/>
  <c r="E131" i="6"/>
  <c r="B131" i="6"/>
  <c r="C131" i="6" s="1"/>
  <c r="D131" i="6" s="1"/>
  <c r="J130" i="6"/>
  <c r="K130" i="6" s="1"/>
  <c r="L130" i="6" s="1"/>
  <c r="I130" i="6"/>
  <c r="H130" i="6"/>
  <c r="G130" i="6"/>
  <c r="E130" i="6"/>
  <c r="D130" i="6"/>
  <c r="B130" i="6"/>
  <c r="C130" i="6" s="1"/>
  <c r="J129" i="6"/>
  <c r="K129" i="6" s="1"/>
  <c r="L129" i="6" s="1"/>
  <c r="H129" i="6"/>
  <c r="G129" i="6"/>
  <c r="E129" i="6"/>
  <c r="B129" i="6"/>
  <c r="C129" i="6" s="1"/>
  <c r="D129" i="6" s="1"/>
  <c r="I129" i="6" s="1"/>
  <c r="I128" i="6"/>
  <c r="H128" i="6"/>
  <c r="J128" i="6" s="1"/>
  <c r="K128" i="6" s="1"/>
  <c r="L128" i="6" s="1"/>
  <c r="G128" i="6"/>
  <c r="E128" i="6"/>
  <c r="D128" i="6"/>
  <c r="B128" i="6"/>
  <c r="C128" i="6" s="1"/>
  <c r="G127" i="6"/>
  <c r="E127" i="6"/>
  <c r="B127" i="6"/>
  <c r="C127" i="6" s="1"/>
  <c r="D127" i="6" s="1"/>
  <c r="I126" i="6"/>
  <c r="H126" i="6"/>
  <c r="J126" i="6" s="1"/>
  <c r="K126" i="6" s="1"/>
  <c r="L126" i="6" s="1"/>
  <c r="G126" i="6"/>
  <c r="E126" i="6"/>
  <c r="D126" i="6"/>
  <c r="B126" i="6"/>
  <c r="C126" i="6" s="1"/>
  <c r="G125" i="6"/>
  <c r="E125" i="6"/>
  <c r="B125" i="6"/>
  <c r="C125" i="6" s="1"/>
  <c r="D125" i="6" s="1"/>
  <c r="J124" i="6"/>
  <c r="K124" i="6" s="1"/>
  <c r="L124" i="6" s="1"/>
  <c r="I124" i="6"/>
  <c r="G124" i="6"/>
  <c r="E124" i="6"/>
  <c r="B124" i="6"/>
  <c r="C124" i="6" s="1"/>
  <c r="D124" i="6" s="1"/>
  <c r="H124" i="6" s="1"/>
  <c r="H123" i="6"/>
  <c r="J123" i="6" s="1"/>
  <c r="K123" i="6" s="1"/>
  <c r="L123" i="6" s="1"/>
  <c r="G123" i="6"/>
  <c r="E123" i="6"/>
  <c r="C123" i="6"/>
  <c r="D123" i="6" s="1"/>
  <c r="I123" i="6" s="1"/>
  <c r="B123" i="6"/>
  <c r="G122" i="6"/>
  <c r="E122" i="6"/>
  <c r="D122" i="6"/>
  <c r="B122" i="6"/>
  <c r="C122" i="6" s="1"/>
  <c r="G121" i="6"/>
  <c r="E121" i="6"/>
  <c r="D121" i="6"/>
  <c r="C121" i="6"/>
  <c r="B121" i="6"/>
  <c r="G120" i="6"/>
  <c r="E120" i="6"/>
  <c r="B120" i="6"/>
  <c r="C120" i="6" s="1"/>
  <c r="D120" i="6" s="1"/>
  <c r="G119" i="6"/>
  <c r="E119" i="6"/>
  <c r="C119" i="6"/>
  <c r="D119" i="6" s="1"/>
  <c r="B119" i="6"/>
  <c r="G118" i="6"/>
  <c r="E118" i="6"/>
  <c r="B118" i="6"/>
  <c r="C118" i="6" s="1"/>
  <c r="D118" i="6" s="1"/>
  <c r="H117" i="6"/>
  <c r="G117" i="6"/>
  <c r="E117" i="6"/>
  <c r="I117" i="6" s="1"/>
  <c r="D117" i="6"/>
  <c r="C117" i="6"/>
  <c r="B117" i="6"/>
  <c r="I116" i="6"/>
  <c r="H116" i="6"/>
  <c r="J116" i="6" s="1"/>
  <c r="K116" i="6" s="1"/>
  <c r="L116" i="6" s="1"/>
  <c r="G116" i="6"/>
  <c r="E116" i="6"/>
  <c r="B116" i="6"/>
  <c r="C116" i="6" s="1"/>
  <c r="D116" i="6" s="1"/>
  <c r="G115" i="6"/>
  <c r="E115" i="6"/>
  <c r="D115" i="6"/>
  <c r="H115" i="6" s="1"/>
  <c r="C115" i="6"/>
  <c r="B115" i="6"/>
  <c r="G114" i="6"/>
  <c r="E114" i="6"/>
  <c r="D114" i="6"/>
  <c r="B114" i="6"/>
  <c r="C114" i="6" s="1"/>
  <c r="G113" i="6"/>
  <c r="E113" i="6"/>
  <c r="D113" i="6"/>
  <c r="I113" i="6" s="1"/>
  <c r="C113" i="6"/>
  <c r="B113" i="6"/>
  <c r="I112" i="6"/>
  <c r="H112" i="6"/>
  <c r="G112" i="6"/>
  <c r="E112" i="6"/>
  <c r="B112" i="6"/>
  <c r="C112" i="6" s="1"/>
  <c r="D112" i="6" s="1"/>
  <c r="G111" i="6"/>
  <c r="E111" i="6"/>
  <c r="D111" i="6"/>
  <c r="C111" i="6"/>
  <c r="B111" i="6"/>
  <c r="G110" i="6"/>
  <c r="E110" i="6"/>
  <c r="D110" i="6"/>
  <c r="H110" i="6" s="1"/>
  <c r="B110" i="6"/>
  <c r="C110" i="6" s="1"/>
  <c r="G109" i="6"/>
  <c r="E109" i="6"/>
  <c r="D109" i="6"/>
  <c r="H109" i="6" s="1"/>
  <c r="C109" i="6"/>
  <c r="B109" i="6"/>
  <c r="I108" i="6"/>
  <c r="H108" i="6"/>
  <c r="G108" i="6"/>
  <c r="E108" i="6"/>
  <c r="D108" i="6"/>
  <c r="B108" i="6"/>
  <c r="C108" i="6" s="1"/>
  <c r="I107" i="6"/>
  <c r="G107" i="6"/>
  <c r="E107" i="6"/>
  <c r="C107" i="6"/>
  <c r="D107" i="6" s="1"/>
  <c r="H107" i="6" s="1"/>
  <c r="B107" i="6"/>
  <c r="G106" i="6"/>
  <c r="E106" i="6"/>
  <c r="B106" i="6"/>
  <c r="C106" i="6" s="1"/>
  <c r="D106" i="6" s="1"/>
  <c r="G105" i="6"/>
  <c r="E105" i="6"/>
  <c r="D105" i="6"/>
  <c r="C105" i="6"/>
  <c r="B105" i="6"/>
  <c r="I104" i="6"/>
  <c r="G104" i="6"/>
  <c r="E104" i="6"/>
  <c r="B104" i="6"/>
  <c r="C104" i="6" s="1"/>
  <c r="D104" i="6" s="1"/>
  <c r="H104" i="6" s="1"/>
  <c r="K103" i="6"/>
  <c r="L103" i="6" s="1"/>
  <c r="H103" i="6"/>
  <c r="J103" i="6" s="1"/>
  <c r="G103" i="6"/>
  <c r="E103" i="6"/>
  <c r="C103" i="6"/>
  <c r="D103" i="6" s="1"/>
  <c r="I103" i="6" s="1"/>
  <c r="B103" i="6"/>
  <c r="G102" i="6"/>
  <c r="E102" i="6"/>
  <c r="B102" i="6"/>
  <c r="C102" i="6" s="1"/>
  <c r="D102" i="6" s="1"/>
  <c r="G101" i="6"/>
  <c r="E101" i="6"/>
  <c r="C101" i="6"/>
  <c r="D101" i="6" s="1"/>
  <c r="B101" i="6"/>
  <c r="G100" i="6"/>
  <c r="E100" i="6"/>
  <c r="B100" i="6"/>
  <c r="C100" i="6" s="1"/>
  <c r="D100" i="6" s="1"/>
  <c r="H100" i="6" s="1"/>
  <c r="I99" i="6"/>
  <c r="H99" i="6"/>
  <c r="G99" i="6"/>
  <c r="E99" i="6"/>
  <c r="C99" i="6"/>
  <c r="D99" i="6" s="1"/>
  <c r="B99" i="6"/>
  <c r="G98" i="6"/>
  <c r="E98" i="6"/>
  <c r="B98" i="6"/>
  <c r="C98" i="6" s="1"/>
  <c r="D98" i="6" s="1"/>
  <c r="H98" i="6" s="1"/>
  <c r="G97" i="6"/>
  <c r="E97" i="6"/>
  <c r="C97" i="6"/>
  <c r="D97" i="6" s="1"/>
  <c r="B97" i="6"/>
  <c r="G96" i="6"/>
  <c r="E96" i="6"/>
  <c r="B96" i="6"/>
  <c r="C96" i="6" s="1"/>
  <c r="D96" i="6" s="1"/>
  <c r="H96" i="6" s="1"/>
  <c r="H95" i="6"/>
  <c r="G95" i="6"/>
  <c r="E95" i="6"/>
  <c r="C95" i="6"/>
  <c r="D95" i="6" s="1"/>
  <c r="I95" i="6" s="1"/>
  <c r="B95" i="6"/>
  <c r="I94" i="6"/>
  <c r="G94" i="6"/>
  <c r="E94" i="6"/>
  <c r="B94" i="6"/>
  <c r="C94" i="6" s="1"/>
  <c r="D94" i="6" s="1"/>
  <c r="H94" i="6" s="1"/>
  <c r="G93" i="6"/>
  <c r="E93" i="6"/>
  <c r="D93" i="6"/>
  <c r="C93" i="6"/>
  <c r="B93" i="6"/>
  <c r="I92" i="6"/>
  <c r="G92" i="6"/>
  <c r="E92" i="6"/>
  <c r="B92" i="6"/>
  <c r="C92" i="6" s="1"/>
  <c r="D92" i="6" s="1"/>
  <c r="H92" i="6" s="1"/>
  <c r="I91" i="6"/>
  <c r="G91" i="6"/>
  <c r="E91" i="6"/>
  <c r="C91" i="6"/>
  <c r="D91" i="6" s="1"/>
  <c r="H91" i="6" s="1"/>
  <c r="B91" i="6"/>
  <c r="G90" i="6"/>
  <c r="E90" i="6"/>
  <c r="B90" i="6"/>
  <c r="C90" i="6" s="1"/>
  <c r="D90" i="6" s="1"/>
  <c r="H90" i="6" s="1"/>
  <c r="G89" i="6"/>
  <c r="E89" i="6"/>
  <c r="D89" i="6"/>
  <c r="C89" i="6"/>
  <c r="B89" i="6"/>
  <c r="I88" i="6"/>
  <c r="G88" i="6"/>
  <c r="E88" i="6"/>
  <c r="B88" i="6"/>
  <c r="C88" i="6" s="1"/>
  <c r="D88" i="6" s="1"/>
  <c r="H88" i="6" s="1"/>
  <c r="I87" i="6"/>
  <c r="G87" i="6"/>
  <c r="E87" i="6"/>
  <c r="C87" i="6"/>
  <c r="D87" i="6" s="1"/>
  <c r="H87" i="6" s="1"/>
  <c r="J87" i="6" s="1"/>
  <c r="K87" i="6" s="1"/>
  <c r="L87" i="6" s="1"/>
  <c r="B87" i="6"/>
  <c r="G86" i="6"/>
  <c r="E86" i="6"/>
  <c r="B86" i="6"/>
  <c r="C86" i="6" s="1"/>
  <c r="D86" i="6" s="1"/>
  <c r="G85" i="6"/>
  <c r="E85" i="6"/>
  <c r="D85" i="6"/>
  <c r="C85" i="6"/>
  <c r="B85" i="6"/>
  <c r="G84" i="6"/>
  <c r="E84" i="6"/>
  <c r="B84" i="6"/>
  <c r="C84" i="6" s="1"/>
  <c r="D84" i="6" s="1"/>
  <c r="H84" i="6" s="1"/>
  <c r="G83" i="6"/>
  <c r="E83" i="6"/>
  <c r="C83" i="6"/>
  <c r="D83" i="6" s="1"/>
  <c r="I83" i="6" s="1"/>
  <c r="B83" i="6"/>
  <c r="I82" i="6"/>
  <c r="G82" i="6"/>
  <c r="E82" i="6"/>
  <c r="B82" i="6"/>
  <c r="C82" i="6" s="1"/>
  <c r="D82" i="6" s="1"/>
  <c r="H82" i="6" s="1"/>
  <c r="G81" i="6"/>
  <c r="E81" i="6"/>
  <c r="C81" i="6"/>
  <c r="D81" i="6" s="1"/>
  <c r="B81" i="6"/>
  <c r="G80" i="6"/>
  <c r="E80" i="6"/>
  <c r="I80" i="6" s="1"/>
  <c r="B80" i="6"/>
  <c r="C80" i="6" s="1"/>
  <c r="D80" i="6" s="1"/>
  <c r="H80" i="6" s="1"/>
  <c r="I79" i="6"/>
  <c r="G79" i="6"/>
  <c r="E79" i="6"/>
  <c r="C79" i="6"/>
  <c r="D79" i="6" s="1"/>
  <c r="H79" i="6" s="1"/>
  <c r="B79" i="6"/>
  <c r="G78" i="6"/>
  <c r="E78" i="6"/>
  <c r="I78" i="6" s="1"/>
  <c r="J78" i="6" s="1"/>
  <c r="K78" i="6" s="1"/>
  <c r="L78" i="6" s="1"/>
  <c r="B78" i="6"/>
  <c r="C78" i="6" s="1"/>
  <c r="D78" i="6" s="1"/>
  <c r="H78" i="6" s="1"/>
  <c r="G77" i="6"/>
  <c r="E77" i="6"/>
  <c r="D77" i="6"/>
  <c r="C77" i="6"/>
  <c r="B77" i="6"/>
  <c r="G76" i="6"/>
  <c r="E76" i="6"/>
  <c r="B76" i="6"/>
  <c r="C76" i="6" s="1"/>
  <c r="D76" i="6" s="1"/>
  <c r="I75" i="6"/>
  <c r="G75" i="6"/>
  <c r="E75" i="6"/>
  <c r="C75" i="6"/>
  <c r="D75" i="6" s="1"/>
  <c r="H75" i="6" s="1"/>
  <c r="B75" i="6"/>
  <c r="G74" i="6"/>
  <c r="E74" i="6"/>
  <c r="B74" i="6"/>
  <c r="C74" i="6" s="1"/>
  <c r="D74" i="6" s="1"/>
  <c r="G73" i="6"/>
  <c r="E73" i="6"/>
  <c r="D73" i="6"/>
  <c r="C73" i="6"/>
  <c r="B73" i="6"/>
  <c r="G72" i="6"/>
  <c r="E72" i="6"/>
  <c r="I72" i="6" s="1"/>
  <c r="B72" i="6"/>
  <c r="C72" i="6" s="1"/>
  <c r="D72" i="6" s="1"/>
  <c r="H72" i="6" s="1"/>
  <c r="H71" i="6"/>
  <c r="G71" i="6"/>
  <c r="E71" i="6"/>
  <c r="C71" i="6"/>
  <c r="D71" i="6" s="1"/>
  <c r="I71" i="6" s="1"/>
  <c r="B71" i="6"/>
  <c r="I70" i="6"/>
  <c r="G70" i="6"/>
  <c r="E70" i="6"/>
  <c r="B70" i="6"/>
  <c r="C70" i="6" s="1"/>
  <c r="D70" i="6" s="1"/>
  <c r="H70" i="6" s="1"/>
  <c r="G69" i="6"/>
  <c r="E69" i="6"/>
  <c r="C69" i="6"/>
  <c r="D69" i="6" s="1"/>
  <c r="B69" i="6"/>
  <c r="G68" i="6"/>
  <c r="E68" i="6"/>
  <c r="B68" i="6"/>
  <c r="C68" i="6" s="1"/>
  <c r="D68" i="6" s="1"/>
  <c r="H68" i="6" s="1"/>
  <c r="I67" i="6"/>
  <c r="H67" i="6"/>
  <c r="J67" i="6" s="1"/>
  <c r="K67" i="6" s="1"/>
  <c r="L67" i="6" s="1"/>
  <c r="G67" i="6"/>
  <c r="E67" i="6"/>
  <c r="C67" i="6"/>
  <c r="D67" i="6" s="1"/>
  <c r="B67" i="6"/>
  <c r="G66" i="6"/>
  <c r="E66" i="6"/>
  <c r="B66" i="6"/>
  <c r="C66" i="6" s="1"/>
  <c r="D66" i="6" s="1"/>
  <c r="H66" i="6" s="1"/>
  <c r="G65" i="6"/>
  <c r="E65" i="6"/>
  <c r="C65" i="6"/>
  <c r="D65" i="6" s="1"/>
  <c r="B65" i="6"/>
  <c r="G64" i="6"/>
  <c r="E64" i="6"/>
  <c r="B64" i="6"/>
  <c r="C64" i="6" s="1"/>
  <c r="D64" i="6" s="1"/>
  <c r="G63" i="6"/>
  <c r="E63" i="6"/>
  <c r="C63" i="6"/>
  <c r="D63" i="6" s="1"/>
  <c r="H63" i="6" s="1"/>
  <c r="B63" i="6"/>
  <c r="I62" i="6"/>
  <c r="G62" i="6"/>
  <c r="E62" i="6"/>
  <c r="B62" i="6"/>
  <c r="C62" i="6" s="1"/>
  <c r="D62" i="6" s="1"/>
  <c r="H62" i="6" s="1"/>
  <c r="G61" i="6"/>
  <c r="E61" i="6"/>
  <c r="C61" i="6"/>
  <c r="D61" i="6" s="1"/>
  <c r="B61" i="6"/>
  <c r="I60" i="6"/>
  <c r="G60" i="6"/>
  <c r="E60" i="6"/>
  <c r="B60" i="6"/>
  <c r="C60" i="6" s="1"/>
  <c r="D60" i="6" s="1"/>
  <c r="H60" i="6" s="1"/>
  <c r="G59" i="6"/>
  <c r="E59" i="6"/>
  <c r="C59" i="6"/>
  <c r="D59" i="6" s="1"/>
  <c r="B59" i="6"/>
  <c r="G58" i="6"/>
  <c r="E58" i="6"/>
  <c r="B58" i="6"/>
  <c r="C58" i="6" s="1"/>
  <c r="D58" i="6" s="1"/>
  <c r="H58" i="6" s="1"/>
  <c r="G57" i="6"/>
  <c r="E57" i="6"/>
  <c r="C57" i="6"/>
  <c r="D57" i="6" s="1"/>
  <c r="B57" i="6"/>
  <c r="G56" i="6"/>
  <c r="E56" i="6"/>
  <c r="B56" i="6"/>
  <c r="C56" i="6" s="1"/>
  <c r="D56" i="6" s="1"/>
  <c r="H56" i="6" s="1"/>
  <c r="I55" i="6"/>
  <c r="G55" i="6"/>
  <c r="E55" i="6"/>
  <c r="C55" i="6"/>
  <c r="D55" i="6" s="1"/>
  <c r="H55" i="6" s="1"/>
  <c r="B55" i="6"/>
  <c r="G54" i="6"/>
  <c r="E54" i="6"/>
  <c r="B54" i="6"/>
  <c r="C54" i="6" s="1"/>
  <c r="D54" i="6" s="1"/>
  <c r="G53" i="6"/>
  <c r="E53" i="6"/>
  <c r="D53" i="6"/>
  <c r="C53" i="6"/>
  <c r="B53" i="6"/>
  <c r="G52" i="6"/>
  <c r="E52" i="6"/>
  <c r="B52" i="6"/>
  <c r="C52" i="6" s="1"/>
  <c r="D52" i="6" s="1"/>
  <c r="H52" i="6" s="1"/>
  <c r="G51" i="6"/>
  <c r="E51" i="6"/>
  <c r="C51" i="6"/>
  <c r="D51" i="6" s="1"/>
  <c r="I51" i="6" s="1"/>
  <c r="B51" i="6"/>
  <c r="G50" i="6"/>
  <c r="E50" i="6"/>
  <c r="B50" i="6"/>
  <c r="C50" i="6" s="1"/>
  <c r="D50" i="6" s="1"/>
  <c r="H50" i="6" s="1"/>
  <c r="G49" i="6"/>
  <c r="E49" i="6"/>
  <c r="C49" i="6"/>
  <c r="D49" i="6" s="1"/>
  <c r="B49" i="6"/>
  <c r="G48" i="6"/>
  <c r="E48" i="6"/>
  <c r="I48" i="6" s="1"/>
  <c r="B48" i="6"/>
  <c r="C48" i="6" s="1"/>
  <c r="D48" i="6" s="1"/>
  <c r="H48" i="6" s="1"/>
  <c r="I47" i="6"/>
  <c r="H47" i="6"/>
  <c r="G47" i="6"/>
  <c r="E47" i="6"/>
  <c r="C47" i="6"/>
  <c r="D47" i="6" s="1"/>
  <c r="B47" i="6"/>
  <c r="I46" i="6"/>
  <c r="J46" i="6" s="1"/>
  <c r="K46" i="6" s="1"/>
  <c r="L46" i="6" s="1"/>
  <c r="G46" i="6"/>
  <c r="E46" i="6"/>
  <c r="B46" i="6"/>
  <c r="C46" i="6" s="1"/>
  <c r="D46" i="6" s="1"/>
  <c r="H46" i="6" s="1"/>
  <c r="G45" i="6"/>
  <c r="E45" i="6"/>
  <c r="C45" i="6"/>
  <c r="D45" i="6" s="1"/>
  <c r="B45" i="6"/>
  <c r="G44" i="6"/>
  <c r="E44" i="6"/>
  <c r="B44" i="6"/>
  <c r="C44" i="6" s="1"/>
  <c r="D44" i="6" s="1"/>
  <c r="G43" i="6"/>
  <c r="E43" i="6"/>
  <c r="C43" i="6"/>
  <c r="D43" i="6" s="1"/>
  <c r="H43" i="6" s="1"/>
  <c r="B43" i="6"/>
  <c r="G42" i="6"/>
  <c r="E42" i="6"/>
  <c r="B42" i="6"/>
  <c r="C42" i="6" s="1"/>
  <c r="D42" i="6" s="1"/>
  <c r="H42" i="6" s="1"/>
  <c r="G41" i="6"/>
  <c r="E41" i="6"/>
  <c r="D41" i="6"/>
  <c r="C41" i="6"/>
  <c r="B41" i="6"/>
  <c r="G40" i="6"/>
  <c r="E40" i="6"/>
  <c r="B40" i="6"/>
  <c r="C40" i="6" s="1"/>
  <c r="D40" i="6" s="1"/>
  <c r="H40" i="6" s="1"/>
  <c r="I39" i="6"/>
  <c r="H39" i="6"/>
  <c r="J39" i="6" s="1"/>
  <c r="K39" i="6" s="1"/>
  <c r="L39" i="6" s="1"/>
  <c r="G39" i="6"/>
  <c r="E39" i="6"/>
  <c r="D39" i="6"/>
  <c r="C39" i="6"/>
  <c r="B39" i="6"/>
  <c r="I38" i="6"/>
  <c r="G38" i="6"/>
  <c r="E38" i="6"/>
  <c r="B38" i="6"/>
  <c r="C38" i="6" s="1"/>
  <c r="D38" i="6" s="1"/>
  <c r="H38" i="6" s="1"/>
  <c r="G37" i="6"/>
  <c r="E37" i="6"/>
  <c r="C37" i="6"/>
  <c r="D37" i="6" s="1"/>
  <c r="B37" i="6"/>
  <c r="G36" i="6"/>
  <c r="E36" i="6"/>
  <c r="B36" i="6"/>
  <c r="C36" i="6" s="1"/>
  <c r="D36" i="6" s="1"/>
  <c r="H36" i="6" s="1"/>
  <c r="G35" i="6"/>
  <c r="E35" i="6"/>
  <c r="D35" i="6"/>
  <c r="H35" i="6" s="1"/>
  <c r="C35" i="6"/>
  <c r="B35" i="6"/>
  <c r="G34" i="6"/>
  <c r="E34" i="6"/>
  <c r="B34" i="6"/>
  <c r="C34" i="6" s="1"/>
  <c r="D34" i="6" s="1"/>
  <c r="H34" i="6" s="1"/>
  <c r="G33" i="6"/>
  <c r="E33" i="6"/>
  <c r="D33" i="6"/>
  <c r="H33" i="6" s="1"/>
  <c r="C33" i="6"/>
  <c r="B33" i="6"/>
  <c r="G32" i="6"/>
  <c r="E32" i="6"/>
  <c r="B32" i="6"/>
  <c r="C32" i="6" s="1"/>
  <c r="D32" i="6" s="1"/>
  <c r="H31" i="6"/>
  <c r="G31" i="6"/>
  <c r="E31" i="6"/>
  <c r="D31" i="6"/>
  <c r="I31" i="6" s="1"/>
  <c r="C31" i="6"/>
  <c r="B31" i="6"/>
  <c r="G30" i="6"/>
  <c r="E30" i="6"/>
  <c r="B30" i="6"/>
  <c r="C30" i="6" s="1"/>
  <c r="D30" i="6" s="1"/>
  <c r="G29" i="6"/>
  <c r="E29" i="6"/>
  <c r="C29" i="6"/>
  <c r="D29" i="6" s="1"/>
  <c r="B29" i="6"/>
  <c r="I28" i="6"/>
  <c r="G28" i="6"/>
  <c r="E28" i="6"/>
  <c r="B28" i="6"/>
  <c r="C28" i="6" s="1"/>
  <c r="D28" i="6" s="1"/>
  <c r="H28" i="6" s="1"/>
  <c r="G27" i="6"/>
  <c r="E27" i="6"/>
  <c r="I27" i="6" s="1"/>
  <c r="D27" i="6"/>
  <c r="H27" i="6" s="1"/>
  <c r="C27" i="6"/>
  <c r="B27" i="6"/>
  <c r="I26" i="6"/>
  <c r="J26" i="6" s="1"/>
  <c r="K26" i="6" s="1"/>
  <c r="L26" i="6" s="1"/>
  <c r="G26" i="6"/>
  <c r="E26" i="6"/>
  <c r="B26" i="6"/>
  <c r="C26" i="6" s="1"/>
  <c r="D26" i="6" s="1"/>
  <c r="H26" i="6" s="1"/>
  <c r="G25" i="6"/>
  <c r="E25" i="6"/>
  <c r="D25" i="6"/>
  <c r="C25" i="6"/>
  <c r="B25" i="6"/>
  <c r="G24" i="6"/>
  <c r="E24" i="6"/>
  <c r="B24" i="6"/>
  <c r="C24" i="6" s="1"/>
  <c r="D24" i="6" s="1"/>
  <c r="I23" i="6"/>
  <c r="H23" i="6"/>
  <c r="G23" i="6"/>
  <c r="E23" i="6"/>
  <c r="D23" i="6"/>
  <c r="C23" i="6"/>
  <c r="B23" i="6"/>
  <c r="I22" i="6"/>
  <c r="G22" i="6"/>
  <c r="E22" i="6"/>
  <c r="B22" i="6"/>
  <c r="C22" i="6" s="1"/>
  <c r="D22" i="6" s="1"/>
  <c r="H22" i="6" s="1"/>
  <c r="G21" i="6"/>
  <c r="E21" i="6"/>
  <c r="C21" i="6"/>
  <c r="D21" i="6" s="1"/>
  <c r="B21" i="6"/>
  <c r="G20" i="6"/>
  <c r="E20" i="6"/>
  <c r="B20" i="6"/>
  <c r="C20" i="6" s="1"/>
  <c r="D20" i="6" s="1"/>
  <c r="H20" i="6" s="1"/>
  <c r="G19" i="6"/>
  <c r="E19" i="6"/>
  <c r="D19" i="6"/>
  <c r="H19" i="6" s="1"/>
  <c r="C19" i="6"/>
  <c r="B19" i="6"/>
  <c r="G18" i="6"/>
  <c r="E18" i="6"/>
  <c r="B18" i="6"/>
  <c r="C18" i="6" s="1"/>
  <c r="D18" i="6" s="1"/>
  <c r="H18" i="6" s="1"/>
  <c r="G17" i="6"/>
  <c r="E17" i="6"/>
  <c r="D17" i="6"/>
  <c r="C17" i="6"/>
  <c r="B17" i="6"/>
  <c r="G16" i="6"/>
  <c r="E16" i="6"/>
  <c r="B16" i="6"/>
  <c r="C16" i="6" s="1"/>
  <c r="D16" i="6" s="1"/>
  <c r="H15" i="6"/>
  <c r="J15" i="6" s="1"/>
  <c r="K15" i="6" s="1"/>
  <c r="L15" i="6" s="1"/>
  <c r="G15" i="6"/>
  <c r="E15" i="6"/>
  <c r="D15" i="6"/>
  <c r="I15" i="6" s="1"/>
  <c r="C15" i="6"/>
  <c r="B15" i="6"/>
  <c r="I14" i="6"/>
  <c r="J14" i="6" s="1"/>
  <c r="K14" i="6" s="1"/>
  <c r="L14" i="6" s="1"/>
  <c r="G14" i="6"/>
  <c r="E14" i="6"/>
  <c r="B14" i="6"/>
  <c r="C14" i="6" s="1"/>
  <c r="D14" i="6" s="1"/>
  <c r="H14" i="6" s="1"/>
  <c r="G13" i="6"/>
  <c r="E13" i="6"/>
  <c r="C13" i="6"/>
  <c r="D13" i="6" s="1"/>
  <c r="B13" i="6"/>
  <c r="G12" i="6"/>
  <c r="E12" i="6"/>
  <c r="I12" i="6" s="1"/>
  <c r="B12" i="6"/>
  <c r="C12" i="6" s="1"/>
  <c r="D12" i="6" s="1"/>
  <c r="H12" i="6" s="1"/>
  <c r="I11" i="6"/>
  <c r="G11" i="6"/>
  <c r="E11" i="6"/>
  <c r="D11" i="6"/>
  <c r="H11" i="6" s="1"/>
  <c r="C11" i="6"/>
  <c r="B11" i="6"/>
  <c r="I10" i="6"/>
  <c r="J10" i="6" s="1"/>
  <c r="K10" i="6" s="1"/>
  <c r="L10" i="6" s="1"/>
  <c r="G10" i="6"/>
  <c r="E10" i="6"/>
  <c r="B10" i="6"/>
  <c r="C10" i="6" s="1"/>
  <c r="D10" i="6" s="1"/>
  <c r="H10" i="6" s="1"/>
  <c r="G9" i="6"/>
  <c r="E9" i="6"/>
  <c r="C9" i="6"/>
  <c r="D9" i="6" s="1"/>
  <c r="B9" i="6"/>
  <c r="G8" i="6"/>
  <c r="E8" i="6"/>
  <c r="D8" i="6"/>
  <c r="C8" i="6"/>
  <c r="B8" i="6"/>
  <c r="I7" i="6"/>
  <c r="G7" i="6"/>
  <c r="F7" i="6"/>
  <c r="E7" i="6"/>
  <c r="C7" i="6"/>
  <c r="D7" i="6" s="1"/>
  <c r="H7" i="6" s="1"/>
  <c r="B7" i="6"/>
  <c r="G6" i="6"/>
  <c r="E6" i="6"/>
  <c r="B6" i="6"/>
  <c r="C6" i="6" s="1"/>
  <c r="D6" i="6" s="1"/>
  <c r="H5" i="6"/>
  <c r="G5" i="6"/>
  <c r="E5" i="6"/>
  <c r="I5" i="6" s="1"/>
  <c r="J5" i="6" s="1"/>
  <c r="K5" i="6" s="1"/>
  <c r="L5" i="6" s="1"/>
  <c r="C5" i="6"/>
  <c r="D5" i="6" s="1"/>
  <c r="B5" i="6"/>
  <c r="G4" i="6"/>
  <c r="E4" i="6"/>
  <c r="B4" i="6"/>
  <c r="C4" i="6" s="1"/>
  <c r="C2" i="6"/>
  <c r="I543" i="5"/>
  <c r="N543" i="6" s="1"/>
  <c r="F543" i="5"/>
  <c r="E543" i="5"/>
  <c r="C543" i="5"/>
  <c r="B543" i="5"/>
  <c r="J542" i="5"/>
  <c r="O542" i="6" s="1"/>
  <c r="I542" i="5"/>
  <c r="N542" i="6" s="1"/>
  <c r="D542" i="5"/>
  <c r="C542" i="5"/>
  <c r="B542" i="5"/>
  <c r="I541" i="5"/>
  <c r="N541" i="6" s="1"/>
  <c r="C541" i="5"/>
  <c r="B541" i="5"/>
  <c r="I540" i="5"/>
  <c r="N540" i="6" s="1"/>
  <c r="E540" i="5"/>
  <c r="D540" i="5"/>
  <c r="C540" i="5"/>
  <c r="B540" i="5"/>
  <c r="I539" i="5"/>
  <c r="N539" i="6" s="1"/>
  <c r="C539" i="5"/>
  <c r="G539" i="5" s="1"/>
  <c r="B539" i="5"/>
  <c r="J538" i="5"/>
  <c r="O538" i="6" s="1"/>
  <c r="G538" i="5"/>
  <c r="E538" i="5"/>
  <c r="C538" i="5"/>
  <c r="F538" i="5" s="1"/>
  <c r="B538" i="5"/>
  <c r="I538" i="5" s="1"/>
  <c r="N538" i="6" s="1"/>
  <c r="I537" i="5"/>
  <c r="G537" i="5"/>
  <c r="E537" i="5"/>
  <c r="D537" i="5"/>
  <c r="H537" i="5" s="1"/>
  <c r="C537" i="5"/>
  <c r="F537" i="5" s="1"/>
  <c r="B537" i="5"/>
  <c r="J536" i="5"/>
  <c r="O536" i="6" s="1"/>
  <c r="I536" i="5"/>
  <c r="N536" i="6" s="1"/>
  <c r="G536" i="5"/>
  <c r="F536" i="5"/>
  <c r="E536" i="5"/>
  <c r="H536" i="5" s="1"/>
  <c r="D536" i="5"/>
  <c r="B536" i="5"/>
  <c r="C536" i="5" s="1"/>
  <c r="J535" i="5"/>
  <c r="O535" i="6" s="1"/>
  <c r="I535" i="5"/>
  <c r="N535" i="6" s="1"/>
  <c r="C535" i="5"/>
  <c r="B535" i="5"/>
  <c r="I534" i="5"/>
  <c r="C534" i="5"/>
  <c r="D534" i="5" s="1"/>
  <c r="B534" i="5"/>
  <c r="J533" i="5"/>
  <c r="O533" i="6" s="1"/>
  <c r="I533" i="5"/>
  <c r="N533" i="6" s="1"/>
  <c r="D533" i="5"/>
  <c r="C533" i="5"/>
  <c r="B533" i="5"/>
  <c r="I532" i="5"/>
  <c r="N532" i="6" s="1"/>
  <c r="C532" i="5"/>
  <c r="B532" i="5"/>
  <c r="I531" i="5"/>
  <c r="G531" i="5"/>
  <c r="E531" i="5"/>
  <c r="H531" i="5" s="1"/>
  <c r="D531" i="5"/>
  <c r="C531" i="5"/>
  <c r="F531" i="5" s="1"/>
  <c r="B531" i="5"/>
  <c r="J530" i="5"/>
  <c r="O530" i="6" s="1"/>
  <c r="C530" i="5"/>
  <c r="D530" i="5" s="1"/>
  <c r="B530" i="5"/>
  <c r="I530" i="5" s="1"/>
  <c r="N530" i="6" s="1"/>
  <c r="I529" i="5"/>
  <c r="C529" i="5"/>
  <c r="B529" i="5"/>
  <c r="I528" i="5"/>
  <c r="G528" i="5"/>
  <c r="F528" i="5"/>
  <c r="E528" i="5"/>
  <c r="D528" i="5"/>
  <c r="B528" i="5"/>
  <c r="C528" i="5" s="1"/>
  <c r="I527" i="5"/>
  <c r="F527" i="5"/>
  <c r="E527" i="5"/>
  <c r="C527" i="5"/>
  <c r="B527" i="5"/>
  <c r="J526" i="5"/>
  <c r="O526" i="6" s="1"/>
  <c r="I526" i="5"/>
  <c r="N526" i="6" s="1"/>
  <c r="C526" i="5"/>
  <c r="B526" i="5"/>
  <c r="J525" i="5"/>
  <c r="O525" i="6" s="1"/>
  <c r="I525" i="5"/>
  <c r="N525" i="6" s="1"/>
  <c r="E525" i="5"/>
  <c r="H525" i="5" s="1"/>
  <c r="D525" i="5"/>
  <c r="C525" i="5"/>
  <c r="B525" i="5"/>
  <c r="J524" i="5"/>
  <c r="O524" i="6" s="1"/>
  <c r="I524" i="5"/>
  <c r="N524" i="6" s="1"/>
  <c r="C524" i="5"/>
  <c r="D524" i="5" s="1"/>
  <c r="B524" i="5"/>
  <c r="I523" i="5"/>
  <c r="N523" i="6" s="1"/>
  <c r="C523" i="5"/>
  <c r="B523" i="5"/>
  <c r="J522" i="5"/>
  <c r="O522" i="6" s="1"/>
  <c r="G522" i="5"/>
  <c r="E522" i="5"/>
  <c r="D522" i="5"/>
  <c r="H522" i="5" s="1"/>
  <c r="C522" i="5"/>
  <c r="F522" i="5" s="1"/>
  <c r="B522" i="5"/>
  <c r="I522" i="5" s="1"/>
  <c r="N522" i="6" s="1"/>
  <c r="I521" i="5"/>
  <c r="C521" i="5"/>
  <c r="G521" i="5" s="1"/>
  <c r="B521" i="5"/>
  <c r="J520" i="5"/>
  <c r="O520" i="6" s="1"/>
  <c r="I520" i="5"/>
  <c r="N520" i="6" s="1"/>
  <c r="H520" i="5"/>
  <c r="G520" i="5"/>
  <c r="F520" i="5"/>
  <c r="E520" i="5"/>
  <c r="D520" i="5"/>
  <c r="B520" i="5"/>
  <c r="C520" i="5" s="1"/>
  <c r="J519" i="5"/>
  <c r="O519" i="6" s="1"/>
  <c r="I519" i="5"/>
  <c r="N519" i="6" s="1"/>
  <c r="F519" i="5"/>
  <c r="C519" i="5"/>
  <c r="B519" i="5"/>
  <c r="I518" i="5"/>
  <c r="C518" i="5"/>
  <c r="B518" i="5"/>
  <c r="J517" i="5"/>
  <c r="O517" i="6" s="1"/>
  <c r="I517" i="5"/>
  <c r="N517" i="6" s="1"/>
  <c r="C517" i="5"/>
  <c r="B517" i="5"/>
  <c r="I516" i="5"/>
  <c r="N516" i="6" s="1"/>
  <c r="C516" i="5"/>
  <c r="E516" i="5" s="1"/>
  <c r="B516" i="5"/>
  <c r="J515" i="5"/>
  <c r="O515" i="6" s="1"/>
  <c r="I515" i="5"/>
  <c r="N515" i="6" s="1"/>
  <c r="C515" i="5"/>
  <c r="B515" i="5"/>
  <c r="J514" i="5"/>
  <c r="O514" i="6" s="1"/>
  <c r="G514" i="5"/>
  <c r="E514" i="5"/>
  <c r="C514" i="5"/>
  <c r="B514" i="5"/>
  <c r="I514" i="5" s="1"/>
  <c r="N514" i="6" s="1"/>
  <c r="I513" i="5"/>
  <c r="G513" i="5"/>
  <c r="E513" i="5"/>
  <c r="D513" i="5"/>
  <c r="C513" i="5"/>
  <c r="F513" i="5" s="1"/>
  <c r="B513" i="5"/>
  <c r="I512" i="5"/>
  <c r="G512" i="5"/>
  <c r="F512" i="5"/>
  <c r="E512" i="5"/>
  <c r="H512" i="5" s="1"/>
  <c r="D512" i="5"/>
  <c r="B512" i="5"/>
  <c r="C512" i="5" s="1"/>
  <c r="I511" i="5"/>
  <c r="E511" i="5"/>
  <c r="C511" i="5"/>
  <c r="F511" i="5" s="1"/>
  <c r="B511" i="5"/>
  <c r="I510" i="5"/>
  <c r="N510" i="6" s="1"/>
  <c r="C510" i="5"/>
  <c r="D510" i="5" s="1"/>
  <c r="B510" i="5"/>
  <c r="I509" i="5"/>
  <c r="E509" i="5"/>
  <c r="D509" i="5"/>
  <c r="C509" i="5"/>
  <c r="B509" i="5"/>
  <c r="J508" i="5"/>
  <c r="O508" i="6" s="1"/>
  <c r="I508" i="5"/>
  <c r="N508" i="6" s="1"/>
  <c r="C508" i="5"/>
  <c r="B508" i="5"/>
  <c r="J507" i="5"/>
  <c r="O507" i="6" s="1"/>
  <c r="I507" i="5"/>
  <c r="N507" i="6" s="1"/>
  <c r="E507" i="5"/>
  <c r="D507" i="5"/>
  <c r="C507" i="5"/>
  <c r="B507" i="5"/>
  <c r="J506" i="5"/>
  <c r="O506" i="6" s="1"/>
  <c r="D506" i="5"/>
  <c r="C506" i="5"/>
  <c r="B506" i="5"/>
  <c r="I506" i="5" s="1"/>
  <c r="N506" i="6" s="1"/>
  <c r="I505" i="5"/>
  <c r="G505" i="5"/>
  <c r="C505" i="5"/>
  <c r="D505" i="5" s="1"/>
  <c r="B505" i="5"/>
  <c r="J504" i="5"/>
  <c r="O504" i="6" s="1"/>
  <c r="I504" i="5"/>
  <c r="N504" i="6" s="1"/>
  <c r="G504" i="5"/>
  <c r="F504" i="5"/>
  <c r="E504" i="5"/>
  <c r="H504" i="5" s="1"/>
  <c r="D504" i="5"/>
  <c r="B504" i="5"/>
  <c r="C504" i="5" s="1"/>
  <c r="J503" i="5"/>
  <c r="O503" i="6" s="1"/>
  <c r="I503" i="5"/>
  <c r="N503" i="6" s="1"/>
  <c r="C503" i="5"/>
  <c r="B503" i="5"/>
  <c r="J502" i="5"/>
  <c r="O502" i="6" s="1"/>
  <c r="I502" i="5"/>
  <c r="N502" i="6" s="1"/>
  <c r="G502" i="5"/>
  <c r="D502" i="5"/>
  <c r="C502" i="5"/>
  <c r="B502" i="5"/>
  <c r="I501" i="5"/>
  <c r="C501" i="5"/>
  <c r="B501" i="5"/>
  <c r="I500" i="5"/>
  <c r="N500" i="6" s="1"/>
  <c r="F500" i="5"/>
  <c r="C500" i="5"/>
  <c r="B500" i="5"/>
  <c r="I499" i="5"/>
  <c r="G499" i="5"/>
  <c r="F499" i="5"/>
  <c r="D499" i="5"/>
  <c r="C499" i="5"/>
  <c r="E499" i="5" s="1"/>
  <c r="B499" i="5"/>
  <c r="J498" i="5"/>
  <c r="O498" i="6" s="1"/>
  <c r="G498" i="5"/>
  <c r="F498" i="5"/>
  <c r="D498" i="5"/>
  <c r="C498" i="5"/>
  <c r="E498" i="5" s="1"/>
  <c r="B498" i="5"/>
  <c r="I498" i="5" s="1"/>
  <c r="N498" i="6" s="1"/>
  <c r="I497" i="5"/>
  <c r="F497" i="5"/>
  <c r="D497" i="5"/>
  <c r="C497" i="5"/>
  <c r="B497" i="5"/>
  <c r="I496" i="5"/>
  <c r="N496" i="6" s="1"/>
  <c r="G496" i="5"/>
  <c r="F496" i="5"/>
  <c r="E496" i="5"/>
  <c r="H496" i="5" s="1"/>
  <c r="D496" i="5"/>
  <c r="B496" i="5"/>
  <c r="C496" i="5" s="1"/>
  <c r="I495" i="5"/>
  <c r="N495" i="6" s="1"/>
  <c r="E495" i="5"/>
  <c r="C495" i="5"/>
  <c r="B495" i="5"/>
  <c r="J494" i="5"/>
  <c r="O494" i="6" s="1"/>
  <c r="I494" i="5"/>
  <c r="N494" i="6" s="1"/>
  <c r="C494" i="5"/>
  <c r="G494" i="5" s="1"/>
  <c r="B494" i="5"/>
  <c r="J493" i="5"/>
  <c r="O493" i="6" s="1"/>
  <c r="I493" i="5"/>
  <c r="N493" i="6" s="1"/>
  <c r="G493" i="5"/>
  <c r="D493" i="5"/>
  <c r="C493" i="5"/>
  <c r="B493" i="5"/>
  <c r="J492" i="5"/>
  <c r="O492" i="6" s="1"/>
  <c r="I492" i="5"/>
  <c r="N492" i="6" s="1"/>
  <c r="C492" i="5"/>
  <c r="B492" i="5"/>
  <c r="I491" i="5"/>
  <c r="N491" i="6" s="1"/>
  <c r="G491" i="5"/>
  <c r="F491" i="5"/>
  <c r="C491" i="5"/>
  <c r="E491" i="5" s="1"/>
  <c r="B491" i="5"/>
  <c r="J490" i="5"/>
  <c r="O490" i="6" s="1"/>
  <c r="H490" i="5"/>
  <c r="G490" i="5"/>
  <c r="F490" i="5"/>
  <c r="D490" i="5"/>
  <c r="C490" i="5"/>
  <c r="E490" i="5" s="1"/>
  <c r="B490" i="5"/>
  <c r="I490" i="5" s="1"/>
  <c r="N490" i="6" s="1"/>
  <c r="I489" i="5"/>
  <c r="G489" i="5"/>
  <c r="F489" i="5"/>
  <c r="E489" i="5"/>
  <c r="D489" i="5"/>
  <c r="C489" i="5"/>
  <c r="B489" i="5"/>
  <c r="J488" i="5"/>
  <c r="O488" i="6" s="1"/>
  <c r="I488" i="5"/>
  <c r="N488" i="6" s="1"/>
  <c r="G488" i="5"/>
  <c r="F488" i="5"/>
  <c r="E488" i="5"/>
  <c r="H488" i="5" s="1"/>
  <c r="D488" i="5"/>
  <c r="B488" i="5"/>
  <c r="C488" i="5" s="1"/>
  <c r="J487" i="5"/>
  <c r="O487" i="6" s="1"/>
  <c r="I487" i="5"/>
  <c r="N487" i="6" s="1"/>
  <c r="G487" i="5"/>
  <c r="F487" i="5"/>
  <c r="E487" i="5"/>
  <c r="H487" i="5" s="1"/>
  <c r="C487" i="5"/>
  <c r="D487" i="5" s="1"/>
  <c r="B487" i="5"/>
  <c r="J486" i="5"/>
  <c r="O486" i="6" s="1"/>
  <c r="I486" i="5"/>
  <c r="N486" i="6" s="1"/>
  <c r="G486" i="5"/>
  <c r="F486" i="5"/>
  <c r="D486" i="5"/>
  <c r="H486" i="5" s="1"/>
  <c r="C486" i="5"/>
  <c r="E486" i="5" s="1"/>
  <c r="B486" i="5"/>
  <c r="J485" i="5"/>
  <c r="O485" i="6" s="1"/>
  <c r="I485" i="5"/>
  <c r="N485" i="6" s="1"/>
  <c r="G485" i="5"/>
  <c r="E485" i="5"/>
  <c r="D485" i="5"/>
  <c r="C485" i="5"/>
  <c r="F485" i="5" s="1"/>
  <c r="B485" i="5"/>
  <c r="J484" i="5"/>
  <c r="O484" i="6" s="1"/>
  <c r="I484" i="5"/>
  <c r="N484" i="6" s="1"/>
  <c r="F484" i="5"/>
  <c r="E484" i="5"/>
  <c r="H484" i="5" s="1"/>
  <c r="D484" i="5"/>
  <c r="C484" i="5"/>
  <c r="G484" i="5" s="1"/>
  <c r="B484" i="5"/>
  <c r="J483" i="5"/>
  <c r="O483" i="6" s="1"/>
  <c r="I483" i="5"/>
  <c r="N483" i="6" s="1"/>
  <c r="G483" i="5"/>
  <c r="F483" i="5"/>
  <c r="E483" i="5"/>
  <c r="H483" i="5" s="1"/>
  <c r="D483" i="5"/>
  <c r="C483" i="5"/>
  <c r="B483" i="5"/>
  <c r="J482" i="5"/>
  <c r="O482" i="6" s="1"/>
  <c r="G482" i="5"/>
  <c r="F482" i="5"/>
  <c r="E482" i="5"/>
  <c r="D482" i="5"/>
  <c r="C482" i="5"/>
  <c r="B482" i="5"/>
  <c r="I482" i="5" s="1"/>
  <c r="N482" i="6" s="1"/>
  <c r="I481" i="5"/>
  <c r="G481" i="5"/>
  <c r="F481" i="5"/>
  <c r="E481" i="5"/>
  <c r="D481" i="5"/>
  <c r="C481" i="5"/>
  <c r="B481" i="5"/>
  <c r="J480" i="5"/>
  <c r="O480" i="6" s="1"/>
  <c r="I480" i="5"/>
  <c r="N480" i="6" s="1"/>
  <c r="G480" i="5"/>
  <c r="F480" i="5"/>
  <c r="E480" i="5"/>
  <c r="H480" i="5" s="1"/>
  <c r="D480" i="5"/>
  <c r="B480" i="5"/>
  <c r="C480" i="5" s="1"/>
  <c r="J479" i="5"/>
  <c r="O479" i="6" s="1"/>
  <c r="I479" i="5"/>
  <c r="N479" i="6" s="1"/>
  <c r="G479" i="5"/>
  <c r="F479" i="5"/>
  <c r="E479" i="5"/>
  <c r="H479" i="5" s="1"/>
  <c r="C479" i="5"/>
  <c r="D479" i="5" s="1"/>
  <c r="B479" i="5"/>
  <c r="J478" i="5"/>
  <c r="O478" i="6" s="1"/>
  <c r="I478" i="5"/>
  <c r="N478" i="6" s="1"/>
  <c r="G478" i="5"/>
  <c r="F478" i="5"/>
  <c r="D478" i="5"/>
  <c r="H478" i="5" s="1"/>
  <c r="C478" i="5"/>
  <c r="E478" i="5" s="1"/>
  <c r="B478" i="5"/>
  <c r="J477" i="5"/>
  <c r="O477" i="6" s="1"/>
  <c r="I477" i="5"/>
  <c r="N477" i="6" s="1"/>
  <c r="G477" i="5"/>
  <c r="E477" i="5"/>
  <c r="H477" i="5" s="1"/>
  <c r="D477" i="5"/>
  <c r="C477" i="5"/>
  <c r="F477" i="5" s="1"/>
  <c r="B477" i="5"/>
  <c r="J476" i="5"/>
  <c r="O476" i="6" s="1"/>
  <c r="I476" i="5"/>
  <c r="N476" i="6" s="1"/>
  <c r="F476" i="5"/>
  <c r="E476" i="5"/>
  <c r="H476" i="5" s="1"/>
  <c r="D476" i="5"/>
  <c r="C476" i="5"/>
  <c r="G476" i="5" s="1"/>
  <c r="B476" i="5"/>
  <c r="J475" i="5"/>
  <c r="O475" i="6" s="1"/>
  <c r="I475" i="5"/>
  <c r="N475" i="6" s="1"/>
  <c r="G475" i="5"/>
  <c r="F475" i="5"/>
  <c r="E475" i="5"/>
  <c r="D475" i="5"/>
  <c r="C475" i="5"/>
  <c r="B475" i="5"/>
  <c r="J474" i="5"/>
  <c r="O474" i="6" s="1"/>
  <c r="G474" i="5"/>
  <c r="F474" i="5"/>
  <c r="E474" i="5"/>
  <c r="H474" i="5" s="1"/>
  <c r="D474" i="5"/>
  <c r="C474" i="5"/>
  <c r="B474" i="5"/>
  <c r="I474" i="5" s="1"/>
  <c r="N474" i="6" s="1"/>
  <c r="I473" i="5"/>
  <c r="G473" i="5"/>
  <c r="F473" i="5"/>
  <c r="E473" i="5"/>
  <c r="D473" i="5"/>
  <c r="C473" i="5"/>
  <c r="B473" i="5"/>
  <c r="J472" i="5"/>
  <c r="O472" i="6" s="1"/>
  <c r="I472" i="5"/>
  <c r="N472" i="6" s="1"/>
  <c r="G472" i="5"/>
  <c r="F472" i="5"/>
  <c r="E472" i="5"/>
  <c r="H472" i="5" s="1"/>
  <c r="D472" i="5"/>
  <c r="B472" i="5"/>
  <c r="C472" i="5" s="1"/>
  <c r="J471" i="5"/>
  <c r="O471" i="6" s="1"/>
  <c r="I471" i="5"/>
  <c r="N471" i="6" s="1"/>
  <c r="G471" i="5"/>
  <c r="F471" i="5"/>
  <c r="E471" i="5"/>
  <c r="H471" i="5" s="1"/>
  <c r="C471" i="5"/>
  <c r="D471" i="5" s="1"/>
  <c r="B471" i="5"/>
  <c r="J470" i="5"/>
  <c r="O470" i="6" s="1"/>
  <c r="I470" i="5"/>
  <c r="N470" i="6" s="1"/>
  <c r="G470" i="5"/>
  <c r="F470" i="5"/>
  <c r="D470" i="5"/>
  <c r="H470" i="5" s="1"/>
  <c r="C470" i="5"/>
  <c r="E470" i="5" s="1"/>
  <c r="B470" i="5"/>
  <c r="J469" i="5"/>
  <c r="O469" i="6" s="1"/>
  <c r="I469" i="5"/>
  <c r="N469" i="6" s="1"/>
  <c r="G469" i="5"/>
  <c r="E469" i="5"/>
  <c r="D469" i="5"/>
  <c r="H469" i="5" s="1"/>
  <c r="C469" i="5"/>
  <c r="F469" i="5" s="1"/>
  <c r="B469" i="5"/>
  <c r="J468" i="5"/>
  <c r="O468" i="6" s="1"/>
  <c r="I468" i="5"/>
  <c r="N468" i="6" s="1"/>
  <c r="F468" i="5"/>
  <c r="E468" i="5"/>
  <c r="D468" i="5"/>
  <c r="H468" i="5" s="1"/>
  <c r="C468" i="5"/>
  <c r="G468" i="5" s="1"/>
  <c r="B468" i="5"/>
  <c r="J467" i="5"/>
  <c r="O467" i="6" s="1"/>
  <c r="I467" i="5"/>
  <c r="N467" i="6" s="1"/>
  <c r="G467" i="5"/>
  <c r="F467" i="5"/>
  <c r="E467" i="5"/>
  <c r="D467" i="5"/>
  <c r="C467" i="5"/>
  <c r="B467" i="5"/>
  <c r="J466" i="5"/>
  <c r="O466" i="6" s="1"/>
  <c r="G466" i="5"/>
  <c r="F466" i="5"/>
  <c r="E466" i="5"/>
  <c r="H466" i="5" s="1"/>
  <c r="D466" i="5"/>
  <c r="C466" i="5"/>
  <c r="B466" i="5"/>
  <c r="I466" i="5" s="1"/>
  <c r="N466" i="6" s="1"/>
  <c r="I465" i="5"/>
  <c r="G465" i="5"/>
  <c r="F465" i="5"/>
  <c r="E465" i="5"/>
  <c r="D465" i="5"/>
  <c r="C465" i="5"/>
  <c r="B465" i="5"/>
  <c r="J464" i="5"/>
  <c r="O464" i="6" s="1"/>
  <c r="I464" i="5"/>
  <c r="N464" i="6" s="1"/>
  <c r="H464" i="5"/>
  <c r="G464" i="5"/>
  <c r="F464" i="5"/>
  <c r="E464" i="5"/>
  <c r="D464" i="5"/>
  <c r="B464" i="5"/>
  <c r="C464" i="5" s="1"/>
  <c r="J463" i="5"/>
  <c r="O463" i="6" s="1"/>
  <c r="I463" i="5"/>
  <c r="N463" i="6" s="1"/>
  <c r="H463" i="5"/>
  <c r="G463" i="5"/>
  <c r="F463" i="5"/>
  <c r="E463" i="5"/>
  <c r="C463" i="5"/>
  <c r="D463" i="5" s="1"/>
  <c r="B463" i="5"/>
  <c r="J462" i="5"/>
  <c r="O462" i="6" s="1"/>
  <c r="I462" i="5"/>
  <c r="N462" i="6" s="1"/>
  <c r="H462" i="5"/>
  <c r="G462" i="5"/>
  <c r="F462" i="5"/>
  <c r="D462" i="5"/>
  <c r="C462" i="5"/>
  <c r="E462" i="5" s="1"/>
  <c r="B462" i="5"/>
  <c r="J461" i="5"/>
  <c r="O461" i="6" s="1"/>
  <c r="I461" i="5"/>
  <c r="N461" i="6" s="1"/>
  <c r="H461" i="5"/>
  <c r="G461" i="5"/>
  <c r="E461" i="5"/>
  <c r="D461" i="5"/>
  <c r="C461" i="5"/>
  <c r="F461" i="5" s="1"/>
  <c r="B461" i="5"/>
  <c r="J460" i="5"/>
  <c r="O460" i="6" s="1"/>
  <c r="I460" i="5"/>
  <c r="N460" i="6" s="1"/>
  <c r="H460" i="5"/>
  <c r="F460" i="5"/>
  <c r="E460" i="5"/>
  <c r="D460" i="5"/>
  <c r="C460" i="5"/>
  <c r="G460" i="5" s="1"/>
  <c r="B460" i="5"/>
  <c r="J459" i="5"/>
  <c r="O459" i="6" s="1"/>
  <c r="I459" i="5"/>
  <c r="N459" i="6" s="1"/>
  <c r="G459" i="5"/>
  <c r="F459" i="5"/>
  <c r="E459" i="5"/>
  <c r="D459" i="5"/>
  <c r="C459" i="5"/>
  <c r="B459" i="5"/>
  <c r="J458" i="5"/>
  <c r="O458" i="6" s="1"/>
  <c r="G458" i="5"/>
  <c r="F458" i="5"/>
  <c r="E458" i="5"/>
  <c r="H458" i="5" s="1"/>
  <c r="D458" i="5"/>
  <c r="C458" i="5"/>
  <c r="B458" i="5"/>
  <c r="I458" i="5" s="1"/>
  <c r="N458" i="6" s="1"/>
  <c r="I457" i="5"/>
  <c r="G457" i="5"/>
  <c r="F457" i="5"/>
  <c r="E457" i="5"/>
  <c r="H457" i="5" s="1"/>
  <c r="D457" i="5"/>
  <c r="C457" i="5"/>
  <c r="B457" i="5"/>
  <c r="J456" i="5"/>
  <c r="O456" i="6" s="1"/>
  <c r="I456" i="5"/>
  <c r="N456" i="6" s="1"/>
  <c r="G456" i="5"/>
  <c r="F456" i="5"/>
  <c r="E456" i="5"/>
  <c r="H456" i="5" s="1"/>
  <c r="D456" i="5"/>
  <c r="B456" i="5"/>
  <c r="C456" i="5" s="1"/>
  <c r="J455" i="5"/>
  <c r="O455" i="6" s="1"/>
  <c r="I455" i="5"/>
  <c r="N455" i="6" s="1"/>
  <c r="G455" i="5"/>
  <c r="F455" i="5"/>
  <c r="E455" i="5"/>
  <c r="H455" i="5" s="1"/>
  <c r="C455" i="5"/>
  <c r="D455" i="5" s="1"/>
  <c r="B455" i="5"/>
  <c r="J454" i="5"/>
  <c r="O454" i="6" s="1"/>
  <c r="I454" i="5"/>
  <c r="N454" i="6" s="1"/>
  <c r="G454" i="5"/>
  <c r="F454" i="5"/>
  <c r="D454" i="5"/>
  <c r="H454" i="5" s="1"/>
  <c r="C454" i="5"/>
  <c r="E454" i="5" s="1"/>
  <c r="B454" i="5"/>
  <c r="J453" i="5"/>
  <c r="O453" i="6" s="1"/>
  <c r="I453" i="5"/>
  <c r="N453" i="6" s="1"/>
  <c r="G453" i="5"/>
  <c r="E453" i="5"/>
  <c r="H453" i="5" s="1"/>
  <c r="D453" i="5"/>
  <c r="C453" i="5"/>
  <c r="F453" i="5" s="1"/>
  <c r="B453" i="5"/>
  <c r="J452" i="5"/>
  <c r="O452" i="6" s="1"/>
  <c r="I452" i="5"/>
  <c r="N452" i="6" s="1"/>
  <c r="F452" i="5"/>
  <c r="E452" i="5"/>
  <c r="D452" i="5"/>
  <c r="C452" i="5"/>
  <c r="G452" i="5" s="1"/>
  <c r="B452" i="5"/>
  <c r="J451" i="5"/>
  <c r="O451" i="6" s="1"/>
  <c r="I451" i="5"/>
  <c r="N451" i="6" s="1"/>
  <c r="G451" i="5"/>
  <c r="F451" i="5"/>
  <c r="E451" i="5"/>
  <c r="D451" i="5"/>
  <c r="C451" i="5"/>
  <c r="B451" i="5"/>
  <c r="J450" i="5"/>
  <c r="O450" i="6" s="1"/>
  <c r="G450" i="5"/>
  <c r="F450" i="5"/>
  <c r="E450" i="5"/>
  <c r="D450" i="5"/>
  <c r="C450" i="5"/>
  <c r="B450" i="5"/>
  <c r="I450" i="5" s="1"/>
  <c r="N450" i="6" s="1"/>
  <c r="I449" i="5"/>
  <c r="G449" i="5"/>
  <c r="F449" i="5"/>
  <c r="E449" i="5"/>
  <c r="D449" i="5"/>
  <c r="C449" i="5"/>
  <c r="B449" i="5"/>
  <c r="J448" i="5"/>
  <c r="O448" i="6" s="1"/>
  <c r="I448" i="5"/>
  <c r="N448" i="6" s="1"/>
  <c r="G448" i="5"/>
  <c r="F448" i="5"/>
  <c r="E448" i="5"/>
  <c r="H448" i="5" s="1"/>
  <c r="D448" i="5"/>
  <c r="B448" i="5"/>
  <c r="C448" i="5" s="1"/>
  <c r="J447" i="5"/>
  <c r="O447" i="6" s="1"/>
  <c r="I447" i="5"/>
  <c r="N447" i="6" s="1"/>
  <c r="G447" i="5"/>
  <c r="F447" i="5"/>
  <c r="E447" i="5"/>
  <c r="H447" i="5" s="1"/>
  <c r="C447" i="5"/>
  <c r="D447" i="5" s="1"/>
  <c r="B447" i="5"/>
  <c r="J446" i="5"/>
  <c r="O446" i="6" s="1"/>
  <c r="I446" i="5"/>
  <c r="N446" i="6" s="1"/>
  <c r="G446" i="5"/>
  <c r="F446" i="5"/>
  <c r="D446" i="5"/>
  <c r="H446" i="5" s="1"/>
  <c r="C446" i="5"/>
  <c r="E446" i="5" s="1"/>
  <c r="B446" i="5"/>
  <c r="J445" i="5"/>
  <c r="O445" i="6" s="1"/>
  <c r="I445" i="5"/>
  <c r="N445" i="6" s="1"/>
  <c r="G445" i="5"/>
  <c r="E445" i="5"/>
  <c r="H445" i="5" s="1"/>
  <c r="D445" i="5"/>
  <c r="C445" i="5"/>
  <c r="F445" i="5" s="1"/>
  <c r="B445" i="5"/>
  <c r="J444" i="5"/>
  <c r="O444" i="6" s="1"/>
  <c r="I444" i="5"/>
  <c r="N444" i="6" s="1"/>
  <c r="F444" i="5"/>
  <c r="E444" i="5"/>
  <c r="H444" i="5" s="1"/>
  <c r="D444" i="5"/>
  <c r="C444" i="5"/>
  <c r="G444" i="5" s="1"/>
  <c r="B444" i="5"/>
  <c r="J443" i="5"/>
  <c r="O443" i="6" s="1"/>
  <c r="I443" i="5"/>
  <c r="N443" i="6" s="1"/>
  <c r="G443" i="5"/>
  <c r="F443" i="5"/>
  <c r="E443" i="5"/>
  <c r="D443" i="5"/>
  <c r="C443" i="5"/>
  <c r="B443" i="5"/>
  <c r="J442" i="5"/>
  <c r="O442" i="6" s="1"/>
  <c r="G442" i="5"/>
  <c r="F442" i="5"/>
  <c r="E442" i="5"/>
  <c r="H442" i="5" s="1"/>
  <c r="D442" i="5"/>
  <c r="C442" i="5"/>
  <c r="B442" i="5"/>
  <c r="I442" i="5" s="1"/>
  <c r="N442" i="6" s="1"/>
  <c r="I441" i="5"/>
  <c r="G441" i="5"/>
  <c r="F441" i="5"/>
  <c r="E441" i="5"/>
  <c r="D441" i="5"/>
  <c r="C441" i="5"/>
  <c r="B441" i="5"/>
  <c r="J440" i="5"/>
  <c r="O440" i="6" s="1"/>
  <c r="I440" i="5"/>
  <c r="N440" i="6" s="1"/>
  <c r="G440" i="5"/>
  <c r="F440" i="5"/>
  <c r="E440" i="5"/>
  <c r="H440" i="5" s="1"/>
  <c r="D440" i="5"/>
  <c r="B440" i="5"/>
  <c r="C440" i="5" s="1"/>
  <c r="J439" i="5"/>
  <c r="O439" i="6" s="1"/>
  <c r="I439" i="5"/>
  <c r="N439" i="6" s="1"/>
  <c r="G439" i="5"/>
  <c r="F439" i="5"/>
  <c r="E439" i="5"/>
  <c r="H439" i="5" s="1"/>
  <c r="C439" i="5"/>
  <c r="D439" i="5" s="1"/>
  <c r="B439" i="5"/>
  <c r="J438" i="5"/>
  <c r="O438" i="6" s="1"/>
  <c r="I438" i="5"/>
  <c r="N438" i="6" s="1"/>
  <c r="G438" i="5"/>
  <c r="F438" i="5"/>
  <c r="D438" i="5"/>
  <c r="H438" i="5" s="1"/>
  <c r="C438" i="5"/>
  <c r="E438" i="5" s="1"/>
  <c r="B438" i="5"/>
  <c r="J437" i="5"/>
  <c r="O437" i="6" s="1"/>
  <c r="I437" i="5"/>
  <c r="N437" i="6" s="1"/>
  <c r="G437" i="5"/>
  <c r="E437" i="5"/>
  <c r="D437" i="5"/>
  <c r="H437" i="5" s="1"/>
  <c r="C437" i="5"/>
  <c r="F437" i="5" s="1"/>
  <c r="B437" i="5"/>
  <c r="J436" i="5"/>
  <c r="O436" i="6" s="1"/>
  <c r="I436" i="5"/>
  <c r="N436" i="6" s="1"/>
  <c r="F436" i="5"/>
  <c r="E436" i="5"/>
  <c r="D436" i="5"/>
  <c r="H436" i="5" s="1"/>
  <c r="C436" i="5"/>
  <c r="G436" i="5" s="1"/>
  <c r="B436" i="5"/>
  <c r="J435" i="5"/>
  <c r="O435" i="6" s="1"/>
  <c r="I435" i="5"/>
  <c r="N435" i="6" s="1"/>
  <c r="G435" i="5"/>
  <c r="F435" i="5"/>
  <c r="E435" i="5"/>
  <c r="D435" i="5"/>
  <c r="C435" i="5"/>
  <c r="B435" i="5"/>
  <c r="J434" i="5"/>
  <c r="O434" i="6" s="1"/>
  <c r="G434" i="5"/>
  <c r="F434" i="5"/>
  <c r="E434" i="5"/>
  <c r="H434" i="5" s="1"/>
  <c r="D434" i="5"/>
  <c r="C434" i="5"/>
  <c r="B434" i="5"/>
  <c r="I434" i="5" s="1"/>
  <c r="N434" i="6" s="1"/>
  <c r="I433" i="5"/>
  <c r="G433" i="5"/>
  <c r="F433" i="5"/>
  <c r="E433" i="5"/>
  <c r="D433" i="5"/>
  <c r="C433" i="5"/>
  <c r="B433" i="5"/>
  <c r="J432" i="5"/>
  <c r="O432" i="6" s="1"/>
  <c r="I432" i="5"/>
  <c r="N432" i="6" s="1"/>
  <c r="H432" i="5"/>
  <c r="G432" i="5"/>
  <c r="F432" i="5"/>
  <c r="E432" i="5"/>
  <c r="D432" i="5"/>
  <c r="B432" i="5"/>
  <c r="C432" i="5" s="1"/>
  <c r="J431" i="5"/>
  <c r="O431" i="6" s="1"/>
  <c r="I431" i="5"/>
  <c r="N431" i="6" s="1"/>
  <c r="H431" i="5"/>
  <c r="G431" i="5"/>
  <c r="F431" i="5"/>
  <c r="E431" i="5"/>
  <c r="C431" i="5"/>
  <c r="D431" i="5" s="1"/>
  <c r="B431" i="5"/>
  <c r="J430" i="5"/>
  <c r="O430" i="6" s="1"/>
  <c r="I430" i="5"/>
  <c r="N430" i="6" s="1"/>
  <c r="H430" i="5"/>
  <c r="G430" i="5"/>
  <c r="F430" i="5"/>
  <c r="D430" i="5"/>
  <c r="C430" i="5"/>
  <c r="E430" i="5" s="1"/>
  <c r="B430" i="5"/>
  <c r="J429" i="5"/>
  <c r="O429" i="6" s="1"/>
  <c r="I429" i="5"/>
  <c r="N429" i="6" s="1"/>
  <c r="H429" i="5"/>
  <c r="G429" i="5"/>
  <c r="E429" i="5"/>
  <c r="D429" i="5"/>
  <c r="C429" i="5"/>
  <c r="F429" i="5" s="1"/>
  <c r="B429" i="5"/>
  <c r="J428" i="5"/>
  <c r="O428" i="6" s="1"/>
  <c r="I428" i="5"/>
  <c r="N428" i="6" s="1"/>
  <c r="H428" i="5"/>
  <c r="F428" i="5"/>
  <c r="E428" i="5"/>
  <c r="D428" i="5"/>
  <c r="C428" i="5"/>
  <c r="G428" i="5" s="1"/>
  <c r="B428" i="5"/>
  <c r="J427" i="5"/>
  <c r="O427" i="6" s="1"/>
  <c r="I427" i="5"/>
  <c r="N427" i="6" s="1"/>
  <c r="G427" i="5"/>
  <c r="F427" i="5"/>
  <c r="E427" i="5"/>
  <c r="D427" i="5"/>
  <c r="C427" i="5"/>
  <c r="B427" i="5"/>
  <c r="J426" i="5"/>
  <c r="O426" i="6" s="1"/>
  <c r="G426" i="5"/>
  <c r="F426" i="5"/>
  <c r="E426" i="5"/>
  <c r="H426" i="5" s="1"/>
  <c r="D426" i="5"/>
  <c r="C426" i="5"/>
  <c r="B426" i="5"/>
  <c r="I426" i="5" s="1"/>
  <c r="N426" i="6" s="1"/>
  <c r="I425" i="5"/>
  <c r="G425" i="5"/>
  <c r="F425" i="5"/>
  <c r="E425" i="5"/>
  <c r="H425" i="5" s="1"/>
  <c r="D425" i="5"/>
  <c r="C425" i="5"/>
  <c r="B425" i="5"/>
  <c r="J424" i="5"/>
  <c r="O424" i="6" s="1"/>
  <c r="I424" i="5"/>
  <c r="N424" i="6" s="1"/>
  <c r="G424" i="5"/>
  <c r="F424" i="5"/>
  <c r="E424" i="5"/>
  <c r="H424" i="5" s="1"/>
  <c r="D424" i="5"/>
  <c r="B424" i="5"/>
  <c r="C424" i="5" s="1"/>
  <c r="J423" i="5"/>
  <c r="O423" i="6" s="1"/>
  <c r="I423" i="5"/>
  <c r="N423" i="6" s="1"/>
  <c r="G423" i="5"/>
  <c r="F423" i="5"/>
  <c r="E423" i="5"/>
  <c r="H423" i="5" s="1"/>
  <c r="C423" i="5"/>
  <c r="D423" i="5" s="1"/>
  <c r="B423" i="5"/>
  <c r="J422" i="5"/>
  <c r="O422" i="6" s="1"/>
  <c r="I422" i="5"/>
  <c r="N422" i="6" s="1"/>
  <c r="G422" i="5"/>
  <c r="F422" i="5"/>
  <c r="D422" i="5"/>
  <c r="H422" i="5" s="1"/>
  <c r="C422" i="5"/>
  <c r="E422" i="5" s="1"/>
  <c r="B422" i="5"/>
  <c r="J421" i="5"/>
  <c r="O421" i="6" s="1"/>
  <c r="I421" i="5"/>
  <c r="N421" i="6" s="1"/>
  <c r="G421" i="5"/>
  <c r="E421" i="5"/>
  <c r="D421" i="5"/>
  <c r="C421" i="5"/>
  <c r="F421" i="5" s="1"/>
  <c r="B421" i="5"/>
  <c r="J420" i="5"/>
  <c r="O420" i="6" s="1"/>
  <c r="I420" i="5"/>
  <c r="N420" i="6" s="1"/>
  <c r="F420" i="5"/>
  <c r="E420" i="5"/>
  <c r="H420" i="5" s="1"/>
  <c r="D420" i="5"/>
  <c r="C420" i="5"/>
  <c r="G420" i="5" s="1"/>
  <c r="B420" i="5"/>
  <c r="J419" i="5"/>
  <c r="O419" i="6" s="1"/>
  <c r="I419" i="5"/>
  <c r="N419" i="6" s="1"/>
  <c r="G419" i="5"/>
  <c r="F419" i="5"/>
  <c r="E419" i="5"/>
  <c r="H419" i="5" s="1"/>
  <c r="D419" i="5"/>
  <c r="C419" i="5"/>
  <c r="B419" i="5"/>
  <c r="J418" i="5"/>
  <c r="O418" i="6" s="1"/>
  <c r="G418" i="5"/>
  <c r="F418" i="5"/>
  <c r="E418" i="5"/>
  <c r="D418" i="5"/>
  <c r="C418" i="5"/>
  <c r="B418" i="5"/>
  <c r="I418" i="5" s="1"/>
  <c r="N418" i="6" s="1"/>
  <c r="I417" i="5"/>
  <c r="G417" i="5"/>
  <c r="F417" i="5"/>
  <c r="E417" i="5"/>
  <c r="D417" i="5"/>
  <c r="C417" i="5"/>
  <c r="B417" i="5"/>
  <c r="J416" i="5"/>
  <c r="O416" i="6" s="1"/>
  <c r="I416" i="5"/>
  <c r="N416" i="6" s="1"/>
  <c r="G416" i="5"/>
  <c r="F416" i="5"/>
  <c r="E416" i="5"/>
  <c r="H416" i="5" s="1"/>
  <c r="D416" i="5"/>
  <c r="B416" i="5"/>
  <c r="C416" i="5" s="1"/>
  <c r="J415" i="5"/>
  <c r="O415" i="6" s="1"/>
  <c r="I415" i="5"/>
  <c r="N415" i="6" s="1"/>
  <c r="G415" i="5"/>
  <c r="F415" i="5"/>
  <c r="E415" i="5"/>
  <c r="H415" i="5" s="1"/>
  <c r="C415" i="5"/>
  <c r="D415" i="5" s="1"/>
  <c r="B415" i="5"/>
  <c r="J414" i="5"/>
  <c r="O414" i="6" s="1"/>
  <c r="I414" i="5"/>
  <c r="N414" i="6" s="1"/>
  <c r="G414" i="5"/>
  <c r="F414" i="5"/>
  <c r="D414" i="5"/>
  <c r="H414" i="5" s="1"/>
  <c r="C414" i="5"/>
  <c r="E414" i="5" s="1"/>
  <c r="B414" i="5"/>
  <c r="J413" i="5"/>
  <c r="O413" i="6" s="1"/>
  <c r="I413" i="5"/>
  <c r="N413" i="6" s="1"/>
  <c r="G413" i="5"/>
  <c r="E413" i="5"/>
  <c r="H413" i="5" s="1"/>
  <c r="D413" i="5"/>
  <c r="C413" i="5"/>
  <c r="F413" i="5" s="1"/>
  <c r="B413" i="5"/>
  <c r="I412" i="5"/>
  <c r="N412" i="6" s="1"/>
  <c r="F412" i="5"/>
  <c r="E412" i="5"/>
  <c r="H412" i="5" s="1"/>
  <c r="D412" i="5"/>
  <c r="C412" i="5"/>
  <c r="G412" i="5" s="1"/>
  <c r="B412" i="5"/>
  <c r="I411" i="5"/>
  <c r="N411" i="6" s="1"/>
  <c r="G411" i="5"/>
  <c r="F411" i="5"/>
  <c r="E411" i="5"/>
  <c r="D411" i="5"/>
  <c r="C411" i="5"/>
  <c r="B411" i="5"/>
  <c r="J410" i="5"/>
  <c r="O410" i="6" s="1"/>
  <c r="G410" i="5"/>
  <c r="F410" i="5"/>
  <c r="E410" i="5"/>
  <c r="D410" i="5"/>
  <c r="H410" i="5" s="1"/>
  <c r="C410" i="5"/>
  <c r="B410" i="5"/>
  <c r="I410" i="5" s="1"/>
  <c r="N410" i="6" s="1"/>
  <c r="I409" i="5"/>
  <c r="G409" i="5"/>
  <c r="F409" i="5"/>
  <c r="E409" i="5"/>
  <c r="D409" i="5"/>
  <c r="H409" i="5" s="1"/>
  <c r="C409" i="5"/>
  <c r="B409" i="5"/>
  <c r="I408" i="5"/>
  <c r="N408" i="6" s="1"/>
  <c r="G408" i="5"/>
  <c r="F408" i="5"/>
  <c r="E408" i="5"/>
  <c r="H408" i="5" s="1"/>
  <c r="D408" i="5"/>
  <c r="B408" i="5"/>
  <c r="C408" i="5" s="1"/>
  <c r="I407" i="5"/>
  <c r="N407" i="6" s="1"/>
  <c r="G407" i="5"/>
  <c r="F407" i="5"/>
  <c r="E407" i="5"/>
  <c r="H407" i="5" s="1"/>
  <c r="C407" i="5"/>
  <c r="D407" i="5" s="1"/>
  <c r="B407" i="5"/>
  <c r="I406" i="5"/>
  <c r="N406" i="6" s="1"/>
  <c r="G406" i="5"/>
  <c r="F406" i="5"/>
  <c r="D406" i="5"/>
  <c r="H406" i="5" s="1"/>
  <c r="C406" i="5"/>
  <c r="E406" i="5" s="1"/>
  <c r="B406" i="5"/>
  <c r="I405" i="5"/>
  <c r="N405" i="6" s="1"/>
  <c r="G405" i="5"/>
  <c r="E405" i="5"/>
  <c r="H405" i="5" s="1"/>
  <c r="D405" i="5"/>
  <c r="C405" i="5"/>
  <c r="F405" i="5" s="1"/>
  <c r="B405" i="5"/>
  <c r="I404" i="5"/>
  <c r="N404" i="6" s="1"/>
  <c r="F404" i="5"/>
  <c r="E404" i="5"/>
  <c r="H404" i="5" s="1"/>
  <c r="D404" i="5"/>
  <c r="C404" i="5"/>
  <c r="G404" i="5" s="1"/>
  <c r="B404" i="5"/>
  <c r="I403" i="5"/>
  <c r="N403" i="6" s="1"/>
  <c r="G403" i="5"/>
  <c r="F403" i="5"/>
  <c r="E403" i="5"/>
  <c r="D403" i="5"/>
  <c r="C403" i="5"/>
  <c r="B403" i="5"/>
  <c r="J402" i="5"/>
  <c r="O402" i="6" s="1"/>
  <c r="G402" i="5"/>
  <c r="F402" i="5"/>
  <c r="E402" i="5"/>
  <c r="D402" i="5"/>
  <c r="H402" i="5" s="1"/>
  <c r="C402" i="5"/>
  <c r="B402" i="5"/>
  <c r="I402" i="5" s="1"/>
  <c r="N402" i="6" s="1"/>
  <c r="I401" i="5"/>
  <c r="G401" i="5"/>
  <c r="F401" i="5"/>
  <c r="E401" i="5"/>
  <c r="D401" i="5"/>
  <c r="H401" i="5" s="1"/>
  <c r="C401" i="5"/>
  <c r="B401" i="5"/>
  <c r="I400" i="5"/>
  <c r="N400" i="6" s="1"/>
  <c r="G400" i="5"/>
  <c r="F400" i="5"/>
  <c r="E400" i="5"/>
  <c r="H400" i="5" s="1"/>
  <c r="D400" i="5"/>
  <c r="B400" i="5"/>
  <c r="C400" i="5" s="1"/>
  <c r="I399" i="5"/>
  <c r="N399" i="6" s="1"/>
  <c r="G399" i="5"/>
  <c r="F399" i="5"/>
  <c r="E399" i="5"/>
  <c r="H399" i="5" s="1"/>
  <c r="C399" i="5"/>
  <c r="D399" i="5" s="1"/>
  <c r="B399" i="5"/>
  <c r="I398" i="5"/>
  <c r="N398" i="6" s="1"/>
  <c r="G398" i="5"/>
  <c r="F398" i="5"/>
  <c r="D398" i="5"/>
  <c r="H398" i="5" s="1"/>
  <c r="C398" i="5"/>
  <c r="E398" i="5" s="1"/>
  <c r="B398" i="5"/>
  <c r="I397" i="5"/>
  <c r="N397" i="6" s="1"/>
  <c r="G397" i="5"/>
  <c r="E397" i="5"/>
  <c r="H397" i="5" s="1"/>
  <c r="D397" i="5"/>
  <c r="C397" i="5"/>
  <c r="F397" i="5" s="1"/>
  <c r="B397" i="5"/>
  <c r="I396" i="5"/>
  <c r="N396" i="6" s="1"/>
  <c r="F396" i="5"/>
  <c r="E396" i="5"/>
  <c r="H396" i="5" s="1"/>
  <c r="D396" i="5"/>
  <c r="C396" i="5"/>
  <c r="G396" i="5" s="1"/>
  <c r="B396" i="5"/>
  <c r="I395" i="5"/>
  <c r="N395" i="6" s="1"/>
  <c r="G395" i="5"/>
  <c r="F395" i="5"/>
  <c r="E395" i="5"/>
  <c r="D395" i="5"/>
  <c r="C395" i="5"/>
  <c r="B395" i="5"/>
  <c r="J394" i="5"/>
  <c r="O394" i="6" s="1"/>
  <c r="G394" i="5"/>
  <c r="F394" i="5"/>
  <c r="E394" i="5"/>
  <c r="D394" i="5"/>
  <c r="H394" i="5" s="1"/>
  <c r="C394" i="5"/>
  <c r="B394" i="5"/>
  <c r="I394" i="5" s="1"/>
  <c r="N394" i="6" s="1"/>
  <c r="I393" i="5"/>
  <c r="G393" i="5"/>
  <c r="F393" i="5"/>
  <c r="E393" i="5"/>
  <c r="D393" i="5"/>
  <c r="H393" i="5" s="1"/>
  <c r="C393" i="5"/>
  <c r="B393" i="5"/>
  <c r="I392" i="5"/>
  <c r="N392" i="6" s="1"/>
  <c r="G392" i="5"/>
  <c r="F392" i="5"/>
  <c r="E392" i="5"/>
  <c r="H392" i="5" s="1"/>
  <c r="D392" i="5"/>
  <c r="B392" i="5"/>
  <c r="C392" i="5" s="1"/>
  <c r="I391" i="5"/>
  <c r="N391" i="6" s="1"/>
  <c r="G391" i="5"/>
  <c r="F391" i="5"/>
  <c r="E391" i="5"/>
  <c r="H391" i="5" s="1"/>
  <c r="C391" i="5"/>
  <c r="D391" i="5" s="1"/>
  <c r="B391" i="5"/>
  <c r="I390" i="5"/>
  <c r="N390" i="6" s="1"/>
  <c r="G390" i="5"/>
  <c r="F390" i="5"/>
  <c r="D390" i="5"/>
  <c r="H390" i="5" s="1"/>
  <c r="C390" i="5"/>
  <c r="E390" i="5" s="1"/>
  <c r="B390" i="5"/>
  <c r="I389" i="5"/>
  <c r="N389" i="6" s="1"/>
  <c r="G389" i="5"/>
  <c r="E389" i="5"/>
  <c r="H389" i="5" s="1"/>
  <c r="D389" i="5"/>
  <c r="C389" i="5"/>
  <c r="F389" i="5" s="1"/>
  <c r="B389" i="5"/>
  <c r="I388" i="5"/>
  <c r="N388" i="6" s="1"/>
  <c r="F388" i="5"/>
  <c r="E388" i="5"/>
  <c r="H388" i="5" s="1"/>
  <c r="D388" i="5"/>
  <c r="C388" i="5"/>
  <c r="G388" i="5" s="1"/>
  <c r="B388" i="5"/>
  <c r="I387" i="5"/>
  <c r="N387" i="6" s="1"/>
  <c r="G387" i="5"/>
  <c r="F387" i="5"/>
  <c r="E387" i="5"/>
  <c r="D387" i="5"/>
  <c r="C387" i="5"/>
  <c r="B387" i="5"/>
  <c r="J386" i="5"/>
  <c r="O386" i="6" s="1"/>
  <c r="G386" i="5"/>
  <c r="F386" i="5"/>
  <c r="E386" i="5"/>
  <c r="D386" i="5"/>
  <c r="H386" i="5" s="1"/>
  <c r="C386" i="5"/>
  <c r="B386" i="5"/>
  <c r="I386" i="5" s="1"/>
  <c r="N386" i="6" s="1"/>
  <c r="I385" i="5"/>
  <c r="G385" i="5"/>
  <c r="F385" i="5"/>
  <c r="E385" i="5"/>
  <c r="D385" i="5"/>
  <c r="H385" i="5" s="1"/>
  <c r="C385" i="5"/>
  <c r="B385" i="5"/>
  <c r="I384" i="5"/>
  <c r="N384" i="6" s="1"/>
  <c r="G384" i="5"/>
  <c r="F384" i="5"/>
  <c r="E384" i="5"/>
  <c r="H384" i="5" s="1"/>
  <c r="D384" i="5"/>
  <c r="B384" i="5"/>
  <c r="C384" i="5" s="1"/>
  <c r="I383" i="5"/>
  <c r="N383" i="6" s="1"/>
  <c r="G383" i="5"/>
  <c r="F383" i="5"/>
  <c r="E383" i="5"/>
  <c r="H383" i="5" s="1"/>
  <c r="C383" i="5"/>
  <c r="D383" i="5" s="1"/>
  <c r="B383" i="5"/>
  <c r="I382" i="5"/>
  <c r="N382" i="6" s="1"/>
  <c r="G382" i="5"/>
  <c r="F382" i="5"/>
  <c r="D382" i="5"/>
  <c r="H382" i="5" s="1"/>
  <c r="C382" i="5"/>
  <c r="E382" i="5" s="1"/>
  <c r="B382" i="5"/>
  <c r="I381" i="5"/>
  <c r="N381" i="6" s="1"/>
  <c r="G381" i="5"/>
  <c r="E381" i="5"/>
  <c r="H381" i="5" s="1"/>
  <c r="D381" i="5"/>
  <c r="C381" i="5"/>
  <c r="F381" i="5" s="1"/>
  <c r="B381" i="5"/>
  <c r="I380" i="5"/>
  <c r="N380" i="6" s="1"/>
  <c r="F380" i="5"/>
  <c r="E380" i="5"/>
  <c r="H380" i="5" s="1"/>
  <c r="D380" i="5"/>
  <c r="C380" i="5"/>
  <c r="G380" i="5" s="1"/>
  <c r="B380" i="5"/>
  <c r="I379" i="5"/>
  <c r="N379" i="6" s="1"/>
  <c r="G379" i="5"/>
  <c r="F379" i="5"/>
  <c r="E379" i="5"/>
  <c r="D379" i="5"/>
  <c r="C379" i="5"/>
  <c r="B379" i="5"/>
  <c r="J378" i="5"/>
  <c r="O378" i="6" s="1"/>
  <c r="G378" i="5"/>
  <c r="F378" i="5"/>
  <c r="E378" i="5"/>
  <c r="D378" i="5"/>
  <c r="H378" i="5" s="1"/>
  <c r="C378" i="5"/>
  <c r="B378" i="5"/>
  <c r="I378" i="5" s="1"/>
  <c r="N378" i="6" s="1"/>
  <c r="I377" i="5"/>
  <c r="G377" i="5"/>
  <c r="F377" i="5"/>
  <c r="E377" i="5"/>
  <c r="D377" i="5"/>
  <c r="H377" i="5" s="1"/>
  <c r="C377" i="5"/>
  <c r="B377" i="5"/>
  <c r="I376" i="5"/>
  <c r="N376" i="6" s="1"/>
  <c r="G376" i="5"/>
  <c r="F376" i="5"/>
  <c r="E376" i="5"/>
  <c r="H376" i="5" s="1"/>
  <c r="D376" i="5"/>
  <c r="B376" i="5"/>
  <c r="C376" i="5" s="1"/>
  <c r="I375" i="5"/>
  <c r="N375" i="6" s="1"/>
  <c r="G375" i="5"/>
  <c r="F375" i="5"/>
  <c r="E375" i="5"/>
  <c r="H375" i="5" s="1"/>
  <c r="C375" i="5"/>
  <c r="D375" i="5" s="1"/>
  <c r="B375" i="5"/>
  <c r="I374" i="5"/>
  <c r="N374" i="6" s="1"/>
  <c r="G374" i="5"/>
  <c r="F374" i="5"/>
  <c r="D374" i="5"/>
  <c r="H374" i="5" s="1"/>
  <c r="C374" i="5"/>
  <c r="E374" i="5" s="1"/>
  <c r="B374" i="5"/>
  <c r="I373" i="5"/>
  <c r="N373" i="6" s="1"/>
  <c r="G373" i="5"/>
  <c r="E373" i="5"/>
  <c r="H373" i="5" s="1"/>
  <c r="D373" i="5"/>
  <c r="C373" i="5"/>
  <c r="F373" i="5" s="1"/>
  <c r="B373" i="5"/>
  <c r="I372" i="5"/>
  <c r="N372" i="6" s="1"/>
  <c r="F372" i="5"/>
  <c r="E372" i="5"/>
  <c r="H372" i="5" s="1"/>
  <c r="D372" i="5"/>
  <c r="C372" i="5"/>
  <c r="G372" i="5" s="1"/>
  <c r="B372" i="5"/>
  <c r="I371" i="5"/>
  <c r="N371" i="6" s="1"/>
  <c r="G371" i="5"/>
  <c r="F371" i="5"/>
  <c r="E371" i="5"/>
  <c r="D371" i="5"/>
  <c r="C371" i="5"/>
  <c r="B371" i="5"/>
  <c r="J370" i="5"/>
  <c r="O370" i="6" s="1"/>
  <c r="G370" i="5"/>
  <c r="F370" i="5"/>
  <c r="E370" i="5"/>
  <c r="D370" i="5"/>
  <c r="H370" i="5" s="1"/>
  <c r="C370" i="5"/>
  <c r="B370" i="5"/>
  <c r="I370" i="5" s="1"/>
  <c r="N370" i="6" s="1"/>
  <c r="I369" i="5"/>
  <c r="G369" i="5"/>
  <c r="F369" i="5"/>
  <c r="E369" i="5"/>
  <c r="D369" i="5"/>
  <c r="H369" i="5" s="1"/>
  <c r="C369" i="5"/>
  <c r="B369" i="5"/>
  <c r="I368" i="5"/>
  <c r="N368" i="6" s="1"/>
  <c r="G368" i="5"/>
  <c r="F368" i="5"/>
  <c r="E368" i="5"/>
  <c r="H368" i="5" s="1"/>
  <c r="D368" i="5"/>
  <c r="B368" i="5"/>
  <c r="C368" i="5" s="1"/>
  <c r="I367" i="5"/>
  <c r="N367" i="6" s="1"/>
  <c r="G367" i="5"/>
  <c r="F367" i="5"/>
  <c r="E367" i="5"/>
  <c r="H367" i="5" s="1"/>
  <c r="C367" i="5"/>
  <c r="D367" i="5" s="1"/>
  <c r="B367" i="5"/>
  <c r="I366" i="5"/>
  <c r="N366" i="6" s="1"/>
  <c r="G366" i="5"/>
  <c r="F366" i="5"/>
  <c r="D366" i="5"/>
  <c r="H366" i="5" s="1"/>
  <c r="C366" i="5"/>
  <c r="E366" i="5" s="1"/>
  <c r="B366" i="5"/>
  <c r="I365" i="5"/>
  <c r="N365" i="6" s="1"/>
  <c r="G365" i="5"/>
  <c r="E365" i="5"/>
  <c r="H365" i="5" s="1"/>
  <c r="D365" i="5"/>
  <c r="C365" i="5"/>
  <c r="F365" i="5" s="1"/>
  <c r="B365" i="5"/>
  <c r="I364" i="5"/>
  <c r="N364" i="6" s="1"/>
  <c r="F364" i="5"/>
  <c r="E364" i="5"/>
  <c r="H364" i="5" s="1"/>
  <c r="D364" i="5"/>
  <c r="C364" i="5"/>
  <c r="G364" i="5" s="1"/>
  <c r="B364" i="5"/>
  <c r="I363" i="5"/>
  <c r="N363" i="6" s="1"/>
  <c r="G363" i="5"/>
  <c r="F363" i="5"/>
  <c r="E363" i="5"/>
  <c r="D363" i="5"/>
  <c r="C363" i="5"/>
  <c r="B363" i="5"/>
  <c r="G362" i="5"/>
  <c r="F362" i="5"/>
  <c r="E362" i="5"/>
  <c r="D362" i="5"/>
  <c r="H362" i="5" s="1"/>
  <c r="C362" i="5"/>
  <c r="B362" i="5"/>
  <c r="G361" i="5"/>
  <c r="F361" i="5"/>
  <c r="I361" i="5" s="1"/>
  <c r="E361" i="5"/>
  <c r="D361" i="5"/>
  <c r="H361" i="5" s="1"/>
  <c r="C361" i="5"/>
  <c r="B361" i="5"/>
  <c r="G360" i="5"/>
  <c r="F360" i="5"/>
  <c r="E360" i="5"/>
  <c r="H360" i="5" s="1"/>
  <c r="I360" i="5" s="1"/>
  <c r="D360" i="5"/>
  <c r="B360" i="5"/>
  <c r="C360" i="5" s="1"/>
  <c r="G359" i="5"/>
  <c r="F359" i="5"/>
  <c r="E359" i="5"/>
  <c r="H359" i="5" s="1"/>
  <c r="I359" i="5" s="1"/>
  <c r="C359" i="5"/>
  <c r="D359" i="5" s="1"/>
  <c r="B359" i="5"/>
  <c r="G358" i="5"/>
  <c r="F358" i="5"/>
  <c r="D358" i="5"/>
  <c r="H358" i="5" s="1"/>
  <c r="I358" i="5" s="1"/>
  <c r="C358" i="5"/>
  <c r="E358" i="5" s="1"/>
  <c r="B358" i="5"/>
  <c r="G357" i="5"/>
  <c r="E357" i="5"/>
  <c r="H357" i="5" s="1"/>
  <c r="I357" i="5" s="1"/>
  <c r="D357" i="5"/>
  <c r="C357" i="5"/>
  <c r="F357" i="5" s="1"/>
  <c r="B357" i="5"/>
  <c r="F356" i="5"/>
  <c r="E356" i="5"/>
  <c r="H356" i="5" s="1"/>
  <c r="I356" i="5" s="1"/>
  <c r="D356" i="5"/>
  <c r="C356" i="5"/>
  <c r="G356" i="5" s="1"/>
  <c r="B356" i="5"/>
  <c r="G355" i="5"/>
  <c r="F355" i="5"/>
  <c r="E355" i="5"/>
  <c r="D355" i="5"/>
  <c r="C355" i="5"/>
  <c r="B355" i="5"/>
  <c r="G354" i="5"/>
  <c r="F354" i="5"/>
  <c r="E354" i="5"/>
  <c r="D354" i="5"/>
  <c r="H354" i="5" s="1"/>
  <c r="C354" i="5"/>
  <c r="B354" i="5"/>
  <c r="G353" i="5"/>
  <c r="F353" i="5"/>
  <c r="I353" i="5" s="1"/>
  <c r="E353" i="5"/>
  <c r="D353" i="5"/>
  <c r="H353" i="5" s="1"/>
  <c r="C353" i="5"/>
  <c r="B353" i="5"/>
  <c r="G352" i="5"/>
  <c r="F352" i="5"/>
  <c r="E352" i="5"/>
  <c r="H352" i="5" s="1"/>
  <c r="I352" i="5" s="1"/>
  <c r="D352" i="5"/>
  <c r="B352" i="5"/>
  <c r="C352" i="5" s="1"/>
  <c r="G351" i="5"/>
  <c r="F351" i="5"/>
  <c r="E351" i="5"/>
  <c r="H351" i="5" s="1"/>
  <c r="I351" i="5" s="1"/>
  <c r="C351" i="5"/>
  <c r="D351" i="5" s="1"/>
  <c r="B351" i="5"/>
  <c r="G350" i="5"/>
  <c r="F350" i="5"/>
  <c r="D350" i="5"/>
  <c r="H350" i="5" s="1"/>
  <c r="I350" i="5" s="1"/>
  <c r="C350" i="5"/>
  <c r="E350" i="5" s="1"/>
  <c r="B350" i="5"/>
  <c r="G349" i="5"/>
  <c r="E349" i="5"/>
  <c r="H349" i="5" s="1"/>
  <c r="I349" i="5" s="1"/>
  <c r="D349" i="5"/>
  <c r="C349" i="5"/>
  <c r="F349" i="5" s="1"/>
  <c r="B349" i="5"/>
  <c r="F348" i="5"/>
  <c r="E348" i="5"/>
  <c r="H348" i="5" s="1"/>
  <c r="I348" i="5" s="1"/>
  <c r="D348" i="5"/>
  <c r="C348" i="5"/>
  <c r="G348" i="5" s="1"/>
  <c r="B348" i="5"/>
  <c r="G347" i="5"/>
  <c r="F347" i="5"/>
  <c r="E347" i="5"/>
  <c r="D347" i="5"/>
  <c r="C347" i="5"/>
  <c r="B347" i="5"/>
  <c r="G346" i="5"/>
  <c r="F346" i="5"/>
  <c r="E346" i="5"/>
  <c r="D346" i="5"/>
  <c r="H346" i="5" s="1"/>
  <c r="C346" i="5"/>
  <c r="B346" i="5"/>
  <c r="G345" i="5"/>
  <c r="F345" i="5"/>
  <c r="E345" i="5"/>
  <c r="D345" i="5"/>
  <c r="H345" i="5" s="1"/>
  <c r="C345" i="5"/>
  <c r="B345" i="5"/>
  <c r="G344" i="5"/>
  <c r="F344" i="5"/>
  <c r="E344" i="5"/>
  <c r="H344" i="5" s="1"/>
  <c r="I344" i="5" s="1"/>
  <c r="D344" i="5"/>
  <c r="B344" i="5"/>
  <c r="C344" i="5" s="1"/>
  <c r="G343" i="5"/>
  <c r="F343" i="5"/>
  <c r="E343" i="5"/>
  <c r="H343" i="5" s="1"/>
  <c r="I343" i="5" s="1"/>
  <c r="C343" i="5"/>
  <c r="D343" i="5" s="1"/>
  <c r="B343" i="5"/>
  <c r="G342" i="5"/>
  <c r="F342" i="5"/>
  <c r="D342" i="5"/>
  <c r="H342" i="5" s="1"/>
  <c r="I342" i="5" s="1"/>
  <c r="C342" i="5"/>
  <c r="E342" i="5" s="1"/>
  <c r="B342" i="5"/>
  <c r="G341" i="5"/>
  <c r="E341" i="5"/>
  <c r="H341" i="5" s="1"/>
  <c r="I341" i="5" s="1"/>
  <c r="D341" i="5"/>
  <c r="C341" i="5"/>
  <c r="F341" i="5" s="1"/>
  <c r="B341" i="5"/>
  <c r="F340" i="5"/>
  <c r="E340" i="5"/>
  <c r="H340" i="5" s="1"/>
  <c r="I340" i="5" s="1"/>
  <c r="D340" i="5"/>
  <c r="C340" i="5"/>
  <c r="G340" i="5" s="1"/>
  <c r="B340" i="5"/>
  <c r="G339" i="5"/>
  <c r="F339" i="5"/>
  <c r="E339" i="5"/>
  <c r="D339" i="5"/>
  <c r="C339" i="5"/>
  <c r="B339" i="5"/>
  <c r="G338" i="5"/>
  <c r="F338" i="5"/>
  <c r="E338" i="5"/>
  <c r="D338" i="5"/>
  <c r="H338" i="5" s="1"/>
  <c r="C338" i="5"/>
  <c r="B338" i="5"/>
  <c r="G337" i="5"/>
  <c r="F337" i="5"/>
  <c r="I337" i="5" s="1"/>
  <c r="E337" i="5"/>
  <c r="D337" i="5"/>
  <c r="H337" i="5" s="1"/>
  <c r="C337" i="5"/>
  <c r="B337" i="5"/>
  <c r="G336" i="5"/>
  <c r="F336" i="5"/>
  <c r="E336" i="5"/>
  <c r="H336" i="5" s="1"/>
  <c r="I336" i="5" s="1"/>
  <c r="D336" i="5"/>
  <c r="B336" i="5"/>
  <c r="C336" i="5" s="1"/>
  <c r="G335" i="5"/>
  <c r="F335" i="5"/>
  <c r="E335" i="5"/>
  <c r="H335" i="5" s="1"/>
  <c r="I335" i="5" s="1"/>
  <c r="C335" i="5"/>
  <c r="D335" i="5" s="1"/>
  <c r="B335" i="5"/>
  <c r="G334" i="5"/>
  <c r="F334" i="5"/>
  <c r="D334" i="5"/>
  <c r="H334" i="5" s="1"/>
  <c r="I334" i="5" s="1"/>
  <c r="C334" i="5"/>
  <c r="E334" i="5" s="1"/>
  <c r="B334" i="5"/>
  <c r="G333" i="5"/>
  <c r="E333" i="5"/>
  <c r="H333" i="5" s="1"/>
  <c r="I333" i="5" s="1"/>
  <c r="D333" i="5"/>
  <c r="C333" i="5"/>
  <c r="F333" i="5" s="1"/>
  <c r="B333" i="5"/>
  <c r="F332" i="5"/>
  <c r="E332" i="5"/>
  <c r="H332" i="5" s="1"/>
  <c r="I332" i="5" s="1"/>
  <c r="D332" i="5"/>
  <c r="C332" i="5"/>
  <c r="G332" i="5" s="1"/>
  <c r="B332" i="5"/>
  <c r="G331" i="5"/>
  <c r="F331" i="5"/>
  <c r="E331" i="5"/>
  <c r="D331" i="5"/>
  <c r="C331" i="5"/>
  <c r="B331" i="5"/>
  <c r="G330" i="5"/>
  <c r="F330" i="5"/>
  <c r="E330" i="5"/>
  <c r="D330" i="5"/>
  <c r="H330" i="5" s="1"/>
  <c r="C330" i="5"/>
  <c r="B330" i="5"/>
  <c r="G329" i="5"/>
  <c r="F329" i="5"/>
  <c r="I329" i="5" s="1"/>
  <c r="E329" i="5"/>
  <c r="D329" i="5"/>
  <c r="H329" i="5" s="1"/>
  <c r="C329" i="5"/>
  <c r="B329" i="5"/>
  <c r="G328" i="5"/>
  <c r="F328" i="5"/>
  <c r="E328" i="5"/>
  <c r="H328" i="5" s="1"/>
  <c r="I328" i="5" s="1"/>
  <c r="D328" i="5"/>
  <c r="B328" i="5"/>
  <c r="C328" i="5" s="1"/>
  <c r="G327" i="5"/>
  <c r="F327" i="5"/>
  <c r="E327" i="5"/>
  <c r="H327" i="5" s="1"/>
  <c r="I327" i="5" s="1"/>
  <c r="C327" i="5"/>
  <c r="D327" i="5" s="1"/>
  <c r="B327" i="5"/>
  <c r="G326" i="5"/>
  <c r="F326" i="5"/>
  <c r="D326" i="5"/>
  <c r="H326" i="5" s="1"/>
  <c r="I326" i="5" s="1"/>
  <c r="C326" i="5"/>
  <c r="E326" i="5" s="1"/>
  <c r="B326" i="5"/>
  <c r="G325" i="5"/>
  <c r="E325" i="5"/>
  <c r="H325" i="5" s="1"/>
  <c r="I325" i="5" s="1"/>
  <c r="D325" i="5"/>
  <c r="C325" i="5"/>
  <c r="F325" i="5" s="1"/>
  <c r="B325" i="5"/>
  <c r="F324" i="5"/>
  <c r="E324" i="5"/>
  <c r="H324" i="5" s="1"/>
  <c r="I324" i="5" s="1"/>
  <c r="D324" i="5"/>
  <c r="C324" i="5"/>
  <c r="G324" i="5" s="1"/>
  <c r="B324" i="5"/>
  <c r="G323" i="5"/>
  <c r="F323" i="5"/>
  <c r="E323" i="5"/>
  <c r="D323" i="5"/>
  <c r="C323" i="5"/>
  <c r="B323" i="5"/>
  <c r="G322" i="5"/>
  <c r="F322" i="5"/>
  <c r="E322" i="5"/>
  <c r="D322" i="5"/>
  <c r="H322" i="5" s="1"/>
  <c r="C322" i="5"/>
  <c r="B322" i="5"/>
  <c r="G321" i="5"/>
  <c r="F321" i="5"/>
  <c r="E321" i="5"/>
  <c r="D321" i="5"/>
  <c r="H321" i="5" s="1"/>
  <c r="C321" i="5"/>
  <c r="B321" i="5"/>
  <c r="G320" i="5"/>
  <c r="F320" i="5"/>
  <c r="E320" i="5"/>
  <c r="H320" i="5" s="1"/>
  <c r="I320" i="5" s="1"/>
  <c r="D320" i="5"/>
  <c r="B320" i="5"/>
  <c r="C320" i="5" s="1"/>
  <c r="G319" i="5"/>
  <c r="F319" i="5"/>
  <c r="E319" i="5"/>
  <c r="H319" i="5" s="1"/>
  <c r="I319" i="5" s="1"/>
  <c r="C319" i="5"/>
  <c r="D319" i="5" s="1"/>
  <c r="B319" i="5"/>
  <c r="G318" i="5"/>
  <c r="F318" i="5"/>
  <c r="D318" i="5"/>
  <c r="H318" i="5" s="1"/>
  <c r="I318" i="5" s="1"/>
  <c r="C318" i="5"/>
  <c r="E318" i="5" s="1"/>
  <c r="B318" i="5"/>
  <c r="G317" i="5"/>
  <c r="E317" i="5"/>
  <c r="H317" i="5" s="1"/>
  <c r="I317" i="5" s="1"/>
  <c r="D317" i="5"/>
  <c r="C317" i="5"/>
  <c r="F317" i="5" s="1"/>
  <c r="B317" i="5"/>
  <c r="F316" i="5"/>
  <c r="E316" i="5"/>
  <c r="H316" i="5" s="1"/>
  <c r="I316" i="5" s="1"/>
  <c r="D316" i="5"/>
  <c r="C316" i="5"/>
  <c r="G316" i="5" s="1"/>
  <c r="B316" i="5"/>
  <c r="G315" i="5"/>
  <c r="F315" i="5"/>
  <c r="E315" i="5"/>
  <c r="D315" i="5"/>
  <c r="C315" i="5"/>
  <c r="B315" i="5"/>
  <c r="G314" i="5"/>
  <c r="F314" i="5"/>
  <c r="E314" i="5"/>
  <c r="D314" i="5"/>
  <c r="H314" i="5" s="1"/>
  <c r="C314" i="5"/>
  <c r="B314" i="5"/>
  <c r="G313" i="5"/>
  <c r="F313" i="5"/>
  <c r="E313" i="5"/>
  <c r="D313" i="5"/>
  <c r="H313" i="5" s="1"/>
  <c r="C313" i="5"/>
  <c r="B313" i="5"/>
  <c r="G312" i="5"/>
  <c r="F312" i="5"/>
  <c r="E312" i="5"/>
  <c r="H312" i="5" s="1"/>
  <c r="I312" i="5" s="1"/>
  <c r="D312" i="5"/>
  <c r="B312" i="5"/>
  <c r="C312" i="5" s="1"/>
  <c r="G311" i="5"/>
  <c r="F311" i="5"/>
  <c r="E311" i="5"/>
  <c r="H311" i="5" s="1"/>
  <c r="I311" i="5" s="1"/>
  <c r="C311" i="5"/>
  <c r="D311" i="5" s="1"/>
  <c r="B311" i="5"/>
  <c r="G310" i="5"/>
  <c r="F310" i="5"/>
  <c r="D310" i="5"/>
  <c r="H310" i="5" s="1"/>
  <c r="I310" i="5" s="1"/>
  <c r="C310" i="5"/>
  <c r="E310" i="5" s="1"/>
  <c r="B310" i="5"/>
  <c r="G309" i="5"/>
  <c r="E309" i="5"/>
  <c r="H309" i="5" s="1"/>
  <c r="I309" i="5" s="1"/>
  <c r="D309" i="5"/>
  <c r="C309" i="5"/>
  <c r="F309" i="5" s="1"/>
  <c r="B309" i="5"/>
  <c r="F308" i="5"/>
  <c r="E308" i="5"/>
  <c r="H308" i="5" s="1"/>
  <c r="I308" i="5" s="1"/>
  <c r="D308" i="5"/>
  <c r="C308" i="5"/>
  <c r="G308" i="5" s="1"/>
  <c r="B308" i="5"/>
  <c r="G307" i="5"/>
  <c r="F307" i="5"/>
  <c r="E307" i="5"/>
  <c r="D307" i="5"/>
  <c r="C307" i="5"/>
  <c r="B307" i="5"/>
  <c r="G306" i="5"/>
  <c r="F306" i="5"/>
  <c r="E306" i="5"/>
  <c r="D306" i="5"/>
  <c r="H306" i="5" s="1"/>
  <c r="C306" i="5"/>
  <c r="B306" i="5"/>
  <c r="G305" i="5"/>
  <c r="F305" i="5"/>
  <c r="E305" i="5"/>
  <c r="D305" i="5"/>
  <c r="H305" i="5" s="1"/>
  <c r="C305" i="5"/>
  <c r="B305" i="5"/>
  <c r="G304" i="5"/>
  <c r="F304" i="5"/>
  <c r="E304" i="5"/>
  <c r="H304" i="5" s="1"/>
  <c r="I304" i="5" s="1"/>
  <c r="D304" i="5"/>
  <c r="B304" i="5"/>
  <c r="C304" i="5" s="1"/>
  <c r="G303" i="5"/>
  <c r="F303" i="5"/>
  <c r="E303" i="5"/>
  <c r="H303" i="5" s="1"/>
  <c r="I303" i="5" s="1"/>
  <c r="C303" i="5"/>
  <c r="D303" i="5" s="1"/>
  <c r="B303" i="5"/>
  <c r="G302" i="5"/>
  <c r="F302" i="5"/>
  <c r="D302" i="5"/>
  <c r="C302" i="5"/>
  <c r="E302" i="5" s="1"/>
  <c r="H302" i="5" s="1"/>
  <c r="I302" i="5" s="1"/>
  <c r="B302" i="5"/>
  <c r="C301" i="5"/>
  <c r="B301" i="5"/>
  <c r="C300" i="5"/>
  <c r="B300" i="5"/>
  <c r="C299" i="5"/>
  <c r="B299" i="5"/>
  <c r="C298" i="5"/>
  <c r="B298" i="5"/>
  <c r="C297" i="5"/>
  <c r="B297" i="5"/>
  <c r="G296" i="5"/>
  <c r="F296" i="5"/>
  <c r="E296" i="5"/>
  <c r="D296" i="5"/>
  <c r="B296" i="5"/>
  <c r="C296" i="5" s="1"/>
  <c r="C295" i="5"/>
  <c r="B295" i="5"/>
  <c r="C294" i="5"/>
  <c r="B294" i="5"/>
  <c r="C293" i="5"/>
  <c r="B293" i="5"/>
  <c r="C292" i="5"/>
  <c r="B292" i="5"/>
  <c r="C291" i="5"/>
  <c r="B291" i="5"/>
  <c r="C290" i="5"/>
  <c r="B290" i="5"/>
  <c r="C289" i="5"/>
  <c r="B289" i="5"/>
  <c r="G288" i="5"/>
  <c r="F288" i="5"/>
  <c r="E288" i="5"/>
  <c r="H288" i="5" s="1"/>
  <c r="I288" i="5" s="1"/>
  <c r="D288" i="5"/>
  <c r="B288" i="5"/>
  <c r="C288" i="5" s="1"/>
  <c r="C287" i="5"/>
  <c r="B287" i="5"/>
  <c r="C286" i="5"/>
  <c r="B286" i="5"/>
  <c r="C285" i="5"/>
  <c r="B285" i="5"/>
  <c r="C284" i="5"/>
  <c r="B284" i="5"/>
  <c r="C283" i="5"/>
  <c r="B283" i="5"/>
  <c r="C282" i="5"/>
  <c r="B282" i="5"/>
  <c r="C281" i="5"/>
  <c r="B281" i="5"/>
  <c r="G280" i="5"/>
  <c r="F280" i="5"/>
  <c r="E280" i="5"/>
  <c r="H280" i="5" s="1"/>
  <c r="I280" i="5" s="1"/>
  <c r="D280" i="5"/>
  <c r="B280" i="5"/>
  <c r="C280" i="5" s="1"/>
  <c r="C279" i="5"/>
  <c r="E279" i="5" s="1"/>
  <c r="B279" i="5"/>
  <c r="D278" i="5"/>
  <c r="C278" i="5"/>
  <c r="B278" i="5"/>
  <c r="C277" i="5"/>
  <c r="D277" i="5" s="1"/>
  <c r="B277" i="5"/>
  <c r="D276" i="5"/>
  <c r="C276" i="5"/>
  <c r="B276" i="5"/>
  <c r="C275" i="5"/>
  <c r="D275" i="5" s="1"/>
  <c r="B275" i="5"/>
  <c r="D274" i="5"/>
  <c r="C274" i="5"/>
  <c r="B274" i="5"/>
  <c r="C273" i="5"/>
  <c r="D273" i="5" s="1"/>
  <c r="B273" i="5"/>
  <c r="G272" i="5"/>
  <c r="F272" i="5"/>
  <c r="E272" i="5"/>
  <c r="D272" i="5"/>
  <c r="B272" i="5"/>
  <c r="C272" i="5" s="1"/>
  <c r="C271" i="5"/>
  <c r="B271" i="5"/>
  <c r="C270" i="5"/>
  <c r="D270" i="5" s="1"/>
  <c r="B270" i="5"/>
  <c r="C269" i="5"/>
  <c r="D269" i="5" s="1"/>
  <c r="B269" i="5"/>
  <c r="C268" i="5"/>
  <c r="D268" i="5" s="1"/>
  <c r="B268" i="5"/>
  <c r="C267" i="5"/>
  <c r="B267" i="5"/>
  <c r="C266" i="5"/>
  <c r="D266" i="5" s="1"/>
  <c r="B266" i="5"/>
  <c r="C265" i="5"/>
  <c r="B265" i="5"/>
  <c r="G264" i="5"/>
  <c r="F264" i="5"/>
  <c r="E264" i="5"/>
  <c r="D264" i="5"/>
  <c r="B264" i="5"/>
  <c r="C264" i="5" s="1"/>
  <c r="E263" i="5"/>
  <c r="C263" i="5"/>
  <c r="B263" i="5"/>
  <c r="C262" i="5"/>
  <c r="D262" i="5" s="1"/>
  <c r="B262" i="5"/>
  <c r="D261" i="5"/>
  <c r="C261" i="5"/>
  <c r="B261" i="5"/>
  <c r="C260" i="5"/>
  <c r="D260" i="5" s="1"/>
  <c r="B260" i="5"/>
  <c r="D259" i="5"/>
  <c r="C259" i="5"/>
  <c r="B259" i="5"/>
  <c r="C258" i="5"/>
  <c r="D258" i="5" s="1"/>
  <c r="B258" i="5"/>
  <c r="D257" i="5"/>
  <c r="C257" i="5"/>
  <c r="B257" i="5"/>
  <c r="G256" i="5"/>
  <c r="F256" i="5"/>
  <c r="E256" i="5"/>
  <c r="D256" i="5"/>
  <c r="B256" i="5"/>
  <c r="C256" i="5" s="1"/>
  <c r="C255" i="5"/>
  <c r="B255" i="5"/>
  <c r="C254" i="5"/>
  <c r="B254" i="5"/>
  <c r="C253" i="5"/>
  <c r="B253" i="5"/>
  <c r="C252" i="5"/>
  <c r="D252" i="5" s="1"/>
  <c r="B252" i="5"/>
  <c r="C251" i="5"/>
  <c r="D251" i="5" s="1"/>
  <c r="B251" i="5"/>
  <c r="C250" i="5"/>
  <c r="B250" i="5"/>
  <c r="C249" i="5"/>
  <c r="D249" i="5" s="1"/>
  <c r="B249" i="5"/>
  <c r="G248" i="5"/>
  <c r="F248" i="5"/>
  <c r="E248" i="5"/>
  <c r="H248" i="5" s="1"/>
  <c r="I248" i="5" s="1"/>
  <c r="D248" i="5"/>
  <c r="B248" i="5"/>
  <c r="C248" i="5" s="1"/>
  <c r="C247" i="5"/>
  <c r="E247" i="5" s="1"/>
  <c r="B247" i="5"/>
  <c r="D246" i="5"/>
  <c r="C246" i="5"/>
  <c r="B246" i="5"/>
  <c r="C245" i="5"/>
  <c r="D245" i="5" s="1"/>
  <c r="B245" i="5"/>
  <c r="D244" i="5"/>
  <c r="C244" i="5"/>
  <c r="B244" i="5"/>
  <c r="C243" i="5"/>
  <c r="D243" i="5" s="1"/>
  <c r="B243" i="5"/>
  <c r="D242" i="5"/>
  <c r="C242" i="5"/>
  <c r="B242" i="5"/>
  <c r="C241" i="5"/>
  <c r="D241" i="5" s="1"/>
  <c r="B241" i="5"/>
  <c r="G240" i="5"/>
  <c r="F240" i="5"/>
  <c r="E240" i="5"/>
  <c r="D240" i="5"/>
  <c r="B240" i="5"/>
  <c r="C240" i="5" s="1"/>
  <c r="C239" i="5"/>
  <c r="B239" i="5"/>
  <c r="C238" i="5"/>
  <c r="B238" i="5"/>
  <c r="C237" i="5"/>
  <c r="B237" i="5"/>
  <c r="C236" i="5"/>
  <c r="D236" i="5" s="1"/>
  <c r="B236" i="5"/>
  <c r="C235" i="5"/>
  <c r="B235" i="5"/>
  <c r="C234" i="5"/>
  <c r="B234" i="5"/>
  <c r="C233" i="5"/>
  <c r="D233" i="5" s="1"/>
  <c r="B233" i="5"/>
  <c r="G232" i="5"/>
  <c r="F232" i="5"/>
  <c r="E232" i="5"/>
  <c r="D232" i="5"/>
  <c r="B232" i="5"/>
  <c r="C232" i="5" s="1"/>
  <c r="E231" i="5"/>
  <c r="C231" i="5"/>
  <c r="B231" i="5"/>
  <c r="C230" i="5"/>
  <c r="D230" i="5" s="1"/>
  <c r="B230" i="5"/>
  <c r="D229" i="5"/>
  <c r="C229" i="5"/>
  <c r="B229" i="5"/>
  <c r="C228" i="5"/>
  <c r="D228" i="5" s="1"/>
  <c r="B228" i="5"/>
  <c r="D227" i="5"/>
  <c r="C227" i="5"/>
  <c r="B227" i="5"/>
  <c r="C226" i="5"/>
  <c r="D226" i="5" s="1"/>
  <c r="B226" i="5"/>
  <c r="D225" i="5"/>
  <c r="C225" i="5"/>
  <c r="B225" i="5"/>
  <c r="G224" i="5"/>
  <c r="F224" i="5"/>
  <c r="E224" i="5"/>
  <c r="D224" i="5"/>
  <c r="B224" i="5"/>
  <c r="C224" i="5" s="1"/>
  <c r="C223" i="5"/>
  <c r="B223" i="5"/>
  <c r="C222" i="5"/>
  <c r="B222" i="5"/>
  <c r="C221" i="5"/>
  <c r="B221" i="5"/>
  <c r="C220" i="5"/>
  <c r="B220" i="5"/>
  <c r="C219" i="5"/>
  <c r="D219" i="5" s="1"/>
  <c r="B219" i="5"/>
  <c r="C218" i="5"/>
  <c r="B218" i="5"/>
  <c r="C217" i="5"/>
  <c r="D217" i="5" s="1"/>
  <c r="B217" i="5"/>
  <c r="G216" i="5"/>
  <c r="F216" i="5"/>
  <c r="E216" i="5"/>
  <c r="H216" i="5" s="1"/>
  <c r="I216" i="5" s="1"/>
  <c r="D216" i="5"/>
  <c r="B216" i="5"/>
  <c r="C216" i="5" s="1"/>
  <c r="C215" i="5"/>
  <c r="E215" i="5" s="1"/>
  <c r="B215" i="5"/>
  <c r="D214" i="5"/>
  <c r="C214" i="5"/>
  <c r="B214" i="5"/>
  <c r="C213" i="5"/>
  <c r="D213" i="5" s="1"/>
  <c r="B213" i="5"/>
  <c r="D212" i="5"/>
  <c r="C212" i="5"/>
  <c r="B212" i="5"/>
  <c r="C211" i="5"/>
  <c r="D211" i="5" s="1"/>
  <c r="B211" i="5"/>
  <c r="D210" i="5"/>
  <c r="C210" i="5"/>
  <c r="B210" i="5"/>
  <c r="C209" i="5"/>
  <c r="D209" i="5" s="1"/>
  <c r="B209" i="5"/>
  <c r="G208" i="5"/>
  <c r="F208" i="5"/>
  <c r="E208" i="5"/>
  <c r="D208" i="5"/>
  <c r="B208" i="5"/>
  <c r="C208" i="5" s="1"/>
  <c r="C207" i="5"/>
  <c r="E207" i="5" s="1"/>
  <c r="B207" i="5"/>
  <c r="C206" i="5"/>
  <c r="D206" i="5" s="1"/>
  <c r="B206" i="5"/>
  <c r="C205" i="5"/>
  <c r="B205" i="5"/>
  <c r="C204" i="5"/>
  <c r="B204" i="5"/>
  <c r="C203" i="5"/>
  <c r="B203" i="5"/>
  <c r="C202" i="5"/>
  <c r="D202" i="5" s="1"/>
  <c r="B202" i="5"/>
  <c r="C201" i="5"/>
  <c r="B201" i="5"/>
  <c r="G200" i="5"/>
  <c r="F200" i="5"/>
  <c r="E200" i="5"/>
  <c r="D200" i="5"/>
  <c r="B200" i="5"/>
  <c r="C200" i="5" s="1"/>
  <c r="E199" i="5"/>
  <c r="C199" i="5"/>
  <c r="B199" i="5"/>
  <c r="C198" i="5"/>
  <c r="D198" i="5" s="1"/>
  <c r="B198" i="5"/>
  <c r="D197" i="5"/>
  <c r="C197" i="5"/>
  <c r="B197" i="5"/>
  <c r="C196" i="5"/>
  <c r="B196" i="5"/>
  <c r="D195" i="5"/>
  <c r="C195" i="5"/>
  <c r="B195" i="5"/>
  <c r="C194" i="5"/>
  <c r="D194" i="5" s="1"/>
  <c r="B194" i="5"/>
  <c r="D193" i="5"/>
  <c r="C193" i="5"/>
  <c r="B193" i="5"/>
  <c r="G192" i="5"/>
  <c r="F192" i="5"/>
  <c r="E192" i="5"/>
  <c r="D192" i="5"/>
  <c r="B192" i="5"/>
  <c r="C192" i="5" s="1"/>
  <c r="C191" i="5"/>
  <c r="B191" i="5"/>
  <c r="C190" i="5"/>
  <c r="D190" i="5" s="1"/>
  <c r="B190" i="5"/>
  <c r="C189" i="5"/>
  <c r="D189" i="5" s="1"/>
  <c r="B189" i="5"/>
  <c r="C188" i="5"/>
  <c r="B188" i="5"/>
  <c r="C187" i="5"/>
  <c r="D187" i="5" s="1"/>
  <c r="B187" i="5"/>
  <c r="C186" i="5"/>
  <c r="B186" i="5"/>
  <c r="C185" i="5"/>
  <c r="B185" i="5"/>
  <c r="G184" i="5"/>
  <c r="F184" i="5"/>
  <c r="E184" i="5"/>
  <c r="H184" i="5" s="1"/>
  <c r="I184" i="5" s="1"/>
  <c r="D184" i="5"/>
  <c r="B184" i="5"/>
  <c r="C184" i="5" s="1"/>
  <c r="D183" i="5"/>
  <c r="B183" i="5"/>
  <c r="C183" i="5" s="1"/>
  <c r="E183" i="5" s="1"/>
  <c r="H183" i="5" s="1"/>
  <c r="E182" i="5"/>
  <c r="C182" i="5"/>
  <c r="B182" i="5"/>
  <c r="C181" i="5"/>
  <c r="D181" i="5" s="1"/>
  <c r="B181" i="5"/>
  <c r="D180" i="5"/>
  <c r="C180" i="5"/>
  <c r="B180" i="5"/>
  <c r="C179" i="5"/>
  <c r="B179" i="5"/>
  <c r="D178" i="5"/>
  <c r="C178" i="5"/>
  <c r="B178" i="5"/>
  <c r="C177" i="5"/>
  <c r="D177" i="5" s="1"/>
  <c r="B177" i="5"/>
  <c r="D176" i="5"/>
  <c r="C176" i="5"/>
  <c r="B176" i="5"/>
  <c r="D175" i="5"/>
  <c r="B175" i="5"/>
  <c r="C175" i="5" s="1"/>
  <c r="E175" i="5" s="1"/>
  <c r="H175" i="5" s="1"/>
  <c r="E174" i="5"/>
  <c r="C174" i="5"/>
  <c r="B174" i="5"/>
  <c r="C173" i="5"/>
  <c r="B173" i="5"/>
  <c r="D172" i="5"/>
  <c r="C172" i="5"/>
  <c r="B172" i="5"/>
  <c r="C171" i="5"/>
  <c r="D171" i="5" s="1"/>
  <c r="B171" i="5"/>
  <c r="D170" i="5"/>
  <c r="C170" i="5"/>
  <c r="B170" i="5"/>
  <c r="C169" i="5"/>
  <c r="B169" i="5"/>
  <c r="D168" i="5"/>
  <c r="C168" i="5"/>
  <c r="B168" i="5"/>
  <c r="D167" i="5"/>
  <c r="B167" i="5"/>
  <c r="C167" i="5" s="1"/>
  <c r="E167" i="5" s="1"/>
  <c r="H167" i="5" s="1"/>
  <c r="E166" i="5"/>
  <c r="C166" i="5"/>
  <c r="B166" i="5"/>
  <c r="C165" i="5"/>
  <c r="B165" i="5"/>
  <c r="D164" i="5"/>
  <c r="C164" i="5"/>
  <c r="B164" i="5"/>
  <c r="C163" i="5"/>
  <c r="D163" i="5" s="1"/>
  <c r="B163" i="5"/>
  <c r="D162" i="5"/>
  <c r="C162" i="5"/>
  <c r="B162" i="5"/>
  <c r="C161" i="5"/>
  <c r="B161" i="5"/>
  <c r="D160" i="5"/>
  <c r="C160" i="5"/>
  <c r="B160" i="5"/>
  <c r="D159" i="5"/>
  <c r="B159" i="5"/>
  <c r="C159" i="5" s="1"/>
  <c r="E159" i="5" s="1"/>
  <c r="H159" i="5" s="1"/>
  <c r="E158" i="5"/>
  <c r="C158" i="5"/>
  <c r="B158" i="5"/>
  <c r="C157" i="5"/>
  <c r="D157" i="5" s="1"/>
  <c r="B157" i="5"/>
  <c r="D156" i="5"/>
  <c r="C156" i="5"/>
  <c r="B156" i="5"/>
  <c r="C155" i="5"/>
  <c r="B155" i="5"/>
  <c r="E154" i="5"/>
  <c r="H154" i="5" s="1"/>
  <c r="D154" i="5"/>
  <c r="C154" i="5"/>
  <c r="B154" i="5"/>
  <c r="B153" i="5"/>
  <c r="G152" i="5"/>
  <c r="F152" i="5"/>
  <c r="E152" i="5"/>
  <c r="H152" i="5" s="1"/>
  <c r="C152" i="5"/>
  <c r="D152" i="5" s="1"/>
  <c r="B152" i="5"/>
  <c r="G151" i="5"/>
  <c r="F151" i="5"/>
  <c r="D151" i="5"/>
  <c r="H151" i="5" s="1"/>
  <c r="B151" i="5"/>
  <c r="C151" i="5" s="1"/>
  <c r="E151" i="5" s="1"/>
  <c r="G150" i="5"/>
  <c r="E150" i="5"/>
  <c r="H150" i="5" s="1"/>
  <c r="C150" i="5"/>
  <c r="D150" i="5" s="1"/>
  <c r="B150" i="5"/>
  <c r="B149" i="5"/>
  <c r="C149" i="5" s="1"/>
  <c r="G148" i="5"/>
  <c r="C148" i="5"/>
  <c r="B148" i="5"/>
  <c r="B147" i="5"/>
  <c r="C147" i="5" s="1"/>
  <c r="C146" i="5"/>
  <c r="D146" i="5" s="1"/>
  <c r="B146" i="5"/>
  <c r="B145" i="5"/>
  <c r="F144" i="5"/>
  <c r="C144" i="5"/>
  <c r="D144" i="5" s="1"/>
  <c r="B144" i="5"/>
  <c r="B143" i="5"/>
  <c r="C143" i="5" s="1"/>
  <c r="E143" i="5" s="1"/>
  <c r="G142" i="5"/>
  <c r="E142" i="5"/>
  <c r="H142" i="5" s="1"/>
  <c r="C142" i="5"/>
  <c r="D142" i="5" s="1"/>
  <c r="B142" i="5"/>
  <c r="F141" i="5"/>
  <c r="B141" i="5"/>
  <c r="C141" i="5" s="1"/>
  <c r="B140" i="5"/>
  <c r="C139" i="5"/>
  <c r="B139" i="5"/>
  <c r="E138" i="5"/>
  <c r="D138" i="5"/>
  <c r="C138" i="5"/>
  <c r="B138" i="5"/>
  <c r="B137" i="5"/>
  <c r="G136" i="5"/>
  <c r="E136" i="5"/>
  <c r="H136" i="5" s="1"/>
  <c r="C136" i="5"/>
  <c r="D136" i="5" s="1"/>
  <c r="B136" i="5"/>
  <c r="G135" i="5"/>
  <c r="F135" i="5"/>
  <c r="D135" i="5"/>
  <c r="H135" i="5" s="1"/>
  <c r="B135" i="5"/>
  <c r="C135" i="5" s="1"/>
  <c r="E135" i="5" s="1"/>
  <c r="G134" i="5"/>
  <c r="E134" i="5"/>
  <c r="H134" i="5" s="1"/>
  <c r="C134" i="5"/>
  <c r="D134" i="5" s="1"/>
  <c r="B134" i="5"/>
  <c r="B133" i="5"/>
  <c r="C133" i="5" s="1"/>
  <c r="C132" i="5"/>
  <c r="G132" i="5" s="1"/>
  <c r="B132" i="5"/>
  <c r="D131" i="5"/>
  <c r="C131" i="5"/>
  <c r="B131" i="5"/>
  <c r="E130" i="5"/>
  <c r="C130" i="5"/>
  <c r="B130" i="5"/>
  <c r="B129" i="5"/>
  <c r="C128" i="5"/>
  <c r="D128" i="5" s="1"/>
  <c r="B128" i="5"/>
  <c r="F127" i="5"/>
  <c r="B127" i="5"/>
  <c r="C127" i="5" s="1"/>
  <c r="E127" i="5" s="1"/>
  <c r="H126" i="5"/>
  <c r="G126" i="5"/>
  <c r="E126" i="5"/>
  <c r="C126" i="5"/>
  <c r="D126" i="5" s="1"/>
  <c r="B126" i="5"/>
  <c r="F125" i="5"/>
  <c r="B125" i="5"/>
  <c r="C125" i="5" s="1"/>
  <c r="B124" i="5"/>
  <c r="D123" i="5"/>
  <c r="C123" i="5"/>
  <c r="B123" i="5"/>
  <c r="D122" i="5"/>
  <c r="C122" i="5"/>
  <c r="E122" i="5" s="1"/>
  <c r="H122" i="5" s="1"/>
  <c r="B122" i="5"/>
  <c r="B121" i="5"/>
  <c r="E120" i="5"/>
  <c r="H120" i="5" s="1"/>
  <c r="C120" i="5"/>
  <c r="D120" i="5" s="1"/>
  <c r="B120" i="5"/>
  <c r="G119" i="5"/>
  <c r="D119" i="5"/>
  <c r="B119" i="5"/>
  <c r="C119" i="5" s="1"/>
  <c r="E119" i="5" s="1"/>
  <c r="H119" i="5" s="1"/>
  <c r="G118" i="5"/>
  <c r="E118" i="5"/>
  <c r="C118" i="5"/>
  <c r="D118" i="5" s="1"/>
  <c r="H118" i="5" s="1"/>
  <c r="B118" i="5"/>
  <c r="F117" i="5"/>
  <c r="B117" i="5"/>
  <c r="C117" i="5" s="1"/>
  <c r="C116" i="5"/>
  <c r="G116" i="5" s="1"/>
  <c r="B116" i="5"/>
  <c r="B115" i="5"/>
  <c r="C114" i="5"/>
  <c r="B114" i="5"/>
  <c r="B113" i="5"/>
  <c r="F112" i="5"/>
  <c r="E112" i="5"/>
  <c r="H112" i="5" s="1"/>
  <c r="C112" i="5"/>
  <c r="D112" i="5" s="1"/>
  <c r="B112" i="5"/>
  <c r="B111" i="5"/>
  <c r="C111" i="5" s="1"/>
  <c r="E111" i="5" s="1"/>
  <c r="G110" i="5"/>
  <c r="E110" i="5"/>
  <c r="H110" i="5" s="1"/>
  <c r="C110" i="5"/>
  <c r="D110" i="5" s="1"/>
  <c r="B110" i="5"/>
  <c r="F109" i="5"/>
  <c r="B109" i="5"/>
  <c r="C109" i="5" s="1"/>
  <c r="B108" i="5"/>
  <c r="C108" i="5" s="1"/>
  <c r="C107" i="5"/>
  <c r="D107" i="5" s="1"/>
  <c r="B107" i="5"/>
  <c r="D106" i="5"/>
  <c r="C106" i="5"/>
  <c r="B106" i="5"/>
  <c r="B105" i="5"/>
  <c r="G104" i="5"/>
  <c r="F104" i="5"/>
  <c r="E104" i="5"/>
  <c r="H104" i="5" s="1"/>
  <c r="C104" i="5"/>
  <c r="D104" i="5" s="1"/>
  <c r="B104" i="5"/>
  <c r="D103" i="5"/>
  <c r="B103" i="5"/>
  <c r="C103" i="5" s="1"/>
  <c r="E103" i="5" s="1"/>
  <c r="H103" i="5" s="1"/>
  <c r="G102" i="5"/>
  <c r="E102" i="5"/>
  <c r="C102" i="5"/>
  <c r="D102" i="5" s="1"/>
  <c r="H102" i="5" s="1"/>
  <c r="B102" i="5"/>
  <c r="B101" i="5"/>
  <c r="C101" i="5" s="1"/>
  <c r="F101" i="5" s="1"/>
  <c r="C100" i="5"/>
  <c r="B100" i="5"/>
  <c r="B99" i="5"/>
  <c r="C99" i="5" s="1"/>
  <c r="E98" i="5"/>
  <c r="H98" i="5" s="1"/>
  <c r="D98" i="5"/>
  <c r="C98" i="5"/>
  <c r="B98" i="5"/>
  <c r="B97" i="5"/>
  <c r="C96" i="5"/>
  <c r="D96" i="5" s="1"/>
  <c r="B96" i="5"/>
  <c r="F95" i="5"/>
  <c r="D95" i="5"/>
  <c r="B95" i="5"/>
  <c r="C95" i="5" s="1"/>
  <c r="E95" i="5" s="1"/>
  <c r="H95" i="5" s="1"/>
  <c r="H94" i="5"/>
  <c r="G94" i="5"/>
  <c r="E94" i="5"/>
  <c r="C94" i="5"/>
  <c r="D94" i="5" s="1"/>
  <c r="B94" i="5"/>
  <c r="F93" i="5"/>
  <c r="B93" i="5"/>
  <c r="C93" i="5" s="1"/>
  <c r="G92" i="5"/>
  <c r="C92" i="5"/>
  <c r="B92" i="5"/>
  <c r="C91" i="5"/>
  <c r="B91" i="5"/>
  <c r="E90" i="5"/>
  <c r="H90" i="5" s="1"/>
  <c r="D90" i="5"/>
  <c r="C90" i="5"/>
  <c r="B90" i="5"/>
  <c r="B89" i="5"/>
  <c r="G88" i="5"/>
  <c r="F88" i="5"/>
  <c r="E88" i="5"/>
  <c r="H88" i="5" s="1"/>
  <c r="C88" i="5"/>
  <c r="D88" i="5" s="1"/>
  <c r="B88" i="5"/>
  <c r="G87" i="5"/>
  <c r="F87" i="5"/>
  <c r="D87" i="5"/>
  <c r="H87" i="5" s="1"/>
  <c r="B87" i="5"/>
  <c r="C87" i="5" s="1"/>
  <c r="E87" i="5" s="1"/>
  <c r="G86" i="5"/>
  <c r="E86" i="5"/>
  <c r="H86" i="5" s="1"/>
  <c r="C86" i="5"/>
  <c r="D86" i="5" s="1"/>
  <c r="B86" i="5"/>
  <c r="B85" i="5"/>
  <c r="C85" i="5" s="1"/>
  <c r="F85" i="5" s="1"/>
  <c r="G84" i="5"/>
  <c r="C84" i="5"/>
  <c r="B84" i="5"/>
  <c r="B83" i="5"/>
  <c r="C83" i="5" s="1"/>
  <c r="C82" i="5"/>
  <c r="B82" i="5"/>
  <c r="B81" i="5"/>
  <c r="F80" i="5"/>
  <c r="C80" i="5"/>
  <c r="D80" i="5" s="1"/>
  <c r="B80" i="5"/>
  <c r="B79" i="5"/>
  <c r="C79" i="5" s="1"/>
  <c r="E79" i="5" s="1"/>
  <c r="G78" i="5"/>
  <c r="E78" i="5"/>
  <c r="H78" i="5" s="1"/>
  <c r="C78" i="5"/>
  <c r="D78" i="5" s="1"/>
  <c r="B78" i="5"/>
  <c r="F77" i="5"/>
  <c r="B77" i="5"/>
  <c r="C77" i="5" s="1"/>
  <c r="B76" i="5"/>
  <c r="C75" i="5"/>
  <c r="B75" i="5"/>
  <c r="E74" i="5"/>
  <c r="D74" i="5"/>
  <c r="C74" i="5"/>
  <c r="B74" i="5"/>
  <c r="B73" i="5"/>
  <c r="G72" i="5"/>
  <c r="E72" i="5"/>
  <c r="H72" i="5" s="1"/>
  <c r="C72" i="5"/>
  <c r="D72" i="5" s="1"/>
  <c r="B72" i="5"/>
  <c r="G71" i="5"/>
  <c r="F71" i="5"/>
  <c r="D71" i="5"/>
  <c r="H71" i="5" s="1"/>
  <c r="B71" i="5"/>
  <c r="C71" i="5" s="1"/>
  <c r="E71" i="5" s="1"/>
  <c r="G70" i="5"/>
  <c r="E70" i="5"/>
  <c r="H70" i="5" s="1"/>
  <c r="C70" i="5"/>
  <c r="D70" i="5" s="1"/>
  <c r="B70" i="5"/>
  <c r="B69" i="5"/>
  <c r="C69" i="5" s="1"/>
  <c r="C68" i="5"/>
  <c r="G68" i="5" s="1"/>
  <c r="B68" i="5"/>
  <c r="D67" i="5"/>
  <c r="C67" i="5"/>
  <c r="B67" i="5"/>
  <c r="E66" i="5"/>
  <c r="C66" i="5"/>
  <c r="B66" i="5"/>
  <c r="B65" i="5"/>
  <c r="C64" i="5"/>
  <c r="D64" i="5" s="1"/>
  <c r="B64" i="5"/>
  <c r="F63" i="5"/>
  <c r="B63" i="5"/>
  <c r="C63" i="5" s="1"/>
  <c r="E63" i="5" s="1"/>
  <c r="H62" i="5"/>
  <c r="G62" i="5"/>
  <c r="E62" i="5"/>
  <c r="C62" i="5"/>
  <c r="D62" i="5" s="1"/>
  <c r="B62" i="5"/>
  <c r="F61" i="5"/>
  <c r="B61" i="5"/>
  <c r="C61" i="5" s="1"/>
  <c r="B60" i="5"/>
  <c r="D59" i="5"/>
  <c r="C59" i="5"/>
  <c r="B59" i="5"/>
  <c r="D58" i="5"/>
  <c r="C58" i="5"/>
  <c r="E58" i="5" s="1"/>
  <c r="H58" i="5" s="1"/>
  <c r="B58" i="5"/>
  <c r="B57" i="5"/>
  <c r="E56" i="5"/>
  <c r="H56" i="5" s="1"/>
  <c r="C56" i="5"/>
  <c r="D56" i="5" s="1"/>
  <c r="B56" i="5"/>
  <c r="B55" i="5"/>
  <c r="C54" i="5"/>
  <c r="G54" i="5" s="1"/>
  <c r="B54" i="5"/>
  <c r="F53" i="5"/>
  <c r="D53" i="5"/>
  <c r="B53" i="5"/>
  <c r="C53" i="5" s="1"/>
  <c r="C52" i="5"/>
  <c r="B52" i="5"/>
  <c r="F51" i="5"/>
  <c r="C51" i="5"/>
  <c r="B51" i="5"/>
  <c r="C50" i="5"/>
  <c r="F50" i="5" s="1"/>
  <c r="B50" i="5"/>
  <c r="B49" i="5"/>
  <c r="C48" i="5"/>
  <c r="D48" i="5" s="1"/>
  <c r="B48" i="5"/>
  <c r="B47" i="5"/>
  <c r="C46" i="5"/>
  <c r="G46" i="5" s="1"/>
  <c r="B46" i="5"/>
  <c r="F45" i="5"/>
  <c r="D45" i="5"/>
  <c r="B45" i="5"/>
  <c r="C45" i="5" s="1"/>
  <c r="C44" i="5"/>
  <c r="B44" i="5"/>
  <c r="F43" i="5"/>
  <c r="C43" i="5"/>
  <c r="D43" i="5" s="1"/>
  <c r="B43" i="5"/>
  <c r="C42" i="5"/>
  <c r="F42" i="5" s="1"/>
  <c r="B42" i="5"/>
  <c r="B41" i="5"/>
  <c r="C40" i="5"/>
  <c r="D40" i="5" s="1"/>
  <c r="B40" i="5"/>
  <c r="B39" i="5"/>
  <c r="C38" i="5"/>
  <c r="E38" i="5" s="1"/>
  <c r="B38" i="5"/>
  <c r="F37" i="5"/>
  <c r="D37" i="5"/>
  <c r="B37" i="5"/>
  <c r="C37" i="5" s="1"/>
  <c r="C36" i="5"/>
  <c r="G36" i="5" s="1"/>
  <c r="B36" i="5"/>
  <c r="F35" i="5"/>
  <c r="C35" i="5"/>
  <c r="B35" i="5"/>
  <c r="C34" i="5"/>
  <c r="F34" i="5" s="1"/>
  <c r="B34" i="5"/>
  <c r="B33" i="5"/>
  <c r="C32" i="5"/>
  <c r="D32" i="5" s="1"/>
  <c r="B32" i="5"/>
  <c r="B31" i="5"/>
  <c r="C30" i="5"/>
  <c r="B30" i="5"/>
  <c r="F29" i="5"/>
  <c r="D29" i="5"/>
  <c r="B29" i="5"/>
  <c r="C29" i="5" s="1"/>
  <c r="C28" i="5"/>
  <c r="G28" i="5" s="1"/>
  <c r="B28" i="5"/>
  <c r="F27" i="5"/>
  <c r="C27" i="5"/>
  <c r="D27" i="5" s="1"/>
  <c r="B27" i="5"/>
  <c r="C26" i="5"/>
  <c r="F26" i="5" s="1"/>
  <c r="B26" i="5"/>
  <c r="B25" i="5"/>
  <c r="C24" i="5"/>
  <c r="D24" i="5" s="1"/>
  <c r="B24" i="5"/>
  <c r="B23" i="5"/>
  <c r="C22" i="5"/>
  <c r="B22" i="5"/>
  <c r="F21" i="5"/>
  <c r="D21" i="5"/>
  <c r="B21" i="5"/>
  <c r="C21" i="5" s="1"/>
  <c r="C20" i="5"/>
  <c r="G20" i="5" s="1"/>
  <c r="B20" i="5"/>
  <c r="F19" i="5"/>
  <c r="C19" i="5"/>
  <c r="B19" i="5"/>
  <c r="C18" i="5"/>
  <c r="F18" i="5" s="1"/>
  <c r="B18" i="5"/>
  <c r="B17" i="5"/>
  <c r="C16" i="5"/>
  <c r="D16" i="5" s="1"/>
  <c r="B16" i="5"/>
  <c r="B15" i="5"/>
  <c r="C14" i="5"/>
  <c r="B14" i="5"/>
  <c r="F13" i="5"/>
  <c r="D13" i="5"/>
  <c r="B13" i="5"/>
  <c r="C13" i="5" s="1"/>
  <c r="C12" i="5"/>
  <c r="G12" i="5" s="1"/>
  <c r="B12" i="5"/>
  <c r="F11" i="5"/>
  <c r="C11" i="5"/>
  <c r="D11" i="5" s="1"/>
  <c r="B11" i="5"/>
  <c r="C10" i="5"/>
  <c r="F10" i="5" s="1"/>
  <c r="B10" i="5"/>
  <c r="B9" i="5"/>
  <c r="I8" i="5"/>
  <c r="C8" i="5"/>
  <c r="D8" i="5" s="1"/>
  <c r="B8" i="5"/>
  <c r="B7" i="5"/>
  <c r="I6" i="5"/>
  <c r="J6" i="5" s="1"/>
  <c r="O6" i="6" s="1"/>
  <c r="C6" i="5"/>
  <c r="B6" i="5"/>
  <c r="J5" i="5"/>
  <c r="O5" i="6" s="1"/>
  <c r="I5" i="5"/>
  <c r="N5" i="6" s="1"/>
  <c r="F5" i="5"/>
  <c r="D5" i="5"/>
  <c r="B5" i="5"/>
  <c r="C5" i="5" s="1"/>
  <c r="C4" i="5"/>
  <c r="B4" i="5"/>
  <c r="I4" i="5" s="1"/>
  <c r="B17" i="1"/>
  <c r="B16" i="1"/>
  <c r="B25" i="8" a="1"/>
  <c r="B24" i="8" a="1"/>
  <c r="B25" i="8" l="1"/>
  <c r="B24" i="8"/>
  <c r="F108" i="5"/>
  <c r="I108" i="5" s="1"/>
  <c r="E108" i="5"/>
  <c r="H108" i="5" s="1"/>
  <c r="D108" i="5"/>
  <c r="G108" i="5"/>
  <c r="N216" i="6"/>
  <c r="J216" i="5"/>
  <c r="O216" i="6" s="1"/>
  <c r="N4" i="6"/>
  <c r="J4" i="5"/>
  <c r="O4" i="6" s="1"/>
  <c r="G83" i="5"/>
  <c r="F83" i="5"/>
  <c r="E83" i="5"/>
  <c r="H83" i="5" s="1"/>
  <c r="D83" i="5"/>
  <c r="G99" i="5"/>
  <c r="F99" i="5"/>
  <c r="E99" i="5"/>
  <c r="H99" i="5" s="1"/>
  <c r="D99" i="5"/>
  <c r="N248" i="6"/>
  <c r="J248" i="5"/>
  <c r="O248" i="6" s="1"/>
  <c r="G147" i="5"/>
  <c r="F147" i="5"/>
  <c r="E147" i="5"/>
  <c r="H147" i="5" s="1"/>
  <c r="D147" i="5"/>
  <c r="N184" i="6"/>
  <c r="J184" i="5"/>
  <c r="O184" i="6" s="1"/>
  <c r="N280" i="6"/>
  <c r="J280" i="5"/>
  <c r="O280" i="6" s="1"/>
  <c r="D22" i="5"/>
  <c r="F22" i="5"/>
  <c r="G82" i="5"/>
  <c r="F82" i="5"/>
  <c r="C129" i="5"/>
  <c r="G185" i="5"/>
  <c r="F185" i="5"/>
  <c r="E185" i="5"/>
  <c r="D191" i="5"/>
  <c r="G191" i="5"/>
  <c r="F191" i="5"/>
  <c r="G204" i="5"/>
  <c r="F204" i="5"/>
  <c r="E204" i="5"/>
  <c r="F221" i="5"/>
  <c r="G221" i="5"/>
  <c r="E221" i="5"/>
  <c r="E238" i="5"/>
  <c r="G238" i="5"/>
  <c r="F238" i="5"/>
  <c r="D255" i="5"/>
  <c r="G255" i="5"/>
  <c r="F255" i="5"/>
  <c r="G281" i="5"/>
  <c r="F281" i="5"/>
  <c r="E281" i="5"/>
  <c r="D281" i="5"/>
  <c r="N317" i="6"/>
  <c r="J317" i="5"/>
  <c r="O317" i="6" s="1"/>
  <c r="N329" i="6"/>
  <c r="J329" i="5"/>
  <c r="O329" i="6" s="1"/>
  <c r="N521" i="6"/>
  <c r="J521" i="5"/>
  <c r="O521" i="6" s="1"/>
  <c r="H21" i="6"/>
  <c r="I21" i="6"/>
  <c r="E69" i="5"/>
  <c r="D69" i="5"/>
  <c r="G69" i="5"/>
  <c r="G114" i="5"/>
  <c r="F114" i="5"/>
  <c r="G139" i="5"/>
  <c r="F139" i="5"/>
  <c r="E139" i="5"/>
  <c r="G188" i="5"/>
  <c r="F188" i="5"/>
  <c r="E188" i="5"/>
  <c r="G203" i="5"/>
  <c r="F203" i="5"/>
  <c r="E203" i="5"/>
  <c r="E222" i="5"/>
  <c r="G222" i="5"/>
  <c r="F222" i="5"/>
  <c r="D239" i="5"/>
  <c r="G239" i="5"/>
  <c r="F239" i="5"/>
  <c r="D271" i="5"/>
  <c r="G271" i="5"/>
  <c r="F271" i="5"/>
  <c r="G291" i="5"/>
  <c r="F291" i="5"/>
  <c r="E291" i="5"/>
  <c r="D291" i="5"/>
  <c r="N336" i="6"/>
  <c r="J336" i="5"/>
  <c r="O336" i="6" s="1"/>
  <c r="N361" i="6"/>
  <c r="J361" i="5"/>
  <c r="O361" i="6" s="1"/>
  <c r="F8" i="5"/>
  <c r="G19" i="5"/>
  <c r="E19" i="5"/>
  <c r="F24" i="5"/>
  <c r="G35" i="5"/>
  <c r="E35" i="5"/>
  <c r="F40" i="5"/>
  <c r="G51" i="5"/>
  <c r="E51" i="5"/>
  <c r="H51" i="5" s="1"/>
  <c r="G66" i="5"/>
  <c r="F66" i="5"/>
  <c r="G91" i="5"/>
  <c r="F91" i="5"/>
  <c r="E91" i="5"/>
  <c r="F111" i="5"/>
  <c r="C113" i="5"/>
  <c r="E114" i="5"/>
  <c r="G130" i="5"/>
  <c r="F130" i="5"/>
  <c r="E149" i="5"/>
  <c r="H149" i="5" s="1"/>
  <c r="D149" i="5"/>
  <c r="G149" i="5"/>
  <c r="G155" i="5"/>
  <c r="F155" i="5"/>
  <c r="E155" i="5"/>
  <c r="H155" i="5" s="1"/>
  <c r="G161" i="5"/>
  <c r="F161" i="5"/>
  <c r="E161" i="5"/>
  <c r="H161" i="5" s="1"/>
  <c r="E165" i="5"/>
  <c r="G165" i="5"/>
  <c r="F165" i="5"/>
  <c r="G169" i="5"/>
  <c r="F169" i="5"/>
  <c r="E169" i="5"/>
  <c r="E173" i="5"/>
  <c r="G173" i="5"/>
  <c r="F173" i="5"/>
  <c r="G179" i="5"/>
  <c r="F179" i="5"/>
  <c r="E179" i="5"/>
  <c r="G196" i="5"/>
  <c r="F196" i="5"/>
  <c r="E196" i="5"/>
  <c r="G8" i="5"/>
  <c r="G16" i="5"/>
  <c r="D19" i="5"/>
  <c r="G24" i="5"/>
  <c r="G32" i="5"/>
  <c r="D35" i="5"/>
  <c r="G40" i="5"/>
  <c r="G48" i="5"/>
  <c r="D51" i="5"/>
  <c r="C57" i="5"/>
  <c r="C60" i="5"/>
  <c r="D63" i="5"/>
  <c r="H63" i="5" s="1"/>
  <c r="G64" i="5"/>
  <c r="D66" i="5"/>
  <c r="F72" i="5"/>
  <c r="I72" i="5" s="1"/>
  <c r="G74" i="5"/>
  <c r="F74" i="5"/>
  <c r="I74" i="5" s="1"/>
  <c r="E80" i="5"/>
  <c r="H80" i="5" s="1"/>
  <c r="D91" i="5"/>
  <c r="E93" i="5"/>
  <c r="D93" i="5"/>
  <c r="G93" i="5"/>
  <c r="G111" i="5"/>
  <c r="F119" i="5"/>
  <c r="C121" i="5"/>
  <c r="C124" i="5"/>
  <c r="D127" i="5"/>
  <c r="H127" i="5" s="1"/>
  <c r="G128" i="5"/>
  <c r="D130" i="5"/>
  <c r="F136" i="5"/>
  <c r="I136" i="5" s="1"/>
  <c r="G138" i="5"/>
  <c r="F138" i="5"/>
  <c r="E144" i="5"/>
  <c r="H144" i="5" s="1"/>
  <c r="I144" i="5" s="1"/>
  <c r="F149" i="5"/>
  <c r="D155" i="5"/>
  <c r="D161" i="5"/>
  <c r="D165" i="5"/>
  <c r="D169" i="5"/>
  <c r="D173" i="5"/>
  <c r="D179" i="5"/>
  <c r="D196" i="5"/>
  <c r="H200" i="5"/>
  <c r="I200" i="5" s="1"/>
  <c r="H232" i="5"/>
  <c r="I232" i="5" s="1"/>
  <c r="H264" i="5"/>
  <c r="I264" i="5" s="1"/>
  <c r="E286" i="5"/>
  <c r="H286" i="5" s="1"/>
  <c r="G286" i="5"/>
  <c r="F286" i="5"/>
  <c r="D286" i="5"/>
  <c r="H296" i="5"/>
  <c r="I296" i="5" s="1"/>
  <c r="G299" i="5"/>
  <c r="F299" i="5"/>
  <c r="E299" i="5"/>
  <c r="D299" i="5"/>
  <c r="I305" i="5"/>
  <c r="N326" i="6"/>
  <c r="J326" i="5"/>
  <c r="O326" i="6" s="1"/>
  <c r="N335" i="6"/>
  <c r="J335" i="5"/>
  <c r="O335" i="6" s="1"/>
  <c r="N344" i="6"/>
  <c r="J344" i="5"/>
  <c r="O344" i="6" s="1"/>
  <c r="N348" i="6"/>
  <c r="J348" i="5"/>
  <c r="O348" i="6" s="1"/>
  <c r="N357" i="6"/>
  <c r="J357" i="5"/>
  <c r="O357" i="6" s="1"/>
  <c r="H421" i="5"/>
  <c r="J27" i="6"/>
  <c r="K27" i="6" s="1"/>
  <c r="L27" i="6" s="1"/>
  <c r="D6" i="5"/>
  <c r="F6" i="5"/>
  <c r="D14" i="5"/>
  <c r="F14" i="5"/>
  <c r="D30" i="5"/>
  <c r="F30" i="5"/>
  <c r="D223" i="5"/>
  <c r="G223" i="5"/>
  <c r="F223" i="5"/>
  <c r="I223" i="5" s="1"/>
  <c r="G234" i="5"/>
  <c r="F234" i="5"/>
  <c r="E234" i="5"/>
  <c r="H234" i="5" s="1"/>
  <c r="F253" i="5"/>
  <c r="G253" i="5"/>
  <c r="E253" i="5"/>
  <c r="G289" i="5"/>
  <c r="F289" i="5"/>
  <c r="I289" i="5" s="1"/>
  <c r="E289" i="5"/>
  <c r="H289" i="5" s="1"/>
  <c r="D289" i="5"/>
  <c r="E5" i="5"/>
  <c r="H5" i="5" s="1"/>
  <c r="G5" i="5"/>
  <c r="E6" i="5"/>
  <c r="I9" i="5"/>
  <c r="C9" i="5"/>
  <c r="D10" i="5"/>
  <c r="E13" i="5"/>
  <c r="H13" i="5" s="1"/>
  <c r="I13" i="5" s="1"/>
  <c r="G13" i="5"/>
  <c r="E14" i="5"/>
  <c r="C17" i="5"/>
  <c r="D18" i="5"/>
  <c r="E21" i="5"/>
  <c r="H21" i="5" s="1"/>
  <c r="I21" i="5" s="1"/>
  <c r="G21" i="5"/>
  <c r="E22" i="5"/>
  <c r="H22" i="5" s="1"/>
  <c r="C25" i="5"/>
  <c r="D26" i="5"/>
  <c r="E29" i="5"/>
  <c r="H29" i="5" s="1"/>
  <c r="G29" i="5"/>
  <c r="I29" i="5" s="1"/>
  <c r="E30" i="5"/>
  <c r="H30" i="5" s="1"/>
  <c r="C33" i="5"/>
  <c r="D34" i="5"/>
  <c r="E37" i="5"/>
  <c r="H37" i="5" s="1"/>
  <c r="I37" i="5" s="1"/>
  <c r="G37" i="5"/>
  <c r="C41" i="5"/>
  <c r="D42" i="5"/>
  <c r="E45" i="5"/>
  <c r="H45" i="5" s="1"/>
  <c r="I45" i="5" s="1"/>
  <c r="G45" i="5"/>
  <c r="E46" i="5"/>
  <c r="C49" i="5"/>
  <c r="D50" i="5"/>
  <c r="E53" i="5"/>
  <c r="H53" i="5" s="1"/>
  <c r="I53" i="5" s="1"/>
  <c r="G53" i="5"/>
  <c r="E54" i="5"/>
  <c r="G63" i="5"/>
  <c r="C73" i="5"/>
  <c r="H74" i="5"/>
  <c r="C76" i="5"/>
  <c r="D79" i="5"/>
  <c r="H79" i="5" s="1"/>
  <c r="G80" i="5"/>
  <c r="D82" i="5"/>
  <c r="I88" i="5"/>
  <c r="G90" i="5"/>
  <c r="F90" i="5"/>
  <c r="E96" i="5"/>
  <c r="H96" i="5" s="1"/>
  <c r="E109" i="5"/>
  <c r="H109" i="5" s="1"/>
  <c r="D109" i="5"/>
  <c r="G109" i="5"/>
  <c r="C115" i="5"/>
  <c r="G127" i="5"/>
  <c r="C137" i="5"/>
  <c r="H138" i="5"/>
  <c r="C140" i="5"/>
  <c r="D143" i="5"/>
  <c r="H143" i="5" s="1"/>
  <c r="G144" i="5"/>
  <c r="I149" i="5"/>
  <c r="I152" i="5"/>
  <c r="G154" i="5"/>
  <c r="F154" i="5"/>
  <c r="I154" i="5" s="1"/>
  <c r="D185" i="5"/>
  <c r="E191" i="5"/>
  <c r="H191" i="5" s="1"/>
  <c r="D204" i="5"/>
  <c r="H208" i="5"/>
  <c r="I208" i="5" s="1"/>
  <c r="D221" i="5"/>
  <c r="E223" i="5"/>
  <c r="H223" i="5" s="1"/>
  <c r="D234" i="5"/>
  <c r="D238" i="5"/>
  <c r="H240" i="5"/>
  <c r="I240" i="5" s="1"/>
  <c r="D253" i="5"/>
  <c r="E255" i="5"/>
  <c r="H255" i="5" s="1"/>
  <c r="H272" i="5"/>
  <c r="I272" i="5" s="1"/>
  <c r="G284" i="5"/>
  <c r="F284" i="5"/>
  <c r="E284" i="5"/>
  <c r="D284" i="5"/>
  <c r="D287" i="5"/>
  <c r="G287" i="5"/>
  <c r="F287" i="5"/>
  <c r="E287" i="5"/>
  <c r="H287" i="5" s="1"/>
  <c r="G300" i="5"/>
  <c r="F300" i="5"/>
  <c r="E300" i="5"/>
  <c r="D300" i="5"/>
  <c r="N310" i="6"/>
  <c r="J310" i="5"/>
  <c r="O310" i="6" s="1"/>
  <c r="N319" i="6"/>
  <c r="J319" i="5"/>
  <c r="O319" i="6" s="1"/>
  <c r="N328" i="6"/>
  <c r="J328" i="5"/>
  <c r="O328" i="6" s="1"/>
  <c r="N332" i="6"/>
  <c r="J332" i="5"/>
  <c r="O332" i="6" s="1"/>
  <c r="N341" i="6"/>
  <c r="J341" i="5"/>
  <c r="O341" i="6" s="1"/>
  <c r="N353" i="6"/>
  <c r="J353" i="5"/>
  <c r="O353" i="6" s="1"/>
  <c r="H451" i="5"/>
  <c r="H452" i="5"/>
  <c r="H485" i="5"/>
  <c r="B61" i="7"/>
  <c r="B59" i="7"/>
  <c r="B62" i="7"/>
  <c r="B57" i="7"/>
  <c r="B60" i="7"/>
  <c r="B58" i="7"/>
  <c r="B63" i="7"/>
  <c r="B56" i="7"/>
  <c r="D4" i="6"/>
  <c r="N6" i="6"/>
  <c r="D38" i="5"/>
  <c r="H38" i="5" s="1"/>
  <c r="F38" i="5"/>
  <c r="C65" i="5"/>
  <c r="F132" i="5"/>
  <c r="E132" i="5"/>
  <c r="D132" i="5"/>
  <c r="G146" i="5"/>
  <c r="F146" i="5"/>
  <c r="G266" i="5"/>
  <c r="F266" i="5"/>
  <c r="E266" i="5"/>
  <c r="H266" i="5" s="1"/>
  <c r="G6" i="5"/>
  <c r="E10" i="5"/>
  <c r="G14" i="5"/>
  <c r="E18" i="5"/>
  <c r="H18" i="5" s="1"/>
  <c r="I18" i="5" s="1"/>
  <c r="G22" i="5"/>
  <c r="E26" i="5"/>
  <c r="H26" i="5" s="1"/>
  <c r="I26" i="5" s="1"/>
  <c r="G30" i="5"/>
  <c r="E34" i="5"/>
  <c r="H34" i="5" s="1"/>
  <c r="I34" i="5" s="1"/>
  <c r="G38" i="5"/>
  <c r="E42" i="5"/>
  <c r="E50" i="5"/>
  <c r="H50" i="5" s="1"/>
  <c r="I50" i="5" s="1"/>
  <c r="G59" i="5"/>
  <c r="F59" i="5"/>
  <c r="I59" i="5" s="1"/>
  <c r="E59" i="5"/>
  <c r="H59" i="5" s="1"/>
  <c r="F79" i="5"/>
  <c r="C81" i="5"/>
  <c r="E82" i="5"/>
  <c r="H82" i="5" s="1"/>
  <c r="F84" i="5"/>
  <c r="E84" i="5"/>
  <c r="D84" i="5"/>
  <c r="F96" i="5"/>
  <c r="I96" i="5" s="1"/>
  <c r="G98" i="5"/>
  <c r="F98" i="5"/>
  <c r="E117" i="5"/>
  <c r="D117" i="5"/>
  <c r="G117" i="5"/>
  <c r="G123" i="5"/>
  <c r="F123" i="5"/>
  <c r="I123" i="5" s="1"/>
  <c r="E123" i="5"/>
  <c r="H123" i="5" s="1"/>
  <c r="F143" i="5"/>
  <c r="C145" i="5"/>
  <c r="E146" i="5"/>
  <c r="H146" i="5" s="1"/>
  <c r="F148" i="5"/>
  <c r="E148" i="5"/>
  <c r="D148" i="5"/>
  <c r="F156" i="5"/>
  <c r="I156" i="5" s="1"/>
  <c r="G156" i="5"/>
  <c r="E156" i="5"/>
  <c r="H156" i="5" s="1"/>
  <c r="D158" i="5"/>
  <c r="H158" i="5" s="1"/>
  <c r="G158" i="5"/>
  <c r="F158" i="5"/>
  <c r="G160" i="5"/>
  <c r="F160" i="5"/>
  <c r="I160" i="5" s="1"/>
  <c r="E160" i="5"/>
  <c r="H160" i="5" s="1"/>
  <c r="G162" i="5"/>
  <c r="F162" i="5"/>
  <c r="E162" i="5"/>
  <c r="H162" i="5" s="1"/>
  <c r="F164" i="5"/>
  <c r="I164" i="5" s="1"/>
  <c r="G164" i="5"/>
  <c r="E164" i="5"/>
  <c r="H164" i="5" s="1"/>
  <c r="D166" i="5"/>
  <c r="H166" i="5" s="1"/>
  <c r="G166" i="5"/>
  <c r="F166" i="5"/>
  <c r="G168" i="5"/>
  <c r="F168" i="5"/>
  <c r="I168" i="5" s="1"/>
  <c r="E168" i="5"/>
  <c r="H168" i="5" s="1"/>
  <c r="G170" i="5"/>
  <c r="F170" i="5"/>
  <c r="E170" i="5"/>
  <c r="H170" i="5" s="1"/>
  <c r="F172" i="5"/>
  <c r="I172" i="5" s="1"/>
  <c r="G172" i="5"/>
  <c r="E172" i="5"/>
  <c r="H172" i="5" s="1"/>
  <c r="D174" i="5"/>
  <c r="H174" i="5" s="1"/>
  <c r="G174" i="5"/>
  <c r="F174" i="5"/>
  <c r="G176" i="5"/>
  <c r="F176" i="5"/>
  <c r="I176" i="5" s="1"/>
  <c r="E176" i="5"/>
  <c r="H176" i="5" s="1"/>
  <c r="G178" i="5"/>
  <c r="F178" i="5"/>
  <c r="E178" i="5"/>
  <c r="H178" i="5" s="1"/>
  <c r="F180" i="5"/>
  <c r="I180" i="5" s="1"/>
  <c r="G180" i="5"/>
  <c r="E180" i="5"/>
  <c r="H180" i="5" s="1"/>
  <c r="D182" i="5"/>
  <c r="G182" i="5"/>
  <c r="F182" i="5"/>
  <c r="G193" i="5"/>
  <c r="F193" i="5"/>
  <c r="I193" i="5" s="1"/>
  <c r="E193" i="5"/>
  <c r="H193" i="5" s="1"/>
  <c r="G195" i="5"/>
  <c r="F195" i="5"/>
  <c r="E195" i="5"/>
  <c r="H195" i="5" s="1"/>
  <c r="F197" i="5"/>
  <c r="I197" i="5" s="1"/>
  <c r="G197" i="5"/>
  <c r="E197" i="5"/>
  <c r="H197" i="5" s="1"/>
  <c r="D199" i="5"/>
  <c r="G199" i="5"/>
  <c r="F199" i="5"/>
  <c r="G210" i="5"/>
  <c r="F210" i="5"/>
  <c r="E210" i="5"/>
  <c r="H210" i="5" s="1"/>
  <c r="G212" i="5"/>
  <c r="F212" i="5"/>
  <c r="E212" i="5"/>
  <c r="H212" i="5" s="1"/>
  <c r="E214" i="5"/>
  <c r="H214" i="5" s="1"/>
  <c r="G214" i="5"/>
  <c r="F214" i="5"/>
  <c r="G225" i="5"/>
  <c r="F225" i="5"/>
  <c r="E225" i="5"/>
  <c r="H225" i="5" s="1"/>
  <c r="G227" i="5"/>
  <c r="F227" i="5"/>
  <c r="I227" i="5" s="1"/>
  <c r="E227" i="5"/>
  <c r="H227" i="5" s="1"/>
  <c r="F229" i="5"/>
  <c r="G229" i="5"/>
  <c r="E229" i="5"/>
  <c r="H229" i="5" s="1"/>
  <c r="D231" i="5"/>
  <c r="G231" i="5"/>
  <c r="F231" i="5"/>
  <c r="G242" i="5"/>
  <c r="F242" i="5"/>
  <c r="E242" i="5"/>
  <c r="H242" i="5" s="1"/>
  <c r="G244" i="5"/>
  <c r="F244" i="5"/>
  <c r="I244" i="5" s="1"/>
  <c r="E244" i="5"/>
  <c r="H244" i="5" s="1"/>
  <c r="E246" i="5"/>
  <c r="H246" i="5" s="1"/>
  <c r="G246" i="5"/>
  <c r="F246" i="5"/>
  <c r="I246" i="5" s="1"/>
  <c r="G257" i="5"/>
  <c r="F257" i="5"/>
  <c r="E257" i="5"/>
  <c r="H257" i="5" s="1"/>
  <c r="G259" i="5"/>
  <c r="F259" i="5"/>
  <c r="E259" i="5"/>
  <c r="H259" i="5" s="1"/>
  <c r="F261" i="5"/>
  <c r="G261" i="5"/>
  <c r="E261" i="5"/>
  <c r="H261" i="5" s="1"/>
  <c r="D263" i="5"/>
  <c r="G263" i="5"/>
  <c r="F263" i="5"/>
  <c r="G274" i="5"/>
  <c r="F274" i="5"/>
  <c r="E274" i="5"/>
  <c r="H274" i="5" s="1"/>
  <c r="G276" i="5"/>
  <c r="F276" i="5"/>
  <c r="E276" i="5"/>
  <c r="H276" i="5" s="1"/>
  <c r="E278" i="5"/>
  <c r="H278" i="5" s="1"/>
  <c r="G278" i="5"/>
  <c r="F278" i="5"/>
  <c r="G290" i="5"/>
  <c r="F290" i="5"/>
  <c r="E290" i="5"/>
  <c r="H290" i="5" s="1"/>
  <c r="D290" i="5"/>
  <c r="E294" i="5"/>
  <c r="H294" i="5" s="1"/>
  <c r="G294" i="5"/>
  <c r="F294" i="5"/>
  <c r="I294" i="5" s="1"/>
  <c r="D294" i="5"/>
  <c r="I313" i="5"/>
  <c r="N334" i="6"/>
  <c r="J334" i="5"/>
  <c r="O334" i="6" s="1"/>
  <c r="N343" i="6"/>
  <c r="J343" i="5"/>
  <c r="O343" i="6" s="1"/>
  <c r="N352" i="6"/>
  <c r="J352" i="5"/>
  <c r="O352" i="6" s="1"/>
  <c r="N356" i="6"/>
  <c r="J356" i="5"/>
  <c r="O356" i="6" s="1"/>
  <c r="I8" i="6"/>
  <c r="H8" i="6"/>
  <c r="J8" i="6" s="1"/>
  <c r="K8" i="6" s="1"/>
  <c r="L8" i="6" s="1"/>
  <c r="H37" i="6"/>
  <c r="I37" i="6"/>
  <c r="G10" i="5"/>
  <c r="G18" i="5"/>
  <c r="G26" i="5"/>
  <c r="G34" i="5"/>
  <c r="G42" i="5"/>
  <c r="G50" i="5"/>
  <c r="E61" i="5"/>
  <c r="D61" i="5"/>
  <c r="G61" i="5"/>
  <c r="G67" i="5"/>
  <c r="F67" i="5"/>
  <c r="I67" i="5" s="1"/>
  <c r="E67" i="5"/>
  <c r="H67" i="5" s="1"/>
  <c r="G79" i="5"/>
  <c r="C89" i="5"/>
  <c r="F92" i="5"/>
  <c r="I92" i="5" s="1"/>
  <c r="E92" i="5"/>
  <c r="H92" i="5" s="1"/>
  <c r="D92" i="5"/>
  <c r="G96" i="5"/>
  <c r="I104" i="5"/>
  <c r="G106" i="5"/>
  <c r="F106" i="5"/>
  <c r="I106" i="5" s="1"/>
  <c r="E125" i="5"/>
  <c r="D125" i="5"/>
  <c r="G125" i="5"/>
  <c r="G131" i="5"/>
  <c r="F131" i="5"/>
  <c r="I131" i="5" s="1"/>
  <c r="E131" i="5"/>
  <c r="H131" i="5" s="1"/>
  <c r="G143" i="5"/>
  <c r="C153" i="5"/>
  <c r="H182" i="5"/>
  <c r="H199" i="5"/>
  <c r="H231" i="5"/>
  <c r="H263" i="5"/>
  <c r="G282" i="5"/>
  <c r="F282" i="5"/>
  <c r="E282" i="5"/>
  <c r="D282" i="5"/>
  <c r="G297" i="5"/>
  <c r="F297" i="5"/>
  <c r="E297" i="5"/>
  <c r="H297" i="5" s="1"/>
  <c r="D297" i="5"/>
  <c r="F301" i="5"/>
  <c r="G301" i="5"/>
  <c r="E301" i="5"/>
  <c r="D301" i="5"/>
  <c r="N303" i="6"/>
  <c r="J303" i="5"/>
  <c r="O303" i="6" s="1"/>
  <c r="N312" i="6"/>
  <c r="J312" i="5"/>
  <c r="O312" i="6" s="1"/>
  <c r="N316" i="6"/>
  <c r="J316" i="5"/>
  <c r="O316" i="6" s="1"/>
  <c r="N325" i="6"/>
  <c r="J325" i="5"/>
  <c r="O325" i="6" s="1"/>
  <c r="N337" i="6"/>
  <c r="J337" i="5"/>
  <c r="O337" i="6" s="1"/>
  <c r="N358" i="6"/>
  <c r="J358" i="5"/>
  <c r="O358" i="6" s="1"/>
  <c r="N534" i="6"/>
  <c r="J534" i="5"/>
  <c r="O534" i="6" s="1"/>
  <c r="D46" i="5"/>
  <c r="F46" i="5"/>
  <c r="H66" i="5"/>
  <c r="I80" i="5"/>
  <c r="G107" i="5"/>
  <c r="F107" i="5"/>
  <c r="I107" i="5" s="1"/>
  <c r="E107" i="5"/>
  <c r="H107" i="5" s="1"/>
  <c r="G187" i="5"/>
  <c r="F187" i="5"/>
  <c r="I187" i="5" s="1"/>
  <c r="E187" i="5"/>
  <c r="H187" i="5" s="1"/>
  <c r="G202" i="5"/>
  <c r="F202" i="5"/>
  <c r="E202" i="5"/>
  <c r="H202" i="5" s="1"/>
  <c r="G217" i="5"/>
  <c r="F217" i="5"/>
  <c r="E217" i="5"/>
  <c r="H217" i="5" s="1"/>
  <c r="G251" i="5"/>
  <c r="F251" i="5"/>
  <c r="E251" i="5"/>
  <c r="H251" i="5" s="1"/>
  <c r="G268" i="5"/>
  <c r="F268" i="5"/>
  <c r="I268" i="5" s="1"/>
  <c r="E268" i="5"/>
  <c r="H268" i="5" s="1"/>
  <c r="F293" i="5"/>
  <c r="G293" i="5"/>
  <c r="E293" i="5"/>
  <c r="H293" i="5" s="1"/>
  <c r="D293" i="5"/>
  <c r="N308" i="6"/>
  <c r="J308" i="5"/>
  <c r="O308" i="6" s="1"/>
  <c r="N359" i="6"/>
  <c r="J359" i="5"/>
  <c r="O359" i="6" s="1"/>
  <c r="F530" i="5"/>
  <c r="G530" i="5"/>
  <c r="E530" i="5"/>
  <c r="H530" i="5" s="1"/>
  <c r="F4" i="5"/>
  <c r="D4" i="5"/>
  <c r="F12" i="5"/>
  <c r="I12" i="5" s="1"/>
  <c r="D12" i="5"/>
  <c r="F20" i="5"/>
  <c r="I20" i="5" s="1"/>
  <c r="D20" i="5"/>
  <c r="F28" i="5"/>
  <c r="I28" i="5" s="1"/>
  <c r="D28" i="5"/>
  <c r="F36" i="5"/>
  <c r="D36" i="5"/>
  <c r="F44" i="5"/>
  <c r="I44" i="5" s="1"/>
  <c r="D44" i="5"/>
  <c r="F52" i="5"/>
  <c r="I52" i="5" s="1"/>
  <c r="D52" i="5"/>
  <c r="F100" i="5"/>
  <c r="I100" i="5" s="1"/>
  <c r="E100" i="5"/>
  <c r="H100" i="5" s="1"/>
  <c r="D100" i="5"/>
  <c r="E133" i="5"/>
  <c r="H133" i="5" s="1"/>
  <c r="D133" i="5"/>
  <c r="G133" i="5"/>
  <c r="G186" i="5"/>
  <c r="F186" i="5"/>
  <c r="E186" i="5"/>
  <c r="F205" i="5"/>
  <c r="G205" i="5"/>
  <c r="E205" i="5"/>
  <c r="H205" i="5" s="1"/>
  <c r="G218" i="5"/>
  <c r="F218" i="5"/>
  <c r="E218" i="5"/>
  <c r="F237" i="5"/>
  <c r="G237" i="5"/>
  <c r="E237" i="5"/>
  <c r="H237" i="5" s="1"/>
  <c r="G250" i="5"/>
  <c r="F250" i="5"/>
  <c r="E250" i="5"/>
  <c r="G267" i="5"/>
  <c r="F267" i="5"/>
  <c r="E267" i="5"/>
  <c r="F285" i="5"/>
  <c r="G285" i="5"/>
  <c r="E285" i="5"/>
  <c r="D285" i="5"/>
  <c r="N318" i="6"/>
  <c r="J318" i="5"/>
  <c r="O318" i="6" s="1"/>
  <c r="F541" i="5"/>
  <c r="G541" i="5"/>
  <c r="D541" i="5"/>
  <c r="E541" i="5"/>
  <c r="H541" i="5" s="1"/>
  <c r="G75" i="5"/>
  <c r="F75" i="5"/>
  <c r="E75" i="5"/>
  <c r="C97" i="5"/>
  <c r="G201" i="5"/>
  <c r="F201" i="5"/>
  <c r="E201" i="5"/>
  <c r="H201" i="5" s="1"/>
  <c r="G220" i="5"/>
  <c r="F220" i="5"/>
  <c r="E220" i="5"/>
  <c r="G235" i="5"/>
  <c r="F235" i="5"/>
  <c r="E235" i="5"/>
  <c r="E254" i="5"/>
  <c r="G254" i="5"/>
  <c r="F254" i="5"/>
  <c r="G265" i="5"/>
  <c r="F265" i="5"/>
  <c r="E265" i="5"/>
  <c r="N288" i="6"/>
  <c r="J288" i="5"/>
  <c r="O288" i="6" s="1"/>
  <c r="N327" i="6"/>
  <c r="J327" i="5"/>
  <c r="O327" i="6" s="1"/>
  <c r="N349" i="6"/>
  <c r="J349" i="5"/>
  <c r="O349" i="6" s="1"/>
  <c r="E4" i="5"/>
  <c r="C7" i="5"/>
  <c r="I7" i="5"/>
  <c r="E8" i="5"/>
  <c r="H8" i="5" s="1"/>
  <c r="E12" i="5"/>
  <c r="H12" i="5" s="1"/>
  <c r="C15" i="5"/>
  <c r="E16" i="5"/>
  <c r="H16" i="5" s="1"/>
  <c r="E20" i="5"/>
  <c r="H20" i="5" s="1"/>
  <c r="C23" i="5"/>
  <c r="E24" i="5"/>
  <c r="H24" i="5" s="1"/>
  <c r="E28" i="5"/>
  <c r="H28" i="5" s="1"/>
  <c r="C31" i="5"/>
  <c r="E32" i="5"/>
  <c r="H32" i="5" s="1"/>
  <c r="E36" i="5"/>
  <c r="C39" i="5"/>
  <c r="E40" i="5"/>
  <c r="H40" i="5" s="1"/>
  <c r="E44" i="5"/>
  <c r="H44" i="5" s="1"/>
  <c r="C47" i="5"/>
  <c r="E48" i="5"/>
  <c r="H48" i="5" s="1"/>
  <c r="I51" i="5"/>
  <c r="E52" i="5"/>
  <c r="H52" i="5" s="1"/>
  <c r="C55" i="5"/>
  <c r="F56" i="5"/>
  <c r="G58" i="5"/>
  <c r="F58" i="5"/>
  <c r="E64" i="5"/>
  <c r="H64" i="5" s="1"/>
  <c r="F69" i="5"/>
  <c r="D75" i="5"/>
  <c r="E77" i="5"/>
  <c r="H77" i="5" s="1"/>
  <c r="I77" i="5" s="1"/>
  <c r="D77" i="5"/>
  <c r="G77" i="5"/>
  <c r="G95" i="5"/>
  <c r="G100" i="5"/>
  <c r="F103" i="5"/>
  <c r="C105" i="5"/>
  <c r="E106" i="5"/>
  <c r="H106" i="5" s="1"/>
  <c r="D111" i="5"/>
  <c r="H111" i="5" s="1"/>
  <c r="G112" i="5"/>
  <c r="D114" i="5"/>
  <c r="F120" i="5"/>
  <c r="G122" i="5"/>
  <c r="F122" i="5"/>
  <c r="I122" i="5" s="1"/>
  <c r="E128" i="5"/>
  <c r="H128" i="5" s="1"/>
  <c r="F133" i="5"/>
  <c r="I133" i="5" s="1"/>
  <c r="D139" i="5"/>
  <c r="E141" i="5"/>
  <c r="D141" i="5"/>
  <c r="G141" i="5"/>
  <c r="G159" i="5"/>
  <c r="F159" i="5"/>
  <c r="I159" i="5" s="1"/>
  <c r="I161" i="5"/>
  <c r="G167" i="5"/>
  <c r="F167" i="5"/>
  <c r="G175" i="5"/>
  <c r="F175" i="5"/>
  <c r="I175" i="5" s="1"/>
  <c r="G183" i="5"/>
  <c r="F183" i="5"/>
  <c r="D186" i="5"/>
  <c r="D188" i="5"/>
  <c r="H192" i="5"/>
  <c r="I192" i="5" s="1"/>
  <c r="D201" i="5"/>
  <c r="D203" i="5"/>
  <c r="D205" i="5"/>
  <c r="D218" i="5"/>
  <c r="D220" i="5"/>
  <c r="D222" i="5"/>
  <c r="H224" i="5"/>
  <c r="I224" i="5" s="1"/>
  <c r="D235" i="5"/>
  <c r="D237" i="5"/>
  <c r="E239" i="5"/>
  <c r="H239" i="5" s="1"/>
  <c r="D250" i="5"/>
  <c r="D254" i="5"/>
  <c r="H256" i="5"/>
  <c r="I256" i="5" s="1"/>
  <c r="D265" i="5"/>
  <c r="D267" i="5"/>
  <c r="E271" i="5"/>
  <c r="H271" i="5" s="1"/>
  <c r="G298" i="5"/>
  <c r="F298" i="5"/>
  <c r="E298" i="5"/>
  <c r="D298" i="5"/>
  <c r="N302" i="6"/>
  <c r="J302" i="5"/>
  <c r="O302" i="6" s="1"/>
  <c r="N309" i="6"/>
  <c r="J309" i="5"/>
  <c r="O309" i="6" s="1"/>
  <c r="I321" i="5"/>
  <c r="N342" i="6"/>
  <c r="J342" i="5"/>
  <c r="O342" i="6" s="1"/>
  <c r="N351" i="6"/>
  <c r="J351" i="5"/>
  <c r="O351" i="6" s="1"/>
  <c r="N360" i="6"/>
  <c r="J360" i="5"/>
  <c r="O360" i="6" s="1"/>
  <c r="N441" i="6"/>
  <c r="J441" i="5"/>
  <c r="O441" i="6" s="1"/>
  <c r="H489" i="5"/>
  <c r="J491" i="5"/>
  <c r="O491" i="6" s="1"/>
  <c r="J539" i="5"/>
  <c r="O539" i="6" s="1"/>
  <c r="H6" i="6"/>
  <c r="I6" i="6"/>
  <c r="J23" i="6"/>
  <c r="K23" i="6" s="1"/>
  <c r="L23" i="6" s="1"/>
  <c r="H32" i="6"/>
  <c r="I32" i="6"/>
  <c r="N8" i="6"/>
  <c r="J8" i="5"/>
  <c r="O8" i="6" s="1"/>
  <c r="D54" i="5"/>
  <c r="F54" i="5"/>
  <c r="F68" i="5"/>
  <c r="E68" i="5"/>
  <c r="D68" i="5"/>
  <c r="E101" i="5"/>
  <c r="H101" i="5" s="1"/>
  <c r="I101" i="5" s="1"/>
  <c r="D101" i="5"/>
  <c r="G101" i="5"/>
  <c r="H130" i="5"/>
  <c r="F189" i="5"/>
  <c r="I189" i="5" s="1"/>
  <c r="G189" i="5"/>
  <c r="E189" i="5"/>
  <c r="H189" i="5" s="1"/>
  <c r="E206" i="5"/>
  <c r="H206" i="5" s="1"/>
  <c r="G206" i="5"/>
  <c r="F206" i="5"/>
  <c r="G219" i="5"/>
  <c r="F219" i="5"/>
  <c r="E219" i="5"/>
  <c r="H219" i="5" s="1"/>
  <c r="G236" i="5"/>
  <c r="F236" i="5"/>
  <c r="E236" i="5"/>
  <c r="H236" i="5" s="1"/>
  <c r="G249" i="5"/>
  <c r="F249" i="5"/>
  <c r="E249" i="5"/>
  <c r="H249" i="5" s="1"/>
  <c r="E270" i="5"/>
  <c r="H270" i="5" s="1"/>
  <c r="G270" i="5"/>
  <c r="F270" i="5"/>
  <c r="N304" i="6"/>
  <c r="J304" i="5"/>
  <c r="O304" i="6" s="1"/>
  <c r="N350" i="6"/>
  <c r="J350" i="5"/>
  <c r="O350" i="6" s="1"/>
  <c r="E510" i="5"/>
  <c r="H510" i="5" s="1"/>
  <c r="G510" i="5"/>
  <c r="F510" i="5"/>
  <c r="I83" i="5"/>
  <c r="I112" i="5"/>
  <c r="I147" i="5"/>
  <c r="E190" i="5"/>
  <c r="H190" i="5" s="1"/>
  <c r="G190" i="5"/>
  <c r="F190" i="5"/>
  <c r="D207" i="5"/>
  <c r="H207" i="5" s="1"/>
  <c r="G207" i="5"/>
  <c r="F207" i="5"/>
  <c r="G233" i="5"/>
  <c r="F233" i="5"/>
  <c r="E233" i="5"/>
  <c r="H233" i="5" s="1"/>
  <c r="G252" i="5"/>
  <c r="F252" i="5"/>
  <c r="I252" i="5" s="1"/>
  <c r="E252" i="5"/>
  <c r="H252" i="5" s="1"/>
  <c r="F269" i="5"/>
  <c r="G269" i="5"/>
  <c r="E269" i="5"/>
  <c r="H269" i="5" s="1"/>
  <c r="D295" i="5"/>
  <c r="G295" i="5"/>
  <c r="F295" i="5"/>
  <c r="E295" i="5"/>
  <c r="H295" i="5" s="1"/>
  <c r="N340" i="6"/>
  <c r="J340" i="5"/>
  <c r="O340" i="6" s="1"/>
  <c r="G4" i="5"/>
  <c r="G11" i="5"/>
  <c r="E11" i="5"/>
  <c r="H11" i="5" s="1"/>
  <c r="I11" i="5" s="1"/>
  <c r="F16" i="5"/>
  <c r="I16" i="5" s="1"/>
  <c r="G27" i="5"/>
  <c r="E27" i="5"/>
  <c r="H27" i="5" s="1"/>
  <c r="I27" i="5" s="1"/>
  <c r="F32" i="5"/>
  <c r="I32" i="5" s="1"/>
  <c r="G43" i="5"/>
  <c r="E43" i="5"/>
  <c r="H43" i="5" s="1"/>
  <c r="I43" i="5" s="1"/>
  <c r="G44" i="5"/>
  <c r="F48" i="5"/>
  <c r="I48" i="5" s="1"/>
  <c r="G52" i="5"/>
  <c r="G56" i="5"/>
  <c r="F64" i="5"/>
  <c r="I64" i="5" s="1"/>
  <c r="E85" i="5"/>
  <c r="D85" i="5"/>
  <c r="G85" i="5"/>
  <c r="I99" i="5"/>
  <c r="G103" i="5"/>
  <c r="F116" i="5"/>
  <c r="E116" i="5"/>
  <c r="D116" i="5"/>
  <c r="G120" i="5"/>
  <c r="F128" i="5"/>
  <c r="I128" i="5" s="1"/>
  <c r="E157" i="5"/>
  <c r="H157" i="5" s="1"/>
  <c r="G157" i="5"/>
  <c r="F157" i="5"/>
  <c r="G163" i="5"/>
  <c r="F163" i="5"/>
  <c r="E163" i="5"/>
  <c r="H163" i="5" s="1"/>
  <c r="G171" i="5"/>
  <c r="F171" i="5"/>
  <c r="I171" i="5" s="1"/>
  <c r="E171" i="5"/>
  <c r="H171" i="5" s="1"/>
  <c r="G177" i="5"/>
  <c r="F177" i="5"/>
  <c r="E177" i="5"/>
  <c r="H177" i="5" s="1"/>
  <c r="I177" i="5" s="1"/>
  <c r="E181" i="5"/>
  <c r="H181" i="5" s="1"/>
  <c r="G181" i="5"/>
  <c r="F181" i="5"/>
  <c r="G194" i="5"/>
  <c r="F194" i="5"/>
  <c r="E194" i="5"/>
  <c r="H194" i="5" s="1"/>
  <c r="E198" i="5"/>
  <c r="H198" i="5" s="1"/>
  <c r="G198" i="5"/>
  <c r="F198" i="5"/>
  <c r="G209" i="5"/>
  <c r="F209" i="5"/>
  <c r="E209" i="5"/>
  <c r="H209" i="5" s="1"/>
  <c r="G211" i="5"/>
  <c r="F211" i="5"/>
  <c r="I211" i="5" s="1"/>
  <c r="E211" i="5"/>
  <c r="H211" i="5" s="1"/>
  <c r="F213" i="5"/>
  <c r="I213" i="5" s="1"/>
  <c r="G213" i="5"/>
  <c r="E213" i="5"/>
  <c r="H213" i="5" s="1"/>
  <c r="D215" i="5"/>
  <c r="H215" i="5" s="1"/>
  <c r="G215" i="5"/>
  <c r="F215" i="5"/>
  <c r="G226" i="5"/>
  <c r="F226" i="5"/>
  <c r="E226" i="5"/>
  <c r="H226" i="5" s="1"/>
  <c r="G228" i="5"/>
  <c r="F228" i="5"/>
  <c r="I228" i="5" s="1"/>
  <c r="E228" i="5"/>
  <c r="H228" i="5" s="1"/>
  <c r="E230" i="5"/>
  <c r="H230" i="5" s="1"/>
  <c r="G230" i="5"/>
  <c r="F230" i="5"/>
  <c r="I230" i="5" s="1"/>
  <c r="G241" i="5"/>
  <c r="F241" i="5"/>
  <c r="I241" i="5" s="1"/>
  <c r="E241" i="5"/>
  <c r="H241" i="5" s="1"/>
  <c r="G243" i="5"/>
  <c r="F243" i="5"/>
  <c r="E243" i="5"/>
  <c r="H243" i="5" s="1"/>
  <c r="F245" i="5"/>
  <c r="G245" i="5"/>
  <c r="E245" i="5"/>
  <c r="H245" i="5" s="1"/>
  <c r="D247" i="5"/>
  <c r="H247" i="5" s="1"/>
  <c r="G247" i="5"/>
  <c r="F247" i="5"/>
  <c r="G258" i="5"/>
  <c r="F258" i="5"/>
  <c r="E258" i="5"/>
  <c r="H258" i="5" s="1"/>
  <c r="G260" i="5"/>
  <c r="F260" i="5"/>
  <c r="E260" i="5"/>
  <c r="H260" i="5" s="1"/>
  <c r="E262" i="5"/>
  <c r="H262" i="5" s="1"/>
  <c r="G262" i="5"/>
  <c r="F262" i="5"/>
  <c r="G273" i="5"/>
  <c r="F273" i="5"/>
  <c r="E273" i="5"/>
  <c r="H273" i="5" s="1"/>
  <c r="G275" i="5"/>
  <c r="F275" i="5"/>
  <c r="I275" i="5" s="1"/>
  <c r="E275" i="5"/>
  <c r="H275" i="5" s="1"/>
  <c r="F277" i="5"/>
  <c r="G277" i="5"/>
  <c r="E277" i="5"/>
  <c r="H277" i="5" s="1"/>
  <c r="D279" i="5"/>
  <c r="H279" i="5" s="1"/>
  <c r="G279" i="5"/>
  <c r="F279" i="5"/>
  <c r="G283" i="5"/>
  <c r="F283" i="5"/>
  <c r="E283" i="5"/>
  <c r="H283" i="5" s="1"/>
  <c r="D283" i="5"/>
  <c r="G292" i="5"/>
  <c r="F292" i="5"/>
  <c r="E292" i="5"/>
  <c r="H292" i="5" s="1"/>
  <c r="D292" i="5"/>
  <c r="N311" i="6"/>
  <c r="J311" i="5"/>
  <c r="O311" i="6" s="1"/>
  <c r="N320" i="6"/>
  <c r="J320" i="5"/>
  <c r="O320" i="6" s="1"/>
  <c r="N324" i="6"/>
  <c r="J324" i="5"/>
  <c r="O324" i="6" s="1"/>
  <c r="N333" i="6"/>
  <c r="J333" i="5"/>
  <c r="O333" i="6" s="1"/>
  <c r="I345" i="5"/>
  <c r="N473" i="6"/>
  <c r="J473" i="5"/>
  <c r="O473" i="6" s="1"/>
  <c r="N501" i="6"/>
  <c r="J501" i="5"/>
  <c r="O501" i="6" s="1"/>
  <c r="N511" i="6"/>
  <c r="J511" i="5"/>
  <c r="O511" i="6" s="1"/>
  <c r="G516" i="5"/>
  <c r="F516" i="5"/>
  <c r="D516" i="5"/>
  <c r="H516" i="5" s="1"/>
  <c r="F540" i="6"/>
  <c r="F534" i="6"/>
  <c r="F523" i="6"/>
  <c r="F543" i="6"/>
  <c r="F541" i="6"/>
  <c r="F527" i="6"/>
  <c r="F522" i="6"/>
  <c r="F538" i="6"/>
  <c r="F537" i="6"/>
  <c r="F532" i="6"/>
  <c r="F521" i="6"/>
  <c r="F516" i="6"/>
  <c r="F531" i="6"/>
  <c r="F526" i="6"/>
  <c r="F515" i="6"/>
  <c r="F533" i="6"/>
  <c r="F529" i="6"/>
  <c r="F528" i="6"/>
  <c r="F524" i="6"/>
  <c r="F504" i="6"/>
  <c r="F530" i="6"/>
  <c r="F519" i="6"/>
  <c r="F511" i="6"/>
  <c r="F510" i="6"/>
  <c r="F507" i="6"/>
  <c r="F502" i="6"/>
  <c r="F539" i="6"/>
  <c r="F542" i="6"/>
  <c r="F535" i="6"/>
  <c r="F525" i="6"/>
  <c r="F536" i="6"/>
  <c r="F520" i="6"/>
  <c r="F499" i="6"/>
  <c r="F498" i="6"/>
  <c r="F489" i="6"/>
  <c r="F517" i="6"/>
  <c r="F508" i="6"/>
  <c r="F501" i="6"/>
  <c r="F493" i="6"/>
  <c r="F488" i="6"/>
  <c r="F512" i="6"/>
  <c r="F509" i="6"/>
  <c r="F469" i="6"/>
  <c r="F465" i="6"/>
  <c r="F461" i="6"/>
  <c r="F503" i="6"/>
  <c r="F505" i="6"/>
  <c r="F470" i="6"/>
  <c r="F466" i="6"/>
  <c r="F462" i="6"/>
  <c r="F458" i="6"/>
  <c r="F513" i="6"/>
  <c r="F494" i="6"/>
  <c r="F490" i="6"/>
  <c r="F514" i="6"/>
  <c r="F506" i="6"/>
  <c r="F496" i="6"/>
  <c r="F491" i="6"/>
  <c r="F483" i="6"/>
  <c r="F481" i="6"/>
  <c r="F475" i="6"/>
  <c r="F457" i="6"/>
  <c r="F453" i="6"/>
  <c r="F449" i="6"/>
  <c r="F445" i="6"/>
  <c r="F441" i="6"/>
  <c r="F437" i="6"/>
  <c r="F500" i="6"/>
  <c r="F497" i="6"/>
  <c r="F495" i="6"/>
  <c r="F492" i="6"/>
  <c r="F476" i="6"/>
  <c r="F464" i="6"/>
  <c r="F459" i="6"/>
  <c r="F433" i="6"/>
  <c r="F429" i="6"/>
  <c r="F425" i="6"/>
  <c r="F421" i="6"/>
  <c r="F417" i="6"/>
  <c r="F413" i="6"/>
  <c r="F409" i="6"/>
  <c r="F405" i="6"/>
  <c r="F401" i="6"/>
  <c r="F487" i="6"/>
  <c r="F484" i="6"/>
  <c r="F478" i="6"/>
  <c r="F460" i="6"/>
  <c r="F454" i="6"/>
  <c r="F450" i="6"/>
  <c r="F446" i="6"/>
  <c r="F442" i="6"/>
  <c r="F438" i="6"/>
  <c r="F436" i="6"/>
  <c r="F432" i="6"/>
  <c r="F428" i="6"/>
  <c r="F424" i="6"/>
  <c r="F420" i="6"/>
  <c r="F416" i="6"/>
  <c r="F412" i="6"/>
  <c r="F408" i="6"/>
  <c r="F477" i="6"/>
  <c r="F472" i="6"/>
  <c r="F455" i="6"/>
  <c r="F435" i="6"/>
  <c r="F431" i="6"/>
  <c r="F427" i="6"/>
  <c r="F423" i="6"/>
  <c r="F419" i="6"/>
  <c r="F415" i="6"/>
  <c r="F411" i="6"/>
  <c r="F463" i="6"/>
  <c r="F486" i="6"/>
  <c r="F474" i="6"/>
  <c r="F471" i="6"/>
  <c r="F480" i="6"/>
  <c r="F451" i="6"/>
  <c r="F479" i="6"/>
  <c r="F467" i="6"/>
  <c r="F485" i="6"/>
  <c r="F468" i="6"/>
  <c r="F410" i="6"/>
  <c r="F397" i="6"/>
  <c r="F393" i="6"/>
  <c r="F456" i="6"/>
  <c r="F440" i="6"/>
  <c r="F414" i="6"/>
  <c r="F448" i="6"/>
  <c r="F444" i="6"/>
  <c r="F434" i="6"/>
  <c r="F430" i="6"/>
  <c r="F426" i="6"/>
  <c r="F422" i="6"/>
  <c r="F482" i="6"/>
  <c r="F473" i="6"/>
  <c r="F447" i="6"/>
  <c r="F398" i="6"/>
  <c r="F394" i="6"/>
  <c r="F391" i="6"/>
  <c r="F389" i="6"/>
  <c r="F387" i="6"/>
  <c r="F385" i="6"/>
  <c r="F383" i="6"/>
  <c r="F381" i="6"/>
  <c r="F379" i="6"/>
  <c r="F377" i="6"/>
  <c r="F375" i="6"/>
  <c r="F373" i="6"/>
  <c r="F371" i="6"/>
  <c r="F369" i="6"/>
  <c r="F367" i="6"/>
  <c r="F365" i="6"/>
  <c r="F452" i="6"/>
  <c r="F406" i="6"/>
  <c r="F400" i="6"/>
  <c r="F384" i="6"/>
  <c r="F368" i="6"/>
  <c r="F362" i="6"/>
  <c r="F418" i="6"/>
  <c r="F402" i="6"/>
  <c r="F386" i="6"/>
  <c r="F370" i="6"/>
  <c r="F357" i="6"/>
  <c r="F355" i="6"/>
  <c r="F353" i="6"/>
  <c r="F351" i="6"/>
  <c r="F349" i="6"/>
  <c r="F347" i="6"/>
  <c r="F345" i="6"/>
  <c r="F343" i="6"/>
  <c r="F341" i="6"/>
  <c r="F339" i="6"/>
  <c r="F337" i="6"/>
  <c r="F335" i="6"/>
  <c r="F333" i="6"/>
  <c r="F331" i="6"/>
  <c r="F329" i="6"/>
  <c r="F327" i="6"/>
  <c r="F325" i="6"/>
  <c r="F323" i="6"/>
  <c r="F321" i="6"/>
  <c r="F319" i="6"/>
  <c r="F317" i="6"/>
  <c r="F315" i="6"/>
  <c r="F313" i="6"/>
  <c r="F311" i="6"/>
  <c r="F309" i="6"/>
  <c r="F307" i="6"/>
  <c r="F305" i="6"/>
  <c r="F303" i="6"/>
  <c r="F301" i="6"/>
  <c r="F299" i="6"/>
  <c r="F297" i="6"/>
  <c r="F295" i="6"/>
  <c r="F293" i="6"/>
  <c r="F291" i="6"/>
  <c r="F289" i="6"/>
  <c r="F287" i="6"/>
  <c r="F285" i="6"/>
  <c r="F283" i="6"/>
  <c r="F443" i="6"/>
  <c r="F407" i="6"/>
  <c r="F395" i="6"/>
  <c r="F392" i="6"/>
  <c r="F439" i="6"/>
  <c r="F404" i="6"/>
  <c r="F382" i="6"/>
  <c r="F366" i="6"/>
  <c r="F363" i="6"/>
  <c r="F358" i="6"/>
  <c r="F310" i="6"/>
  <c r="F380" i="6"/>
  <c r="F356" i="6"/>
  <c r="F352" i="6"/>
  <c r="F348" i="6"/>
  <c r="F344" i="6"/>
  <c r="F340" i="6"/>
  <c r="F336" i="6"/>
  <c r="F332" i="6"/>
  <c r="F403" i="6"/>
  <c r="F390" i="6"/>
  <c r="F378" i="6"/>
  <c r="F376" i="6"/>
  <c r="F300" i="6"/>
  <c r="F284" i="6"/>
  <c r="F275" i="6"/>
  <c r="F270" i="6"/>
  <c r="F259" i="6"/>
  <c r="F399" i="6"/>
  <c r="F396" i="6"/>
  <c r="F361" i="6"/>
  <c r="F359" i="6"/>
  <c r="F302" i="6"/>
  <c r="F286" i="6"/>
  <c r="F280" i="6"/>
  <c r="F269" i="6"/>
  <c r="F360" i="6"/>
  <c r="F308" i="6"/>
  <c r="F292" i="6"/>
  <c r="F278" i="6"/>
  <c r="F267" i="6"/>
  <c r="F262" i="6"/>
  <c r="F294" i="6"/>
  <c r="F342" i="6"/>
  <c r="F312" i="6"/>
  <c r="F296" i="6"/>
  <c r="F288" i="6"/>
  <c r="F281" i="6"/>
  <c r="F277" i="6"/>
  <c r="F263" i="6"/>
  <c r="F252" i="6"/>
  <c r="F248" i="6"/>
  <c r="F244" i="6"/>
  <c r="F240" i="6"/>
  <c r="F236" i="6"/>
  <c r="F232" i="6"/>
  <c r="F228" i="6"/>
  <c r="F224" i="6"/>
  <c r="F220" i="6"/>
  <c r="F216" i="6"/>
  <c r="F212" i="6"/>
  <c r="F208" i="6"/>
  <c r="F204" i="6"/>
  <c r="F200" i="6"/>
  <c r="F196" i="6"/>
  <c r="F192" i="6"/>
  <c r="F188" i="6"/>
  <c r="F184" i="6"/>
  <c r="F180" i="6"/>
  <c r="F176" i="6"/>
  <c r="F173" i="6"/>
  <c r="F171" i="6"/>
  <c r="F169" i="6"/>
  <c r="F167" i="6"/>
  <c r="F165" i="6"/>
  <c r="F163" i="6"/>
  <c r="F161" i="6"/>
  <c r="F159" i="6"/>
  <c r="F157" i="6"/>
  <c r="F155" i="6"/>
  <c r="F153" i="6"/>
  <c r="F151" i="6"/>
  <c r="F149" i="6"/>
  <c r="F147" i="6"/>
  <c r="F145" i="6"/>
  <c r="F143" i="6"/>
  <c r="F141" i="6"/>
  <c r="F139" i="6"/>
  <c r="F137" i="6"/>
  <c r="F135" i="6"/>
  <c r="F133" i="6"/>
  <c r="F330" i="6"/>
  <c r="F354" i="6"/>
  <c r="F338" i="6"/>
  <c r="F328" i="6"/>
  <c r="F326" i="6"/>
  <c r="F290" i="6"/>
  <c r="F271" i="6"/>
  <c r="F264" i="6"/>
  <c r="F257" i="6"/>
  <c r="F255" i="6"/>
  <c r="F251" i="6"/>
  <c r="F247" i="6"/>
  <c r="F243" i="6"/>
  <c r="F239" i="6"/>
  <c r="F372" i="6"/>
  <c r="F364" i="6"/>
  <c r="F324" i="6"/>
  <c r="F322" i="6"/>
  <c r="F298" i="6"/>
  <c r="F265" i="6"/>
  <c r="F261" i="6"/>
  <c r="F388" i="6"/>
  <c r="F350" i="6"/>
  <c r="F334" i="6"/>
  <c r="F320" i="6"/>
  <c r="F318" i="6"/>
  <c r="F374" i="6"/>
  <c r="F346" i="6"/>
  <c r="F274" i="6"/>
  <c r="F272" i="6"/>
  <c r="F266" i="6"/>
  <c r="F279" i="6"/>
  <c r="F273" i="6"/>
  <c r="F253" i="6"/>
  <c r="F249" i="6"/>
  <c r="F245" i="6"/>
  <c r="F241" i="6"/>
  <c r="F237" i="6"/>
  <c r="F233" i="6"/>
  <c r="F306" i="6"/>
  <c r="F234" i="6"/>
  <c r="F229" i="6"/>
  <c r="F211" i="6"/>
  <c r="F210" i="6"/>
  <c r="F207" i="6"/>
  <c r="F206" i="6"/>
  <c r="F203" i="6"/>
  <c r="F202" i="6"/>
  <c r="F199" i="6"/>
  <c r="F198" i="6"/>
  <c r="F195" i="6"/>
  <c r="F194" i="6"/>
  <c r="F191" i="6"/>
  <c r="F190" i="6"/>
  <c r="F187" i="6"/>
  <c r="F186" i="6"/>
  <c r="F183" i="6"/>
  <c r="F182" i="6"/>
  <c r="F179" i="6"/>
  <c r="F178" i="6"/>
  <c r="F175" i="6"/>
  <c r="F174" i="6"/>
  <c r="F170" i="6"/>
  <c r="F166" i="6"/>
  <c r="F162" i="6"/>
  <c r="F158" i="6"/>
  <c r="F154" i="6"/>
  <c r="F150" i="6"/>
  <c r="F146" i="6"/>
  <c r="F142" i="6"/>
  <c r="F138" i="6"/>
  <c r="F134" i="6"/>
  <c r="F282" i="6"/>
  <c r="F316" i="6"/>
  <c r="F276" i="6"/>
  <c r="F260" i="6"/>
  <c r="F314" i="6"/>
  <c r="F223" i="6"/>
  <c r="F218" i="6"/>
  <c r="F213" i="6"/>
  <c r="F518" i="6"/>
  <c r="F304" i="6"/>
  <c r="F268" i="6"/>
  <c r="F258" i="6"/>
  <c r="F215" i="6"/>
  <c r="F256" i="6"/>
  <c r="F238" i="6"/>
  <c r="F235" i="6"/>
  <c r="F226" i="6"/>
  <c r="F148" i="6"/>
  <c r="F123" i="6"/>
  <c r="F119" i="6"/>
  <c r="F115" i="6"/>
  <c r="F111" i="6"/>
  <c r="F225" i="6"/>
  <c r="F217" i="6"/>
  <c r="F219" i="6"/>
  <c r="F254" i="6"/>
  <c r="F250" i="6"/>
  <c r="F231" i="6"/>
  <c r="F230" i="6"/>
  <c r="F227" i="6"/>
  <c r="F221" i="6"/>
  <c r="F205" i="6"/>
  <c r="F197" i="6"/>
  <c r="F189" i="6"/>
  <c r="F181" i="6"/>
  <c r="F152" i="6"/>
  <c r="F242" i="6"/>
  <c r="F177" i="6"/>
  <c r="F136" i="6"/>
  <c r="F132" i="6"/>
  <c r="F129" i="6"/>
  <c r="F164" i="6"/>
  <c r="F124" i="6"/>
  <c r="F106" i="6"/>
  <c r="F102" i="6"/>
  <c r="F98" i="6"/>
  <c r="F94" i="6"/>
  <c r="F90" i="6"/>
  <c r="F86" i="6"/>
  <c r="F82" i="6"/>
  <c r="F78" i="6"/>
  <c r="F74" i="6"/>
  <c r="F70" i="6"/>
  <c r="F66" i="6"/>
  <c r="F62" i="6"/>
  <c r="F58" i="6"/>
  <c r="F54" i="6"/>
  <c r="F50" i="6"/>
  <c r="F46" i="6"/>
  <c r="F42" i="6"/>
  <c r="F168" i="6"/>
  <c r="F140" i="6"/>
  <c r="F130" i="6"/>
  <c r="F127" i="6"/>
  <c r="F222" i="6"/>
  <c r="F209" i="6"/>
  <c r="F144" i="6"/>
  <c r="F121" i="6"/>
  <c r="F120" i="6"/>
  <c r="F105" i="6"/>
  <c r="F101" i="6"/>
  <c r="F97" i="6"/>
  <c r="F93" i="6"/>
  <c r="F89" i="6"/>
  <c r="F85" i="6"/>
  <c r="F81" i="6"/>
  <c r="F77" i="6"/>
  <c r="F73" i="6"/>
  <c r="F69" i="6"/>
  <c r="F65" i="6"/>
  <c r="F61" i="6"/>
  <c r="F57" i="6"/>
  <c r="F53" i="6"/>
  <c r="F49" i="6"/>
  <c r="F45" i="6"/>
  <c r="F41" i="6"/>
  <c r="F37" i="6"/>
  <c r="F33" i="6"/>
  <c r="F29" i="6"/>
  <c r="F25" i="6"/>
  <c r="F21" i="6"/>
  <c r="F17" i="6"/>
  <c r="F13" i="6"/>
  <c r="F9" i="6"/>
  <c r="F160" i="6"/>
  <c r="F156" i="6"/>
  <c r="F118" i="6"/>
  <c r="F107" i="6"/>
  <c r="F103" i="6"/>
  <c r="F99" i="6"/>
  <c r="F95" i="6"/>
  <c r="F91" i="6"/>
  <c r="F87" i="6"/>
  <c r="F83" i="6"/>
  <c r="F79" i="6"/>
  <c r="F75" i="6"/>
  <c r="F71" i="6"/>
  <c r="F67" i="6"/>
  <c r="F63" i="6"/>
  <c r="F59" i="6"/>
  <c r="F55" i="6"/>
  <c r="F51" i="6"/>
  <c r="F47" i="6"/>
  <c r="F43" i="6"/>
  <c r="F39" i="6"/>
  <c r="F35" i="6"/>
  <c r="F31" i="6"/>
  <c r="F27" i="6"/>
  <c r="F23" i="6"/>
  <c r="F19" i="6"/>
  <c r="F15" i="6"/>
  <c r="F11" i="6"/>
  <c r="F117" i="6"/>
  <c r="F246" i="6"/>
  <c r="F185" i="6"/>
  <c r="F122" i="6"/>
  <c r="F116" i="6"/>
  <c r="F88" i="6"/>
  <c r="F193" i="6"/>
  <c r="F131" i="6"/>
  <c r="F126" i="6"/>
  <c r="F125" i="6"/>
  <c r="F112" i="6"/>
  <c r="F84" i="6"/>
  <c r="F52" i="6"/>
  <c r="F4" i="6"/>
  <c r="F214" i="6"/>
  <c r="F201" i="6"/>
  <c r="F172" i="6"/>
  <c r="F110" i="6"/>
  <c r="F104" i="6"/>
  <c r="F72" i="6"/>
  <c r="F36" i="6"/>
  <c r="F32" i="6"/>
  <c r="F28" i="6"/>
  <c r="F24" i="6"/>
  <c r="F20" i="6"/>
  <c r="F16" i="6"/>
  <c r="F12" i="6"/>
  <c r="F109" i="6"/>
  <c r="F38" i="6"/>
  <c r="F22" i="6"/>
  <c r="F128" i="6"/>
  <c r="F114" i="6"/>
  <c r="F113" i="6"/>
  <c r="F100" i="6"/>
  <c r="F64" i="6"/>
  <c r="F48" i="6"/>
  <c r="F40" i="6"/>
  <c r="F26" i="6"/>
  <c r="F108" i="6"/>
  <c r="F76" i="6"/>
  <c r="F60" i="6"/>
  <c r="F30" i="6"/>
  <c r="F14" i="6"/>
  <c r="F8" i="6"/>
  <c r="F44" i="6"/>
  <c r="F5" i="6"/>
  <c r="F96" i="6"/>
  <c r="F92" i="6"/>
  <c r="F80" i="6"/>
  <c r="F68" i="6"/>
  <c r="F56" i="6"/>
  <c r="F6" i="6"/>
  <c r="F62" i="5"/>
  <c r="I62" i="5" s="1"/>
  <c r="F70" i="5"/>
  <c r="I70" i="5" s="1"/>
  <c r="F78" i="5"/>
  <c r="I78" i="5" s="1"/>
  <c r="F86" i="5"/>
  <c r="I86" i="5" s="1"/>
  <c r="F94" i="5"/>
  <c r="I94" i="5" s="1"/>
  <c r="F102" i="5"/>
  <c r="I102" i="5" s="1"/>
  <c r="F110" i="5"/>
  <c r="I110" i="5" s="1"/>
  <c r="F118" i="5"/>
  <c r="I118" i="5" s="1"/>
  <c r="F126" i="5"/>
  <c r="I126" i="5" s="1"/>
  <c r="F134" i="5"/>
  <c r="I134" i="5" s="1"/>
  <c r="F142" i="5"/>
  <c r="I142" i="5" s="1"/>
  <c r="F150" i="5"/>
  <c r="I150" i="5" s="1"/>
  <c r="J363" i="5"/>
  <c r="O363" i="6" s="1"/>
  <c r="J364" i="5"/>
  <c r="O364" i="6" s="1"/>
  <c r="J365" i="5"/>
  <c r="O365" i="6" s="1"/>
  <c r="J366" i="5"/>
  <c r="O366" i="6" s="1"/>
  <c r="J367" i="5"/>
  <c r="O367" i="6" s="1"/>
  <c r="J368" i="5"/>
  <c r="O368" i="6" s="1"/>
  <c r="N369" i="6"/>
  <c r="J369" i="5"/>
  <c r="O369" i="6" s="1"/>
  <c r="J371" i="5"/>
  <c r="O371" i="6" s="1"/>
  <c r="J372" i="5"/>
  <c r="O372" i="6" s="1"/>
  <c r="J373" i="5"/>
  <c r="O373" i="6" s="1"/>
  <c r="J374" i="5"/>
  <c r="O374" i="6" s="1"/>
  <c r="J375" i="5"/>
  <c r="O375" i="6" s="1"/>
  <c r="J376" i="5"/>
  <c r="O376" i="6" s="1"/>
  <c r="N377" i="6"/>
  <c r="J377" i="5"/>
  <c r="O377" i="6" s="1"/>
  <c r="J379" i="5"/>
  <c r="O379" i="6" s="1"/>
  <c r="J380" i="5"/>
  <c r="O380" i="6" s="1"/>
  <c r="J381" i="5"/>
  <c r="O381" i="6" s="1"/>
  <c r="J382" i="5"/>
  <c r="O382" i="6" s="1"/>
  <c r="J383" i="5"/>
  <c r="O383" i="6" s="1"/>
  <c r="J384" i="5"/>
  <c r="O384" i="6" s="1"/>
  <c r="N385" i="6"/>
  <c r="J385" i="5"/>
  <c r="O385" i="6" s="1"/>
  <c r="J387" i="5"/>
  <c r="O387" i="6" s="1"/>
  <c r="J388" i="5"/>
  <c r="O388" i="6" s="1"/>
  <c r="J389" i="5"/>
  <c r="O389" i="6" s="1"/>
  <c r="J390" i="5"/>
  <c r="O390" i="6" s="1"/>
  <c r="J391" i="5"/>
  <c r="O391" i="6" s="1"/>
  <c r="J392" i="5"/>
  <c r="O392" i="6" s="1"/>
  <c r="N393" i="6"/>
  <c r="J393" i="5"/>
  <c r="O393" i="6" s="1"/>
  <c r="J395" i="5"/>
  <c r="O395" i="6" s="1"/>
  <c r="J396" i="5"/>
  <c r="O396" i="6" s="1"/>
  <c r="J397" i="5"/>
  <c r="O397" i="6" s="1"/>
  <c r="J398" i="5"/>
  <c r="O398" i="6" s="1"/>
  <c r="J399" i="5"/>
  <c r="O399" i="6" s="1"/>
  <c r="J400" i="5"/>
  <c r="O400" i="6" s="1"/>
  <c r="N401" i="6"/>
  <c r="J401" i="5"/>
  <c r="O401" i="6" s="1"/>
  <c r="J403" i="5"/>
  <c r="O403" i="6" s="1"/>
  <c r="J404" i="5"/>
  <c r="O404" i="6" s="1"/>
  <c r="J405" i="5"/>
  <c r="O405" i="6" s="1"/>
  <c r="J406" i="5"/>
  <c r="O406" i="6" s="1"/>
  <c r="J407" i="5"/>
  <c r="O407" i="6" s="1"/>
  <c r="J408" i="5"/>
  <c r="O408" i="6" s="1"/>
  <c r="N409" i="6"/>
  <c r="J409" i="5"/>
  <c r="O409" i="6" s="1"/>
  <c r="J411" i="5"/>
  <c r="O411" i="6" s="1"/>
  <c r="J412" i="5"/>
  <c r="O412" i="6" s="1"/>
  <c r="H427" i="5"/>
  <c r="H433" i="5"/>
  <c r="H459" i="5"/>
  <c r="H465" i="5"/>
  <c r="E497" i="5"/>
  <c r="H497" i="5" s="1"/>
  <c r="G497" i="5"/>
  <c r="N499" i="6"/>
  <c r="J499" i="5"/>
  <c r="O499" i="6" s="1"/>
  <c r="F501" i="5"/>
  <c r="E501" i="5"/>
  <c r="H501" i="5" s="1"/>
  <c r="G501" i="5"/>
  <c r="D501" i="5"/>
  <c r="J532" i="5"/>
  <c r="O532" i="6" s="1"/>
  <c r="J540" i="5"/>
  <c r="O540" i="6" s="1"/>
  <c r="J543" i="5"/>
  <c r="O543" i="6" s="1"/>
  <c r="J31" i="6"/>
  <c r="K31" i="6" s="1"/>
  <c r="L31" i="6" s="1"/>
  <c r="H74" i="6"/>
  <c r="J74" i="6" s="1"/>
  <c r="K74" i="6" s="1"/>
  <c r="L74" i="6" s="1"/>
  <c r="I74" i="6"/>
  <c r="J79" i="6"/>
  <c r="K79" i="6" s="1"/>
  <c r="L79" i="6" s="1"/>
  <c r="I161" i="6"/>
  <c r="H161" i="6"/>
  <c r="I65" i="6"/>
  <c r="H65" i="6"/>
  <c r="J65" i="6" s="1"/>
  <c r="K65" i="6" s="1"/>
  <c r="L65" i="6" s="1"/>
  <c r="H418" i="5"/>
  <c r="N433" i="6"/>
  <c r="J433" i="5"/>
  <c r="O433" i="6" s="1"/>
  <c r="H450" i="5"/>
  <c r="N465" i="6"/>
  <c r="J465" i="5"/>
  <c r="O465" i="6" s="1"/>
  <c r="H482" i="5"/>
  <c r="D503" i="5"/>
  <c r="F503" i="5"/>
  <c r="E503" i="5"/>
  <c r="H507" i="5"/>
  <c r="H513" i="5"/>
  <c r="E518" i="5"/>
  <c r="H518" i="5" s="1"/>
  <c r="G518" i="5"/>
  <c r="F523" i="5"/>
  <c r="D523" i="5"/>
  <c r="E523" i="5"/>
  <c r="H523" i="5" s="1"/>
  <c r="E526" i="5"/>
  <c r="G526" i="5"/>
  <c r="F526" i="5"/>
  <c r="D526" i="5"/>
  <c r="N527" i="6"/>
  <c r="J527" i="5"/>
  <c r="O527" i="6" s="1"/>
  <c r="F529" i="5"/>
  <c r="G529" i="5"/>
  <c r="N531" i="6"/>
  <c r="J531" i="5"/>
  <c r="O531" i="6" s="1"/>
  <c r="D535" i="5"/>
  <c r="G535" i="5"/>
  <c r="H13" i="6"/>
  <c r="I13" i="6"/>
  <c r="I63" i="5"/>
  <c r="I71" i="5"/>
  <c r="I79" i="5"/>
  <c r="I87" i="5"/>
  <c r="I95" i="5"/>
  <c r="I103" i="5"/>
  <c r="I111" i="5"/>
  <c r="I119" i="5"/>
  <c r="I127" i="5"/>
  <c r="I135" i="5"/>
  <c r="I143" i="5"/>
  <c r="I151" i="5"/>
  <c r="H307" i="5"/>
  <c r="I307" i="5" s="1"/>
  <c r="H315" i="5"/>
  <c r="I315" i="5" s="1"/>
  <c r="H323" i="5"/>
  <c r="I323" i="5" s="1"/>
  <c r="H331" i="5"/>
  <c r="I331" i="5" s="1"/>
  <c r="H339" i="5"/>
  <c r="I339" i="5" s="1"/>
  <c r="H347" i="5"/>
  <c r="I347" i="5" s="1"/>
  <c r="H355" i="5"/>
  <c r="I355" i="5" s="1"/>
  <c r="H363" i="5"/>
  <c r="H371" i="5"/>
  <c r="H379" i="5"/>
  <c r="H387" i="5"/>
  <c r="H395" i="5"/>
  <c r="H403" i="5"/>
  <c r="H411" i="5"/>
  <c r="H417" i="5"/>
  <c r="H443" i="5"/>
  <c r="H449" i="5"/>
  <c r="H475" i="5"/>
  <c r="H481" i="5"/>
  <c r="G492" i="5"/>
  <c r="E492" i="5"/>
  <c r="H492" i="5" s="1"/>
  <c r="F492" i="5"/>
  <c r="D492" i="5"/>
  <c r="D495" i="5"/>
  <c r="H495" i="5" s="1"/>
  <c r="F495" i="5"/>
  <c r="G495" i="5"/>
  <c r="G503" i="5"/>
  <c r="F506" i="5"/>
  <c r="E506" i="5"/>
  <c r="H506" i="5" s="1"/>
  <c r="D518" i="5"/>
  <c r="G523" i="5"/>
  <c r="D529" i="5"/>
  <c r="E535" i="5"/>
  <c r="H535" i="5" s="1"/>
  <c r="H9" i="6"/>
  <c r="I9" i="6"/>
  <c r="H24" i="6"/>
  <c r="I24" i="6"/>
  <c r="H25" i="6"/>
  <c r="I25" i="6"/>
  <c r="H29" i="6"/>
  <c r="J29" i="6" s="1"/>
  <c r="K29" i="6" s="1"/>
  <c r="L29" i="6" s="1"/>
  <c r="I29" i="6"/>
  <c r="I97" i="6"/>
  <c r="H97" i="6"/>
  <c r="N425" i="6"/>
  <c r="J425" i="5"/>
  <c r="O425" i="6" s="1"/>
  <c r="N457" i="6"/>
  <c r="J457" i="5"/>
  <c r="O457" i="6" s="1"/>
  <c r="N489" i="6"/>
  <c r="J489" i="5"/>
  <c r="O489" i="6" s="1"/>
  <c r="N513" i="6"/>
  <c r="J513" i="5"/>
  <c r="O513" i="6" s="1"/>
  <c r="F515" i="5"/>
  <c r="E515" i="5"/>
  <c r="G515" i="5"/>
  <c r="D515" i="5"/>
  <c r="F517" i="5"/>
  <c r="G517" i="5"/>
  <c r="F518" i="5"/>
  <c r="E529" i="5"/>
  <c r="H529" i="5" s="1"/>
  <c r="F535" i="5"/>
  <c r="F34" i="6"/>
  <c r="I73" i="6"/>
  <c r="H73" i="6"/>
  <c r="H435" i="5"/>
  <c r="H441" i="5"/>
  <c r="H467" i="5"/>
  <c r="H473" i="5"/>
  <c r="H498" i="5"/>
  <c r="J500" i="5"/>
  <c r="O500" i="6" s="1"/>
  <c r="G506" i="5"/>
  <c r="H509" i="5"/>
  <c r="D511" i="5"/>
  <c r="H511" i="5" s="1"/>
  <c r="G511" i="5"/>
  <c r="D517" i="5"/>
  <c r="H528" i="5"/>
  <c r="H540" i="5"/>
  <c r="E542" i="5"/>
  <c r="H542" i="5" s="1"/>
  <c r="G542" i="5"/>
  <c r="F542" i="5"/>
  <c r="F10" i="6"/>
  <c r="J11" i="6"/>
  <c r="K11" i="6" s="1"/>
  <c r="L11" i="6" s="1"/>
  <c r="H16" i="6"/>
  <c r="I16" i="6"/>
  <c r="H17" i="6"/>
  <c r="I17" i="6"/>
  <c r="F18" i="6"/>
  <c r="J22" i="6"/>
  <c r="K22" i="6" s="1"/>
  <c r="L22" i="6" s="1"/>
  <c r="J38" i="6"/>
  <c r="K38" i="6" s="1"/>
  <c r="L38" i="6" s="1"/>
  <c r="I45" i="6"/>
  <c r="H45" i="6"/>
  <c r="J45" i="6" s="1"/>
  <c r="K45" i="6" s="1"/>
  <c r="L45" i="6" s="1"/>
  <c r="I59" i="6"/>
  <c r="H59" i="6"/>
  <c r="N417" i="6"/>
  <c r="J417" i="5"/>
  <c r="O417" i="6" s="1"/>
  <c r="N449" i="6"/>
  <c r="J449" i="5"/>
  <c r="O449" i="6" s="1"/>
  <c r="N481" i="6"/>
  <c r="J481" i="5"/>
  <c r="O481" i="6" s="1"/>
  <c r="E494" i="5"/>
  <c r="H494" i="5" s="1"/>
  <c r="F494" i="5"/>
  <c r="D494" i="5"/>
  <c r="E505" i="5"/>
  <c r="H505" i="5" s="1"/>
  <c r="F505" i="5"/>
  <c r="G508" i="5"/>
  <c r="F508" i="5"/>
  <c r="E508" i="5"/>
  <c r="D508" i="5"/>
  <c r="N509" i="6"/>
  <c r="J509" i="5"/>
  <c r="O509" i="6" s="1"/>
  <c r="N512" i="6"/>
  <c r="J512" i="5"/>
  <c r="O512" i="6" s="1"/>
  <c r="E517" i="5"/>
  <c r="H517" i="5" s="1"/>
  <c r="F521" i="5"/>
  <c r="E521" i="5"/>
  <c r="H521" i="5" s="1"/>
  <c r="D521" i="5"/>
  <c r="G524" i="5"/>
  <c r="F524" i="5"/>
  <c r="E524" i="5"/>
  <c r="H524" i="5" s="1"/>
  <c r="E534" i="5"/>
  <c r="H534" i="5" s="1"/>
  <c r="G534" i="5"/>
  <c r="F534" i="5"/>
  <c r="F539" i="5"/>
  <c r="E539" i="5"/>
  <c r="D539" i="5"/>
  <c r="H30" i="6"/>
  <c r="J30" i="6" s="1"/>
  <c r="K30" i="6" s="1"/>
  <c r="L30" i="6" s="1"/>
  <c r="I30" i="6"/>
  <c r="I57" i="6"/>
  <c r="H57" i="6"/>
  <c r="I61" i="6"/>
  <c r="H61" i="6"/>
  <c r="J61" i="6" s="1"/>
  <c r="K61" i="6" s="1"/>
  <c r="L61" i="6" s="1"/>
  <c r="J70" i="6"/>
  <c r="K70" i="6" s="1"/>
  <c r="L70" i="6" s="1"/>
  <c r="J95" i="6"/>
  <c r="K95" i="6" s="1"/>
  <c r="L95" i="6" s="1"/>
  <c r="H106" i="6"/>
  <c r="I106" i="6"/>
  <c r="F493" i="5"/>
  <c r="E493" i="5"/>
  <c r="H493" i="5" s="1"/>
  <c r="E502" i="5"/>
  <c r="H502" i="5" s="1"/>
  <c r="F502" i="5"/>
  <c r="F509" i="5"/>
  <c r="G509" i="5"/>
  <c r="N518" i="6"/>
  <c r="J518" i="5"/>
  <c r="O518" i="6" s="1"/>
  <c r="D527" i="5"/>
  <c r="H527" i="5" s="1"/>
  <c r="G527" i="5"/>
  <c r="F533" i="5"/>
  <c r="G533" i="5"/>
  <c r="E533" i="5"/>
  <c r="H533" i="5" s="1"/>
  <c r="I19" i="6"/>
  <c r="J19" i="6" s="1"/>
  <c r="K19" i="6" s="1"/>
  <c r="L19" i="6" s="1"/>
  <c r="I33" i="6"/>
  <c r="I35" i="6"/>
  <c r="J35" i="6" s="1"/>
  <c r="K35" i="6" s="1"/>
  <c r="L35" i="6" s="1"/>
  <c r="I40" i="6"/>
  <c r="H44" i="6"/>
  <c r="I44" i="6"/>
  <c r="H51" i="6"/>
  <c r="J51" i="6" s="1"/>
  <c r="K51" i="6" s="1"/>
  <c r="L51" i="6" s="1"/>
  <c r="I52" i="6"/>
  <c r="I63" i="6"/>
  <c r="J63" i="6" s="1"/>
  <c r="K63" i="6" s="1"/>
  <c r="L63" i="6" s="1"/>
  <c r="J72" i="6"/>
  <c r="K72" i="6" s="1"/>
  <c r="L72" i="6" s="1"/>
  <c r="I85" i="6"/>
  <c r="H85" i="6"/>
  <c r="I90" i="6"/>
  <c r="J90" i="6" s="1"/>
  <c r="K90" i="6" s="1"/>
  <c r="L90" i="6" s="1"/>
  <c r="J99" i="6"/>
  <c r="K99" i="6" s="1"/>
  <c r="L99" i="6" s="1"/>
  <c r="I100" i="6"/>
  <c r="H113" i="6"/>
  <c r="J113" i="6" s="1"/>
  <c r="K113" i="6" s="1"/>
  <c r="L113" i="6" s="1"/>
  <c r="I115" i="6"/>
  <c r="H143" i="6"/>
  <c r="I143" i="6"/>
  <c r="I196" i="6"/>
  <c r="H196" i="6"/>
  <c r="H198" i="6"/>
  <c r="I198" i="6"/>
  <c r="I194" i="5"/>
  <c r="I202" i="5"/>
  <c r="I210" i="5"/>
  <c r="I226" i="5"/>
  <c r="I234" i="5"/>
  <c r="I242" i="5"/>
  <c r="I258" i="5"/>
  <c r="I266" i="5"/>
  <c r="I274" i="5"/>
  <c r="I290" i="5"/>
  <c r="I306" i="5"/>
  <c r="I314" i="5"/>
  <c r="I322" i="5"/>
  <c r="I330" i="5"/>
  <c r="I338" i="5"/>
  <c r="N497" i="6"/>
  <c r="J497" i="5"/>
  <c r="O497" i="6" s="1"/>
  <c r="G500" i="5"/>
  <c r="E500" i="5"/>
  <c r="D519" i="5"/>
  <c r="G519" i="5"/>
  <c r="N529" i="6"/>
  <c r="J529" i="5"/>
  <c r="O529" i="6" s="1"/>
  <c r="G532" i="5"/>
  <c r="F532" i="5"/>
  <c r="D532" i="5"/>
  <c r="I20" i="6"/>
  <c r="I36" i="6"/>
  <c r="I42" i="6"/>
  <c r="J42" i="6" s="1"/>
  <c r="K42" i="6" s="1"/>
  <c r="L42" i="6" s="1"/>
  <c r="I56" i="6"/>
  <c r="I58" i="6"/>
  <c r="J58" i="6" s="1"/>
  <c r="K58" i="6" s="1"/>
  <c r="L58" i="6" s="1"/>
  <c r="I68" i="6"/>
  <c r="J75" i="6"/>
  <c r="K75" i="6" s="1"/>
  <c r="L75" i="6" s="1"/>
  <c r="H76" i="6"/>
  <c r="I76" i="6"/>
  <c r="H83" i="6"/>
  <c r="J83" i="6" s="1"/>
  <c r="K83" i="6" s="1"/>
  <c r="L83" i="6" s="1"/>
  <c r="I84" i="6"/>
  <c r="H102" i="6"/>
  <c r="I102" i="6"/>
  <c r="J104" i="6"/>
  <c r="K104" i="6" s="1"/>
  <c r="L104" i="6" s="1"/>
  <c r="I105" i="6"/>
  <c r="H105" i="6"/>
  <c r="J107" i="6"/>
  <c r="K107" i="6" s="1"/>
  <c r="L107" i="6" s="1"/>
  <c r="H118" i="6"/>
  <c r="J118" i="6" s="1"/>
  <c r="K118" i="6" s="1"/>
  <c r="L118" i="6" s="1"/>
  <c r="I118" i="6"/>
  <c r="I151" i="6"/>
  <c r="H151" i="6"/>
  <c r="J151" i="6" s="1"/>
  <c r="K151" i="6" s="1"/>
  <c r="L151" i="6" s="1"/>
  <c r="H175" i="6"/>
  <c r="I175" i="6"/>
  <c r="I204" i="6"/>
  <c r="H204" i="6"/>
  <c r="D491" i="5"/>
  <c r="H491" i="5" s="1"/>
  <c r="J495" i="5"/>
  <c r="O495" i="6" s="1"/>
  <c r="J496" i="5"/>
  <c r="O496" i="6" s="1"/>
  <c r="H499" i="5"/>
  <c r="D500" i="5"/>
  <c r="N505" i="6"/>
  <c r="J505" i="5"/>
  <c r="O505" i="6" s="1"/>
  <c r="F507" i="5"/>
  <c r="G507" i="5"/>
  <c r="J510" i="5"/>
  <c r="O510" i="6" s="1"/>
  <c r="F514" i="5"/>
  <c r="D514" i="5"/>
  <c r="H514" i="5" s="1"/>
  <c r="J516" i="5"/>
  <c r="O516" i="6" s="1"/>
  <c r="E519" i="5"/>
  <c r="H519" i="5" s="1"/>
  <c r="J523" i="5"/>
  <c r="O523" i="6" s="1"/>
  <c r="F525" i="5"/>
  <c r="G525" i="5"/>
  <c r="N528" i="6"/>
  <c r="J528" i="5"/>
  <c r="O528" i="6" s="1"/>
  <c r="E532" i="5"/>
  <c r="D538" i="5"/>
  <c r="H538" i="5" s="1"/>
  <c r="J541" i="5"/>
  <c r="O541" i="6" s="1"/>
  <c r="D543" i="5"/>
  <c r="H543" i="5" s="1"/>
  <c r="G543" i="5"/>
  <c r="J7" i="6"/>
  <c r="K7" i="6" s="1"/>
  <c r="L7" i="6" s="1"/>
  <c r="J12" i="6"/>
  <c r="K12" i="6" s="1"/>
  <c r="L12" i="6" s="1"/>
  <c r="I18" i="6"/>
  <c r="J18" i="6" s="1"/>
  <c r="K18" i="6" s="1"/>
  <c r="L18" i="6" s="1"/>
  <c r="J28" i="6"/>
  <c r="K28" i="6" s="1"/>
  <c r="L28" i="6" s="1"/>
  <c r="I34" i="6"/>
  <c r="J34" i="6" s="1"/>
  <c r="K34" i="6" s="1"/>
  <c r="L34" i="6" s="1"/>
  <c r="I43" i="6"/>
  <c r="J43" i="6" s="1"/>
  <c r="K43" i="6" s="1"/>
  <c r="L43" i="6" s="1"/>
  <c r="J62" i="6"/>
  <c r="K62" i="6" s="1"/>
  <c r="L62" i="6" s="1"/>
  <c r="J71" i="6"/>
  <c r="K71" i="6" s="1"/>
  <c r="L71" i="6" s="1"/>
  <c r="I148" i="6"/>
  <c r="H148" i="6"/>
  <c r="I157" i="6"/>
  <c r="H157" i="6"/>
  <c r="H182" i="6"/>
  <c r="J182" i="6" s="1"/>
  <c r="K182" i="6" s="1"/>
  <c r="L182" i="6" s="1"/>
  <c r="I182" i="6"/>
  <c r="H186" i="6"/>
  <c r="J186" i="6" s="1"/>
  <c r="K186" i="6" s="1"/>
  <c r="L186" i="6" s="1"/>
  <c r="I186" i="6"/>
  <c r="I193" i="6"/>
  <c r="H193" i="6"/>
  <c r="H234" i="6"/>
  <c r="J234" i="6" s="1"/>
  <c r="K234" i="6" s="1"/>
  <c r="L234" i="6" s="1"/>
  <c r="I234" i="6"/>
  <c r="J40" i="6"/>
  <c r="K40" i="6" s="1"/>
  <c r="L40" i="6" s="1"/>
  <c r="J50" i="6"/>
  <c r="K50" i="6" s="1"/>
  <c r="L50" i="6" s="1"/>
  <c r="H64" i="6"/>
  <c r="I64" i="6"/>
  <c r="I77" i="6"/>
  <c r="H77" i="6"/>
  <c r="J100" i="6"/>
  <c r="K100" i="6" s="1"/>
  <c r="L100" i="6" s="1"/>
  <c r="I101" i="6"/>
  <c r="H101" i="6"/>
  <c r="H111" i="6"/>
  <c r="I111" i="6"/>
  <c r="H114" i="6"/>
  <c r="J114" i="6" s="1"/>
  <c r="K114" i="6" s="1"/>
  <c r="L114" i="6" s="1"/>
  <c r="I114" i="6"/>
  <c r="H179" i="6"/>
  <c r="J179" i="6" s="1"/>
  <c r="K179" i="6" s="1"/>
  <c r="L179" i="6" s="1"/>
  <c r="I179" i="6"/>
  <c r="I232" i="6"/>
  <c r="H232" i="6"/>
  <c r="J33" i="6"/>
  <c r="K33" i="6" s="1"/>
  <c r="L33" i="6" s="1"/>
  <c r="I49" i="6"/>
  <c r="H49" i="6"/>
  <c r="J52" i="6"/>
  <c r="K52" i="6" s="1"/>
  <c r="L52" i="6" s="1"/>
  <c r="H54" i="6"/>
  <c r="I54" i="6"/>
  <c r="J112" i="6"/>
  <c r="K112" i="6" s="1"/>
  <c r="L112" i="6" s="1"/>
  <c r="J115" i="6"/>
  <c r="K115" i="6" s="1"/>
  <c r="L115" i="6" s="1"/>
  <c r="I125" i="6"/>
  <c r="H125" i="6"/>
  <c r="J125" i="6" s="1"/>
  <c r="K125" i="6" s="1"/>
  <c r="L125" i="6" s="1"/>
  <c r="I135" i="6"/>
  <c r="H135" i="6"/>
  <c r="H171" i="6"/>
  <c r="J171" i="6" s="1"/>
  <c r="K171" i="6" s="1"/>
  <c r="L171" i="6" s="1"/>
  <c r="I171" i="6"/>
  <c r="J47" i="6"/>
  <c r="K47" i="6" s="1"/>
  <c r="L47" i="6" s="1"/>
  <c r="I53" i="6"/>
  <c r="H53" i="6"/>
  <c r="J55" i="6"/>
  <c r="K55" i="6" s="1"/>
  <c r="L55" i="6" s="1"/>
  <c r="J56" i="6"/>
  <c r="K56" i="6" s="1"/>
  <c r="L56" i="6" s="1"/>
  <c r="J68" i="6"/>
  <c r="K68" i="6" s="1"/>
  <c r="L68" i="6" s="1"/>
  <c r="J82" i="6"/>
  <c r="K82" i="6" s="1"/>
  <c r="L82" i="6" s="1"/>
  <c r="H86" i="6"/>
  <c r="I86" i="6"/>
  <c r="J88" i="6"/>
  <c r="K88" i="6" s="1"/>
  <c r="L88" i="6" s="1"/>
  <c r="J91" i="6"/>
  <c r="K91" i="6" s="1"/>
  <c r="L91" i="6" s="1"/>
  <c r="J94" i="6"/>
  <c r="K94" i="6" s="1"/>
  <c r="L94" i="6" s="1"/>
  <c r="I168" i="6"/>
  <c r="H168" i="6"/>
  <c r="I216" i="6"/>
  <c r="H216" i="6"/>
  <c r="J216" i="6" s="1"/>
  <c r="K216" i="6" s="1"/>
  <c r="L216" i="6" s="1"/>
  <c r="J20" i="6"/>
  <c r="K20" i="6" s="1"/>
  <c r="L20" i="6" s="1"/>
  <c r="J36" i="6"/>
  <c r="K36" i="6" s="1"/>
  <c r="L36" i="6" s="1"/>
  <c r="I41" i="6"/>
  <c r="H41" i="6"/>
  <c r="I50" i="6"/>
  <c r="I69" i="6"/>
  <c r="H69" i="6"/>
  <c r="I81" i="6"/>
  <c r="H81" i="6"/>
  <c r="J84" i="6"/>
  <c r="K84" i="6" s="1"/>
  <c r="L84" i="6" s="1"/>
  <c r="I89" i="6"/>
  <c r="H89" i="6"/>
  <c r="I93" i="6"/>
  <c r="H93" i="6"/>
  <c r="J93" i="6" s="1"/>
  <c r="K93" i="6" s="1"/>
  <c r="L93" i="6" s="1"/>
  <c r="I110" i="6"/>
  <c r="J110" i="6" s="1"/>
  <c r="K110" i="6" s="1"/>
  <c r="L110" i="6" s="1"/>
  <c r="I127" i="6"/>
  <c r="H127" i="6"/>
  <c r="J127" i="6" s="1"/>
  <c r="K127" i="6" s="1"/>
  <c r="L127" i="6" s="1"/>
  <c r="I222" i="6"/>
  <c r="H222" i="6"/>
  <c r="J48" i="6"/>
  <c r="K48" i="6" s="1"/>
  <c r="L48" i="6" s="1"/>
  <c r="J80" i="6"/>
  <c r="K80" i="6" s="1"/>
  <c r="L80" i="6" s="1"/>
  <c r="I96" i="6"/>
  <c r="J96" i="6" s="1"/>
  <c r="K96" i="6" s="1"/>
  <c r="L96" i="6" s="1"/>
  <c r="I137" i="6"/>
  <c r="H137" i="6"/>
  <c r="H144" i="6"/>
  <c r="J144" i="6" s="1"/>
  <c r="K144" i="6" s="1"/>
  <c r="L144" i="6" s="1"/>
  <c r="I144" i="6"/>
  <c r="I159" i="6"/>
  <c r="H159" i="6"/>
  <c r="H172" i="6"/>
  <c r="I172" i="6"/>
  <c r="H178" i="6"/>
  <c r="J178" i="6" s="1"/>
  <c r="K178" i="6" s="1"/>
  <c r="L178" i="6" s="1"/>
  <c r="I178" i="6"/>
  <c r="H191" i="6"/>
  <c r="I191" i="6"/>
  <c r="H211" i="6"/>
  <c r="J211" i="6" s="1"/>
  <c r="K211" i="6" s="1"/>
  <c r="L211" i="6" s="1"/>
  <c r="I211" i="6"/>
  <c r="I176" i="6"/>
  <c r="H176" i="6"/>
  <c r="N537" i="6"/>
  <c r="J537" i="5"/>
  <c r="O537" i="6" s="1"/>
  <c r="G540" i="5"/>
  <c r="F540" i="5"/>
  <c r="J60" i="6"/>
  <c r="K60" i="6" s="1"/>
  <c r="L60" i="6" s="1"/>
  <c r="I66" i="6"/>
  <c r="J66" i="6" s="1"/>
  <c r="K66" i="6" s="1"/>
  <c r="L66" i="6" s="1"/>
  <c r="J92" i="6"/>
  <c r="K92" i="6" s="1"/>
  <c r="L92" i="6" s="1"/>
  <c r="I98" i="6"/>
  <c r="J98" i="6" s="1"/>
  <c r="K98" i="6" s="1"/>
  <c r="L98" i="6" s="1"/>
  <c r="I120" i="6"/>
  <c r="H120" i="6"/>
  <c r="I121" i="6"/>
  <c r="H121" i="6"/>
  <c r="H170" i="6"/>
  <c r="I170" i="6"/>
  <c r="J108" i="6"/>
  <c r="K108" i="6" s="1"/>
  <c r="L108" i="6" s="1"/>
  <c r="I109" i="6"/>
  <c r="J109" i="6" s="1"/>
  <c r="K109" i="6" s="1"/>
  <c r="L109" i="6" s="1"/>
  <c r="H119" i="6"/>
  <c r="J119" i="6" s="1"/>
  <c r="K119" i="6" s="1"/>
  <c r="L119" i="6" s="1"/>
  <c r="I119" i="6"/>
  <c r="H140" i="6"/>
  <c r="J140" i="6" s="1"/>
  <c r="K140" i="6" s="1"/>
  <c r="L140" i="6" s="1"/>
  <c r="I140" i="6"/>
  <c r="I149" i="6"/>
  <c r="H149" i="6"/>
  <c r="H150" i="6"/>
  <c r="J150" i="6" s="1"/>
  <c r="K150" i="6" s="1"/>
  <c r="L150" i="6" s="1"/>
  <c r="I150" i="6"/>
  <c r="I155" i="6"/>
  <c r="H155" i="6"/>
  <c r="H162" i="6"/>
  <c r="I162" i="6"/>
  <c r="H190" i="6"/>
  <c r="J190" i="6" s="1"/>
  <c r="K190" i="6" s="1"/>
  <c r="L190" i="6" s="1"/>
  <c r="I190" i="6"/>
  <c r="H195" i="6"/>
  <c r="J195" i="6" s="1"/>
  <c r="K195" i="6" s="1"/>
  <c r="L195" i="6" s="1"/>
  <c r="I195" i="6"/>
  <c r="H207" i="6"/>
  <c r="J207" i="6" s="1"/>
  <c r="K207" i="6" s="1"/>
  <c r="L207" i="6" s="1"/>
  <c r="I207" i="6"/>
  <c r="H210" i="6"/>
  <c r="J210" i="6" s="1"/>
  <c r="K210" i="6" s="1"/>
  <c r="L210" i="6" s="1"/>
  <c r="I210" i="6"/>
  <c r="J236" i="6"/>
  <c r="K236" i="6" s="1"/>
  <c r="L236" i="6" s="1"/>
  <c r="H254" i="6"/>
  <c r="I254" i="6"/>
  <c r="I184" i="6"/>
  <c r="H184" i="6"/>
  <c r="J184" i="6" s="1"/>
  <c r="K184" i="6" s="1"/>
  <c r="L184" i="6" s="1"/>
  <c r="H250" i="6"/>
  <c r="J250" i="6" s="1"/>
  <c r="K250" i="6" s="1"/>
  <c r="L250" i="6" s="1"/>
  <c r="I250" i="6"/>
  <c r="J156" i="6"/>
  <c r="K156" i="6" s="1"/>
  <c r="L156" i="6" s="1"/>
  <c r="H146" i="6"/>
  <c r="J146" i="6" s="1"/>
  <c r="K146" i="6" s="1"/>
  <c r="L146" i="6" s="1"/>
  <c r="I146" i="6"/>
  <c r="I153" i="6"/>
  <c r="H153" i="6"/>
  <c r="H194" i="6"/>
  <c r="I194" i="6"/>
  <c r="I209" i="6"/>
  <c r="H209" i="6"/>
  <c r="I346" i="5"/>
  <c r="I354" i="5"/>
  <c r="I362" i="5"/>
  <c r="H122" i="6"/>
  <c r="I122" i="6"/>
  <c r="I138" i="6"/>
  <c r="H139" i="6"/>
  <c r="J139" i="6" s="1"/>
  <c r="K139" i="6" s="1"/>
  <c r="L139" i="6" s="1"/>
  <c r="I139" i="6"/>
  <c r="I166" i="6"/>
  <c r="J166" i="6" s="1"/>
  <c r="K166" i="6" s="1"/>
  <c r="L166" i="6" s="1"/>
  <c r="I169" i="6"/>
  <c r="J169" i="6" s="1"/>
  <c r="K169" i="6" s="1"/>
  <c r="L169" i="6" s="1"/>
  <c r="H173" i="6"/>
  <c r="J173" i="6" s="1"/>
  <c r="K173" i="6" s="1"/>
  <c r="L173" i="6" s="1"/>
  <c r="H199" i="6"/>
  <c r="I199" i="6"/>
  <c r="J202" i="6"/>
  <c r="K202" i="6" s="1"/>
  <c r="L202" i="6" s="1"/>
  <c r="H212" i="6"/>
  <c r="I212" i="6"/>
  <c r="H223" i="6"/>
  <c r="I223" i="6"/>
  <c r="J117" i="6"/>
  <c r="K117" i="6" s="1"/>
  <c r="L117" i="6" s="1"/>
  <c r="H230" i="6"/>
  <c r="I230" i="6"/>
  <c r="J138" i="6"/>
  <c r="K138" i="6" s="1"/>
  <c r="L138" i="6" s="1"/>
  <c r="I177" i="6"/>
  <c r="H177" i="6"/>
  <c r="H206" i="6"/>
  <c r="I206" i="6"/>
  <c r="H187" i="6"/>
  <c r="J187" i="6" s="1"/>
  <c r="K187" i="6" s="1"/>
  <c r="L187" i="6" s="1"/>
  <c r="I187" i="6"/>
  <c r="H215" i="6"/>
  <c r="J215" i="6" s="1"/>
  <c r="K215" i="6" s="1"/>
  <c r="L215" i="6" s="1"/>
  <c r="I215" i="6"/>
  <c r="H219" i="6"/>
  <c r="I219" i="6"/>
  <c r="I233" i="6"/>
  <c r="H233" i="6"/>
  <c r="I131" i="6"/>
  <c r="J131" i="6" s="1"/>
  <c r="K131" i="6" s="1"/>
  <c r="L131" i="6" s="1"/>
  <c r="J134" i="6"/>
  <c r="K134" i="6" s="1"/>
  <c r="L134" i="6" s="1"/>
  <c r="I141" i="6"/>
  <c r="J141" i="6" s="1"/>
  <c r="K141" i="6" s="1"/>
  <c r="L141" i="6" s="1"/>
  <c r="J154" i="6"/>
  <c r="K154" i="6" s="1"/>
  <c r="L154" i="6" s="1"/>
  <c r="H158" i="6"/>
  <c r="I158" i="6"/>
  <c r="I188" i="6"/>
  <c r="H188" i="6"/>
  <c r="I201" i="6"/>
  <c r="H201" i="6"/>
  <c r="H203" i="6"/>
  <c r="I203" i="6"/>
  <c r="H231" i="6"/>
  <c r="I231" i="6"/>
  <c r="I133" i="6"/>
  <c r="J133" i="6" s="1"/>
  <c r="K133" i="6" s="1"/>
  <c r="L133" i="6" s="1"/>
  <c r="J142" i="6"/>
  <c r="K142" i="6" s="1"/>
  <c r="L142" i="6" s="1"/>
  <c r="I165" i="6"/>
  <c r="J165" i="6" s="1"/>
  <c r="K165" i="6" s="1"/>
  <c r="L165" i="6" s="1"/>
  <c r="J174" i="6"/>
  <c r="K174" i="6" s="1"/>
  <c r="L174" i="6" s="1"/>
  <c r="H183" i="6"/>
  <c r="J183" i="6" s="1"/>
  <c r="K183" i="6" s="1"/>
  <c r="L183" i="6" s="1"/>
  <c r="I183" i="6"/>
  <c r="I185" i="6"/>
  <c r="J185" i="6" s="1"/>
  <c r="K185" i="6" s="1"/>
  <c r="L185" i="6" s="1"/>
  <c r="I192" i="6"/>
  <c r="J192" i="6" s="1"/>
  <c r="K192" i="6" s="1"/>
  <c r="L192" i="6" s="1"/>
  <c r="I200" i="6"/>
  <c r="J200" i="6" s="1"/>
  <c r="K200" i="6" s="1"/>
  <c r="L200" i="6" s="1"/>
  <c r="I208" i="6"/>
  <c r="J208" i="6" s="1"/>
  <c r="K208" i="6" s="1"/>
  <c r="L208" i="6" s="1"/>
  <c r="H217" i="6"/>
  <c r="J217" i="6" s="1"/>
  <c r="K217" i="6" s="1"/>
  <c r="L217" i="6" s="1"/>
  <c r="I220" i="6"/>
  <c r="I229" i="6"/>
  <c r="H229" i="6"/>
  <c r="H246" i="6"/>
  <c r="I246" i="6"/>
  <c r="I244" i="6"/>
  <c r="J244" i="6" s="1"/>
  <c r="K244" i="6" s="1"/>
  <c r="L244" i="6" s="1"/>
  <c r="H257" i="6"/>
  <c r="J257" i="6" s="1"/>
  <c r="K257" i="6" s="1"/>
  <c r="L257" i="6" s="1"/>
  <c r="I257" i="6"/>
  <c r="I224" i="6"/>
  <c r="I225" i="6"/>
  <c r="H225" i="6"/>
  <c r="I248" i="6"/>
  <c r="J248" i="6" s="1"/>
  <c r="K248" i="6" s="1"/>
  <c r="L248" i="6" s="1"/>
  <c r="H293" i="6"/>
  <c r="J293" i="6" s="1"/>
  <c r="K293" i="6" s="1"/>
  <c r="L293" i="6" s="1"/>
  <c r="I293" i="6"/>
  <c r="J220" i="6"/>
  <c r="K220" i="6" s="1"/>
  <c r="L220" i="6" s="1"/>
  <c r="I226" i="6"/>
  <c r="H226" i="6"/>
  <c r="J226" i="6" s="1"/>
  <c r="K226" i="6" s="1"/>
  <c r="L226" i="6" s="1"/>
  <c r="H235" i="6"/>
  <c r="I235" i="6"/>
  <c r="H238" i="6"/>
  <c r="I238" i="6"/>
  <c r="J240" i="6"/>
  <c r="K240" i="6" s="1"/>
  <c r="L240" i="6" s="1"/>
  <c r="J227" i="6"/>
  <c r="K227" i="6" s="1"/>
  <c r="L227" i="6" s="1"/>
  <c r="H224" i="6"/>
  <c r="J224" i="6" s="1"/>
  <c r="K224" i="6" s="1"/>
  <c r="L224" i="6" s="1"/>
  <c r="H242" i="6"/>
  <c r="I242" i="6"/>
  <c r="H273" i="6"/>
  <c r="I273" i="6"/>
  <c r="I213" i="6"/>
  <c r="J213" i="6" s="1"/>
  <c r="K213" i="6" s="1"/>
  <c r="L213" i="6" s="1"/>
  <c r="I294" i="6"/>
  <c r="J294" i="6" s="1"/>
  <c r="K294" i="6" s="1"/>
  <c r="L294" i="6" s="1"/>
  <c r="H303" i="6"/>
  <c r="I303" i="6"/>
  <c r="H321" i="6"/>
  <c r="I321" i="6"/>
  <c r="H323" i="6"/>
  <c r="I323" i="6"/>
  <c r="H325" i="6"/>
  <c r="I325" i="6"/>
  <c r="H329" i="6"/>
  <c r="I329" i="6"/>
  <c r="J265" i="6"/>
  <c r="K265" i="6" s="1"/>
  <c r="L265" i="6" s="1"/>
  <c r="H271" i="6"/>
  <c r="J271" i="6" s="1"/>
  <c r="K271" i="6" s="1"/>
  <c r="L271" i="6" s="1"/>
  <c r="I271" i="6"/>
  <c r="H277" i="6"/>
  <c r="J277" i="6" s="1"/>
  <c r="K277" i="6" s="1"/>
  <c r="L277" i="6" s="1"/>
  <c r="I277" i="6"/>
  <c r="H283" i="6"/>
  <c r="J283" i="6" s="1"/>
  <c r="K283" i="6" s="1"/>
  <c r="L283" i="6" s="1"/>
  <c r="I283" i="6"/>
  <c r="I290" i="6"/>
  <c r="H290" i="6"/>
  <c r="H311" i="6"/>
  <c r="I311" i="6"/>
  <c r="H331" i="6"/>
  <c r="I331" i="6"/>
  <c r="I538" i="6"/>
  <c r="H538" i="6"/>
  <c r="I221" i="6"/>
  <c r="I239" i="6"/>
  <c r="J239" i="6" s="1"/>
  <c r="K239" i="6" s="1"/>
  <c r="L239" i="6" s="1"/>
  <c r="I243" i="6"/>
  <c r="J243" i="6" s="1"/>
  <c r="K243" i="6" s="1"/>
  <c r="L243" i="6" s="1"/>
  <c r="I247" i="6"/>
  <c r="J247" i="6" s="1"/>
  <c r="K247" i="6" s="1"/>
  <c r="L247" i="6" s="1"/>
  <c r="I251" i="6"/>
  <c r="J251" i="6" s="1"/>
  <c r="K251" i="6" s="1"/>
  <c r="L251" i="6" s="1"/>
  <c r="I255" i="6"/>
  <c r="J255" i="6" s="1"/>
  <c r="K255" i="6" s="1"/>
  <c r="L255" i="6" s="1"/>
  <c r="I264" i="6"/>
  <c r="H264" i="6"/>
  <c r="J272" i="6"/>
  <c r="K272" i="6" s="1"/>
  <c r="L272" i="6" s="1"/>
  <c r="J284" i="6"/>
  <c r="K284" i="6" s="1"/>
  <c r="L284" i="6" s="1"/>
  <c r="I285" i="6"/>
  <c r="J285" i="6" s="1"/>
  <c r="K285" i="6" s="1"/>
  <c r="L285" i="6" s="1"/>
  <c r="J298" i="6"/>
  <c r="K298" i="6" s="1"/>
  <c r="L298" i="6" s="1"/>
  <c r="H333" i="6"/>
  <c r="I333" i="6"/>
  <c r="H263" i="6"/>
  <c r="J263" i="6" s="1"/>
  <c r="K263" i="6" s="1"/>
  <c r="L263" i="6" s="1"/>
  <c r="I263" i="6"/>
  <c r="H275" i="6"/>
  <c r="J275" i="6" s="1"/>
  <c r="K275" i="6" s="1"/>
  <c r="L275" i="6" s="1"/>
  <c r="I275" i="6"/>
  <c r="H281" i="6"/>
  <c r="J281" i="6" s="1"/>
  <c r="K281" i="6" s="1"/>
  <c r="L281" i="6" s="1"/>
  <c r="I281" i="6"/>
  <c r="H295" i="6"/>
  <c r="I295" i="6"/>
  <c r="J302" i="6"/>
  <c r="K302" i="6" s="1"/>
  <c r="L302" i="6" s="1"/>
  <c r="H313" i="6"/>
  <c r="I313" i="6"/>
  <c r="H341" i="6"/>
  <c r="J341" i="6" s="1"/>
  <c r="K341" i="6" s="1"/>
  <c r="L341" i="6" s="1"/>
  <c r="I341" i="6"/>
  <c r="H372" i="6"/>
  <c r="J372" i="6" s="1"/>
  <c r="K372" i="6" s="1"/>
  <c r="L372" i="6" s="1"/>
  <c r="I372" i="6"/>
  <c r="H269" i="6"/>
  <c r="J269" i="6" s="1"/>
  <c r="K269" i="6" s="1"/>
  <c r="L269" i="6" s="1"/>
  <c r="I269" i="6"/>
  <c r="H252" i="6"/>
  <c r="J252" i="6" s="1"/>
  <c r="K252" i="6" s="1"/>
  <c r="L252" i="6" s="1"/>
  <c r="H260" i="6"/>
  <c r="J260" i="6" s="1"/>
  <c r="K260" i="6" s="1"/>
  <c r="L260" i="6" s="1"/>
  <c r="H279" i="6"/>
  <c r="I279" i="6"/>
  <c r="I280" i="6"/>
  <c r="H287" i="6"/>
  <c r="I287" i="6"/>
  <c r="H299" i="6"/>
  <c r="J299" i="6" s="1"/>
  <c r="K299" i="6" s="1"/>
  <c r="L299" i="6" s="1"/>
  <c r="I299" i="6"/>
  <c r="I310" i="6"/>
  <c r="H310" i="6"/>
  <c r="H349" i="6"/>
  <c r="J349" i="6" s="1"/>
  <c r="K349" i="6" s="1"/>
  <c r="L349" i="6" s="1"/>
  <c r="I349" i="6"/>
  <c r="H221" i="6"/>
  <c r="J221" i="6" s="1"/>
  <c r="K221" i="6" s="1"/>
  <c r="L221" i="6" s="1"/>
  <c r="H258" i="6"/>
  <c r="I258" i="6"/>
  <c r="I261" i="6"/>
  <c r="J261" i="6" s="1"/>
  <c r="K261" i="6" s="1"/>
  <c r="L261" i="6" s="1"/>
  <c r="J270" i="6"/>
  <c r="K270" i="6" s="1"/>
  <c r="L270" i="6" s="1"/>
  <c r="H305" i="6"/>
  <c r="J305" i="6" s="1"/>
  <c r="K305" i="6" s="1"/>
  <c r="L305" i="6" s="1"/>
  <c r="I305" i="6"/>
  <c r="H357" i="6"/>
  <c r="I357" i="6"/>
  <c r="H369" i="6"/>
  <c r="I369" i="6"/>
  <c r="J262" i="6"/>
  <c r="K262" i="6" s="1"/>
  <c r="L262" i="6" s="1"/>
  <c r="H267" i="6"/>
  <c r="I267" i="6"/>
  <c r="H291" i="6"/>
  <c r="J291" i="6" s="1"/>
  <c r="K291" i="6" s="1"/>
  <c r="L291" i="6" s="1"/>
  <c r="I291" i="6"/>
  <c r="I301" i="6"/>
  <c r="J301" i="6" s="1"/>
  <c r="K301" i="6" s="1"/>
  <c r="L301" i="6" s="1"/>
  <c r="H327" i="6"/>
  <c r="I327" i="6"/>
  <c r="I278" i="6"/>
  <c r="H289" i="6"/>
  <c r="I289" i="6"/>
  <c r="H308" i="6"/>
  <c r="J308" i="6" s="1"/>
  <c r="K308" i="6" s="1"/>
  <c r="L308" i="6" s="1"/>
  <c r="H317" i="6"/>
  <c r="I317" i="6"/>
  <c r="H319" i="6"/>
  <c r="I319" i="6"/>
  <c r="H339" i="6"/>
  <c r="I339" i="6"/>
  <c r="H345" i="6"/>
  <c r="I345" i="6"/>
  <c r="H355" i="6"/>
  <c r="I355" i="6"/>
  <c r="H390" i="6"/>
  <c r="J390" i="6" s="1"/>
  <c r="K390" i="6" s="1"/>
  <c r="L390" i="6" s="1"/>
  <c r="I390" i="6"/>
  <c r="H343" i="6"/>
  <c r="J343" i="6" s="1"/>
  <c r="K343" i="6" s="1"/>
  <c r="L343" i="6" s="1"/>
  <c r="I343" i="6"/>
  <c r="J381" i="6"/>
  <c r="K381" i="6" s="1"/>
  <c r="L381" i="6" s="1"/>
  <c r="H383" i="6"/>
  <c r="I383" i="6"/>
  <c r="I400" i="6"/>
  <c r="H400" i="6"/>
  <c r="H278" i="6"/>
  <c r="J278" i="6" s="1"/>
  <c r="K278" i="6" s="1"/>
  <c r="L278" i="6" s="1"/>
  <c r="H280" i="6"/>
  <c r="J280" i="6" s="1"/>
  <c r="K280" i="6" s="1"/>
  <c r="L280" i="6" s="1"/>
  <c r="J358" i="6"/>
  <c r="K358" i="6" s="1"/>
  <c r="L358" i="6" s="1"/>
  <c r="I359" i="6"/>
  <c r="J359" i="6" s="1"/>
  <c r="K359" i="6" s="1"/>
  <c r="L359" i="6" s="1"/>
  <c r="J365" i="6"/>
  <c r="K365" i="6" s="1"/>
  <c r="L365" i="6" s="1"/>
  <c r="I402" i="6"/>
  <c r="H402" i="6"/>
  <c r="J402" i="6" s="1"/>
  <c r="K402" i="6" s="1"/>
  <c r="L402" i="6" s="1"/>
  <c r="I416" i="6"/>
  <c r="H416" i="6"/>
  <c r="J416" i="6" s="1"/>
  <c r="K416" i="6" s="1"/>
  <c r="L416" i="6" s="1"/>
  <c r="J282" i="6"/>
  <c r="K282" i="6" s="1"/>
  <c r="L282" i="6" s="1"/>
  <c r="J296" i="6"/>
  <c r="K296" i="6" s="1"/>
  <c r="L296" i="6" s="1"/>
  <c r="H337" i="6"/>
  <c r="I337" i="6"/>
  <c r="H347" i="6"/>
  <c r="I347" i="6"/>
  <c r="H353" i="6"/>
  <c r="I353" i="6"/>
  <c r="H361" i="6"/>
  <c r="I361" i="6"/>
  <c r="J363" i="6"/>
  <c r="K363" i="6" s="1"/>
  <c r="L363" i="6" s="1"/>
  <c r="I389" i="6"/>
  <c r="H389" i="6"/>
  <c r="H367" i="6"/>
  <c r="J367" i="6" s="1"/>
  <c r="K367" i="6" s="1"/>
  <c r="L367" i="6" s="1"/>
  <c r="I367" i="6"/>
  <c r="J297" i="6"/>
  <c r="K297" i="6" s="1"/>
  <c r="L297" i="6" s="1"/>
  <c r="H335" i="6"/>
  <c r="I335" i="6"/>
  <c r="H351" i="6"/>
  <c r="I351" i="6"/>
  <c r="I362" i="6"/>
  <c r="J362" i="6" s="1"/>
  <c r="K362" i="6" s="1"/>
  <c r="L362" i="6" s="1"/>
  <c r="H370" i="6"/>
  <c r="J370" i="6" s="1"/>
  <c r="K370" i="6" s="1"/>
  <c r="L370" i="6" s="1"/>
  <c r="I370" i="6"/>
  <c r="H384" i="6"/>
  <c r="I384" i="6"/>
  <c r="I268" i="6"/>
  <c r="H268" i="6"/>
  <c r="I292" i="6"/>
  <c r="J292" i="6" s="1"/>
  <c r="K292" i="6" s="1"/>
  <c r="L292" i="6" s="1"/>
  <c r="I307" i="6"/>
  <c r="J307" i="6" s="1"/>
  <c r="K307" i="6" s="1"/>
  <c r="L307" i="6" s="1"/>
  <c r="H315" i="6"/>
  <c r="I315" i="6"/>
  <c r="H360" i="6"/>
  <c r="I360" i="6"/>
  <c r="J366" i="6"/>
  <c r="K366" i="6" s="1"/>
  <c r="L366" i="6" s="1"/>
  <c r="I373" i="6"/>
  <c r="H373" i="6"/>
  <c r="H375" i="6"/>
  <c r="J375" i="6" s="1"/>
  <c r="K375" i="6" s="1"/>
  <c r="L375" i="6" s="1"/>
  <c r="I368" i="6"/>
  <c r="J368" i="6" s="1"/>
  <c r="K368" i="6" s="1"/>
  <c r="L368" i="6" s="1"/>
  <c r="H394" i="6"/>
  <c r="J394" i="6" s="1"/>
  <c r="K394" i="6" s="1"/>
  <c r="L394" i="6" s="1"/>
  <c r="I394" i="6"/>
  <c r="I404" i="6"/>
  <c r="H404" i="6"/>
  <c r="J405" i="6"/>
  <c r="K405" i="6" s="1"/>
  <c r="L405" i="6" s="1"/>
  <c r="J376" i="6"/>
  <c r="K376" i="6" s="1"/>
  <c r="L376" i="6" s="1"/>
  <c r="I382" i="6"/>
  <c r="H395" i="6"/>
  <c r="J395" i="6" s="1"/>
  <c r="K395" i="6" s="1"/>
  <c r="L395" i="6" s="1"/>
  <c r="I398" i="6"/>
  <c r="H398" i="6"/>
  <c r="J398" i="6" s="1"/>
  <c r="K398" i="6" s="1"/>
  <c r="L398" i="6" s="1"/>
  <c r="H456" i="6"/>
  <c r="I456" i="6"/>
  <c r="H306" i="6"/>
  <c r="J306" i="6" s="1"/>
  <c r="K306" i="6" s="1"/>
  <c r="L306" i="6" s="1"/>
  <c r="H314" i="6"/>
  <c r="J314" i="6" s="1"/>
  <c r="K314" i="6" s="1"/>
  <c r="L314" i="6" s="1"/>
  <c r="H318" i="6"/>
  <c r="J318" i="6" s="1"/>
  <c r="K318" i="6" s="1"/>
  <c r="L318" i="6" s="1"/>
  <c r="H322" i="6"/>
  <c r="J322" i="6" s="1"/>
  <c r="K322" i="6" s="1"/>
  <c r="L322" i="6" s="1"/>
  <c r="H326" i="6"/>
  <c r="J326" i="6" s="1"/>
  <c r="K326" i="6" s="1"/>
  <c r="L326" i="6" s="1"/>
  <c r="H330" i="6"/>
  <c r="J330" i="6" s="1"/>
  <c r="K330" i="6" s="1"/>
  <c r="L330" i="6" s="1"/>
  <c r="H334" i="6"/>
  <c r="J334" i="6" s="1"/>
  <c r="K334" i="6" s="1"/>
  <c r="L334" i="6" s="1"/>
  <c r="H338" i="6"/>
  <c r="J338" i="6" s="1"/>
  <c r="K338" i="6" s="1"/>
  <c r="L338" i="6" s="1"/>
  <c r="H342" i="6"/>
  <c r="J342" i="6" s="1"/>
  <c r="K342" i="6" s="1"/>
  <c r="L342" i="6" s="1"/>
  <c r="H346" i="6"/>
  <c r="J346" i="6" s="1"/>
  <c r="K346" i="6" s="1"/>
  <c r="L346" i="6" s="1"/>
  <c r="H350" i="6"/>
  <c r="J350" i="6" s="1"/>
  <c r="K350" i="6" s="1"/>
  <c r="L350" i="6" s="1"/>
  <c r="H354" i="6"/>
  <c r="J354" i="6" s="1"/>
  <c r="K354" i="6" s="1"/>
  <c r="L354" i="6" s="1"/>
  <c r="J288" i="6"/>
  <c r="K288" i="6" s="1"/>
  <c r="L288" i="6" s="1"/>
  <c r="J304" i="6"/>
  <c r="K304" i="6" s="1"/>
  <c r="L304" i="6" s="1"/>
  <c r="H374" i="6"/>
  <c r="J374" i="6" s="1"/>
  <c r="K374" i="6" s="1"/>
  <c r="L374" i="6" s="1"/>
  <c r="I374" i="6"/>
  <c r="I371" i="6"/>
  <c r="H371" i="6"/>
  <c r="J371" i="6" s="1"/>
  <c r="K371" i="6" s="1"/>
  <c r="L371" i="6" s="1"/>
  <c r="H385" i="6"/>
  <c r="J385" i="6" s="1"/>
  <c r="K385" i="6" s="1"/>
  <c r="L385" i="6" s="1"/>
  <c r="I385" i="6"/>
  <c r="J399" i="6"/>
  <c r="K399" i="6" s="1"/>
  <c r="L399" i="6" s="1"/>
  <c r="J401" i="6"/>
  <c r="K401" i="6" s="1"/>
  <c r="L401" i="6" s="1"/>
  <c r="I412" i="6"/>
  <c r="H412" i="6"/>
  <c r="J392" i="6"/>
  <c r="K392" i="6" s="1"/>
  <c r="L392" i="6" s="1"/>
  <c r="I408" i="6"/>
  <c r="H408" i="6"/>
  <c r="J408" i="6" s="1"/>
  <c r="K408" i="6" s="1"/>
  <c r="L408" i="6" s="1"/>
  <c r="J312" i="6"/>
  <c r="K312" i="6" s="1"/>
  <c r="L312" i="6" s="1"/>
  <c r="J316" i="6"/>
  <c r="K316" i="6" s="1"/>
  <c r="L316" i="6" s="1"/>
  <c r="J320" i="6"/>
  <c r="K320" i="6" s="1"/>
  <c r="L320" i="6" s="1"/>
  <c r="J324" i="6"/>
  <c r="K324" i="6" s="1"/>
  <c r="L324" i="6" s="1"/>
  <c r="J328" i="6"/>
  <c r="K328" i="6" s="1"/>
  <c r="L328" i="6" s="1"/>
  <c r="J332" i="6"/>
  <c r="K332" i="6" s="1"/>
  <c r="L332" i="6" s="1"/>
  <c r="J336" i="6"/>
  <c r="K336" i="6" s="1"/>
  <c r="L336" i="6" s="1"/>
  <c r="J340" i="6"/>
  <c r="K340" i="6" s="1"/>
  <c r="L340" i="6" s="1"/>
  <c r="J344" i="6"/>
  <c r="K344" i="6" s="1"/>
  <c r="L344" i="6" s="1"/>
  <c r="J348" i="6"/>
  <c r="K348" i="6" s="1"/>
  <c r="L348" i="6" s="1"/>
  <c r="J352" i="6"/>
  <c r="K352" i="6" s="1"/>
  <c r="L352" i="6" s="1"/>
  <c r="J356" i="6"/>
  <c r="K356" i="6" s="1"/>
  <c r="L356" i="6" s="1"/>
  <c r="J382" i="6"/>
  <c r="K382" i="6" s="1"/>
  <c r="L382" i="6" s="1"/>
  <c r="H386" i="6"/>
  <c r="J386" i="6" s="1"/>
  <c r="K386" i="6" s="1"/>
  <c r="L386" i="6" s="1"/>
  <c r="I386" i="6"/>
  <c r="I387" i="6"/>
  <c r="H387" i="6"/>
  <c r="H388" i="6"/>
  <c r="J388" i="6" s="1"/>
  <c r="K388" i="6" s="1"/>
  <c r="L388" i="6" s="1"/>
  <c r="I388" i="6"/>
  <c r="H446" i="6"/>
  <c r="I446" i="6"/>
  <c r="J378" i="6"/>
  <c r="K378" i="6" s="1"/>
  <c r="L378" i="6" s="1"/>
  <c r="J396" i="6"/>
  <c r="K396" i="6" s="1"/>
  <c r="L396" i="6" s="1"/>
  <c r="I422" i="6"/>
  <c r="H422" i="6"/>
  <c r="H429" i="6"/>
  <c r="J429" i="6" s="1"/>
  <c r="K429" i="6" s="1"/>
  <c r="L429" i="6" s="1"/>
  <c r="I432" i="6"/>
  <c r="H432" i="6"/>
  <c r="I441" i="6"/>
  <c r="H441" i="6"/>
  <c r="H444" i="6"/>
  <c r="J444" i="6" s="1"/>
  <c r="K444" i="6" s="1"/>
  <c r="L444" i="6" s="1"/>
  <c r="I444" i="6"/>
  <c r="H411" i="6"/>
  <c r="I411" i="6"/>
  <c r="I414" i="6"/>
  <c r="H414" i="6"/>
  <c r="J414" i="6" s="1"/>
  <c r="K414" i="6" s="1"/>
  <c r="L414" i="6" s="1"/>
  <c r="I426" i="6"/>
  <c r="H426" i="6"/>
  <c r="J426" i="6" s="1"/>
  <c r="K426" i="6" s="1"/>
  <c r="L426" i="6" s="1"/>
  <c r="I449" i="6"/>
  <c r="H449" i="6"/>
  <c r="J449" i="6" s="1"/>
  <c r="K449" i="6" s="1"/>
  <c r="L449" i="6" s="1"/>
  <c r="I453" i="6"/>
  <c r="H453" i="6"/>
  <c r="J453" i="6" s="1"/>
  <c r="K453" i="6" s="1"/>
  <c r="L453" i="6" s="1"/>
  <c r="I481" i="6"/>
  <c r="H481" i="6"/>
  <c r="J481" i="6" s="1"/>
  <c r="K481" i="6" s="1"/>
  <c r="L481" i="6" s="1"/>
  <c r="I430" i="6"/>
  <c r="H430" i="6"/>
  <c r="I434" i="6"/>
  <c r="H434" i="6"/>
  <c r="I437" i="6"/>
  <c r="H437" i="6"/>
  <c r="H440" i="6"/>
  <c r="J440" i="6" s="1"/>
  <c r="K440" i="6" s="1"/>
  <c r="L440" i="6" s="1"/>
  <c r="I440" i="6"/>
  <c r="I443" i="6"/>
  <c r="H443" i="6"/>
  <c r="I455" i="6"/>
  <c r="H455" i="6"/>
  <c r="H465" i="6"/>
  <c r="J465" i="6" s="1"/>
  <c r="K465" i="6" s="1"/>
  <c r="L465" i="6" s="1"/>
  <c r="I465" i="6"/>
  <c r="I445" i="6"/>
  <c r="H445" i="6"/>
  <c r="J445" i="6" s="1"/>
  <c r="K445" i="6" s="1"/>
  <c r="L445" i="6" s="1"/>
  <c r="I457" i="6"/>
  <c r="H457" i="6"/>
  <c r="J457" i="6" s="1"/>
  <c r="K457" i="6" s="1"/>
  <c r="L457" i="6" s="1"/>
  <c r="H413" i="6"/>
  <c r="J413" i="6" s="1"/>
  <c r="K413" i="6" s="1"/>
  <c r="L413" i="6" s="1"/>
  <c r="J421" i="6"/>
  <c r="K421" i="6" s="1"/>
  <c r="L421" i="6" s="1"/>
  <c r="H442" i="6"/>
  <c r="J442" i="6" s="1"/>
  <c r="K442" i="6" s="1"/>
  <c r="L442" i="6" s="1"/>
  <c r="I442" i="6"/>
  <c r="H452" i="6"/>
  <c r="J452" i="6" s="1"/>
  <c r="K452" i="6" s="1"/>
  <c r="L452" i="6" s="1"/>
  <c r="I452" i="6"/>
  <c r="H403" i="6"/>
  <c r="J403" i="6" s="1"/>
  <c r="K403" i="6" s="1"/>
  <c r="L403" i="6" s="1"/>
  <c r="I415" i="6"/>
  <c r="J415" i="6" s="1"/>
  <c r="K415" i="6" s="1"/>
  <c r="L415" i="6" s="1"/>
  <c r="I436" i="6"/>
  <c r="H436" i="6"/>
  <c r="I439" i="6"/>
  <c r="H439" i="6"/>
  <c r="H448" i="6"/>
  <c r="J448" i="6" s="1"/>
  <c r="K448" i="6" s="1"/>
  <c r="L448" i="6" s="1"/>
  <c r="I448" i="6"/>
  <c r="H454" i="6"/>
  <c r="J454" i="6" s="1"/>
  <c r="K454" i="6" s="1"/>
  <c r="L454" i="6" s="1"/>
  <c r="I454" i="6"/>
  <c r="H469" i="6"/>
  <c r="J469" i="6" s="1"/>
  <c r="K469" i="6" s="1"/>
  <c r="L469" i="6" s="1"/>
  <c r="I469" i="6"/>
  <c r="J364" i="6"/>
  <c r="K364" i="6" s="1"/>
  <c r="L364" i="6" s="1"/>
  <c r="J380" i="6"/>
  <c r="K380" i="6" s="1"/>
  <c r="L380" i="6" s="1"/>
  <c r="H407" i="6"/>
  <c r="J407" i="6" s="1"/>
  <c r="K407" i="6" s="1"/>
  <c r="L407" i="6" s="1"/>
  <c r="H425" i="6"/>
  <c r="J425" i="6" s="1"/>
  <c r="K425" i="6" s="1"/>
  <c r="L425" i="6" s="1"/>
  <c r="I428" i="6"/>
  <c r="H428" i="6"/>
  <c r="J461" i="6"/>
  <c r="K461" i="6" s="1"/>
  <c r="L461" i="6" s="1"/>
  <c r="I458" i="6"/>
  <c r="H458" i="6"/>
  <c r="I460" i="6"/>
  <c r="H460" i="6"/>
  <c r="J419" i="6"/>
  <c r="K419" i="6" s="1"/>
  <c r="L419" i="6" s="1"/>
  <c r="J423" i="6"/>
  <c r="K423" i="6" s="1"/>
  <c r="L423" i="6" s="1"/>
  <c r="J427" i="6"/>
  <c r="K427" i="6" s="1"/>
  <c r="L427" i="6" s="1"/>
  <c r="J431" i="6"/>
  <c r="K431" i="6" s="1"/>
  <c r="L431" i="6" s="1"/>
  <c r="J450" i="6"/>
  <c r="K450" i="6" s="1"/>
  <c r="L450" i="6" s="1"/>
  <c r="I471" i="6"/>
  <c r="H471" i="6"/>
  <c r="I480" i="6"/>
  <c r="H480" i="6"/>
  <c r="J480" i="6" s="1"/>
  <c r="K480" i="6" s="1"/>
  <c r="L480" i="6" s="1"/>
  <c r="I420" i="6"/>
  <c r="H420" i="6"/>
  <c r="J420" i="6" s="1"/>
  <c r="K420" i="6" s="1"/>
  <c r="L420" i="6" s="1"/>
  <c r="I424" i="6"/>
  <c r="H424" i="6"/>
  <c r="J424" i="6" s="1"/>
  <c r="K424" i="6" s="1"/>
  <c r="L424" i="6" s="1"/>
  <c r="H472" i="6"/>
  <c r="J472" i="6" s="1"/>
  <c r="K472" i="6" s="1"/>
  <c r="L472" i="6" s="1"/>
  <c r="H477" i="6"/>
  <c r="J477" i="6" s="1"/>
  <c r="K477" i="6" s="1"/>
  <c r="L477" i="6" s="1"/>
  <c r="H438" i="6"/>
  <c r="I438" i="6"/>
  <c r="I447" i="6"/>
  <c r="H447" i="6"/>
  <c r="J447" i="6" s="1"/>
  <c r="K447" i="6" s="1"/>
  <c r="L447" i="6" s="1"/>
  <c r="I451" i="6"/>
  <c r="H451" i="6"/>
  <c r="J451" i="6" s="1"/>
  <c r="K451" i="6" s="1"/>
  <c r="L451" i="6" s="1"/>
  <c r="I462" i="6"/>
  <c r="H462" i="6"/>
  <c r="I466" i="6"/>
  <c r="H466" i="6"/>
  <c r="J466" i="6" s="1"/>
  <c r="K466" i="6" s="1"/>
  <c r="L466" i="6" s="1"/>
  <c r="I475" i="6"/>
  <c r="H475" i="6"/>
  <c r="J475" i="6" s="1"/>
  <c r="K475" i="6" s="1"/>
  <c r="L475" i="6" s="1"/>
  <c r="I435" i="6"/>
  <c r="J435" i="6" s="1"/>
  <c r="K435" i="6" s="1"/>
  <c r="L435" i="6" s="1"/>
  <c r="I450" i="6"/>
  <c r="I470" i="6"/>
  <c r="H470" i="6"/>
  <c r="I478" i="6"/>
  <c r="H478" i="6"/>
  <c r="I486" i="6"/>
  <c r="H486" i="6"/>
  <c r="J486" i="6" s="1"/>
  <c r="K486" i="6" s="1"/>
  <c r="L486" i="6" s="1"/>
  <c r="I494" i="6"/>
  <c r="H494" i="6"/>
  <c r="J494" i="6" s="1"/>
  <c r="K494" i="6" s="1"/>
  <c r="L494" i="6" s="1"/>
  <c r="I514" i="6"/>
  <c r="H514" i="6"/>
  <c r="J514" i="6" s="1"/>
  <c r="K514" i="6" s="1"/>
  <c r="L514" i="6" s="1"/>
  <c r="I467" i="6"/>
  <c r="H467" i="6"/>
  <c r="J467" i="6" s="1"/>
  <c r="K467" i="6" s="1"/>
  <c r="L467" i="6" s="1"/>
  <c r="I484" i="6"/>
  <c r="H484" i="6"/>
  <c r="J484" i="6" s="1"/>
  <c r="K484" i="6" s="1"/>
  <c r="L484" i="6" s="1"/>
  <c r="I510" i="6"/>
  <c r="H510" i="6"/>
  <c r="J510" i="6" s="1"/>
  <c r="K510" i="6" s="1"/>
  <c r="L510" i="6" s="1"/>
  <c r="I468" i="6"/>
  <c r="H468" i="6"/>
  <c r="J468" i="6" s="1"/>
  <c r="K468" i="6" s="1"/>
  <c r="L468" i="6" s="1"/>
  <c r="I464" i="6"/>
  <c r="H464" i="6"/>
  <c r="J464" i="6" s="1"/>
  <c r="K464" i="6" s="1"/>
  <c r="L464" i="6" s="1"/>
  <c r="I473" i="6"/>
  <c r="H473" i="6"/>
  <c r="J473" i="6" s="1"/>
  <c r="K473" i="6" s="1"/>
  <c r="L473" i="6" s="1"/>
  <c r="H482" i="6"/>
  <c r="J482" i="6" s="1"/>
  <c r="K482" i="6" s="1"/>
  <c r="L482" i="6" s="1"/>
  <c r="J488" i="6"/>
  <c r="K488" i="6" s="1"/>
  <c r="L488" i="6" s="1"/>
  <c r="H501" i="6"/>
  <c r="I501" i="6"/>
  <c r="J502" i="6"/>
  <c r="K502" i="6" s="1"/>
  <c r="L502" i="6" s="1"/>
  <c r="H489" i="6"/>
  <c r="I489" i="6"/>
  <c r="J492" i="6"/>
  <c r="K492" i="6" s="1"/>
  <c r="L492" i="6" s="1"/>
  <c r="H495" i="6"/>
  <c r="J495" i="6" s="1"/>
  <c r="K495" i="6" s="1"/>
  <c r="L495" i="6" s="1"/>
  <c r="I495" i="6"/>
  <c r="I500" i="6"/>
  <c r="H500" i="6"/>
  <c r="H508" i="6"/>
  <c r="J508" i="6" s="1"/>
  <c r="K508" i="6" s="1"/>
  <c r="L508" i="6" s="1"/>
  <c r="I508" i="6"/>
  <c r="H521" i="6"/>
  <c r="I521" i="6"/>
  <c r="H491" i="6"/>
  <c r="I491" i="6"/>
  <c r="H493" i="6"/>
  <c r="I493" i="6"/>
  <c r="I509" i="6"/>
  <c r="H509" i="6"/>
  <c r="J509" i="6" s="1"/>
  <c r="K509" i="6" s="1"/>
  <c r="L509" i="6" s="1"/>
  <c r="J497" i="6"/>
  <c r="K497" i="6" s="1"/>
  <c r="L497" i="6" s="1"/>
  <c r="H499" i="6"/>
  <c r="J499" i="6" s="1"/>
  <c r="K499" i="6" s="1"/>
  <c r="L499" i="6" s="1"/>
  <c r="I499" i="6"/>
  <c r="I511" i="6"/>
  <c r="H511" i="6"/>
  <c r="I516" i="6"/>
  <c r="H516" i="6"/>
  <c r="H507" i="6"/>
  <c r="I507" i="6"/>
  <c r="H513" i="6"/>
  <c r="I513" i="6"/>
  <c r="J506" i="6"/>
  <c r="K506" i="6" s="1"/>
  <c r="L506" i="6" s="1"/>
  <c r="H515" i="6"/>
  <c r="I515" i="6"/>
  <c r="J523" i="6"/>
  <c r="K523" i="6" s="1"/>
  <c r="L523" i="6" s="1"/>
  <c r="H529" i="6"/>
  <c r="J529" i="6" s="1"/>
  <c r="K529" i="6" s="1"/>
  <c r="L529" i="6" s="1"/>
  <c r="I529" i="6"/>
  <c r="I539" i="6"/>
  <c r="H539" i="6"/>
  <c r="I498" i="6"/>
  <c r="H498" i="6"/>
  <c r="J498" i="6" s="1"/>
  <c r="K498" i="6" s="1"/>
  <c r="L498" i="6" s="1"/>
  <c r="I502" i="6"/>
  <c r="J505" i="6"/>
  <c r="K505" i="6" s="1"/>
  <c r="L505" i="6" s="1"/>
  <c r="H537" i="6"/>
  <c r="I537" i="6"/>
  <c r="H526" i="6"/>
  <c r="I526" i="6"/>
  <c r="H519" i="6"/>
  <c r="I519" i="6"/>
  <c r="H524" i="6"/>
  <c r="J524" i="6" s="1"/>
  <c r="K524" i="6" s="1"/>
  <c r="L524" i="6" s="1"/>
  <c r="H527" i="6"/>
  <c r="I527" i="6"/>
  <c r="I536" i="6"/>
  <c r="H536" i="6"/>
  <c r="J536" i="6" s="1"/>
  <c r="K536" i="6" s="1"/>
  <c r="L536" i="6" s="1"/>
  <c r="H525" i="6"/>
  <c r="I525" i="6"/>
  <c r="I532" i="6"/>
  <c r="H532" i="6"/>
  <c r="J532" i="6" s="1"/>
  <c r="K532" i="6" s="1"/>
  <c r="L532" i="6" s="1"/>
  <c r="H535" i="6"/>
  <c r="I535" i="6"/>
  <c r="H531" i="6"/>
  <c r="I531" i="6"/>
  <c r="H540" i="6"/>
  <c r="J540" i="6" s="1"/>
  <c r="K540" i="6" s="1"/>
  <c r="L540" i="6" s="1"/>
  <c r="J534" i="6"/>
  <c r="K534" i="6" s="1"/>
  <c r="L534" i="6" s="1"/>
  <c r="H522" i="6"/>
  <c r="J522" i="6" s="1"/>
  <c r="K522" i="6" s="1"/>
  <c r="L522" i="6" s="1"/>
  <c r="I522" i="6"/>
  <c r="I520" i="6"/>
  <c r="H520" i="6"/>
  <c r="J520" i="6" s="1"/>
  <c r="K520" i="6" s="1"/>
  <c r="L520" i="6" s="1"/>
  <c r="I541" i="6"/>
  <c r="H541" i="6"/>
  <c r="J541" i="6" s="1"/>
  <c r="K541" i="6" s="1"/>
  <c r="L541" i="6" s="1"/>
  <c r="I517" i="6"/>
  <c r="J517" i="6" s="1"/>
  <c r="K517" i="6" s="1"/>
  <c r="L517" i="6" s="1"/>
  <c r="I543" i="6"/>
  <c r="H543" i="6"/>
  <c r="J543" i="6" s="1"/>
  <c r="K543" i="6" s="1"/>
  <c r="L543" i="6" s="1"/>
  <c r="I530" i="6"/>
  <c r="H530" i="6"/>
  <c r="J530" i="6" s="1"/>
  <c r="K530" i="6" s="1"/>
  <c r="L530" i="6" s="1"/>
  <c r="J518" i="6"/>
  <c r="K518" i="6" s="1"/>
  <c r="L518" i="6" s="1"/>
  <c r="I542" i="6"/>
  <c r="H542" i="6"/>
  <c r="J542" i="6" s="1"/>
  <c r="K542" i="6" s="1"/>
  <c r="L542" i="6" s="1"/>
  <c r="J519" i="6" l="1"/>
  <c r="K519" i="6" s="1"/>
  <c r="L519" i="6" s="1"/>
  <c r="J537" i="6"/>
  <c r="K537" i="6" s="1"/>
  <c r="L537" i="6" s="1"/>
  <c r="J539" i="6"/>
  <c r="K539" i="6" s="1"/>
  <c r="L539" i="6" s="1"/>
  <c r="J515" i="6"/>
  <c r="K515" i="6" s="1"/>
  <c r="L515" i="6" s="1"/>
  <c r="J511" i="6"/>
  <c r="K511" i="6" s="1"/>
  <c r="L511" i="6" s="1"/>
  <c r="J491" i="6"/>
  <c r="K491" i="6" s="1"/>
  <c r="L491" i="6" s="1"/>
  <c r="J500" i="6"/>
  <c r="K500" i="6" s="1"/>
  <c r="L500" i="6" s="1"/>
  <c r="J478" i="6"/>
  <c r="K478" i="6" s="1"/>
  <c r="L478" i="6" s="1"/>
  <c r="J471" i="6"/>
  <c r="K471" i="6" s="1"/>
  <c r="L471" i="6" s="1"/>
  <c r="J458" i="6"/>
  <c r="K458" i="6" s="1"/>
  <c r="L458" i="6" s="1"/>
  <c r="J428" i="6"/>
  <c r="K428" i="6" s="1"/>
  <c r="L428" i="6" s="1"/>
  <c r="J436" i="6"/>
  <c r="K436" i="6" s="1"/>
  <c r="L436" i="6" s="1"/>
  <c r="J441" i="6"/>
  <c r="K441" i="6" s="1"/>
  <c r="L441" i="6" s="1"/>
  <c r="J404" i="6"/>
  <c r="K404" i="6" s="1"/>
  <c r="L404" i="6" s="1"/>
  <c r="J268" i="6"/>
  <c r="K268" i="6" s="1"/>
  <c r="L268" i="6" s="1"/>
  <c r="J389" i="6"/>
  <c r="K389" i="6" s="1"/>
  <c r="L389" i="6" s="1"/>
  <c r="J347" i="6"/>
  <c r="K347" i="6" s="1"/>
  <c r="L347" i="6" s="1"/>
  <c r="J319" i="6"/>
  <c r="K319" i="6" s="1"/>
  <c r="L319" i="6" s="1"/>
  <c r="J267" i="6"/>
  <c r="K267" i="6" s="1"/>
  <c r="L267" i="6" s="1"/>
  <c r="J287" i="6"/>
  <c r="K287" i="6" s="1"/>
  <c r="L287" i="6" s="1"/>
  <c r="J295" i="6"/>
  <c r="K295" i="6" s="1"/>
  <c r="L295" i="6" s="1"/>
  <c r="J325" i="6"/>
  <c r="K325" i="6" s="1"/>
  <c r="L325" i="6" s="1"/>
  <c r="J303" i="6"/>
  <c r="K303" i="6" s="1"/>
  <c r="L303" i="6" s="1"/>
  <c r="J242" i="6"/>
  <c r="K242" i="6" s="1"/>
  <c r="L242" i="6" s="1"/>
  <c r="J229" i="6"/>
  <c r="K229" i="6" s="1"/>
  <c r="L229" i="6" s="1"/>
  <c r="J188" i="6"/>
  <c r="K188" i="6" s="1"/>
  <c r="L188" i="6" s="1"/>
  <c r="J223" i="6"/>
  <c r="K223" i="6" s="1"/>
  <c r="L223" i="6" s="1"/>
  <c r="N354" i="6"/>
  <c r="J354" i="5"/>
  <c r="O354" i="6" s="1"/>
  <c r="J153" i="6"/>
  <c r="K153" i="6" s="1"/>
  <c r="L153" i="6" s="1"/>
  <c r="J254" i="6"/>
  <c r="K254" i="6" s="1"/>
  <c r="L254" i="6" s="1"/>
  <c r="J121" i="6"/>
  <c r="K121" i="6" s="1"/>
  <c r="L121" i="6" s="1"/>
  <c r="J176" i="6"/>
  <c r="K176" i="6" s="1"/>
  <c r="L176" i="6" s="1"/>
  <c r="J191" i="6"/>
  <c r="K191" i="6" s="1"/>
  <c r="L191" i="6" s="1"/>
  <c r="J86" i="6"/>
  <c r="K86" i="6" s="1"/>
  <c r="L86" i="6" s="1"/>
  <c r="J54" i="6"/>
  <c r="K54" i="6" s="1"/>
  <c r="L54" i="6" s="1"/>
  <c r="J101" i="6"/>
  <c r="K101" i="6" s="1"/>
  <c r="L101" i="6" s="1"/>
  <c r="H532" i="5"/>
  <c r="J175" i="6"/>
  <c r="K175" i="6" s="1"/>
  <c r="L175" i="6" s="1"/>
  <c r="J105" i="6"/>
  <c r="K105" i="6" s="1"/>
  <c r="L105" i="6" s="1"/>
  <c r="J76" i="6"/>
  <c r="K76" i="6" s="1"/>
  <c r="L76" i="6" s="1"/>
  <c r="N330" i="6"/>
  <c r="J330" i="5"/>
  <c r="O330" i="6" s="1"/>
  <c r="N266" i="6"/>
  <c r="J266" i="5"/>
  <c r="O266" i="6" s="1"/>
  <c r="N202" i="6"/>
  <c r="J202" i="5"/>
  <c r="O202" i="6" s="1"/>
  <c r="J143" i="6"/>
  <c r="K143" i="6" s="1"/>
  <c r="L143" i="6" s="1"/>
  <c r="J106" i="6"/>
  <c r="K106" i="6" s="1"/>
  <c r="L106" i="6" s="1"/>
  <c r="N355" i="6"/>
  <c r="J355" i="5"/>
  <c r="O355" i="6" s="1"/>
  <c r="N143" i="6"/>
  <c r="J143" i="5"/>
  <c r="O143" i="6" s="1"/>
  <c r="N79" i="6"/>
  <c r="J79" i="5"/>
  <c r="O79" i="6" s="1"/>
  <c r="N134" i="6"/>
  <c r="J134" i="5"/>
  <c r="O134" i="6" s="1"/>
  <c r="N70" i="6"/>
  <c r="J70" i="5"/>
  <c r="O70" i="6" s="1"/>
  <c r="N26" i="6"/>
  <c r="J26" i="5"/>
  <c r="O26" i="6" s="1"/>
  <c r="N21" i="6"/>
  <c r="J21" i="5"/>
  <c r="O21" i="6" s="1"/>
  <c r="N144" i="6"/>
  <c r="J144" i="5"/>
  <c r="O144" i="6" s="1"/>
  <c r="N346" i="6"/>
  <c r="J346" i="5"/>
  <c r="O346" i="6" s="1"/>
  <c r="J81" i="6"/>
  <c r="K81" i="6" s="1"/>
  <c r="L81" i="6" s="1"/>
  <c r="J168" i="6"/>
  <c r="K168" i="6" s="1"/>
  <c r="L168" i="6" s="1"/>
  <c r="N322" i="6"/>
  <c r="J322" i="5"/>
  <c r="O322" i="6" s="1"/>
  <c r="N258" i="6"/>
  <c r="J258" i="5"/>
  <c r="O258" i="6" s="1"/>
  <c r="N194" i="6"/>
  <c r="J194" i="5"/>
  <c r="O194" i="6" s="1"/>
  <c r="N27" i="6"/>
  <c r="J27" i="5"/>
  <c r="O27" i="6" s="1"/>
  <c r="N59" i="6"/>
  <c r="J59" i="5"/>
  <c r="O59" i="6" s="1"/>
  <c r="J535" i="6"/>
  <c r="K535" i="6" s="1"/>
  <c r="L535" i="6" s="1"/>
  <c r="J513" i="6"/>
  <c r="K513" i="6" s="1"/>
  <c r="L513" i="6" s="1"/>
  <c r="J501" i="6"/>
  <c r="K501" i="6" s="1"/>
  <c r="L501" i="6" s="1"/>
  <c r="J470" i="6"/>
  <c r="K470" i="6" s="1"/>
  <c r="L470" i="6" s="1"/>
  <c r="J437" i="6"/>
  <c r="K437" i="6" s="1"/>
  <c r="L437" i="6" s="1"/>
  <c r="J432" i="6"/>
  <c r="K432" i="6" s="1"/>
  <c r="L432" i="6" s="1"/>
  <c r="J387" i="6"/>
  <c r="K387" i="6" s="1"/>
  <c r="L387" i="6" s="1"/>
  <c r="J412" i="6"/>
  <c r="K412" i="6" s="1"/>
  <c r="L412" i="6" s="1"/>
  <c r="J373" i="6"/>
  <c r="K373" i="6" s="1"/>
  <c r="L373" i="6" s="1"/>
  <c r="J315" i="6"/>
  <c r="K315" i="6" s="1"/>
  <c r="L315" i="6" s="1"/>
  <c r="J351" i="6"/>
  <c r="K351" i="6" s="1"/>
  <c r="L351" i="6" s="1"/>
  <c r="J337" i="6"/>
  <c r="K337" i="6" s="1"/>
  <c r="L337" i="6" s="1"/>
  <c r="J383" i="6"/>
  <c r="K383" i="6" s="1"/>
  <c r="L383" i="6" s="1"/>
  <c r="J355" i="6"/>
  <c r="K355" i="6" s="1"/>
  <c r="L355" i="6" s="1"/>
  <c r="J317" i="6"/>
  <c r="K317" i="6" s="1"/>
  <c r="L317" i="6" s="1"/>
  <c r="J327" i="6"/>
  <c r="K327" i="6" s="1"/>
  <c r="L327" i="6" s="1"/>
  <c r="J258" i="6"/>
  <c r="K258" i="6" s="1"/>
  <c r="L258" i="6" s="1"/>
  <c r="J310" i="6"/>
  <c r="K310" i="6" s="1"/>
  <c r="L310" i="6" s="1"/>
  <c r="J333" i="6"/>
  <c r="K333" i="6" s="1"/>
  <c r="L333" i="6" s="1"/>
  <c r="J264" i="6"/>
  <c r="K264" i="6" s="1"/>
  <c r="L264" i="6" s="1"/>
  <c r="J331" i="6"/>
  <c r="K331" i="6" s="1"/>
  <c r="L331" i="6" s="1"/>
  <c r="J323" i="6"/>
  <c r="K323" i="6" s="1"/>
  <c r="L323" i="6" s="1"/>
  <c r="J231" i="6"/>
  <c r="K231" i="6" s="1"/>
  <c r="L231" i="6" s="1"/>
  <c r="J233" i="6"/>
  <c r="K233" i="6" s="1"/>
  <c r="L233" i="6" s="1"/>
  <c r="J212" i="6"/>
  <c r="K212" i="6" s="1"/>
  <c r="L212" i="6" s="1"/>
  <c r="J209" i="6"/>
  <c r="K209" i="6" s="1"/>
  <c r="L209" i="6" s="1"/>
  <c r="J149" i="6"/>
  <c r="K149" i="6" s="1"/>
  <c r="L149" i="6" s="1"/>
  <c r="J120" i="6"/>
  <c r="K120" i="6" s="1"/>
  <c r="L120" i="6" s="1"/>
  <c r="J137" i="6"/>
  <c r="K137" i="6" s="1"/>
  <c r="L137" i="6" s="1"/>
  <c r="J41" i="6"/>
  <c r="K41" i="6" s="1"/>
  <c r="L41" i="6" s="1"/>
  <c r="J49" i="6"/>
  <c r="K49" i="6" s="1"/>
  <c r="L49" i="6" s="1"/>
  <c r="H500" i="5"/>
  <c r="N314" i="6"/>
  <c r="J314" i="5"/>
  <c r="O314" i="6" s="1"/>
  <c r="N339" i="6"/>
  <c r="J339" i="5"/>
  <c r="O339" i="6" s="1"/>
  <c r="N127" i="6"/>
  <c r="J127" i="5"/>
  <c r="O127" i="6" s="1"/>
  <c r="N63" i="6"/>
  <c r="J63" i="5"/>
  <c r="O63" i="6" s="1"/>
  <c r="N118" i="6"/>
  <c r="J118" i="5"/>
  <c r="O118" i="6" s="1"/>
  <c r="N100" i="6"/>
  <c r="J100" i="5"/>
  <c r="O100" i="6" s="1"/>
  <c r="N28" i="6"/>
  <c r="J28" i="5"/>
  <c r="O28" i="6" s="1"/>
  <c r="N67" i="6"/>
  <c r="J67" i="5"/>
  <c r="O67" i="6" s="1"/>
  <c r="N123" i="6"/>
  <c r="J123" i="5"/>
  <c r="O123" i="6" s="1"/>
  <c r="N18" i="6"/>
  <c r="J18" i="5"/>
  <c r="O18" i="6" s="1"/>
  <c r="N45" i="6"/>
  <c r="J45" i="5"/>
  <c r="O45" i="6" s="1"/>
  <c r="N29" i="6"/>
  <c r="J29" i="5"/>
  <c r="O29" i="6" s="1"/>
  <c r="J69" i="6"/>
  <c r="K69" i="6" s="1"/>
  <c r="L69" i="6" s="1"/>
  <c r="J77" i="6"/>
  <c r="K77" i="6" s="1"/>
  <c r="L77" i="6" s="1"/>
  <c r="N306" i="6"/>
  <c r="J306" i="5"/>
  <c r="O306" i="6" s="1"/>
  <c r="N242" i="6"/>
  <c r="J242" i="5"/>
  <c r="O242" i="6" s="1"/>
  <c r="J9" i="6"/>
  <c r="K9" i="6" s="1"/>
  <c r="L9" i="6" s="1"/>
  <c r="N331" i="6"/>
  <c r="J331" i="5"/>
  <c r="O331" i="6" s="1"/>
  <c r="N119" i="6"/>
  <c r="J119" i="5"/>
  <c r="O119" i="6" s="1"/>
  <c r="N177" i="6"/>
  <c r="J177" i="5"/>
  <c r="O177" i="6" s="1"/>
  <c r="N101" i="6"/>
  <c r="J101" i="5"/>
  <c r="O101" i="6" s="1"/>
  <c r="N131" i="6"/>
  <c r="J131" i="5"/>
  <c r="O131" i="6" s="1"/>
  <c r="J50" i="5"/>
  <c r="O50" i="6" s="1"/>
  <c r="N50" i="6"/>
  <c r="J526" i="6"/>
  <c r="K526" i="6" s="1"/>
  <c r="L526" i="6" s="1"/>
  <c r="J507" i="6"/>
  <c r="K507" i="6" s="1"/>
  <c r="L507" i="6" s="1"/>
  <c r="J455" i="6"/>
  <c r="K455" i="6" s="1"/>
  <c r="L455" i="6" s="1"/>
  <c r="J434" i="6"/>
  <c r="K434" i="6" s="1"/>
  <c r="L434" i="6" s="1"/>
  <c r="J411" i="6"/>
  <c r="K411" i="6" s="1"/>
  <c r="L411" i="6" s="1"/>
  <c r="J456" i="6"/>
  <c r="K456" i="6" s="1"/>
  <c r="L456" i="6" s="1"/>
  <c r="J384" i="6"/>
  <c r="K384" i="6" s="1"/>
  <c r="L384" i="6" s="1"/>
  <c r="J335" i="6"/>
  <c r="K335" i="6" s="1"/>
  <c r="L335" i="6" s="1"/>
  <c r="J361" i="6"/>
  <c r="K361" i="6" s="1"/>
  <c r="L361" i="6" s="1"/>
  <c r="J345" i="6"/>
  <c r="K345" i="6" s="1"/>
  <c r="L345" i="6" s="1"/>
  <c r="J369" i="6"/>
  <c r="K369" i="6" s="1"/>
  <c r="L369" i="6" s="1"/>
  <c r="J279" i="6"/>
  <c r="K279" i="6" s="1"/>
  <c r="L279" i="6" s="1"/>
  <c r="J313" i="6"/>
  <c r="K313" i="6" s="1"/>
  <c r="L313" i="6" s="1"/>
  <c r="J538" i="6"/>
  <c r="K538" i="6" s="1"/>
  <c r="L538" i="6" s="1"/>
  <c r="J311" i="6"/>
  <c r="K311" i="6" s="1"/>
  <c r="L311" i="6" s="1"/>
  <c r="J321" i="6"/>
  <c r="K321" i="6" s="1"/>
  <c r="L321" i="6" s="1"/>
  <c r="J238" i="6"/>
  <c r="K238" i="6" s="1"/>
  <c r="L238" i="6" s="1"/>
  <c r="J225" i="6"/>
  <c r="K225" i="6" s="1"/>
  <c r="L225" i="6" s="1"/>
  <c r="J158" i="6"/>
  <c r="K158" i="6" s="1"/>
  <c r="L158" i="6" s="1"/>
  <c r="J206" i="6"/>
  <c r="K206" i="6" s="1"/>
  <c r="L206" i="6" s="1"/>
  <c r="J162" i="6"/>
  <c r="K162" i="6" s="1"/>
  <c r="L162" i="6" s="1"/>
  <c r="J172" i="6"/>
  <c r="K172" i="6" s="1"/>
  <c r="L172" i="6" s="1"/>
  <c r="J222" i="6"/>
  <c r="K222" i="6" s="1"/>
  <c r="L222" i="6" s="1"/>
  <c r="J157" i="6"/>
  <c r="K157" i="6" s="1"/>
  <c r="L157" i="6" s="1"/>
  <c r="J102" i="6"/>
  <c r="K102" i="6" s="1"/>
  <c r="L102" i="6" s="1"/>
  <c r="N234" i="6"/>
  <c r="J234" i="5"/>
  <c r="O234" i="6" s="1"/>
  <c r="J198" i="6"/>
  <c r="K198" i="6" s="1"/>
  <c r="L198" i="6" s="1"/>
  <c r="H508" i="5"/>
  <c r="J16" i="6"/>
  <c r="K16" i="6" s="1"/>
  <c r="L16" i="6" s="1"/>
  <c r="N323" i="6"/>
  <c r="J323" i="5"/>
  <c r="O323" i="6" s="1"/>
  <c r="N111" i="6"/>
  <c r="J111" i="5"/>
  <c r="O111" i="6" s="1"/>
  <c r="N102" i="6"/>
  <c r="J102" i="5"/>
  <c r="O102" i="6" s="1"/>
  <c r="N11" i="6"/>
  <c r="J11" i="5"/>
  <c r="O11" i="6" s="1"/>
  <c r="N133" i="6"/>
  <c r="J133" i="5"/>
  <c r="O133" i="6" s="1"/>
  <c r="N52" i="6"/>
  <c r="J52" i="5"/>
  <c r="O52" i="6" s="1"/>
  <c r="N20" i="6"/>
  <c r="J20" i="5"/>
  <c r="O20" i="6" s="1"/>
  <c r="N107" i="6"/>
  <c r="J107" i="5"/>
  <c r="O107" i="6" s="1"/>
  <c r="J203" i="6"/>
  <c r="K203" i="6" s="1"/>
  <c r="L203" i="6" s="1"/>
  <c r="J219" i="6"/>
  <c r="K219" i="6" s="1"/>
  <c r="L219" i="6" s="1"/>
  <c r="J199" i="6"/>
  <c r="K199" i="6" s="1"/>
  <c r="L199" i="6" s="1"/>
  <c r="J194" i="6"/>
  <c r="K194" i="6" s="1"/>
  <c r="L194" i="6" s="1"/>
  <c r="J135" i="6"/>
  <c r="K135" i="6" s="1"/>
  <c r="L135" i="6" s="1"/>
  <c r="J111" i="6"/>
  <c r="K111" i="6" s="1"/>
  <c r="L111" i="6" s="1"/>
  <c r="J204" i="6"/>
  <c r="K204" i="6" s="1"/>
  <c r="L204" i="6" s="1"/>
  <c r="N290" i="6"/>
  <c r="J290" i="5"/>
  <c r="O290" i="6" s="1"/>
  <c r="N226" i="6"/>
  <c r="J226" i="5"/>
  <c r="O226" i="6" s="1"/>
  <c r="J196" i="6"/>
  <c r="K196" i="6" s="1"/>
  <c r="L196" i="6" s="1"/>
  <c r="J57" i="6"/>
  <c r="K57" i="6" s="1"/>
  <c r="L57" i="6" s="1"/>
  <c r="N315" i="6"/>
  <c r="J315" i="5"/>
  <c r="O315" i="6" s="1"/>
  <c r="N103" i="6"/>
  <c r="J103" i="5"/>
  <c r="O103" i="6" s="1"/>
  <c r="J13" i="6"/>
  <c r="K13" i="6" s="1"/>
  <c r="L13" i="6" s="1"/>
  <c r="N53" i="6"/>
  <c r="J53" i="5"/>
  <c r="O53" i="6" s="1"/>
  <c r="N13" i="6"/>
  <c r="J13" i="5"/>
  <c r="O13" i="6" s="1"/>
  <c r="J531" i="6"/>
  <c r="K531" i="6" s="1"/>
  <c r="L531" i="6" s="1"/>
  <c r="J527" i="6"/>
  <c r="K527" i="6" s="1"/>
  <c r="L527" i="6" s="1"/>
  <c r="J493" i="6"/>
  <c r="K493" i="6" s="1"/>
  <c r="L493" i="6" s="1"/>
  <c r="J521" i="6"/>
  <c r="K521" i="6" s="1"/>
  <c r="L521" i="6" s="1"/>
  <c r="J525" i="6"/>
  <c r="K525" i="6" s="1"/>
  <c r="L525" i="6" s="1"/>
  <c r="J516" i="6"/>
  <c r="K516" i="6" s="1"/>
  <c r="L516" i="6" s="1"/>
  <c r="J489" i="6"/>
  <c r="K489" i="6" s="1"/>
  <c r="L489" i="6" s="1"/>
  <c r="J462" i="6"/>
  <c r="K462" i="6" s="1"/>
  <c r="L462" i="6" s="1"/>
  <c r="J438" i="6"/>
  <c r="K438" i="6" s="1"/>
  <c r="L438" i="6" s="1"/>
  <c r="J460" i="6"/>
  <c r="K460" i="6" s="1"/>
  <c r="L460" i="6" s="1"/>
  <c r="J439" i="6"/>
  <c r="K439" i="6" s="1"/>
  <c r="L439" i="6" s="1"/>
  <c r="J443" i="6"/>
  <c r="K443" i="6" s="1"/>
  <c r="L443" i="6" s="1"/>
  <c r="J430" i="6"/>
  <c r="K430" i="6" s="1"/>
  <c r="L430" i="6" s="1"/>
  <c r="J422" i="6"/>
  <c r="K422" i="6" s="1"/>
  <c r="L422" i="6" s="1"/>
  <c r="J446" i="6"/>
  <c r="K446" i="6" s="1"/>
  <c r="L446" i="6" s="1"/>
  <c r="J360" i="6"/>
  <c r="K360" i="6" s="1"/>
  <c r="L360" i="6" s="1"/>
  <c r="J353" i="6"/>
  <c r="K353" i="6" s="1"/>
  <c r="L353" i="6" s="1"/>
  <c r="J400" i="6"/>
  <c r="K400" i="6" s="1"/>
  <c r="L400" i="6" s="1"/>
  <c r="J339" i="6"/>
  <c r="K339" i="6" s="1"/>
  <c r="L339" i="6" s="1"/>
  <c r="J289" i="6"/>
  <c r="K289" i="6" s="1"/>
  <c r="L289" i="6" s="1"/>
  <c r="J357" i="6"/>
  <c r="K357" i="6" s="1"/>
  <c r="L357" i="6" s="1"/>
  <c r="J290" i="6"/>
  <c r="K290" i="6" s="1"/>
  <c r="L290" i="6" s="1"/>
  <c r="J329" i="6"/>
  <c r="K329" i="6" s="1"/>
  <c r="L329" i="6" s="1"/>
  <c r="J273" i="6"/>
  <c r="K273" i="6" s="1"/>
  <c r="L273" i="6" s="1"/>
  <c r="J235" i="6"/>
  <c r="K235" i="6" s="1"/>
  <c r="L235" i="6" s="1"/>
  <c r="J246" i="6"/>
  <c r="K246" i="6" s="1"/>
  <c r="L246" i="6" s="1"/>
  <c r="J201" i="6"/>
  <c r="K201" i="6" s="1"/>
  <c r="L201" i="6" s="1"/>
  <c r="J177" i="6"/>
  <c r="K177" i="6" s="1"/>
  <c r="L177" i="6" s="1"/>
  <c r="J230" i="6"/>
  <c r="K230" i="6" s="1"/>
  <c r="L230" i="6" s="1"/>
  <c r="J122" i="6"/>
  <c r="K122" i="6" s="1"/>
  <c r="L122" i="6" s="1"/>
  <c r="J155" i="6"/>
  <c r="K155" i="6" s="1"/>
  <c r="L155" i="6" s="1"/>
  <c r="J170" i="6"/>
  <c r="K170" i="6" s="1"/>
  <c r="L170" i="6" s="1"/>
  <c r="J159" i="6"/>
  <c r="K159" i="6" s="1"/>
  <c r="L159" i="6" s="1"/>
  <c r="J89" i="6"/>
  <c r="K89" i="6" s="1"/>
  <c r="L89" i="6" s="1"/>
  <c r="J53" i="6"/>
  <c r="K53" i="6" s="1"/>
  <c r="L53" i="6" s="1"/>
  <c r="J232" i="6"/>
  <c r="K232" i="6" s="1"/>
  <c r="L232" i="6" s="1"/>
  <c r="J64" i="6"/>
  <c r="K64" i="6" s="1"/>
  <c r="L64" i="6" s="1"/>
  <c r="J193" i="6"/>
  <c r="K193" i="6" s="1"/>
  <c r="L193" i="6" s="1"/>
  <c r="J148" i="6"/>
  <c r="K148" i="6" s="1"/>
  <c r="L148" i="6" s="1"/>
  <c r="H515" i="5"/>
  <c r="N307" i="6"/>
  <c r="J307" i="5"/>
  <c r="O307" i="6" s="1"/>
  <c r="N95" i="6"/>
  <c r="J95" i="5"/>
  <c r="O95" i="6" s="1"/>
  <c r="N150" i="6"/>
  <c r="J150" i="5"/>
  <c r="O150" i="6" s="1"/>
  <c r="N86" i="6"/>
  <c r="J86" i="5"/>
  <c r="O86" i="6" s="1"/>
  <c r="N43" i="6"/>
  <c r="J43" i="5"/>
  <c r="O43" i="6" s="1"/>
  <c r="N44" i="6"/>
  <c r="J44" i="5"/>
  <c r="O44" i="6" s="1"/>
  <c r="N12" i="6"/>
  <c r="J12" i="5"/>
  <c r="O12" i="6" s="1"/>
  <c r="N92" i="6"/>
  <c r="J92" i="5"/>
  <c r="O92" i="6" s="1"/>
  <c r="N34" i="6"/>
  <c r="J34" i="5"/>
  <c r="O34" i="6" s="1"/>
  <c r="N37" i="6"/>
  <c r="J37" i="5"/>
  <c r="O37" i="6" s="1"/>
  <c r="N362" i="6"/>
  <c r="J362" i="5"/>
  <c r="O362" i="6" s="1"/>
  <c r="N338" i="6"/>
  <c r="J338" i="5"/>
  <c r="O338" i="6" s="1"/>
  <c r="N274" i="6"/>
  <c r="J274" i="5"/>
  <c r="O274" i="6" s="1"/>
  <c r="N210" i="6"/>
  <c r="J210" i="5"/>
  <c r="O210" i="6" s="1"/>
  <c r="N108" i="6"/>
  <c r="J108" i="5"/>
  <c r="O108" i="6" s="1"/>
  <c r="H539" i="5"/>
  <c r="J59" i="6"/>
  <c r="K59" i="6" s="1"/>
  <c r="L59" i="6" s="1"/>
  <c r="J17" i="6"/>
  <c r="K17" i="6" s="1"/>
  <c r="L17" i="6" s="1"/>
  <c r="J97" i="6"/>
  <c r="K97" i="6" s="1"/>
  <c r="L97" i="6" s="1"/>
  <c r="J24" i="6"/>
  <c r="K24" i="6" s="1"/>
  <c r="L24" i="6" s="1"/>
  <c r="N347" i="6"/>
  <c r="J347" i="5"/>
  <c r="O347" i="6" s="1"/>
  <c r="N135" i="6"/>
  <c r="J135" i="5"/>
  <c r="O135" i="6" s="1"/>
  <c r="N71" i="6"/>
  <c r="J71" i="5"/>
  <c r="O71" i="6" s="1"/>
  <c r="H526" i="5"/>
  <c r="H503" i="5"/>
  <c r="N142" i="6"/>
  <c r="J142" i="5"/>
  <c r="O142" i="6" s="1"/>
  <c r="N78" i="6"/>
  <c r="J78" i="5"/>
  <c r="O78" i="6" s="1"/>
  <c r="I279" i="5"/>
  <c r="I260" i="5"/>
  <c r="I157" i="5"/>
  <c r="J48" i="5"/>
  <c r="O48" i="6" s="1"/>
  <c r="N48" i="6"/>
  <c r="I233" i="5"/>
  <c r="N147" i="6"/>
  <c r="J147" i="5"/>
  <c r="O147" i="6" s="1"/>
  <c r="J32" i="6"/>
  <c r="K32" i="6" s="1"/>
  <c r="L32" i="6" s="1"/>
  <c r="N321" i="6"/>
  <c r="J321" i="5"/>
  <c r="O321" i="6" s="1"/>
  <c r="H36" i="5"/>
  <c r="I36" i="5" s="1"/>
  <c r="H254" i="5"/>
  <c r="I201" i="5"/>
  <c r="H186" i="5"/>
  <c r="I186" i="5" s="1"/>
  <c r="I261" i="5"/>
  <c r="I231" i="5"/>
  <c r="I212" i="5"/>
  <c r="I178" i="5"/>
  <c r="I162" i="5"/>
  <c r="H117" i="5"/>
  <c r="I117" i="5" s="1"/>
  <c r="G81" i="5"/>
  <c r="F81" i="5"/>
  <c r="E81" i="5"/>
  <c r="H81" i="5" s="1"/>
  <c r="D81" i="5"/>
  <c r="H42" i="5"/>
  <c r="I42" i="5" s="1"/>
  <c r="H10" i="5"/>
  <c r="I10" i="5" s="1"/>
  <c r="H132" i="5"/>
  <c r="H300" i="5"/>
  <c r="H284" i="5"/>
  <c r="I90" i="5"/>
  <c r="G17" i="5"/>
  <c r="F17" i="5"/>
  <c r="E17" i="5"/>
  <c r="H17" i="5" s="1"/>
  <c r="D17" i="5"/>
  <c r="H6" i="5"/>
  <c r="H299" i="5"/>
  <c r="N264" i="6"/>
  <c r="J264" i="5"/>
  <c r="O264" i="6" s="1"/>
  <c r="H165" i="5"/>
  <c r="I271" i="5"/>
  <c r="H222" i="5"/>
  <c r="J21" i="6"/>
  <c r="K21" i="6" s="1"/>
  <c r="L21" i="6" s="1"/>
  <c r="H281" i="5"/>
  <c r="H238" i="5"/>
  <c r="N230" i="6"/>
  <c r="J230" i="5"/>
  <c r="O230" i="6" s="1"/>
  <c r="N211" i="6"/>
  <c r="J211" i="5"/>
  <c r="O211" i="6" s="1"/>
  <c r="N99" i="6"/>
  <c r="J99" i="5"/>
  <c r="O99" i="6" s="1"/>
  <c r="N112" i="6"/>
  <c r="J112" i="5"/>
  <c r="O112" i="6" s="1"/>
  <c r="I236" i="5"/>
  <c r="H68" i="5"/>
  <c r="N192" i="6"/>
  <c r="J192" i="5"/>
  <c r="O192" i="6" s="1"/>
  <c r="H141" i="5"/>
  <c r="I141" i="5" s="1"/>
  <c r="I58" i="5"/>
  <c r="E23" i="5"/>
  <c r="H23" i="5" s="1"/>
  <c r="G23" i="5"/>
  <c r="F23" i="5"/>
  <c r="I23" i="5" s="1"/>
  <c r="D23" i="5"/>
  <c r="H235" i="5"/>
  <c r="H267" i="5"/>
  <c r="I267" i="5" s="1"/>
  <c r="I237" i="5"/>
  <c r="I293" i="5"/>
  <c r="I217" i="5"/>
  <c r="H301" i="5"/>
  <c r="H282" i="5"/>
  <c r="I282" i="5" s="1"/>
  <c r="N313" i="6"/>
  <c r="J313" i="5"/>
  <c r="O313" i="6" s="1"/>
  <c r="I182" i="5"/>
  <c r="I166" i="5"/>
  <c r="I98" i="5"/>
  <c r="I132" i="5"/>
  <c r="F63" i="7"/>
  <c r="I300" i="5"/>
  <c r="I284" i="5"/>
  <c r="N152" i="6"/>
  <c r="J152" i="5"/>
  <c r="O152" i="6" s="1"/>
  <c r="G73" i="5"/>
  <c r="E73" i="5"/>
  <c r="H73" i="5" s="1"/>
  <c r="D73" i="5"/>
  <c r="F73" i="5"/>
  <c r="G49" i="5"/>
  <c r="E49" i="5"/>
  <c r="D49" i="5"/>
  <c r="F49" i="5"/>
  <c r="H253" i="5"/>
  <c r="I299" i="5"/>
  <c r="N232" i="6"/>
  <c r="J232" i="5"/>
  <c r="O232" i="6" s="1"/>
  <c r="N72" i="6"/>
  <c r="J72" i="5"/>
  <c r="O72" i="6" s="1"/>
  <c r="H91" i="5"/>
  <c r="I91" i="5" s="1"/>
  <c r="I40" i="5"/>
  <c r="H203" i="5"/>
  <c r="I281" i="5"/>
  <c r="H221" i="5"/>
  <c r="I82" i="5"/>
  <c r="N126" i="6"/>
  <c r="J126" i="5"/>
  <c r="O126" i="6" s="1"/>
  <c r="N62" i="6"/>
  <c r="J62" i="5"/>
  <c r="O62" i="6" s="1"/>
  <c r="I292" i="5"/>
  <c r="I273" i="5"/>
  <c r="I245" i="5"/>
  <c r="I215" i="5"/>
  <c r="I207" i="5"/>
  <c r="N83" i="6"/>
  <c r="J83" i="5"/>
  <c r="O83" i="6" s="1"/>
  <c r="I270" i="5"/>
  <c r="I68" i="5"/>
  <c r="N224" i="6"/>
  <c r="J224" i="5"/>
  <c r="O224" i="6" s="1"/>
  <c r="I167" i="5"/>
  <c r="E47" i="5"/>
  <c r="H47" i="5" s="1"/>
  <c r="D47" i="5"/>
  <c r="F47" i="5"/>
  <c r="I47" i="5" s="1"/>
  <c r="G47" i="5"/>
  <c r="N7" i="6"/>
  <c r="J7" i="5"/>
  <c r="O7" i="6" s="1"/>
  <c r="I235" i="5"/>
  <c r="G97" i="5"/>
  <c r="D97" i="5"/>
  <c r="F97" i="5"/>
  <c r="E97" i="5"/>
  <c r="H97" i="5" s="1"/>
  <c r="H218" i="5"/>
  <c r="I218" i="5" s="1"/>
  <c r="I278" i="5"/>
  <c r="I259" i="5"/>
  <c r="I225" i="5"/>
  <c r="N197" i="6"/>
  <c r="J197" i="5"/>
  <c r="O197" i="6" s="1"/>
  <c r="N172" i="6"/>
  <c r="J172" i="5"/>
  <c r="O172" i="6" s="1"/>
  <c r="N156" i="6"/>
  <c r="J156" i="5"/>
  <c r="O156" i="6" s="1"/>
  <c r="G65" i="5"/>
  <c r="F65" i="5"/>
  <c r="E65" i="5"/>
  <c r="H65" i="5" s="1"/>
  <c r="D65" i="5"/>
  <c r="N149" i="6"/>
  <c r="J149" i="5"/>
  <c r="O149" i="6" s="1"/>
  <c r="N88" i="6"/>
  <c r="J88" i="5"/>
  <c r="O88" i="6" s="1"/>
  <c r="G25" i="5"/>
  <c r="F25" i="5"/>
  <c r="E25" i="5"/>
  <c r="D25" i="5"/>
  <c r="H14" i="5"/>
  <c r="I30" i="5"/>
  <c r="N200" i="6"/>
  <c r="J200" i="5"/>
  <c r="O200" i="6" s="1"/>
  <c r="H196" i="5"/>
  <c r="I196" i="5" s="1"/>
  <c r="H173" i="5"/>
  <c r="I173" i="5" s="1"/>
  <c r="I130" i="5"/>
  <c r="H35" i="5"/>
  <c r="I35" i="5" s="1"/>
  <c r="I203" i="5"/>
  <c r="H185" i="5"/>
  <c r="I185" i="5" s="1"/>
  <c r="N171" i="6"/>
  <c r="J171" i="5"/>
  <c r="O171" i="6" s="1"/>
  <c r="N128" i="6"/>
  <c r="J128" i="5"/>
  <c r="O128" i="6" s="1"/>
  <c r="I269" i="5"/>
  <c r="N189" i="6"/>
  <c r="J189" i="5"/>
  <c r="O189" i="6" s="1"/>
  <c r="I56" i="5"/>
  <c r="E7" i="5"/>
  <c r="H7" i="5" s="1"/>
  <c r="G7" i="5"/>
  <c r="F7" i="5"/>
  <c r="D7" i="5"/>
  <c r="H265" i="5"/>
  <c r="N268" i="6"/>
  <c r="J268" i="5"/>
  <c r="O268" i="6" s="1"/>
  <c r="I301" i="5"/>
  <c r="G153" i="5"/>
  <c r="F153" i="5"/>
  <c r="D153" i="5"/>
  <c r="E153" i="5"/>
  <c r="N294" i="6"/>
  <c r="J294" i="5"/>
  <c r="O294" i="6" s="1"/>
  <c r="I263" i="5"/>
  <c r="N244" i="6"/>
  <c r="J244" i="5"/>
  <c r="O244" i="6" s="1"/>
  <c r="N176" i="6"/>
  <c r="J176" i="5"/>
  <c r="O176" i="6" s="1"/>
  <c r="N160" i="6"/>
  <c r="J160" i="5"/>
  <c r="O160" i="6" s="1"/>
  <c r="N96" i="6"/>
  <c r="J96" i="5"/>
  <c r="O96" i="6" s="1"/>
  <c r="N272" i="6"/>
  <c r="J272" i="5"/>
  <c r="O272" i="6" s="1"/>
  <c r="N208" i="6"/>
  <c r="J208" i="5"/>
  <c r="O208" i="6" s="1"/>
  <c r="G115" i="5"/>
  <c r="F115" i="5"/>
  <c r="E115" i="5"/>
  <c r="D115" i="5"/>
  <c r="H46" i="5"/>
  <c r="I253" i="5"/>
  <c r="N296" i="6"/>
  <c r="J296" i="5"/>
  <c r="O296" i="6" s="1"/>
  <c r="F124" i="5"/>
  <c r="E124" i="5"/>
  <c r="D124" i="5"/>
  <c r="G124" i="5"/>
  <c r="H169" i="5"/>
  <c r="I169" i="5" s="1"/>
  <c r="I239" i="5"/>
  <c r="I255" i="5"/>
  <c r="I221" i="5"/>
  <c r="I22" i="5"/>
  <c r="N110" i="6"/>
  <c r="J110" i="5"/>
  <c r="O110" i="6" s="1"/>
  <c r="I262" i="5"/>
  <c r="I243" i="5"/>
  <c r="I209" i="5"/>
  <c r="I181" i="5"/>
  <c r="H85" i="5"/>
  <c r="I85" i="5" s="1"/>
  <c r="N32" i="6"/>
  <c r="J32" i="5"/>
  <c r="O32" i="6" s="1"/>
  <c r="I219" i="5"/>
  <c r="J6" i="6"/>
  <c r="K6" i="6" s="1"/>
  <c r="L6" i="6" s="1"/>
  <c r="N256" i="6"/>
  <c r="J256" i="5"/>
  <c r="O256" i="6" s="1"/>
  <c r="I183" i="5"/>
  <c r="N161" i="6"/>
  <c r="J161" i="5"/>
  <c r="O161" i="6" s="1"/>
  <c r="E31" i="5"/>
  <c r="H31" i="5" s="1"/>
  <c r="D31" i="5"/>
  <c r="G31" i="5"/>
  <c r="F31" i="5"/>
  <c r="H4" i="5"/>
  <c r="I265" i="5"/>
  <c r="H220" i="5"/>
  <c r="H75" i="5"/>
  <c r="I75" i="5" s="1"/>
  <c r="H250" i="5"/>
  <c r="I250" i="5" s="1"/>
  <c r="N80" i="6"/>
  <c r="J80" i="5"/>
  <c r="O80" i="6" s="1"/>
  <c r="H125" i="5"/>
  <c r="I125" i="5" s="1"/>
  <c r="I214" i="5"/>
  <c r="I195" i="5"/>
  <c r="I170" i="5"/>
  <c r="H148" i="5"/>
  <c r="I38" i="5"/>
  <c r="I287" i="5"/>
  <c r="G33" i="5"/>
  <c r="F33" i="5"/>
  <c r="I33" i="5" s="1"/>
  <c r="E33" i="5"/>
  <c r="H33" i="5" s="1"/>
  <c r="D33" i="5"/>
  <c r="I14" i="5"/>
  <c r="I138" i="5"/>
  <c r="G121" i="5"/>
  <c r="D121" i="5"/>
  <c r="F121" i="5"/>
  <c r="E121" i="5"/>
  <c r="H121" i="5" s="1"/>
  <c r="H93" i="5"/>
  <c r="I93" i="5" s="1"/>
  <c r="I66" i="5"/>
  <c r="I24" i="5"/>
  <c r="H188" i="5"/>
  <c r="H204" i="5"/>
  <c r="I277" i="5"/>
  <c r="I247" i="5"/>
  <c r="N228" i="6"/>
  <c r="J228" i="5"/>
  <c r="O228" i="6" s="1"/>
  <c r="N64" i="6"/>
  <c r="J64" i="5"/>
  <c r="O64" i="6" s="1"/>
  <c r="N252" i="6"/>
  <c r="J252" i="5"/>
  <c r="O252" i="6" s="1"/>
  <c r="I190" i="5"/>
  <c r="N159" i="6"/>
  <c r="J159" i="5"/>
  <c r="O159" i="6" s="1"/>
  <c r="N122" i="6"/>
  <c r="J122" i="5"/>
  <c r="O122" i="6" s="1"/>
  <c r="G105" i="5"/>
  <c r="D105" i="5"/>
  <c r="F105" i="5"/>
  <c r="E105" i="5"/>
  <c r="H105" i="5" s="1"/>
  <c r="N77" i="6"/>
  <c r="J77" i="5"/>
  <c r="O77" i="6" s="1"/>
  <c r="E55" i="5"/>
  <c r="H55" i="5" s="1"/>
  <c r="F55" i="5"/>
  <c r="D55" i="5"/>
  <c r="G55" i="5"/>
  <c r="I220" i="5"/>
  <c r="N106" i="6"/>
  <c r="J106" i="5"/>
  <c r="O106" i="6" s="1"/>
  <c r="G89" i="5"/>
  <c r="F89" i="5"/>
  <c r="E89" i="5"/>
  <c r="D89" i="5"/>
  <c r="I257" i="5"/>
  <c r="I229" i="5"/>
  <c r="I199" i="5"/>
  <c r="I174" i="5"/>
  <c r="I158" i="5"/>
  <c r="I148" i="5"/>
  <c r="H84" i="5"/>
  <c r="I146" i="5"/>
  <c r="F140" i="5"/>
  <c r="E140" i="5"/>
  <c r="H140" i="5" s="1"/>
  <c r="D140" i="5"/>
  <c r="G140" i="5"/>
  <c r="H54" i="5"/>
  <c r="I54" i="5" s="1"/>
  <c r="I286" i="5"/>
  <c r="H179" i="5"/>
  <c r="I179" i="5" s="1"/>
  <c r="I155" i="5"/>
  <c r="H114" i="5"/>
  <c r="I114" i="5" s="1"/>
  <c r="H19" i="5"/>
  <c r="I19" i="5" s="1"/>
  <c r="H291" i="5"/>
  <c r="I188" i="5"/>
  <c r="I204" i="5"/>
  <c r="J85" i="6"/>
  <c r="K85" i="6" s="1"/>
  <c r="L85" i="6" s="1"/>
  <c r="J44" i="6"/>
  <c r="K44" i="6" s="1"/>
  <c r="L44" i="6" s="1"/>
  <c r="J73" i="6"/>
  <c r="K73" i="6" s="1"/>
  <c r="L73" i="6" s="1"/>
  <c r="J25" i="6"/>
  <c r="K25" i="6" s="1"/>
  <c r="L25" i="6" s="1"/>
  <c r="N151" i="6"/>
  <c r="J151" i="5"/>
  <c r="O151" i="6" s="1"/>
  <c r="N87" i="6"/>
  <c r="J87" i="5"/>
  <c r="O87" i="6" s="1"/>
  <c r="J161" i="6"/>
  <c r="K161" i="6" s="1"/>
  <c r="L161" i="6" s="1"/>
  <c r="N94" i="6"/>
  <c r="J94" i="5"/>
  <c r="O94" i="6" s="1"/>
  <c r="I283" i="5"/>
  <c r="I198" i="5"/>
  <c r="I163" i="5"/>
  <c r="H116" i="5"/>
  <c r="I295" i="5"/>
  <c r="I249" i="5"/>
  <c r="I206" i="5"/>
  <c r="H298" i="5"/>
  <c r="I298" i="5" s="1"/>
  <c r="E15" i="5"/>
  <c r="H15" i="5" s="1"/>
  <c r="D15" i="5"/>
  <c r="G15" i="5"/>
  <c r="F15" i="5"/>
  <c r="I254" i="5"/>
  <c r="H285" i="5"/>
  <c r="I285" i="5" s="1"/>
  <c r="I251" i="5"/>
  <c r="I46" i="5"/>
  <c r="I297" i="5"/>
  <c r="H61" i="5"/>
  <c r="I61" i="5" s="1"/>
  <c r="J37" i="6"/>
  <c r="K37" i="6" s="1"/>
  <c r="L37" i="6" s="1"/>
  <c r="I276" i="5"/>
  <c r="N180" i="6"/>
  <c r="J180" i="5"/>
  <c r="O180" i="6" s="1"/>
  <c r="N164" i="6"/>
  <c r="J164" i="5"/>
  <c r="O164" i="6" s="1"/>
  <c r="I84" i="5"/>
  <c r="N240" i="6"/>
  <c r="J240" i="5"/>
  <c r="O240" i="6" s="1"/>
  <c r="I109" i="5"/>
  <c r="G9" i="5"/>
  <c r="F9" i="5"/>
  <c r="E9" i="5"/>
  <c r="H9" i="5" s="1"/>
  <c r="D9" i="5"/>
  <c r="N305" i="6"/>
  <c r="J305" i="5"/>
  <c r="O305" i="6" s="1"/>
  <c r="N136" i="6"/>
  <c r="J136" i="5"/>
  <c r="O136" i="6" s="1"/>
  <c r="F60" i="5"/>
  <c r="E60" i="5"/>
  <c r="D60" i="5"/>
  <c r="G60" i="5"/>
  <c r="I165" i="5"/>
  <c r="G113" i="5"/>
  <c r="E113" i="5"/>
  <c r="H113" i="5" s="1"/>
  <c r="F113" i="5"/>
  <c r="I113" i="5" s="1"/>
  <c r="D113" i="5"/>
  <c r="I291" i="5"/>
  <c r="I222" i="5"/>
  <c r="H69" i="5"/>
  <c r="I69" i="5" s="1"/>
  <c r="I238" i="5"/>
  <c r="G129" i="5"/>
  <c r="F129" i="5"/>
  <c r="E129" i="5"/>
  <c r="H129" i="5" s="1"/>
  <c r="D129" i="5"/>
  <c r="N345" i="6"/>
  <c r="J345" i="5"/>
  <c r="O345" i="6" s="1"/>
  <c r="N275" i="6"/>
  <c r="J275" i="5"/>
  <c r="O275" i="6" s="1"/>
  <c r="N241" i="6"/>
  <c r="J241" i="5"/>
  <c r="O241" i="6" s="1"/>
  <c r="N213" i="6"/>
  <c r="J213" i="5"/>
  <c r="O213" i="6" s="1"/>
  <c r="I116" i="5"/>
  <c r="J16" i="5"/>
  <c r="O16" i="6" s="1"/>
  <c r="N16" i="6"/>
  <c r="N175" i="6"/>
  <c r="J175" i="5"/>
  <c r="O175" i="6" s="1"/>
  <c r="I120" i="5"/>
  <c r="N51" i="6"/>
  <c r="J51" i="5"/>
  <c r="O51" i="6" s="1"/>
  <c r="E39" i="5"/>
  <c r="H39" i="5" s="1"/>
  <c r="G39" i="5"/>
  <c r="F39" i="5"/>
  <c r="I39" i="5" s="1"/>
  <c r="D39" i="5"/>
  <c r="I205" i="5"/>
  <c r="N187" i="6"/>
  <c r="J187" i="5"/>
  <c r="O187" i="6" s="1"/>
  <c r="N104" i="6"/>
  <c r="J104" i="5"/>
  <c r="O104" i="6" s="1"/>
  <c r="N246" i="6"/>
  <c r="J246" i="5"/>
  <c r="O246" i="6" s="1"/>
  <c r="N227" i="6"/>
  <c r="J227" i="5"/>
  <c r="O227" i="6" s="1"/>
  <c r="N193" i="6"/>
  <c r="J193" i="5"/>
  <c r="O193" i="6" s="1"/>
  <c r="N168" i="6"/>
  <c r="J168" i="5"/>
  <c r="O168" i="6" s="1"/>
  <c r="G145" i="5"/>
  <c r="F145" i="5"/>
  <c r="I145" i="5" s="1"/>
  <c r="D145" i="5"/>
  <c r="E145" i="5"/>
  <c r="H145" i="5" s="1"/>
  <c r="I4" i="6"/>
  <c r="H4" i="6"/>
  <c r="N154" i="6"/>
  <c r="J154" i="5"/>
  <c r="O154" i="6" s="1"/>
  <c r="G137" i="5"/>
  <c r="F137" i="5"/>
  <c r="E137" i="5"/>
  <c r="H137" i="5" s="1"/>
  <c r="D137" i="5"/>
  <c r="F76" i="5"/>
  <c r="E76" i="5"/>
  <c r="H76" i="5" s="1"/>
  <c r="D76" i="5"/>
  <c r="G76" i="5"/>
  <c r="G41" i="5"/>
  <c r="E41" i="5"/>
  <c r="D41" i="5"/>
  <c r="F41" i="5"/>
  <c r="N9" i="6"/>
  <c r="J9" i="5"/>
  <c r="O9" i="6" s="1"/>
  <c r="N289" i="6"/>
  <c r="J289" i="5"/>
  <c r="O289" i="6" s="1"/>
  <c r="N223" i="6"/>
  <c r="J223" i="5"/>
  <c r="O223" i="6" s="1"/>
  <c r="N74" i="6"/>
  <c r="J74" i="5"/>
  <c r="O74" i="6" s="1"/>
  <c r="G57" i="5"/>
  <c r="F57" i="5"/>
  <c r="I57" i="5" s="1"/>
  <c r="D57" i="5"/>
  <c r="E57" i="5"/>
  <c r="H57" i="5" s="1"/>
  <c r="H139" i="5"/>
  <c r="I139" i="5" s="1"/>
  <c r="I191" i="5"/>
  <c r="N285" i="6" l="1"/>
  <c r="J285" i="5"/>
  <c r="O285" i="6" s="1"/>
  <c r="N185" i="6"/>
  <c r="J185" i="5"/>
  <c r="O185" i="6" s="1"/>
  <c r="N75" i="6"/>
  <c r="J75" i="5"/>
  <c r="O75" i="6" s="1"/>
  <c r="N196" i="6"/>
  <c r="J196" i="5"/>
  <c r="O196" i="6" s="1"/>
  <c r="N267" i="6"/>
  <c r="J267" i="5"/>
  <c r="O267" i="6" s="1"/>
  <c r="N114" i="6"/>
  <c r="J114" i="5"/>
  <c r="O114" i="6" s="1"/>
  <c r="N173" i="6"/>
  <c r="J173" i="5"/>
  <c r="O173" i="6" s="1"/>
  <c r="N36" i="6"/>
  <c r="J36" i="5"/>
  <c r="O36" i="6" s="1"/>
  <c r="N69" i="6"/>
  <c r="J69" i="5"/>
  <c r="O69" i="6" s="1"/>
  <c r="N179" i="6"/>
  <c r="J179" i="5"/>
  <c r="O179" i="6" s="1"/>
  <c r="N54" i="6"/>
  <c r="J54" i="5"/>
  <c r="O54" i="6" s="1"/>
  <c r="N57" i="6"/>
  <c r="J57" i="5"/>
  <c r="O57" i="6" s="1"/>
  <c r="N165" i="6"/>
  <c r="J165" i="5"/>
  <c r="O165" i="6" s="1"/>
  <c r="N19" i="6"/>
  <c r="J19" i="5"/>
  <c r="O19" i="6" s="1"/>
  <c r="N148" i="6"/>
  <c r="J148" i="5"/>
  <c r="O148" i="6" s="1"/>
  <c r="N24" i="6"/>
  <c r="J24" i="5"/>
  <c r="O24" i="6" s="1"/>
  <c r="I76" i="5"/>
  <c r="N254" i="6"/>
  <c r="J254" i="5"/>
  <c r="O254" i="6" s="1"/>
  <c r="N295" i="6"/>
  <c r="J295" i="5"/>
  <c r="O295" i="6" s="1"/>
  <c r="I140" i="5"/>
  <c r="N158" i="6"/>
  <c r="J158" i="5"/>
  <c r="O158" i="6" s="1"/>
  <c r="N66" i="6"/>
  <c r="J66" i="5"/>
  <c r="O66" i="6" s="1"/>
  <c r="N219" i="6"/>
  <c r="J219" i="5"/>
  <c r="O219" i="6" s="1"/>
  <c r="N255" i="6"/>
  <c r="J255" i="5"/>
  <c r="O255" i="6" s="1"/>
  <c r="N263" i="6"/>
  <c r="J263" i="5"/>
  <c r="O263" i="6" s="1"/>
  <c r="N130" i="6"/>
  <c r="J130" i="5"/>
  <c r="O130" i="6" s="1"/>
  <c r="H25" i="5"/>
  <c r="N218" i="6"/>
  <c r="J218" i="5"/>
  <c r="O218" i="6" s="1"/>
  <c r="N68" i="6"/>
  <c r="J68" i="5"/>
  <c r="O68" i="6" s="1"/>
  <c r="N292" i="6"/>
  <c r="J292" i="5"/>
  <c r="O292" i="6" s="1"/>
  <c r="N82" i="6"/>
  <c r="J82" i="5"/>
  <c r="O82" i="6" s="1"/>
  <c r="I73" i="5"/>
  <c r="N42" i="6"/>
  <c r="J42" i="5"/>
  <c r="O42" i="6" s="1"/>
  <c r="N212" i="6"/>
  <c r="J212" i="5"/>
  <c r="O212" i="6" s="1"/>
  <c r="N157" i="6"/>
  <c r="J157" i="5"/>
  <c r="O157" i="6" s="1"/>
  <c r="N39" i="6"/>
  <c r="J39" i="5"/>
  <c r="O39" i="6" s="1"/>
  <c r="N249" i="6"/>
  <c r="J249" i="5"/>
  <c r="O249" i="6" s="1"/>
  <c r="N116" i="6"/>
  <c r="J116" i="5"/>
  <c r="O116" i="6" s="1"/>
  <c r="N222" i="6"/>
  <c r="J222" i="5"/>
  <c r="O222" i="6" s="1"/>
  <c r="N276" i="6"/>
  <c r="J276" i="5"/>
  <c r="O276" i="6" s="1"/>
  <c r="I15" i="5"/>
  <c r="N155" i="6"/>
  <c r="J155" i="5"/>
  <c r="O155" i="6" s="1"/>
  <c r="N174" i="6"/>
  <c r="J174" i="5"/>
  <c r="O174" i="6" s="1"/>
  <c r="N247" i="6"/>
  <c r="J247" i="5"/>
  <c r="O247" i="6" s="1"/>
  <c r="N93" i="6"/>
  <c r="J93" i="5"/>
  <c r="O93" i="6" s="1"/>
  <c r="N38" i="6"/>
  <c r="J38" i="5"/>
  <c r="O38" i="6" s="1"/>
  <c r="N250" i="6"/>
  <c r="J250" i="5"/>
  <c r="O250" i="6" s="1"/>
  <c r="N239" i="6"/>
  <c r="J239" i="5"/>
  <c r="O239" i="6" s="1"/>
  <c r="I25" i="5"/>
  <c r="N270" i="6"/>
  <c r="J270" i="5"/>
  <c r="O270" i="6" s="1"/>
  <c r="N231" i="6"/>
  <c r="J231" i="5"/>
  <c r="O231" i="6" s="1"/>
  <c r="N260" i="6"/>
  <c r="J260" i="5"/>
  <c r="O260" i="6" s="1"/>
  <c r="N163" i="6"/>
  <c r="J163" i="5"/>
  <c r="O163" i="6" s="1"/>
  <c r="N199" i="6"/>
  <c r="J199" i="5"/>
  <c r="O199" i="6" s="1"/>
  <c r="N190" i="6"/>
  <c r="J190" i="5"/>
  <c r="O190" i="6" s="1"/>
  <c r="N277" i="6"/>
  <c r="J277" i="5"/>
  <c r="O277" i="6" s="1"/>
  <c r="N33" i="6"/>
  <c r="J33" i="5"/>
  <c r="O33" i="6" s="1"/>
  <c r="N169" i="6"/>
  <c r="J169" i="5"/>
  <c r="O169" i="6" s="1"/>
  <c r="N253" i="6"/>
  <c r="J253" i="5"/>
  <c r="O253" i="6" s="1"/>
  <c r="N47" i="6"/>
  <c r="J47" i="5"/>
  <c r="O47" i="6" s="1"/>
  <c r="N281" i="6"/>
  <c r="J281" i="5"/>
  <c r="O281" i="6" s="1"/>
  <c r="N299" i="6"/>
  <c r="J299" i="5"/>
  <c r="O299" i="6" s="1"/>
  <c r="N282" i="6"/>
  <c r="J282" i="5"/>
  <c r="O282" i="6" s="1"/>
  <c r="N23" i="6"/>
  <c r="J23" i="5"/>
  <c r="O23" i="6" s="1"/>
  <c r="N236" i="6"/>
  <c r="J236" i="5"/>
  <c r="O236" i="6" s="1"/>
  <c r="N261" i="6"/>
  <c r="J261" i="5"/>
  <c r="O261" i="6" s="1"/>
  <c r="N279" i="6"/>
  <c r="J279" i="5"/>
  <c r="O279" i="6" s="1"/>
  <c r="N191" i="6"/>
  <c r="J191" i="5"/>
  <c r="O191" i="6" s="1"/>
  <c r="H41" i="5"/>
  <c r="I41" i="5" s="1"/>
  <c r="I137" i="5"/>
  <c r="J4" i="6"/>
  <c r="K4" i="6" s="1"/>
  <c r="L4" i="6" s="1"/>
  <c r="M4" i="6" s="1"/>
  <c r="H60" i="5"/>
  <c r="N61" i="6"/>
  <c r="J61" i="5"/>
  <c r="O61" i="6" s="1"/>
  <c r="N198" i="6"/>
  <c r="J198" i="5"/>
  <c r="O198" i="6" s="1"/>
  <c r="N286" i="6"/>
  <c r="J286" i="5"/>
  <c r="O286" i="6" s="1"/>
  <c r="N229" i="6"/>
  <c r="J229" i="5"/>
  <c r="O229" i="6" s="1"/>
  <c r="N220" i="6"/>
  <c r="J220" i="5"/>
  <c r="O220" i="6" s="1"/>
  <c r="I105" i="5"/>
  <c r="I121" i="5"/>
  <c r="N170" i="6"/>
  <c r="J170" i="5"/>
  <c r="O170" i="6" s="1"/>
  <c r="N85" i="6"/>
  <c r="J85" i="5"/>
  <c r="O85" i="6" s="1"/>
  <c r="H153" i="5"/>
  <c r="N269" i="6"/>
  <c r="J269" i="5"/>
  <c r="O269" i="6" s="1"/>
  <c r="I97" i="5"/>
  <c r="I81" i="5"/>
  <c r="N186" i="6"/>
  <c r="J186" i="5"/>
  <c r="O186" i="6" s="1"/>
  <c r="N120" i="6"/>
  <c r="J120" i="5"/>
  <c r="O120" i="6" s="1"/>
  <c r="N113" i="6"/>
  <c r="J113" i="5"/>
  <c r="O113" i="6" s="1"/>
  <c r="N84" i="6"/>
  <c r="J84" i="5"/>
  <c r="O84" i="6" s="1"/>
  <c r="N297" i="6"/>
  <c r="J297" i="5"/>
  <c r="O297" i="6" s="1"/>
  <c r="N287" i="6"/>
  <c r="J287" i="5"/>
  <c r="O287" i="6" s="1"/>
  <c r="N195" i="6"/>
  <c r="J195" i="5"/>
  <c r="O195" i="6" s="1"/>
  <c r="N265" i="6"/>
  <c r="J265" i="5"/>
  <c r="O265" i="6" s="1"/>
  <c r="N183" i="6"/>
  <c r="J183" i="5"/>
  <c r="O183" i="6" s="1"/>
  <c r="N181" i="6"/>
  <c r="J181" i="5"/>
  <c r="O181" i="6" s="1"/>
  <c r="N207" i="6"/>
  <c r="J207" i="5"/>
  <c r="O207" i="6" s="1"/>
  <c r="N40" i="6"/>
  <c r="J40" i="5"/>
  <c r="O40" i="6" s="1"/>
  <c r="I49" i="5"/>
  <c r="N132" i="6"/>
  <c r="J132" i="5"/>
  <c r="O132" i="6" s="1"/>
  <c r="N217" i="6"/>
  <c r="J217" i="5"/>
  <c r="O217" i="6" s="1"/>
  <c r="N271" i="6"/>
  <c r="J271" i="5"/>
  <c r="O271" i="6" s="1"/>
  <c r="N291" i="6"/>
  <c r="J291" i="5"/>
  <c r="O291" i="6" s="1"/>
  <c r="N283" i="6"/>
  <c r="J283" i="5"/>
  <c r="O283" i="6" s="1"/>
  <c r="I129" i="5"/>
  <c r="N109" i="6"/>
  <c r="J109" i="5"/>
  <c r="O109" i="6" s="1"/>
  <c r="N46" i="6"/>
  <c r="J46" i="5"/>
  <c r="O46" i="6" s="1"/>
  <c r="N298" i="6"/>
  <c r="J298" i="5"/>
  <c r="O298" i="6" s="1"/>
  <c r="N188" i="6"/>
  <c r="J188" i="5"/>
  <c r="O188" i="6" s="1"/>
  <c r="N146" i="6"/>
  <c r="J146" i="5"/>
  <c r="O146" i="6" s="1"/>
  <c r="N214" i="6"/>
  <c r="J214" i="5"/>
  <c r="O214" i="6" s="1"/>
  <c r="N209" i="6"/>
  <c r="J209" i="5"/>
  <c r="O209" i="6" s="1"/>
  <c r="N22" i="6"/>
  <c r="J22" i="5"/>
  <c r="O22" i="6" s="1"/>
  <c r="H115" i="5"/>
  <c r="I153" i="5"/>
  <c r="N30" i="6"/>
  <c r="J30" i="5"/>
  <c r="O30" i="6" s="1"/>
  <c r="I65" i="5"/>
  <c r="N225" i="6"/>
  <c r="J225" i="5"/>
  <c r="O225" i="6" s="1"/>
  <c r="N167" i="6"/>
  <c r="J167" i="5"/>
  <c r="O167" i="6" s="1"/>
  <c r="N215" i="6"/>
  <c r="J215" i="5"/>
  <c r="O215" i="6" s="1"/>
  <c r="N91" i="6"/>
  <c r="J91" i="5"/>
  <c r="O91" i="6" s="1"/>
  <c r="N98" i="6"/>
  <c r="J98" i="5"/>
  <c r="O98" i="6" s="1"/>
  <c r="N293" i="6"/>
  <c r="J293" i="5"/>
  <c r="O293" i="6" s="1"/>
  <c r="N58" i="6"/>
  <c r="J58" i="5"/>
  <c r="O58" i="6" s="1"/>
  <c r="I17" i="5"/>
  <c r="N117" i="6"/>
  <c r="J117" i="5"/>
  <c r="O117" i="6" s="1"/>
  <c r="N201" i="6"/>
  <c r="J201" i="5"/>
  <c r="O201" i="6" s="1"/>
  <c r="N233" i="6"/>
  <c r="J233" i="5"/>
  <c r="O233" i="6" s="1"/>
  <c r="I60" i="5"/>
  <c r="N204" i="6"/>
  <c r="J204" i="5"/>
  <c r="O204" i="6" s="1"/>
  <c r="N257" i="6"/>
  <c r="J257" i="5"/>
  <c r="O257" i="6" s="1"/>
  <c r="N205" i="6"/>
  <c r="J205" i="5"/>
  <c r="O205" i="6" s="1"/>
  <c r="N251" i="6"/>
  <c r="J251" i="5"/>
  <c r="O251" i="6" s="1"/>
  <c r="N206" i="6"/>
  <c r="J206" i="5"/>
  <c r="O206" i="6" s="1"/>
  <c r="H89" i="5"/>
  <c r="I89" i="5" s="1"/>
  <c r="I55" i="5"/>
  <c r="N138" i="6"/>
  <c r="J138" i="5"/>
  <c r="O138" i="6" s="1"/>
  <c r="N125" i="6"/>
  <c r="J125" i="5"/>
  <c r="O125" i="6" s="1"/>
  <c r="I31" i="5"/>
  <c r="N243" i="6"/>
  <c r="J243" i="5"/>
  <c r="O243" i="6" s="1"/>
  <c r="H124" i="5"/>
  <c r="I115" i="5"/>
  <c r="N203" i="6"/>
  <c r="J203" i="5"/>
  <c r="O203" i="6" s="1"/>
  <c r="N259" i="6"/>
  <c r="J259" i="5"/>
  <c r="O259" i="6" s="1"/>
  <c r="N235" i="6"/>
  <c r="J235" i="5"/>
  <c r="O235" i="6" s="1"/>
  <c r="N245" i="6"/>
  <c r="J245" i="5"/>
  <c r="O245" i="6" s="1"/>
  <c r="H49" i="5"/>
  <c r="N284" i="6"/>
  <c r="J284" i="5"/>
  <c r="O284" i="6" s="1"/>
  <c r="N166" i="6"/>
  <c r="J166" i="5"/>
  <c r="O166" i="6" s="1"/>
  <c r="N237" i="6"/>
  <c r="J237" i="5"/>
  <c r="O237" i="6" s="1"/>
  <c r="N141" i="6"/>
  <c r="J141" i="5"/>
  <c r="O141" i="6" s="1"/>
  <c r="N162" i="6"/>
  <c r="J162" i="5"/>
  <c r="O162" i="6" s="1"/>
  <c r="N139" i="6"/>
  <c r="J139" i="5"/>
  <c r="O139" i="6" s="1"/>
  <c r="N145" i="6"/>
  <c r="J145" i="5"/>
  <c r="O145" i="6" s="1"/>
  <c r="N238" i="6"/>
  <c r="J238" i="5"/>
  <c r="O238" i="6" s="1"/>
  <c r="N14" i="6"/>
  <c r="J14" i="5"/>
  <c r="O14" i="6" s="1"/>
  <c r="N262" i="6"/>
  <c r="J262" i="5"/>
  <c r="O262" i="6" s="1"/>
  <c r="N221" i="6"/>
  <c r="J221" i="5"/>
  <c r="O221" i="6" s="1"/>
  <c r="I124" i="5"/>
  <c r="N301" i="6"/>
  <c r="J301" i="5"/>
  <c r="O301" i="6" s="1"/>
  <c r="N56" i="6"/>
  <c r="J56" i="5"/>
  <c r="O56" i="6" s="1"/>
  <c r="N35" i="6"/>
  <c r="J35" i="5"/>
  <c r="O35" i="6" s="1"/>
  <c r="N278" i="6"/>
  <c r="J278" i="5"/>
  <c r="O278" i="6" s="1"/>
  <c r="N273" i="6"/>
  <c r="J273" i="5"/>
  <c r="O273" i="6" s="1"/>
  <c r="N300" i="6"/>
  <c r="J300" i="5"/>
  <c r="O300" i="6" s="1"/>
  <c r="N182" i="6"/>
  <c r="J182" i="5"/>
  <c r="O182" i="6" s="1"/>
  <c r="N90" i="6"/>
  <c r="J90" i="5"/>
  <c r="O90" i="6" s="1"/>
  <c r="J10" i="5"/>
  <c r="O10" i="6" s="1"/>
  <c r="N10" i="6"/>
  <c r="N178" i="6"/>
  <c r="J178" i="5"/>
  <c r="O178" i="6" s="1"/>
  <c r="N89" i="6" l="1"/>
  <c r="J89" i="5"/>
  <c r="O89" i="6" s="1"/>
  <c r="N41" i="6"/>
  <c r="J41" i="5"/>
  <c r="O41" i="6" s="1"/>
  <c r="N49" i="6"/>
  <c r="J49" i="5"/>
  <c r="O49" i="6" s="1"/>
  <c r="N97" i="6"/>
  <c r="J97" i="5"/>
  <c r="O97" i="6" s="1"/>
  <c r="N115" i="6"/>
  <c r="J115" i="5"/>
  <c r="O115" i="6" s="1"/>
  <c r="N129" i="6"/>
  <c r="J129" i="5"/>
  <c r="O129" i="6" s="1"/>
  <c r="N55" i="6"/>
  <c r="J55" i="5"/>
  <c r="O55" i="6" s="1"/>
  <c r="M5" i="6"/>
  <c r="Q4" i="6"/>
  <c r="C56" i="7"/>
  <c r="P4" i="6"/>
  <c r="N15" i="6"/>
  <c r="J15" i="5"/>
  <c r="O15" i="6" s="1"/>
  <c r="N25" i="6"/>
  <c r="J25" i="5"/>
  <c r="O25" i="6" s="1"/>
  <c r="N140" i="6"/>
  <c r="J140" i="5"/>
  <c r="O140" i="6" s="1"/>
  <c r="N31" i="6"/>
  <c r="J31" i="5"/>
  <c r="O31" i="6" s="1"/>
  <c r="N81" i="6"/>
  <c r="J81" i="5"/>
  <c r="O81" i="6" s="1"/>
  <c r="N121" i="6"/>
  <c r="J121" i="5"/>
  <c r="O121" i="6" s="1"/>
  <c r="N73" i="6"/>
  <c r="J73" i="5"/>
  <c r="O73" i="6" s="1"/>
  <c r="N65" i="6"/>
  <c r="J65" i="5"/>
  <c r="O65" i="6" s="1"/>
  <c r="N60" i="6"/>
  <c r="J60" i="5"/>
  <c r="O60" i="6" s="1"/>
  <c r="N153" i="6"/>
  <c r="J153" i="5"/>
  <c r="O153" i="6" s="1"/>
  <c r="N105" i="6"/>
  <c r="J105" i="5"/>
  <c r="O105" i="6" s="1"/>
  <c r="N137" i="6"/>
  <c r="J137" i="5"/>
  <c r="O137" i="6" s="1"/>
  <c r="N17" i="6"/>
  <c r="J17" i="5"/>
  <c r="O17" i="6" s="1"/>
  <c r="N124" i="6"/>
  <c r="J124" i="5"/>
  <c r="O124" i="6" s="1"/>
  <c r="N76" i="6"/>
  <c r="J76" i="5"/>
  <c r="O76" i="6" s="1"/>
  <c r="T4" i="6" l="1"/>
  <c r="E56" i="7"/>
  <c r="Q5" i="6"/>
  <c r="T5" i="6" s="1"/>
  <c r="M6" i="6"/>
  <c r="P5" i="6"/>
  <c r="S4" i="6"/>
  <c r="R4" i="6"/>
  <c r="D56" i="7"/>
  <c r="R5" i="6" l="1"/>
  <c r="S5" i="6"/>
  <c r="M7" i="6"/>
  <c r="Q6" i="6"/>
  <c r="T6" i="6" s="1"/>
  <c r="P6" i="6"/>
  <c r="S6" i="6" l="1"/>
  <c r="R6" i="6"/>
  <c r="M8" i="6"/>
  <c r="Q7" i="6"/>
  <c r="T7" i="6" s="1"/>
  <c r="P7" i="6"/>
  <c r="R7" i="6" l="1"/>
  <c r="S7" i="6"/>
  <c r="M9" i="6"/>
  <c r="Q8" i="6"/>
  <c r="T8" i="6" s="1"/>
  <c r="P8" i="6"/>
  <c r="R8" i="6" l="1"/>
  <c r="S8" i="6"/>
  <c r="M10" i="6"/>
  <c r="Q9" i="6"/>
  <c r="T9" i="6" s="1"/>
  <c r="P9" i="6"/>
  <c r="R9" i="6" l="1"/>
  <c r="S9" i="6"/>
  <c r="M11" i="6"/>
  <c r="Q10" i="6"/>
  <c r="T10" i="6" s="1"/>
  <c r="P10" i="6"/>
  <c r="M12" i="6" l="1"/>
  <c r="Q11" i="6"/>
  <c r="T11" i="6" s="1"/>
  <c r="P11" i="6"/>
  <c r="S10" i="6"/>
  <c r="R10" i="6"/>
  <c r="S11" i="6" l="1"/>
  <c r="R11" i="6"/>
  <c r="M13" i="6"/>
  <c r="Q12" i="6"/>
  <c r="T12" i="6" s="1"/>
  <c r="P12" i="6"/>
  <c r="S12" i="6" l="1"/>
  <c r="R12" i="6"/>
  <c r="M14" i="6"/>
  <c r="Q13" i="6"/>
  <c r="T13" i="6" s="1"/>
  <c r="P13" i="6"/>
  <c r="S13" i="6" l="1"/>
  <c r="R13" i="6"/>
  <c r="M15" i="6"/>
  <c r="Q14" i="6"/>
  <c r="T14" i="6" s="1"/>
  <c r="P14" i="6"/>
  <c r="M16" i="6" l="1"/>
  <c r="Q15" i="6"/>
  <c r="T15" i="6" s="1"/>
  <c r="P15" i="6"/>
  <c r="S14" i="6"/>
  <c r="R14" i="6"/>
  <c r="M17" i="6" l="1"/>
  <c r="Q16" i="6"/>
  <c r="T16" i="6" s="1"/>
  <c r="P16" i="6"/>
  <c r="S15" i="6"/>
  <c r="R15" i="6"/>
  <c r="S16" i="6" l="1"/>
  <c r="R16" i="6"/>
  <c r="M18" i="6"/>
  <c r="Q17" i="6"/>
  <c r="T17" i="6" s="1"/>
  <c r="P17" i="6"/>
  <c r="S17" i="6" l="1"/>
  <c r="R17" i="6"/>
  <c r="M19" i="6"/>
  <c r="Q18" i="6"/>
  <c r="T18" i="6" s="1"/>
  <c r="P18" i="6"/>
  <c r="S18" i="6" l="1"/>
  <c r="R18" i="6"/>
  <c r="M20" i="6"/>
  <c r="Q19" i="6"/>
  <c r="T19" i="6" s="1"/>
  <c r="P19" i="6"/>
  <c r="S19" i="6" l="1"/>
  <c r="R19" i="6"/>
  <c r="M21" i="6"/>
  <c r="Q20" i="6"/>
  <c r="T20" i="6" s="1"/>
  <c r="P20" i="6"/>
  <c r="S20" i="6" l="1"/>
  <c r="R20" i="6"/>
  <c r="M22" i="6"/>
  <c r="Q21" i="6"/>
  <c r="T21" i="6" s="1"/>
  <c r="P21" i="6"/>
  <c r="S21" i="6" l="1"/>
  <c r="R21" i="6"/>
  <c r="M23" i="6"/>
  <c r="Q22" i="6"/>
  <c r="T22" i="6" s="1"/>
  <c r="P22" i="6"/>
  <c r="S22" i="6" l="1"/>
  <c r="R22" i="6"/>
  <c r="M24" i="6"/>
  <c r="Q23" i="6"/>
  <c r="T23" i="6" s="1"/>
  <c r="P23" i="6"/>
  <c r="S23" i="6" l="1"/>
  <c r="R23" i="6"/>
  <c r="M25" i="6"/>
  <c r="Q24" i="6"/>
  <c r="T24" i="6" s="1"/>
  <c r="P24" i="6"/>
  <c r="S24" i="6" l="1"/>
  <c r="R24" i="6"/>
  <c r="M26" i="6"/>
  <c r="Q25" i="6"/>
  <c r="T25" i="6" s="1"/>
  <c r="P25" i="6"/>
  <c r="S25" i="6" l="1"/>
  <c r="R25" i="6"/>
  <c r="M27" i="6"/>
  <c r="Q26" i="6"/>
  <c r="T26" i="6" s="1"/>
  <c r="P26" i="6"/>
  <c r="S26" i="6" l="1"/>
  <c r="R26" i="6"/>
  <c r="M28" i="6"/>
  <c r="Q27" i="6"/>
  <c r="T27" i="6" s="1"/>
  <c r="P27" i="6"/>
  <c r="S27" i="6" l="1"/>
  <c r="R27" i="6"/>
  <c r="M29" i="6"/>
  <c r="Q28" i="6"/>
  <c r="T28" i="6" s="1"/>
  <c r="P28" i="6"/>
  <c r="S28" i="6" l="1"/>
  <c r="R28" i="6"/>
  <c r="M30" i="6"/>
  <c r="Q29" i="6"/>
  <c r="T29" i="6" s="1"/>
  <c r="P29" i="6"/>
  <c r="S29" i="6" l="1"/>
  <c r="R29" i="6"/>
  <c r="M31" i="6"/>
  <c r="Q30" i="6"/>
  <c r="T30" i="6" s="1"/>
  <c r="P30" i="6"/>
  <c r="S30" i="6" l="1"/>
  <c r="R30" i="6"/>
  <c r="M32" i="6"/>
  <c r="Q31" i="6"/>
  <c r="T31" i="6" s="1"/>
  <c r="P31" i="6"/>
  <c r="S31" i="6" l="1"/>
  <c r="R31" i="6"/>
  <c r="M33" i="6"/>
  <c r="Q32" i="6"/>
  <c r="T32" i="6" s="1"/>
  <c r="P32" i="6"/>
  <c r="S32" i="6" l="1"/>
  <c r="R32" i="6"/>
  <c r="M34" i="6"/>
  <c r="Q33" i="6"/>
  <c r="T33" i="6" s="1"/>
  <c r="P33" i="6"/>
  <c r="S33" i="6" l="1"/>
  <c r="R33" i="6"/>
  <c r="M35" i="6"/>
  <c r="Q34" i="6"/>
  <c r="T34" i="6" s="1"/>
  <c r="P34" i="6"/>
  <c r="S34" i="6" l="1"/>
  <c r="R34" i="6"/>
  <c r="M36" i="6"/>
  <c r="Q35" i="6"/>
  <c r="T35" i="6" s="1"/>
  <c r="P35" i="6"/>
  <c r="S35" i="6" l="1"/>
  <c r="R35" i="6"/>
  <c r="M37" i="6"/>
  <c r="Q36" i="6"/>
  <c r="T36" i="6" s="1"/>
  <c r="P36" i="6"/>
  <c r="S36" i="6" l="1"/>
  <c r="R36" i="6"/>
  <c r="M38" i="6"/>
  <c r="Q37" i="6"/>
  <c r="T37" i="6" s="1"/>
  <c r="P37" i="6"/>
  <c r="S37" i="6" l="1"/>
  <c r="R37" i="6"/>
  <c r="M39" i="6"/>
  <c r="Q38" i="6"/>
  <c r="T38" i="6" s="1"/>
  <c r="P38" i="6"/>
  <c r="S38" i="6" l="1"/>
  <c r="R38" i="6"/>
  <c r="M40" i="6"/>
  <c r="Q39" i="6"/>
  <c r="T39" i="6" s="1"/>
  <c r="P39" i="6"/>
  <c r="S39" i="6" l="1"/>
  <c r="R39" i="6"/>
  <c r="M41" i="6"/>
  <c r="Q40" i="6"/>
  <c r="T40" i="6" s="1"/>
  <c r="P40" i="6"/>
  <c r="S40" i="6" l="1"/>
  <c r="R40" i="6"/>
  <c r="Q41" i="6"/>
  <c r="T41" i="6" s="1"/>
  <c r="M42" i="6"/>
  <c r="P41" i="6"/>
  <c r="R41" i="6" l="1"/>
  <c r="S41" i="6"/>
  <c r="M43" i="6"/>
  <c r="Q42" i="6"/>
  <c r="T42" i="6" s="1"/>
  <c r="P42" i="6"/>
  <c r="S42" i="6" l="1"/>
  <c r="R42" i="6"/>
  <c r="M44" i="6"/>
  <c r="Q43" i="6"/>
  <c r="T43" i="6" s="1"/>
  <c r="P43" i="6"/>
  <c r="S43" i="6" l="1"/>
  <c r="R43" i="6"/>
  <c r="M45" i="6"/>
  <c r="Q44" i="6"/>
  <c r="T44" i="6" s="1"/>
  <c r="P44" i="6"/>
  <c r="S44" i="6" l="1"/>
  <c r="R44" i="6"/>
  <c r="Q45" i="6"/>
  <c r="T45" i="6" s="1"/>
  <c r="M46" i="6"/>
  <c r="P45" i="6"/>
  <c r="R45" i="6" l="1"/>
  <c r="S45" i="6"/>
  <c r="M47" i="6"/>
  <c r="Q46" i="6"/>
  <c r="T46" i="6" s="1"/>
  <c r="P46" i="6"/>
  <c r="S46" i="6" l="1"/>
  <c r="R46" i="6"/>
  <c r="M48" i="6"/>
  <c r="Q47" i="6"/>
  <c r="T47" i="6" s="1"/>
  <c r="P47" i="6"/>
  <c r="S47" i="6" l="1"/>
  <c r="R47" i="6"/>
  <c r="M49" i="6"/>
  <c r="Q48" i="6"/>
  <c r="T48" i="6" s="1"/>
  <c r="P48" i="6"/>
  <c r="S48" i="6" l="1"/>
  <c r="R48" i="6"/>
  <c r="Q49" i="6"/>
  <c r="T49" i="6" s="1"/>
  <c r="M50" i="6"/>
  <c r="P49" i="6"/>
  <c r="R49" i="6" l="1"/>
  <c r="S49" i="6"/>
  <c r="M51" i="6"/>
  <c r="Q50" i="6"/>
  <c r="T50" i="6" s="1"/>
  <c r="P50" i="6"/>
  <c r="S50" i="6" l="1"/>
  <c r="R50" i="6"/>
  <c r="M52" i="6"/>
  <c r="Q51" i="6"/>
  <c r="T51" i="6" s="1"/>
  <c r="P51" i="6"/>
  <c r="S51" i="6" l="1"/>
  <c r="R51" i="6"/>
  <c r="M53" i="6"/>
  <c r="Q52" i="6"/>
  <c r="T52" i="6" s="1"/>
  <c r="P52" i="6"/>
  <c r="S52" i="6" l="1"/>
  <c r="R52" i="6"/>
  <c r="Q53" i="6"/>
  <c r="T53" i="6" s="1"/>
  <c r="M54" i="6"/>
  <c r="P53" i="6"/>
  <c r="R53" i="6" l="1"/>
  <c r="S53" i="6"/>
  <c r="M55" i="6"/>
  <c r="Q54" i="6"/>
  <c r="T54" i="6" s="1"/>
  <c r="P54" i="6"/>
  <c r="S54" i="6" l="1"/>
  <c r="R54" i="6"/>
  <c r="M56" i="6"/>
  <c r="Q55" i="6"/>
  <c r="T55" i="6" s="1"/>
  <c r="P55" i="6"/>
  <c r="S55" i="6" l="1"/>
  <c r="R55" i="6"/>
  <c r="M57" i="6"/>
  <c r="Q56" i="6"/>
  <c r="T56" i="6" s="1"/>
  <c r="P56" i="6"/>
  <c r="S56" i="6" l="1"/>
  <c r="R56" i="6"/>
  <c r="Q57" i="6"/>
  <c r="T57" i="6" s="1"/>
  <c r="M58" i="6"/>
  <c r="P57" i="6"/>
  <c r="R57" i="6" l="1"/>
  <c r="S57" i="6"/>
  <c r="M59" i="6"/>
  <c r="Q58" i="6"/>
  <c r="T58" i="6" s="1"/>
  <c r="P58" i="6"/>
  <c r="S58" i="6" l="1"/>
  <c r="R58" i="6"/>
  <c r="M60" i="6"/>
  <c r="Q59" i="6"/>
  <c r="T59" i="6" s="1"/>
  <c r="P59" i="6"/>
  <c r="S59" i="6" l="1"/>
  <c r="R59" i="6"/>
  <c r="M61" i="6"/>
  <c r="Q60" i="6"/>
  <c r="T60" i="6" s="1"/>
  <c r="P60" i="6"/>
  <c r="S60" i="6" l="1"/>
  <c r="R60" i="6"/>
  <c r="Q61" i="6"/>
  <c r="T61" i="6" s="1"/>
  <c r="M62" i="6"/>
  <c r="P61" i="6"/>
  <c r="R61" i="6" l="1"/>
  <c r="S61" i="6"/>
  <c r="M63" i="6"/>
  <c r="Q62" i="6"/>
  <c r="T62" i="6" s="1"/>
  <c r="P62" i="6"/>
  <c r="S62" i="6" l="1"/>
  <c r="R62" i="6"/>
  <c r="M64" i="6"/>
  <c r="Q63" i="6"/>
  <c r="C57" i="7"/>
  <c r="P63" i="6"/>
  <c r="S63" i="6" l="1"/>
  <c r="R63" i="6"/>
  <c r="D57" i="7"/>
  <c r="T63" i="6"/>
  <c r="E57" i="7"/>
  <c r="M65" i="6"/>
  <c r="Q64" i="6"/>
  <c r="T64" i="6" s="1"/>
  <c r="P64" i="6"/>
  <c r="S64" i="6" l="1"/>
  <c r="R64" i="6"/>
  <c r="Q65" i="6"/>
  <c r="T65" i="6" s="1"/>
  <c r="M66" i="6"/>
  <c r="P65" i="6"/>
  <c r="M67" i="6" l="1"/>
  <c r="Q66" i="6"/>
  <c r="T66" i="6" s="1"/>
  <c r="P66" i="6"/>
  <c r="R65" i="6"/>
  <c r="S65" i="6"/>
  <c r="S66" i="6" l="1"/>
  <c r="R66" i="6"/>
  <c r="M68" i="6"/>
  <c r="Q67" i="6"/>
  <c r="T67" i="6" s="1"/>
  <c r="P67" i="6"/>
  <c r="S67" i="6" l="1"/>
  <c r="R67" i="6"/>
  <c r="M69" i="6"/>
  <c r="Q68" i="6"/>
  <c r="T68" i="6" s="1"/>
  <c r="P68" i="6"/>
  <c r="S68" i="6" l="1"/>
  <c r="R68" i="6"/>
  <c r="Q69" i="6"/>
  <c r="T69" i="6" s="1"/>
  <c r="M70" i="6"/>
  <c r="P69" i="6"/>
  <c r="R69" i="6" l="1"/>
  <c r="S69" i="6"/>
  <c r="M71" i="6"/>
  <c r="Q70" i="6"/>
  <c r="T70" i="6" s="1"/>
  <c r="P70" i="6"/>
  <c r="S70" i="6" l="1"/>
  <c r="R70" i="6"/>
  <c r="M72" i="6"/>
  <c r="Q71" i="6"/>
  <c r="T71" i="6" s="1"/>
  <c r="P71" i="6"/>
  <c r="S71" i="6" l="1"/>
  <c r="R71" i="6"/>
  <c r="M73" i="6"/>
  <c r="Q72" i="6"/>
  <c r="T72" i="6" s="1"/>
  <c r="P72" i="6"/>
  <c r="S72" i="6" l="1"/>
  <c r="R72" i="6"/>
  <c r="Q73" i="6"/>
  <c r="T73" i="6" s="1"/>
  <c r="M74" i="6"/>
  <c r="P73" i="6"/>
  <c r="M75" i="6" l="1"/>
  <c r="Q74" i="6"/>
  <c r="T74" i="6" s="1"/>
  <c r="P74" i="6"/>
  <c r="R73" i="6"/>
  <c r="S73" i="6"/>
  <c r="S74" i="6" l="1"/>
  <c r="R74" i="6"/>
  <c r="M76" i="6"/>
  <c r="Q75" i="6"/>
  <c r="T75" i="6" s="1"/>
  <c r="P75" i="6"/>
  <c r="M77" i="6" l="1"/>
  <c r="Q76" i="6"/>
  <c r="T76" i="6" s="1"/>
  <c r="P76" i="6"/>
  <c r="S75" i="6"/>
  <c r="R75" i="6"/>
  <c r="S76" i="6" l="1"/>
  <c r="R76" i="6"/>
  <c r="Q77" i="6"/>
  <c r="T77" i="6" s="1"/>
  <c r="M78" i="6"/>
  <c r="P77" i="6"/>
  <c r="R77" i="6" l="1"/>
  <c r="S77" i="6"/>
  <c r="M79" i="6"/>
  <c r="Q78" i="6"/>
  <c r="T78" i="6" s="1"/>
  <c r="P78" i="6"/>
  <c r="S78" i="6" l="1"/>
  <c r="R78" i="6"/>
  <c r="M80" i="6"/>
  <c r="Q79" i="6"/>
  <c r="T79" i="6" s="1"/>
  <c r="P79" i="6"/>
  <c r="S79" i="6" l="1"/>
  <c r="R79" i="6"/>
  <c r="M81" i="6"/>
  <c r="Q80" i="6"/>
  <c r="T80" i="6" s="1"/>
  <c r="P80" i="6"/>
  <c r="S80" i="6" l="1"/>
  <c r="R80" i="6"/>
  <c r="Q81" i="6"/>
  <c r="T81" i="6" s="1"/>
  <c r="M82" i="6"/>
  <c r="P81" i="6"/>
  <c r="R81" i="6" l="1"/>
  <c r="S81" i="6"/>
  <c r="M83" i="6"/>
  <c r="Q82" i="6"/>
  <c r="T82" i="6" s="1"/>
  <c r="P82" i="6"/>
  <c r="S82" i="6" l="1"/>
  <c r="R82" i="6"/>
  <c r="M84" i="6"/>
  <c r="Q83" i="6"/>
  <c r="T83" i="6" s="1"/>
  <c r="P83" i="6"/>
  <c r="S83" i="6" l="1"/>
  <c r="R83" i="6"/>
  <c r="M85" i="6"/>
  <c r="Q84" i="6"/>
  <c r="T84" i="6" s="1"/>
  <c r="P84" i="6"/>
  <c r="S84" i="6" l="1"/>
  <c r="R84" i="6"/>
  <c r="Q85" i="6"/>
  <c r="T85" i="6" s="1"/>
  <c r="M86" i="6"/>
  <c r="P85" i="6"/>
  <c r="R85" i="6" l="1"/>
  <c r="S85" i="6"/>
  <c r="M87" i="6"/>
  <c r="Q86" i="6"/>
  <c r="T86" i="6" s="1"/>
  <c r="P86" i="6"/>
  <c r="S86" i="6" l="1"/>
  <c r="R86" i="6"/>
  <c r="M88" i="6"/>
  <c r="Q87" i="6"/>
  <c r="T87" i="6" s="1"/>
  <c r="P87" i="6"/>
  <c r="S87" i="6" l="1"/>
  <c r="R87" i="6"/>
  <c r="M89" i="6"/>
  <c r="Q88" i="6"/>
  <c r="T88" i="6" s="1"/>
  <c r="P88" i="6"/>
  <c r="S88" i="6" l="1"/>
  <c r="R88" i="6"/>
  <c r="Q89" i="6"/>
  <c r="T89" i="6" s="1"/>
  <c r="M90" i="6"/>
  <c r="P89" i="6"/>
  <c r="M91" i="6" l="1"/>
  <c r="Q90" i="6"/>
  <c r="T90" i="6" s="1"/>
  <c r="P90" i="6"/>
  <c r="R89" i="6"/>
  <c r="S89" i="6"/>
  <c r="S90" i="6" l="1"/>
  <c r="R90" i="6"/>
  <c r="M92" i="6"/>
  <c r="Q91" i="6"/>
  <c r="T91" i="6" s="1"/>
  <c r="P91" i="6"/>
  <c r="S91" i="6" l="1"/>
  <c r="R91" i="6"/>
  <c r="M93" i="6"/>
  <c r="Q92" i="6"/>
  <c r="T92" i="6" s="1"/>
  <c r="P92" i="6"/>
  <c r="S92" i="6" l="1"/>
  <c r="R92" i="6"/>
  <c r="Q93" i="6"/>
  <c r="T93" i="6" s="1"/>
  <c r="M94" i="6"/>
  <c r="P93" i="6"/>
  <c r="R93" i="6" l="1"/>
  <c r="S93" i="6"/>
  <c r="M95" i="6"/>
  <c r="Q94" i="6"/>
  <c r="T94" i="6" s="1"/>
  <c r="P94" i="6"/>
  <c r="S94" i="6" l="1"/>
  <c r="R94" i="6"/>
  <c r="M96" i="6"/>
  <c r="Q95" i="6"/>
  <c r="T95" i="6" s="1"/>
  <c r="P95" i="6"/>
  <c r="S95" i="6" l="1"/>
  <c r="R95" i="6"/>
  <c r="M97" i="6"/>
  <c r="Q96" i="6"/>
  <c r="T96" i="6" s="1"/>
  <c r="P96" i="6"/>
  <c r="S96" i="6" l="1"/>
  <c r="R96" i="6"/>
  <c r="Q97" i="6"/>
  <c r="T97" i="6" s="1"/>
  <c r="M98" i="6"/>
  <c r="P97" i="6"/>
  <c r="R97" i="6" l="1"/>
  <c r="S97" i="6"/>
  <c r="M99" i="6"/>
  <c r="Q98" i="6"/>
  <c r="T98" i="6" s="1"/>
  <c r="P98" i="6"/>
  <c r="S98" i="6" l="1"/>
  <c r="R98" i="6"/>
  <c r="M100" i="6"/>
  <c r="Q99" i="6"/>
  <c r="T99" i="6" s="1"/>
  <c r="P99" i="6"/>
  <c r="S99" i="6" l="1"/>
  <c r="R99" i="6"/>
  <c r="M101" i="6"/>
  <c r="Q100" i="6"/>
  <c r="T100" i="6" s="1"/>
  <c r="P100" i="6"/>
  <c r="S100" i="6" l="1"/>
  <c r="R100" i="6"/>
  <c r="Q101" i="6"/>
  <c r="T101" i="6" s="1"/>
  <c r="M102" i="6"/>
  <c r="P101" i="6"/>
  <c r="M103" i="6" l="1"/>
  <c r="Q102" i="6"/>
  <c r="T102" i="6" s="1"/>
  <c r="P102" i="6"/>
  <c r="R101" i="6"/>
  <c r="S101" i="6"/>
  <c r="S102" i="6" l="1"/>
  <c r="R102" i="6"/>
  <c r="M104" i="6"/>
  <c r="Q103" i="6"/>
  <c r="T103" i="6" s="1"/>
  <c r="P103" i="6"/>
  <c r="S103" i="6" l="1"/>
  <c r="R103" i="6"/>
  <c r="M105" i="6"/>
  <c r="Q104" i="6"/>
  <c r="T104" i="6" s="1"/>
  <c r="P104" i="6"/>
  <c r="S104" i="6" l="1"/>
  <c r="R104" i="6"/>
  <c r="Q105" i="6"/>
  <c r="T105" i="6" s="1"/>
  <c r="M106" i="6"/>
  <c r="P105" i="6"/>
  <c r="M107" i="6" l="1"/>
  <c r="Q106" i="6"/>
  <c r="T106" i="6" s="1"/>
  <c r="P106" i="6"/>
  <c r="R105" i="6"/>
  <c r="S105" i="6"/>
  <c r="S106" i="6" l="1"/>
  <c r="R106" i="6"/>
  <c r="M108" i="6"/>
  <c r="Q107" i="6"/>
  <c r="T107" i="6" s="1"/>
  <c r="P107" i="6"/>
  <c r="S107" i="6" l="1"/>
  <c r="R107" i="6"/>
  <c r="Q108" i="6"/>
  <c r="T108" i="6" s="1"/>
  <c r="M109" i="6"/>
  <c r="P108" i="6"/>
  <c r="S108" i="6" l="1"/>
  <c r="R108" i="6"/>
  <c r="Q109" i="6"/>
  <c r="T109" i="6" s="1"/>
  <c r="M110" i="6"/>
  <c r="P109" i="6"/>
  <c r="S109" i="6" l="1"/>
  <c r="R109" i="6"/>
  <c r="M111" i="6"/>
  <c r="Q110" i="6"/>
  <c r="T110" i="6" s="1"/>
  <c r="P110" i="6"/>
  <c r="S110" i="6" l="1"/>
  <c r="R110" i="6"/>
  <c r="M112" i="6"/>
  <c r="Q111" i="6"/>
  <c r="T111" i="6" s="1"/>
  <c r="P111" i="6"/>
  <c r="R111" i="6" l="1"/>
  <c r="S111" i="6"/>
  <c r="Q112" i="6"/>
  <c r="T112" i="6" s="1"/>
  <c r="M113" i="6"/>
  <c r="P112" i="6"/>
  <c r="S112" i="6" l="1"/>
  <c r="R112" i="6"/>
  <c r="Q113" i="6"/>
  <c r="T113" i="6" s="1"/>
  <c r="M114" i="6"/>
  <c r="P113" i="6"/>
  <c r="S113" i="6" l="1"/>
  <c r="R113" i="6"/>
  <c r="M115" i="6"/>
  <c r="Q114" i="6"/>
  <c r="T114" i="6" s="1"/>
  <c r="P114" i="6"/>
  <c r="S114" i="6" l="1"/>
  <c r="R114" i="6"/>
  <c r="M116" i="6"/>
  <c r="Q115" i="6"/>
  <c r="T115" i="6" s="1"/>
  <c r="P115" i="6"/>
  <c r="R115" i="6" l="1"/>
  <c r="S115" i="6"/>
  <c r="M117" i="6"/>
  <c r="Q116" i="6"/>
  <c r="T116" i="6" s="1"/>
  <c r="P116" i="6"/>
  <c r="S116" i="6" l="1"/>
  <c r="R116" i="6"/>
  <c r="M118" i="6"/>
  <c r="Q117" i="6"/>
  <c r="T117" i="6" s="1"/>
  <c r="P117" i="6"/>
  <c r="M119" i="6" l="1"/>
  <c r="Q118" i="6"/>
  <c r="T118" i="6" s="1"/>
  <c r="P118" i="6"/>
  <c r="S117" i="6"/>
  <c r="R117" i="6"/>
  <c r="S118" i="6" l="1"/>
  <c r="R118" i="6"/>
  <c r="M120" i="6"/>
  <c r="Q119" i="6"/>
  <c r="T119" i="6" s="1"/>
  <c r="P119" i="6"/>
  <c r="S119" i="6" l="1"/>
  <c r="R119" i="6"/>
  <c r="M121" i="6"/>
  <c r="Q120" i="6"/>
  <c r="T120" i="6" s="1"/>
  <c r="P120" i="6"/>
  <c r="M122" i="6" l="1"/>
  <c r="Q121" i="6"/>
  <c r="T121" i="6" s="1"/>
  <c r="P121" i="6"/>
  <c r="S120" i="6"/>
  <c r="R120" i="6"/>
  <c r="S121" i="6" l="1"/>
  <c r="R121" i="6"/>
  <c r="M123" i="6"/>
  <c r="Q122" i="6"/>
  <c r="T122" i="6" s="1"/>
  <c r="P122" i="6"/>
  <c r="S122" i="6" l="1"/>
  <c r="R122" i="6"/>
  <c r="M124" i="6"/>
  <c r="Q123" i="6"/>
  <c r="C58" i="7"/>
  <c r="P123" i="6"/>
  <c r="R123" i="6" l="1"/>
  <c r="S123" i="6"/>
  <c r="D58" i="7"/>
  <c r="T123" i="6"/>
  <c r="E58" i="7"/>
  <c r="M125" i="6"/>
  <c r="Q124" i="6"/>
  <c r="T124" i="6" s="1"/>
  <c r="P124" i="6"/>
  <c r="M126" i="6" l="1"/>
  <c r="Q125" i="6"/>
  <c r="T125" i="6" s="1"/>
  <c r="P125" i="6"/>
  <c r="S124" i="6"/>
  <c r="R124" i="6"/>
  <c r="S125" i="6" l="1"/>
  <c r="R125" i="6"/>
  <c r="M127" i="6"/>
  <c r="Q126" i="6"/>
  <c r="T126" i="6" s="1"/>
  <c r="P126" i="6"/>
  <c r="S126" i="6" l="1"/>
  <c r="R126" i="6"/>
  <c r="M128" i="6"/>
  <c r="Q127" i="6"/>
  <c r="T127" i="6" s="1"/>
  <c r="P127" i="6"/>
  <c r="S127" i="6" l="1"/>
  <c r="R127" i="6"/>
  <c r="M129" i="6"/>
  <c r="Q128" i="6"/>
  <c r="T128" i="6" s="1"/>
  <c r="P128" i="6"/>
  <c r="S128" i="6" l="1"/>
  <c r="R128" i="6"/>
  <c r="M130" i="6"/>
  <c r="Q129" i="6"/>
  <c r="T129" i="6" s="1"/>
  <c r="P129" i="6"/>
  <c r="S129" i="6" l="1"/>
  <c r="R129" i="6"/>
  <c r="M131" i="6"/>
  <c r="Q130" i="6"/>
  <c r="T130" i="6" s="1"/>
  <c r="P130" i="6"/>
  <c r="S130" i="6" l="1"/>
  <c r="R130" i="6"/>
  <c r="M132" i="6"/>
  <c r="Q131" i="6"/>
  <c r="T131" i="6" s="1"/>
  <c r="P131" i="6"/>
  <c r="R131" i="6" l="1"/>
  <c r="S131" i="6"/>
  <c r="M133" i="6"/>
  <c r="Q132" i="6"/>
  <c r="T132" i="6" s="1"/>
  <c r="P132" i="6"/>
  <c r="R132" i="6" l="1"/>
  <c r="S132" i="6"/>
  <c r="M134" i="6"/>
  <c r="Q133" i="6"/>
  <c r="T133" i="6" s="1"/>
  <c r="P133" i="6"/>
  <c r="R133" i="6" l="1"/>
  <c r="S133" i="6"/>
  <c r="M135" i="6"/>
  <c r="Q134" i="6"/>
  <c r="T134" i="6" s="1"/>
  <c r="P134" i="6"/>
  <c r="R134" i="6" l="1"/>
  <c r="S134" i="6"/>
  <c r="M136" i="6"/>
  <c r="Q135" i="6"/>
  <c r="T135" i="6" s="1"/>
  <c r="P135" i="6"/>
  <c r="S135" i="6" l="1"/>
  <c r="R135" i="6"/>
  <c r="M137" i="6"/>
  <c r="Q136" i="6"/>
  <c r="T136" i="6" s="1"/>
  <c r="P136" i="6"/>
  <c r="R136" i="6" l="1"/>
  <c r="S136" i="6"/>
  <c r="M138" i="6"/>
  <c r="Q137" i="6"/>
  <c r="T137" i="6" s="1"/>
  <c r="P137" i="6"/>
  <c r="R137" i="6" l="1"/>
  <c r="S137" i="6"/>
  <c r="M139" i="6"/>
  <c r="Q138" i="6"/>
  <c r="T138" i="6" s="1"/>
  <c r="P138" i="6"/>
  <c r="R138" i="6" l="1"/>
  <c r="S138" i="6"/>
  <c r="M140" i="6"/>
  <c r="Q139" i="6"/>
  <c r="T139" i="6" s="1"/>
  <c r="P139" i="6"/>
  <c r="S139" i="6" l="1"/>
  <c r="R139" i="6"/>
  <c r="M141" i="6"/>
  <c r="Q140" i="6"/>
  <c r="T140" i="6" s="1"/>
  <c r="P140" i="6"/>
  <c r="R140" i="6" l="1"/>
  <c r="S140" i="6"/>
  <c r="M142" i="6"/>
  <c r="Q141" i="6"/>
  <c r="T141" i="6" s="1"/>
  <c r="P141" i="6"/>
  <c r="R141" i="6" l="1"/>
  <c r="S141" i="6"/>
  <c r="M143" i="6"/>
  <c r="Q142" i="6"/>
  <c r="T142" i="6" s="1"/>
  <c r="P142" i="6"/>
  <c r="R142" i="6" l="1"/>
  <c r="S142" i="6"/>
  <c r="M144" i="6"/>
  <c r="Q143" i="6"/>
  <c r="T143" i="6" s="1"/>
  <c r="P143" i="6"/>
  <c r="R143" i="6" l="1"/>
  <c r="S143" i="6"/>
  <c r="M145" i="6"/>
  <c r="Q144" i="6"/>
  <c r="T144" i="6" s="1"/>
  <c r="P144" i="6"/>
  <c r="R144" i="6" l="1"/>
  <c r="S144" i="6"/>
  <c r="M146" i="6"/>
  <c r="Q145" i="6"/>
  <c r="T145" i="6" s="1"/>
  <c r="P145" i="6"/>
  <c r="R145" i="6" l="1"/>
  <c r="S145" i="6"/>
  <c r="M147" i="6"/>
  <c r="Q146" i="6"/>
  <c r="T146" i="6" s="1"/>
  <c r="P146" i="6"/>
  <c r="R146" i="6" l="1"/>
  <c r="S146" i="6"/>
  <c r="M148" i="6"/>
  <c r="Q147" i="6"/>
  <c r="T147" i="6" s="1"/>
  <c r="P147" i="6"/>
  <c r="R147" i="6" l="1"/>
  <c r="S147" i="6"/>
  <c r="Q148" i="6"/>
  <c r="T148" i="6" s="1"/>
  <c r="M149" i="6"/>
  <c r="P148" i="6"/>
  <c r="M150" i="6" l="1"/>
  <c r="Q149" i="6"/>
  <c r="T149" i="6" s="1"/>
  <c r="P149" i="6"/>
  <c r="R148" i="6"/>
  <c r="S148" i="6"/>
  <c r="R149" i="6" l="1"/>
  <c r="S149" i="6"/>
  <c r="M151" i="6"/>
  <c r="Q150" i="6"/>
  <c r="T150" i="6" s="1"/>
  <c r="P150" i="6"/>
  <c r="R150" i="6" l="1"/>
  <c r="S150" i="6"/>
  <c r="M152" i="6"/>
  <c r="Q151" i="6"/>
  <c r="T151" i="6" s="1"/>
  <c r="P151" i="6"/>
  <c r="S151" i="6" l="1"/>
  <c r="R151" i="6"/>
  <c r="M153" i="6"/>
  <c r="Q152" i="6"/>
  <c r="T152" i="6" s="1"/>
  <c r="P152" i="6"/>
  <c r="R152" i="6" l="1"/>
  <c r="S152" i="6"/>
  <c r="Q153" i="6"/>
  <c r="T153" i="6" s="1"/>
  <c r="M154" i="6"/>
  <c r="P153" i="6"/>
  <c r="R153" i="6" l="1"/>
  <c r="S153" i="6"/>
  <c r="M155" i="6"/>
  <c r="Q154" i="6"/>
  <c r="T154" i="6" s="1"/>
  <c r="P154" i="6"/>
  <c r="R154" i="6" l="1"/>
  <c r="S154" i="6"/>
  <c r="M156" i="6"/>
  <c r="Q155" i="6"/>
  <c r="T155" i="6" s="1"/>
  <c r="P155" i="6"/>
  <c r="R155" i="6" l="1"/>
  <c r="S155" i="6"/>
  <c r="M157" i="6"/>
  <c r="Q156" i="6"/>
  <c r="T156" i="6" s="1"/>
  <c r="P156" i="6"/>
  <c r="Q157" i="6" l="1"/>
  <c r="T157" i="6" s="1"/>
  <c r="M158" i="6"/>
  <c r="P157" i="6"/>
  <c r="R156" i="6"/>
  <c r="S156" i="6"/>
  <c r="R157" i="6" l="1"/>
  <c r="S157" i="6"/>
  <c r="M159" i="6"/>
  <c r="Q158" i="6"/>
  <c r="T158" i="6" s="1"/>
  <c r="P158" i="6"/>
  <c r="R158" i="6" l="1"/>
  <c r="S158" i="6"/>
  <c r="M160" i="6"/>
  <c r="Q159" i="6"/>
  <c r="T159" i="6" s="1"/>
  <c r="P159" i="6"/>
  <c r="S159" i="6" l="1"/>
  <c r="R159" i="6"/>
  <c r="M161" i="6"/>
  <c r="Q160" i="6"/>
  <c r="T160" i="6" s="1"/>
  <c r="P160" i="6"/>
  <c r="R160" i="6" l="1"/>
  <c r="S160" i="6"/>
  <c r="M162" i="6"/>
  <c r="Q161" i="6"/>
  <c r="T161" i="6" s="1"/>
  <c r="P161" i="6"/>
  <c r="R161" i="6" l="1"/>
  <c r="S161" i="6"/>
  <c r="M163" i="6"/>
  <c r="Q162" i="6"/>
  <c r="T162" i="6" s="1"/>
  <c r="P162" i="6"/>
  <c r="R162" i="6" l="1"/>
  <c r="S162" i="6"/>
  <c r="M164" i="6"/>
  <c r="Q163" i="6"/>
  <c r="T163" i="6" s="1"/>
  <c r="P163" i="6"/>
  <c r="R163" i="6" l="1"/>
  <c r="S163" i="6"/>
  <c r="M165" i="6"/>
  <c r="Q164" i="6"/>
  <c r="T164" i="6" s="1"/>
  <c r="P164" i="6"/>
  <c r="R164" i="6" l="1"/>
  <c r="S164" i="6"/>
  <c r="M166" i="6"/>
  <c r="Q165" i="6"/>
  <c r="T165" i="6" s="1"/>
  <c r="P165" i="6"/>
  <c r="R165" i="6" l="1"/>
  <c r="S165" i="6"/>
  <c r="M167" i="6"/>
  <c r="Q166" i="6"/>
  <c r="T166" i="6" s="1"/>
  <c r="P166" i="6"/>
  <c r="R166" i="6" l="1"/>
  <c r="S166" i="6"/>
  <c r="M168" i="6"/>
  <c r="Q167" i="6"/>
  <c r="T167" i="6" s="1"/>
  <c r="P167" i="6"/>
  <c r="R167" i="6" l="1"/>
  <c r="S167" i="6"/>
  <c r="M169" i="6"/>
  <c r="Q168" i="6"/>
  <c r="T168" i="6" s="1"/>
  <c r="P168" i="6"/>
  <c r="R168" i="6" l="1"/>
  <c r="S168" i="6"/>
  <c r="M170" i="6"/>
  <c r="Q169" i="6"/>
  <c r="T169" i="6" s="1"/>
  <c r="P169" i="6"/>
  <c r="R169" i="6" l="1"/>
  <c r="S169" i="6"/>
  <c r="M171" i="6"/>
  <c r="Q170" i="6"/>
  <c r="T170" i="6" s="1"/>
  <c r="P170" i="6"/>
  <c r="R170" i="6" l="1"/>
  <c r="S170" i="6"/>
  <c r="M172" i="6"/>
  <c r="Q171" i="6"/>
  <c r="T171" i="6" s="1"/>
  <c r="P171" i="6"/>
  <c r="S171" i="6" l="1"/>
  <c r="R171" i="6"/>
  <c r="M173" i="6"/>
  <c r="Q172" i="6"/>
  <c r="T172" i="6" s="1"/>
  <c r="P172" i="6"/>
  <c r="R172" i="6" l="1"/>
  <c r="S172" i="6"/>
  <c r="M174" i="6"/>
  <c r="Q173" i="6"/>
  <c r="T173" i="6" s="1"/>
  <c r="P173" i="6"/>
  <c r="R173" i="6" l="1"/>
  <c r="S173" i="6"/>
  <c r="M175" i="6"/>
  <c r="Q174" i="6"/>
  <c r="T174" i="6" s="1"/>
  <c r="P174" i="6"/>
  <c r="S174" i="6" l="1"/>
  <c r="R174" i="6"/>
  <c r="M176" i="6"/>
  <c r="Q175" i="6"/>
  <c r="T175" i="6" s="1"/>
  <c r="P175" i="6"/>
  <c r="S175" i="6" l="1"/>
  <c r="R175" i="6"/>
  <c r="M177" i="6"/>
  <c r="Q176" i="6"/>
  <c r="T176" i="6" s="1"/>
  <c r="P176" i="6"/>
  <c r="S176" i="6" l="1"/>
  <c r="R176" i="6"/>
  <c r="M178" i="6"/>
  <c r="Q177" i="6"/>
  <c r="T177" i="6" s="1"/>
  <c r="P177" i="6"/>
  <c r="S177" i="6" l="1"/>
  <c r="R177" i="6"/>
  <c r="Q178" i="6"/>
  <c r="T178" i="6" s="1"/>
  <c r="M179" i="6"/>
  <c r="P178" i="6"/>
  <c r="S178" i="6" l="1"/>
  <c r="R178" i="6"/>
  <c r="M180" i="6"/>
  <c r="Q179" i="6"/>
  <c r="T179" i="6" s="1"/>
  <c r="P179" i="6"/>
  <c r="S179" i="6" l="1"/>
  <c r="R179" i="6"/>
  <c r="M181" i="6"/>
  <c r="Q180" i="6"/>
  <c r="T180" i="6" s="1"/>
  <c r="P180" i="6"/>
  <c r="S180" i="6" l="1"/>
  <c r="R180" i="6"/>
  <c r="M182" i="6"/>
  <c r="Q181" i="6"/>
  <c r="T181" i="6" s="1"/>
  <c r="P181" i="6"/>
  <c r="S181" i="6" l="1"/>
  <c r="R181" i="6"/>
  <c r="M183" i="6"/>
  <c r="Q182" i="6"/>
  <c r="T182" i="6" s="1"/>
  <c r="P182" i="6"/>
  <c r="S182" i="6" l="1"/>
  <c r="R182" i="6"/>
  <c r="M184" i="6"/>
  <c r="Q183" i="6"/>
  <c r="P183" i="6"/>
  <c r="C59" i="7"/>
  <c r="S183" i="6" l="1"/>
  <c r="R183" i="6"/>
  <c r="D59" i="7"/>
  <c r="T183" i="6"/>
  <c r="E59" i="7"/>
  <c r="M185" i="6"/>
  <c r="Q184" i="6"/>
  <c r="T184" i="6" s="1"/>
  <c r="P184" i="6"/>
  <c r="S184" i="6" l="1"/>
  <c r="R184" i="6"/>
  <c r="M186" i="6"/>
  <c r="Q185" i="6"/>
  <c r="T185" i="6" s="1"/>
  <c r="P185" i="6"/>
  <c r="S185" i="6" l="1"/>
  <c r="R185" i="6"/>
  <c r="Q186" i="6"/>
  <c r="T186" i="6" s="1"/>
  <c r="M187" i="6"/>
  <c r="P186" i="6"/>
  <c r="S186" i="6" l="1"/>
  <c r="R186" i="6"/>
  <c r="M188" i="6"/>
  <c r="Q187" i="6"/>
  <c r="T187" i="6" s="1"/>
  <c r="P187" i="6"/>
  <c r="M189" i="6" l="1"/>
  <c r="Q188" i="6"/>
  <c r="T188" i="6" s="1"/>
  <c r="P188" i="6"/>
  <c r="S187" i="6"/>
  <c r="R187" i="6"/>
  <c r="S188" i="6" l="1"/>
  <c r="R188" i="6"/>
  <c r="M190" i="6"/>
  <c r="Q189" i="6"/>
  <c r="T189" i="6" s="1"/>
  <c r="P189" i="6"/>
  <c r="S189" i="6" l="1"/>
  <c r="R189" i="6"/>
  <c r="Q190" i="6"/>
  <c r="T190" i="6" s="1"/>
  <c r="M191" i="6"/>
  <c r="P190" i="6"/>
  <c r="M192" i="6" l="1"/>
  <c r="Q191" i="6"/>
  <c r="T191" i="6" s="1"/>
  <c r="P191" i="6"/>
  <c r="S190" i="6"/>
  <c r="R190" i="6"/>
  <c r="S191" i="6" l="1"/>
  <c r="R191" i="6"/>
  <c r="M193" i="6"/>
  <c r="Q192" i="6"/>
  <c r="T192" i="6" s="1"/>
  <c r="P192" i="6"/>
  <c r="M194" i="6" l="1"/>
  <c r="Q193" i="6"/>
  <c r="T193" i="6" s="1"/>
  <c r="P193" i="6"/>
  <c r="S192" i="6"/>
  <c r="R192" i="6"/>
  <c r="S193" i="6" l="1"/>
  <c r="R193" i="6"/>
  <c r="M195" i="6"/>
  <c r="Q194" i="6"/>
  <c r="T194" i="6" s="1"/>
  <c r="P194" i="6"/>
  <c r="S194" i="6" l="1"/>
  <c r="R194" i="6"/>
  <c r="M196" i="6"/>
  <c r="Q195" i="6"/>
  <c r="T195" i="6" s="1"/>
  <c r="P195" i="6"/>
  <c r="S195" i="6" l="1"/>
  <c r="R195" i="6"/>
  <c r="M197" i="6"/>
  <c r="Q196" i="6"/>
  <c r="T196" i="6" s="1"/>
  <c r="P196" i="6"/>
  <c r="S196" i="6" l="1"/>
  <c r="R196" i="6"/>
  <c r="M198" i="6"/>
  <c r="Q197" i="6"/>
  <c r="T197" i="6" s="1"/>
  <c r="P197" i="6"/>
  <c r="S197" i="6" l="1"/>
  <c r="R197" i="6"/>
  <c r="Q198" i="6"/>
  <c r="T198" i="6" s="1"/>
  <c r="M199" i="6"/>
  <c r="P198" i="6"/>
  <c r="M200" i="6" l="1"/>
  <c r="Q199" i="6"/>
  <c r="T199" i="6" s="1"/>
  <c r="P199" i="6"/>
  <c r="S198" i="6"/>
  <c r="R198" i="6"/>
  <c r="S199" i="6" l="1"/>
  <c r="R199" i="6"/>
  <c r="M201" i="6"/>
  <c r="Q200" i="6"/>
  <c r="T200" i="6" s="1"/>
  <c r="P200" i="6"/>
  <c r="S200" i="6" l="1"/>
  <c r="R200" i="6"/>
  <c r="M202" i="6"/>
  <c r="Q201" i="6"/>
  <c r="T201" i="6" s="1"/>
  <c r="P201" i="6"/>
  <c r="S201" i="6" l="1"/>
  <c r="R201" i="6"/>
  <c r="Q202" i="6"/>
  <c r="T202" i="6" s="1"/>
  <c r="M203" i="6"/>
  <c r="P202" i="6"/>
  <c r="M204" i="6" l="1"/>
  <c r="Q203" i="6"/>
  <c r="T203" i="6" s="1"/>
  <c r="P203" i="6"/>
  <c r="S202" i="6"/>
  <c r="R202" i="6"/>
  <c r="S203" i="6" l="1"/>
  <c r="R203" i="6"/>
  <c r="M205" i="6"/>
  <c r="Q204" i="6"/>
  <c r="T204" i="6" s="1"/>
  <c r="P204" i="6"/>
  <c r="S204" i="6" l="1"/>
  <c r="R204" i="6"/>
  <c r="M206" i="6"/>
  <c r="Q205" i="6"/>
  <c r="T205" i="6" s="1"/>
  <c r="P205" i="6"/>
  <c r="S205" i="6" l="1"/>
  <c r="R205" i="6"/>
  <c r="M207" i="6"/>
  <c r="Q206" i="6"/>
  <c r="T206" i="6" s="1"/>
  <c r="P206" i="6"/>
  <c r="S206" i="6" l="1"/>
  <c r="R206" i="6"/>
  <c r="M208" i="6"/>
  <c r="Q207" i="6"/>
  <c r="T207" i="6" s="1"/>
  <c r="P207" i="6"/>
  <c r="S207" i="6" l="1"/>
  <c r="R207" i="6"/>
  <c r="M209" i="6"/>
  <c r="Q208" i="6"/>
  <c r="T208" i="6" s="1"/>
  <c r="P208" i="6"/>
  <c r="S208" i="6" l="1"/>
  <c r="R208" i="6"/>
  <c r="M210" i="6"/>
  <c r="Q209" i="6"/>
  <c r="T209" i="6" s="1"/>
  <c r="P209" i="6"/>
  <c r="S209" i="6" l="1"/>
  <c r="R209" i="6"/>
  <c r="Q210" i="6"/>
  <c r="T210" i="6" s="1"/>
  <c r="M211" i="6"/>
  <c r="P210" i="6"/>
  <c r="S210" i="6" l="1"/>
  <c r="R210" i="6"/>
  <c r="M212" i="6"/>
  <c r="Q211" i="6"/>
  <c r="T211" i="6" s="1"/>
  <c r="P211" i="6"/>
  <c r="S211" i="6" l="1"/>
  <c r="R211" i="6"/>
  <c r="M213" i="6"/>
  <c r="Q212" i="6"/>
  <c r="T212" i="6" s="1"/>
  <c r="P212" i="6"/>
  <c r="S212" i="6" l="1"/>
  <c r="R212" i="6"/>
  <c r="M214" i="6"/>
  <c r="Q213" i="6"/>
  <c r="T213" i="6" s="1"/>
  <c r="P213" i="6"/>
  <c r="S213" i="6" l="1"/>
  <c r="R213" i="6"/>
  <c r="M215" i="6"/>
  <c r="Q214" i="6"/>
  <c r="T214" i="6" s="1"/>
  <c r="P214" i="6"/>
  <c r="S214" i="6" l="1"/>
  <c r="R214" i="6"/>
  <c r="M216" i="6"/>
  <c r="Q215" i="6"/>
  <c r="T215" i="6" s="1"/>
  <c r="P215" i="6"/>
  <c r="M217" i="6" l="1"/>
  <c r="Q216" i="6"/>
  <c r="T216" i="6" s="1"/>
  <c r="P216" i="6"/>
  <c r="S215" i="6"/>
  <c r="R215" i="6"/>
  <c r="R216" i="6" l="1"/>
  <c r="S216" i="6"/>
  <c r="M218" i="6"/>
  <c r="Q217" i="6"/>
  <c r="T217" i="6" s="1"/>
  <c r="P217" i="6"/>
  <c r="S217" i="6" l="1"/>
  <c r="R217" i="6"/>
  <c r="M219" i="6"/>
  <c r="Q218" i="6"/>
  <c r="T218" i="6" s="1"/>
  <c r="P218" i="6"/>
  <c r="S218" i="6" l="1"/>
  <c r="R218" i="6"/>
  <c r="M220" i="6"/>
  <c r="Q219" i="6"/>
  <c r="T219" i="6" s="1"/>
  <c r="P219" i="6"/>
  <c r="S219" i="6" l="1"/>
  <c r="R219" i="6"/>
  <c r="M221" i="6"/>
  <c r="Q220" i="6"/>
  <c r="T220" i="6" s="1"/>
  <c r="P220" i="6"/>
  <c r="S220" i="6" l="1"/>
  <c r="R220" i="6"/>
  <c r="M222" i="6"/>
  <c r="Q221" i="6"/>
  <c r="T221" i="6" s="1"/>
  <c r="P221" i="6"/>
  <c r="S221" i="6" l="1"/>
  <c r="R221" i="6"/>
  <c r="M223" i="6"/>
  <c r="Q222" i="6"/>
  <c r="T222" i="6" s="1"/>
  <c r="P222" i="6"/>
  <c r="S222" i="6" l="1"/>
  <c r="R222" i="6"/>
  <c r="M224" i="6"/>
  <c r="Q223" i="6"/>
  <c r="T223" i="6" s="1"/>
  <c r="P223" i="6"/>
  <c r="S223" i="6" l="1"/>
  <c r="R223" i="6"/>
  <c r="M225" i="6"/>
  <c r="Q224" i="6"/>
  <c r="T224" i="6" s="1"/>
  <c r="P224" i="6"/>
  <c r="R224" i="6" l="1"/>
  <c r="S224" i="6"/>
  <c r="M226" i="6"/>
  <c r="Q225" i="6"/>
  <c r="T225" i="6" s="1"/>
  <c r="P225" i="6"/>
  <c r="S225" i="6" l="1"/>
  <c r="R225" i="6"/>
  <c r="M227" i="6"/>
  <c r="Q226" i="6"/>
  <c r="T226" i="6" s="1"/>
  <c r="P226" i="6"/>
  <c r="S226" i="6" l="1"/>
  <c r="R226" i="6"/>
  <c r="M228" i="6"/>
  <c r="Q227" i="6"/>
  <c r="T227" i="6" s="1"/>
  <c r="P227" i="6"/>
  <c r="S227" i="6" l="1"/>
  <c r="R227" i="6"/>
  <c r="M229" i="6"/>
  <c r="Q228" i="6"/>
  <c r="T228" i="6" s="1"/>
  <c r="P228" i="6"/>
  <c r="S228" i="6" l="1"/>
  <c r="R228" i="6"/>
  <c r="M230" i="6"/>
  <c r="Q229" i="6"/>
  <c r="T229" i="6" s="1"/>
  <c r="P229" i="6"/>
  <c r="S229" i="6" l="1"/>
  <c r="R229" i="6"/>
  <c r="M231" i="6"/>
  <c r="Q230" i="6"/>
  <c r="T230" i="6" s="1"/>
  <c r="P230" i="6"/>
  <c r="S230" i="6" l="1"/>
  <c r="R230" i="6"/>
  <c r="M232" i="6"/>
  <c r="Q231" i="6"/>
  <c r="T231" i="6" s="1"/>
  <c r="P231" i="6"/>
  <c r="S231" i="6" l="1"/>
  <c r="R231" i="6"/>
  <c r="M233" i="6"/>
  <c r="Q232" i="6"/>
  <c r="T232" i="6" s="1"/>
  <c r="P232" i="6"/>
  <c r="R232" i="6" l="1"/>
  <c r="S232" i="6"/>
  <c r="Q233" i="6"/>
  <c r="T233" i="6" s="1"/>
  <c r="M234" i="6"/>
  <c r="P233" i="6"/>
  <c r="S233" i="6" l="1"/>
  <c r="R233" i="6"/>
  <c r="Q234" i="6"/>
  <c r="T234" i="6" s="1"/>
  <c r="M235" i="6"/>
  <c r="P234" i="6"/>
  <c r="M236" i="6" l="1"/>
  <c r="Q235" i="6"/>
  <c r="T235" i="6" s="1"/>
  <c r="P235" i="6"/>
  <c r="S234" i="6"/>
  <c r="R234" i="6"/>
  <c r="S235" i="6" l="1"/>
  <c r="R235" i="6"/>
  <c r="M237" i="6"/>
  <c r="Q236" i="6"/>
  <c r="T236" i="6" s="1"/>
  <c r="P236" i="6"/>
  <c r="S236" i="6" l="1"/>
  <c r="R236" i="6"/>
  <c r="M238" i="6"/>
  <c r="Q237" i="6"/>
  <c r="T237" i="6" s="1"/>
  <c r="P237" i="6"/>
  <c r="S237" i="6" l="1"/>
  <c r="R237" i="6"/>
  <c r="Q238" i="6"/>
  <c r="T238" i="6" s="1"/>
  <c r="M239" i="6"/>
  <c r="P238" i="6"/>
  <c r="S238" i="6" l="1"/>
  <c r="R238" i="6"/>
  <c r="M240" i="6"/>
  <c r="Q239" i="6"/>
  <c r="T239" i="6" s="1"/>
  <c r="P239" i="6"/>
  <c r="S239" i="6" l="1"/>
  <c r="R239" i="6"/>
  <c r="M241" i="6"/>
  <c r="Q240" i="6"/>
  <c r="T240" i="6" s="1"/>
  <c r="P240" i="6"/>
  <c r="S240" i="6" l="1"/>
  <c r="R240" i="6"/>
  <c r="M242" i="6"/>
  <c r="Q241" i="6"/>
  <c r="T241" i="6" s="1"/>
  <c r="P241" i="6"/>
  <c r="S241" i="6" l="1"/>
  <c r="R241" i="6"/>
  <c r="Q242" i="6"/>
  <c r="T242" i="6" s="1"/>
  <c r="M243" i="6"/>
  <c r="P242" i="6"/>
  <c r="S242" i="6" l="1"/>
  <c r="R242" i="6"/>
  <c r="M244" i="6"/>
  <c r="Q243" i="6"/>
  <c r="C60" i="7"/>
  <c r="P243" i="6"/>
  <c r="S243" i="6" l="1"/>
  <c r="R243" i="6"/>
  <c r="D60" i="7"/>
  <c r="T243" i="6"/>
  <c r="E60" i="7"/>
  <c r="M245" i="6"/>
  <c r="Q244" i="6"/>
  <c r="T244" i="6" s="1"/>
  <c r="P244" i="6"/>
  <c r="R244" i="6" l="1"/>
  <c r="S244" i="6"/>
  <c r="M246" i="6"/>
  <c r="Q245" i="6"/>
  <c r="T245" i="6" s="1"/>
  <c r="P245" i="6"/>
  <c r="S245" i="6" l="1"/>
  <c r="R245" i="6"/>
  <c r="Q246" i="6"/>
  <c r="T246" i="6" s="1"/>
  <c r="M247" i="6"/>
  <c r="P246" i="6"/>
  <c r="S246" i="6" l="1"/>
  <c r="R246" i="6"/>
  <c r="M248" i="6"/>
  <c r="Q247" i="6"/>
  <c r="T247" i="6" s="1"/>
  <c r="P247" i="6"/>
  <c r="S247" i="6" l="1"/>
  <c r="R247" i="6"/>
  <c r="M249" i="6"/>
  <c r="Q248" i="6"/>
  <c r="T248" i="6" s="1"/>
  <c r="P248" i="6"/>
  <c r="R248" i="6" l="1"/>
  <c r="S248" i="6"/>
  <c r="M250" i="6"/>
  <c r="Q249" i="6"/>
  <c r="T249" i="6" s="1"/>
  <c r="P249" i="6"/>
  <c r="S249" i="6" l="1"/>
  <c r="R249" i="6"/>
  <c r="Q250" i="6"/>
  <c r="T250" i="6" s="1"/>
  <c r="M251" i="6"/>
  <c r="P250" i="6"/>
  <c r="S250" i="6" l="1"/>
  <c r="R250" i="6"/>
  <c r="M252" i="6"/>
  <c r="Q251" i="6"/>
  <c r="T251" i="6" s="1"/>
  <c r="P251" i="6"/>
  <c r="S251" i="6" l="1"/>
  <c r="R251" i="6"/>
  <c r="M253" i="6"/>
  <c r="Q252" i="6"/>
  <c r="T252" i="6" s="1"/>
  <c r="P252" i="6"/>
  <c r="R252" i="6" l="1"/>
  <c r="S252" i="6"/>
  <c r="M254" i="6"/>
  <c r="Q253" i="6"/>
  <c r="T253" i="6" s="1"/>
  <c r="P253" i="6"/>
  <c r="S253" i="6" l="1"/>
  <c r="R253" i="6"/>
  <c r="Q254" i="6"/>
  <c r="T254" i="6" s="1"/>
  <c r="M255" i="6"/>
  <c r="P254" i="6"/>
  <c r="S254" i="6" l="1"/>
  <c r="R254" i="6"/>
  <c r="M256" i="6"/>
  <c r="Q255" i="6"/>
  <c r="T255" i="6" s="1"/>
  <c r="P255" i="6"/>
  <c r="S255" i="6" l="1"/>
  <c r="R255" i="6"/>
  <c r="Q256" i="6"/>
  <c r="T256" i="6" s="1"/>
  <c r="M257" i="6"/>
  <c r="P256" i="6"/>
  <c r="R256" i="6" l="1"/>
  <c r="S256" i="6"/>
  <c r="M258" i="6"/>
  <c r="Q257" i="6"/>
  <c r="T257" i="6" s="1"/>
  <c r="P257" i="6"/>
  <c r="S257" i="6" l="1"/>
  <c r="R257" i="6"/>
  <c r="M259" i="6"/>
  <c r="Q258" i="6"/>
  <c r="T258" i="6" s="1"/>
  <c r="P258" i="6"/>
  <c r="S258" i="6" l="1"/>
  <c r="R258" i="6"/>
  <c r="M260" i="6"/>
  <c r="Q259" i="6"/>
  <c r="T259" i="6" s="1"/>
  <c r="P259" i="6"/>
  <c r="S259" i="6" l="1"/>
  <c r="R259" i="6"/>
  <c r="M261" i="6"/>
  <c r="Q260" i="6"/>
  <c r="T260" i="6" s="1"/>
  <c r="P260" i="6"/>
  <c r="R260" i="6" l="1"/>
  <c r="S260" i="6"/>
  <c r="M262" i="6"/>
  <c r="Q261" i="6"/>
  <c r="T261" i="6" s="1"/>
  <c r="P261" i="6"/>
  <c r="S261" i="6" l="1"/>
  <c r="R261" i="6"/>
  <c r="M263" i="6"/>
  <c r="Q262" i="6"/>
  <c r="T262" i="6" s="1"/>
  <c r="P262" i="6"/>
  <c r="S262" i="6" l="1"/>
  <c r="R262" i="6"/>
  <c r="M264" i="6"/>
  <c r="Q263" i="6"/>
  <c r="T263" i="6" s="1"/>
  <c r="P263" i="6"/>
  <c r="Q264" i="6" l="1"/>
  <c r="T264" i="6" s="1"/>
  <c r="M265" i="6"/>
  <c r="P264" i="6"/>
  <c r="R263" i="6"/>
  <c r="S263" i="6"/>
  <c r="S264" i="6" l="1"/>
  <c r="R264" i="6"/>
  <c r="M266" i="6"/>
  <c r="Q265" i="6"/>
  <c r="T265" i="6" s="1"/>
  <c r="P265" i="6"/>
  <c r="S265" i="6" l="1"/>
  <c r="R265" i="6"/>
  <c r="M267" i="6"/>
  <c r="Q266" i="6"/>
  <c r="T266" i="6" s="1"/>
  <c r="P266" i="6"/>
  <c r="R266" i="6" l="1"/>
  <c r="S266" i="6"/>
  <c r="Q267" i="6"/>
  <c r="T267" i="6" s="1"/>
  <c r="M268" i="6"/>
  <c r="P267" i="6"/>
  <c r="S267" i="6" l="1"/>
  <c r="R267" i="6"/>
  <c r="M269" i="6"/>
  <c r="Q268" i="6"/>
  <c r="T268" i="6" s="1"/>
  <c r="P268" i="6"/>
  <c r="R268" i="6" l="1"/>
  <c r="S268" i="6"/>
  <c r="M270" i="6"/>
  <c r="Q269" i="6"/>
  <c r="T269" i="6" s="1"/>
  <c r="P269" i="6"/>
  <c r="S269" i="6" l="1"/>
  <c r="R269" i="6"/>
  <c r="M271" i="6"/>
  <c r="Q270" i="6"/>
  <c r="T270" i="6" s="1"/>
  <c r="P270" i="6"/>
  <c r="S270" i="6" l="1"/>
  <c r="R270" i="6"/>
  <c r="M272" i="6"/>
  <c r="Q271" i="6"/>
  <c r="T271" i="6" s="1"/>
  <c r="P271" i="6"/>
  <c r="R271" i="6" l="1"/>
  <c r="S271" i="6"/>
  <c r="Q272" i="6"/>
  <c r="T272" i="6" s="1"/>
  <c r="M273" i="6"/>
  <c r="P272" i="6"/>
  <c r="M274" i="6" l="1"/>
  <c r="Q273" i="6"/>
  <c r="T273" i="6" s="1"/>
  <c r="P273" i="6"/>
  <c r="S272" i="6"/>
  <c r="R272" i="6"/>
  <c r="S273" i="6" l="1"/>
  <c r="R273" i="6"/>
  <c r="M275" i="6"/>
  <c r="Q274" i="6"/>
  <c r="T274" i="6" s="1"/>
  <c r="P274" i="6"/>
  <c r="R274" i="6" l="1"/>
  <c r="S274" i="6"/>
  <c r="M276" i="6"/>
  <c r="Q275" i="6"/>
  <c r="T275" i="6" s="1"/>
  <c r="P275" i="6"/>
  <c r="R275" i="6" l="1"/>
  <c r="S275" i="6"/>
  <c r="M277" i="6"/>
  <c r="Q276" i="6"/>
  <c r="T276" i="6" s="1"/>
  <c r="P276" i="6"/>
  <c r="R276" i="6" l="1"/>
  <c r="S276" i="6"/>
  <c r="M278" i="6"/>
  <c r="Q277" i="6"/>
  <c r="T277" i="6" s="1"/>
  <c r="P277" i="6"/>
  <c r="S277" i="6" l="1"/>
  <c r="R277" i="6"/>
  <c r="M279" i="6"/>
  <c r="Q278" i="6"/>
  <c r="T278" i="6" s="1"/>
  <c r="P278" i="6"/>
  <c r="S278" i="6" l="1"/>
  <c r="R278" i="6"/>
  <c r="M280" i="6"/>
  <c r="Q279" i="6"/>
  <c r="T279" i="6" s="1"/>
  <c r="P279" i="6"/>
  <c r="R279" i="6" l="1"/>
  <c r="S279" i="6"/>
  <c r="M281" i="6"/>
  <c r="Q280" i="6"/>
  <c r="T280" i="6" s="1"/>
  <c r="P280" i="6"/>
  <c r="S280" i="6" l="1"/>
  <c r="R280" i="6"/>
  <c r="M282" i="6"/>
  <c r="Q281" i="6"/>
  <c r="T281" i="6" s="1"/>
  <c r="P281" i="6"/>
  <c r="R281" i="6" l="1"/>
  <c r="S281" i="6"/>
  <c r="M283" i="6"/>
  <c r="Q282" i="6"/>
  <c r="T282" i="6" s="1"/>
  <c r="P282" i="6"/>
  <c r="R282" i="6" l="1"/>
  <c r="S282" i="6"/>
  <c r="M284" i="6"/>
  <c r="Q283" i="6"/>
  <c r="T283" i="6" s="1"/>
  <c r="P283" i="6"/>
  <c r="M285" i="6" l="1"/>
  <c r="Q284" i="6"/>
  <c r="T284" i="6" s="1"/>
  <c r="P284" i="6"/>
  <c r="S283" i="6"/>
  <c r="R283" i="6"/>
  <c r="R284" i="6" l="1"/>
  <c r="S284" i="6"/>
  <c r="Q285" i="6"/>
  <c r="T285" i="6" s="1"/>
  <c r="M286" i="6"/>
  <c r="P285" i="6"/>
  <c r="R285" i="6" l="1"/>
  <c r="S285" i="6"/>
  <c r="M287" i="6"/>
  <c r="Q286" i="6"/>
  <c r="T286" i="6" s="1"/>
  <c r="P286" i="6"/>
  <c r="R286" i="6" l="1"/>
  <c r="S286" i="6"/>
  <c r="M288" i="6"/>
  <c r="Q287" i="6"/>
  <c r="T287" i="6" s="1"/>
  <c r="P287" i="6"/>
  <c r="S287" i="6" l="1"/>
  <c r="R287" i="6"/>
  <c r="M289" i="6"/>
  <c r="Q288" i="6"/>
  <c r="T288" i="6" s="1"/>
  <c r="P288" i="6"/>
  <c r="R288" i="6" l="1"/>
  <c r="S288" i="6"/>
  <c r="M290" i="6"/>
  <c r="Q289" i="6"/>
  <c r="T289" i="6" s="1"/>
  <c r="P289" i="6"/>
  <c r="S289" i="6" l="1"/>
  <c r="R289" i="6"/>
  <c r="M291" i="6"/>
  <c r="Q290" i="6"/>
  <c r="T290" i="6" s="1"/>
  <c r="P290" i="6"/>
  <c r="R290" i="6" l="1"/>
  <c r="S290" i="6"/>
  <c r="M292" i="6"/>
  <c r="Q291" i="6"/>
  <c r="T291" i="6" s="1"/>
  <c r="P291" i="6"/>
  <c r="R291" i="6" l="1"/>
  <c r="S291" i="6"/>
  <c r="M293" i="6"/>
  <c r="Q292" i="6"/>
  <c r="T292" i="6" s="1"/>
  <c r="P292" i="6"/>
  <c r="M294" i="6" l="1"/>
  <c r="Q293" i="6"/>
  <c r="T293" i="6" s="1"/>
  <c r="P293" i="6"/>
  <c r="R292" i="6"/>
  <c r="S292" i="6"/>
  <c r="R293" i="6" l="1"/>
  <c r="S293" i="6"/>
  <c r="M295" i="6"/>
  <c r="Q294" i="6"/>
  <c r="T294" i="6" s="1"/>
  <c r="P294" i="6"/>
  <c r="R294" i="6" l="1"/>
  <c r="S294" i="6"/>
  <c r="M296" i="6"/>
  <c r="Q295" i="6"/>
  <c r="T295" i="6" s="1"/>
  <c r="P295" i="6"/>
  <c r="S295" i="6" l="1"/>
  <c r="R295" i="6"/>
  <c r="M297" i="6"/>
  <c r="Q296" i="6"/>
  <c r="T296" i="6" s="1"/>
  <c r="P296" i="6"/>
  <c r="R296" i="6" l="1"/>
  <c r="S296" i="6"/>
  <c r="M298" i="6"/>
  <c r="Q297" i="6"/>
  <c r="T297" i="6" s="1"/>
  <c r="P297" i="6"/>
  <c r="S297" i="6" l="1"/>
  <c r="R297" i="6"/>
  <c r="Q298" i="6"/>
  <c r="T298" i="6" s="1"/>
  <c r="M299" i="6"/>
  <c r="P298" i="6"/>
  <c r="R298" i="6" l="1"/>
  <c r="S298" i="6"/>
  <c r="M300" i="6"/>
  <c r="Q299" i="6"/>
  <c r="T299" i="6" s="1"/>
  <c r="P299" i="6"/>
  <c r="S299" i="6" l="1"/>
  <c r="R299" i="6"/>
  <c r="M301" i="6"/>
  <c r="Q300" i="6"/>
  <c r="T300" i="6" s="1"/>
  <c r="P300" i="6"/>
  <c r="R300" i="6" l="1"/>
  <c r="S300" i="6"/>
  <c r="Q301" i="6"/>
  <c r="T301" i="6" s="1"/>
  <c r="M302" i="6"/>
  <c r="P301" i="6"/>
  <c r="R301" i="6" l="1"/>
  <c r="S301" i="6"/>
  <c r="M303" i="6"/>
  <c r="Q302" i="6"/>
  <c r="T302" i="6" s="1"/>
  <c r="P302" i="6"/>
  <c r="R302" i="6" l="1"/>
  <c r="S302" i="6"/>
  <c r="M304" i="6"/>
  <c r="Q303" i="6"/>
  <c r="P303" i="6"/>
  <c r="C61" i="7"/>
  <c r="S303" i="6" l="1"/>
  <c r="R303" i="6"/>
  <c r="D61" i="7"/>
  <c r="T303" i="6"/>
  <c r="E61" i="7"/>
  <c r="M305" i="6"/>
  <c r="Q304" i="6"/>
  <c r="T304" i="6" s="1"/>
  <c r="P304" i="6"/>
  <c r="R304" i="6" l="1"/>
  <c r="S304" i="6"/>
  <c r="M306" i="6"/>
  <c r="Q305" i="6"/>
  <c r="T305" i="6" s="1"/>
  <c r="P305" i="6"/>
  <c r="S305" i="6" l="1"/>
  <c r="R305" i="6"/>
  <c r="M307" i="6"/>
  <c r="Q306" i="6"/>
  <c r="T306" i="6" s="1"/>
  <c r="P306" i="6"/>
  <c r="R306" i="6" l="1"/>
  <c r="S306" i="6"/>
  <c r="M308" i="6"/>
  <c r="Q307" i="6"/>
  <c r="T307" i="6" s="1"/>
  <c r="P307" i="6"/>
  <c r="S307" i="6" l="1"/>
  <c r="R307" i="6"/>
  <c r="M309" i="6"/>
  <c r="Q308" i="6"/>
  <c r="T308" i="6" s="1"/>
  <c r="P308" i="6"/>
  <c r="R308" i="6" l="1"/>
  <c r="S308" i="6"/>
  <c r="Q309" i="6"/>
  <c r="T309" i="6" s="1"/>
  <c r="M310" i="6"/>
  <c r="P309" i="6"/>
  <c r="R309" i="6" l="1"/>
  <c r="S309" i="6"/>
  <c r="M311" i="6"/>
  <c r="Q310" i="6"/>
  <c r="T310" i="6" s="1"/>
  <c r="P310" i="6"/>
  <c r="R310" i="6" l="1"/>
  <c r="S310" i="6"/>
  <c r="Q311" i="6"/>
  <c r="T311" i="6" s="1"/>
  <c r="M312" i="6"/>
  <c r="P311" i="6"/>
  <c r="S311" i="6" l="1"/>
  <c r="R311" i="6"/>
  <c r="M313" i="6"/>
  <c r="Q312" i="6"/>
  <c r="T312" i="6" s="1"/>
  <c r="P312" i="6"/>
  <c r="S312" i="6" l="1"/>
  <c r="R312" i="6"/>
  <c r="M314" i="6"/>
  <c r="Q313" i="6"/>
  <c r="T313" i="6" s="1"/>
  <c r="P313" i="6"/>
  <c r="S313" i="6" l="1"/>
  <c r="R313" i="6"/>
  <c r="M315" i="6"/>
  <c r="Q314" i="6"/>
  <c r="T314" i="6" s="1"/>
  <c r="P314" i="6"/>
  <c r="S314" i="6" l="1"/>
  <c r="R314" i="6"/>
  <c r="M316" i="6"/>
  <c r="Q315" i="6"/>
  <c r="T315" i="6" s="1"/>
  <c r="P315" i="6"/>
  <c r="S315" i="6" l="1"/>
  <c r="R315" i="6"/>
  <c r="M317" i="6"/>
  <c r="Q316" i="6"/>
  <c r="T316" i="6" s="1"/>
  <c r="P316" i="6"/>
  <c r="S316" i="6" l="1"/>
  <c r="R316" i="6"/>
  <c r="Q317" i="6"/>
  <c r="T317" i="6" s="1"/>
  <c r="M318" i="6"/>
  <c r="P317" i="6"/>
  <c r="S317" i="6" l="1"/>
  <c r="R317" i="6"/>
  <c r="M319" i="6"/>
  <c r="Q318" i="6"/>
  <c r="T318" i="6" s="1"/>
  <c r="P318" i="6"/>
  <c r="S318" i="6" l="1"/>
  <c r="R318" i="6"/>
  <c r="M320" i="6"/>
  <c r="Q319" i="6"/>
  <c r="T319" i="6" s="1"/>
  <c r="P319" i="6"/>
  <c r="S319" i="6" l="1"/>
  <c r="R319" i="6"/>
  <c r="M321" i="6"/>
  <c r="Q320" i="6"/>
  <c r="T320" i="6" s="1"/>
  <c r="P320" i="6"/>
  <c r="S320" i="6" l="1"/>
  <c r="R320" i="6"/>
  <c r="Q321" i="6"/>
  <c r="T321" i="6" s="1"/>
  <c r="M322" i="6"/>
  <c r="P321" i="6"/>
  <c r="S321" i="6" l="1"/>
  <c r="R321" i="6"/>
  <c r="M323" i="6"/>
  <c r="Q322" i="6"/>
  <c r="T322" i="6" s="1"/>
  <c r="P322" i="6"/>
  <c r="S322" i="6" l="1"/>
  <c r="R322" i="6"/>
  <c r="M324" i="6"/>
  <c r="Q323" i="6"/>
  <c r="T323" i="6" s="1"/>
  <c r="P323" i="6"/>
  <c r="S323" i="6" l="1"/>
  <c r="R323" i="6"/>
  <c r="M325" i="6"/>
  <c r="Q324" i="6"/>
  <c r="T324" i="6" s="1"/>
  <c r="P324" i="6"/>
  <c r="S324" i="6" l="1"/>
  <c r="R324" i="6"/>
  <c r="Q325" i="6"/>
  <c r="T325" i="6" s="1"/>
  <c r="M326" i="6"/>
  <c r="P325" i="6"/>
  <c r="S325" i="6" l="1"/>
  <c r="R325" i="6"/>
  <c r="M327" i="6"/>
  <c r="Q326" i="6"/>
  <c r="T326" i="6" s="1"/>
  <c r="P326" i="6"/>
  <c r="S326" i="6" l="1"/>
  <c r="R326" i="6"/>
  <c r="M328" i="6"/>
  <c r="Q327" i="6"/>
  <c r="T327" i="6" s="1"/>
  <c r="P327" i="6"/>
  <c r="M329" i="6" l="1"/>
  <c r="Q328" i="6"/>
  <c r="T328" i="6" s="1"/>
  <c r="P328" i="6"/>
  <c r="S327" i="6"/>
  <c r="R327" i="6"/>
  <c r="S328" i="6" l="1"/>
  <c r="R328" i="6"/>
  <c r="M330" i="6"/>
  <c r="Q329" i="6"/>
  <c r="T329" i="6" s="1"/>
  <c r="P329" i="6"/>
  <c r="S329" i="6" l="1"/>
  <c r="R329" i="6"/>
  <c r="M331" i="6"/>
  <c r="Q330" i="6"/>
  <c r="T330" i="6" s="1"/>
  <c r="P330" i="6"/>
  <c r="S330" i="6" l="1"/>
  <c r="R330" i="6"/>
  <c r="M332" i="6"/>
  <c r="Q331" i="6"/>
  <c r="T331" i="6" s="1"/>
  <c r="P331" i="6"/>
  <c r="S331" i="6" l="1"/>
  <c r="R331" i="6"/>
  <c r="M333" i="6"/>
  <c r="Q332" i="6"/>
  <c r="T332" i="6" s="1"/>
  <c r="P332" i="6"/>
  <c r="S332" i="6" l="1"/>
  <c r="R332" i="6"/>
  <c r="M334" i="6"/>
  <c r="Q333" i="6"/>
  <c r="T333" i="6" s="1"/>
  <c r="P333" i="6"/>
  <c r="S333" i="6" l="1"/>
  <c r="R333" i="6"/>
  <c r="M335" i="6"/>
  <c r="Q334" i="6"/>
  <c r="T334" i="6" s="1"/>
  <c r="P334" i="6"/>
  <c r="S334" i="6" l="1"/>
  <c r="R334" i="6"/>
  <c r="Q335" i="6"/>
  <c r="T335" i="6" s="1"/>
  <c r="M336" i="6"/>
  <c r="P335" i="6"/>
  <c r="S335" i="6" l="1"/>
  <c r="R335" i="6"/>
  <c r="M337" i="6"/>
  <c r="Q336" i="6"/>
  <c r="T336" i="6" s="1"/>
  <c r="P336" i="6"/>
  <c r="S336" i="6" l="1"/>
  <c r="R336" i="6"/>
  <c r="M338" i="6"/>
  <c r="Q337" i="6"/>
  <c r="T337" i="6" s="1"/>
  <c r="P337" i="6"/>
  <c r="S337" i="6" l="1"/>
  <c r="R337" i="6"/>
  <c r="M339" i="6"/>
  <c r="Q338" i="6"/>
  <c r="T338" i="6" s="1"/>
  <c r="P338" i="6"/>
  <c r="S338" i="6" l="1"/>
  <c r="R338" i="6"/>
  <c r="Q339" i="6"/>
  <c r="T339" i="6" s="1"/>
  <c r="M340" i="6"/>
  <c r="P339" i="6"/>
  <c r="S339" i="6" l="1"/>
  <c r="R339" i="6"/>
  <c r="M341" i="6"/>
  <c r="Q340" i="6"/>
  <c r="T340" i="6" s="1"/>
  <c r="P340" i="6"/>
  <c r="S340" i="6" l="1"/>
  <c r="R340" i="6"/>
  <c r="M342" i="6"/>
  <c r="Q341" i="6"/>
  <c r="T341" i="6" s="1"/>
  <c r="P341" i="6"/>
  <c r="S341" i="6" l="1"/>
  <c r="R341" i="6"/>
  <c r="M343" i="6"/>
  <c r="Q342" i="6"/>
  <c r="T342" i="6" s="1"/>
  <c r="P342" i="6"/>
  <c r="S342" i="6" l="1"/>
  <c r="R342" i="6"/>
  <c r="Q343" i="6"/>
  <c r="T343" i="6" s="1"/>
  <c r="M344" i="6"/>
  <c r="P343" i="6"/>
  <c r="S343" i="6" l="1"/>
  <c r="R343" i="6"/>
  <c r="M345" i="6"/>
  <c r="Q344" i="6"/>
  <c r="T344" i="6" s="1"/>
  <c r="P344" i="6"/>
  <c r="S344" i="6" l="1"/>
  <c r="R344" i="6"/>
  <c r="M346" i="6"/>
  <c r="Q345" i="6"/>
  <c r="T345" i="6" s="1"/>
  <c r="P345" i="6"/>
  <c r="S345" i="6" l="1"/>
  <c r="R345" i="6"/>
  <c r="M347" i="6"/>
  <c r="Q346" i="6"/>
  <c r="T346" i="6" s="1"/>
  <c r="P346" i="6"/>
  <c r="S346" i="6" l="1"/>
  <c r="R346" i="6"/>
  <c r="Q347" i="6"/>
  <c r="T347" i="6" s="1"/>
  <c r="M348" i="6"/>
  <c r="P347" i="6"/>
  <c r="S347" i="6" l="1"/>
  <c r="R347" i="6"/>
  <c r="M349" i="6"/>
  <c r="Q348" i="6"/>
  <c r="T348" i="6" s="1"/>
  <c r="P348" i="6"/>
  <c r="S348" i="6" l="1"/>
  <c r="R348" i="6"/>
  <c r="M350" i="6"/>
  <c r="Q349" i="6"/>
  <c r="T349" i="6" s="1"/>
  <c r="P349" i="6"/>
  <c r="S349" i="6" l="1"/>
  <c r="R349" i="6"/>
  <c r="M351" i="6"/>
  <c r="Q350" i="6"/>
  <c r="T350" i="6" s="1"/>
  <c r="P350" i="6"/>
  <c r="S350" i="6" l="1"/>
  <c r="R350" i="6"/>
  <c r="Q351" i="6"/>
  <c r="T351" i="6" s="1"/>
  <c r="M352" i="6"/>
  <c r="P351" i="6"/>
  <c r="S351" i="6" l="1"/>
  <c r="R351" i="6"/>
  <c r="M353" i="6"/>
  <c r="Q352" i="6"/>
  <c r="T352" i="6" s="1"/>
  <c r="P352" i="6"/>
  <c r="S352" i="6" l="1"/>
  <c r="R352" i="6"/>
  <c r="M354" i="6"/>
  <c r="Q353" i="6"/>
  <c r="T353" i="6" s="1"/>
  <c r="P353" i="6"/>
  <c r="S353" i="6" l="1"/>
  <c r="R353" i="6"/>
  <c r="M355" i="6"/>
  <c r="Q354" i="6"/>
  <c r="T354" i="6" s="1"/>
  <c r="P354" i="6"/>
  <c r="S354" i="6" l="1"/>
  <c r="R354" i="6"/>
  <c r="Q355" i="6"/>
  <c r="T355" i="6" s="1"/>
  <c r="M356" i="6"/>
  <c r="P355" i="6"/>
  <c r="S355" i="6" l="1"/>
  <c r="R355" i="6"/>
  <c r="M357" i="6"/>
  <c r="Q356" i="6"/>
  <c r="T356" i="6" s="1"/>
  <c r="P356" i="6"/>
  <c r="S356" i="6" l="1"/>
  <c r="R356" i="6"/>
  <c r="M358" i="6"/>
  <c r="Q357" i="6"/>
  <c r="T357" i="6" s="1"/>
  <c r="P357" i="6"/>
  <c r="S357" i="6" l="1"/>
  <c r="R357" i="6"/>
  <c r="M359" i="6"/>
  <c r="Q358" i="6"/>
  <c r="T358" i="6" s="1"/>
  <c r="P358" i="6"/>
  <c r="S358" i="6" l="1"/>
  <c r="R358" i="6"/>
  <c r="M360" i="6"/>
  <c r="Q359" i="6"/>
  <c r="T359" i="6" s="1"/>
  <c r="P359" i="6"/>
  <c r="S359" i="6" l="1"/>
  <c r="R359" i="6"/>
  <c r="M361" i="6"/>
  <c r="Q360" i="6"/>
  <c r="T360" i="6" s="1"/>
  <c r="P360" i="6"/>
  <c r="S360" i="6" l="1"/>
  <c r="R360" i="6"/>
  <c r="Q361" i="6"/>
  <c r="T361" i="6" s="1"/>
  <c r="M362" i="6"/>
  <c r="P361" i="6"/>
  <c r="R361" i="6" l="1"/>
  <c r="S361" i="6"/>
  <c r="M363" i="6"/>
  <c r="Q362" i="6"/>
  <c r="T362" i="6" s="1"/>
  <c r="P362" i="6"/>
  <c r="S362" i="6" l="1"/>
  <c r="R362" i="6"/>
  <c r="M364" i="6"/>
  <c r="Q363" i="6"/>
  <c r="T363" i="6" s="1"/>
  <c r="P363" i="6"/>
  <c r="S363" i="6" l="1"/>
  <c r="R363" i="6"/>
  <c r="Q364" i="6"/>
  <c r="T364" i="6" s="1"/>
  <c r="M365" i="6"/>
  <c r="P364" i="6"/>
  <c r="R364" i="6" l="1"/>
  <c r="S364" i="6"/>
  <c r="M366" i="6"/>
  <c r="Q365" i="6"/>
  <c r="T365" i="6" s="1"/>
  <c r="P365" i="6"/>
  <c r="S365" i="6" l="1"/>
  <c r="R365" i="6"/>
  <c r="M367" i="6"/>
  <c r="Q366" i="6"/>
  <c r="T366" i="6" s="1"/>
  <c r="P366" i="6"/>
  <c r="R366" i="6" l="1"/>
  <c r="S366" i="6"/>
  <c r="M368" i="6"/>
  <c r="Q367" i="6"/>
  <c r="T367" i="6" s="1"/>
  <c r="P367" i="6"/>
  <c r="R367" i="6" l="1"/>
  <c r="S367" i="6"/>
  <c r="M369" i="6"/>
  <c r="Q368" i="6"/>
  <c r="T368" i="6" s="1"/>
  <c r="P368" i="6"/>
  <c r="R368" i="6" l="1"/>
  <c r="S368" i="6"/>
  <c r="M370" i="6"/>
  <c r="Q369" i="6"/>
  <c r="T369" i="6" s="1"/>
  <c r="P369" i="6"/>
  <c r="R369" i="6" l="1"/>
  <c r="S369" i="6"/>
  <c r="M371" i="6"/>
  <c r="Q370" i="6"/>
  <c r="T370" i="6" s="1"/>
  <c r="P370" i="6"/>
  <c r="R370" i="6" l="1"/>
  <c r="S370" i="6"/>
  <c r="M372" i="6"/>
  <c r="Q371" i="6"/>
  <c r="T371" i="6" s="1"/>
  <c r="P371" i="6"/>
  <c r="S371" i="6" l="1"/>
  <c r="R371" i="6"/>
  <c r="Q372" i="6"/>
  <c r="T372" i="6" s="1"/>
  <c r="M373" i="6"/>
  <c r="P372" i="6"/>
  <c r="R372" i="6" l="1"/>
  <c r="S372" i="6"/>
  <c r="M374" i="6"/>
  <c r="Q373" i="6"/>
  <c r="T373" i="6" s="1"/>
  <c r="P373" i="6"/>
  <c r="S373" i="6" l="1"/>
  <c r="R373" i="6"/>
  <c r="M375" i="6"/>
  <c r="Q374" i="6"/>
  <c r="T374" i="6" s="1"/>
  <c r="P374" i="6"/>
  <c r="R374" i="6" l="1"/>
  <c r="S374" i="6"/>
  <c r="M376" i="6"/>
  <c r="Q375" i="6"/>
  <c r="T375" i="6" s="1"/>
  <c r="P375" i="6"/>
  <c r="S375" i="6" l="1"/>
  <c r="R375" i="6"/>
  <c r="M377" i="6"/>
  <c r="Q376" i="6"/>
  <c r="T376" i="6" s="1"/>
  <c r="P376" i="6"/>
  <c r="R376" i="6" l="1"/>
  <c r="S376" i="6"/>
  <c r="M378" i="6"/>
  <c r="Q377" i="6"/>
  <c r="T377" i="6" s="1"/>
  <c r="P377" i="6"/>
  <c r="S377" i="6" l="1"/>
  <c r="R377" i="6"/>
  <c r="M379" i="6"/>
  <c r="Q378" i="6"/>
  <c r="T378" i="6" s="1"/>
  <c r="P378" i="6"/>
  <c r="R378" i="6" l="1"/>
  <c r="S378" i="6"/>
  <c r="M380" i="6"/>
  <c r="Q379" i="6"/>
  <c r="T379" i="6" s="1"/>
  <c r="P379" i="6"/>
  <c r="S379" i="6" l="1"/>
  <c r="R379" i="6"/>
  <c r="M381" i="6"/>
  <c r="Q380" i="6"/>
  <c r="T380" i="6" s="1"/>
  <c r="P380" i="6"/>
  <c r="R380" i="6" l="1"/>
  <c r="S380" i="6"/>
  <c r="M382" i="6"/>
  <c r="Q381" i="6"/>
  <c r="T381" i="6" s="1"/>
  <c r="P381" i="6"/>
  <c r="S381" i="6" l="1"/>
  <c r="R381" i="6"/>
  <c r="M383" i="6"/>
  <c r="Q382" i="6"/>
  <c r="T382" i="6" s="1"/>
  <c r="P382" i="6"/>
  <c r="R382" i="6" l="1"/>
  <c r="S382" i="6"/>
  <c r="M384" i="6"/>
  <c r="Q383" i="6"/>
  <c r="T383" i="6" s="1"/>
  <c r="P383" i="6"/>
  <c r="R383" i="6" l="1"/>
  <c r="S383" i="6"/>
  <c r="M385" i="6"/>
  <c r="Q384" i="6"/>
  <c r="T384" i="6" s="1"/>
  <c r="P384" i="6"/>
  <c r="R384" i="6" l="1"/>
  <c r="S384" i="6"/>
  <c r="M386" i="6"/>
  <c r="Q385" i="6"/>
  <c r="T385" i="6" s="1"/>
  <c r="P385" i="6"/>
  <c r="R385" i="6" l="1"/>
  <c r="S385" i="6"/>
  <c r="M387" i="6"/>
  <c r="Q386" i="6"/>
  <c r="T386" i="6" s="1"/>
  <c r="P386" i="6"/>
  <c r="R386" i="6" l="1"/>
  <c r="S386" i="6"/>
  <c r="M388" i="6"/>
  <c r="Q387" i="6"/>
  <c r="T387" i="6" s="1"/>
  <c r="P387" i="6"/>
  <c r="S387" i="6" l="1"/>
  <c r="R387" i="6"/>
  <c r="Q388" i="6"/>
  <c r="T388" i="6" s="1"/>
  <c r="M389" i="6"/>
  <c r="P388" i="6"/>
  <c r="R388" i="6" l="1"/>
  <c r="S388" i="6"/>
  <c r="M390" i="6"/>
  <c r="Q389" i="6"/>
  <c r="T389" i="6" s="1"/>
  <c r="P389" i="6"/>
  <c r="S389" i="6" l="1"/>
  <c r="R389" i="6"/>
  <c r="M391" i="6"/>
  <c r="Q390" i="6"/>
  <c r="T390" i="6" s="1"/>
  <c r="P390" i="6"/>
  <c r="R390" i="6" l="1"/>
  <c r="S390" i="6"/>
  <c r="M392" i="6"/>
  <c r="Q391" i="6"/>
  <c r="T391" i="6" s="1"/>
  <c r="P391" i="6"/>
  <c r="S391" i="6" l="1"/>
  <c r="R391" i="6"/>
  <c r="M393" i="6"/>
  <c r="Q392" i="6"/>
  <c r="T392" i="6" s="1"/>
  <c r="P392" i="6"/>
  <c r="S392" i="6" l="1"/>
  <c r="R392" i="6"/>
  <c r="M394" i="6"/>
  <c r="Q393" i="6"/>
  <c r="T393" i="6" s="1"/>
  <c r="P393" i="6"/>
  <c r="S393" i="6" l="1"/>
  <c r="R393" i="6"/>
  <c r="M395" i="6"/>
  <c r="Q394" i="6"/>
  <c r="T394" i="6" s="1"/>
  <c r="P394" i="6"/>
  <c r="S394" i="6" l="1"/>
  <c r="R394" i="6"/>
  <c r="M396" i="6"/>
  <c r="Q395" i="6"/>
  <c r="T395" i="6" s="1"/>
  <c r="P395" i="6"/>
  <c r="S395" i="6" l="1"/>
  <c r="R395" i="6"/>
  <c r="Q396" i="6"/>
  <c r="T396" i="6" s="1"/>
  <c r="M397" i="6"/>
  <c r="P396" i="6"/>
  <c r="S396" i="6" l="1"/>
  <c r="R396" i="6"/>
  <c r="M398" i="6"/>
  <c r="Q397" i="6"/>
  <c r="T397" i="6" s="1"/>
  <c r="P397" i="6"/>
  <c r="S397" i="6" l="1"/>
  <c r="R397" i="6"/>
  <c r="M399" i="6"/>
  <c r="Q398" i="6"/>
  <c r="T398" i="6" s="1"/>
  <c r="P398" i="6"/>
  <c r="S398" i="6" l="1"/>
  <c r="R398" i="6"/>
  <c r="M400" i="6"/>
  <c r="Q399" i="6"/>
  <c r="T399" i="6" s="1"/>
  <c r="P399" i="6"/>
  <c r="S399" i="6" l="1"/>
  <c r="R399" i="6"/>
  <c r="M401" i="6"/>
  <c r="Q400" i="6"/>
  <c r="T400" i="6" s="1"/>
  <c r="P400" i="6"/>
  <c r="R400" i="6" l="1"/>
  <c r="S400" i="6"/>
  <c r="M402" i="6"/>
  <c r="Q401" i="6"/>
  <c r="T401" i="6" s="1"/>
  <c r="P401" i="6"/>
  <c r="S401" i="6" l="1"/>
  <c r="R401" i="6"/>
  <c r="M403" i="6"/>
  <c r="Q402" i="6"/>
  <c r="T402" i="6" s="1"/>
  <c r="P402" i="6"/>
  <c r="S402" i="6" l="1"/>
  <c r="R402" i="6"/>
  <c r="M404" i="6"/>
  <c r="Q403" i="6"/>
  <c r="T403" i="6" s="1"/>
  <c r="P403" i="6"/>
  <c r="S403" i="6" l="1"/>
  <c r="R403" i="6"/>
  <c r="M405" i="6"/>
  <c r="Q404" i="6"/>
  <c r="T404" i="6" s="1"/>
  <c r="P404" i="6"/>
  <c r="R404" i="6" l="1"/>
  <c r="S404" i="6"/>
  <c r="M406" i="6"/>
  <c r="Q405" i="6"/>
  <c r="T405" i="6" s="1"/>
  <c r="P405" i="6"/>
  <c r="R405" i="6" l="1"/>
  <c r="S405" i="6"/>
  <c r="M407" i="6"/>
  <c r="Q406" i="6"/>
  <c r="T406" i="6" s="1"/>
  <c r="P406" i="6"/>
  <c r="S406" i="6" l="1"/>
  <c r="R406" i="6"/>
  <c r="M408" i="6"/>
  <c r="Q407" i="6"/>
  <c r="T407" i="6" s="1"/>
  <c r="P407" i="6"/>
  <c r="S407" i="6" l="1"/>
  <c r="R407" i="6"/>
  <c r="M409" i="6"/>
  <c r="Q408" i="6"/>
  <c r="T408" i="6" s="1"/>
  <c r="P408" i="6"/>
  <c r="R408" i="6" l="1"/>
  <c r="S408" i="6"/>
  <c r="M410" i="6"/>
  <c r="Q409" i="6"/>
  <c r="T409" i="6" s="1"/>
  <c r="P409" i="6"/>
  <c r="S409" i="6" l="1"/>
  <c r="R409" i="6"/>
  <c r="M411" i="6"/>
  <c r="Q410" i="6"/>
  <c r="T410" i="6" s="1"/>
  <c r="P410" i="6"/>
  <c r="R410" i="6" l="1"/>
  <c r="S410" i="6"/>
  <c r="M412" i="6"/>
  <c r="Q411" i="6"/>
  <c r="T411" i="6" s="1"/>
  <c r="P411" i="6"/>
  <c r="S411" i="6" l="1"/>
  <c r="R411" i="6"/>
  <c r="M413" i="6"/>
  <c r="Q412" i="6"/>
  <c r="T412" i="6" s="1"/>
  <c r="P412" i="6"/>
  <c r="R412" i="6" l="1"/>
  <c r="S412" i="6"/>
  <c r="M414" i="6"/>
  <c r="Q413" i="6"/>
  <c r="T413" i="6" s="1"/>
  <c r="P413" i="6"/>
  <c r="S413" i="6" l="1"/>
  <c r="R413" i="6"/>
  <c r="M415" i="6"/>
  <c r="Q414" i="6"/>
  <c r="T414" i="6" s="1"/>
  <c r="P414" i="6"/>
  <c r="R414" i="6" l="1"/>
  <c r="S414" i="6"/>
  <c r="M416" i="6"/>
  <c r="Q415" i="6"/>
  <c r="T415" i="6" s="1"/>
  <c r="P415" i="6"/>
  <c r="S415" i="6" l="1"/>
  <c r="R415" i="6"/>
  <c r="M417" i="6"/>
  <c r="Q416" i="6"/>
  <c r="T416" i="6" s="1"/>
  <c r="P416" i="6"/>
  <c r="R416" i="6" l="1"/>
  <c r="S416" i="6"/>
  <c r="M418" i="6"/>
  <c r="Q417" i="6"/>
  <c r="T417" i="6" s="1"/>
  <c r="P417" i="6"/>
  <c r="S417" i="6" l="1"/>
  <c r="R417" i="6"/>
  <c r="M419" i="6"/>
  <c r="Q418" i="6"/>
  <c r="T418" i="6" s="1"/>
  <c r="P418" i="6"/>
  <c r="R418" i="6" l="1"/>
  <c r="S418" i="6"/>
  <c r="M420" i="6"/>
  <c r="Q419" i="6"/>
  <c r="T419" i="6" s="1"/>
  <c r="P419" i="6"/>
  <c r="S419" i="6" l="1"/>
  <c r="R419" i="6"/>
  <c r="M421" i="6"/>
  <c r="Q420" i="6"/>
  <c r="T420" i="6" s="1"/>
  <c r="P420" i="6"/>
  <c r="R420" i="6" l="1"/>
  <c r="S420" i="6"/>
  <c r="M422" i="6"/>
  <c r="Q421" i="6"/>
  <c r="T421" i="6" s="1"/>
  <c r="P421" i="6"/>
  <c r="R421" i="6" l="1"/>
  <c r="S421" i="6"/>
  <c r="M423" i="6"/>
  <c r="Q422" i="6"/>
  <c r="T422" i="6" s="1"/>
  <c r="P422" i="6"/>
  <c r="R422" i="6" l="1"/>
  <c r="S422" i="6"/>
  <c r="M424" i="6"/>
  <c r="Q423" i="6"/>
  <c r="C62" i="7"/>
  <c r="P423" i="6"/>
  <c r="S423" i="6" l="1"/>
  <c r="R423" i="6"/>
  <c r="D62" i="7"/>
  <c r="T423" i="6"/>
  <c r="E62" i="7"/>
  <c r="M425" i="6"/>
  <c r="Q424" i="6"/>
  <c r="T424" i="6" s="1"/>
  <c r="P424" i="6"/>
  <c r="R424" i="6" l="1"/>
  <c r="S424" i="6"/>
  <c r="M426" i="6"/>
  <c r="Q425" i="6"/>
  <c r="T425" i="6" s="1"/>
  <c r="P425" i="6"/>
  <c r="R425" i="6" l="1"/>
  <c r="S425" i="6"/>
  <c r="M427" i="6"/>
  <c r="Q426" i="6"/>
  <c r="T426" i="6" s="1"/>
  <c r="P426" i="6"/>
  <c r="R426" i="6" l="1"/>
  <c r="S426" i="6"/>
  <c r="M428" i="6"/>
  <c r="Q427" i="6"/>
  <c r="T427" i="6" s="1"/>
  <c r="P427" i="6"/>
  <c r="S427" i="6" l="1"/>
  <c r="R427" i="6"/>
  <c r="M429" i="6"/>
  <c r="Q428" i="6"/>
  <c r="T428" i="6" s="1"/>
  <c r="P428" i="6"/>
  <c r="R428" i="6" l="1"/>
  <c r="S428" i="6"/>
  <c r="M430" i="6"/>
  <c r="Q429" i="6"/>
  <c r="T429" i="6" s="1"/>
  <c r="P429" i="6"/>
  <c r="R429" i="6" l="1"/>
  <c r="S429" i="6"/>
  <c r="M431" i="6"/>
  <c r="Q430" i="6"/>
  <c r="T430" i="6" s="1"/>
  <c r="P430" i="6"/>
  <c r="R430" i="6" l="1"/>
  <c r="S430" i="6"/>
  <c r="M432" i="6"/>
  <c r="Q431" i="6"/>
  <c r="T431" i="6" s="1"/>
  <c r="P431" i="6"/>
  <c r="S431" i="6" l="1"/>
  <c r="R431" i="6"/>
  <c r="M433" i="6"/>
  <c r="Q432" i="6"/>
  <c r="T432" i="6" s="1"/>
  <c r="P432" i="6"/>
  <c r="R432" i="6" l="1"/>
  <c r="S432" i="6"/>
  <c r="M434" i="6"/>
  <c r="Q433" i="6"/>
  <c r="T433" i="6" s="1"/>
  <c r="P433" i="6"/>
  <c r="R433" i="6" l="1"/>
  <c r="S433" i="6"/>
  <c r="M435" i="6"/>
  <c r="Q434" i="6"/>
  <c r="T434" i="6" s="1"/>
  <c r="P434" i="6"/>
  <c r="R434" i="6" l="1"/>
  <c r="S434" i="6"/>
  <c r="M436" i="6"/>
  <c r="Q435" i="6"/>
  <c r="T435" i="6" s="1"/>
  <c r="P435" i="6"/>
  <c r="S435" i="6" l="1"/>
  <c r="R435" i="6"/>
  <c r="M437" i="6"/>
  <c r="Q436" i="6"/>
  <c r="T436" i="6" s="1"/>
  <c r="P436" i="6"/>
  <c r="R436" i="6" l="1"/>
  <c r="S436" i="6"/>
  <c r="M438" i="6"/>
  <c r="Q437" i="6"/>
  <c r="T437" i="6" s="1"/>
  <c r="P437" i="6"/>
  <c r="S437" i="6" l="1"/>
  <c r="R437" i="6"/>
  <c r="M439" i="6"/>
  <c r="Q438" i="6"/>
  <c r="T438" i="6" s="1"/>
  <c r="P438" i="6"/>
  <c r="M440" i="6" l="1"/>
  <c r="Q439" i="6"/>
  <c r="T439" i="6" s="1"/>
  <c r="P439" i="6"/>
  <c r="R438" i="6"/>
  <c r="S438" i="6"/>
  <c r="R439" i="6" l="1"/>
  <c r="S439" i="6"/>
  <c r="M441" i="6"/>
  <c r="Q440" i="6"/>
  <c r="T440" i="6" s="1"/>
  <c r="P440" i="6"/>
  <c r="M442" i="6" l="1"/>
  <c r="Q441" i="6"/>
  <c r="T441" i="6" s="1"/>
  <c r="P441" i="6"/>
  <c r="R440" i="6"/>
  <c r="S440" i="6"/>
  <c r="S441" i="6" l="1"/>
  <c r="R441" i="6"/>
  <c r="M443" i="6"/>
  <c r="Q442" i="6"/>
  <c r="T442" i="6" s="1"/>
  <c r="P442" i="6"/>
  <c r="R442" i="6" l="1"/>
  <c r="S442" i="6"/>
  <c r="M444" i="6"/>
  <c r="Q443" i="6"/>
  <c r="T443" i="6" s="1"/>
  <c r="P443" i="6"/>
  <c r="R443" i="6" l="1"/>
  <c r="S443" i="6"/>
  <c r="M445" i="6"/>
  <c r="Q444" i="6"/>
  <c r="T444" i="6" s="1"/>
  <c r="P444" i="6"/>
  <c r="R444" i="6" l="1"/>
  <c r="S444" i="6"/>
  <c r="M446" i="6"/>
  <c r="Q445" i="6"/>
  <c r="T445" i="6" s="1"/>
  <c r="P445" i="6"/>
  <c r="S445" i="6" l="1"/>
  <c r="R445" i="6"/>
  <c r="M447" i="6"/>
  <c r="Q446" i="6"/>
  <c r="T446" i="6" s="1"/>
  <c r="P446" i="6"/>
  <c r="R446" i="6" l="1"/>
  <c r="S446" i="6"/>
  <c r="M448" i="6"/>
  <c r="Q447" i="6"/>
  <c r="T447" i="6" s="1"/>
  <c r="P447" i="6"/>
  <c r="R447" i="6" l="1"/>
  <c r="S447" i="6"/>
  <c r="M449" i="6"/>
  <c r="Q448" i="6"/>
  <c r="T448" i="6" s="1"/>
  <c r="P448" i="6"/>
  <c r="R448" i="6" l="1"/>
  <c r="S448" i="6"/>
  <c r="M450" i="6"/>
  <c r="Q449" i="6"/>
  <c r="T449" i="6" s="1"/>
  <c r="P449" i="6"/>
  <c r="S449" i="6" l="1"/>
  <c r="R449" i="6"/>
  <c r="M451" i="6"/>
  <c r="Q450" i="6"/>
  <c r="T450" i="6" s="1"/>
  <c r="P450" i="6"/>
  <c r="R450" i="6" l="1"/>
  <c r="S450" i="6"/>
  <c r="M452" i="6"/>
  <c r="Q451" i="6"/>
  <c r="T451" i="6" s="1"/>
  <c r="P451" i="6"/>
  <c r="R451" i="6" l="1"/>
  <c r="S451" i="6"/>
  <c r="M453" i="6"/>
  <c r="Q452" i="6"/>
  <c r="T452" i="6" s="1"/>
  <c r="P452" i="6"/>
  <c r="R452" i="6" l="1"/>
  <c r="S452" i="6"/>
  <c r="M454" i="6"/>
  <c r="Q453" i="6"/>
  <c r="T453" i="6" s="1"/>
  <c r="P453" i="6"/>
  <c r="S453" i="6" l="1"/>
  <c r="R453" i="6"/>
  <c r="M455" i="6"/>
  <c r="Q454" i="6"/>
  <c r="T454" i="6" s="1"/>
  <c r="P454" i="6"/>
  <c r="M456" i="6" l="1"/>
  <c r="Q455" i="6"/>
  <c r="T455" i="6" s="1"/>
  <c r="P455" i="6"/>
  <c r="R454" i="6"/>
  <c r="S454" i="6"/>
  <c r="R455" i="6" l="1"/>
  <c r="S455" i="6"/>
  <c r="M457" i="6"/>
  <c r="Q456" i="6"/>
  <c r="T456" i="6" s="1"/>
  <c r="P456" i="6"/>
  <c r="R456" i="6" l="1"/>
  <c r="S456" i="6"/>
  <c r="M458" i="6"/>
  <c r="Q457" i="6"/>
  <c r="T457" i="6" s="1"/>
  <c r="P457" i="6"/>
  <c r="M459" i="6" l="1"/>
  <c r="Q458" i="6"/>
  <c r="T458" i="6" s="1"/>
  <c r="P458" i="6"/>
  <c r="R457" i="6"/>
  <c r="S457" i="6"/>
  <c r="S458" i="6" l="1"/>
  <c r="R458" i="6"/>
  <c r="M460" i="6"/>
  <c r="Q459" i="6"/>
  <c r="T459" i="6" s="1"/>
  <c r="P459" i="6"/>
  <c r="S459" i="6" l="1"/>
  <c r="R459" i="6"/>
  <c r="M461" i="6"/>
  <c r="Q460" i="6"/>
  <c r="T460" i="6" s="1"/>
  <c r="P460" i="6"/>
  <c r="R460" i="6" l="1"/>
  <c r="S460" i="6"/>
  <c r="M462" i="6"/>
  <c r="Q461" i="6"/>
  <c r="T461" i="6" s="1"/>
  <c r="P461" i="6"/>
  <c r="R461" i="6" l="1"/>
  <c r="S461" i="6"/>
  <c r="M463" i="6"/>
  <c r="Q462" i="6"/>
  <c r="T462" i="6" s="1"/>
  <c r="P462" i="6"/>
  <c r="S462" i="6" l="1"/>
  <c r="R462" i="6"/>
  <c r="M464" i="6"/>
  <c r="Q463" i="6"/>
  <c r="T463" i="6" s="1"/>
  <c r="P463" i="6"/>
  <c r="S463" i="6" l="1"/>
  <c r="R463" i="6"/>
  <c r="M465" i="6"/>
  <c r="Q464" i="6"/>
  <c r="T464" i="6" s="1"/>
  <c r="P464" i="6"/>
  <c r="R464" i="6" l="1"/>
  <c r="S464" i="6"/>
  <c r="M466" i="6"/>
  <c r="Q465" i="6"/>
  <c r="T465" i="6" s="1"/>
  <c r="P465" i="6"/>
  <c r="M467" i="6" l="1"/>
  <c r="Q466" i="6"/>
  <c r="T466" i="6" s="1"/>
  <c r="P466" i="6"/>
  <c r="S465" i="6"/>
  <c r="R465" i="6"/>
  <c r="R466" i="6" l="1"/>
  <c r="S466" i="6"/>
  <c r="M468" i="6"/>
  <c r="Q467" i="6"/>
  <c r="T467" i="6" s="1"/>
  <c r="P467" i="6"/>
  <c r="S467" i="6" l="1"/>
  <c r="R467" i="6"/>
  <c r="M469" i="6"/>
  <c r="Q468" i="6"/>
  <c r="T468" i="6" s="1"/>
  <c r="P468" i="6"/>
  <c r="R468" i="6" l="1"/>
  <c r="S468" i="6"/>
  <c r="M470" i="6"/>
  <c r="Q469" i="6"/>
  <c r="T469" i="6" s="1"/>
  <c r="P469" i="6"/>
  <c r="R469" i="6" l="1"/>
  <c r="S469" i="6"/>
  <c r="M471" i="6"/>
  <c r="Q470" i="6"/>
  <c r="T470" i="6" s="1"/>
  <c r="P470" i="6"/>
  <c r="M472" i="6" l="1"/>
  <c r="Q471" i="6"/>
  <c r="T471" i="6" s="1"/>
  <c r="P471" i="6"/>
  <c r="R470" i="6"/>
  <c r="S470" i="6"/>
  <c r="S471" i="6" l="1"/>
  <c r="R471" i="6"/>
  <c r="M473" i="6"/>
  <c r="Q472" i="6"/>
  <c r="T472" i="6" s="1"/>
  <c r="P472" i="6"/>
  <c r="M474" i="6" l="1"/>
  <c r="Q473" i="6"/>
  <c r="T473" i="6" s="1"/>
  <c r="P473" i="6"/>
  <c r="R472" i="6"/>
  <c r="S472" i="6"/>
  <c r="S473" i="6" l="1"/>
  <c r="R473" i="6"/>
  <c r="M475" i="6"/>
  <c r="Q474" i="6"/>
  <c r="T474" i="6" s="1"/>
  <c r="P474" i="6"/>
  <c r="M476" i="6" l="1"/>
  <c r="Q475" i="6"/>
  <c r="T475" i="6" s="1"/>
  <c r="P475" i="6"/>
  <c r="S474" i="6"/>
  <c r="R474" i="6"/>
  <c r="S475" i="6" l="1"/>
  <c r="R475" i="6"/>
  <c r="M477" i="6"/>
  <c r="Q476" i="6"/>
  <c r="T476" i="6" s="1"/>
  <c r="P476" i="6"/>
  <c r="M478" i="6" l="1"/>
  <c r="Q477" i="6"/>
  <c r="T477" i="6" s="1"/>
  <c r="P477" i="6"/>
  <c r="S476" i="6"/>
  <c r="R476" i="6"/>
  <c r="S477" i="6" l="1"/>
  <c r="R477" i="6"/>
  <c r="M479" i="6"/>
  <c r="Q478" i="6"/>
  <c r="T478" i="6" s="1"/>
  <c r="P478" i="6"/>
  <c r="S478" i="6" l="1"/>
  <c r="R478" i="6"/>
  <c r="M480" i="6"/>
  <c r="Q479" i="6"/>
  <c r="T479" i="6" s="1"/>
  <c r="P479" i="6"/>
  <c r="S479" i="6" l="1"/>
  <c r="R479" i="6"/>
  <c r="M481" i="6"/>
  <c r="Q480" i="6"/>
  <c r="T480" i="6" s="1"/>
  <c r="P480" i="6"/>
  <c r="R480" i="6" l="1"/>
  <c r="S480" i="6"/>
  <c r="M482" i="6"/>
  <c r="Q481" i="6"/>
  <c r="T481" i="6" s="1"/>
  <c r="P481" i="6"/>
  <c r="M483" i="6" l="1"/>
  <c r="Q482" i="6"/>
  <c r="T482" i="6" s="1"/>
  <c r="P482" i="6"/>
  <c r="S481" i="6"/>
  <c r="R481" i="6"/>
  <c r="S482" i="6" l="1"/>
  <c r="R482" i="6"/>
  <c r="M484" i="6"/>
  <c r="Q483" i="6"/>
  <c r="T483" i="6" s="1"/>
  <c r="P483" i="6"/>
  <c r="S483" i="6" l="1"/>
  <c r="R483" i="6"/>
  <c r="M485" i="6"/>
  <c r="Q484" i="6"/>
  <c r="T484" i="6" s="1"/>
  <c r="P484" i="6"/>
  <c r="R484" i="6" l="1"/>
  <c r="S484" i="6"/>
  <c r="M486" i="6"/>
  <c r="Q485" i="6"/>
  <c r="T485" i="6" s="1"/>
  <c r="P485" i="6"/>
  <c r="S485" i="6" l="1"/>
  <c r="R485" i="6"/>
  <c r="M487" i="6"/>
  <c r="Q486" i="6"/>
  <c r="T486" i="6" s="1"/>
  <c r="P486" i="6"/>
  <c r="M488" i="6" l="1"/>
  <c r="Q487" i="6"/>
  <c r="T487" i="6" s="1"/>
  <c r="P487" i="6"/>
  <c r="S486" i="6"/>
  <c r="R486" i="6"/>
  <c r="S487" i="6" l="1"/>
  <c r="R487" i="6"/>
  <c r="M489" i="6"/>
  <c r="Q488" i="6"/>
  <c r="T488" i="6" s="1"/>
  <c r="P488" i="6"/>
  <c r="S488" i="6" l="1"/>
  <c r="R488" i="6"/>
  <c r="M490" i="6"/>
  <c r="Q489" i="6"/>
  <c r="T489" i="6" s="1"/>
  <c r="P489" i="6"/>
  <c r="Q490" i="6" l="1"/>
  <c r="T490" i="6" s="1"/>
  <c r="M491" i="6"/>
  <c r="P490" i="6"/>
  <c r="R489" i="6"/>
  <c r="S489" i="6"/>
  <c r="S490" i="6" l="1"/>
  <c r="R490" i="6"/>
  <c r="M492" i="6"/>
  <c r="Q491" i="6"/>
  <c r="T491" i="6" s="1"/>
  <c r="P491" i="6"/>
  <c r="M493" i="6" l="1"/>
  <c r="Q492" i="6"/>
  <c r="T492" i="6" s="1"/>
  <c r="P492" i="6"/>
  <c r="S491" i="6"/>
  <c r="R491" i="6"/>
  <c r="S492" i="6" l="1"/>
  <c r="R492" i="6"/>
  <c r="M494" i="6"/>
  <c r="Q493" i="6"/>
  <c r="T493" i="6" s="1"/>
  <c r="P493" i="6"/>
  <c r="Q494" i="6" l="1"/>
  <c r="T494" i="6" s="1"/>
  <c r="M495" i="6"/>
  <c r="P494" i="6"/>
  <c r="R493" i="6"/>
  <c r="S493" i="6"/>
  <c r="R494" i="6" l="1"/>
  <c r="S494" i="6"/>
  <c r="M496" i="6"/>
  <c r="Q495" i="6"/>
  <c r="T495" i="6" s="1"/>
  <c r="P495" i="6"/>
  <c r="S495" i="6" l="1"/>
  <c r="R495" i="6"/>
  <c r="M497" i="6"/>
  <c r="Q496" i="6"/>
  <c r="T496" i="6" s="1"/>
  <c r="P496" i="6"/>
  <c r="R496" i="6" l="1"/>
  <c r="S496" i="6"/>
  <c r="Q497" i="6"/>
  <c r="T497" i="6" s="1"/>
  <c r="M498" i="6"/>
  <c r="P497" i="6"/>
  <c r="R497" i="6" l="1"/>
  <c r="S497" i="6"/>
  <c r="M499" i="6"/>
  <c r="Q498" i="6"/>
  <c r="T498" i="6" s="1"/>
  <c r="P498" i="6"/>
  <c r="M500" i="6" l="1"/>
  <c r="Q499" i="6"/>
  <c r="T499" i="6" s="1"/>
  <c r="P499" i="6"/>
  <c r="S498" i="6"/>
  <c r="R498" i="6"/>
  <c r="S499" i="6" l="1"/>
  <c r="R499" i="6"/>
  <c r="M501" i="6"/>
  <c r="Q500" i="6"/>
  <c r="T500" i="6" s="1"/>
  <c r="P500" i="6"/>
  <c r="M502" i="6" l="1"/>
  <c r="Q501" i="6"/>
  <c r="T501" i="6" s="1"/>
  <c r="P501" i="6"/>
  <c r="R500" i="6"/>
  <c r="S500" i="6"/>
  <c r="R501" i="6" l="1"/>
  <c r="S501" i="6"/>
  <c r="M503" i="6"/>
  <c r="Q502" i="6"/>
  <c r="T502" i="6" s="1"/>
  <c r="P502" i="6"/>
  <c r="R502" i="6" l="1"/>
  <c r="S502" i="6"/>
  <c r="M504" i="6"/>
  <c r="Q503" i="6"/>
  <c r="T503" i="6" s="1"/>
  <c r="P503" i="6"/>
  <c r="S503" i="6" l="1"/>
  <c r="R503" i="6"/>
  <c r="M505" i="6"/>
  <c r="Q504" i="6"/>
  <c r="T504" i="6" s="1"/>
  <c r="P504" i="6"/>
  <c r="R504" i="6" l="1"/>
  <c r="S504" i="6"/>
  <c r="M506" i="6"/>
  <c r="Q505" i="6"/>
  <c r="T505" i="6" s="1"/>
  <c r="P505" i="6"/>
  <c r="S505" i="6" l="1"/>
  <c r="R505" i="6"/>
  <c r="M507" i="6"/>
  <c r="Q506" i="6"/>
  <c r="T506" i="6" s="1"/>
  <c r="P506" i="6"/>
  <c r="R506" i="6" l="1"/>
  <c r="S506" i="6"/>
  <c r="M508" i="6"/>
  <c r="Q507" i="6"/>
  <c r="T507" i="6" s="1"/>
  <c r="P507" i="6"/>
  <c r="S507" i="6" l="1"/>
  <c r="R507" i="6"/>
  <c r="Q508" i="6"/>
  <c r="T508" i="6" s="1"/>
  <c r="M509" i="6"/>
  <c r="P508" i="6"/>
  <c r="R508" i="6" l="1"/>
  <c r="S508" i="6"/>
  <c r="M510" i="6"/>
  <c r="Q509" i="6"/>
  <c r="T509" i="6" s="1"/>
  <c r="P509" i="6"/>
  <c r="S509" i="6" l="1"/>
  <c r="R509" i="6"/>
  <c r="M511" i="6"/>
  <c r="Q510" i="6"/>
  <c r="T510" i="6" s="1"/>
  <c r="P510" i="6"/>
  <c r="S510" i="6" l="1"/>
  <c r="R510" i="6"/>
  <c r="M512" i="6"/>
  <c r="Q511" i="6"/>
  <c r="T511" i="6" s="1"/>
  <c r="P511" i="6"/>
  <c r="R511" i="6" l="1"/>
  <c r="S511" i="6"/>
  <c r="M513" i="6"/>
  <c r="Q512" i="6"/>
  <c r="T512" i="6" s="1"/>
  <c r="P512" i="6"/>
  <c r="S512" i="6" l="1"/>
  <c r="R512" i="6"/>
  <c r="M514" i="6"/>
  <c r="Q513" i="6"/>
  <c r="T513" i="6" s="1"/>
  <c r="P513" i="6"/>
  <c r="S513" i="6" l="1"/>
  <c r="R513" i="6"/>
  <c r="M515" i="6"/>
  <c r="Q514" i="6"/>
  <c r="T514" i="6" s="1"/>
  <c r="P514" i="6"/>
  <c r="S514" i="6" l="1"/>
  <c r="R514" i="6"/>
  <c r="M516" i="6"/>
  <c r="Q515" i="6"/>
  <c r="T515" i="6" s="1"/>
  <c r="P515" i="6"/>
  <c r="R515" i="6" l="1"/>
  <c r="S515" i="6"/>
  <c r="M517" i="6"/>
  <c r="Q516" i="6"/>
  <c r="T516" i="6" s="1"/>
  <c r="P516" i="6"/>
  <c r="S516" i="6" l="1"/>
  <c r="R516" i="6"/>
  <c r="M518" i="6"/>
  <c r="Q517" i="6"/>
  <c r="T517" i="6" s="1"/>
  <c r="P517" i="6"/>
  <c r="R517" i="6" l="1"/>
  <c r="S517" i="6"/>
  <c r="M519" i="6"/>
  <c r="Q518" i="6"/>
  <c r="T518" i="6" s="1"/>
  <c r="P518" i="6"/>
  <c r="Q519" i="6" l="1"/>
  <c r="T519" i="6" s="1"/>
  <c r="M520" i="6"/>
  <c r="P519" i="6"/>
  <c r="S518" i="6"/>
  <c r="R518" i="6"/>
  <c r="S519" i="6" l="1"/>
  <c r="R519" i="6"/>
  <c r="Q520" i="6"/>
  <c r="T520" i="6" s="1"/>
  <c r="M521" i="6"/>
  <c r="P520" i="6"/>
  <c r="R520" i="6" l="1"/>
  <c r="S520" i="6"/>
  <c r="M522" i="6"/>
  <c r="Q521" i="6"/>
  <c r="T521" i="6" s="1"/>
  <c r="P521" i="6"/>
  <c r="M523" i="6" l="1"/>
  <c r="Q522" i="6"/>
  <c r="T522" i="6" s="1"/>
  <c r="P522" i="6"/>
  <c r="S521" i="6"/>
  <c r="R521" i="6"/>
  <c r="R522" i="6" l="1"/>
  <c r="S522" i="6"/>
  <c r="M524" i="6"/>
  <c r="Q523" i="6"/>
  <c r="T523" i="6" s="1"/>
  <c r="P523" i="6"/>
  <c r="S523" i="6" l="1"/>
  <c r="R523" i="6"/>
  <c r="M525" i="6"/>
  <c r="Q524" i="6"/>
  <c r="T524" i="6" s="1"/>
  <c r="P524" i="6"/>
  <c r="S524" i="6" l="1"/>
  <c r="R524" i="6"/>
  <c r="M526" i="6"/>
  <c r="Q525" i="6"/>
  <c r="T525" i="6" s="1"/>
  <c r="P525" i="6"/>
  <c r="S525" i="6" l="1"/>
  <c r="R525" i="6"/>
  <c r="M527" i="6"/>
  <c r="Q526" i="6"/>
  <c r="T526" i="6" s="1"/>
  <c r="P526" i="6"/>
  <c r="M528" i="6" l="1"/>
  <c r="Q527" i="6"/>
  <c r="T527" i="6" s="1"/>
  <c r="P527" i="6"/>
  <c r="S526" i="6"/>
  <c r="R526" i="6"/>
  <c r="R527" i="6" l="1"/>
  <c r="S527" i="6"/>
  <c r="Q528" i="6"/>
  <c r="T528" i="6" s="1"/>
  <c r="M529" i="6"/>
  <c r="P528" i="6"/>
  <c r="S528" i="6" l="1"/>
  <c r="R528" i="6"/>
  <c r="M530" i="6"/>
  <c r="Q529" i="6"/>
  <c r="T529" i="6" s="1"/>
  <c r="P529" i="6"/>
  <c r="S529" i="6" l="1"/>
  <c r="R529" i="6"/>
  <c r="M531" i="6"/>
  <c r="Q530" i="6"/>
  <c r="T530" i="6" s="1"/>
  <c r="P530" i="6"/>
  <c r="S530" i="6" l="1"/>
  <c r="R530" i="6"/>
  <c r="M532" i="6"/>
  <c r="Q531" i="6"/>
  <c r="T531" i="6" s="1"/>
  <c r="P531" i="6"/>
  <c r="R531" i="6" l="1"/>
  <c r="S531" i="6"/>
  <c r="M533" i="6"/>
  <c r="Q532" i="6"/>
  <c r="T532" i="6" s="1"/>
  <c r="P532" i="6"/>
  <c r="R532" i="6" l="1"/>
  <c r="S532" i="6"/>
  <c r="M534" i="6"/>
  <c r="Q533" i="6"/>
  <c r="T533" i="6" s="1"/>
  <c r="P533" i="6"/>
  <c r="M535" i="6" l="1"/>
  <c r="Q534" i="6"/>
  <c r="T534" i="6" s="1"/>
  <c r="P534" i="6"/>
  <c r="S533" i="6"/>
  <c r="R533" i="6"/>
  <c r="S534" i="6" l="1"/>
  <c r="R534" i="6"/>
  <c r="M536" i="6"/>
  <c r="Q535" i="6"/>
  <c r="T535" i="6" s="1"/>
  <c r="P535" i="6"/>
  <c r="Q536" i="6" l="1"/>
  <c r="T536" i="6" s="1"/>
  <c r="M537" i="6"/>
  <c r="P536" i="6"/>
  <c r="S535" i="6"/>
  <c r="R535" i="6"/>
  <c r="S536" i="6" l="1"/>
  <c r="R536" i="6"/>
  <c r="M538" i="6"/>
  <c r="Q537" i="6"/>
  <c r="T537" i="6" s="1"/>
  <c r="P537" i="6"/>
  <c r="S537" i="6" l="1"/>
  <c r="R537" i="6"/>
  <c r="M539" i="6"/>
  <c r="Q538" i="6"/>
  <c r="T538" i="6" s="1"/>
  <c r="P538" i="6"/>
  <c r="M540" i="6" l="1"/>
  <c r="Q539" i="6"/>
  <c r="T539" i="6" s="1"/>
  <c r="P539" i="6"/>
  <c r="S538" i="6"/>
  <c r="R538" i="6"/>
  <c r="R539" i="6" l="1"/>
  <c r="S539" i="6"/>
  <c r="M541" i="6"/>
  <c r="Q540" i="6"/>
  <c r="T540" i="6" s="1"/>
  <c r="P540" i="6"/>
  <c r="M542" i="6" l="1"/>
  <c r="Q541" i="6"/>
  <c r="T541" i="6" s="1"/>
  <c r="P541" i="6"/>
  <c r="R540" i="6"/>
  <c r="S540" i="6"/>
  <c r="S541" i="6" l="1"/>
  <c r="R541" i="6"/>
  <c r="M543" i="6"/>
  <c r="Q542" i="6"/>
  <c r="T542" i="6" s="1"/>
  <c r="P542" i="6"/>
  <c r="R542" i="6" l="1"/>
  <c r="S542" i="6"/>
  <c r="Q543" i="6"/>
  <c r="P543" i="6"/>
  <c r="C63" i="7"/>
  <c r="X6" i="6"/>
  <c r="B16" i="7" s="1"/>
  <c r="S543" i="6" l="1"/>
  <c r="X4" i="6" s="1"/>
  <c r="R543" i="6"/>
  <c r="D63" i="7"/>
  <c r="T543" i="6"/>
  <c r="X5" i="6" s="1"/>
  <c r="B14" i="7" s="1"/>
  <c r="E63" i="7"/>
  <c r="U541" i="6"/>
  <c r="U537" i="6"/>
  <c r="U536" i="6"/>
  <c r="U535" i="6"/>
  <c r="U539" i="6"/>
  <c r="U538" i="6"/>
  <c r="U542" i="6" l="1"/>
  <c r="U4" i="6"/>
  <c r="F56" i="7" s="1"/>
  <c r="U5" i="6"/>
  <c r="U8" i="6"/>
  <c r="U6" i="6"/>
  <c r="U7" i="6"/>
  <c r="U9" i="6"/>
  <c r="U10" i="6"/>
  <c r="U11" i="6"/>
  <c r="U12" i="6"/>
  <c r="U13" i="6"/>
  <c r="U14" i="6"/>
  <c r="U15" i="6"/>
  <c r="U16" i="6"/>
  <c r="U19" i="6"/>
  <c r="U17" i="6"/>
  <c r="U18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3" i="6"/>
  <c r="U35" i="6"/>
  <c r="U34" i="6"/>
  <c r="U36" i="6"/>
  <c r="U37" i="6"/>
  <c r="U38" i="6"/>
  <c r="U39" i="6"/>
  <c r="U40" i="6"/>
  <c r="U41" i="6"/>
  <c r="U42" i="6"/>
  <c r="U43" i="6"/>
  <c r="U44" i="6"/>
  <c r="U45" i="6"/>
  <c r="U46" i="6"/>
  <c r="U47" i="6"/>
  <c r="U48" i="6"/>
  <c r="U49" i="6"/>
  <c r="U51" i="6"/>
  <c r="U50" i="6"/>
  <c r="U52" i="6"/>
  <c r="U53" i="6"/>
  <c r="U54" i="6"/>
  <c r="U55" i="6"/>
  <c r="U56" i="6"/>
  <c r="U58" i="6"/>
  <c r="U57" i="6"/>
  <c r="U59" i="6"/>
  <c r="U60" i="6"/>
  <c r="U62" i="6"/>
  <c r="U63" i="6"/>
  <c r="F57" i="7" s="1"/>
  <c r="U61" i="6"/>
  <c r="U64" i="6"/>
  <c r="U65" i="6"/>
  <c r="U66" i="6"/>
  <c r="U67" i="6"/>
  <c r="U68" i="6"/>
  <c r="U69" i="6"/>
  <c r="U70" i="6"/>
  <c r="U72" i="6"/>
  <c r="U71" i="6"/>
  <c r="U73" i="6"/>
  <c r="U75" i="6"/>
  <c r="U74" i="6"/>
  <c r="U76" i="6"/>
  <c r="U78" i="6"/>
  <c r="U77" i="6"/>
  <c r="U79" i="6"/>
  <c r="U81" i="6"/>
  <c r="U80" i="6"/>
  <c r="U85" i="6"/>
  <c r="U82" i="6"/>
  <c r="U83" i="6"/>
  <c r="U84" i="6"/>
  <c r="U86" i="6"/>
  <c r="U87" i="6"/>
  <c r="U88" i="6"/>
  <c r="U89" i="6"/>
  <c r="U90" i="6"/>
  <c r="U91" i="6"/>
  <c r="U92" i="6"/>
  <c r="U93" i="6"/>
  <c r="U94" i="6"/>
  <c r="U95" i="6"/>
  <c r="U96" i="6"/>
  <c r="U97" i="6"/>
  <c r="U98" i="6"/>
  <c r="U99" i="6"/>
  <c r="U101" i="6"/>
  <c r="U100" i="6"/>
  <c r="U102" i="6"/>
  <c r="U103" i="6"/>
  <c r="U104" i="6"/>
  <c r="U105" i="6"/>
  <c r="U106" i="6"/>
  <c r="U107" i="6"/>
  <c r="U108" i="6"/>
  <c r="U111" i="6"/>
  <c r="U110" i="6"/>
  <c r="U109" i="6"/>
  <c r="U112" i="6"/>
  <c r="U114" i="6"/>
  <c r="U113" i="6"/>
  <c r="U115" i="6"/>
  <c r="U116" i="6"/>
  <c r="U117" i="6"/>
  <c r="U119" i="6"/>
  <c r="U118" i="6"/>
  <c r="U120" i="6"/>
  <c r="U122" i="6"/>
  <c r="U121" i="6"/>
  <c r="U123" i="6"/>
  <c r="F58" i="7" s="1"/>
  <c r="U124" i="6"/>
  <c r="U125" i="6"/>
  <c r="U126" i="6"/>
  <c r="U127" i="6"/>
  <c r="U128" i="6"/>
  <c r="U130" i="6"/>
  <c r="U129" i="6"/>
  <c r="U131" i="6"/>
  <c r="U132" i="6"/>
  <c r="U133" i="6"/>
  <c r="U134" i="6"/>
  <c r="U135" i="6"/>
  <c r="U136" i="6"/>
  <c r="U137" i="6"/>
  <c r="U138" i="6"/>
  <c r="U139" i="6"/>
  <c r="U140" i="6"/>
  <c r="U141" i="6"/>
  <c r="U142" i="6"/>
  <c r="U143" i="6"/>
  <c r="U144" i="6"/>
  <c r="U145" i="6"/>
  <c r="U146" i="6"/>
  <c r="U147" i="6"/>
  <c r="U148" i="6"/>
  <c r="U149" i="6"/>
  <c r="U150" i="6"/>
  <c r="U151" i="6"/>
  <c r="U152" i="6"/>
  <c r="U153" i="6"/>
  <c r="U154" i="6"/>
  <c r="U155" i="6"/>
  <c r="U156" i="6"/>
  <c r="U157" i="6"/>
  <c r="U158" i="6"/>
  <c r="U159" i="6"/>
  <c r="U160" i="6"/>
  <c r="U161" i="6"/>
  <c r="U162" i="6"/>
  <c r="U163" i="6"/>
  <c r="U164" i="6"/>
  <c r="U165" i="6"/>
  <c r="U166" i="6"/>
  <c r="U167" i="6"/>
  <c r="U168" i="6"/>
  <c r="U169" i="6"/>
  <c r="U170" i="6"/>
  <c r="U171" i="6"/>
  <c r="U172" i="6"/>
  <c r="U173" i="6"/>
  <c r="U174" i="6"/>
  <c r="U175" i="6"/>
  <c r="U177" i="6"/>
  <c r="U176" i="6"/>
  <c r="U178" i="6"/>
  <c r="U179" i="6"/>
  <c r="U180" i="6"/>
  <c r="U182" i="6"/>
  <c r="U181" i="6"/>
  <c r="U183" i="6"/>
  <c r="F59" i="7" s="1"/>
  <c r="U184" i="6"/>
  <c r="U185" i="6"/>
  <c r="U186" i="6"/>
  <c r="U187" i="6"/>
  <c r="U189" i="6"/>
  <c r="U190" i="6"/>
  <c r="U188" i="6"/>
  <c r="U191" i="6"/>
  <c r="U192" i="6"/>
  <c r="U193" i="6"/>
  <c r="U194" i="6"/>
  <c r="U195" i="6"/>
  <c r="U197" i="6"/>
  <c r="U196" i="6"/>
  <c r="U198" i="6"/>
  <c r="U199" i="6"/>
  <c r="U200" i="6"/>
  <c r="U201" i="6"/>
  <c r="U202" i="6"/>
  <c r="U203" i="6"/>
  <c r="U204" i="6"/>
  <c r="U206" i="6"/>
  <c r="U205" i="6"/>
  <c r="U209" i="6"/>
  <c r="U208" i="6"/>
  <c r="U207" i="6"/>
  <c r="U210" i="6"/>
  <c r="U211" i="6"/>
  <c r="U212" i="6"/>
  <c r="U213" i="6"/>
  <c r="U215" i="6"/>
  <c r="U214" i="6"/>
  <c r="U216" i="6"/>
  <c r="U217" i="6"/>
  <c r="U218" i="6"/>
  <c r="U219" i="6"/>
  <c r="U220" i="6"/>
  <c r="U221" i="6"/>
  <c r="U222" i="6"/>
  <c r="U224" i="6"/>
  <c r="U223" i="6"/>
  <c r="U225" i="6"/>
  <c r="U226" i="6"/>
  <c r="U227" i="6"/>
  <c r="U229" i="6"/>
  <c r="U228" i="6"/>
  <c r="U231" i="6"/>
  <c r="U232" i="6"/>
  <c r="U230" i="6"/>
  <c r="U233" i="6"/>
  <c r="U234" i="6"/>
  <c r="U235" i="6"/>
  <c r="U238" i="6"/>
  <c r="U236" i="6"/>
  <c r="U237" i="6"/>
  <c r="U239" i="6"/>
  <c r="U240" i="6"/>
  <c r="U241" i="6"/>
  <c r="U244" i="6"/>
  <c r="U242" i="6"/>
  <c r="U243" i="6"/>
  <c r="F60" i="7" s="1"/>
  <c r="U245" i="6"/>
  <c r="U246" i="6"/>
  <c r="U247" i="6"/>
  <c r="U248" i="6"/>
  <c r="U250" i="6"/>
  <c r="U249" i="6"/>
  <c r="U251" i="6"/>
  <c r="U252" i="6"/>
  <c r="U253" i="6"/>
  <c r="U254" i="6"/>
  <c r="U256" i="6"/>
  <c r="U259" i="6"/>
  <c r="U255" i="6"/>
  <c r="U257" i="6"/>
  <c r="U258" i="6"/>
  <c r="U260" i="6"/>
  <c r="U261" i="6"/>
  <c r="U263" i="6"/>
  <c r="U262" i="6"/>
  <c r="U264" i="6"/>
  <c r="U266" i="6"/>
  <c r="U265" i="6"/>
  <c r="U267" i="6"/>
  <c r="U269" i="6"/>
  <c r="U268" i="6"/>
  <c r="U270" i="6"/>
  <c r="U272" i="6"/>
  <c r="U271" i="6"/>
  <c r="U273" i="6"/>
  <c r="U274" i="6"/>
  <c r="U277" i="6"/>
  <c r="U276" i="6"/>
  <c r="U275" i="6"/>
  <c r="U278" i="6"/>
  <c r="U279" i="6"/>
  <c r="U280" i="6"/>
  <c r="U281" i="6"/>
  <c r="U283" i="6"/>
  <c r="U282" i="6"/>
  <c r="U288" i="6"/>
  <c r="U286" i="6"/>
  <c r="U285" i="6"/>
  <c r="U284" i="6"/>
  <c r="U287" i="6"/>
  <c r="U289" i="6"/>
  <c r="U290" i="6"/>
  <c r="U291" i="6"/>
  <c r="U292" i="6"/>
  <c r="U293" i="6"/>
  <c r="U294" i="6"/>
  <c r="U295" i="6"/>
  <c r="U296" i="6"/>
  <c r="U297" i="6"/>
  <c r="U298" i="6"/>
  <c r="U299" i="6"/>
  <c r="U301" i="6"/>
  <c r="U300" i="6"/>
  <c r="U302" i="6"/>
  <c r="U303" i="6"/>
  <c r="F61" i="7" s="1"/>
  <c r="U304" i="6"/>
  <c r="U305" i="6"/>
  <c r="U307" i="6"/>
  <c r="U306" i="6"/>
  <c r="U308" i="6"/>
  <c r="U309" i="6"/>
  <c r="U310" i="6"/>
  <c r="U311" i="6"/>
  <c r="U313" i="6"/>
  <c r="U312" i="6"/>
  <c r="U314" i="6"/>
  <c r="U316" i="6"/>
  <c r="U315" i="6"/>
  <c r="U317" i="6"/>
  <c r="U318" i="6"/>
  <c r="U320" i="6"/>
  <c r="U319" i="6"/>
  <c r="U321" i="6"/>
  <c r="U323" i="6"/>
  <c r="U322" i="6"/>
  <c r="U324" i="6"/>
  <c r="U325" i="6"/>
  <c r="U326" i="6"/>
  <c r="U327" i="6"/>
  <c r="U329" i="6"/>
  <c r="U328" i="6"/>
  <c r="U331" i="6"/>
  <c r="U330" i="6"/>
  <c r="U332" i="6"/>
  <c r="U333" i="6"/>
  <c r="U334" i="6"/>
  <c r="U335" i="6"/>
  <c r="U336" i="6"/>
  <c r="U337" i="6"/>
  <c r="U338" i="6"/>
  <c r="U339" i="6"/>
  <c r="U340" i="6"/>
  <c r="U341" i="6"/>
  <c r="U342" i="6"/>
  <c r="U343" i="6"/>
  <c r="U345" i="6"/>
  <c r="U344" i="6"/>
  <c r="U346" i="6"/>
  <c r="U347" i="6"/>
  <c r="U348" i="6"/>
  <c r="U349" i="6"/>
  <c r="U350" i="6"/>
  <c r="U351" i="6"/>
  <c r="U352" i="6"/>
  <c r="U353" i="6"/>
  <c r="U354" i="6"/>
  <c r="U355" i="6"/>
  <c r="U356" i="6"/>
  <c r="U357" i="6"/>
  <c r="U359" i="6"/>
  <c r="U358" i="6"/>
  <c r="U360" i="6"/>
  <c r="U361" i="6"/>
  <c r="U362" i="6"/>
  <c r="U363" i="6"/>
  <c r="U365" i="6"/>
  <c r="U364" i="6"/>
  <c r="U367" i="6"/>
  <c r="U366" i="6"/>
  <c r="U369" i="6"/>
  <c r="U368" i="6"/>
  <c r="U371" i="6"/>
  <c r="U370" i="6"/>
  <c r="U373" i="6"/>
  <c r="U372" i="6"/>
  <c r="U374" i="6"/>
  <c r="U375" i="6"/>
  <c r="U376" i="6"/>
  <c r="U377" i="6"/>
  <c r="U378" i="6"/>
  <c r="U379" i="6"/>
  <c r="U380" i="6"/>
  <c r="U381" i="6"/>
  <c r="U382" i="6"/>
  <c r="U383" i="6"/>
  <c r="U385" i="6"/>
  <c r="U384" i="6"/>
  <c r="U387" i="6"/>
  <c r="U386" i="6"/>
  <c r="U389" i="6"/>
  <c r="U388" i="6"/>
  <c r="U390" i="6"/>
  <c r="U392" i="6"/>
  <c r="U391" i="6"/>
  <c r="U393" i="6"/>
  <c r="U394" i="6"/>
  <c r="U395" i="6"/>
  <c r="U396" i="6"/>
  <c r="U397" i="6"/>
  <c r="U398" i="6"/>
  <c r="U399" i="6"/>
  <c r="U400" i="6"/>
  <c r="U401" i="6"/>
  <c r="U402" i="6"/>
  <c r="U403" i="6"/>
  <c r="U404" i="6"/>
  <c r="U405" i="6"/>
  <c r="U406" i="6"/>
  <c r="U407" i="6"/>
  <c r="U409" i="6"/>
  <c r="U408" i="6"/>
  <c r="U411" i="6"/>
  <c r="U410" i="6"/>
  <c r="U412" i="6"/>
  <c r="U413" i="6"/>
  <c r="U414" i="6"/>
  <c r="U415" i="6"/>
  <c r="U416" i="6"/>
  <c r="U417" i="6"/>
  <c r="U418" i="6"/>
  <c r="U419" i="6"/>
  <c r="U420" i="6"/>
  <c r="U421" i="6"/>
  <c r="U422" i="6"/>
  <c r="U423" i="6"/>
  <c r="F62" i="7" s="1"/>
  <c r="U424" i="6"/>
  <c r="U425" i="6"/>
  <c r="U426" i="6"/>
  <c r="U427" i="6"/>
  <c r="U429" i="6"/>
  <c r="U428" i="6"/>
  <c r="U430" i="6"/>
  <c r="U431" i="6"/>
  <c r="U432" i="6"/>
  <c r="U433" i="6"/>
  <c r="U434" i="6"/>
  <c r="U435" i="6"/>
  <c r="U437" i="6"/>
  <c r="U436" i="6"/>
  <c r="U438" i="6"/>
  <c r="U439" i="6"/>
  <c r="U440" i="6"/>
  <c r="U441" i="6"/>
  <c r="U442" i="6"/>
  <c r="U443" i="6"/>
  <c r="U444" i="6"/>
  <c r="U446" i="6"/>
  <c r="U445" i="6"/>
  <c r="U447" i="6"/>
  <c r="U450" i="6"/>
  <c r="U449" i="6"/>
  <c r="U448" i="6"/>
  <c r="U451" i="6"/>
  <c r="U452" i="6"/>
  <c r="U453" i="6"/>
  <c r="U454" i="6"/>
  <c r="U455" i="6"/>
  <c r="U456" i="6"/>
  <c r="U457" i="6"/>
  <c r="U458" i="6"/>
  <c r="U459" i="6"/>
  <c r="U460" i="6"/>
  <c r="U462" i="6"/>
  <c r="U463" i="6"/>
  <c r="U461" i="6"/>
  <c r="U464" i="6"/>
  <c r="U465" i="6"/>
  <c r="U466" i="6"/>
  <c r="U467" i="6"/>
  <c r="U468" i="6"/>
  <c r="U469" i="6"/>
  <c r="U471" i="6"/>
  <c r="U470" i="6"/>
  <c r="U473" i="6"/>
  <c r="U472" i="6"/>
  <c r="U474" i="6"/>
  <c r="U475" i="6"/>
  <c r="U476" i="6"/>
  <c r="U478" i="6"/>
  <c r="U477" i="6"/>
  <c r="U480" i="6"/>
  <c r="U479" i="6"/>
  <c r="U482" i="6"/>
  <c r="U481" i="6"/>
  <c r="U485" i="6"/>
  <c r="U483" i="6"/>
  <c r="U487" i="6"/>
  <c r="U484" i="6"/>
  <c r="U486" i="6"/>
  <c r="U488" i="6"/>
  <c r="U489" i="6"/>
  <c r="U490" i="6"/>
  <c r="U491" i="6"/>
  <c r="U492" i="6"/>
  <c r="U493" i="6"/>
  <c r="U496" i="6"/>
  <c r="U494" i="6"/>
  <c r="U495" i="6"/>
  <c r="U498" i="6"/>
  <c r="U497" i="6"/>
  <c r="U499" i="6"/>
  <c r="U501" i="6"/>
  <c r="U500" i="6"/>
  <c r="U502" i="6"/>
  <c r="U504" i="6"/>
  <c r="U503" i="6"/>
  <c r="U505" i="6"/>
  <c r="U506" i="6"/>
  <c r="U508" i="6"/>
  <c r="U507" i="6"/>
  <c r="U509" i="6"/>
  <c r="U512" i="6"/>
  <c r="U510" i="6"/>
  <c r="U511" i="6"/>
  <c r="U513" i="6"/>
  <c r="U514" i="6"/>
  <c r="U515" i="6"/>
  <c r="U516" i="6"/>
  <c r="U518" i="6"/>
  <c r="U517" i="6"/>
  <c r="U519" i="6"/>
  <c r="U522" i="6"/>
  <c r="U521" i="6"/>
  <c r="U520" i="6"/>
  <c r="U523" i="6"/>
  <c r="U524" i="6"/>
  <c r="U527" i="6"/>
  <c r="U525" i="6"/>
  <c r="U526" i="6"/>
  <c r="U528" i="6"/>
  <c r="U531" i="6"/>
  <c r="U529" i="6"/>
  <c r="U530" i="6"/>
  <c r="U534" i="6"/>
  <c r="U533" i="6"/>
  <c r="U532" i="6"/>
  <c r="U540" i="6"/>
  <c r="B13" i="7"/>
  <c r="X7" i="6"/>
  <c r="B15" i="7" l="1"/>
  <c r="X9" i="6"/>
  <c r="U2" i="6" s="1"/>
  <c r="B17" i="7" s="1"/>
  <c r="X8" i="6"/>
  <c r="B12" i="7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>"import pandas as pd; pd.read_csv('treasury_zero_rate_curve_latest.csv').head()"</code>
    </pythonScript>
    <pythonScript>
      <code>"from spia_projection import _example_usage; _example_usage()"</code>
    </pythonScript>
  </pythonScripts>
</python>
</file>

<file path=xl/sharedStrings.xml><?xml version="1.0" encoding="utf-8"?>
<sst xmlns="http://schemas.openxmlformats.org/spreadsheetml/2006/main" count="135" uniqueCount="118">
  <si>
    <t>SPIA Inputs</t>
  </si>
  <si>
    <t>Issue Age</t>
  </si>
  <si>
    <t>Notes</t>
  </si>
  <si>
    <t>Sex</t>
  </si>
  <si>
    <t>male</t>
  </si>
  <si>
    <t>All rates are decimals.</t>
  </si>
  <si>
    <t>Annual Benefit</t>
  </si>
  <si>
    <t>Valuation date interpreted as 12/31/Valuation Year.</t>
  </si>
  <si>
    <t>Payment Frequency</t>
  </si>
  <si>
    <t>Monthly expenses assumed paid while in-force.</t>
  </si>
  <si>
    <t>Valuation Year</t>
  </si>
  <si>
    <t>Horizon Age</t>
  </si>
  <si>
    <t>Spread</t>
  </si>
  <si>
    <t>Policy Expense Dollars</t>
  </si>
  <si>
    <t>Premium Expense Rate</t>
  </si>
  <si>
    <t>Monthly Expense Dollars</t>
  </si>
  <si>
    <t>Derived</t>
  </si>
  <si>
    <t>Monthly Benefit</t>
  </si>
  <si>
    <t>Projection Months</t>
  </si>
  <si>
    <t>Treasury Zero Curve</t>
  </si>
  <si>
    <t>maturity_years</t>
  </si>
  <si>
    <t>zero_rate</t>
  </si>
  <si>
    <t>RP-2014 Male Healthy Annuitant Base Qx (2014)</t>
  </si>
  <si>
    <t>age</t>
  </si>
  <si>
    <t>qx</t>
  </si>
  <si>
    <t>MP-2016 Male Improvement Rates (Long)</t>
  </si>
  <si>
    <t>year</t>
  </si>
  <si>
    <t>improvement_rate</t>
  </si>
  <si>
    <t>Monthly Interpolated Zero Curve</t>
  </si>
  <si>
    <t>Month</t>
  </si>
  <si>
    <t>t_years</t>
  </si>
  <si>
    <t>BracketIndex</t>
  </si>
  <si>
    <t>LowerMat</t>
  </si>
  <si>
    <t>UpperMat</t>
  </si>
  <si>
    <t>LowerZero</t>
  </si>
  <si>
    <t>UpperZero</t>
  </si>
  <si>
    <t>InterpWeight</t>
  </si>
  <si>
    <t>ZeroRateInterpolated</t>
  </si>
  <si>
    <t>DiscountFactor</t>
  </si>
  <si>
    <t>SPIA Monthly Projection (Formula Driven)</t>
  </si>
  <si>
    <t>ReserveAtT0</t>
  </si>
  <si>
    <t>AttainedAge</t>
  </si>
  <si>
    <t>IntAge</t>
  </si>
  <si>
    <t>CalendarYear</t>
  </si>
  <si>
    <t>MonthlyBenefit</t>
  </si>
  <si>
    <t>MonthlyExpense</t>
  </si>
  <si>
    <t>BaseQx2014</t>
  </si>
  <si>
    <t>CumMP</t>
  </si>
  <si>
    <t>QxYear</t>
  </si>
  <si>
    <t>MuYear</t>
  </si>
  <si>
    <t>SurvInterval</t>
  </si>
  <si>
    <t>SurvivalToPay</t>
  </si>
  <si>
    <t>ExpBenefitCF</t>
  </si>
  <si>
    <t>ExpExpenseCF</t>
  </si>
  <si>
    <t>ExpTotalCF</t>
  </si>
  <si>
    <t>PVBenefitCF</t>
  </si>
  <si>
    <t>PVExpenseCF</t>
  </si>
  <si>
    <t>ReserveAfterPayment</t>
  </si>
  <si>
    <t>Summary</t>
  </si>
  <si>
    <t>PV Benefits</t>
  </si>
  <si>
    <t>PV Monthly Expenses</t>
  </si>
  <si>
    <t>Annuity Factor</t>
  </si>
  <si>
    <t>PV Monthly Total</t>
  </si>
  <si>
    <t>Single Premium</t>
  </si>
  <si>
    <t>Reserve at t=0</t>
  </si>
  <si>
    <t>SPIA Policy Projection Dashboard</t>
  </si>
  <si>
    <t>Policy Inputs</t>
  </si>
  <si>
    <t>Expense Assumptions</t>
  </si>
  <si>
    <t>Policy Expense ($)</t>
  </si>
  <si>
    <t>Monthly Expense ($)</t>
  </si>
  <si>
    <t>Valuation Year (12/31)</t>
  </si>
  <si>
    <t>Pricing &amp; Reserve Summary</t>
  </si>
  <si>
    <t>Economic Reserve at t=0</t>
  </si>
  <si>
    <t>Checkpoint Metrics (Nearest Monthly Projection Point)</t>
  </si>
  <si>
    <t>Target Age</t>
  </si>
  <si>
    <t>Projection Row</t>
  </si>
  <si>
    <t>Survival</t>
  </si>
  <si>
    <t>Exp Benefit ($)</t>
  </si>
  <si>
    <t>Exp Expense ($)</t>
  </si>
  <si>
    <t>Reserve ($)</t>
  </si>
  <si>
    <t>Python Runbook / Repro Steps</t>
  </si>
  <si>
    <t>Purpose</t>
  </si>
  <si>
    <t>This tab documents how to run and regenerate the SPIA Python model artifacts.</t>
  </si>
  <si>
    <t>Working folder</t>
  </si>
  <si>
    <t>annuity_model</t>
  </si>
  <si>
    <t>Python version</t>
  </si>
  <si>
    <t>Use Python 3.11+ recommended.</t>
  </si>
  <si>
    <t>Dependencies</t>
  </si>
  <si>
    <t>numpy, pandas, openpyxl, matplotlib</t>
  </si>
  <si>
    <t>Core commands</t>
  </si>
  <si>
    <t>From the annuity_model folder run:</t>
  </si>
  <si>
    <t>1</t>
  </si>
  <si>
    <t>python spia_projection.py</t>
  </si>
  <si>
    <t>2</t>
  </si>
  <si>
    <t>python illustrate_spia_projection.py</t>
  </si>
  <si>
    <t>3</t>
  </si>
  <si>
    <t>python build_spia_excel_workbook.py</t>
  </si>
  <si>
    <t>Inputs used by Python</t>
  </si>
  <si>
    <t>treasury_zero_rate_curve_latest.csv</t>
  </si>
  <si>
    <t>rp2014_mort_tab_rates_exposure.xlsx</t>
  </si>
  <si>
    <t>mp2016_rates.xlsx</t>
  </si>
  <si>
    <t>expenses_assumptions_us_placeholders.csv</t>
  </si>
  <si>
    <t>Outputs generated by Python</t>
  </si>
  <si>
    <t>spia_projection_model.xlsx</t>
  </si>
  <si>
    <t>illustrations/*.png</t>
  </si>
  <si>
    <t>rp2014_male_healthy_annuitant_qx_2014.csv</t>
  </si>
  <si>
    <t>mp2016_male_improvement_rates.csv</t>
  </si>
  <si>
    <t>Python in Excel note</t>
  </si>
  <si>
    <t>If your Excel has Python-in-Excel, you can use =PY() cells.</t>
  </si>
  <si>
    <t>Example</t>
  </si>
  <si>
    <t>Caveat</t>
  </si>
  <si>
    <t>Python-in-Excel runs in Microsoft sandbox; local file access may be restricted.</t>
  </si>
  <si>
    <t>Recommendation</t>
  </si>
  <si>
    <t>Use terminal commands above for production reproducibility.</t>
  </si>
  <si>
    <t>spia_projection.py (excerpt)</t>
  </si>
  <si>
    <t>"""
Single Premium Immediate Annuity (SPIA) projection scaffolding.
Contract assumptions (set from the conversation):
- Single life
- Level monthly payments, benefit is provided as an annual amount (default: 100_000)
- Payment timing: end of period
- Payments stop at death (i.e., pay at time t_k iff alive at that payment date)
Pricing (single premium):
    Premium = sum_{k=1..N} (B_annual/12) * P(alive at t_k) * DF(t_k)
Interest:
- Uses continuous-compounding "zero rates" z(t).
  Discount factors: DF(t) = exp(-(z(t) + spread) * t)
- Risk-free by default: spread = 0.
US industry mortality (table selection, data must be supplied):
- RP-2014 Healthy Annuitant Male base table
- MP-2016 mortality improvement scale
Important:
- RP-2014 and MP-2016 are proprietary to SOA.
- This code does NOT embed the table rates.
- Provide annual one-year death probabilities q_x (or equivalent) in a CSV.
"""
from __future__ import annotations
from dataclasses import dataclass
from typing import Literal, Optional, Sequence, Tuple
import math
import numpy as np
import pandas as pd
Compounding = Literal["continuous"]
DEFAULT_ZERO_CURVE_CSV = "treasury_zero_rate_curve_latest.csv"
DEFAULT_PAR_CURVE_CSV = "treasury_par_yield_curve_latest.csv"
DEFAULT_MORTALITY_QX_CSV = "rp2014_male_annuitant_qx.csv"
DEFAULT_RP2014_XLSX = "rp2014_mort_tab_rates_exposure.xlsx"
DEFAULT_MP2016_XLSX = "mp2016_rates.xlsx"
DEFAULT_RP2014_MALE_HEALTHY_QX_CSV = "rp2014_male_healthy_annuitant_qx_2014.csv"
DEFAULT_MP2016_MALE_IMPROVEMENT_CSV = "mp2016_male_improvement_rates.csv"
DEFAULT_EXPENSES_CSV = "expenses_assumptions_us_placeholders.csv"
@dataclass(frozen=True)
class YieldCurve:
    """
    Continuous-compounding zero curve.
    Attributes
    ----------
    maturities_years:
        Array of curve node maturities in years (e.g., [0.5, 1.0, 1.5, ...]).
    zero_rates:
        Corresponding continuously-compounded spot/zero rates z(t).
    """
    maturities_years: np.ndarray
    zero_rates: np.ndarray
    @staticmethod
    def from_flat_rate(flat_zero_rate: float) -&gt; "YieldCurve":
        mats = np.array([0.0, 1.0], dtype=float)
        zeros = np.array([flat_zero_rate, flat_zero_rate], dtype=float)
        return YieldCurve(mats, zeros)
    @staticmethod
    def load_zero_curve_csv(
        path: str,
        *,
        maturity_col: str = "maturity_years",
        rate_col: str = "zero_rate",
    ) -&gt; "YieldCurve":
        df = pd.read_csv(path)
        mats = df[maturity_col].to_numpy(dtype=float)
        zeros = df[rate_col].to_numpy(dtype=float)
        order = np.argsort(mats)
        return YieldCurve(mats[order], zeros[order])
    @staticmethod
    def load_par_yield_csv_and_bootstrap(
        path: str,
        *,
        maturity_col: str = "maturity_years",
        par_rate_col: str = "par_yield",
        coupon_freq: int = 2,
        interpolation: Literal["linear"] = "linear",
    ) -&gt; "YieldCurve":
        """
        Bootstrap discount factors from a par-yield curve.
        Inputs note:
        - Treasury par yields are commonly quoted with semiannual coupons.
        - To bootstrap discount factors on the coupon grid, this function will
          linearly interpolate the par yields onto each coupon date.
        - This is sufficient for a scaffold; later you can replace with a
          more faithful bootstrapping approach as needed.
        """
        df = pd.read_csv(path)
        maturities = df[maturity_col].to_numpy(dtype=float)
        par_yields = df[par_rate_col].to_numpy(dtype=float)
        order = np.argsort(maturities)
        maturities = maturities[order]
        par_yields = par_yields[order]
        zero_mats, zero_rates = bootstrap_zero_rates_from_par_yields(
            par_maturities_years=maturities,
            par_yields=par_yields,
            coupon_freq=coupon_freq,
        )
        return YieldCurve(zero_mats, zero_rates)
    def discount_factors(
        self,
        times_years: np.ndarray,
        *,
        spread: float = 0.0,
        compounding: Compounding = "continuous",
    ) -&gt; np.ndarray:
        """
        Convert the stored zero curve into discount factors at arbitrary times.
        Uses log-linear interpolation on discount factors (stable).
        """
        if compounding != "continuous":
            raise ValueError("Only continuous compounding is implemented.")
        t = np.asarray(times_years, dtype=float)
        if t.ndim != 1:
            raise ValueError("times_years must be a 1D array.")
        # Ensure increasing curve times.
        mats = np.asarray(self.maturities_years, dtype=float)</t>
  </si>
  <si>
    <t>illustrate_spia_projection.py (excerpt)</t>
  </si>
  <si>
    <t>import numpy as np
import matplotlib.pyplot as plt
from spia_projection import (
    SPIAContract,
    YieldCurve,
    MortalityTableRP2014MP2016,
    ensure_mp2016_male_improvement_csv,
    ensure_rp2014_male_healthy_annuitant_qx_csv,
    price_spia_single_premium,
    ExpenseAssumptions,
)
def _safe_mkdir(path: str) -&gt; None:
    import os
    os.makedirs(path, exist_ok=True)
def main() -&gt; None:
    # Policy inputs (from conversation)
    contract = SPIAContract(issue_age=65, sex="male", benefit_annual=100_000.0)
    horizon_age = 110
    spread = 0.0
    valuation_year = 2025  # 12/31/2025 valuation date
    # Files in working folder
    zero_curve_csv = "treasury_zero_rate_curve_latest.csv"
    rp2014_xlsx = "rp2014_mort_tab_rates_exposure.xlsx"
    mp2016_xlsx = "mp2016_rates.xlsx"
    out_dir = "illustrations"
    _safe_mkdir(out_dir)
    # Load curves / mortality
    yc = YieldCurve.load_zero_curve_csv(zero_curve_csv)
    base_qx = ensure_rp2014_male_healthy_annuitant_qx_csv(
        rp2014_xlsx_path=rp2014_xlsx,
        out_csv_path="rp2014_male_healthy_annuitant_qx_2014.csv",
    )
    mp_ages, mp_years, mp_i = ensure_mp2016_male_improvement_csv(
        mp2016_xlsx_path=mp2016_xlsx,
        out_csv_path="mp2016_male_improvement_rates.csv",
    )
    mortality = MortalityTableRP2014MP2016(
        base_qx_2014=base_qx,
        mp2016_ages=mp_ages,
        mp2016_years=mp_years,
        mp2016_i_matrix=mp_i,
        base_year=2014,
    )
    # Compute projection
    res = price_spia_single_premium(
        contract=contract,
        yield_curve=yc,
        mortality=mortality,
        horizon_age=horizon_age,
        spread=spread,
        valuation_year=valuation_year,
    )
    dt = 1.0 / 12.0
    b_month = contract.benefit_annual / 12.0
    expected_payment_pv = b_month * res.survival_to_payment * res.discount_factors
    expected_benefit_cashflows = res.expected_benefit_cashflows
    expected_expense_cashflows = res.expected_expense_cashflows
    expected_total_cashflows = res.expected_total_cashflows
    # Economic reserves are stored at t=0 plus each monthly payment date.
    ages_at_reserve = contract.issue_age + res.reserve_times_years
    # Plot 1: survival
    plt.figure(figsize=(9, 5))
    plt.plot(res.ages_at_payment, res.survival_to_payment, linewidth=2)
    plt.title("SPIA: Survival Probability to Each Monthly Payment Date")
    plt.xlabel("Attained Age at Payment")
    plt.ylabel("P(alive at payment)")
    plt.grid(True, alpha=0.3)
    plt.tight_layout()
    plt.savefig(f"{out_dir}/spia_survival_vs_age.png", dpi=160)
    plt.close()
    # Plot 2: expected PV contribution per payment date
    plt.figure(figsize=(9, 5))
    plt.plot(res.ages_at_payment, expected_payment_pv, linewidth=2)
    plt.title("SPIA: Expected PV Contribution per Monthly Payment")
    plt.xlabel("Attained Age at Payment")
    plt.ylabel("Expected Present Value of Payment ($)")
    plt.grid(True, alpha=0.3)
    plt.tight_layout()
    plt.savefig(f"{out_dir}/spia_expected_pv_contribution_vs_age.png", dpi=160)
    plt.close()
    # Plot 3: cumulative PV
    cumulative_pv = np.cumsum(expected_payment_pv)
    plt.figure(figsize=(9, 5))
    plt.plot(res.ages_at_payment, cumulative_pv, linewidth=2)
    plt.title("SPIA: Cumulative PV of Expected Payments")
    plt.xlabel("Attained Age at Payment")
    plt.ylabel("Cumulative Present Value ($)")
    plt.grid(True, alpha=0.3)
    plt.tight_layout()
    plt.savefig(f"{out_dir}/spia_cumulative_pv_vs_age.png", dpi=160)
    plt.close()
    # Plot 4: projected monthly benefit cashflows (expected nominal)
    plt.figure(figsize=(9, 5))
    plt.plot(res.ages_at_payment, expected_benefit_cashflows, linewidth=2, color="tab:blue")
    plt.title("SPIA: Expected Monthly Benefit Payments (Nominal)")
    plt.xlabel("Attained Age at Payment")
    plt.ylabel("Expected Benefit Payment ($)")
    plt.grid(True, alpha=0.3)
    plt.tight_layout()
    plt.savefig(f"{out_dir}/spia_expected_benefit_cashflows_vs_age.png", dpi=160)
    plt.close()
    # Plot 5: projected monthly expense cashflows (expected nominal)
    plt.figure(figsize=(9, 5))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</si>
</sst>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4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  <font>
      <b/>
      <sz val="11"/>
      <name val="Calibri"/>
      <family val="2"/>
    </font>
    <font>
      <b/>
      <sz val="14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4" fontId="0" fillId="0" borderId="0" xfId="0" applyNumberFormat="1"/>
    <xf numFmtId="1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06/relationships/rdRichValue" Target="richData/rdrichvalue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17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6" Type="http://schemas.microsoft.com/office/2017/06/relationships/rdSupportingPropertyBag" Target="richData/rdsupportingpropertybag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microsoft.com/office/2017/06/relationships/rdSupportingPropertyBagStructure" Target="richData/rdsupportingpropertybagstructure.xml"/><Relationship Id="rId10" Type="http://schemas.openxmlformats.org/officeDocument/2006/relationships/styles" Target="styles.xml"/><Relationship Id="rId19" Type="http://schemas.microsoft.com/office/2023/09/relationships/Python" Target="python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microsoft.com/office/2017/06/relationships/rdRichValueStructure" Target="richData/rdrichvaluestructure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Survival to Monthly Payment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spPr>
            <a:ln>
              <a:prstDash val="solid"/>
            </a:ln>
          </c:spPr>
          <c:marker>
            <c:symbol val="none"/>
          </c:marker>
          <c:cat>
            <c:numRef>
              <c:f>Projection!$C$4:$C$543</c:f>
              <c:numCache>
                <c:formatCode>General</c:formatCode>
                <c:ptCount val="540"/>
                <c:pt idx="0">
                  <c:v>65.083333333333329</c:v>
                </c:pt>
                <c:pt idx="1">
                  <c:v>65.166666666666671</c:v>
                </c:pt>
                <c:pt idx="2">
                  <c:v>65.25</c:v>
                </c:pt>
                <c:pt idx="3">
                  <c:v>65.333333333333329</c:v>
                </c:pt>
                <c:pt idx="4">
                  <c:v>65.416666666666671</c:v>
                </c:pt>
                <c:pt idx="5">
                  <c:v>65.5</c:v>
                </c:pt>
                <c:pt idx="6">
                  <c:v>65.583333333333329</c:v>
                </c:pt>
                <c:pt idx="7">
                  <c:v>65.666666666666671</c:v>
                </c:pt>
                <c:pt idx="8">
                  <c:v>65.75</c:v>
                </c:pt>
                <c:pt idx="9">
                  <c:v>65.833333333333329</c:v>
                </c:pt>
                <c:pt idx="10">
                  <c:v>65.916666666666671</c:v>
                </c:pt>
                <c:pt idx="11">
                  <c:v>66</c:v>
                </c:pt>
                <c:pt idx="12">
                  <c:v>66.083333333333329</c:v>
                </c:pt>
                <c:pt idx="13">
                  <c:v>66.166666666666671</c:v>
                </c:pt>
                <c:pt idx="14">
                  <c:v>66.25</c:v>
                </c:pt>
                <c:pt idx="15">
                  <c:v>66.333333333333329</c:v>
                </c:pt>
                <c:pt idx="16">
                  <c:v>66.416666666666671</c:v>
                </c:pt>
                <c:pt idx="17">
                  <c:v>66.5</c:v>
                </c:pt>
                <c:pt idx="18">
                  <c:v>66.583333333333329</c:v>
                </c:pt>
                <c:pt idx="19">
                  <c:v>66.666666666666671</c:v>
                </c:pt>
                <c:pt idx="20">
                  <c:v>66.75</c:v>
                </c:pt>
                <c:pt idx="21">
                  <c:v>66.833333333333329</c:v>
                </c:pt>
                <c:pt idx="22">
                  <c:v>66.916666666666671</c:v>
                </c:pt>
                <c:pt idx="23">
                  <c:v>67</c:v>
                </c:pt>
                <c:pt idx="24">
                  <c:v>67.083333333333329</c:v>
                </c:pt>
                <c:pt idx="25">
                  <c:v>67.166666666666671</c:v>
                </c:pt>
                <c:pt idx="26">
                  <c:v>67.25</c:v>
                </c:pt>
                <c:pt idx="27">
                  <c:v>67.333333333333329</c:v>
                </c:pt>
                <c:pt idx="28">
                  <c:v>67.416666666666671</c:v>
                </c:pt>
                <c:pt idx="29">
                  <c:v>67.5</c:v>
                </c:pt>
                <c:pt idx="30">
                  <c:v>67.583333333333329</c:v>
                </c:pt>
                <c:pt idx="31">
                  <c:v>67.666666666666671</c:v>
                </c:pt>
                <c:pt idx="32">
                  <c:v>67.75</c:v>
                </c:pt>
                <c:pt idx="33">
                  <c:v>67.833333333333329</c:v>
                </c:pt>
                <c:pt idx="34">
                  <c:v>67.916666666666671</c:v>
                </c:pt>
                <c:pt idx="35">
                  <c:v>68</c:v>
                </c:pt>
                <c:pt idx="36">
                  <c:v>68.083333333333329</c:v>
                </c:pt>
                <c:pt idx="37">
                  <c:v>68.166666666666671</c:v>
                </c:pt>
                <c:pt idx="38">
                  <c:v>68.25</c:v>
                </c:pt>
                <c:pt idx="39">
                  <c:v>68.333333333333329</c:v>
                </c:pt>
                <c:pt idx="40">
                  <c:v>68.416666666666671</c:v>
                </c:pt>
                <c:pt idx="41">
                  <c:v>68.5</c:v>
                </c:pt>
                <c:pt idx="42">
                  <c:v>68.583333333333329</c:v>
                </c:pt>
                <c:pt idx="43">
                  <c:v>68.666666666666671</c:v>
                </c:pt>
                <c:pt idx="44">
                  <c:v>68.75</c:v>
                </c:pt>
                <c:pt idx="45">
                  <c:v>68.833333333333329</c:v>
                </c:pt>
                <c:pt idx="46">
                  <c:v>68.916666666666671</c:v>
                </c:pt>
                <c:pt idx="47">
                  <c:v>69</c:v>
                </c:pt>
                <c:pt idx="48">
                  <c:v>69.083333333333329</c:v>
                </c:pt>
                <c:pt idx="49">
                  <c:v>69.166666666666671</c:v>
                </c:pt>
                <c:pt idx="50">
                  <c:v>69.25</c:v>
                </c:pt>
                <c:pt idx="51">
                  <c:v>69.333333333333329</c:v>
                </c:pt>
                <c:pt idx="52">
                  <c:v>69.416666666666671</c:v>
                </c:pt>
                <c:pt idx="53">
                  <c:v>69.5</c:v>
                </c:pt>
                <c:pt idx="54">
                  <c:v>69.583333333333329</c:v>
                </c:pt>
                <c:pt idx="55">
                  <c:v>69.666666666666671</c:v>
                </c:pt>
                <c:pt idx="56">
                  <c:v>69.75</c:v>
                </c:pt>
                <c:pt idx="57">
                  <c:v>69.833333333333329</c:v>
                </c:pt>
                <c:pt idx="58">
                  <c:v>69.916666666666671</c:v>
                </c:pt>
                <c:pt idx="59">
                  <c:v>70</c:v>
                </c:pt>
                <c:pt idx="60">
                  <c:v>70.083333333333329</c:v>
                </c:pt>
                <c:pt idx="61">
                  <c:v>70.166666666666671</c:v>
                </c:pt>
                <c:pt idx="62">
                  <c:v>70.25</c:v>
                </c:pt>
                <c:pt idx="63">
                  <c:v>70.333333333333329</c:v>
                </c:pt>
                <c:pt idx="64">
                  <c:v>70.416666666666671</c:v>
                </c:pt>
                <c:pt idx="65">
                  <c:v>70.5</c:v>
                </c:pt>
                <c:pt idx="66">
                  <c:v>70.583333333333329</c:v>
                </c:pt>
                <c:pt idx="67">
                  <c:v>70.666666666666671</c:v>
                </c:pt>
                <c:pt idx="68">
                  <c:v>70.75</c:v>
                </c:pt>
                <c:pt idx="69">
                  <c:v>70.833333333333329</c:v>
                </c:pt>
                <c:pt idx="70">
                  <c:v>70.916666666666671</c:v>
                </c:pt>
                <c:pt idx="71">
                  <c:v>71</c:v>
                </c:pt>
                <c:pt idx="72">
                  <c:v>71.083333333333329</c:v>
                </c:pt>
                <c:pt idx="73">
                  <c:v>71.166666666666671</c:v>
                </c:pt>
                <c:pt idx="74">
                  <c:v>71.25</c:v>
                </c:pt>
                <c:pt idx="75">
                  <c:v>71.333333333333329</c:v>
                </c:pt>
                <c:pt idx="76">
                  <c:v>71.416666666666671</c:v>
                </c:pt>
                <c:pt idx="77">
                  <c:v>71.5</c:v>
                </c:pt>
                <c:pt idx="78">
                  <c:v>71.583333333333329</c:v>
                </c:pt>
                <c:pt idx="79">
                  <c:v>71.666666666666671</c:v>
                </c:pt>
                <c:pt idx="80">
                  <c:v>71.75</c:v>
                </c:pt>
                <c:pt idx="81">
                  <c:v>71.833333333333329</c:v>
                </c:pt>
                <c:pt idx="82">
                  <c:v>71.916666666666671</c:v>
                </c:pt>
                <c:pt idx="83">
                  <c:v>72</c:v>
                </c:pt>
                <c:pt idx="84">
                  <c:v>72.083333333333329</c:v>
                </c:pt>
                <c:pt idx="85">
                  <c:v>72.166666666666671</c:v>
                </c:pt>
                <c:pt idx="86">
                  <c:v>72.25</c:v>
                </c:pt>
                <c:pt idx="87">
                  <c:v>72.333333333333329</c:v>
                </c:pt>
                <c:pt idx="88">
                  <c:v>72.416666666666671</c:v>
                </c:pt>
                <c:pt idx="89">
                  <c:v>72.5</c:v>
                </c:pt>
                <c:pt idx="90">
                  <c:v>72.583333333333329</c:v>
                </c:pt>
                <c:pt idx="91">
                  <c:v>72.666666666666671</c:v>
                </c:pt>
                <c:pt idx="92">
                  <c:v>72.75</c:v>
                </c:pt>
                <c:pt idx="93">
                  <c:v>72.833333333333329</c:v>
                </c:pt>
                <c:pt idx="94">
                  <c:v>72.916666666666671</c:v>
                </c:pt>
                <c:pt idx="95">
                  <c:v>73</c:v>
                </c:pt>
                <c:pt idx="96">
                  <c:v>73.083333333333329</c:v>
                </c:pt>
                <c:pt idx="97">
                  <c:v>73.166666666666671</c:v>
                </c:pt>
                <c:pt idx="98">
                  <c:v>73.25</c:v>
                </c:pt>
                <c:pt idx="99">
                  <c:v>73.333333333333329</c:v>
                </c:pt>
                <c:pt idx="100">
                  <c:v>73.416666666666671</c:v>
                </c:pt>
                <c:pt idx="101">
                  <c:v>73.5</c:v>
                </c:pt>
                <c:pt idx="102">
                  <c:v>73.583333333333329</c:v>
                </c:pt>
                <c:pt idx="103">
                  <c:v>73.666666666666671</c:v>
                </c:pt>
                <c:pt idx="104">
                  <c:v>73.75</c:v>
                </c:pt>
                <c:pt idx="105">
                  <c:v>73.833333333333329</c:v>
                </c:pt>
                <c:pt idx="106">
                  <c:v>73.916666666666671</c:v>
                </c:pt>
                <c:pt idx="107">
                  <c:v>74</c:v>
                </c:pt>
                <c:pt idx="108">
                  <c:v>74.083333333333329</c:v>
                </c:pt>
                <c:pt idx="109">
                  <c:v>74.166666666666671</c:v>
                </c:pt>
                <c:pt idx="110">
                  <c:v>74.25</c:v>
                </c:pt>
                <c:pt idx="111">
                  <c:v>74.333333333333329</c:v>
                </c:pt>
                <c:pt idx="112">
                  <c:v>74.416666666666671</c:v>
                </c:pt>
                <c:pt idx="113">
                  <c:v>74.5</c:v>
                </c:pt>
                <c:pt idx="114">
                  <c:v>74.583333333333329</c:v>
                </c:pt>
                <c:pt idx="115">
                  <c:v>74.666666666666671</c:v>
                </c:pt>
                <c:pt idx="116">
                  <c:v>74.75</c:v>
                </c:pt>
                <c:pt idx="117">
                  <c:v>74.833333333333329</c:v>
                </c:pt>
                <c:pt idx="118">
                  <c:v>74.916666666666671</c:v>
                </c:pt>
                <c:pt idx="119">
                  <c:v>75</c:v>
                </c:pt>
                <c:pt idx="120">
                  <c:v>75.083333333333329</c:v>
                </c:pt>
                <c:pt idx="121">
                  <c:v>75.166666666666671</c:v>
                </c:pt>
                <c:pt idx="122">
                  <c:v>75.25</c:v>
                </c:pt>
                <c:pt idx="123">
                  <c:v>75.333333333333329</c:v>
                </c:pt>
                <c:pt idx="124">
                  <c:v>75.416666666666671</c:v>
                </c:pt>
                <c:pt idx="125">
                  <c:v>75.5</c:v>
                </c:pt>
                <c:pt idx="126">
                  <c:v>75.583333333333329</c:v>
                </c:pt>
                <c:pt idx="127">
                  <c:v>75.666666666666671</c:v>
                </c:pt>
                <c:pt idx="128">
                  <c:v>75.75</c:v>
                </c:pt>
                <c:pt idx="129">
                  <c:v>75.833333333333329</c:v>
                </c:pt>
                <c:pt idx="130">
                  <c:v>75.916666666666671</c:v>
                </c:pt>
                <c:pt idx="131">
                  <c:v>76</c:v>
                </c:pt>
                <c:pt idx="132">
                  <c:v>76.083333333333329</c:v>
                </c:pt>
                <c:pt idx="133">
                  <c:v>76.166666666666671</c:v>
                </c:pt>
                <c:pt idx="134">
                  <c:v>76.25</c:v>
                </c:pt>
                <c:pt idx="135">
                  <c:v>76.333333333333329</c:v>
                </c:pt>
                <c:pt idx="136">
                  <c:v>76.416666666666671</c:v>
                </c:pt>
                <c:pt idx="137">
                  <c:v>76.5</c:v>
                </c:pt>
                <c:pt idx="138">
                  <c:v>76.583333333333329</c:v>
                </c:pt>
                <c:pt idx="139">
                  <c:v>76.666666666666671</c:v>
                </c:pt>
                <c:pt idx="140">
                  <c:v>76.75</c:v>
                </c:pt>
                <c:pt idx="141">
                  <c:v>76.833333333333329</c:v>
                </c:pt>
                <c:pt idx="142">
                  <c:v>76.916666666666671</c:v>
                </c:pt>
                <c:pt idx="143">
                  <c:v>77</c:v>
                </c:pt>
                <c:pt idx="144">
                  <c:v>77.083333333333329</c:v>
                </c:pt>
                <c:pt idx="145">
                  <c:v>77.166666666666671</c:v>
                </c:pt>
                <c:pt idx="146">
                  <c:v>77.25</c:v>
                </c:pt>
                <c:pt idx="147">
                  <c:v>77.333333333333329</c:v>
                </c:pt>
                <c:pt idx="148">
                  <c:v>77.416666666666671</c:v>
                </c:pt>
                <c:pt idx="149">
                  <c:v>77.5</c:v>
                </c:pt>
                <c:pt idx="150">
                  <c:v>77.583333333333329</c:v>
                </c:pt>
                <c:pt idx="151">
                  <c:v>77.666666666666671</c:v>
                </c:pt>
                <c:pt idx="152">
                  <c:v>77.75</c:v>
                </c:pt>
                <c:pt idx="153">
                  <c:v>77.833333333333329</c:v>
                </c:pt>
                <c:pt idx="154">
                  <c:v>77.916666666666671</c:v>
                </c:pt>
                <c:pt idx="155">
                  <c:v>78</c:v>
                </c:pt>
                <c:pt idx="156">
                  <c:v>78.083333333333329</c:v>
                </c:pt>
                <c:pt idx="157">
                  <c:v>78.166666666666671</c:v>
                </c:pt>
                <c:pt idx="158">
                  <c:v>78.25</c:v>
                </c:pt>
                <c:pt idx="159">
                  <c:v>78.333333333333329</c:v>
                </c:pt>
                <c:pt idx="160">
                  <c:v>78.416666666666671</c:v>
                </c:pt>
                <c:pt idx="161">
                  <c:v>78.5</c:v>
                </c:pt>
                <c:pt idx="162">
                  <c:v>78.583333333333329</c:v>
                </c:pt>
                <c:pt idx="163">
                  <c:v>78.666666666666671</c:v>
                </c:pt>
                <c:pt idx="164">
                  <c:v>78.75</c:v>
                </c:pt>
                <c:pt idx="165">
                  <c:v>78.833333333333329</c:v>
                </c:pt>
                <c:pt idx="166">
                  <c:v>78.916666666666671</c:v>
                </c:pt>
                <c:pt idx="167">
                  <c:v>79</c:v>
                </c:pt>
                <c:pt idx="168">
                  <c:v>79.083333333333329</c:v>
                </c:pt>
                <c:pt idx="169">
                  <c:v>79.166666666666671</c:v>
                </c:pt>
                <c:pt idx="170">
                  <c:v>79.25</c:v>
                </c:pt>
                <c:pt idx="171">
                  <c:v>79.333333333333329</c:v>
                </c:pt>
                <c:pt idx="172">
                  <c:v>79.416666666666671</c:v>
                </c:pt>
                <c:pt idx="173">
                  <c:v>79.5</c:v>
                </c:pt>
                <c:pt idx="174">
                  <c:v>79.583333333333329</c:v>
                </c:pt>
                <c:pt idx="175">
                  <c:v>79.666666666666671</c:v>
                </c:pt>
                <c:pt idx="176">
                  <c:v>79.75</c:v>
                </c:pt>
                <c:pt idx="177">
                  <c:v>79.833333333333329</c:v>
                </c:pt>
                <c:pt idx="178">
                  <c:v>79.916666666666671</c:v>
                </c:pt>
                <c:pt idx="179">
                  <c:v>80</c:v>
                </c:pt>
                <c:pt idx="180">
                  <c:v>80.083333333333329</c:v>
                </c:pt>
                <c:pt idx="181">
                  <c:v>80.166666666666671</c:v>
                </c:pt>
                <c:pt idx="182">
                  <c:v>80.25</c:v>
                </c:pt>
                <c:pt idx="183">
                  <c:v>80.333333333333329</c:v>
                </c:pt>
                <c:pt idx="184">
                  <c:v>80.416666666666671</c:v>
                </c:pt>
                <c:pt idx="185">
                  <c:v>80.5</c:v>
                </c:pt>
                <c:pt idx="186">
                  <c:v>80.583333333333329</c:v>
                </c:pt>
                <c:pt idx="187">
                  <c:v>80.666666666666671</c:v>
                </c:pt>
                <c:pt idx="188">
                  <c:v>80.75</c:v>
                </c:pt>
                <c:pt idx="189">
                  <c:v>80.833333333333329</c:v>
                </c:pt>
                <c:pt idx="190">
                  <c:v>80.916666666666671</c:v>
                </c:pt>
                <c:pt idx="191">
                  <c:v>81</c:v>
                </c:pt>
                <c:pt idx="192">
                  <c:v>81.083333333333329</c:v>
                </c:pt>
                <c:pt idx="193">
                  <c:v>81.166666666666671</c:v>
                </c:pt>
                <c:pt idx="194">
                  <c:v>81.25</c:v>
                </c:pt>
                <c:pt idx="195">
                  <c:v>81.333333333333329</c:v>
                </c:pt>
                <c:pt idx="196">
                  <c:v>81.416666666666671</c:v>
                </c:pt>
                <c:pt idx="197">
                  <c:v>81.5</c:v>
                </c:pt>
                <c:pt idx="198">
                  <c:v>81.583333333333329</c:v>
                </c:pt>
                <c:pt idx="199">
                  <c:v>81.666666666666671</c:v>
                </c:pt>
                <c:pt idx="200">
                  <c:v>81.75</c:v>
                </c:pt>
                <c:pt idx="201">
                  <c:v>81.833333333333329</c:v>
                </c:pt>
                <c:pt idx="202">
                  <c:v>81.916666666666671</c:v>
                </c:pt>
                <c:pt idx="203">
                  <c:v>82</c:v>
                </c:pt>
                <c:pt idx="204">
                  <c:v>82.083333333333329</c:v>
                </c:pt>
                <c:pt idx="205">
                  <c:v>82.166666666666671</c:v>
                </c:pt>
                <c:pt idx="206">
                  <c:v>82.25</c:v>
                </c:pt>
                <c:pt idx="207">
                  <c:v>82.333333333333329</c:v>
                </c:pt>
                <c:pt idx="208">
                  <c:v>82.416666666666671</c:v>
                </c:pt>
                <c:pt idx="209">
                  <c:v>82.5</c:v>
                </c:pt>
                <c:pt idx="210">
                  <c:v>82.583333333333329</c:v>
                </c:pt>
                <c:pt idx="211">
                  <c:v>82.666666666666671</c:v>
                </c:pt>
                <c:pt idx="212">
                  <c:v>82.75</c:v>
                </c:pt>
                <c:pt idx="213">
                  <c:v>82.833333333333329</c:v>
                </c:pt>
                <c:pt idx="214">
                  <c:v>82.916666666666671</c:v>
                </c:pt>
                <c:pt idx="215">
                  <c:v>83</c:v>
                </c:pt>
                <c:pt idx="216">
                  <c:v>83.083333333333329</c:v>
                </c:pt>
                <c:pt idx="217">
                  <c:v>83.166666666666671</c:v>
                </c:pt>
                <c:pt idx="218">
                  <c:v>83.25</c:v>
                </c:pt>
                <c:pt idx="219">
                  <c:v>83.333333333333329</c:v>
                </c:pt>
                <c:pt idx="220">
                  <c:v>83.416666666666671</c:v>
                </c:pt>
                <c:pt idx="221">
                  <c:v>83.5</c:v>
                </c:pt>
                <c:pt idx="222">
                  <c:v>83.583333333333329</c:v>
                </c:pt>
                <c:pt idx="223">
                  <c:v>83.666666666666671</c:v>
                </c:pt>
                <c:pt idx="224">
                  <c:v>83.75</c:v>
                </c:pt>
                <c:pt idx="225">
                  <c:v>83.833333333333329</c:v>
                </c:pt>
                <c:pt idx="226">
                  <c:v>83.916666666666671</c:v>
                </c:pt>
                <c:pt idx="227">
                  <c:v>84</c:v>
                </c:pt>
                <c:pt idx="228">
                  <c:v>84.083333333333329</c:v>
                </c:pt>
                <c:pt idx="229">
                  <c:v>84.166666666666671</c:v>
                </c:pt>
                <c:pt idx="230">
                  <c:v>84.25</c:v>
                </c:pt>
                <c:pt idx="231">
                  <c:v>84.333333333333329</c:v>
                </c:pt>
                <c:pt idx="232">
                  <c:v>84.416666666666671</c:v>
                </c:pt>
                <c:pt idx="233">
                  <c:v>84.5</c:v>
                </c:pt>
                <c:pt idx="234">
                  <c:v>84.583333333333329</c:v>
                </c:pt>
                <c:pt idx="235">
                  <c:v>84.666666666666671</c:v>
                </c:pt>
                <c:pt idx="236">
                  <c:v>84.75</c:v>
                </c:pt>
                <c:pt idx="237">
                  <c:v>84.833333333333329</c:v>
                </c:pt>
                <c:pt idx="238">
                  <c:v>84.916666666666671</c:v>
                </c:pt>
                <c:pt idx="239">
                  <c:v>85</c:v>
                </c:pt>
                <c:pt idx="240">
                  <c:v>85.083333333333329</c:v>
                </c:pt>
                <c:pt idx="241">
                  <c:v>85.166666666666671</c:v>
                </c:pt>
                <c:pt idx="242">
                  <c:v>85.25</c:v>
                </c:pt>
                <c:pt idx="243">
                  <c:v>85.333333333333329</c:v>
                </c:pt>
                <c:pt idx="244">
                  <c:v>85.416666666666671</c:v>
                </c:pt>
                <c:pt idx="245">
                  <c:v>85.5</c:v>
                </c:pt>
                <c:pt idx="246">
                  <c:v>85.583333333333329</c:v>
                </c:pt>
                <c:pt idx="247">
                  <c:v>85.666666666666671</c:v>
                </c:pt>
                <c:pt idx="248">
                  <c:v>85.75</c:v>
                </c:pt>
                <c:pt idx="249">
                  <c:v>85.833333333333329</c:v>
                </c:pt>
                <c:pt idx="250">
                  <c:v>85.916666666666671</c:v>
                </c:pt>
                <c:pt idx="251">
                  <c:v>86</c:v>
                </c:pt>
                <c:pt idx="252">
                  <c:v>86.083333333333329</c:v>
                </c:pt>
                <c:pt idx="253">
                  <c:v>86.166666666666671</c:v>
                </c:pt>
                <c:pt idx="254">
                  <c:v>86.25</c:v>
                </c:pt>
                <c:pt idx="255">
                  <c:v>86.333333333333329</c:v>
                </c:pt>
                <c:pt idx="256">
                  <c:v>86.416666666666671</c:v>
                </c:pt>
                <c:pt idx="257">
                  <c:v>86.5</c:v>
                </c:pt>
                <c:pt idx="258">
                  <c:v>86.583333333333329</c:v>
                </c:pt>
                <c:pt idx="259">
                  <c:v>86.666666666666671</c:v>
                </c:pt>
                <c:pt idx="260">
                  <c:v>86.75</c:v>
                </c:pt>
                <c:pt idx="261">
                  <c:v>86.833333333333329</c:v>
                </c:pt>
                <c:pt idx="262">
                  <c:v>86.916666666666671</c:v>
                </c:pt>
                <c:pt idx="263">
                  <c:v>87</c:v>
                </c:pt>
                <c:pt idx="264">
                  <c:v>87.083333333333329</c:v>
                </c:pt>
                <c:pt idx="265">
                  <c:v>87.166666666666671</c:v>
                </c:pt>
                <c:pt idx="266">
                  <c:v>87.25</c:v>
                </c:pt>
                <c:pt idx="267">
                  <c:v>87.333333333333329</c:v>
                </c:pt>
                <c:pt idx="268">
                  <c:v>87.416666666666671</c:v>
                </c:pt>
                <c:pt idx="269">
                  <c:v>87.5</c:v>
                </c:pt>
                <c:pt idx="270">
                  <c:v>87.583333333333329</c:v>
                </c:pt>
                <c:pt idx="271">
                  <c:v>87.666666666666671</c:v>
                </c:pt>
                <c:pt idx="272">
                  <c:v>87.75</c:v>
                </c:pt>
                <c:pt idx="273">
                  <c:v>87.833333333333329</c:v>
                </c:pt>
                <c:pt idx="274">
                  <c:v>87.916666666666671</c:v>
                </c:pt>
                <c:pt idx="275">
                  <c:v>88</c:v>
                </c:pt>
                <c:pt idx="276">
                  <c:v>88.083333333333329</c:v>
                </c:pt>
                <c:pt idx="277">
                  <c:v>88.166666666666671</c:v>
                </c:pt>
                <c:pt idx="278">
                  <c:v>88.25</c:v>
                </c:pt>
                <c:pt idx="279">
                  <c:v>88.333333333333329</c:v>
                </c:pt>
                <c:pt idx="280">
                  <c:v>88.416666666666671</c:v>
                </c:pt>
                <c:pt idx="281">
                  <c:v>88.5</c:v>
                </c:pt>
                <c:pt idx="282">
                  <c:v>88.583333333333329</c:v>
                </c:pt>
                <c:pt idx="283">
                  <c:v>88.666666666666671</c:v>
                </c:pt>
                <c:pt idx="284">
                  <c:v>88.75</c:v>
                </c:pt>
                <c:pt idx="285">
                  <c:v>88.833333333333329</c:v>
                </c:pt>
                <c:pt idx="286">
                  <c:v>88.916666666666671</c:v>
                </c:pt>
                <c:pt idx="287">
                  <c:v>89</c:v>
                </c:pt>
                <c:pt idx="288">
                  <c:v>89.083333333333329</c:v>
                </c:pt>
                <c:pt idx="289">
                  <c:v>89.166666666666671</c:v>
                </c:pt>
                <c:pt idx="290">
                  <c:v>89.25</c:v>
                </c:pt>
                <c:pt idx="291">
                  <c:v>89.333333333333329</c:v>
                </c:pt>
                <c:pt idx="292">
                  <c:v>89.416666666666671</c:v>
                </c:pt>
                <c:pt idx="293">
                  <c:v>89.5</c:v>
                </c:pt>
                <c:pt idx="294">
                  <c:v>89.583333333333329</c:v>
                </c:pt>
                <c:pt idx="295">
                  <c:v>89.666666666666671</c:v>
                </c:pt>
                <c:pt idx="296">
                  <c:v>89.75</c:v>
                </c:pt>
                <c:pt idx="297">
                  <c:v>89.833333333333329</c:v>
                </c:pt>
                <c:pt idx="298">
                  <c:v>89.916666666666671</c:v>
                </c:pt>
                <c:pt idx="299">
                  <c:v>90</c:v>
                </c:pt>
                <c:pt idx="300">
                  <c:v>90.083333333333329</c:v>
                </c:pt>
                <c:pt idx="301">
                  <c:v>90.166666666666671</c:v>
                </c:pt>
                <c:pt idx="302">
                  <c:v>90.25</c:v>
                </c:pt>
                <c:pt idx="303">
                  <c:v>90.333333333333329</c:v>
                </c:pt>
                <c:pt idx="304">
                  <c:v>90.416666666666671</c:v>
                </c:pt>
                <c:pt idx="305">
                  <c:v>90.5</c:v>
                </c:pt>
                <c:pt idx="306">
                  <c:v>90.583333333333329</c:v>
                </c:pt>
                <c:pt idx="307">
                  <c:v>90.666666666666671</c:v>
                </c:pt>
                <c:pt idx="308">
                  <c:v>90.75</c:v>
                </c:pt>
                <c:pt idx="309">
                  <c:v>90.833333333333329</c:v>
                </c:pt>
                <c:pt idx="310">
                  <c:v>90.916666666666671</c:v>
                </c:pt>
                <c:pt idx="311">
                  <c:v>91</c:v>
                </c:pt>
                <c:pt idx="312">
                  <c:v>91.083333333333329</c:v>
                </c:pt>
                <c:pt idx="313">
                  <c:v>91.166666666666671</c:v>
                </c:pt>
                <c:pt idx="314">
                  <c:v>91.25</c:v>
                </c:pt>
                <c:pt idx="315">
                  <c:v>91.333333333333329</c:v>
                </c:pt>
                <c:pt idx="316">
                  <c:v>91.416666666666671</c:v>
                </c:pt>
                <c:pt idx="317">
                  <c:v>91.5</c:v>
                </c:pt>
                <c:pt idx="318">
                  <c:v>91.583333333333329</c:v>
                </c:pt>
                <c:pt idx="319">
                  <c:v>91.666666666666671</c:v>
                </c:pt>
                <c:pt idx="320">
                  <c:v>91.75</c:v>
                </c:pt>
                <c:pt idx="321">
                  <c:v>91.833333333333329</c:v>
                </c:pt>
                <c:pt idx="322">
                  <c:v>91.916666666666671</c:v>
                </c:pt>
                <c:pt idx="323">
                  <c:v>92</c:v>
                </c:pt>
                <c:pt idx="324">
                  <c:v>92.083333333333329</c:v>
                </c:pt>
                <c:pt idx="325">
                  <c:v>92.166666666666671</c:v>
                </c:pt>
                <c:pt idx="326">
                  <c:v>92.25</c:v>
                </c:pt>
                <c:pt idx="327">
                  <c:v>92.333333333333329</c:v>
                </c:pt>
                <c:pt idx="328">
                  <c:v>92.416666666666671</c:v>
                </c:pt>
                <c:pt idx="329">
                  <c:v>92.5</c:v>
                </c:pt>
                <c:pt idx="330">
                  <c:v>92.583333333333329</c:v>
                </c:pt>
                <c:pt idx="331">
                  <c:v>92.666666666666671</c:v>
                </c:pt>
                <c:pt idx="332">
                  <c:v>92.75</c:v>
                </c:pt>
                <c:pt idx="333">
                  <c:v>92.833333333333329</c:v>
                </c:pt>
                <c:pt idx="334">
                  <c:v>92.916666666666671</c:v>
                </c:pt>
                <c:pt idx="335">
                  <c:v>93</c:v>
                </c:pt>
                <c:pt idx="336">
                  <c:v>93.083333333333329</c:v>
                </c:pt>
                <c:pt idx="337">
                  <c:v>93.166666666666671</c:v>
                </c:pt>
                <c:pt idx="338">
                  <c:v>93.25</c:v>
                </c:pt>
                <c:pt idx="339">
                  <c:v>93.333333333333329</c:v>
                </c:pt>
                <c:pt idx="340">
                  <c:v>93.416666666666671</c:v>
                </c:pt>
                <c:pt idx="341">
                  <c:v>93.5</c:v>
                </c:pt>
                <c:pt idx="342">
                  <c:v>93.583333333333329</c:v>
                </c:pt>
                <c:pt idx="343">
                  <c:v>93.666666666666671</c:v>
                </c:pt>
                <c:pt idx="344">
                  <c:v>93.75</c:v>
                </c:pt>
                <c:pt idx="345">
                  <c:v>93.833333333333329</c:v>
                </c:pt>
                <c:pt idx="346">
                  <c:v>93.916666666666671</c:v>
                </c:pt>
                <c:pt idx="347">
                  <c:v>94</c:v>
                </c:pt>
                <c:pt idx="348">
                  <c:v>94.083333333333329</c:v>
                </c:pt>
                <c:pt idx="349">
                  <c:v>94.166666666666671</c:v>
                </c:pt>
                <c:pt idx="350">
                  <c:v>94.25</c:v>
                </c:pt>
                <c:pt idx="351">
                  <c:v>94.333333333333329</c:v>
                </c:pt>
                <c:pt idx="352">
                  <c:v>94.416666666666671</c:v>
                </c:pt>
                <c:pt idx="353">
                  <c:v>94.5</c:v>
                </c:pt>
                <c:pt idx="354">
                  <c:v>94.583333333333329</c:v>
                </c:pt>
                <c:pt idx="355">
                  <c:v>94.666666666666671</c:v>
                </c:pt>
                <c:pt idx="356">
                  <c:v>94.75</c:v>
                </c:pt>
                <c:pt idx="357">
                  <c:v>94.833333333333329</c:v>
                </c:pt>
                <c:pt idx="358">
                  <c:v>94.916666666666671</c:v>
                </c:pt>
                <c:pt idx="359">
                  <c:v>95</c:v>
                </c:pt>
                <c:pt idx="360">
                  <c:v>95.083333333333329</c:v>
                </c:pt>
                <c:pt idx="361">
                  <c:v>95.166666666666671</c:v>
                </c:pt>
                <c:pt idx="362">
                  <c:v>95.25</c:v>
                </c:pt>
                <c:pt idx="363">
                  <c:v>95.333333333333329</c:v>
                </c:pt>
                <c:pt idx="364">
                  <c:v>95.416666666666671</c:v>
                </c:pt>
                <c:pt idx="365">
                  <c:v>95.5</c:v>
                </c:pt>
                <c:pt idx="366">
                  <c:v>95.583333333333329</c:v>
                </c:pt>
                <c:pt idx="367">
                  <c:v>95.666666666666671</c:v>
                </c:pt>
                <c:pt idx="368">
                  <c:v>95.75</c:v>
                </c:pt>
                <c:pt idx="369">
                  <c:v>95.833333333333329</c:v>
                </c:pt>
                <c:pt idx="370">
                  <c:v>95.916666666666671</c:v>
                </c:pt>
                <c:pt idx="371">
                  <c:v>96</c:v>
                </c:pt>
                <c:pt idx="372">
                  <c:v>96.083333333333329</c:v>
                </c:pt>
                <c:pt idx="373">
                  <c:v>96.166666666666671</c:v>
                </c:pt>
                <c:pt idx="374">
                  <c:v>96.25</c:v>
                </c:pt>
                <c:pt idx="375">
                  <c:v>96.333333333333329</c:v>
                </c:pt>
                <c:pt idx="376">
                  <c:v>96.416666666666671</c:v>
                </c:pt>
                <c:pt idx="377">
                  <c:v>96.5</c:v>
                </c:pt>
                <c:pt idx="378">
                  <c:v>96.583333333333329</c:v>
                </c:pt>
                <c:pt idx="379">
                  <c:v>96.666666666666671</c:v>
                </c:pt>
                <c:pt idx="380">
                  <c:v>96.75</c:v>
                </c:pt>
                <c:pt idx="381">
                  <c:v>96.833333333333329</c:v>
                </c:pt>
                <c:pt idx="382">
                  <c:v>96.916666666666671</c:v>
                </c:pt>
                <c:pt idx="383">
                  <c:v>97</c:v>
                </c:pt>
                <c:pt idx="384">
                  <c:v>97.083333333333343</c:v>
                </c:pt>
                <c:pt idx="385">
                  <c:v>97.166666666666657</c:v>
                </c:pt>
                <c:pt idx="386">
                  <c:v>97.25</c:v>
                </c:pt>
                <c:pt idx="387">
                  <c:v>97.333333333333343</c:v>
                </c:pt>
                <c:pt idx="388">
                  <c:v>97.416666666666657</c:v>
                </c:pt>
                <c:pt idx="389">
                  <c:v>97.5</c:v>
                </c:pt>
                <c:pt idx="390">
                  <c:v>97.583333333333343</c:v>
                </c:pt>
                <c:pt idx="391">
                  <c:v>97.666666666666657</c:v>
                </c:pt>
                <c:pt idx="392">
                  <c:v>97.75</c:v>
                </c:pt>
                <c:pt idx="393">
                  <c:v>97.833333333333343</c:v>
                </c:pt>
                <c:pt idx="394">
                  <c:v>97.916666666666657</c:v>
                </c:pt>
                <c:pt idx="395">
                  <c:v>98</c:v>
                </c:pt>
                <c:pt idx="396">
                  <c:v>98.083333333333343</c:v>
                </c:pt>
                <c:pt idx="397">
                  <c:v>98.166666666666657</c:v>
                </c:pt>
                <c:pt idx="398">
                  <c:v>98.25</c:v>
                </c:pt>
                <c:pt idx="399">
                  <c:v>98.333333333333343</c:v>
                </c:pt>
                <c:pt idx="400">
                  <c:v>98.416666666666657</c:v>
                </c:pt>
                <c:pt idx="401">
                  <c:v>98.5</c:v>
                </c:pt>
                <c:pt idx="402">
                  <c:v>98.583333333333343</c:v>
                </c:pt>
                <c:pt idx="403">
                  <c:v>98.666666666666657</c:v>
                </c:pt>
                <c:pt idx="404">
                  <c:v>98.75</c:v>
                </c:pt>
                <c:pt idx="405">
                  <c:v>98.833333333333343</c:v>
                </c:pt>
                <c:pt idx="406">
                  <c:v>98.916666666666657</c:v>
                </c:pt>
                <c:pt idx="407">
                  <c:v>99</c:v>
                </c:pt>
                <c:pt idx="408">
                  <c:v>99.083333333333343</c:v>
                </c:pt>
                <c:pt idx="409">
                  <c:v>99.166666666666657</c:v>
                </c:pt>
                <c:pt idx="410">
                  <c:v>99.25</c:v>
                </c:pt>
                <c:pt idx="411">
                  <c:v>99.333333333333343</c:v>
                </c:pt>
                <c:pt idx="412">
                  <c:v>99.416666666666657</c:v>
                </c:pt>
                <c:pt idx="413">
                  <c:v>99.5</c:v>
                </c:pt>
                <c:pt idx="414">
                  <c:v>99.583333333333343</c:v>
                </c:pt>
                <c:pt idx="415">
                  <c:v>99.666666666666657</c:v>
                </c:pt>
                <c:pt idx="416">
                  <c:v>99.75</c:v>
                </c:pt>
                <c:pt idx="417">
                  <c:v>99.833333333333343</c:v>
                </c:pt>
                <c:pt idx="418">
                  <c:v>99.916666666666657</c:v>
                </c:pt>
                <c:pt idx="419">
                  <c:v>100</c:v>
                </c:pt>
                <c:pt idx="420">
                  <c:v>100.08333333333334</c:v>
                </c:pt>
                <c:pt idx="421">
                  <c:v>100.16666666666666</c:v>
                </c:pt>
                <c:pt idx="422">
                  <c:v>100.25</c:v>
                </c:pt>
                <c:pt idx="423">
                  <c:v>100.33333333333334</c:v>
                </c:pt>
                <c:pt idx="424">
                  <c:v>100.41666666666666</c:v>
                </c:pt>
                <c:pt idx="425">
                  <c:v>100.5</c:v>
                </c:pt>
                <c:pt idx="426">
                  <c:v>100.58333333333334</c:v>
                </c:pt>
                <c:pt idx="427">
                  <c:v>100.66666666666666</c:v>
                </c:pt>
                <c:pt idx="428">
                  <c:v>100.75</c:v>
                </c:pt>
                <c:pt idx="429">
                  <c:v>100.83333333333334</c:v>
                </c:pt>
                <c:pt idx="430">
                  <c:v>100.91666666666666</c:v>
                </c:pt>
                <c:pt idx="431">
                  <c:v>101</c:v>
                </c:pt>
                <c:pt idx="432">
                  <c:v>101.08333333333334</c:v>
                </c:pt>
                <c:pt idx="433">
                  <c:v>101.16666666666666</c:v>
                </c:pt>
                <c:pt idx="434">
                  <c:v>101.25</c:v>
                </c:pt>
                <c:pt idx="435">
                  <c:v>101.33333333333334</c:v>
                </c:pt>
                <c:pt idx="436">
                  <c:v>101.41666666666666</c:v>
                </c:pt>
                <c:pt idx="437">
                  <c:v>101.5</c:v>
                </c:pt>
                <c:pt idx="438">
                  <c:v>101.58333333333334</c:v>
                </c:pt>
                <c:pt idx="439">
                  <c:v>101.66666666666666</c:v>
                </c:pt>
                <c:pt idx="440">
                  <c:v>101.75</c:v>
                </c:pt>
                <c:pt idx="441">
                  <c:v>101.83333333333334</c:v>
                </c:pt>
                <c:pt idx="442">
                  <c:v>101.91666666666666</c:v>
                </c:pt>
                <c:pt idx="443">
                  <c:v>102</c:v>
                </c:pt>
                <c:pt idx="444">
                  <c:v>102.08333333333334</c:v>
                </c:pt>
                <c:pt idx="445">
                  <c:v>102.16666666666666</c:v>
                </c:pt>
                <c:pt idx="446">
                  <c:v>102.25</c:v>
                </c:pt>
                <c:pt idx="447">
                  <c:v>102.33333333333334</c:v>
                </c:pt>
                <c:pt idx="448">
                  <c:v>102.41666666666666</c:v>
                </c:pt>
                <c:pt idx="449">
                  <c:v>102.5</c:v>
                </c:pt>
                <c:pt idx="450">
                  <c:v>102.58333333333334</c:v>
                </c:pt>
                <c:pt idx="451">
                  <c:v>102.66666666666666</c:v>
                </c:pt>
                <c:pt idx="452">
                  <c:v>102.75</c:v>
                </c:pt>
                <c:pt idx="453">
                  <c:v>102.83333333333334</c:v>
                </c:pt>
                <c:pt idx="454">
                  <c:v>102.91666666666666</c:v>
                </c:pt>
                <c:pt idx="455">
                  <c:v>103</c:v>
                </c:pt>
                <c:pt idx="456">
                  <c:v>103.08333333333334</c:v>
                </c:pt>
                <c:pt idx="457">
                  <c:v>103.16666666666666</c:v>
                </c:pt>
                <c:pt idx="458">
                  <c:v>103.25</c:v>
                </c:pt>
                <c:pt idx="459">
                  <c:v>103.33333333333334</c:v>
                </c:pt>
                <c:pt idx="460">
                  <c:v>103.41666666666666</c:v>
                </c:pt>
                <c:pt idx="461">
                  <c:v>103.5</c:v>
                </c:pt>
                <c:pt idx="462">
                  <c:v>103.58333333333334</c:v>
                </c:pt>
                <c:pt idx="463">
                  <c:v>103.66666666666666</c:v>
                </c:pt>
                <c:pt idx="464">
                  <c:v>103.75</c:v>
                </c:pt>
                <c:pt idx="465">
                  <c:v>103.83333333333334</c:v>
                </c:pt>
                <c:pt idx="466">
                  <c:v>103.91666666666666</c:v>
                </c:pt>
                <c:pt idx="467">
                  <c:v>104</c:v>
                </c:pt>
                <c:pt idx="468">
                  <c:v>104.08333333333334</c:v>
                </c:pt>
                <c:pt idx="469">
                  <c:v>104.16666666666666</c:v>
                </c:pt>
                <c:pt idx="470">
                  <c:v>104.25</c:v>
                </c:pt>
                <c:pt idx="471">
                  <c:v>104.33333333333334</c:v>
                </c:pt>
                <c:pt idx="472">
                  <c:v>104.41666666666666</c:v>
                </c:pt>
                <c:pt idx="473">
                  <c:v>104.5</c:v>
                </c:pt>
                <c:pt idx="474">
                  <c:v>104.58333333333334</c:v>
                </c:pt>
                <c:pt idx="475">
                  <c:v>104.66666666666666</c:v>
                </c:pt>
                <c:pt idx="476">
                  <c:v>104.75</c:v>
                </c:pt>
                <c:pt idx="477">
                  <c:v>104.83333333333334</c:v>
                </c:pt>
                <c:pt idx="478">
                  <c:v>104.91666666666666</c:v>
                </c:pt>
                <c:pt idx="479">
                  <c:v>105</c:v>
                </c:pt>
                <c:pt idx="480">
                  <c:v>105.08333333333334</c:v>
                </c:pt>
                <c:pt idx="481">
                  <c:v>105.16666666666666</c:v>
                </c:pt>
                <c:pt idx="482">
                  <c:v>105.25</c:v>
                </c:pt>
                <c:pt idx="483">
                  <c:v>105.33333333333334</c:v>
                </c:pt>
                <c:pt idx="484">
                  <c:v>105.41666666666666</c:v>
                </c:pt>
                <c:pt idx="485">
                  <c:v>105.5</c:v>
                </c:pt>
                <c:pt idx="486">
                  <c:v>105.58333333333334</c:v>
                </c:pt>
                <c:pt idx="487">
                  <c:v>105.66666666666666</c:v>
                </c:pt>
                <c:pt idx="488">
                  <c:v>105.75</c:v>
                </c:pt>
                <c:pt idx="489">
                  <c:v>105.83333333333334</c:v>
                </c:pt>
                <c:pt idx="490">
                  <c:v>105.91666666666666</c:v>
                </c:pt>
                <c:pt idx="491">
                  <c:v>106</c:v>
                </c:pt>
                <c:pt idx="492">
                  <c:v>106.08333333333334</c:v>
                </c:pt>
                <c:pt idx="493">
                  <c:v>106.16666666666666</c:v>
                </c:pt>
                <c:pt idx="494">
                  <c:v>106.25</c:v>
                </c:pt>
                <c:pt idx="495">
                  <c:v>106.33333333333334</c:v>
                </c:pt>
                <c:pt idx="496">
                  <c:v>106.41666666666666</c:v>
                </c:pt>
                <c:pt idx="497">
                  <c:v>106.5</c:v>
                </c:pt>
                <c:pt idx="498">
                  <c:v>106.58333333333334</c:v>
                </c:pt>
                <c:pt idx="499">
                  <c:v>106.66666666666666</c:v>
                </c:pt>
                <c:pt idx="500">
                  <c:v>106.75</c:v>
                </c:pt>
                <c:pt idx="501">
                  <c:v>106.83333333333334</c:v>
                </c:pt>
                <c:pt idx="502">
                  <c:v>106.91666666666666</c:v>
                </c:pt>
                <c:pt idx="503">
                  <c:v>107</c:v>
                </c:pt>
                <c:pt idx="504">
                  <c:v>107.08333333333334</c:v>
                </c:pt>
                <c:pt idx="505">
                  <c:v>107.16666666666666</c:v>
                </c:pt>
                <c:pt idx="506">
                  <c:v>107.25</c:v>
                </c:pt>
                <c:pt idx="507">
                  <c:v>107.33333333333334</c:v>
                </c:pt>
                <c:pt idx="508">
                  <c:v>107.41666666666666</c:v>
                </c:pt>
                <c:pt idx="509">
                  <c:v>107.5</c:v>
                </c:pt>
                <c:pt idx="510">
                  <c:v>107.58333333333334</c:v>
                </c:pt>
                <c:pt idx="511">
                  <c:v>107.66666666666666</c:v>
                </c:pt>
                <c:pt idx="512">
                  <c:v>107.75</c:v>
                </c:pt>
                <c:pt idx="513">
                  <c:v>107.83333333333334</c:v>
                </c:pt>
                <c:pt idx="514">
                  <c:v>107.91666666666666</c:v>
                </c:pt>
                <c:pt idx="515">
                  <c:v>108</c:v>
                </c:pt>
                <c:pt idx="516">
                  <c:v>108.08333333333334</c:v>
                </c:pt>
                <c:pt idx="517">
                  <c:v>108.16666666666666</c:v>
                </c:pt>
                <c:pt idx="518">
                  <c:v>108.25</c:v>
                </c:pt>
                <c:pt idx="519">
                  <c:v>108.33333333333334</c:v>
                </c:pt>
                <c:pt idx="520">
                  <c:v>108.41666666666666</c:v>
                </c:pt>
                <c:pt idx="521">
                  <c:v>108.5</c:v>
                </c:pt>
                <c:pt idx="522">
                  <c:v>108.58333333333334</c:v>
                </c:pt>
                <c:pt idx="523">
                  <c:v>108.66666666666666</c:v>
                </c:pt>
                <c:pt idx="524">
                  <c:v>108.75</c:v>
                </c:pt>
                <c:pt idx="525">
                  <c:v>108.83333333333334</c:v>
                </c:pt>
                <c:pt idx="526">
                  <c:v>108.91666666666666</c:v>
                </c:pt>
                <c:pt idx="527">
                  <c:v>109</c:v>
                </c:pt>
                <c:pt idx="528">
                  <c:v>109.08333333333334</c:v>
                </c:pt>
                <c:pt idx="529">
                  <c:v>109.16666666666666</c:v>
                </c:pt>
                <c:pt idx="530">
                  <c:v>109.25</c:v>
                </c:pt>
                <c:pt idx="531">
                  <c:v>109.33333333333334</c:v>
                </c:pt>
                <c:pt idx="532">
                  <c:v>109.41666666666666</c:v>
                </c:pt>
                <c:pt idx="533">
                  <c:v>109.5</c:v>
                </c:pt>
                <c:pt idx="534">
                  <c:v>109.58333333333334</c:v>
                </c:pt>
                <c:pt idx="535">
                  <c:v>109.66666666666666</c:v>
                </c:pt>
                <c:pt idx="536">
                  <c:v>109.75</c:v>
                </c:pt>
                <c:pt idx="537">
                  <c:v>109.83333333333334</c:v>
                </c:pt>
                <c:pt idx="538">
                  <c:v>109.91666666666666</c:v>
                </c:pt>
                <c:pt idx="539">
                  <c:v>110</c:v>
                </c:pt>
              </c:numCache>
            </c:numRef>
          </c:cat>
          <c:val>
            <c:numRef>
              <c:f>Projection!$M$4:$M$543</c:f>
              <c:numCache>
                <c:formatCode>General</c:formatCode>
                <c:ptCount val="540"/>
                <c:pt idx="0">
                  <c:v>0.99928225223800848</c:v>
                </c:pt>
                <c:pt idx="1">
                  <c:v>0.99856501963786681</c:v>
                </c:pt>
                <c:pt idx="2">
                  <c:v>0.99784830182981876</c:v>
                </c:pt>
                <c:pt idx="3">
                  <c:v>0.99713209844437334</c:v>
                </c:pt>
                <c:pt idx="4">
                  <c:v>0.996416409112305</c:v>
                </c:pt>
                <c:pt idx="5">
                  <c:v>0.995701233464653</c:v>
                </c:pt>
                <c:pt idx="6">
                  <c:v>0.9949865711327216</c:v>
                </c:pt>
                <c:pt idx="7">
                  <c:v>0.9942724217480795</c:v>
                </c:pt>
                <c:pt idx="8">
                  <c:v>0.99355878494255989</c:v>
                </c:pt>
                <c:pt idx="9">
                  <c:v>0.99284566034826038</c:v>
                </c:pt>
                <c:pt idx="10">
                  <c:v>0.99213304759754239</c:v>
                </c:pt>
                <c:pt idx="11">
                  <c:v>0.99135005407542776</c:v>
                </c:pt>
                <c:pt idx="12">
                  <c:v>0.9905597808945521</c:v>
                </c:pt>
                <c:pt idx="13">
                  <c:v>0.98977013769467848</c:v>
                </c:pt>
                <c:pt idx="14">
                  <c:v>0.98898112397360571</c:v>
                </c:pt>
                <c:pt idx="15">
                  <c:v>0.9881927392295331</c:v>
                </c:pt>
                <c:pt idx="16">
                  <c:v>0.98740498296105983</c:v>
                </c:pt>
                <c:pt idx="17">
                  <c:v>0.98661785466718499</c:v>
                </c:pt>
                <c:pt idx="18">
                  <c:v>0.9858313538473068</c:v>
                </c:pt>
                <c:pt idx="19">
                  <c:v>0.98504548000122272</c:v>
                </c:pt>
                <c:pt idx="20">
                  <c:v>0.98426023262912887</c:v>
                </c:pt>
                <c:pt idx="21">
                  <c:v>0.98347561123161986</c:v>
                </c:pt>
                <c:pt idx="22">
                  <c:v>0.9826916153096884</c:v>
                </c:pt>
                <c:pt idx="23">
                  <c:v>0.98182804258084044</c:v>
                </c:pt>
                <c:pt idx="24">
                  <c:v>0.98095651482438972</c:v>
                </c:pt>
                <c:pt idx="25">
                  <c:v>0.98008576068673714</c:v>
                </c:pt>
                <c:pt idx="26">
                  <c:v>0.97921577948117355</c:v>
                </c:pt>
                <c:pt idx="27">
                  <c:v>0.97834657052159946</c:v>
                </c:pt>
                <c:pt idx="28">
                  <c:v>0.97747813312252441</c:v>
                </c:pt>
                <c:pt idx="29">
                  <c:v>0.97661046659906625</c:v>
                </c:pt>
                <c:pt idx="30">
                  <c:v>0.97574357026695091</c:v>
                </c:pt>
                <c:pt idx="31">
                  <c:v>0.9748774434425117</c:v>
                </c:pt>
                <c:pt idx="32">
                  <c:v>0.9740120854426888</c:v>
                </c:pt>
                <c:pt idx="33">
                  <c:v>0.97314749558502867</c:v>
                </c:pt>
                <c:pt idx="34">
                  <c:v>0.97228367318768361</c:v>
                </c:pt>
                <c:pt idx="35">
                  <c:v>0.9713302167485055</c:v>
                </c:pt>
                <c:pt idx="36">
                  <c:v>0.9703680699262035</c:v>
                </c:pt>
                <c:pt idx="37">
                  <c:v>0.96940687615415333</c:v>
                </c:pt>
                <c:pt idx="38">
                  <c:v>0.96844663448831525</c:v>
                </c:pt>
                <c:pt idx="39">
                  <c:v>0.96748734398558478</c:v>
                </c:pt>
                <c:pt idx="40">
                  <c:v>0.96652900370379147</c:v>
                </c:pt>
                <c:pt idx="41">
                  <c:v>0.96557161270169822</c:v>
                </c:pt>
                <c:pt idx="42">
                  <c:v>0.96461517003900021</c:v>
                </c:pt>
                <c:pt idx="43">
                  <c:v>0.96365967477632419</c:v>
                </c:pt>
                <c:pt idx="44">
                  <c:v>0.96270512597522717</c:v>
                </c:pt>
                <c:pt idx="45">
                  <c:v>0.96175152269819586</c:v>
                </c:pt>
                <c:pt idx="46">
                  <c:v>0.96079886400864567</c:v>
                </c:pt>
                <c:pt idx="47">
                  <c:v>0.95974545213576534</c:v>
                </c:pt>
                <c:pt idx="48">
                  <c:v>0.95868255513236922</c:v>
                </c:pt>
                <c:pt idx="49">
                  <c:v>0.95762083526405339</c:v>
                </c:pt>
                <c:pt idx="50">
                  <c:v>0.95656029122716657</c:v>
                </c:pt>
                <c:pt idx="51">
                  <c:v>0.95550092171950129</c:v>
                </c:pt>
                <c:pt idx="52">
                  <c:v>0.95444272544029218</c:v>
                </c:pt>
                <c:pt idx="53">
                  <c:v>0.95338570109021459</c:v>
                </c:pt>
                <c:pt idx="54">
                  <c:v>0.95232984737138271</c:v>
                </c:pt>
                <c:pt idx="55">
                  <c:v>0.95127516298734816</c:v>
                </c:pt>
                <c:pt idx="56">
                  <c:v>0.95022164664309838</c:v>
                </c:pt>
                <c:pt idx="57">
                  <c:v>0.94916929704505493</c:v>
                </c:pt>
                <c:pt idx="58">
                  <c:v>0.94811811290107206</c:v>
                </c:pt>
                <c:pt idx="59">
                  <c:v>0.94695511339222882</c:v>
                </c:pt>
                <c:pt idx="60">
                  <c:v>0.94578178648029043</c:v>
                </c:pt>
                <c:pt idx="61">
                  <c:v>0.9446099133817617</c:v>
                </c:pt>
                <c:pt idx="62">
                  <c:v>0.94343949229529189</c:v>
                </c:pt>
                <c:pt idx="63">
                  <c:v>0.94227052142176215</c:v>
                </c:pt>
                <c:pt idx="64">
                  <c:v>0.94110299896428273</c:v>
                </c:pt>
                <c:pt idx="65">
                  <c:v>0.93993692312819044</c:v>
                </c:pt>
                <c:pt idx="66">
                  <c:v>0.93877229212104563</c:v>
                </c:pt>
                <c:pt idx="67">
                  <c:v>0.93760910415262977</c:v>
                </c:pt>
                <c:pt idx="68">
                  <c:v>0.93644735743494234</c:v>
                </c:pt>
                <c:pt idx="69">
                  <c:v>0.93528705018219827</c:v>
                </c:pt>
                <c:pt idx="70">
                  <c:v>0.93412818061082536</c:v>
                </c:pt>
                <c:pt idx="71">
                  <c:v>0.9328447974918942</c:v>
                </c:pt>
                <c:pt idx="72">
                  <c:v>0.93155019819102081</c:v>
                </c:pt>
                <c:pt idx="73">
                  <c:v>0.93025739553129749</c:v>
                </c:pt>
                <c:pt idx="74">
                  <c:v>0.92896638701935097</c:v>
                </c:pt>
                <c:pt idx="75">
                  <c:v>0.92767717016526807</c:v>
                </c:pt>
                <c:pt idx="76">
                  <c:v>0.92638974248259121</c:v>
                </c:pt>
                <c:pt idx="77">
                  <c:v>0.92510410148831357</c:v>
                </c:pt>
                <c:pt idx="78">
                  <c:v>0.92382024470287416</c:v>
                </c:pt>
                <c:pt idx="79">
                  <c:v>0.92253816965015312</c:v>
                </c:pt>
                <c:pt idx="80">
                  <c:v>0.92125787385746694</c:v>
                </c:pt>
                <c:pt idx="81">
                  <c:v>0.9199793548555637</c:v>
                </c:pt>
                <c:pt idx="82">
                  <c:v>0.91870261017861832</c:v>
                </c:pt>
                <c:pt idx="83">
                  <c:v>0.91728732114569766</c:v>
                </c:pt>
                <c:pt idx="84">
                  <c:v>0.91587421240814626</c:v>
                </c:pt>
                <c:pt idx="85">
                  <c:v>0.91446328060715354</c:v>
                </c:pt>
                <c:pt idx="86">
                  <c:v>0.91305452238908302</c:v>
                </c:pt>
                <c:pt idx="87">
                  <c:v>0.91164793440546488</c:v>
                </c:pt>
                <c:pt idx="88">
                  <c:v>0.91024351331298758</c:v>
                </c:pt>
                <c:pt idx="89">
                  <c:v>0.90884125577349006</c:v>
                </c:pt>
                <c:pt idx="90">
                  <c:v>0.90744115845395379</c:v>
                </c:pt>
                <c:pt idx="91">
                  <c:v>0.9060432180264949</c:v>
                </c:pt>
                <c:pt idx="92">
                  <c:v>0.90464743116835622</c:v>
                </c:pt>
                <c:pt idx="93">
                  <c:v>0.90325379456189936</c:v>
                </c:pt>
                <c:pt idx="94">
                  <c:v>0.90186230489459684</c:v>
                </c:pt>
                <c:pt idx="95">
                  <c:v>0.90032076443891873</c:v>
                </c:pt>
                <c:pt idx="96">
                  <c:v>0.89878185891649331</c:v>
                </c:pt>
                <c:pt idx="97">
                  <c:v>0.89724558382346642</c:v>
                </c:pt>
                <c:pt idx="98">
                  <c:v>0.89571193466368249</c:v>
                </c:pt>
                <c:pt idx="99">
                  <c:v>0.89418090694867092</c:v>
                </c:pt>
                <c:pt idx="100">
                  <c:v>0.89265249619763343</c:v>
                </c:pt>
                <c:pt idx="101">
                  <c:v>0.8911266979374306</c:v>
                </c:pt>
                <c:pt idx="102">
                  <c:v>0.8896035077025688</c:v>
                </c:pt>
                <c:pt idx="103">
                  <c:v>0.88808292103518727</c:v>
                </c:pt>
                <c:pt idx="104">
                  <c:v>0.88656493348504506</c:v>
                </c:pt>
                <c:pt idx="105">
                  <c:v>0.88504954060950791</c:v>
                </c:pt>
                <c:pt idx="106">
                  <c:v>0.88353673797353527</c:v>
                </c:pt>
                <c:pt idx="107">
                  <c:v>0.88186038200443817</c:v>
                </c:pt>
                <c:pt idx="108">
                  <c:v>0.88018720662672378</c:v>
                </c:pt>
                <c:pt idx="109">
                  <c:v>0.87851720580577797</c:v>
                </c:pt>
                <c:pt idx="110">
                  <c:v>0.87685037351843609</c:v>
                </c:pt>
                <c:pt idx="111">
                  <c:v>0.87518670375296137</c:v>
                </c:pt>
                <c:pt idx="112">
                  <c:v>0.87352619050902347</c:v>
                </c:pt>
                <c:pt idx="113">
                  <c:v>0.87186882779767649</c:v>
                </c:pt>
                <c:pt idx="114">
                  <c:v>0.87021460964133746</c:v>
                </c:pt>
                <c:pt idx="115">
                  <c:v>0.86856353007376497</c:v>
                </c:pt>
                <c:pt idx="116">
                  <c:v>0.86691558314003725</c:v>
                </c:pt>
                <c:pt idx="117">
                  <c:v>0.86527076289653126</c:v>
                </c:pt>
                <c:pt idx="118">
                  <c:v>0.86362906341090073</c:v>
                </c:pt>
                <c:pt idx="119">
                  <c:v>0.86181019186055108</c:v>
                </c:pt>
                <c:pt idx="120">
                  <c:v>0.85999515099846424</c:v>
                </c:pt>
                <c:pt idx="121">
                  <c:v>0.85818393275690585</c:v>
                </c:pt>
                <c:pt idx="122">
                  <c:v>0.85637652908513284</c:v>
                </c:pt>
                <c:pt idx="123">
                  <c:v>0.85457293194935757</c:v>
                </c:pt>
                <c:pt idx="124">
                  <c:v>0.85277313333271232</c:v>
                </c:pt>
                <c:pt idx="125">
                  <c:v>0.85097712523521341</c:v>
                </c:pt>
                <c:pt idx="126">
                  <c:v>0.84918489967372579</c:v>
                </c:pt>
                <c:pt idx="127">
                  <c:v>0.84739644868192743</c:v>
                </c:pt>
                <c:pt idx="128">
                  <c:v>0.84561176431027429</c:v>
                </c:pt>
                <c:pt idx="129">
                  <c:v>0.84383083862596442</c:v>
                </c:pt>
                <c:pt idx="130">
                  <c:v>0.84205366371290313</c:v>
                </c:pt>
                <c:pt idx="131">
                  <c:v>0.8400854398960913</c:v>
                </c:pt>
                <c:pt idx="132">
                  <c:v>0.83812181662335405</c:v>
                </c:pt>
                <c:pt idx="133">
                  <c:v>0.83616278314133818</c:v>
                </c:pt>
                <c:pt idx="134">
                  <c:v>0.8342083287218256</c:v>
                </c:pt>
                <c:pt idx="135">
                  <c:v>0.83225844266167437</c:v>
                </c:pt>
                <c:pt idx="136">
                  <c:v>0.83031311428276011</c:v>
                </c:pt>
                <c:pt idx="137">
                  <c:v>0.8283723329319177</c:v>
                </c:pt>
                <c:pt idx="138">
                  <c:v>0.82643608798088275</c:v>
                </c:pt>
                <c:pt idx="139">
                  <c:v>0.82450436882623346</c:v>
                </c:pt>
                <c:pt idx="140">
                  <c:v>0.82257716488933275</c:v>
                </c:pt>
                <c:pt idx="141">
                  <c:v>0.82065446561626987</c:v>
                </c:pt>
                <c:pt idx="142">
                  <c:v>0.81873626047780301</c:v>
                </c:pt>
                <c:pt idx="143">
                  <c:v>0.81660958808438533</c:v>
                </c:pt>
                <c:pt idx="144">
                  <c:v>0.81448843973538498</c:v>
                </c:pt>
                <c:pt idx="145">
                  <c:v>0.81237280108206311</c:v>
                </c:pt>
                <c:pt idx="146">
                  <c:v>0.81026265781295181</c:v>
                </c:pt>
                <c:pt idx="147">
                  <c:v>0.80815799565375734</c:v>
                </c:pt>
                <c:pt idx="148">
                  <c:v>0.80605880036726352</c:v>
                </c:pt>
                <c:pt idx="149">
                  <c:v>0.80396505775323535</c:v>
                </c:pt>
                <c:pt idx="150">
                  <c:v>0.80187675364832312</c:v>
                </c:pt>
                <c:pt idx="151">
                  <c:v>0.79979387392596657</c:v>
                </c:pt>
                <c:pt idx="152">
                  <c:v>0.7977164044962991</c:v>
                </c:pt>
                <c:pt idx="153">
                  <c:v>0.79564433130605272</c:v>
                </c:pt>
                <c:pt idx="154">
                  <c:v>0.79357764033846279</c:v>
                </c:pt>
                <c:pt idx="155">
                  <c:v>0.79128736187564697</c:v>
                </c:pt>
                <c:pt idx="156">
                  <c:v>0.78900369319512664</c:v>
                </c:pt>
                <c:pt idx="157">
                  <c:v>0.78672661522095855</c:v>
                </c:pt>
                <c:pt idx="158">
                  <c:v>0.78445610893225304</c:v>
                </c:pt>
                <c:pt idx="159">
                  <c:v>0.7821921553630149</c:v>
                </c:pt>
                <c:pt idx="160">
                  <c:v>0.77993473560198512</c:v>
                </c:pt>
                <c:pt idx="161">
                  <c:v>0.77768383079248293</c:v>
                </c:pt>
                <c:pt idx="162">
                  <c:v>0.77543942213224837</c:v>
                </c:pt>
                <c:pt idx="163">
                  <c:v>0.77320149087328494</c:v>
                </c:pt>
                <c:pt idx="164">
                  <c:v>0.77097001832170331</c:v>
                </c:pt>
                <c:pt idx="165">
                  <c:v>0.7687449858375649</c:v>
                </c:pt>
                <c:pt idx="166">
                  <c:v>0.76652637483472652</c:v>
                </c:pt>
                <c:pt idx="167">
                  <c:v>0.76406364839014573</c:v>
                </c:pt>
                <c:pt idx="168">
                  <c:v>0.76160883429110182</c:v>
                </c:pt>
                <c:pt idx="169">
                  <c:v>0.75916190711649623</c:v>
                </c:pt>
                <c:pt idx="170">
                  <c:v>0.75672284152690417</c:v>
                </c:pt>
                <c:pt idx="171">
                  <c:v>0.75429161226431241</c:v>
                </c:pt>
                <c:pt idx="172">
                  <c:v>0.75186819415185757</c:v>
                </c:pt>
                <c:pt idx="173">
                  <c:v>0.74945256209356581</c:v>
                </c:pt>
                <c:pt idx="174">
                  <c:v>0.74704469107409233</c:v>
                </c:pt>
                <c:pt idx="175">
                  <c:v>0.7446445561584627</c:v>
                </c:pt>
                <c:pt idx="176">
                  <c:v>0.74225213249181465</c:v>
                </c:pt>
                <c:pt idx="177">
                  <c:v>0.73986739529914047</c:v>
                </c:pt>
                <c:pt idx="178">
                  <c:v>0.73749031988503078</c:v>
                </c:pt>
                <c:pt idx="179">
                  <c:v>0.73484967308855731</c:v>
                </c:pt>
                <c:pt idx="180">
                  <c:v>0.73221848135246315</c:v>
                </c:pt>
                <c:pt idx="181">
                  <c:v>0.72959671082210076</c:v>
                </c:pt>
                <c:pt idx="182">
                  <c:v>0.72698432776404198</c:v>
                </c:pt>
                <c:pt idx="183">
                  <c:v>0.72438129856564404</c:v>
                </c:pt>
                <c:pt idx="184">
                  <c:v>0.7217875897346171</c:v>
                </c:pt>
                <c:pt idx="185">
                  <c:v>0.71920316789859329</c:v>
                </c:pt>
                <c:pt idx="186">
                  <c:v>0.71662799980469738</c:v>
                </c:pt>
                <c:pt idx="187">
                  <c:v>0.7140620523191189</c:v>
                </c:pt>
                <c:pt idx="188">
                  <c:v>0.7115052924266857</c:v>
                </c:pt>
                <c:pt idx="189">
                  <c:v>0.70895768723043939</c:v>
                </c:pt>
                <c:pt idx="190">
                  <c:v>0.70641920395121183</c:v>
                </c:pt>
                <c:pt idx="191">
                  <c:v>0.70359632971680319</c:v>
                </c:pt>
                <c:pt idx="192">
                  <c:v>0.70078473578012523</c:v>
                </c:pt>
                <c:pt idx="193">
                  <c:v>0.69798437706473959</c:v>
                </c:pt>
                <c:pt idx="194">
                  <c:v>0.69519520867433449</c:v>
                </c:pt>
                <c:pt idx="195">
                  <c:v>0.69241718589200552</c:v>
                </c:pt>
                <c:pt idx="196">
                  <c:v>0.68965026417953845</c:v>
                </c:pt>
                <c:pt idx="197">
                  <c:v>0.68689439917669515</c:v>
                </c:pt>
                <c:pt idx="198">
                  <c:v>0.68414954670050254</c:v>
                </c:pt>
                <c:pt idx="199">
                  <c:v>0.68141566274454402</c:v>
                </c:pt>
                <c:pt idx="200">
                  <c:v>0.67869270347825417</c:v>
                </c:pt>
                <c:pt idx="201">
                  <c:v>0.67598062524621583</c:v>
                </c:pt>
                <c:pt idx="202">
                  <c:v>0.6732793845674605</c:v>
                </c:pt>
                <c:pt idx="203">
                  <c:v>0.67027343230150305</c:v>
                </c:pt>
                <c:pt idx="204">
                  <c:v>0.66728090054006772</c:v>
                </c:pt>
                <c:pt idx="205">
                  <c:v>0.66430172936538934</c:v>
                </c:pt>
                <c:pt idx="206">
                  <c:v>0.66133585912721438</c:v>
                </c:pt>
                <c:pt idx="207">
                  <c:v>0.6583832304416064</c:v>
                </c:pt>
                <c:pt idx="208">
                  <c:v>0.65544378418975691</c:v>
                </c:pt>
                <c:pt idx="209">
                  <c:v>0.6525174615168019</c:v>
                </c:pt>
                <c:pt idx="210">
                  <c:v>0.64960420383064332</c:v>
                </c:pt>
                <c:pt idx="211">
                  <c:v>0.64670395280077597</c:v>
                </c:pt>
                <c:pt idx="212">
                  <c:v>0.64381665035711955</c:v>
                </c:pt>
                <c:pt idx="213">
                  <c:v>0.6409422386888558</c:v>
                </c:pt>
                <c:pt idx="214">
                  <c:v>0.63808066024327137</c:v>
                </c:pt>
                <c:pt idx="215">
                  <c:v>0.63489153659338671</c:v>
                </c:pt>
                <c:pt idx="216">
                  <c:v>0.63171835216606109</c:v>
                </c:pt>
                <c:pt idx="217">
                  <c:v>0.62856102729714736</c:v>
                </c:pt>
                <c:pt idx="218">
                  <c:v>0.62541948272065928</c:v>
                </c:pt>
                <c:pt idx="219">
                  <c:v>0.62229363956678174</c:v>
                </c:pt>
                <c:pt idx="220">
                  <c:v>0.6191834193598903</c:v>
                </c:pt>
                <c:pt idx="221">
                  <c:v>0.61608874401658142</c:v>
                </c:pt>
                <c:pt idx="222">
                  <c:v>0.61300953584371187</c:v>
                </c:pt>
                <c:pt idx="223">
                  <c:v>0.60994571753644855</c:v>
                </c:pt>
                <c:pt idx="224">
                  <c:v>0.60689721217632719</c:v>
                </c:pt>
                <c:pt idx="225">
                  <c:v>0.6038639432293218</c:v>
                </c:pt>
                <c:pt idx="226">
                  <c:v>0.60084583454392293</c:v>
                </c:pt>
                <c:pt idx="227">
                  <c:v>0.59748039707760159</c:v>
                </c:pt>
                <c:pt idx="228">
                  <c:v>0.59413380998634913</c:v>
                </c:pt>
                <c:pt idx="229">
                  <c:v>0.59080596768607907</c:v>
                </c:pt>
                <c:pt idx="230">
                  <c:v>0.5874967651840991</c:v>
                </c:pt>
                <c:pt idx="231">
                  <c:v>0.58420609807579837</c:v>
                </c:pt>
                <c:pt idx="232">
                  <c:v>0.58093386254135371</c:v>
                </c:pt>
                <c:pt idx="233">
                  <c:v>0.57767995534245387</c:v>
                </c:pt>
                <c:pt idx="234">
                  <c:v>0.57444427381904273</c:v>
                </c:pt>
                <c:pt idx="235">
                  <c:v>0.57122671588608009</c:v>
                </c:pt>
                <c:pt idx="236">
                  <c:v>0.56802718003032104</c:v>
                </c:pt>
                <c:pt idx="237">
                  <c:v>0.56484556530711338</c:v>
                </c:pt>
                <c:pt idx="238">
                  <c:v>0.56168177133721264</c:v>
                </c:pt>
                <c:pt idx="239">
                  <c:v>0.55815241747542088</c:v>
                </c:pt>
                <c:pt idx="240">
                  <c:v>0.55464524047482955</c:v>
                </c:pt>
                <c:pt idx="241">
                  <c:v>0.55116010098608692</c:v>
                </c:pt>
                <c:pt idx="242">
                  <c:v>0.54769686053544941</c:v>
                </c:pt>
                <c:pt idx="243">
                  <c:v>0.54425538151927977</c:v>
                </c:pt>
                <c:pt idx="244">
                  <c:v>0.54083552719857975</c:v>
                </c:pt>
                <c:pt idx="245">
                  <c:v>0.53743716169355693</c:v>
                </c:pt>
                <c:pt idx="246">
                  <c:v>0.53406014997822615</c:v>
                </c:pt>
                <c:pt idx="247">
                  <c:v>0.53070435787504411</c:v>
                </c:pt>
                <c:pt idx="248">
                  <c:v>0.52736965204957864</c:v>
                </c:pt>
                <c:pt idx="249">
                  <c:v>0.52405590000521063</c:v>
                </c:pt>
                <c:pt idx="250">
                  <c:v>0.52076297007786976</c:v>
                </c:pt>
                <c:pt idx="251">
                  <c:v>0.51709290138522823</c:v>
                </c:pt>
                <c:pt idx="252">
                  <c:v>0.5134486974429292</c:v>
                </c:pt>
                <c:pt idx="253">
                  <c:v>0.50983017596955882</c:v>
                </c:pt>
                <c:pt idx="254">
                  <c:v>0.50623715596832863</c:v>
                </c:pt>
                <c:pt idx="255">
                  <c:v>0.50266945771802207</c:v>
                </c:pt>
                <c:pt idx="256">
                  <c:v>0.49912690276400495</c:v>
                </c:pt>
                <c:pt idx="257">
                  <c:v>0.4956093139092993</c:v>
                </c:pt>
                <c:pt idx="258">
                  <c:v>0.49211651520571997</c:v>
                </c:pt>
                <c:pt idx="259">
                  <c:v>0.4886483319450739</c:v>
                </c:pt>
                <c:pt idx="260">
                  <c:v>0.48520459065042121</c:v>
                </c:pt>
                <c:pt idx="261">
                  <c:v>0.4817851190673979</c:v>
                </c:pt>
                <c:pt idx="262">
                  <c:v>0.47838974615559993</c:v>
                </c:pt>
                <c:pt idx="263">
                  <c:v>0.47460663608097509</c:v>
                </c:pt>
                <c:pt idx="264">
                  <c:v>0.47085344287215208</c:v>
                </c:pt>
                <c:pt idx="265">
                  <c:v>0.46712992994630842</c:v>
                </c:pt>
                <c:pt idx="266">
                  <c:v>0.46343586259152048</c:v>
                </c:pt>
                <c:pt idx="267">
                  <c:v>0.45977100795196851</c:v>
                </c:pt>
                <c:pt idx="268">
                  <c:v>0.45613513501325847</c:v>
                </c:pt>
                <c:pt idx="269">
                  <c:v>0.45252801458786007</c:v>
                </c:pt>
                <c:pt idx="270">
                  <c:v>0.4489494193006599</c:v>
                </c:pt>
                <c:pt idx="271">
                  <c:v>0.44539912357462885</c:v>
                </c:pt>
                <c:pt idx="272">
                  <c:v>0.44187690361660281</c:v>
                </c:pt>
                <c:pt idx="273">
                  <c:v>0.4383825374031759</c:v>
                </c:pt>
                <c:pt idx="274">
                  <c:v>0.4349158046667051</c:v>
                </c:pt>
                <c:pt idx="275">
                  <c:v>0.43105200925904463</c:v>
                </c:pt>
                <c:pt idx="276">
                  <c:v>0.4272225398399826</c:v>
                </c:pt>
                <c:pt idx="277">
                  <c:v>0.423427091457168</c:v>
                </c:pt>
                <c:pt idx="278">
                  <c:v>0.41966536186744896</c:v>
                </c:pt>
                <c:pt idx="279">
                  <c:v>0.41593705151280402</c:v>
                </c:pt>
                <c:pt idx="280">
                  <c:v>0.41224186349648767</c:v>
                </c:pt>
                <c:pt idx="281">
                  <c:v>0.40857950355938732</c:v>
                </c:pt>
                <c:pt idx="282">
                  <c:v>0.40494968005659066</c:v>
                </c:pt>
                <c:pt idx="283">
                  <c:v>0.40135210393416099</c:v>
                </c:pt>
                <c:pt idx="284">
                  <c:v>0.39778648870611916</c:v>
                </c:pt>
                <c:pt idx="285">
                  <c:v>0.39425255043162966</c:v>
                </c:pt>
                <c:pt idx="286">
                  <c:v>0.39075000769238954</c:v>
                </c:pt>
                <c:pt idx="287">
                  <c:v>0.38684759049263917</c:v>
                </c:pt>
                <c:pt idx="288">
                  <c:v>0.38298414670223263</c:v>
                </c:pt>
                <c:pt idx="289">
                  <c:v>0.37915928709404273</c:v>
                </c:pt>
                <c:pt idx="290">
                  <c:v>0.37537262632815044</c:v>
                </c:pt>
                <c:pt idx="291">
                  <c:v>0.37162378291302339</c:v>
                </c:pt>
                <c:pt idx="292">
                  <c:v>0.36791237916708219</c:v>
                </c:pt>
                <c:pt idx="293">
                  <c:v>0.36423804118065028</c:v>
                </c:pt>
                <c:pt idx="294">
                  <c:v>0.36060039877828409</c:v>
                </c:pt>
                <c:pt idx="295">
                  <c:v>0.35699908548147918</c:v>
                </c:pt>
                <c:pt idx="296">
                  <c:v>0.35343373847174908</c:v>
                </c:pt>
                <c:pt idx="297">
                  <c:v>0.34990399855407256</c:v>
                </c:pt>
                <c:pt idx="298">
                  <c:v>0.34640951012070625</c:v>
                </c:pt>
                <c:pt idx="299">
                  <c:v>0.34251823381617313</c:v>
                </c:pt>
                <c:pt idx="300">
                  <c:v>0.33867066887300806</c:v>
                </c:pt>
                <c:pt idx="301">
                  <c:v>0.33486632427413515</c:v>
                </c:pt>
                <c:pt idx="302">
                  <c:v>0.33110471451815587</c:v>
                </c:pt>
                <c:pt idx="303">
                  <c:v>0.32738535955739062</c:v>
                </c:pt>
                <c:pt idx="304">
                  <c:v>0.3237077847366161</c:v>
                </c:pt>
                <c:pt idx="305">
                  <c:v>0.32007152073249107</c:v>
                </c:pt>
                <c:pt idx="306">
                  <c:v>0.31647610349366223</c:v>
                </c:pt>
                <c:pt idx="307">
                  <c:v>0.3129210741815433</c:v>
                </c:pt>
                <c:pt idx="308">
                  <c:v>0.30940597911175899</c:v>
                </c:pt>
                <c:pt idx="309">
                  <c:v>0.30593036969624687</c:v>
                </c:pt>
                <c:pt idx="310">
                  <c:v>0.30249380238600976</c:v>
                </c:pt>
                <c:pt idx="311">
                  <c:v>0.29867978139097534</c:v>
                </c:pt>
                <c:pt idx="312">
                  <c:v>0.29491384983128083</c:v>
                </c:pt>
                <c:pt idx="313">
                  <c:v>0.29119540136684724</c:v>
                </c:pt>
                <c:pt idx="314">
                  <c:v>0.28752383730269043</c:v>
                </c:pt>
                <c:pt idx="315">
                  <c:v>0.28389856649252709</c:v>
                </c:pt>
                <c:pt idx="316">
                  <c:v>0.28031900524359638</c:v>
                </c:pt>
                <c:pt idx="317">
                  <c:v>0.2767845772226814</c:v>
                </c:pt>
                <c:pt idx="318">
                  <c:v>0.27329471336331573</c:v>
                </c:pt>
                <c:pt idx="319">
                  <c:v>0.26984885177416007</c:v>
                </c:pt>
                <c:pt idx="320">
                  <c:v>0.26644643764853376</c:v>
                </c:pt>
                <c:pt idx="321">
                  <c:v>0.26308692317508736</c:v>
                </c:pt>
                <c:pt idx="322">
                  <c:v>0.25976976744960134</c:v>
                </c:pt>
                <c:pt idx="323">
                  <c:v>0.2561057684941016</c:v>
                </c:pt>
                <c:pt idx="324">
                  <c:v>0.25249344948764946</c:v>
                </c:pt>
                <c:pt idx="325">
                  <c:v>0.24893208149522991</c:v>
                </c:pt>
                <c:pt idx="326">
                  <c:v>0.24542094586330593</c:v>
                </c:pt>
                <c:pt idx="327">
                  <c:v>0.24195933407480028</c:v>
                </c:pt>
                <c:pt idx="328">
                  <c:v>0.23854654760612284</c:v>
                </c:pt>
                <c:pt idx="329">
                  <c:v>0.23518189778621459</c:v>
                </c:pt>
                <c:pt idx="330">
                  <c:v>0.23186470565757969</c:v>
                </c:pt>
                <c:pt idx="331">
                  <c:v>0.22859430183927756</c:v>
                </c:pt>
                <c:pt idx="332">
                  <c:v>0.22537002639184772</c:v>
                </c:pt>
                <c:pt idx="333">
                  <c:v>0.22219122868413954</c:v>
                </c:pt>
                <c:pt idx="334">
                  <c:v>0.21905726726202046</c:v>
                </c:pt>
                <c:pt idx="335">
                  <c:v>0.21561319973964471</c:v>
                </c:pt>
                <c:pt idx="336">
                  <c:v>0.21222328061986223</c:v>
                </c:pt>
                <c:pt idx="337">
                  <c:v>0.20888665856933405</c:v>
                </c:pt>
                <c:pt idx="338">
                  <c:v>0.20560249563957508</c:v>
                </c:pt>
                <c:pt idx="339">
                  <c:v>0.20236996705651433</c:v>
                </c:pt>
                <c:pt idx="340">
                  <c:v>0.1991882610133639</c:v>
                </c:pt>
                <c:pt idx="341">
                  <c:v>0.19605657846674443</c:v>
                </c:pt>
                <c:pt idx="342">
                  <c:v>0.19297413293601587</c:v>
                </c:pt>
                <c:pt idx="343">
                  <c:v>0.18994015030576336</c:v>
                </c:pt>
                <c:pt idx="344">
                  <c:v>0.18695386863138833</c:v>
                </c:pt>
                <c:pt idx="345">
                  <c:v>0.18401453794775618</c:v>
                </c:pt>
                <c:pt idx="346">
                  <c:v>0.18112142008085252</c:v>
                </c:pt>
                <c:pt idx="347">
                  <c:v>0.17795840000924867</c:v>
                </c:pt>
                <c:pt idx="348">
                  <c:v>0.17485061744610131</c:v>
                </c:pt>
                <c:pt idx="349">
                  <c:v>0.17179710774930529</c:v>
                </c:pt>
                <c:pt idx="350">
                  <c:v>0.16879692312281566</c:v>
                </c:pt>
                <c:pt idx="351">
                  <c:v>0.16584913232245588</c:v>
                </c:pt>
                <c:pt idx="352">
                  <c:v>0.16295282036686368</c:v>
                </c:pt>
                <c:pt idx="353">
                  <c:v>0.16010708825348491</c:v>
                </c:pt>
                <c:pt idx="354">
                  <c:v>0.15731105267952708</c:v>
                </c:pt>
                <c:pt idx="355">
                  <c:v>0.15456384576778601</c:v>
                </c:pt>
                <c:pt idx="356">
                  <c:v>0.15186461479726054</c:v>
                </c:pt>
                <c:pt idx="357">
                  <c:v>0.1492125219384717</c:v>
                </c:pt>
                <c:pt idx="358">
                  <c:v>0.14660674399340407</c:v>
                </c:pt>
                <c:pt idx="359">
                  <c:v>0.14377094495725107</c:v>
                </c:pt>
                <c:pt idx="360">
                  <c:v>0.14098999848759261</c:v>
                </c:pt>
                <c:pt idx="361">
                  <c:v>0.13826284357692686</c:v>
                </c:pt>
                <c:pt idx="362">
                  <c:v>0.13558843974071003</c:v>
                </c:pt>
                <c:pt idx="363">
                  <c:v>0.13296576662038281</c:v>
                </c:pt>
                <c:pt idx="364">
                  <c:v>0.13039382359407573</c:v>
                </c:pt>
                <c:pt idx="365">
                  <c:v>0.1278716293948442</c:v>
                </c:pt>
                <c:pt idx="366">
                  <c:v>0.12539822173628842</c:v>
                </c:pt>
                <c:pt idx="367">
                  <c:v>0.12297265694541451</c:v>
                </c:pt>
                <c:pt idx="368">
                  <c:v>0.12059400960259739</c:v>
                </c:pt>
                <c:pt idx="369">
                  <c:v>0.11826137218850778</c:v>
                </c:pt>
                <c:pt idx="370">
                  <c:v>0.11597385473786861</c:v>
                </c:pt>
                <c:pt idx="371">
                  <c:v>0.11351456756587386</c:v>
                </c:pt>
                <c:pt idx="372">
                  <c:v>0.11110743088424617</c:v>
                </c:pt>
                <c:pt idx="373">
                  <c:v>0.10875133881414532</c:v>
                </c:pt>
                <c:pt idx="374">
                  <c:v>0.10644520892747913</c:v>
                </c:pt>
                <c:pt idx="375">
                  <c:v>0.10418798174961788</c:v>
                </c:pt>
                <c:pt idx="376">
                  <c:v>0.10197862027265395</c:v>
                </c:pt>
                <c:pt idx="377">
                  <c:v>9.9816109478983048E-2</c:v>
                </c:pt>
                <c:pt idx="378">
                  <c:v>9.7699455874988184E-2</c:v>
                </c:pt>
                <c:pt idx="379">
                  <c:v>9.5627687034612038E-2</c:v>
                </c:pt>
                <c:pt idx="380">
                  <c:v>9.3599851152608202E-2</c:v>
                </c:pt>
                <c:pt idx="381">
                  <c:v>9.1615016607265939E-2</c:v>
                </c:pt>
                <c:pt idx="382">
                  <c:v>8.967227153240756E-2</c:v>
                </c:pt>
                <c:pt idx="383">
                  <c:v>8.7592812862838085E-2</c:v>
                </c:pt>
                <c:pt idx="384">
                  <c:v>8.5561575881919441E-2</c:v>
                </c:pt>
                <c:pt idx="385">
                  <c:v>8.3577442350904974E-2</c:v>
                </c:pt>
                <c:pt idx="386">
                  <c:v>8.1639319962489479E-2</c:v>
                </c:pt>
                <c:pt idx="387">
                  <c:v>7.9746141739470991E-2</c:v>
                </c:pt>
                <c:pt idx="388">
                  <c:v>7.7896865447357341E-2</c:v>
                </c:pt>
                <c:pt idx="389">
                  <c:v>7.6090473020594143E-2</c:v>
                </c:pt>
                <c:pt idx="390">
                  <c:v>7.4325970002098257E-2</c:v>
                </c:pt>
                <c:pt idx="391">
                  <c:v>7.260238499578818E-2</c:v>
                </c:pt>
                <c:pt idx="392">
                  <c:v>7.0918769131810097E-2</c:v>
                </c:pt>
                <c:pt idx="393">
                  <c:v>6.9274195544164988E-2</c:v>
                </c:pt>
                <c:pt idx="394">
                  <c:v>6.7667758860449401E-2</c:v>
                </c:pt>
                <c:pt idx="395">
                  <c:v>6.5957507896814635E-2</c:v>
                </c:pt>
                <c:pt idx="396">
                  <c:v>6.4290482221084647E-2</c:v>
                </c:pt>
                <c:pt idx="397">
                  <c:v>6.2665589347095596E-2</c:v>
                </c:pt>
                <c:pt idx="398">
                  <c:v>6.1081764400437701E-2</c:v>
                </c:pt>
                <c:pt idx="399">
                  <c:v>5.9537969420589205E-2</c:v>
                </c:pt>
                <c:pt idx="400">
                  <c:v>5.803319268068842E-2</c:v>
                </c:pt>
                <c:pt idx="401">
                  <c:v>5.6566448024497951E-2</c:v>
                </c:pt>
                <c:pt idx="402">
                  <c:v>5.5136774220126729E-2</c:v>
                </c:pt>
                <c:pt idx="403">
                  <c:v>5.3743234330086133E-2</c:v>
                </c:pt>
                <c:pt idx="404">
                  <c:v>5.2384915097267545E-2</c:v>
                </c:pt>
                <c:pt idx="405">
                  <c:v>5.1060926346438801E-2</c:v>
                </c:pt>
                <c:pt idx="406">
                  <c:v>4.9770400400867373E-2</c:v>
                </c:pt>
                <c:pt idx="407">
                  <c:v>4.8403332161476298E-2</c:v>
                </c:pt>
                <c:pt idx="408">
                  <c:v>4.7073813862533752E-2</c:v>
                </c:pt>
                <c:pt idx="409">
                  <c:v>4.5780814101226718E-2</c:v>
                </c:pt>
                <c:pt idx="410">
                  <c:v>4.4523329804794107E-2</c:v>
                </c:pt>
                <c:pt idx="411">
                  <c:v>4.3300385452371193E-2</c:v>
                </c:pt>
                <c:pt idx="412">
                  <c:v>4.2111032318208015E-2</c:v>
                </c:pt>
                <c:pt idx="413">
                  <c:v>4.0954347735674697E-2</c:v>
                </c:pt>
                <c:pt idx="414">
                  <c:v>3.9829434381482696E-2</c:v>
                </c:pt>
                <c:pt idx="415">
                  <c:v>3.8735419579566679E-2</c:v>
                </c:pt>
                <c:pt idx="416">
                  <c:v>3.7671454624087039E-2</c:v>
                </c:pt>
                <c:pt idx="417">
                  <c:v>3.6636714121027834E-2</c:v>
                </c:pt>
                <c:pt idx="418">
                  <c:v>3.5630395347879394E-2</c:v>
                </c:pt>
                <c:pt idx="419">
                  <c:v>3.4570342750353367E-2</c:v>
                </c:pt>
                <c:pt idx="420">
                  <c:v>3.3541828155663131E-2</c:v>
                </c:pt>
                <c:pt idx="421">
                  <c:v>3.2543913265440101E-2</c:v>
                </c:pt>
                <c:pt idx="422">
                  <c:v>3.1575687696965046E-2</c:v>
                </c:pt>
                <c:pt idx="423">
                  <c:v>3.0636268152639656E-2</c:v>
                </c:pt>
                <c:pt idx="424">
                  <c:v>2.9724797614167443E-2</c:v>
                </c:pt>
                <c:pt idx="425">
                  <c:v>2.8840444560708861E-2</c:v>
                </c:pt>
                <c:pt idx="426">
                  <c:v>2.798240221029738E-2</c:v>
                </c:pt>
                <c:pt idx="427">
                  <c:v>2.7149887783824447E-2</c:v>
                </c:pt>
                <c:pt idx="428">
                  <c:v>2.63421417909219E-2</c:v>
                </c:pt>
                <c:pt idx="429">
                  <c:v>2.5558427337090347E-2</c:v>
                </c:pt>
                <c:pt idx="430">
                  <c:v>2.4798029451441422E-2</c:v>
                </c:pt>
                <c:pt idx="431">
                  <c:v>2.4001236458102999E-2</c:v>
                </c:pt>
                <c:pt idx="432">
                  <c:v>2.3230045461708582E-2</c:v>
                </c:pt>
                <c:pt idx="433">
                  <c:v>2.2483633836741884E-2</c:v>
                </c:pt>
                <c:pt idx="434">
                  <c:v>2.1761205389716175E-2</c:v>
                </c:pt>
                <c:pt idx="435">
                  <c:v>2.1061989509878743E-2</c:v>
                </c:pt>
                <c:pt idx="436">
                  <c:v>2.0385240347204316E-2</c:v>
                </c:pt>
                <c:pt idx="437">
                  <c:v>1.9730236016800635E-2</c:v>
                </c:pt>
                <c:pt idx="438">
                  <c:v>1.9096277828877507E-2</c:v>
                </c:pt>
                <c:pt idx="439">
                  <c:v>1.8482689543457956E-2</c:v>
                </c:pt>
                <c:pt idx="440">
                  <c:v>1.7888816649036476E-2</c:v>
                </c:pt>
                <c:pt idx="441">
                  <c:v>1.7314025664414933E-2</c:v>
                </c:pt>
                <c:pt idx="442">
                  <c:v>1.67577034629714E-2</c:v>
                </c:pt>
                <c:pt idx="443">
                  <c:v>1.6178558203671634E-2</c:v>
                </c:pt>
                <c:pt idx="444">
                  <c:v>1.5619428170927855E-2</c:v>
                </c:pt>
                <c:pt idx="445">
                  <c:v>1.5079621639671687E-2</c:v>
                </c:pt>
                <c:pt idx="446">
                  <c:v>1.4558470790812982E-2</c:v>
                </c:pt>
                <c:pt idx="447">
                  <c:v>1.4055330885050595E-2</c:v>
                </c:pt>
                <c:pt idx="448">
                  <c:v>1.3569579465236219E-2</c:v>
                </c:pt>
                <c:pt idx="449">
                  <c:v>1.3100615586304475E-2</c:v>
                </c:pt>
                <c:pt idx="450">
                  <c:v>1.2647859071816569E-2</c:v>
                </c:pt>
                <c:pt idx="451">
                  <c:v>1.2210749796197769E-2</c:v>
                </c:pt>
                <c:pt idx="452">
                  <c:v>1.1788746991780704E-2</c:v>
                </c:pt>
                <c:pt idx="453">
                  <c:v>1.1381328579797206E-2</c:v>
                </c:pt>
                <c:pt idx="454">
                  <c:v>1.0987990524491046E-2</c:v>
                </c:pt>
                <c:pt idx="455">
                  <c:v>1.0581124690667168E-2</c:v>
                </c:pt>
                <c:pt idx="456">
                  <c:v>1.018932437827455E-2</c:v>
                </c:pt>
                <c:pt idx="457">
                  <c:v>9.8120317377295516E-3</c:v>
                </c:pt>
                <c:pt idx="458">
                  <c:v>9.4487095756308898E-3</c:v>
                </c:pt>
                <c:pt idx="459">
                  <c:v>9.0988405898977786E-3</c:v>
                </c:pt>
                <c:pt idx="460">
                  <c:v>8.7619266332295484E-3</c:v>
                </c:pt>
                <c:pt idx="461">
                  <c:v>8.4374880038380565E-3</c:v>
                </c:pt>
                <c:pt idx="462">
                  <c:v>8.1250627624430156E-3</c:v>
                </c:pt>
                <c:pt idx="463">
                  <c:v>7.8242060745577803E-3</c:v>
                </c:pt>
                <c:pt idx="464">
                  <c:v>7.534489577129125E-3</c:v>
                </c:pt>
                <c:pt idx="465">
                  <c:v>7.2555007686292243E-3</c:v>
                </c:pt>
                <c:pt idx="466">
                  <c:v>6.9868424217314554E-3</c:v>
                </c:pt>
                <c:pt idx="467">
                  <c:v>6.7109382016350408E-3</c:v>
                </c:pt>
                <c:pt idx="468">
                  <c:v>6.4459291948656423E-3</c:v>
                </c:pt>
                <c:pt idx="469">
                  <c:v>6.191385159097138E-3</c:v>
                </c:pt>
                <c:pt idx="470">
                  <c:v>5.9468928418918666E-3</c:v>
                </c:pt>
                <c:pt idx="471">
                  <c:v>5.7120553097849787E-3</c:v>
                </c:pt>
                <c:pt idx="472">
                  <c:v>5.4864913038626499E-3</c:v>
                </c:pt>
                <c:pt idx="473">
                  <c:v>5.2698346207879438E-3</c:v>
                </c:pt>
                <c:pt idx="474">
                  <c:v>5.0617335182694088E-3</c:v>
                </c:pt>
                <c:pt idx="475">
                  <c:v>4.8618501440072029E-3</c:v>
                </c:pt>
                <c:pt idx="476">
                  <c:v>4.6698599871896219E-3</c:v>
                </c:pt>
                <c:pt idx="477">
                  <c:v>4.4854513516495477E-3</c:v>
                </c:pt>
                <c:pt idx="478">
                  <c:v>4.3083248498254813E-3</c:v>
                </c:pt>
                <c:pt idx="479">
                  <c:v>4.1275610561253553E-3</c:v>
                </c:pt>
                <c:pt idx="480">
                  <c:v>3.954381544078036E-3</c:v>
                </c:pt>
                <c:pt idx="481">
                  <c:v>3.7884681010204027E-3</c:v>
                </c:pt>
                <c:pt idx="482">
                  <c:v>3.6295158654943141E-3</c:v>
                </c:pt>
                <c:pt idx="483">
                  <c:v>3.4772327670719366E-3</c:v>
                </c:pt>
                <c:pt idx="484">
                  <c:v>3.3313389896842426E-3</c:v>
                </c:pt>
                <c:pt idx="485">
                  <c:v>3.1915664574665614E-3</c:v>
                </c:pt>
                <c:pt idx="486">
                  <c:v>3.0576583421764395E-3</c:v>
                </c:pt>
                <c:pt idx="487">
                  <c:v>2.9293685912787004E-3</c:v>
                </c:pt>
                <c:pt idx="488">
                  <c:v>2.8064614758305743E-3</c:v>
                </c:pt>
                <c:pt idx="489">
                  <c:v>2.6887111573361509E-3</c:v>
                </c:pt>
                <c:pt idx="490">
                  <c:v>2.57590127277426E-3</c:v>
                </c:pt>
                <c:pt idx="491">
                  <c:v>2.4615778278600574E-3</c:v>
                </c:pt>
                <c:pt idx="492">
                  <c:v>2.3523282769631415E-3</c:v>
                </c:pt>
                <c:pt idx="493">
                  <c:v>2.2479274309237739E-3</c:v>
                </c:pt>
                <c:pt idx="494">
                  <c:v>2.1481600949095491E-3</c:v>
                </c:pt>
                <c:pt idx="495">
                  <c:v>2.0528206248479563E-3</c:v>
                </c:pt>
                <c:pt idx="496">
                  <c:v>1.9617125035453153E-3</c:v>
                </c:pt>
                <c:pt idx="497">
                  <c:v>1.8746479356183678E-3</c:v>
                </c:pt>
                <c:pt idx="498">
                  <c:v>1.7914474604035821E-3</c:v>
                </c:pt>
                <c:pt idx="499">
                  <c:v>1.7119395820462872E-3</c:v>
                </c:pt>
                <c:pt idx="500">
                  <c:v>1.6359604160071611E-3</c:v>
                </c:pt>
                <c:pt idx="501">
                  <c:v>1.5633533512574398E-3</c:v>
                </c:pt>
                <c:pt idx="502">
                  <c:v>1.493968727466551E-3</c:v>
                </c:pt>
                <c:pt idx="503">
                  <c:v>1.4241244391777408E-3</c:v>
                </c:pt>
                <c:pt idx="504">
                  <c:v>1.3575454298180569E-3</c:v>
                </c:pt>
                <c:pt idx="505">
                  <c:v>1.2940790448649007E-3</c:v>
                </c:pt>
                <c:pt idx="506">
                  <c:v>1.2335797665223584E-3</c:v>
                </c:pt>
                <c:pt idx="507">
                  <c:v>1.1759088800732578E-3</c:v>
                </c:pt>
                <c:pt idx="508">
                  <c:v>1.1209341558295421E-3</c:v>
                </c:pt>
                <c:pt idx="509">
                  <c:v>1.0685295459517321E-3</c:v>
                </c:pt>
                <c:pt idx="510">
                  <c:v>1.0185748954423322E-3</c:v>
                </c:pt>
                <c:pt idx="511">
                  <c:v>9.7095566665053557E-4</c:v>
                </c:pt>
                <c:pt idx="512">
                  <c:v>9.2556267665656509E-4</c:v>
                </c:pt>
                <c:pt idx="513">
                  <c:v>8.8229184693351692E-4</c:v>
                </c:pt>
                <c:pt idx="514">
                  <c:v>8.4104396471272179E-4</c:v>
                </c:pt>
                <c:pt idx="515">
                  <c:v>7.997984117572753E-4</c:v>
                </c:pt>
                <c:pt idx="516">
                  <c:v>7.6057557783909297E-4</c:v>
                </c:pt>
                <c:pt idx="517">
                  <c:v>7.2327626699617302E-4</c:v>
                </c:pt>
                <c:pt idx="518">
                  <c:v>6.8780614792576496E-4</c:v>
                </c:pt>
                <c:pt idx="519">
                  <c:v>6.5407551541710196E-4</c:v>
                </c:pt>
                <c:pt idx="520">
                  <c:v>6.2199906348368622E-4</c:v>
                </c:pt>
                <c:pt idx="521">
                  <c:v>5.9149566962137196E-4</c:v>
                </c:pt>
                <c:pt idx="522">
                  <c:v>5.6248818964662565E-4</c:v>
                </c:pt>
                <c:pt idx="523">
                  <c:v>5.3490326259610262E-4</c:v>
                </c:pt>
                <c:pt idx="524">
                  <c:v>5.0867112519412442E-4</c:v>
                </c:pt>
                <c:pt idx="525">
                  <c:v>4.8372543541883766E-4</c:v>
                </c:pt>
                <c:pt idx="526">
                  <c:v>4.600031047208474E-4</c:v>
                </c:pt>
                <c:pt idx="527">
                  <c:v>4.3644925997805037E-4</c:v>
                </c:pt>
                <c:pt idx="528">
                  <c:v>4.1410145840425422E-4</c:v>
                </c:pt>
                <c:pt idx="529">
                  <c:v>3.9289794616939952E-4</c:v>
                </c:pt>
                <c:pt idx="530">
                  <c:v>3.7278013146583617E-4</c:v>
                </c:pt>
                <c:pt idx="531">
                  <c:v>3.5369242260118805E-4</c:v>
                </c:pt>
                <c:pt idx="532">
                  <c:v>3.3558207438145657E-4</c:v>
                </c:pt>
                <c:pt idx="533">
                  <c:v>3.1839904235987209E-4</c:v>
                </c:pt>
                <c:pt idx="534">
                  <c:v>3.0209584454873824E-4</c:v>
                </c:pt>
                <c:pt idx="535">
                  <c:v>2.8662743021213682E-4</c:v>
                </c:pt>
                <c:pt idx="536">
                  <c:v>2.7195105537692672E-4</c:v>
                </c:pt>
                <c:pt idx="537">
                  <c:v>2.5802616471803626E-4</c:v>
                </c:pt>
                <c:pt idx="538">
                  <c:v>2.4481427949166125E-4</c:v>
                </c:pt>
                <c:pt idx="539">
                  <c:v>2.3178081307587064E-4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E89-44BD-AFF4-8F136AE78B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Attained Age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P(alive)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Expected Monthly Cashflows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Projection!$P$3</c:f>
              <c:strCache>
                <c:ptCount val="1"/>
                <c:pt idx="0">
                  <c:v>ExpBenefitCF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Projection!$C$4:$C$543</c:f>
              <c:numCache>
                <c:formatCode>General</c:formatCode>
                <c:ptCount val="540"/>
                <c:pt idx="0">
                  <c:v>65.083333333333329</c:v>
                </c:pt>
                <c:pt idx="1">
                  <c:v>65.166666666666671</c:v>
                </c:pt>
                <c:pt idx="2">
                  <c:v>65.25</c:v>
                </c:pt>
                <c:pt idx="3">
                  <c:v>65.333333333333329</c:v>
                </c:pt>
                <c:pt idx="4">
                  <c:v>65.416666666666671</c:v>
                </c:pt>
                <c:pt idx="5">
                  <c:v>65.5</c:v>
                </c:pt>
                <c:pt idx="6">
                  <c:v>65.583333333333329</c:v>
                </c:pt>
                <c:pt idx="7">
                  <c:v>65.666666666666671</c:v>
                </c:pt>
                <c:pt idx="8">
                  <c:v>65.75</c:v>
                </c:pt>
                <c:pt idx="9">
                  <c:v>65.833333333333329</c:v>
                </c:pt>
                <c:pt idx="10">
                  <c:v>65.916666666666671</c:v>
                </c:pt>
                <c:pt idx="11">
                  <c:v>66</c:v>
                </c:pt>
                <c:pt idx="12">
                  <c:v>66.083333333333329</c:v>
                </c:pt>
                <c:pt idx="13">
                  <c:v>66.166666666666671</c:v>
                </c:pt>
                <c:pt idx="14">
                  <c:v>66.25</c:v>
                </c:pt>
                <c:pt idx="15">
                  <c:v>66.333333333333329</c:v>
                </c:pt>
                <c:pt idx="16">
                  <c:v>66.416666666666671</c:v>
                </c:pt>
                <c:pt idx="17">
                  <c:v>66.5</c:v>
                </c:pt>
                <c:pt idx="18">
                  <c:v>66.583333333333329</c:v>
                </c:pt>
                <c:pt idx="19">
                  <c:v>66.666666666666671</c:v>
                </c:pt>
                <c:pt idx="20">
                  <c:v>66.75</c:v>
                </c:pt>
                <c:pt idx="21">
                  <c:v>66.833333333333329</c:v>
                </c:pt>
                <c:pt idx="22">
                  <c:v>66.916666666666671</c:v>
                </c:pt>
                <c:pt idx="23">
                  <c:v>67</c:v>
                </c:pt>
                <c:pt idx="24">
                  <c:v>67.083333333333329</c:v>
                </c:pt>
                <c:pt idx="25">
                  <c:v>67.166666666666671</c:v>
                </c:pt>
                <c:pt idx="26">
                  <c:v>67.25</c:v>
                </c:pt>
                <c:pt idx="27">
                  <c:v>67.333333333333329</c:v>
                </c:pt>
                <c:pt idx="28">
                  <c:v>67.416666666666671</c:v>
                </c:pt>
                <c:pt idx="29">
                  <c:v>67.5</c:v>
                </c:pt>
                <c:pt idx="30">
                  <c:v>67.583333333333329</c:v>
                </c:pt>
                <c:pt idx="31">
                  <c:v>67.666666666666671</c:v>
                </c:pt>
                <c:pt idx="32">
                  <c:v>67.75</c:v>
                </c:pt>
                <c:pt idx="33">
                  <c:v>67.833333333333329</c:v>
                </c:pt>
                <c:pt idx="34">
                  <c:v>67.916666666666671</c:v>
                </c:pt>
                <c:pt idx="35">
                  <c:v>68</c:v>
                </c:pt>
                <c:pt idx="36">
                  <c:v>68.083333333333329</c:v>
                </c:pt>
                <c:pt idx="37">
                  <c:v>68.166666666666671</c:v>
                </c:pt>
                <c:pt idx="38">
                  <c:v>68.25</c:v>
                </c:pt>
                <c:pt idx="39">
                  <c:v>68.333333333333329</c:v>
                </c:pt>
                <c:pt idx="40">
                  <c:v>68.416666666666671</c:v>
                </c:pt>
                <c:pt idx="41">
                  <c:v>68.5</c:v>
                </c:pt>
                <c:pt idx="42">
                  <c:v>68.583333333333329</c:v>
                </c:pt>
                <c:pt idx="43">
                  <c:v>68.666666666666671</c:v>
                </c:pt>
                <c:pt idx="44">
                  <c:v>68.75</c:v>
                </c:pt>
                <c:pt idx="45">
                  <c:v>68.833333333333329</c:v>
                </c:pt>
                <c:pt idx="46">
                  <c:v>68.916666666666671</c:v>
                </c:pt>
                <c:pt idx="47">
                  <c:v>69</c:v>
                </c:pt>
                <c:pt idx="48">
                  <c:v>69.083333333333329</c:v>
                </c:pt>
                <c:pt idx="49">
                  <c:v>69.166666666666671</c:v>
                </c:pt>
                <c:pt idx="50">
                  <c:v>69.25</c:v>
                </c:pt>
                <c:pt idx="51">
                  <c:v>69.333333333333329</c:v>
                </c:pt>
                <c:pt idx="52">
                  <c:v>69.416666666666671</c:v>
                </c:pt>
                <c:pt idx="53">
                  <c:v>69.5</c:v>
                </c:pt>
                <c:pt idx="54">
                  <c:v>69.583333333333329</c:v>
                </c:pt>
                <c:pt idx="55">
                  <c:v>69.666666666666671</c:v>
                </c:pt>
                <c:pt idx="56">
                  <c:v>69.75</c:v>
                </c:pt>
                <c:pt idx="57">
                  <c:v>69.833333333333329</c:v>
                </c:pt>
                <c:pt idx="58">
                  <c:v>69.916666666666671</c:v>
                </c:pt>
                <c:pt idx="59">
                  <c:v>70</c:v>
                </c:pt>
                <c:pt idx="60">
                  <c:v>70.083333333333329</c:v>
                </c:pt>
                <c:pt idx="61">
                  <c:v>70.166666666666671</c:v>
                </c:pt>
                <c:pt idx="62">
                  <c:v>70.25</c:v>
                </c:pt>
                <c:pt idx="63">
                  <c:v>70.333333333333329</c:v>
                </c:pt>
                <c:pt idx="64">
                  <c:v>70.416666666666671</c:v>
                </c:pt>
                <c:pt idx="65">
                  <c:v>70.5</c:v>
                </c:pt>
                <c:pt idx="66">
                  <c:v>70.583333333333329</c:v>
                </c:pt>
                <c:pt idx="67">
                  <c:v>70.666666666666671</c:v>
                </c:pt>
                <c:pt idx="68">
                  <c:v>70.75</c:v>
                </c:pt>
                <c:pt idx="69">
                  <c:v>70.833333333333329</c:v>
                </c:pt>
                <c:pt idx="70">
                  <c:v>70.916666666666671</c:v>
                </c:pt>
                <c:pt idx="71">
                  <c:v>71</c:v>
                </c:pt>
                <c:pt idx="72">
                  <c:v>71.083333333333329</c:v>
                </c:pt>
                <c:pt idx="73">
                  <c:v>71.166666666666671</c:v>
                </c:pt>
                <c:pt idx="74">
                  <c:v>71.25</c:v>
                </c:pt>
                <c:pt idx="75">
                  <c:v>71.333333333333329</c:v>
                </c:pt>
                <c:pt idx="76">
                  <c:v>71.416666666666671</c:v>
                </c:pt>
                <c:pt idx="77">
                  <c:v>71.5</c:v>
                </c:pt>
                <c:pt idx="78">
                  <c:v>71.583333333333329</c:v>
                </c:pt>
                <c:pt idx="79">
                  <c:v>71.666666666666671</c:v>
                </c:pt>
                <c:pt idx="80">
                  <c:v>71.75</c:v>
                </c:pt>
                <c:pt idx="81">
                  <c:v>71.833333333333329</c:v>
                </c:pt>
                <c:pt idx="82">
                  <c:v>71.916666666666671</c:v>
                </c:pt>
                <c:pt idx="83">
                  <c:v>72</c:v>
                </c:pt>
                <c:pt idx="84">
                  <c:v>72.083333333333329</c:v>
                </c:pt>
                <c:pt idx="85">
                  <c:v>72.166666666666671</c:v>
                </c:pt>
                <c:pt idx="86">
                  <c:v>72.25</c:v>
                </c:pt>
                <c:pt idx="87">
                  <c:v>72.333333333333329</c:v>
                </c:pt>
                <c:pt idx="88">
                  <c:v>72.416666666666671</c:v>
                </c:pt>
                <c:pt idx="89">
                  <c:v>72.5</c:v>
                </c:pt>
                <c:pt idx="90">
                  <c:v>72.583333333333329</c:v>
                </c:pt>
                <c:pt idx="91">
                  <c:v>72.666666666666671</c:v>
                </c:pt>
                <c:pt idx="92">
                  <c:v>72.75</c:v>
                </c:pt>
                <c:pt idx="93">
                  <c:v>72.833333333333329</c:v>
                </c:pt>
                <c:pt idx="94">
                  <c:v>72.916666666666671</c:v>
                </c:pt>
                <c:pt idx="95">
                  <c:v>73</c:v>
                </c:pt>
                <c:pt idx="96">
                  <c:v>73.083333333333329</c:v>
                </c:pt>
                <c:pt idx="97">
                  <c:v>73.166666666666671</c:v>
                </c:pt>
                <c:pt idx="98">
                  <c:v>73.25</c:v>
                </c:pt>
                <c:pt idx="99">
                  <c:v>73.333333333333329</c:v>
                </c:pt>
                <c:pt idx="100">
                  <c:v>73.416666666666671</c:v>
                </c:pt>
                <c:pt idx="101">
                  <c:v>73.5</c:v>
                </c:pt>
                <c:pt idx="102">
                  <c:v>73.583333333333329</c:v>
                </c:pt>
                <c:pt idx="103">
                  <c:v>73.666666666666671</c:v>
                </c:pt>
                <c:pt idx="104">
                  <c:v>73.75</c:v>
                </c:pt>
                <c:pt idx="105">
                  <c:v>73.833333333333329</c:v>
                </c:pt>
                <c:pt idx="106">
                  <c:v>73.916666666666671</c:v>
                </c:pt>
                <c:pt idx="107">
                  <c:v>74</c:v>
                </c:pt>
                <c:pt idx="108">
                  <c:v>74.083333333333329</c:v>
                </c:pt>
                <c:pt idx="109">
                  <c:v>74.166666666666671</c:v>
                </c:pt>
                <c:pt idx="110">
                  <c:v>74.25</c:v>
                </c:pt>
                <c:pt idx="111">
                  <c:v>74.333333333333329</c:v>
                </c:pt>
                <c:pt idx="112">
                  <c:v>74.416666666666671</c:v>
                </c:pt>
                <c:pt idx="113">
                  <c:v>74.5</c:v>
                </c:pt>
                <c:pt idx="114">
                  <c:v>74.583333333333329</c:v>
                </c:pt>
                <c:pt idx="115">
                  <c:v>74.666666666666671</c:v>
                </c:pt>
                <c:pt idx="116">
                  <c:v>74.75</c:v>
                </c:pt>
                <c:pt idx="117">
                  <c:v>74.833333333333329</c:v>
                </c:pt>
                <c:pt idx="118">
                  <c:v>74.916666666666671</c:v>
                </c:pt>
                <c:pt idx="119">
                  <c:v>75</c:v>
                </c:pt>
                <c:pt idx="120">
                  <c:v>75.083333333333329</c:v>
                </c:pt>
                <c:pt idx="121">
                  <c:v>75.166666666666671</c:v>
                </c:pt>
                <c:pt idx="122">
                  <c:v>75.25</c:v>
                </c:pt>
                <c:pt idx="123">
                  <c:v>75.333333333333329</c:v>
                </c:pt>
                <c:pt idx="124">
                  <c:v>75.416666666666671</c:v>
                </c:pt>
                <c:pt idx="125">
                  <c:v>75.5</c:v>
                </c:pt>
                <c:pt idx="126">
                  <c:v>75.583333333333329</c:v>
                </c:pt>
                <c:pt idx="127">
                  <c:v>75.666666666666671</c:v>
                </c:pt>
                <c:pt idx="128">
                  <c:v>75.75</c:v>
                </c:pt>
                <c:pt idx="129">
                  <c:v>75.833333333333329</c:v>
                </c:pt>
                <c:pt idx="130">
                  <c:v>75.916666666666671</c:v>
                </c:pt>
                <c:pt idx="131">
                  <c:v>76</c:v>
                </c:pt>
                <c:pt idx="132">
                  <c:v>76.083333333333329</c:v>
                </c:pt>
                <c:pt idx="133">
                  <c:v>76.166666666666671</c:v>
                </c:pt>
                <c:pt idx="134">
                  <c:v>76.25</c:v>
                </c:pt>
                <c:pt idx="135">
                  <c:v>76.333333333333329</c:v>
                </c:pt>
                <c:pt idx="136">
                  <c:v>76.416666666666671</c:v>
                </c:pt>
                <c:pt idx="137">
                  <c:v>76.5</c:v>
                </c:pt>
                <c:pt idx="138">
                  <c:v>76.583333333333329</c:v>
                </c:pt>
                <c:pt idx="139">
                  <c:v>76.666666666666671</c:v>
                </c:pt>
                <c:pt idx="140">
                  <c:v>76.75</c:v>
                </c:pt>
                <c:pt idx="141">
                  <c:v>76.833333333333329</c:v>
                </c:pt>
                <c:pt idx="142">
                  <c:v>76.916666666666671</c:v>
                </c:pt>
                <c:pt idx="143">
                  <c:v>77</c:v>
                </c:pt>
                <c:pt idx="144">
                  <c:v>77.083333333333329</c:v>
                </c:pt>
                <c:pt idx="145">
                  <c:v>77.166666666666671</c:v>
                </c:pt>
                <c:pt idx="146">
                  <c:v>77.25</c:v>
                </c:pt>
                <c:pt idx="147">
                  <c:v>77.333333333333329</c:v>
                </c:pt>
                <c:pt idx="148">
                  <c:v>77.416666666666671</c:v>
                </c:pt>
                <c:pt idx="149">
                  <c:v>77.5</c:v>
                </c:pt>
                <c:pt idx="150">
                  <c:v>77.583333333333329</c:v>
                </c:pt>
                <c:pt idx="151">
                  <c:v>77.666666666666671</c:v>
                </c:pt>
                <c:pt idx="152">
                  <c:v>77.75</c:v>
                </c:pt>
                <c:pt idx="153">
                  <c:v>77.833333333333329</c:v>
                </c:pt>
                <c:pt idx="154">
                  <c:v>77.916666666666671</c:v>
                </c:pt>
                <c:pt idx="155">
                  <c:v>78</c:v>
                </c:pt>
                <c:pt idx="156">
                  <c:v>78.083333333333329</c:v>
                </c:pt>
                <c:pt idx="157">
                  <c:v>78.166666666666671</c:v>
                </c:pt>
                <c:pt idx="158">
                  <c:v>78.25</c:v>
                </c:pt>
                <c:pt idx="159">
                  <c:v>78.333333333333329</c:v>
                </c:pt>
                <c:pt idx="160">
                  <c:v>78.416666666666671</c:v>
                </c:pt>
                <c:pt idx="161">
                  <c:v>78.5</c:v>
                </c:pt>
                <c:pt idx="162">
                  <c:v>78.583333333333329</c:v>
                </c:pt>
                <c:pt idx="163">
                  <c:v>78.666666666666671</c:v>
                </c:pt>
                <c:pt idx="164">
                  <c:v>78.75</c:v>
                </c:pt>
                <c:pt idx="165">
                  <c:v>78.833333333333329</c:v>
                </c:pt>
                <c:pt idx="166">
                  <c:v>78.916666666666671</c:v>
                </c:pt>
                <c:pt idx="167">
                  <c:v>79</c:v>
                </c:pt>
                <c:pt idx="168">
                  <c:v>79.083333333333329</c:v>
                </c:pt>
                <c:pt idx="169">
                  <c:v>79.166666666666671</c:v>
                </c:pt>
                <c:pt idx="170">
                  <c:v>79.25</c:v>
                </c:pt>
                <c:pt idx="171">
                  <c:v>79.333333333333329</c:v>
                </c:pt>
                <c:pt idx="172">
                  <c:v>79.416666666666671</c:v>
                </c:pt>
                <c:pt idx="173">
                  <c:v>79.5</c:v>
                </c:pt>
                <c:pt idx="174">
                  <c:v>79.583333333333329</c:v>
                </c:pt>
                <c:pt idx="175">
                  <c:v>79.666666666666671</c:v>
                </c:pt>
                <c:pt idx="176">
                  <c:v>79.75</c:v>
                </c:pt>
                <c:pt idx="177">
                  <c:v>79.833333333333329</c:v>
                </c:pt>
                <c:pt idx="178">
                  <c:v>79.916666666666671</c:v>
                </c:pt>
                <c:pt idx="179">
                  <c:v>80</c:v>
                </c:pt>
                <c:pt idx="180">
                  <c:v>80.083333333333329</c:v>
                </c:pt>
                <c:pt idx="181">
                  <c:v>80.166666666666671</c:v>
                </c:pt>
                <c:pt idx="182">
                  <c:v>80.25</c:v>
                </c:pt>
                <c:pt idx="183">
                  <c:v>80.333333333333329</c:v>
                </c:pt>
                <c:pt idx="184">
                  <c:v>80.416666666666671</c:v>
                </c:pt>
                <c:pt idx="185">
                  <c:v>80.5</c:v>
                </c:pt>
                <c:pt idx="186">
                  <c:v>80.583333333333329</c:v>
                </c:pt>
                <c:pt idx="187">
                  <c:v>80.666666666666671</c:v>
                </c:pt>
                <c:pt idx="188">
                  <c:v>80.75</c:v>
                </c:pt>
                <c:pt idx="189">
                  <c:v>80.833333333333329</c:v>
                </c:pt>
                <c:pt idx="190">
                  <c:v>80.916666666666671</c:v>
                </c:pt>
                <c:pt idx="191">
                  <c:v>81</c:v>
                </c:pt>
                <c:pt idx="192">
                  <c:v>81.083333333333329</c:v>
                </c:pt>
                <c:pt idx="193">
                  <c:v>81.166666666666671</c:v>
                </c:pt>
                <c:pt idx="194">
                  <c:v>81.25</c:v>
                </c:pt>
                <c:pt idx="195">
                  <c:v>81.333333333333329</c:v>
                </c:pt>
                <c:pt idx="196">
                  <c:v>81.416666666666671</c:v>
                </c:pt>
                <c:pt idx="197">
                  <c:v>81.5</c:v>
                </c:pt>
                <c:pt idx="198">
                  <c:v>81.583333333333329</c:v>
                </c:pt>
                <c:pt idx="199">
                  <c:v>81.666666666666671</c:v>
                </c:pt>
                <c:pt idx="200">
                  <c:v>81.75</c:v>
                </c:pt>
                <c:pt idx="201">
                  <c:v>81.833333333333329</c:v>
                </c:pt>
                <c:pt idx="202">
                  <c:v>81.916666666666671</c:v>
                </c:pt>
                <c:pt idx="203">
                  <c:v>82</c:v>
                </c:pt>
                <c:pt idx="204">
                  <c:v>82.083333333333329</c:v>
                </c:pt>
                <c:pt idx="205">
                  <c:v>82.166666666666671</c:v>
                </c:pt>
                <c:pt idx="206">
                  <c:v>82.25</c:v>
                </c:pt>
                <c:pt idx="207">
                  <c:v>82.333333333333329</c:v>
                </c:pt>
                <c:pt idx="208">
                  <c:v>82.416666666666671</c:v>
                </c:pt>
                <c:pt idx="209">
                  <c:v>82.5</c:v>
                </c:pt>
                <c:pt idx="210">
                  <c:v>82.583333333333329</c:v>
                </c:pt>
                <c:pt idx="211">
                  <c:v>82.666666666666671</c:v>
                </c:pt>
                <c:pt idx="212">
                  <c:v>82.75</c:v>
                </c:pt>
                <c:pt idx="213">
                  <c:v>82.833333333333329</c:v>
                </c:pt>
                <c:pt idx="214">
                  <c:v>82.916666666666671</c:v>
                </c:pt>
                <c:pt idx="215">
                  <c:v>83</c:v>
                </c:pt>
                <c:pt idx="216">
                  <c:v>83.083333333333329</c:v>
                </c:pt>
                <c:pt idx="217">
                  <c:v>83.166666666666671</c:v>
                </c:pt>
                <c:pt idx="218">
                  <c:v>83.25</c:v>
                </c:pt>
                <c:pt idx="219">
                  <c:v>83.333333333333329</c:v>
                </c:pt>
                <c:pt idx="220">
                  <c:v>83.416666666666671</c:v>
                </c:pt>
                <c:pt idx="221">
                  <c:v>83.5</c:v>
                </c:pt>
                <c:pt idx="222">
                  <c:v>83.583333333333329</c:v>
                </c:pt>
                <c:pt idx="223">
                  <c:v>83.666666666666671</c:v>
                </c:pt>
                <c:pt idx="224">
                  <c:v>83.75</c:v>
                </c:pt>
                <c:pt idx="225">
                  <c:v>83.833333333333329</c:v>
                </c:pt>
                <c:pt idx="226">
                  <c:v>83.916666666666671</c:v>
                </c:pt>
                <c:pt idx="227">
                  <c:v>84</c:v>
                </c:pt>
                <c:pt idx="228">
                  <c:v>84.083333333333329</c:v>
                </c:pt>
                <c:pt idx="229">
                  <c:v>84.166666666666671</c:v>
                </c:pt>
                <c:pt idx="230">
                  <c:v>84.25</c:v>
                </c:pt>
                <c:pt idx="231">
                  <c:v>84.333333333333329</c:v>
                </c:pt>
                <c:pt idx="232">
                  <c:v>84.416666666666671</c:v>
                </c:pt>
                <c:pt idx="233">
                  <c:v>84.5</c:v>
                </c:pt>
                <c:pt idx="234">
                  <c:v>84.583333333333329</c:v>
                </c:pt>
                <c:pt idx="235">
                  <c:v>84.666666666666671</c:v>
                </c:pt>
                <c:pt idx="236">
                  <c:v>84.75</c:v>
                </c:pt>
                <c:pt idx="237">
                  <c:v>84.833333333333329</c:v>
                </c:pt>
                <c:pt idx="238">
                  <c:v>84.916666666666671</c:v>
                </c:pt>
                <c:pt idx="239">
                  <c:v>85</c:v>
                </c:pt>
                <c:pt idx="240">
                  <c:v>85.083333333333329</c:v>
                </c:pt>
                <c:pt idx="241">
                  <c:v>85.166666666666671</c:v>
                </c:pt>
                <c:pt idx="242">
                  <c:v>85.25</c:v>
                </c:pt>
                <c:pt idx="243">
                  <c:v>85.333333333333329</c:v>
                </c:pt>
                <c:pt idx="244">
                  <c:v>85.416666666666671</c:v>
                </c:pt>
                <c:pt idx="245">
                  <c:v>85.5</c:v>
                </c:pt>
                <c:pt idx="246">
                  <c:v>85.583333333333329</c:v>
                </c:pt>
                <c:pt idx="247">
                  <c:v>85.666666666666671</c:v>
                </c:pt>
                <c:pt idx="248">
                  <c:v>85.75</c:v>
                </c:pt>
                <c:pt idx="249">
                  <c:v>85.833333333333329</c:v>
                </c:pt>
                <c:pt idx="250">
                  <c:v>85.916666666666671</c:v>
                </c:pt>
                <c:pt idx="251">
                  <c:v>86</c:v>
                </c:pt>
                <c:pt idx="252">
                  <c:v>86.083333333333329</c:v>
                </c:pt>
                <c:pt idx="253">
                  <c:v>86.166666666666671</c:v>
                </c:pt>
                <c:pt idx="254">
                  <c:v>86.25</c:v>
                </c:pt>
                <c:pt idx="255">
                  <c:v>86.333333333333329</c:v>
                </c:pt>
                <c:pt idx="256">
                  <c:v>86.416666666666671</c:v>
                </c:pt>
                <c:pt idx="257">
                  <c:v>86.5</c:v>
                </c:pt>
                <c:pt idx="258">
                  <c:v>86.583333333333329</c:v>
                </c:pt>
                <c:pt idx="259">
                  <c:v>86.666666666666671</c:v>
                </c:pt>
                <c:pt idx="260">
                  <c:v>86.75</c:v>
                </c:pt>
                <c:pt idx="261">
                  <c:v>86.833333333333329</c:v>
                </c:pt>
                <c:pt idx="262">
                  <c:v>86.916666666666671</c:v>
                </c:pt>
                <c:pt idx="263">
                  <c:v>87</c:v>
                </c:pt>
                <c:pt idx="264">
                  <c:v>87.083333333333329</c:v>
                </c:pt>
                <c:pt idx="265">
                  <c:v>87.166666666666671</c:v>
                </c:pt>
                <c:pt idx="266">
                  <c:v>87.25</c:v>
                </c:pt>
                <c:pt idx="267">
                  <c:v>87.333333333333329</c:v>
                </c:pt>
                <c:pt idx="268">
                  <c:v>87.416666666666671</c:v>
                </c:pt>
                <c:pt idx="269">
                  <c:v>87.5</c:v>
                </c:pt>
                <c:pt idx="270">
                  <c:v>87.583333333333329</c:v>
                </c:pt>
                <c:pt idx="271">
                  <c:v>87.666666666666671</c:v>
                </c:pt>
                <c:pt idx="272">
                  <c:v>87.75</c:v>
                </c:pt>
                <c:pt idx="273">
                  <c:v>87.833333333333329</c:v>
                </c:pt>
                <c:pt idx="274">
                  <c:v>87.916666666666671</c:v>
                </c:pt>
                <c:pt idx="275">
                  <c:v>88</c:v>
                </c:pt>
                <c:pt idx="276">
                  <c:v>88.083333333333329</c:v>
                </c:pt>
                <c:pt idx="277">
                  <c:v>88.166666666666671</c:v>
                </c:pt>
                <c:pt idx="278">
                  <c:v>88.25</c:v>
                </c:pt>
                <c:pt idx="279">
                  <c:v>88.333333333333329</c:v>
                </c:pt>
                <c:pt idx="280">
                  <c:v>88.416666666666671</c:v>
                </c:pt>
                <c:pt idx="281">
                  <c:v>88.5</c:v>
                </c:pt>
                <c:pt idx="282">
                  <c:v>88.583333333333329</c:v>
                </c:pt>
                <c:pt idx="283">
                  <c:v>88.666666666666671</c:v>
                </c:pt>
                <c:pt idx="284">
                  <c:v>88.75</c:v>
                </c:pt>
                <c:pt idx="285">
                  <c:v>88.833333333333329</c:v>
                </c:pt>
                <c:pt idx="286">
                  <c:v>88.916666666666671</c:v>
                </c:pt>
                <c:pt idx="287">
                  <c:v>89</c:v>
                </c:pt>
                <c:pt idx="288">
                  <c:v>89.083333333333329</c:v>
                </c:pt>
                <c:pt idx="289">
                  <c:v>89.166666666666671</c:v>
                </c:pt>
                <c:pt idx="290">
                  <c:v>89.25</c:v>
                </c:pt>
                <c:pt idx="291">
                  <c:v>89.333333333333329</c:v>
                </c:pt>
                <c:pt idx="292">
                  <c:v>89.416666666666671</c:v>
                </c:pt>
                <c:pt idx="293">
                  <c:v>89.5</c:v>
                </c:pt>
                <c:pt idx="294">
                  <c:v>89.583333333333329</c:v>
                </c:pt>
                <c:pt idx="295">
                  <c:v>89.666666666666671</c:v>
                </c:pt>
                <c:pt idx="296">
                  <c:v>89.75</c:v>
                </c:pt>
                <c:pt idx="297">
                  <c:v>89.833333333333329</c:v>
                </c:pt>
                <c:pt idx="298">
                  <c:v>89.916666666666671</c:v>
                </c:pt>
                <c:pt idx="299">
                  <c:v>90</c:v>
                </c:pt>
                <c:pt idx="300">
                  <c:v>90.083333333333329</c:v>
                </c:pt>
                <c:pt idx="301">
                  <c:v>90.166666666666671</c:v>
                </c:pt>
                <c:pt idx="302">
                  <c:v>90.25</c:v>
                </c:pt>
                <c:pt idx="303">
                  <c:v>90.333333333333329</c:v>
                </c:pt>
                <c:pt idx="304">
                  <c:v>90.416666666666671</c:v>
                </c:pt>
                <c:pt idx="305">
                  <c:v>90.5</c:v>
                </c:pt>
                <c:pt idx="306">
                  <c:v>90.583333333333329</c:v>
                </c:pt>
                <c:pt idx="307">
                  <c:v>90.666666666666671</c:v>
                </c:pt>
                <c:pt idx="308">
                  <c:v>90.75</c:v>
                </c:pt>
                <c:pt idx="309">
                  <c:v>90.833333333333329</c:v>
                </c:pt>
                <c:pt idx="310">
                  <c:v>90.916666666666671</c:v>
                </c:pt>
                <c:pt idx="311">
                  <c:v>91</c:v>
                </c:pt>
                <c:pt idx="312">
                  <c:v>91.083333333333329</c:v>
                </c:pt>
                <c:pt idx="313">
                  <c:v>91.166666666666671</c:v>
                </c:pt>
                <c:pt idx="314">
                  <c:v>91.25</c:v>
                </c:pt>
                <c:pt idx="315">
                  <c:v>91.333333333333329</c:v>
                </c:pt>
                <c:pt idx="316">
                  <c:v>91.416666666666671</c:v>
                </c:pt>
                <c:pt idx="317">
                  <c:v>91.5</c:v>
                </c:pt>
                <c:pt idx="318">
                  <c:v>91.583333333333329</c:v>
                </c:pt>
                <c:pt idx="319">
                  <c:v>91.666666666666671</c:v>
                </c:pt>
                <c:pt idx="320">
                  <c:v>91.75</c:v>
                </c:pt>
                <c:pt idx="321">
                  <c:v>91.833333333333329</c:v>
                </c:pt>
                <c:pt idx="322">
                  <c:v>91.916666666666671</c:v>
                </c:pt>
                <c:pt idx="323">
                  <c:v>92</c:v>
                </c:pt>
                <c:pt idx="324">
                  <c:v>92.083333333333329</c:v>
                </c:pt>
                <c:pt idx="325">
                  <c:v>92.166666666666671</c:v>
                </c:pt>
                <c:pt idx="326">
                  <c:v>92.25</c:v>
                </c:pt>
                <c:pt idx="327">
                  <c:v>92.333333333333329</c:v>
                </c:pt>
                <c:pt idx="328">
                  <c:v>92.416666666666671</c:v>
                </c:pt>
                <c:pt idx="329">
                  <c:v>92.5</c:v>
                </c:pt>
                <c:pt idx="330">
                  <c:v>92.583333333333329</c:v>
                </c:pt>
                <c:pt idx="331">
                  <c:v>92.666666666666671</c:v>
                </c:pt>
                <c:pt idx="332">
                  <c:v>92.75</c:v>
                </c:pt>
                <c:pt idx="333">
                  <c:v>92.833333333333329</c:v>
                </c:pt>
                <c:pt idx="334">
                  <c:v>92.916666666666671</c:v>
                </c:pt>
                <c:pt idx="335">
                  <c:v>93</c:v>
                </c:pt>
                <c:pt idx="336">
                  <c:v>93.083333333333329</c:v>
                </c:pt>
                <c:pt idx="337">
                  <c:v>93.166666666666671</c:v>
                </c:pt>
                <c:pt idx="338">
                  <c:v>93.25</c:v>
                </c:pt>
                <c:pt idx="339">
                  <c:v>93.333333333333329</c:v>
                </c:pt>
                <c:pt idx="340">
                  <c:v>93.416666666666671</c:v>
                </c:pt>
                <c:pt idx="341">
                  <c:v>93.5</c:v>
                </c:pt>
                <c:pt idx="342">
                  <c:v>93.583333333333329</c:v>
                </c:pt>
                <c:pt idx="343">
                  <c:v>93.666666666666671</c:v>
                </c:pt>
                <c:pt idx="344">
                  <c:v>93.75</c:v>
                </c:pt>
                <c:pt idx="345">
                  <c:v>93.833333333333329</c:v>
                </c:pt>
                <c:pt idx="346">
                  <c:v>93.916666666666671</c:v>
                </c:pt>
                <c:pt idx="347">
                  <c:v>94</c:v>
                </c:pt>
                <c:pt idx="348">
                  <c:v>94.083333333333329</c:v>
                </c:pt>
                <c:pt idx="349">
                  <c:v>94.166666666666671</c:v>
                </c:pt>
                <c:pt idx="350">
                  <c:v>94.25</c:v>
                </c:pt>
                <c:pt idx="351">
                  <c:v>94.333333333333329</c:v>
                </c:pt>
                <c:pt idx="352">
                  <c:v>94.416666666666671</c:v>
                </c:pt>
                <c:pt idx="353">
                  <c:v>94.5</c:v>
                </c:pt>
                <c:pt idx="354">
                  <c:v>94.583333333333329</c:v>
                </c:pt>
                <c:pt idx="355">
                  <c:v>94.666666666666671</c:v>
                </c:pt>
                <c:pt idx="356">
                  <c:v>94.75</c:v>
                </c:pt>
                <c:pt idx="357">
                  <c:v>94.833333333333329</c:v>
                </c:pt>
                <c:pt idx="358">
                  <c:v>94.916666666666671</c:v>
                </c:pt>
                <c:pt idx="359">
                  <c:v>95</c:v>
                </c:pt>
                <c:pt idx="360">
                  <c:v>95.083333333333329</c:v>
                </c:pt>
                <c:pt idx="361">
                  <c:v>95.166666666666671</c:v>
                </c:pt>
                <c:pt idx="362">
                  <c:v>95.25</c:v>
                </c:pt>
                <c:pt idx="363">
                  <c:v>95.333333333333329</c:v>
                </c:pt>
                <c:pt idx="364">
                  <c:v>95.416666666666671</c:v>
                </c:pt>
                <c:pt idx="365">
                  <c:v>95.5</c:v>
                </c:pt>
                <c:pt idx="366">
                  <c:v>95.583333333333329</c:v>
                </c:pt>
                <c:pt idx="367">
                  <c:v>95.666666666666671</c:v>
                </c:pt>
                <c:pt idx="368">
                  <c:v>95.75</c:v>
                </c:pt>
                <c:pt idx="369">
                  <c:v>95.833333333333329</c:v>
                </c:pt>
                <c:pt idx="370">
                  <c:v>95.916666666666671</c:v>
                </c:pt>
                <c:pt idx="371">
                  <c:v>96</c:v>
                </c:pt>
                <c:pt idx="372">
                  <c:v>96.083333333333329</c:v>
                </c:pt>
                <c:pt idx="373">
                  <c:v>96.166666666666671</c:v>
                </c:pt>
                <c:pt idx="374">
                  <c:v>96.25</c:v>
                </c:pt>
                <c:pt idx="375">
                  <c:v>96.333333333333329</c:v>
                </c:pt>
                <c:pt idx="376">
                  <c:v>96.416666666666671</c:v>
                </c:pt>
                <c:pt idx="377">
                  <c:v>96.5</c:v>
                </c:pt>
                <c:pt idx="378">
                  <c:v>96.583333333333329</c:v>
                </c:pt>
                <c:pt idx="379">
                  <c:v>96.666666666666671</c:v>
                </c:pt>
                <c:pt idx="380">
                  <c:v>96.75</c:v>
                </c:pt>
                <c:pt idx="381">
                  <c:v>96.833333333333329</c:v>
                </c:pt>
                <c:pt idx="382">
                  <c:v>96.916666666666671</c:v>
                </c:pt>
                <c:pt idx="383">
                  <c:v>97</c:v>
                </c:pt>
                <c:pt idx="384">
                  <c:v>97.083333333333343</c:v>
                </c:pt>
                <c:pt idx="385">
                  <c:v>97.166666666666657</c:v>
                </c:pt>
                <c:pt idx="386">
                  <c:v>97.25</c:v>
                </c:pt>
                <c:pt idx="387">
                  <c:v>97.333333333333343</c:v>
                </c:pt>
                <c:pt idx="388">
                  <c:v>97.416666666666657</c:v>
                </c:pt>
                <c:pt idx="389">
                  <c:v>97.5</c:v>
                </c:pt>
                <c:pt idx="390">
                  <c:v>97.583333333333343</c:v>
                </c:pt>
                <c:pt idx="391">
                  <c:v>97.666666666666657</c:v>
                </c:pt>
                <c:pt idx="392">
                  <c:v>97.75</c:v>
                </c:pt>
                <c:pt idx="393">
                  <c:v>97.833333333333343</c:v>
                </c:pt>
                <c:pt idx="394">
                  <c:v>97.916666666666657</c:v>
                </c:pt>
                <c:pt idx="395">
                  <c:v>98</c:v>
                </c:pt>
                <c:pt idx="396">
                  <c:v>98.083333333333343</c:v>
                </c:pt>
                <c:pt idx="397">
                  <c:v>98.166666666666657</c:v>
                </c:pt>
                <c:pt idx="398">
                  <c:v>98.25</c:v>
                </c:pt>
                <c:pt idx="399">
                  <c:v>98.333333333333343</c:v>
                </c:pt>
                <c:pt idx="400">
                  <c:v>98.416666666666657</c:v>
                </c:pt>
                <c:pt idx="401">
                  <c:v>98.5</c:v>
                </c:pt>
                <c:pt idx="402">
                  <c:v>98.583333333333343</c:v>
                </c:pt>
                <c:pt idx="403">
                  <c:v>98.666666666666657</c:v>
                </c:pt>
                <c:pt idx="404">
                  <c:v>98.75</c:v>
                </c:pt>
                <c:pt idx="405">
                  <c:v>98.833333333333343</c:v>
                </c:pt>
                <c:pt idx="406">
                  <c:v>98.916666666666657</c:v>
                </c:pt>
                <c:pt idx="407">
                  <c:v>99</c:v>
                </c:pt>
                <c:pt idx="408">
                  <c:v>99.083333333333343</c:v>
                </c:pt>
                <c:pt idx="409">
                  <c:v>99.166666666666657</c:v>
                </c:pt>
                <c:pt idx="410">
                  <c:v>99.25</c:v>
                </c:pt>
                <c:pt idx="411">
                  <c:v>99.333333333333343</c:v>
                </c:pt>
                <c:pt idx="412">
                  <c:v>99.416666666666657</c:v>
                </c:pt>
                <c:pt idx="413">
                  <c:v>99.5</c:v>
                </c:pt>
                <c:pt idx="414">
                  <c:v>99.583333333333343</c:v>
                </c:pt>
                <c:pt idx="415">
                  <c:v>99.666666666666657</c:v>
                </c:pt>
                <c:pt idx="416">
                  <c:v>99.75</c:v>
                </c:pt>
                <c:pt idx="417">
                  <c:v>99.833333333333343</c:v>
                </c:pt>
                <c:pt idx="418">
                  <c:v>99.916666666666657</c:v>
                </c:pt>
                <c:pt idx="419">
                  <c:v>100</c:v>
                </c:pt>
                <c:pt idx="420">
                  <c:v>100.08333333333334</c:v>
                </c:pt>
                <c:pt idx="421">
                  <c:v>100.16666666666666</c:v>
                </c:pt>
                <c:pt idx="422">
                  <c:v>100.25</c:v>
                </c:pt>
                <c:pt idx="423">
                  <c:v>100.33333333333334</c:v>
                </c:pt>
                <c:pt idx="424">
                  <c:v>100.41666666666666</c:v>
                </c:pt>
                <c:pt idx="425">
                  <c:v>100.5</c:v>
                </c:pt>
                <c:pt idx="426">
                  <c:v>100.58333333333334</c:v>
                </c:pt>
                <c:pt idx="427">
                  <c:v>100.66666666666666</c:v>
                </c:pt>
                <c:pt idx="428">
                  <c:v>100.75</c:v>
                </c:pt>
                <c:pt idx="429">
                  <c:v>100.83333333333334</c:v>
                </c:pt>
                <c:pt idx="430">
                  <c:v>100.91666666666666</c:v>
                </c:pt>
                <c:pt idx="431">
                  <c:v>101</c:v>
                </c:pt>
                <c:pt idx="432">
                  <c:v>101.08333333333334</c:v>
                </c:pt>
                <c:pt idx="433">
                  <c:v>101.16666666666666</c:v>
                </c:pt>
                <c:pt idx="434">
                  <c:v>101.25</c:v>
                </c:pt>
                <c:pt idx="435">
                  <c:v>101.33333333333334</c:v>
                </c:pt>
                <c:pt idx="436">
                  <c:v>101.41666666666666</c:v>
                </c:pt>
                <c:pt idx="437">
                  <c:v>101.5</c:v>
                </c:pt>
                <c:pt idx="438">
                  <c:v>101.58333333333334</c:v>
                </c:pt>
                <c:pt idx="439">
                  <c:v>101.66666666666666</c:v>
                </c:pt>
                <c:pt idx="440">
                  <c:v>101.75</c:v>
                </c:pt>
                <c:pt idx="441">
                  <c:v>101.83333333333334</c:v>
                </c:pt>
                <c:pt idx="442">
                  <c:v>101.91666666666666</c:v>
                </c:pt>
                <c:pt idx="443">
                  <c:v>102</c:v>
                </c:pt>
                <c:pt idx="444">
                  <c:v>102.08333333333334</c:v>
                </c:pt>
                <c:pt idx="445">
                  <c:v>102.16666666666666</c:v>
                </c:pt>
                <c:pt idx="446">
                  <c:v>102.25</c:v>
                </c:pt>
                <c:pt idx="447">
                  <c:v>102.33333333333334</c:v>
                </c:pt>
                <c:pt idx="448">
                  <c:v>102.41666666666666</c:v>
                </c:pt>
                <c:pt idx="449">
                  <c:v>102.5</c:v>
                </c:pt>
                <c:pt idx="450">
                  <c:v>102.58333333333334</c:v>
                </c:pt>
                <c:pt idx="451">
                  <c:v>102.66666666666666</c:v>
                </c:pt>
                <c:pt idx="452">
                  <c:v>102.75</c:v>
                </c:pt>
                <c:pt idx="453">
                  <c:v>102.83333333333334</c:v>
                </c:pt>
                <c:pt idx="454">
                  <c:v>102.91666666666666</c:v>
                </c:pt>
                <c:pt idx="455">
                  <c:v>103</c:v>
                </c:pt>
                <c:pt idx="456">
                  <c:v>103.08333333333334</c:v>
                </c:pt>
                <c:pt idx="457">
                  <c:v>103.16666666666666</c:v>
                </c:pt>
                <c:pt idx="458">
                  <c:v>103.25</c:v>
                </c:pt>
                <c:pt idx="459">
                  <c:v>103.33333333333334</c:v>
                </c:pt>
                <c:pt idx="460">
                  <c:v>103.41666666666666</c:v>
                </c:pt>
                <c:pt idx="461">
                  <c:v>103.5</c:v>
                </c:pt>
                <c:pt idx="462">
                  <c:v>103.58333333333334</c:v>
                </c:pt>
                <c:pt idx="463">
                  <c:v>103.66666666666666</c:v>
                </c:pt>
                <c:pt idx="464">
                  <c:v>103.75</c:v>
                </c:pt>
                <c:pt idx="465">
                  <c:v>103.83333333333334</c:v>
                </c:pt>
                <c:pt idx="466">
                  <c:v>103.91666666666666</c:v>
                </c:pt>
                <c:pt idx="467">
                  <c:v>104</c:v>
                </c:pt>
                <c:pt idx="468">
                  <c:v>104.08333333333334</c:v>
                </c:pt>
                <c:pt idx="469">
                  <c:v>104.16666666666666</c:v>
                </c:pt>
                <c:pt idx="470">
                  <c:v>104.25</c:v>
                </c:pt>
                <c:pt idx="471">
                  <c:v>104.33333333333334</c:v>
                </c:pt>
                <c:pt idx="472">
                  <c:v>104.41666666666666</c:v>
                </c:pt>
                <c:pt idx="473">
                  <c:v>104.5</c:v>
                </c:pt>
                <c:pt idx="474">
                  <c:v>104.58333333333334</c:v>
                </c:pt>
                <c:pt idx="475">
                  <c:v>104.66666666666666</c:v>
                </c:pt>
                <c:pt idx="476">
                  <c:v>104.75</c:v>
                </c:pt>
                <c:pt idx="477">
                  <c:v>104.83333333333334</c:v>
                </c:pt>
                <c:pt idx="478">
                  <c:v>104.91666666666666</c:v>
                </c:pt>
                <c:pt idx="479">
                  <c:v>105</c:v>
                </c:pt>
                <c:pt idx="480">
                  <c:v>105.08333333333334</c:v>
                </c:pt>
                <c:pt idx="481">
                  <c:v>105.16666666666666</c:v>
                </c:pt>
                <c:pt idx="482">
                  <c:v>105.25</c:v>
                </c:pt>
                <c:pt idx="483">
                  <c:v>105.33333333333334</c:v>
                </c:pt>
                <c:pt idx="484">
                  <c:v>105.41666666666666</c:v>
                </c:pt>
                <c:pt idx="485">
                  <c:v>105.5</c:v>
                </c:pt>
                <c:pt idx="486">
                  <c:v>105.58333333333334</c:v>
                </c:pt>
                <c:pt idx="487">
                  <c:v>105.66666666666666</c:v>
                </c:pt>
                <c:pt idx="488">
                  <c:v>105.75</c:v>
                </c:pt>
                <c:pt idx="489">
                  <c:v>105.83333333333334</c:v>
                </c:pt>
                <c:pt idx="490">
                  <c:v>105.91666666666666</c:v>
                </c:pt>
                <c:pt idx="491">
                  <c:v>106</c:v>
                </c:pt>
                <c:pt idx="492">
                  <c:v>106.08333333333334</c:v>
                </c:pt>
                <c:pt idx="493">
                  <c:v>106.16666666666666</c:v>
                </c:pt>
                <c:pt idx="494">
                  <c:v>106.25</c:v>
                </c:pt>
                <c:pt idx="495">
                  <c:v>106.33333333333334</c:v>
                </c:pt>
                <c:pt idx="496">
                  <c:v>106.41666666666666</c:v>
                </c:pt>
                <c:pt idx="497">
                  <c:v>106.5</c:v>
                </c:pt>
                <c:pt idx="498">
                  <c:v>106.58333333333334</c:v>
                </c:pt>
                <c:pt idx="499">
                  <c:v>106.66666666666666</c:v>
                </c:pt>
                <c:pt idx="500">
                  <c:v>106.75</c:v>
                </c:pt>
                <c:pt idx="501">
                  <c:v>106.83333333333334</c:v>
                </c:pt>
                <c:pt idx="502">
                  <c:v>106.91666666666666</c:v>
                </c:pt>
                <c:pt idx="503">
                  <c:v>107</c:v>
                </c:pt>
                <c:pt idx="504">
                  <c:v>107.08333333333334</c:v>
                </c:pt>
                <c:pt idx="505">
                  <c:v>107.16666666666666</c:v>
                </c:pt>
                <c:pt idx="506">
                  <c:v>107.25</c:v>
                </c:pt>
                <c:pt idx="507">
                  <c:v>107.33333333333334</c:v>
                </c:pt>
                <c:pt idx="508">
                  <c:v>107.41666666666666</c:v>
                </c:pt>
                <c:pt idx="509">
                  <c:v>107.5</c:v>
                </c:pt>
                <c:pt idx="510">
                  <c:v>107.58333333333334</c:v>
                </c:pt>
                <c:pt idx="511">
                  <c:v>107.66666666666666</c:v>
                </c:pt>
                <c:pt idx="512">
                  <c:v>107.75</c:v>
                </c:pt>
                <c:pt idx="513">
                  <c:v>107.83333333333334</c:v>
                </c:pt>
                <c:pt idx="514">
                  <c:v>107.91666666666666</c:v>
                </c:pt>
                <c:pt idx="515">
                  <c:v>108</c:v>
                </c:pt>
                <c:pt idx="516">
                  <c:v>108.08333333333334</c:v>
                </c:pt>
                <c:pt idx="517">
                  <c:v>108.16666666666666</c:v>
                </c:pt>
                <c:pt idx="518">
                  <c:v>108.25</c:v>
                </c:pt>
                <c:pt idx="519">
                  <c:v>108.33333333333334</c:v>
                </c:pt>
                <c:pt idx="520">
                  <c:v>108.41666666666666</c:v>
                </c:pt>
                <c:pt idx="521">
                  <c:v>108.5</c:v>
                </c:pt>
                <c:pt idx="522">
                  <c:v>108.58333333333334</c:v>
                </c:pt>
                <c:pt idx="523">
                  <c:v>108.66666666666666</c:v>
                </c:pt>
                <c:pt idx="524">
                  <c:v>108.75</c:v>
                </c:pt>
                <c:pt idx="525">
                  <c:v>108.83333333333334</c:v>
                </c:pt>
                <c:pt idx="526">
                  <c:v>108.91666666666666</c:v>
                </c:pt>
                <c:pt idx="527">
                  <c:v>109</c:v>
                </c:pt>
                <c:pt idx="528">
                  <c:v>109.08333333333334</c:v>
                </c:pt>
                <c:pt idx="529">
                  <c:v>109.16666666666666</c:v>
                </c:pt>
                <c:pt idx="530">
                  <c:v>109.25</c:v>
                </c:pt>
                <c:pt idx="531">
                  <c:v>109.33333333333334</c:v>
                </c:pt>
                <c:pt idx="532">
                  <c:v>109.41666666666666</c:v>
                </c:pt>
                <c:pt idx="533">
                  <c:v>109.5</c:v>
                </c:pt>
                <c:pt idx="534">
                  <c:v>109.58333333333334</c:v>
                </c:pt>
                <c:pt idx="535">
                  <c:v>109.66666666666666</c:v>
                </c:pt>
                <c:pt idx="536">
                  <c:v>109.75</c:v>
                </c:pt>
                <c:pt idx="537">
                  <c:v>109.83333333333334</c:v>
                </c:pt>
                <c:pt idx="538">
                  <c:v>109.91666666666666</c:v>
                </c:pt>
                <c:pt idx="539">
                  <c:v>110</c:v>
                </c:pt>
              </c:numCache>
            </c:numRef>
          </c:cat>
          <c:val>
            <c:numRef>
              <c:f>Projection!$P$4:$P$543</c:f>
              <c:numCache>
                <c:formatCode>General</c:formatCode>
                <c:ptCount val="540"/>
                <c:pt idx="0">
                  <c:v>8327.3521019834043</c:v>
                </c:pt>
                <c:pt idx="1">
                  <c:v>8321.3751636488905</c:v>
                </c:pt>
                <c:pt idx="2">
                  <c:v>8315.4025152484901</c:v>
                </c:pt>
                <c:pt idx="3">
                  <c:v>8309.4341537031123</c:v>
                </c:pt>
                <c:pt idx="4">
                  <c:v>8303.4700759358748</c:v>
                </c:pt>
                <c:pt idx="5">
                  <c:v>8297.5102788721088</c:v>
                </c:pt>
                <c:pt idx="6">
                  <c:v>8291.5547594393465</c:v>
                </c:pt>
                <c:pt idx="7">
                  <c:v>8285.6035145673304</c:v>
                </c:pt>
                <c:pt idx="8">
                  <c:v>8279.6565411880001</c:v>
                </c:pt>
                <c:pt idx="9">
                  <c:v>8273.7138362355035</c:v>
                </c:pt>
                <c:pt idx="10">
                  <c:v>8267.7753966461878</c:v>
                </c:pt>
                <c:pt idx="11">
                  <c:v>8261.2504506285659</c:v>
                </c:pt>
                <c:pt idx="12">
                  <c:v>8254.6648407879347</c:v>
                </c:pt>
                <c:pt idx="13">
                  <c:v>8248.084480788988</c:v>
                </c:pt>
                <c:pt idx="14">
                  <c:v>8241.5093664467149</c:v>
                </c:pt>
                <c:pt idx="15">
                  <c:v>8234.9394935794426</c:v>
                </c:pt>
                <c:pt idx="16">
                  <c:v>8228.3748580088322</c:v>
                </c:pt>
                <c:pt idx="17">
                  <c:v>8221.8154555598758</c:v>
                </c:pt>
                <c:pt idx="18">
                  <c:v>8215.2612820608902</c:v>
                </c:pt>
                <c:pt idx="19">
                  <c:v>8208.7123333435229</c:v>
                </c:pt>
                <c:pt idx="20">
                  <c:v>8202.1686052427413</c:v>
                </c:pt>
                <c:pt idx="21">
                  <c:v>8195.630093596832</c:v>
                </c:pt>
                <c:pt idx="22">
                  <c:v>8189.0967942474035</c:v>
                </c:pt>
                <c:pt idx="23">
                  <c:v>8181.900354840338</c:v>
                </c:pt>
                <c:pt idx="24">
                  <c:v>8174.6376235365815</c:v>
                </c:pt>
                <c:pt idx="25">
                  <c:v>8167.3813390561436</c:v>
                </c:pt>
                <c:pt idx="26">
                  <c:v>8160.1314956764472</c:v>
                </c:pt>
                <c:pt idx="27">
                  <c:v>8152.8880876799958</c:v>
                </c:pt>
                <c:pt idx="28">
                  <c:v>8145.6511093543704</c:v>
                </c:pt>
                <c:pt idx="29">
                  <c:v>8138.420554992219</c:v>
                </c:pt>
                <c:pt idx="30">
                  <c:v>8131.196418891258</c:v>
                </c:pt>
                <c:pt idx="31">
                  <c:v>8123.9786953542643</c:v>
                </c:pt>
                <c:pt idx="32">
                  <c:v>8116.7673786890737</c:v>
                </c:pt>
                <c:pt idx="33">
                  <c:v>8109.5624632085728</c:v>
                </c:pt>
                <c:pt idx="34">
                  <c:v>8102.3639432306973</c:v>
                </c:pt>
                <c:pt idx="35">
                  <c:v>8094.4184729042136</c:v>
                </c:pt>
                <c:pt idx="36">
                  <c:v>8086.4005827183628</c:v>
                </c:pt>
                <c:pt idx="37">
                  <c:v>8078.3906346179447</c:v>
                </c:pt>
                <c:pt idx="38">
                  <c:v>8070.388620735961</c:v>
                </c:pt>
                <c:pt idx="39">
                  <c:v>8062.3945332132071</c:v>
                </c:pt>
                <c:pt idx="40">
                  <c:v>8054.4083641982625</c:v>
                </c:pt>
                <c:pt idx="41">
                  <c:v>8046.4301058474857</c:v>
                </c:pt>
                <c:pt idx="42">
                  <c:v>8038.4597503250025</c:v>
                </c:pt>
                <c:pt idx="43">
                  <c:v>8030.4972898027017</c:v>
                </c:pt>
                <c:pt idx="44">
                  <c:v>8022.542716460227</c:v>
                </c:pt>
                <c:pt idx="45">
                  <c:v>8014.5960224849659</c:v>
                </c:pt>
                <c:pt idx="46">
                  <c:v>8006.657200072048</c:v>
                </c:pt>
                <c:pt idx="47">
                  <c:v>7997.8787677980454</c:v>
                </c:pt>
                <c:pt idx="48">
                  <c:v>7989.0212927697439</c:v>
                </c:pt>
                <c:pt idx="49">
                  <c:v>7980.1736272004455</c:v>
                </c:pt>
                <c:pt idx="50">
                  <c:v>7971.3357602263886</c:v>
                </c:pt>
                <c:pt idx="51">
                  <c:v>7962.5076809958446</c:v>
                </c:pt>
                <c:pt idx="52">
                  <c:v>7953.6893786691026</c:v>
                </c:pt>
                <c:pt idx="53">
                  <c:v>7944.8808424184554</c:v>
                </c:pt>
                <c:pt idx="54">
                  <c:v>7936.0820614281902</c:v>
                </c:pt>
                <c:pt idx="55">
                  <c:v>7927.2930248945686</c:v>
                </c:pt>
                <c:pt idx="56">
                  <c:v>7918.5137220258202</c:v>
                </c:pt>
                <c:pt idx="57">
                  <c:v>7909.7441420421246</c:v>
                </c:pt>
                <c:pt idx="58">
                  <c:v>7900.9842741756011</c:v>
                </c:pt>
                <c:pt idx="59">
                  <c:v>7891.2926116019071</c:v>
                </c:pt>
                <c:pt idx="60">
                  <c:v>7881.5148873357539</c:v>
                </c:pt>
                <c:pt idx="61">
                  <c:v>7871.749278181348</c:v>
                </c:pt>
                <c:pt idx="62">
                  <c:v>7861.9957691274331</c:v>
                </c:pt>
                <c:pt idx="63">
                  <c:v>7852.2543451813517</c:v>
                </c:pt>
                <c:pt idx="64">
                  <c:v>7842.5249913690232</c:v>
                </c:pt>
                <c:pt idx="65">
                  <c:v>7832.8076927349211</c:v>
                </c:pt>
                <c:pt idx="66">
                  <c:v>7823.1024343420477</c:v>
                </c:pt>
                <c:pt idx="67">
                  <c:v>7813.4092012719157</c:v>
                </c:pt>
                <c:pt idx="68">
                  <c:v>7803.7279786245199</c:v>
                </c:pt>
                <c:pt idx="69">
                  <c:v>7794.0587515183197</c:v>
                </c:pt>
                <c:pt idx="70">
                  <c:v>7784.4015050902117</c:v>
                </c:pt>
                <c:pt idx="71">
                  <c:v>7773.7066457657857</c:v>
                </c:pt>
                <c:pt idx="72">
                  <c:v>7762.9183182585075</c:v>
                </c:pt>
                <c:pt idx="73">
                  <c:v>7752.1449627608126</c:v>
                </c:pt>
                <c:pt idx="74">
                  <c:v>7741.3865584945916</c:v>
                </c:pt>
                <c:pt idx="75">
                  <c:v>7730.6430847105676</c:v>
                </c:pt>
                <c:pt idx="76">
                  <c:v>7719.9145206882604</c:v>
                </c:pt>
                <c:pt idx="77">
                  <c:v>7709.200845735947</c:v>
                </c:pt>
                <c:pt idx="78">
                  <c:v>7698.5020391906182</c:v>
                </c:pt>
                <c:pt idx="79">
                  <c:v>7687.8180804179428</c:v>
                </c:pt>
                <c:pt idx="80">
                  <c:v>7677.1489488122252</c:v>
                </c:pt>
                <c:pt idx="81">
                  <c:v>7666.494623796365</c:v>
                </c:pt>
                <c:pt idx="82">
                  <c:v>7655.8550848218201</c:v>
                </c:pt>
                <c:pt idx="83">
                  <c:v>7644.0610095474813</c:v>
                </c:pt>
                <c:pt idx="84">
                  <c:v>7632.2851034012192</c:v>
                </c:pt>
                <c:pt idx="85">
                  <c:v>7620.5273383929471</c:v>
                </c:pt>
                <c:pt idx="86">
                  <c:v>7608.7876865756925</c:v>
                </c:pt>
                <c:pt idx="87">
                  <c:v>7597.0661200455415</c:v>
                </c:pt>
                <c:pt idx="88">
                  <c:v>7585.3626109415636</c:v>
                </c:pt>
                <c:pt idx="89">
                  <c:v>7573.677131445751</c:v>
                </c:pt>
                <c:pt idx="90">
                  <c:v>7562.0096537829486</c:v>
                </c:pt>
                <c:pt idx="91">
                  <c:v>7550.3601502207912</c:v>
                </c:pt>
                <c:pt idx="92">
                  <c:v>7538.7285930696353</c:v>
                </c:pt>
                <c:pt idx="93">
                  <c:v>7527.1149546824954</c:v>
                </c:pt>
                <c:pt idx="94">
                  <c:v>7515.5192074549741</c:v>
                </c:pt>
                <c:pt idx="95">
                  <c:v>7502.6730369909901</c:v>
                </c:pt>
                <c:pt idx="96">
                  <c:v>7489.8488243041111</c:v>
                </c:pt>
                <c:pt idx="97">
                  <c:v>7477.0465318622209</c:v>
                </c:pt>
                <c:pt idx="98">
                  <c:v>7464.2661221973549</c:v>
                </c:pt>
                <c:pt idx="99">
                  <c:v>7451.507557905592</c:v>
                </c:pt>
                <c:pt idx="100">
                  <c:v>7438.770801646946</c:v>
                </c:pt>
                <c:pt idx="101">
                  <c:v>7426.0558161452554</c:v>
                </c:pt>
                <c:pt idx="102">
                  <c:v>7413.3625641880735</c:v>
                </c:pt>
                <c:pt idx="103">
                  <c:v>7400.6910086265607</c:v>
                </c:pt>
                <c:pt idx="104">
                  <c:v>7388.0411123753756</c:v>
                </c:pt>
                <c:pt idx="105">
                  <c:v>7375.4128384125661</c:v>
                </c:pt>
                <c:pt idx="106">
                  <c:v>7362.8061497794615</c:v>
                </c:pt>
                <c:pt idx="107">
                  <c:v>7348.8365167036518</c:v>
                </c:pt>
                <c:pt idx="108">
                  <c:v>7334.8933885560318</c:v>
                </c:pt>
                <c:pt idx="109">
                  <c:v>7320.9767150481503</c:v>
                </c:pt>
                <c:pt idx="110">
                  <c:v>7307.0864459869681</c:v>
                </c:pt>
                <c:pt idx="111">
                  <c:v>7293.2225312746787</c:v>
                </c:pt>
                <c:pt idx="112">
                  <c:v>7279.3849209085292</c:v>
                </c:pt>
                <c:pt idx="113">
                  <c:v>7265.5735649806384</c:v>
                </c:pt>
                <c:pt idx="114">
                  <c:v>7251.788413677813</c:v>
                </c:pt>
                <c:pt idx="115">
                  <c:v>7238.0294172813756</c:v>
                </c:pt>
                <c:pt idx="116">
                  <c:v>7224.2965261669779</c:v>
                </c:pt>
                <c:pt idx="117">
                  <c:v>7210.5896908044278</c:v>
                </c:pt>
                <c:pt idx="118">
                  <c:v>7196.9088617575062</c:v>
                </c:pt>
                <c:pt idx="119">
                  <c:v>7181.7515988379264</c:v>
                </c:pt>
                <c:pt idx="120">
                  <c:v>7166.6262583205362</c:v>
                </c:pt>
                <c:pt idx="121">
                  <c:v>7151.5327729742157</c:v>
                </c:pt>
                <c:pt idx="122">
                  <c:v>7136.4710757094408</c:v>
                </c:pt>
                <c:pt idx="123">
                  <c:v>7121.4410995779799</c:v>
                </c:pt>
                <c:pt idx="124">
                  <c:v>7106.4427777726032</c:v>
                </c:pt>
                <c:pt idx="125">
                  <c:v>7091.4760436267788</c:v>
                </c:pt>
                <c:pt idx="126">
                  <c:v>7076.5408306143818</c:v>
                </c:pt>
                <c:pt idx="127">
                  <c:v>7061.6370723493956</c:v>
                </c:pt>
                <c:pt idx="128">
                  <c:v>7046.7647025856195</c:v>
                </c:pt>
                <c:pt idx="129">
                  <c:v>7031.9236552163711</c:v>
                </c:pt>
                <c:pt idx="130">
                  <c:v>7017.1138642741935</c:v>
                </c:pt>
                <c:pt idx="131">
                  <c:v>7000.7119991340951</c:v>
                </c:pt>
                <c:pt idx="132">
                  <c:v>6984.3484718612845</c:v>
                </c:pt>
                <c:pt idx="133">
                  <c:v>6968.0231928444855</c:v>
                </c:pt>
                <c:pt idx="134">
                  <c:v>6951.7360726818806</c:v>
                </c:pt>
                <c:pt idx="135">
                  <c:v>6935.4870221806204</c:v>
                </c:pt>
                <c:pt idx="136">
                  <c:v>6919.2759523563345</c:v>
                </c:pt>
                <c:pt idx="137">
                  <c:v>6903.1027744326484</c:v>
                </c:pt>
                <c:pt idx="138">
                  <c:v>6886.9673998406897</c:v>
                </c:pt>
                <c:pt idx="139">
                  <c:v>6870.8697402186126</c:v>
                </c:pt>
                <c:pt idx="140">
                  <c:v>6854.8097074111065</c:v>
                </c:pt>
                <c:pt idx="141">
                  <c:v>6838.787213468916</c:v>
                </c:pt>
                <c:pt idx="142">
                  <c:v>6822.8021706483587</c:v>
                </c:pt>
                <c:pt idx="143">
                  <c:v>6805.0799007032119</c:v>
                </c:pt>
                <c:pt idx="144">
                  <c:v>6787.4036644615417</c:v>
                </c:pt>
                <c:pt idx="145">
                  <c:v>6769.773342350526</c:v>
                </c:pt>
                <c:pt idx="146">
                  <c:v>6752.188815107932</c:v>
                </c:pt>
                <c:pt idx="147">
                  <c:v>6734.6499637813113</c:v>
                </c:pt>
                <c:pt idx="148">
                  <c:v>6717.1566697271965</c:v>
                </c:pt>
                <c:pt idx="149">
                  <c:v>6699.7088146102951</c:v>
                </c:pt>
                <c:pt idx="150">
                  <c:v>6682.3062804026931</c:v>
                </c:pt>
                <c:pt idx="151">
                  <c:v>6664.9489493830552</c:v>
                </c:pt>
                <c:pt idx="152">
                  <c:v>6647.6367041358262</c:v>
                </c:pt>
                <c:pt idx="153">
                  <c:v>6630.3694275504395</c:v>
                </c:pt>
                <c:pt idx="154">
                  <c:v>6613.147002820524</c:v>
                </c:pt>
                <c:pt idx="155">
                  <c:v>6594.0613489637253</c:v>
                </c:pt>
                <c:pt idx="156">
                  <c:v>6575.0307766260557</c:v>
                </c:pt>
                <c:pt idx="157">
                  <c:v>6556.0551268413219</c:v>
                </c:pt>
                <c:pt idx="158">
                  <c:v>6537.1342411021087</c:v>
                </c:pt>
                <c:pt idx="159">
                  <c:v>6518.2679613584578</c:v>
                </c:pt>
                <c:pt idx="160">
                  <c:v>6499.4561300165433</c:v>
                </c:pt>
                <c:pt idx="161">
                  <c:v>6480.6985899373585</c:v>
                </c:pt>
                <c:pt idx="162">
                  <c:v>6461.9951844354036</c:v>
                </c:pt>
                <c:pt idx="163">
                  <c:v>6443.345757277375</c:v>
                </c:pt>
                <c:pt idx="164">
                  <c:v>6424.750152680861</c:v>
                </c:pt>
                <c:pt idx="165">
                  <c:v>6406.2082153130414</c:v>
                </c:pt>
                <c:pt idx="166">
                  <c:v>6387.7197902893886</c:v>
                </c:pt>
                <c:pt idx="167">
                  <c:v>6367.1970699178819</c:v>
                </c:pt>
                <c:pt idx="168">
                  <c:v>6346.7402857591824</c:v>
                </c:pt>
                <c:pt idx="169">
                  <c:v>6326.3492259708028</c:v>
                </c:pt>
                <c:pt idx="170">
                  <c:v>6306.0236793908689</c:v>
                </c:pt>
                <c:pt idx="171">
                  <c:v>6285.7634355359369</c:v>
                </c:pt>
                <c:pt idx="172">
                  <c:v>6265.568284598814</c:v>
                </c:pt>
                <c:pt idx="173">
                  <c:v>6245.4380174463822</c:v>
                </c:pt>
                <c:pt idx="174">
                  <c:v>6225.3724256174364</c:v>
                </c:pt>
                <c:pt idx="175">
                  <c:v>6205.3713013205233</c:v>
                </c:pt>
                <c:pt idx="176">
                  <c:v>6185.4344374317889</c:v>
                </c:pt>
                <c:pt idx="177">
                  <c:v>6165.5616274928379</c:v>
                </c:pt>
                <c:pt idx="178">
                  <c:v>6145.75266570859</c:v>
                </c:pt>
                <c:pt idx="179">
                  <c:v>6123.7472757379783</c:v>
                </c:pt>
                <c:pt idx="180">
                  <c:v>6101.8206779371931</c:v>
                </c:pt>
                <c:pt idx="181">
                  <c:v>6079.972590184173</c:v>
                </c:pt>
                <c:pt idx="182">
                  <c:v>6058.2027313670169</c:v>
                </c:pt>
                <c:pt idx="183">
                  <c:v>6036.5108213803678</c:v>
                </c:pt>
                <c:pt idx="184">
                  <c:v>6014.8965811218095</c:v>
                </c:pt>
                <c:pt idx="185">
                  <c:v>5993.3597324882776</c:v>
                </c:pt>
                <c:pt idx="186">
                  <c:v>5971.8999983724789</c:v>
                </c:pt>
                <c:pt idx="187">
                  <c:v>5950.5171026593243</c:v>
                </c:pt>
                <c:pt idx="188">
                  <c:v>5929.2107702223811</c:v>
                </c:pt>
                <c:pt idx="189">
                  <c:v>5907.9807269203284</c:v>
                </c:pt>
                <c:pt idx="190">
                  <c:v>5886.8266995934327</c:v>
                </c:pt>
                <c:pt idx="191">
                  <c:v>5863.3027476400266</c:v>
                </c:pt>
                <c:pt idx="192">
                  <c:v>5839.8727981677112</c:v>
                </c:pt>
                <c:pt idx="193">
                  <c:v>5816.5364755394967</c:v>
                </c:pt>
                <c:pt idx="194">
                  <c:v>5793.2934056194545</c:v>
                </c:pt>
                <c:pt idx="195">
                  <c:v>5770.1432157667132</c:v>
                </c:pt>
                <c:pt idx="196">
                  <c:v>5747.0855348294872</c:v>
                </c:pt>
                <c:pt idx="197">
                  <c:v>5724.1199931391266</c:v>
                </c:pt>
                <c:pt idx="198">
                  <c:v>5701.2462225041882</c:v>
                </c:pt>
                <c:pt idx="199">
                  <c:v>5678.4638562045338</c:v>
                </c:pt>
                <c:pt idx="200">
                  <c:v>5655.7725289854516</c:v>
                </c:pt>
                <c:pt idx="201">
                  <c:v>5633.1718770517991</c:v>
                </c:pt>
                <c:pt idx="202">
                  <c:v>5610.6615380621715</c:v>
                </c:pt>
                <c:pt idx="203">
                  <c:v>5585.6119358458591</c:v>
                </c:pt>
                <c:pt idx="204">
                  <c:v>5560.6741711672312</c:v>
                </c:pt>
                <c:pt idx="205">
                  <c:v>5535.8477447115783</c:v>
                </c:pt>
                <c:pt idx="206">
                  <c:v>5511.1321593934535</c:v>
                </c:pt>
                <c:pt idx="207">
                  <c:v>5486.5269203467205</c:v>
                </c:pt>
                <c:pt idx="208">
                  <c:v>5462.0315349146413</c:v>
                </c:pt>
                <c:pt idx="209">
                  <c:v>5437.645512640016</c:v>
                </c:pt>
                <c:pt idx="210">
                  <c:v>5413.3683652553618</c:v>
                </c:pt>
                <c:pt idx="211">
                  <c:v>5389.1996066731335</c:v>
                </c:pt>
                <c:pt idx="212">
                  <c:v>5365.1387529759968</c:v>
                </c:pt>
                <c:pt idx="213">
                  <c:v>5341.1853224071319</c:v>
                </c:pt>
                <c:pt idx="214">
                  <c:v>5317.3388353605951</c:v>
                </c:pt>
                <c:pt idx="215">
                  <c:v>5290.7628049448895</c:v>
                </c:pt>
                <c:pt idx="216">
                  <c:v>5264.3196013838424</c:v>
                </c:pt>
                <c:pt idx="217">
                  <c:v>5238.0085608095615</c:v>
                </c:pt>
                <c:pt idx="218">
                  <c:v>5211.829022672161</c:v>
                </c:pt>
                <c:pt idx="219">
                  <c:v>5185.7803297231812</c:v>
                </c:pt>
                <c:pt idx="220">
                  <c:v>5159.861827999086</c:v>
                </c:pt>
                <c:pt idx="221">
                  <c:v>5134.0728668048459</c:v>
                </c:pt>
                <c:pt idx="222">
                  <c:v>5108.4127986975991</c:v>
                </c:pt>
                <c:pt idx="223">
                  <c:v>5082.8809794704048</c:v>
                </c:pt>
                <c:pt idx="224">
                  <c:v>5057.4767681360599</c:v>
                </c:pt>
                <c:pt idx="225">
                  <c:v>5032.1995269110157</c:v>
                </c:pt>
                <c:pt idx="226">
                  <c:v>5007.0486211993584</c:v>
                </c:pt>
                <c:pt idx="227">
                  <c:v>4979.0033089800136</c:v>
                </c:pt>
                <c:pt idx="228">
                  <c:v>4951.1150832195763</c:v>
                </c:pt>
                <c:pt idx="229">
                  <c:v>4923.3830640506594</c:v>
                </c:pt>
                <c:pt idx="230">
                  <c:v>4895.8063765341594</c:v>
                </c:pt>
                <c:pt idx="231">
                  <c:v>4868.384150631653</c:v>
                </c:pt>
                <c:pt idx="232">
                  <c:v>4841.1155211779478</c:v>
                </c:pt>
                <c:pt idx="233">
                  <c:v>4813.9996278537828</c:v>
                </c:pt>
                <c:pt idx="234">
                  <c:v>4787.0356151586893</c:v>
                </c:pt>
                <c:pt idx="235">
                  <c:v>4760.2226323840014</c:v>
                </c:pt>
                <c:pt idx="236">
                  <c:v>4733.5598335860086</c:v>
                </c:pt>
                <c:pt idx="237">
                  <c:v>4707.0463775592789</c:v>
                </c:pt>
                <c:pt idx="238">
                  <c:v>4680.6814278101056</c:v>
                </c:pt>
                <c:pt idx="239">
                  <c:v>4651.2701456285076</c:v>
                </c:pt>
                <c:pt idx="240">
                  <c:v>4622.0436706235796</c:v>
                </c:pt>
                <c:pt idx="241">
                  <c:v>4593.0008415507245</c:v>
                </c:pt>
                <c:pt idx="242">
                  <c:v>4564.1405044620788</c:v>
                </c:pt>
                <c:pt idx="243">
                  <c:v>4535.461512660665</c:v>
                </c:pt>
                <c:pt idx="244">
                  <c:v>4506.9627266548314</c:v>
                </c:pt>
                <c:pt idx="245">
                  <c:v>4478.6430141129749</c:v>
                </c:pt>
                <c:pt idx="246">
                  <c:v>4450.5012498185515</c:v>
                </c:pt>
                <c:pt idx="247">
                  <c:v>4422.5363156253679</c:v>
                </c:pt>
                <c:pt idx="248">
                  <c:v>4394.7471004131557</c:v>
                </c:pt>
                <c:pt idx="249">
                  <c:v>4367.1325000434226</c:v>
                </c:pt>
                <c:pt idx="250">
                  <c:v>4339.6914173155819</c:v>
                </c:pt>
                <c:pt idx="251">
                  <c:v>4309.1075115435688</c:v>
                </c:pt>
                <c:pt idx="252">
                  <c:v>4278.7391453577438</c:v>
                </c:pt>
                <c:pt idx="253">
                  <c:v>4248.5847997463234</c:v>
                </c:pt>
                <c:pt idx="254">
                  <c:v>4218.6429664027391</c:v>
                </c:pt>
                <c:pt idx="255">
                  <c:v>4188.9121476501841</c:v>
                </c:pt>
                <c:pt idx="256">
                  <c:v>4159.3908563667082</c:v>
                </c:pt>
                <c:pt idx="257">
                  <c:v>4130.0776159108282</c:v>
                </c:pt>
                <c:pt idx="258">
                  <c:v>4100.9709600476672</c:v>
                </c:pt>
                <c:pt idx="259">
                  <c:v>4072.0694328756163</c:v>
                </c:pt>
                <c:pt idx="260">
                  <c:v>4043.3715887535104</c:v>
                </c:pt>
                <c:pt idx="261">
                  <c:v>4014.8759922283161</c:v>
                </c:pt>
                <c:pt idx="262">
                  <c:v>3986.5812179633331</c:v>
                </c:pt>
                <c:pt idx="263">
                  <c:v>3955.0553006747928</c:v>
                </c:pt>
                <c:pt idx="264">
                  <c:v>3923.7786906012675</c:v>
                </c:pt>
                <c:pt idx="265">
                  <c:v>3892.749416219237</c:v>
                </c:pt>
                <c:pt idx="266">
                  <c:v>3861.9655215960042</c:v>
                </c:pt>
                <c:pt idx="267">
                  <c:v>3831.4250662664044</c:v>
                </c:pt>
                <c:pt idx="268">
                  <c:v>3801.1261251104875</c:v>
                </c:pt>
                <c:pt idx="269">
                  <c:v>3771.0667882321677</c:v>
                </c:pt>
                <c:pt idx="270">
                  <c:v>3741.2451608388328</c:v>
                </c:pt>
                <c:pt idx="271">
                  <c:v>3711.6593631219075</c:v>
                </c:pt>
                <c:pt idx="272">
                  <c:v>3682.3075301383569</c:v>
                </c:pt>
                <c:pt idx="273">
                  <c:v>3653.187811693133</c:v>
                </c:pt>
                <c:pt idx="274">
                  <c:v>3624.2983722225426</c:v>
                </c:pt>
                <c:pt idx="275">
                  <c:v>3592.1000771587055</c:v>
                </c:pt>
                <c:pt idx="276">
                  <c:v>3560.187831999855</c:v>
                </c:pt>
                <c:pt idx="277">
                  <c:v>3528.5590954764002</c:v>
                </c:pt>
                <c:pt idx="278">
                  <c:v>3497.2113488954083</c:v>
                </c:pt>
                <c:pt idx="279">
                  <c:v>3466.1420959400339</c:v>
                </c:pt>
                <c:pt idx="280">
                  <c:v>3435.3488624707306</c:v>
                </c:pt>
                <c:pt idx="281">
                  <c:v>3404.8291963282281</c:v>
                </c:pt>
                <c:pt idx="282">
                  <c:v>3374.5806671382556</c:v>
                </c:pt>
                <c:pt idx="283">
                  <c:v>3344.6008661180085</c:v>
                </c:pt>
                <c:pt idx="284">
                  <c:v>3314.8874058843267</c:v>
                </c:pt>
                <c:pt idx="285">
                  <c:v>3285.4379202635805</c:v>
                </c:pt>
                <c:pt idx="286">
                  <c:v>3256.2500641032466</c:v>
                </c:pt>
                <c:pt idx="287">
                  <c:v>3223.7299207719934</c:v>
                </c:pt>
                <c:pt idx="288">
                  <c:v>3191.5345558519389</c:v>
                </c:pt>
                <c:pt idx="289">
                  <c:v>3159.6607257836895</c:v>
                </c:pt>
                <c:pt idx="290">
                  <c:v>3128.1052194012541</c:v>
                </c:pt>
                <c:pt idx="291">
                  <c:v>3096.8648576085284</c:v>
                </c:pt>
                <c:pt idx="292">
                  <c:v>3065.9364930590186</c:v>
                </c:pt>
                <c:pt idx="293">
                  <c:v>3035.3170098387527</c:v>
                </c:pt>
                <c:pt idx="294">
                  <c:v>3005.0033231523676</c:v>
                </c:pt>
                <c:pt idx="295">
                  <c:v>2974.9923790123266</c:v>
                </c:pt>
                <c:pt idx="296">
                  <c:v>2945.2811539312424</c:v>
                </c:pt>
                <c:pt idx="297">
                  <c:v>2915.8666546172717</c:v>
                </c:pt>
                <c:pt idx="298">
                  <c:v>2886.7459176725524</c:v>
                </c:pt>
                <c:pt idx="299">
                  <c:v>2854.3186151347763</c:v>
                </c:pt>
                <c:pt idx="300">
                  <c:v>2822.2555739417339</c:v>
                </c:pt>
                <c:pt idx="301">
                  <c:v>2790.5527022844599</c:v>
                </c:pt>
                <c:pt idx="302">
                  <c:v>2759.2059543179657</c:v>
                </c:pt>
                <c:pt idx="303">
                  <c:v>2728.211329644922</c:v>
                </c:pt>
                <c:pt idx="304">
                  <c:v>2697.5648728051342</c:v>
                </c:pt>
                <c:pt idx="305">
                  <c:v>2667.2626727707589</c:v>
                </c:pt>
                <c:pt idx="306">
                  <c:v>2637.3008624471854</c:v>
                </c:pt>
                <c:pt idx="307">
                  <c:v>2607.6756181795276</c:v>
                </c:pt>
                <c:pt idx="308">
                  <c:v>2578.3831592646584</c:v>
                </c:pt>
                <c:pt idx="309">
                  <c:v>2549.4197474687239</c:v>
                </c:pt>
                <c:pt idx="310">
                  <c:v>2520.7816865500813</c:v>
                </c:pt>
                <c:pt idx="311">
                  <c:v>2488.9981782581281</c:v>
                </c:pt>
                <c:pt idx="312">
                  <c:v>2457.6154152606737</c:v>
                </c:pt>
                <c:pt idx="313">
                  <c:v>2426.628344723727</c:v>
                </c:pt>
                <c:pt idx="314">
                  <c:v>2396.0319775224202</c:v>
                </c:pt>
                <c:pt idx="315">
                  <c:v>2365.8213874377261</c:v>
                </c:pt>
                <c:pt idx="316">
                  <c:v>2335.9917103633034</c:v>
                </c:pt>
                <c:pt idx="317">
                  <c:v>2306.5381435223453</c:v>
                </c:pt>
                <c:pt idx="318">
                  <c:v>2277.4559446942981</c:v>
                </c:pt>
                <c:pt idx="319">
                  <c:v>2248.7404314513342</c:v>
                </c:pt>
                <c:pt idx="320">
                  <c:v>2220.386980404448</c:v>
                </c:pt>
                <c:pt idx="321">
                  <c:v>2192.3910264590613</c:v>
                </c:pt>
                <c:pt idx="322">
                  <c:v>2164.7480620800116</c:v>
                </c:pt>
                <c:pt idx="323">
                  <c:v>2134.2147374508468</c:v>
                </c:pt>
                <c:pt idx="324">
                  <c:v>2104.1120790637456</c:v>
                </c:pt>
                <c:pt idx="325">
                  <c:v>2074.4340124602495</c:v>
                </c:pt>
                <c:pt idx="326">
                  <c:v>2045.1745488608829</c:v>
                </c:pt>
                <c:pt idx="327">
                  <c:v>2016.327783956669</c:v>
                </c:pt>
                <c:pt idx="328">
                  <c:v>1987.8878967176904</c:v>
                </c:pt>
                <c:pt idx="329">
                  <c:v>1959.8491482184552</c:v>
                </c:pt>
                <c:pt idx="330">
                  <c:v>1932.205880479831</c:v>
                </c:pt>
                <c:pt idx="331">
                  <c:v>1904.9525153273132</c:v>
                </c:pt>
                <c:pt idx="332">
                  <c:v>1878.0835532653978</c:v>
                </c:pt>
                <c:pt idx="333">
                  <c:v>1851.5935723678297</c:v>
                </c:pt>
                <c:pt idx="334">
                  <c:v>1825.4772271835041</c:v>
                </c:pt>
                <c:pt idx="335">
                  <c:v>1796.7766644970393</c:v>
                </c:pt>
                <c:pt idx="336">
                  <c:v>1768.527338498852</c:v>
                </c:pt>
                <c:pt idx="337">
                  <c:v>1740.7221547444506</c:v>
                </c:pt>
                <c:pt idx="338">
                  <c:v>1713.3541303297925</c:v>
                </c:pt>
                <c:pt idx="339">
                  <c:v>1686.4163921376196</c:v>
                </c:pt>
                <c:pt idx="340">
                  <c:v>1659.902175111366</c:v>
                </c:pt>
                <c:pt idx="341">
                  <c:v>1633.8048205562036</c:v>
                </c:pt>
                <c:pt idx="342">
                  <c:v>1608.1177744667991</c:v>
                </c:pt>
                <c:pt idx="343">
                  <c:v>1582.8345858813614</c:v>
                </c:pt>
                <c:pt idx="344">
                  <c:v>1557.9489052615695</c:v>
                </c:pt>
                <c:pt idx="345">
                  <c:v>1533.4544828979683</c:v>
                </c:pt>
                <c:pt idx="346">
                  <c:v>1509.3451673404379</c:v>
                </c:pt>
                <c:pt idx="347">
                  <c:v>1482.9866667437391</c:v>
                </c:pt>
                <c:pt idx="348">
                  <c:v>1457.088478717511</c:v>
                </c:pt>
                <c:pt idx="349">
                  <c:v>1431.6425645775441</c:v>
                </c:pt>
                <c:pt idx="350">
                  <c:v>1406.6410260234641</c:v>
                </c:pt>
                <c:pt idx="351">
                  <c:v>1382.0761026871323</c:v>
                </c:pt>
                <c:pt idx="352">
                  <c:v>1357.9401697238641</c:v>
                </c:pt>
                <c:pt idx="353">
                  <c:v>1334.2257354457076</c:v>
                </c:pt>
                <c:pt idx="354">
                  <c:v>1310.925438996059</c:v>
                </c:pt>
                <c:pt idx="355">
                  <c:v>1288.0320480648834</c:v>
                </c:pt>
                <c:pt idx="356">
                  <c:v>1265.5384566438379</c:v>
                </c:pt>
                <c:pt idx="357">
                  <c:v>1243.4376828205977</c:v>
                </c:pt>
                <c:pt idx="358">
                  <c:v>1221.7228666117007</c:v>
                </c:pt>
                <c:pt idx="359">
                  <c:v>1198.0912079770924</c:v>
                </c:pt>
                <c:pt idx="360">
                  <c:v>1174.9166540632718</c:v>
                </c:pt>
                <c:pt idx="361">
                  <c:v>1152.1903631410573</c:v>
                </c:pt>
                <c:pt idx="362">
                  <c:v>1129.903664505917</c:v>
                </c:pt>
                <c:pt idx="363">
                  <c:v>1108.0480551698568</c:v>
                </c:pt>
                <c:pt idx="364">
                  <c:v>1086.6151966172979</c:v>
                </c:pt>
                <c:pt idx="365">
                  <c:v>1065.5969116237018</c:v>
                </c:pt>
                <c:pt idx="366">
                  <c:v>1044.9851811357369</c:v>
                </c:pt>
                <c:pt idx="367">
                  <c:v>1024.7721412117876</c:v>
                </c:pt>
                <c:pt idx="368">
                  <c:v>1004.950080021645</c:v>
                </c:pt>
                <c:pt idx="369">
                  <c:v>985.51143490423158</c:v>
                </c:pt>
                <c:pt idx="370">
                  <c:v>966.44878948223857</c:v>
                </c:pt>
                <c:pt idx="371">
                  <c:v>945.9547297156156</c:v>
                </c:pt>
                <c:pt idx="372">
                  <c:v>925.89525736871815</c:v>
                </c:pt>
                <c:pt idx="373">
                  <c:v>906.26115678454448</c:v>
                </c:pt>
                <c:pt idx="374">
                  <c:v>887.04340772899286</c:v>
                </c:pt>
                <c:pt idx="375">
                  <c:v>868.23318124681578</c:v>
                </c:pt>
                <c:pt idx="376">
                  <c:v>849.82183560544956</c:v>
                </c:pt>
                <c:pt idx="377">
                  <c:v>831.80091232485881</c:v>
                </c:pt>
                <c:pt idx="378">
                  <c:v>814.16213229156824</c:v>
                </c:pt>
                <c:pt idx="379">
                  <c:v>796.89739195510037</c:v>
                </c:pt>
                <c:pt idx="380">
                  <c:v>779.99875960506836</c:v>
                </c:pt>
                <c:pt idx="381">
                  <c:v>763.45847172721619</c:v>
                </c:pt>
                <c:pt idx="382">
                  <c:v>747.26892943672976</c:v>
                </c:pt>
                <c:pt idx="383">
                  <c:v>729.94010719031746</c:v>
                </c:pt>
                <c:pt idx="384">
                  <c:v>713.01313234932877</c:v>
                </c:pt>
                <c:pt idx="385">
                  <c:v>696.47868625754154</c:v>
                </c:pt>
                <c:pt idx="386">
                  <c:v>680.32766635407904</c:v>
                </c:pt>
                <c:pt idx="387">
                  <c:v>664.55118116225833</c:v>
                </c:pt>
                <c:pt idx="388">
                  <c:v>649.1405453946445</c:v>
                </c:pt>
                <c:pt idx="389">
                  <c:v>634.08727517161788</c:v>
                </c:pt>
                <c:pt idx="390">
                  <c:v>619.38308335081888</c:v>
                </c:pt>
                <c:pt idx="391">
                  <c:v>605.01987496490153</c:v>
                </c:pt>
                <c:pt idx="392">
                  <c:v>590.9897427650842</c:v>
                </c:pt>
                <c:pt idx="393">
                  <c:v>577.28496286804159</c:v>
                </c:pt>
                <c:pt idx="394">
                  <c:v>563.89799050374506</c:v>
                </c:pt>
                <c:pt idx="395">
                  <c:v>549.64589914012197</c:v>
                </c:pt>
                <c:pt idx="396">
                  <c:v>535.75401850903881</c:v>
                </c:pt>
                <c:pt idx="397">
                  <c:v>522.21324455912998</c:v>
                </c:pt>
                <c:pt idx="398">
                  <c:v>509.01470333698086</c:v>
                </c:pt>
                <c:pt idx="399">
                  <c:v>496.14974517157674</c:v>
                </c:pt>
                <c:pt idx="400">
                  <c:v>483.60993900573686</c:v>
                </c:pt>
                <c:pt idx="401">
                  <c:v>471.38706687081628</c:v>
                </c:pt>
                <c:pt idx="402">
                  <c:v>459.47311850105609</c:v>
                </c:pt>
                <c:pt idx="403">
                  <c:v>447.86028608405115</c:v>
                </c:pt>
                <c:pt idx="404">
                  <c:v>436.54095914389626</c:v>
                </c:pt>
                <c:pt idx="405">
                  <c:v>425.50771955365673</c:v>
                </c:pt>
                <c:pt idx="406">
                  <c:v>414.75333667389481</c:v>
                </c:pt>
                <c:pt idx="407">
                  <c:v>403.36110134563586</c:v>
                </c:pt>
                <c:pt idx="408">
                  <c:v>392.28178218778129</c:v>
                </c:pt>
                <c:pt idx="409">
                  <c:v>381.50678417688937</c:v>
                </c:pt>
                <c:pt idx="410">
                  <c:v>371.02774837328423</c:v>
                </c:pt>
                <c:pt idx="411">
                  <c:v>360.83654543642666</c:v>
                </c:pt>
                <c:pt idx="412">
                  <c:v>350.92526931840013</c:v>
                </c:pt>
                <c:pt idx="413">
                  <c:v>341.28623113062253</c:v>
                </c:pt>
                <c:pt idx="414">
                  <c:v>331.91195317902248</c:v>
                </c:pt>
                <c:pt idx="415">
                  <c:v>322.79516316305569</c:v>
                </c:pt>
                <c:pt idx="416">
                  <c:v>313.9287885340587</c:v>
                </c:pt>
                <c:pt idx="417">
                  <c:v>305.30595100856533</c:v>
                </c:pt>
                <c:pt idx="418">
                  <c:v>296.91996123232832</c:v>
                </c:pt>
                <c:pt idx="419">
                  <c:v>288.08618958627807</c:v>
                </c:pt>
                <c:pt idx="420">
                  <c:v>279.51523463052609</c:v>
                </c:pt>
                <c:pt idx="421">
                  <c:v>271.19927721200088</c:v>
                </c:pt>
                <c:pt idx="422">
                  <c:v>263.13073080804207</c:v>
                </c:pt>
                <c:pt idx="423">
                  <c:v>255.30223460533048</c:v>
                </c:pt>
                <c:pt idx="424">
                  <c:v>247.70664678472872</c:v>
                </c:pt>
                <c:pt idx="425">
                  <c:v>240.3370380059072</c:v>
                </c:pt>
                <c:pt idx="426">
                  <c:v>233.18668508581152</c:v>
                </c:pt>
                <c:pt idx="427">
                  <c:v>226.24906486520374</c:v>
                </c:pt>
                <c:pt idx="428">
                  <c:v>219.51784825768252</c:v>
                </c:pt>
                <c:pt idx="429">
                  <c:v>212.98689447575291</c:v>
                </c:pt>
                <c:pt idx="430">
                  <c:v>206.65024542867852</c:v>
                </c:pt>
                <c:pt idx="431">
                  <c:v>200.010303817525</c:v>
                </c:pt>
                <c:pt idx="432">
                  <c:v>193.58371218090485</c:v>
                </c:pt>
                <c:pt idx="433">
                  <c:v>187.36361530618237</c:v>
                </c:pt>
                <c:pt idx="434">
                  <c:v>181.3433782476348</c:v>
                </c:pt>
                <c:pt idx="435">
                  <c:v>175.51657924898953</c:v>
                </c:pt>
                <c:pt idx="436">
                  <c:v>169.87700289336931</c:v>
                </c:pt>
                <c:pt idx="437">
                  <c:v>164.41863347333864</c:v>
                </c:pt>
                <c:pt idx="438">
                  <c:v>159.13564857397924</c:v>
                </c:pt>
                <c:pt idx="439">
                  <c:v>154.02241286214965</c:v>
                </c:pt>
                <c:pt idx="440">
                  <c:v>149.07347207530398</c:v>
                </c:pt>
                <c:pt idx="441">
                  <c:v>144.28354720345777</c:v>
                </c:pt>
                <c:pt idx="442">
                  <c:v>139.647528858095</c:v>
                </c:pt>
                <c:pt idx="443">
                  <c:v>134.82131836393029</c:v>
                </c:pt>
                <c:pt idx="444">
                  <c:v>130.16190142439879</c:v>
                </c:pt>
                <c:pt idx="445">
                  <c:v>125.66351366393073</c:v>
                </c:pt>
                <c:pt idx="446">
                  <c:v>121.32058992344152</c:v>
                </c:pt>
                <c:pt idx="447">
                  <c:v>117.12775737542164</c:v>
                </c:pt>
                <c:pt idx="448">
                  <c:v>113.07982887696851</c:v>
                </c:pt>
                <c:pt idx="449">
                  <c:v>109.1717965525373</c:v>
                </c:pt>
                <c:pt idx="450">
                  <c:v>105.39882559847142</c:v>
                </c:pt>
                <c:pt idx="451">
                  <c:v>101.75624830164809</c:v>
                </c:pt>
                <c:pt idx="452">
                  <c:v>98.239558264839204</c:v>
                </c:pt>
                <c:pt idx="453">
                  <c:v>94.844404831643388</c:v>
                </c:pt>
                <c:pt idx="454">
                  <c:v>91.566587704092058</c:v>
                </c:pt>
                <c:pt idx="455">
                  <c:v>88.176039088893077</c:v>
                </c:pt>
                <c:pt idx="456">
                  <c:v>84.911036485621253</c:v>
                </c:pt>
                <c:pt idx="457">
                  <c:v>81.766931147746263</c:v>
                </c:pt>
                <c:pt idx="458">
                  <c:v>78.73924646359076</c:v>
                </c:pt>
                <c:pt idx="459">
                  <c:v>75.823671582481495</c:v>
                </c:pt>
                <c:pt idx="460">
                  <c:v>73.016055276912908</c:v>
                </c:pt>
                <c:pt idx="461">
                  <c:v>70.312400031983813</c:v>
                </c:pt>
                <c:pt idx="462">
                  <c:v>67.7088563536918</c:v>
                </c:pt>
                <c:pt idx="463">
                  <c:v>65.201717287981509</c:v>
                </c:pt>
                <c:pt idx="464">
                  <c:v>62.787413142742714</c:v>
                </c:pt>
                <c:pt idx="465">
                  <c:v>60.462506405243538</c:v>
                </c:pt>
                <c:pt idx="466">
                  <c:v>58.223686847762131</c:v>
                </c:pt>
                <c:pt idx="467">
                  <c:v>55.924485013625343</c:v>
                </c:pt>
                <c:pt idx="468">
                  <c:v>53.716076623880355</c:v>
                </c:pt>
                <c:pt idx="469">
                  <c:v>51.594876325809487</c:v>
                </c:pt>
                <c:pt idx="470">
                  <c:v>49.55744034909889</c:v>
                </c:pt>
                <c:pt idx="471">
                  <c:v>47.600460914874823</c:v>
                </c:pt>
                <c:pt idx="472">
                  <c:v>45.720760865522088</c:v>
                </c:pt>
                <c:pt idx="473">
                  <c:v>43.915288506566199</c:v>
                </c:pt>
                <c:pt idx="474">
                  <c:v>42.181112652245076</c:v>
                </c:pt>
                <c:pt idx="475">
                  <c:v>40.515417866726693</c:v>
                </c:pt>
                <c:pt idx="476">
                  <c:v>38.915499893246853</c:v>
                </c:pt>
                <c:pt idx="477">
                  <c:v>37.378761263746235</c:v>
                </c:pt>
                <c:pt idx="478">
                  <c:v>35.902707081879015</c:v>
                </c:pt>
                <c:pt idx="479">
                  <c:v>34.39634213437796</c:v>
                </c:pt>
                <c:pt idx="480">
                  <c:v>32.953179533983636</c:v>
                </c:pt>
                <c:pt idx="481">
                  <c:v>31.570567508503359</c:v>
                </c:pt>
                <c:pt idx="482">
                  <c:v>30.245965545785953</c:v>
                </c:pt>
                <c:pt idx="483">
                  <c:v>28.976939725599475</c:v>
                </c:pt>
                <c:pt idx="484">
                  <c:v>27.761158247368691</c:v>
                </c:pt>
                <c:pt idx="485">
                  <c:v>26.596387145554679</c:v>
                </c:pt>
                <c:pt idx="486">
                  <c:v>25.480486184803663</c:v>
                </c:pt>
                <c:pt idx="487">
                  <c:v>24.411404927322504</c:v>
                </c:pt>
                <c:pt idx="488">
                  <c:v>23.387178965254787</c:v>
                </c:pt>
                <c:pt idx="489">
                  <c:v>22.405926311134593</c:v>
                </c:pt>
                <c:pt idx="490">
                  <c:v>21.465843939785501</c:v>
                </c:pt>
                <c:pt idx="491">
                  <c:v>20.513148565500479</c:v>
                </c:pt>
                <c:pt idx="492">
                  <c:v>19.602735641359516</c:v>
                </c:pt>
                <c:pt idx="493">
                  <c:v>18.732728591031449</c:v>
                </c:pt>
                <c:pt idx="494">
                  <c:v>17.901334124246244</c:v>
                </c:pt>
                <c:pt idx="495">
                  <c:v>17.106838540399636</c:v>
                </c:pt>
                <c:pt idx="496">
                  <c:v>16.347604196210963</c:v>
                </c:pt>
                <c:pt idx="497">
                  <c:v>15.622066130153067</c:v>
                </c:pt>
                <c:pt idx="498">
                  <c:v>14.928728836696518</c:v>
                </c:pt>
                <c:pt idx="499">
                  <c:v>14.266163183719062</c:v>
                </c:pt>
                <c:pt idx="500">
                  <c:v>13.633003466726343</c:v>
                </c:pt>
                <c:pt idx="501">
                  <c:v>13.027944593811998</c:v>
                </c:pt>
                <c:pt idx="502">
                  <c:v>12.449739395554593</c:v>
                </c:pt>
                <c:pt idx="503">
                  <c:v>11.867703659814508</c:v>
                </c:pt>
                <c:pt idx="504">
                  <c:v>11.312878581817142</c:v>
                </c:pt>
                <c:pt idx="505">
                  <c:v>10.78399204054084</c:v>
                </c:pt>
                <c:pt idx="506">
                  <c:v>10.279831387686322</c:v>
                </c:pt>
                <c:pt idx="507">
                  <c:v>9.7992406672771484</c:v>
                </c:pt>
                <c:pt idx="508">
                  <c:v>9.341117965246184</c:v>
                </c:pt>
                <c:pt idx="509">
                  <c:v>8.9044128829311013</c:v>
                </c:pt>
                <c:pt idx="510">
                  <c:v>8.4881241286861027</c:v>
                </c:pt>
                <c:pt idx="511">
                  <c:v>8.0912972220877979</c:v>
                </c:pt>
                <c:pt idx="512">
                  <c:v>7.7130223054713767</c:v>
                </c:pt>
                <c:pt idx="513">
                  <c:v>7.3524320577793079</c:v>
                </c:pt>
                <c:pt idx="514">
                  <c:v>7.0086997059393488</c:v>
                </c:pt>
                <c:pt idx="515">
                  <c:v>6.6649867646439613</c:v>
                </c:pt>
                <c:pt idx="516">
                  <c:v>6.3381298153257752</c:v>
                </c:pt>
                <c:pt idx="517">
                  <c:v>6.0273022249681087</c:v>
                </c:pt>
                <c:pt idx="518">
                  <c:v>5.7317178993813753</c:v>
                </c:pt>
                <c:pt idx="519">
                  <c:v>5.4506292951425168</c:v>
                </c:pt>
                <c:pt idx="520">
                  <c:v>5.1833255290307187</c:v>
                </c:pt>
                <c:pt idx="521">
                  <c:v>4.9291305801781</c:v>
                </c:pt>
                <c:pt idx="522">
                  <c:v>4.6874015803885474</c:v>
                </c:pt>
                <c:pt idx="523">
                  <c:v>4.4575271883008556</c:v>
                </c:pt>
                <c:pt idx="524">
                  <c:v>4.2389260432843701</c:v>
                </c:pt>
                <c:pt idx="525">
                  <c:v>4.0310452951569804</c:v>
                </c:pt>
                <c:pt idx="526">
                  <c:v>3.8333592060070618</c:v>
                </c:pt>
                <c:pt idx="527">
                  <c:v>3.6370771664837531</c:v>
                </c:pt>
                <c:pt idx="528">
                  <c:v>3.4508454867021188</c:v>
                </c:pt>
                <c:pt idx="529">
                  <c:v>3.274149551411663</c:v>
                </c:pt>
                <c:pt idx="530">
                  <c:v>3.106501095548635</c:v>
                </c:pt>
                <c:pt idx="531">
                  <c:v>2.9474368550099008</c:v>
                </c:pt>
                <c:pt idx="532">
                  <c:v>2.7965172865121382</c:v>
                </c:pt>
                <c:pt idx="533">
                  <c:v>2.6533253529989342</c:v>
                </c:pt>
                <c:pt idx="534">
                  <c:v>2.5174653712394854</c:v>
                </c:pt>
                <c:pt idx="535">
                  <c:v>2.3885619184344735</c:v>
                </c:pt>
                <c:pt idx="536">
                  <c:v>2.2662587948077229</c:v>
                </c:pt>
                <c:pt idx="537">
                  <c:v>2.150218039316969</c:v>
                </c:pt>
                <c:pt idx="538">
                  <c:v>2.0401189957638439</c:v>
                </c:pt>
                <c:pt idx="539">
                  <c:v>1.9315067756322555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68D-405A-8673-183D0336D099}"/>
            </c:ext>
          </c:extLst>
        </c:ser>
        <c:ser>
          <c:idx val="1"/>
          <c:order val="1"/>
          <c:tx>
            <c:strRef>
              <c:f>Projection!$Q$3</c:f>
              <c:strCache>
                <c:ptCount val="1"/>
                <c:pt idx="0">
                  <c:v>ExpExpenseCF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Projection!$C$4:$C$543</c:f>
              <c:numCache>
                <c:formatCode>General</c:formatCode>
                <c:ptCount val="540"/>
                <c:pt idx="0">
                  <c:v>65.083333333333329</c:v>
                </c:pt>
                <c:pt idx="1">
                  <c:v>65.166666666666671</c:v>
                </c:pt>
                <c:pt idx="2">
                  <c:v>65.25</c:v>
                </c:pt>
                <c:pt idx="3">
                  <c:v>65.333333333333329</c:v>
                </c:pt>
                <c:pt idx="4">
                  <c:v>65.416666666666671</c:v>
                </c:pt>
                <c:pt idx="5">
                  <c:v>65.5</c:v>
                </c:pt>
                <c:pt idx="6">
                  <c:v>65.583333333333329</c:v>
                </c:pt>
                <c:pt idx="7">
                  <c:v>65.666666666666671</c:v>
                </c:pt>
                <c:pt idx="8">
                  <c:v>65.75</c:v>
                </c:pt>
                <c:pt idx="9">
                  <c:v>65.833333333333329</c:v>
                </c:pt>
                <c:pt idx="10">
                  <c:v>65.916666666666671</c:v>
                </c:pt>
                <c:pt idx="11">
                  <c:v>66</c:v>
                </c:pt>
                <c:pt idx="12">
                  <c:v>66.083333333333329</c:v>
                </c:pt>
                <c:pt idx="13">
                  <c:v>66.166666666666671</c:v>
                </c:pt>
                <c:pt idx="14">
                  <c:v>66.25</c:v>
                </c:pt>
                <c:pt idx="15">
                  <c:v>66.333333333333329</c:v>
                </c:pt>
                <c:pt idx="16">
                  <c:v>66.416666666666671</c:v>
                </c:pt>
                <c:pt idx="17">
                  <c:v>66.5</c:v>
                </c:pt>
                <c:pt idx="18">
                  <c:v>66.583333333333329</c:v>
                </c:pt>
                <c:pt idx="19">
                  <c:v>66.666666666666671</c:v>
                </c:pt>
                <c:pt idx="20">
                  <c:v>66.75</c:v>
                </c:pt>
                <c:pt idx="21">
                  <c:v>66.833333333333329</c:v>
                </c:pt>
                <c:pt idx="22">
                  <c:v>66.916666666666671</c:v>
                </c:pt>
                <c:pt idx="23">
                  <c:v>67</c:v>
                </c:pt>
                <c:pt idx="24">
                  <c:v>67.083333333333329</c:v>
                </c:pt>
                <c:pt idx="25">
                  <c:v>67.166666666666671</c:v>
                </c:pt>
                <c:pt idx="26">
                  <c:v>67.25</c:v>
                </c:pt>
                <c:pt idx="27">
                  <c:v>67.333333333333329</c:v>
                </c:pt>
                <c:pt idx="28">
                  <c:v>67.416666666666671</c:v>
                </c:pt>
                <c:pt idx="29">
                  <c:v>67.5</c:v>
                </c:pt>
                <c:pt idx="30">
                  <c:v>67.583333333333329</c:v>
                </c:pt>
                <c:pt idx="31">
                  <c:v>67.666666666666671</c:v>
                </c:pt>
                <c:pt idx="32">
                  <c:v>67.75</c:v>
                </c:pt>
                <c:pt idx="33">
                  <c:v>67.833333333333329</c:v>
                </c:pt>
                <c:pt idx="34">
                  <c:v>67.916666666666671</c:v>
                </c:pt>
                <c:pt idx="35">
                  <c:v>68</c:v>
                </c:pt>
                <c:pt idx="36">
                  <c:v>68.083333333333329</c:v>
                </c:pt>
                <c:pt idx="37">
                  <c:v>68.166666666666671</c:v>
                </c:pt>
                <c:pt idx="38">
                  <c:v>68.25</c:v>
                </c:pt>
                <c:pt idx="39">
                  <c:v>68.333333333333329</c:v>
                </c:pt>
                <c:pt idx="40">
                  <c:v>68.416666666666671</c:v>
                </c:pt>
                <c:pt idx="41">
                  <c:v>68.5</c:v>
                </c:pt>
                <c:pt idx="42">
                  <c:v>68.583333333333329</c:v>
                </c:pt>
                <c:pt idx="43">
                  <c:v>68.666666666666671</c:v>
                </c:pt>
                <c:pt idx="44">
                  <c:v>68.75</c:v>
                </c:pt>
                <c:pt idx="45">
                  <c:v>68.833333333333329</c:v>
                </c:pt>
                <c:pt idx="46">
                  <c:v>68.916666666666671</c:v>
                </c:pt>
                <c:pt idx="47">
                  <c:v>69</c:v>
                </c:pt>
                <c:pt idx="48">
                  <c:v>69.083333333333329</c:v>
                </c:pt>
                <c:pt idx="49">
                  <c:v>69.166666666666671</c:v>
                </c:pt>
                <c:pt idx="50">
                  <c:v>69.25</c:v>
                </c:pt>
                <c:pt idx="51">
                  <c:v>69.333333333333329</c:v>
                </c:pt>
                <c:pt idx="52">
                  <c:v>69.416666666666671</c:v>
                </c:pt>
                <c:pt idx="53">
                  <c:v>69.5</c:v>
                </c:pt>
                <c:pt idx="54">
                  <c:v>69.583333333333329</c:v>
                </c:pt>
                <c:pt idx="55">
                  <c:v>69.666666666666671</c:v>
                </c:pt>
                <c:pt idx="56">
                  <c:v>69.75</c:v>
                </c:pt>
                <c:pt idx="57">
                  <c:v>69.833333333333329</c:v>
                </c:pt>
                <c:pt idx="58">
                  <c:v>69.916666666666671</c:v>
                </c:pt>
                <c:pt idx="59">
                  <c:v>70</c:v>
                </c:pt>
                <c:pt idx="60">
                  <c:v>70.083333333333329</c:v>
                </c:pt>
                <c:pt idx="61">
                  <c:v>70.166666666666671</c:v>
                </c:pt>
                <c:pt idx="62">
                  <c:v>70.25</c:v>
                </c:pt>
                <c:pt idx="63">
                  <c:v>70.333333333333329</c:v>
                </c:pt>
                <c:pt idx="64">
                  <c:v>70.416666666666671</c:v>
                </c:pt>
                <c:pt idx="65">
                  <c:v>70.5</c:v>
                </c:pt>
                <c:pt idx="66">
                  <c:v>70.583333333333329</c:v>
                </c:pt>
                <c:pt idx="67">
                  <c:v>70.666666666666671</c:v>
                </c:pt>
                <c:pt idx="68">
                  <c:v>70.75</c:v>
                </c:pt>
                <c:pt idx="69">
                  <c:v>70.833333333333329</c:v>
                </c:pt>
                <c:pt idx="70">
                  <c:v>70.916666666666671</c:v>
                </c:pt>
                <c:pt idx="71">
                  <c:v>71</c:v>
                </c:pt>
                <c:pt idx="72">
                  <c:v>71.083333333333329</c:v>
                </c:pt>
                <c:pt idx="73">
                  <c:v>71.166666666666671</c:v>
                </c:pt>
                <c:pt idx="74">
                  <c:v>71.25</c:v>
                </c:pt>
                <c:pt idx="75">
                  <c:v>71.333333333333329</c:v>
                </c:pt>
                <c:pt idx="76">
                  <c:v>71.416666666666671</c:v>
                </c:pt>
                <c:pt idx="77">
                  <c:v>71.5</c:v>
                </c:pt>
                <c:pt idx="78">
                  <c:v>71.583333333333329</c:v>
                </c:pt>
                <c:pt idx="79">
                  <c:v>71.666666666666671</c:v>
                </c:pt>
                <c:pt idx="80">
                  <c:v>71.75</c:v>
                </c:pt>
                <c:pt idx="81">
                  <c:v>71.833333333333329</c:v>
                </c:pt>
                <c:pt idx="82">
                  <c:v>71.916666666666671</c:v>
                </c:pt>
                <c:pt idx="83">
                  <c:v>72</c:v>
                </c:pt>
                <c:pt idx="84">
                  <c:v>72.083333333333329</c:v>
                </c:pt>
                <c:pt idx="85">
                  <c:v>72.166666666666671</c:v>
                </c:pt>
                <c:pt idx="86">
                  <c:v>72.25</c:v>
                </c:pt>
                <c:pt idx="87">
                  <c:v>72.333333333333329</c:v>
                </c:pt>
                <c:pt idx="88">
                  <c:v>72.416666666666671</c:v>
                </c:pt>
                <c:pt idx="89">
                  <c:v>72.5</c:v>
                </c:pt>
                <c:pt idx="90">
                  <c:v>72.583333333333329</c:v>
                </c:pt>
                <c:pt idx="91">
                  <c:v>72.666666666666671</c:v>
                </c:pt>
                <c:pt idx="92">
                  <c:v>72.75</c:v>
                </c:pt>
                <c:pt idx="93">
                  <c:v>72.833333333333329</c:v>
                </c:pt>
                <c:pt idx="94">
                  <c:v>72.916666666666671</c:v>
                </c:pt>
                <c:pt idx="95">
                  <c:v>73</c:v>
                </c:pt>
                <c:pt idx="96">
                  <c:v>73.083333333333329</c:v>
                </c:pt>
                <c:pt idx="97">
                  <c:v>73.166666666666671</c:v>
                </c:pt>
                <c:pt idx="98">
                  <c:v>73.25</c:v>
                </c:pt>
                <c:pt idx="99">
                  <c:v>73.333333333333329</c:v>
                </c:pt>
                <c:pt idx="100">
                  <c:v>73.416666666666671</c:v>
                </c:pt>
                <c:pt idx="101">
                  <c:v>73.5</c:v>
                </c:pt>
                <c:pt idx="102">
                  <c:v>73.583333333333329</c:v>
                </c:pt>
                <c:pt idx="103">
                  <c:v>73.666666666666671</c:v>
                </c:pt>
                <c:pt idx="104">
                  <c:v>73.75</c:v>
                </c:pt>
                <c:pt idx="105">
                  <c:v>73.833333333333329</c:v>
                </c:pt>
                <c:pt idx="106">
                  <c:v>73.916666666666671</c:v>
                </c:pt>
                <c:pt idx="107">
                  <c:v>74</c:v>
                </c:pt>
                <c:pt idx="108">
                  <c:v>74.083333333333329</c:v>
                </c:pt>
                <c:pt idx="109">
                  <c:v>74.166666666666671</c:v>
                </c:pt>
                <c:pt idx="110">
                  <c:v>74.25</c:v>
                </c:pt>
                <c:pt idx="111">
                  <c:v>74.333333333333329</c:v>
                </c:pt>
                <c:pt idx="112">
                  <c:v>74.416666666666671</c:v>
                </c:pt>
                <c:pt idx="113">
                  <c:v>74.5</c:v>
                </c:pt>
                <c:pt idx="114">
                  <c:v>74.583333333333329</c:v>
                </c:pt>
                <c:pt idx="115">
                  <c:v>74.666666666666671</c:v>
                </c:pt>
                <c:pt idx="116">
                  <c:v>74.75</c:v>
                </c:pt>
                <c:pt idx="117">
                  <c:v>74.833333333333329</c:v>
                </c:pt>
                <c:pt idx="118">
                  <c:v>74.916666666666671</c:v>
                </c:pt>
                <c:pt idx="119">
                  <c:v>75</c:v>
                </c:pt>
                <c:pt idx="120">
                  <c:v>75.083333333333329</c:v>
                </c:pt>
                <c:pt idx="121">
                  <c:v>75.166666666666671</c:v>
                </c:pt>
                <c:pt idx="122">
                  <c:v>75.25</c:v>
                </c:pt>
                <c:pt idx="123">
                  <c:v>75.333333333333329</c:v>
                </c:pt>
                <c:pt idx="124">
                  <c:v>75.416666666666671</c:v>
                </c:pt>
                <c:pt idx="125">
                  <c:v>75.5</c:v>
                </c:pt>
                <c:pt idx="126">
                  <c:v>75.583333333333329</c:v>
                </c:pt>
                <c:pt idx="127">
                  <c:v>75.666666666666671</c:v>
                </c:pt>
                <c:pt idx="128">
                  <c:v>75.75</c:v>
                </c:pt>
                <c:pt idx="129">
                  <c:v>75.833333333333329</c:v>
                </c:pt>
                <c:pt idx="130">
                  <c:v>75.916666666666671</c:v>
                </c:pt>
                <c:pt idx="131">
                  <c:v>76</c:v>
                </c:pt>
                <c:pt idx="132">
                  <c:v>76.083333333333329</c:v>
                </c:pt>
                <c:pt idx="133">
                  <c:v>76.166666666666671</c:v>
                </c:pt>
                <c:pt idx="134">
                  <c:v>76.25</c:v>
                </c:pt>
                <c:pt idx="135">
                  <c:v>76.333333333333329</c:v>
                </c:pt>
                <c:pt idx="136">
                  <c:v>76.416666666666671</c:v>
                </c:pt>
                <c:pt idx="137">
                  <c:v>76.5</c:v>
                </c:pt>
                <c:pt idx="138">
                  <c:v>76.583333333333329</c:v>
                </c:pt>
                <c:pt idx="139">
                  <c:v>76.666666666666671</c:v>
                </c:pt>
                <c:pt idx="140">
                  <c:v>76.75</c:v>
                </c:pt>
                <c:pt idx="141">
                  <c:v>76.833333333333329</c:v>
                </c:pt>
                <c:pt idx="142">
                  <c:v>76.916666666666671</c:v>
                </c:pt>
                <c:pt idx="143">
                  <c:v>77</c:v>
                </c:pt>
                <c:pt idx="144">
                  <c:v>77.083333333333329</c:v>
                </c:pt>
                <c:pt idx="145">
                  <c:v>77.166666666666671</c:v>
                </c:pt>
                <c:pt idx="146">
                  <c:v>77.25</c:v>
                </c:pt>
                <c:pt idx="147">
                  <c:v>77.333333333333329</c:v>
                </c:pt>
                <c:pt idx="148">
                  <c:v>77.416666666666671</c:v>
                </c:pt>
                <c:pt idx="149">
                  <c:v>77.5</c:v>
                </c:pt>
                <c:pt idx="150">
                  <c:v>77.583333333333329</c:v>
                </c:pt>
                <c:pt idx="151">
                  <c:v>77.666666666666671</c:v>
                </c:pt>
                <c:pt idx="152">
                  <c:v>77.75</c:v>
                </c:pt>
                <c:pt idx="153">
                  <c:v>77.833333333333329</c:v>
                </c:pt>
                <c:pt idx="154">
                  <c:v>77.916666666666671</c:v>
                </c:pt>
                <c:pt idx="155">
                  <c:v>78</c:v>
                </c:pt>
                <c:pt idx="156">
                  <c:v>78.083333333333329</c:v>
                </c:pt>
                <c:pt idx="157">
                  <c:v>78.166666666666671</c:v>
                </c:pt>
                <c:pt idx="158">
                  <c:v>78.25</c:v>
                </c:pt>
                <c:pt idx="159">
                  <c:v>78.333333333333329</c:v>
                </c:pt>
                <c:pt idx="160">
                  <c:v>78.416666666666671</c:v>
                </c:pt>
                <c:pt idx="161">
                  <c:v>78.5</c:v>
                </c:pt>
                <c:pt idx="162">
                  <c:v>78.583333333333329</c:v>
                </c:pt>
                <c:pt idx="163">
                  <c:v>78.666666666666671</c:v>
                </c:pt>
                <c:pt idx="164">
                  <c:v>78.75</c:v>
                </c:pt>
                <c:pt idx="165">
                  <c:v>78.833333333333329</c:v>
                </c:pt>
                <c:pt idx="166">
                  <c:v>78.916666666666671</c:v>
                </c:pt>
                <c:pt idx="167">
                  <c:v>79</c:v>
                </c:pt>
                <c:pt idx="168">
                  <c:v>79.083333333333329</c:v>
                </c:pt>
                <c:pt idx="169">
                  <c:v>79.166666666666671</c:v>
                </c:pt>
                <c:pt idx="170">
                  <c:v>79.25</c:v>
                </c:pt>
                <c:pt idx="171">
                  <c:v>79.333333333333329</c:v>
                </c:pt>
                <c:pt idx="172">
                  <c:v>79.416666666666671</c:v>
                </c:pt>
                <c:pt idx="173">
                  <c:v>79.5</c:v>
                </c:pt>
                <c:pt idx="174">
                  <c:v>79.583333333333329</c:v>
                </c:pt>
                <c:pt idx="175">
                  <c:v>79.666666666666671</c:v>
                </c:pt>
                <c:pt idx="176">
                  <c:v>79.75</c:v>
                </c:pt>
                <c:pt idx="177">
                  <c:v>79.833333333333329</c:v>
                </c:pt>
                <c:pt idx="178">
                  <c:v>79.916666666666671</c:v>
                </c:pt>
                <c:pt idx="179">
                  <c:v>80</c:v>
                </c:pt>
                <c:pt idx="180">
                  <c:v>80.083333333333329</c:v>
                </c:pt>
                <c:pt idx="181">
                  <c:v>80.166666666666671</c:v>
                </c:pt>
                <c:pt idx="182">
                  <c:v>80.25</c:v>
                </c:pt>
                <c:pt idx="183">
                  <c:v>80.333333333333329</c:v>
                </c:pt>
                <c:pt idx="184">
                  <c:v>80.416666666666671</c:v>
                </c:pt>
                <c:pt idx="185">
                  <c:v>80.5</c:v>
                </c:pt>
                <c:pt idx="186">
                  <c:v>80.583333333333329</c:v>
                </c:pt>
                <c:pt idx="187">
                  <c:v>80.666666666666671</c:v>
                </c:pt>
                <c:pt idx="188">
                  <c:v>80.75</c:v>
                </c:pt>
                <c:pt idx="189">
                  <c:v>80.833333333333329</c:v>
                </c:pt>
                <c:pt idx="190">
                  <c:v>80.916666666666671</c:v>
                </c:pt>
                <c:pt idx="191">
                  <c:v>81</c:v>
                </c:pt>
                <c:pt idx="192">
                  <c:v>81.083333333333329</c:v>
                </c:pt>
                <c:pt idx="193">
                  <c:v>81.166666666666671</c:v>
                </c:pt>
                <c:pt idx="194">
                  <c:v>81.25</c:v>
                </c:pt>
                <c:pt idx="195">
                  <c:v>81.333333333333329</c:v>
                </c:pt>
                <c:pt idx="196">
                  <c:v>81.416666666666671</c:v>
                </c:pt>
                <c:pt idx="197">
                  <c:v>81.5</c:v>
                </c:pt>
                <c:pt idx="198">
                  <c:v>81.583333333333329</c:v>
                </c:pt>
                <c:pt idx="199">
                  <c:v>81.666666666666671</c:v>
                </c:pt>
                <c:pt idx="200">
                  <c:v>81.75</c:v>
                </c:pt>
                <c:pt idx="201">
                  <c:v>81.833333333333329</c:v>
                </c:pt>
                <c:pt idx="202">
                  <c:v>81.916666666666671</c:v>
                </c:pt>
                <c:pt idx="203">
                  <c:v>82</c:v>
                </c:pt>
                <c:pt idx="204">
                  <c:v>82.083333333333329</c:v>
                </c:pt>
                <c:pt idx="205">
                  <c:v>82.166666666666671</c:v>
                </c:pt>
                <c:pt idx="206">
                  <c:v>82.25</c:v>
                </c:pt>
                <c:pt idx="207">
                  <c:v>82.333333333333329</c:v>
                </c:pt>
                <c:pt idx="208">
                  <c:v>82.416666666666671</c:v>
                </c:pt>
                <c:pt idx="209">
                  <c:v>82.5</c:v>
                </c:pt>
                <c:pt idx="210">
                  <c:v>82.583333333333329</c:v>
                </c:pt>
                <c:pt idx="211">
                  <c:v>82.666666666666671</c:v>
                </c:pt>
                <c:pt idx="212">
                  <c:v>82.75</c:v>
                </c:pt>
                <c:pt idx="213">
                  <c:v>82.833333333333329</c:v>
                </c:pt>
                <c:pt idx="214">
                  <c:v>82.916666666666671</c:v>
                </c:pt>
                <c:pt idx="215">
                  <c:v>83</c:v>
                </c:pt>
                <c:pt idx="216">
                  <c:v>83.083333333333329</c:v>
                </c:pt>
                <c:pt idx="217">
                  <c:v>83.166666666666671</c:v>
                </c:pt>
                <c:pt idx="218">
                  <c:v>83.25</c:v>
                </c:pt>
                <c:pt idx="219">
                  <c:v>83.333333333333329</c:v>
                </c:pt>
                <c:pt idx="220">
                  <c:v>83.416666666666671</c:v>
                </c:pt>
                <c:pt idx="221">
                  <c:v>83.5</c:v>
                </c:pt>
                <c:pt idx="222">
                  <c:v>83.583333333333329</c:v>
                </c:pt>
                <c:pt idx="223">
                  <c:v>83.666666666666671</c:v>
                </c:pt>
                <c:pt idx="224">
                  <c:v>83.75</c:v>
                </c:pt>
                <c:pt idx="225">
                  <c:v>83.833333333333329</c:v>
                </c:pt>
                <c:pt idx="226">
                  <c:v>83.916666666666671</c:v>
                </c:pt>
                <c:pt idx="227">
                  <c:v>84</c:v>
                </c:pt>
                <c:pt idx="228">
                  <c:v>84.083333333333329</c:v>
                </c:pt>
                <c:pt idx="229">
                  <c:v>84.166666666666671</c:v>
                </c:pt>
                <c:pt idx="230">
                  <c:v>84.25</c:v>
                </c:pt>
                <c:pt idx="231">
                  <c:v>84.333333333333329</c:v>
                </c:pt>
                <c:pt idx="232">
                  <c:v>84.416666666666671</c:v>
                </c:pt>
                <c:pt idx="233">
                  <c:v>84.5</c:v>
                </c:pt>
                <c:pt idx="234">
                  <c:v>84.583333333333329</c:v>
                </c:pt>
                <c:pt idx="235">
                  <c:v>84.666666666666671</c:v>
                </c:pt>
                <c:pt idx="236">
                  <c:v>84.75</c:v>
                </c:pt>
                <c:pt idx="237">
                  <c:v>84.833333333333329</c:v>
                </c:pt>
                <c:pt idx="238">
                  <c:v>84.916666666666671</c:v>
                </c:pt>
                <c:pt idx="239">
                  <c:v>85</c:v>
                </c:pt>
                <c:pt idx="240">
                  <c:v>85.083333333333329</c:v>
                </c:pt>
                <c:pt idx="241">
                  <c:v>85.166666666666671</c:v>
                </c:pt>
                <c:pt idx="242">
                  <c:v>85.25</c:v>
                </c:pt>
                <c:pt idx="243">
                  <c:v>85.333333333333329</c:v>
                </c:pt>
                <c:pt idx="244">
                  <c:v>85.416666666666671</c:v>
                </c:pt>
                <c:pt idx="245">
                  <c:v>85.5</c:v>
                </c:pt>
                <c:pt idx="246">
                  <c:v>85.583333333333329</c:v>
                </c:pt>
                <c:pt idx="247">
                  <c:v>85.666666666666671</c:v>
                </c:pt>
                <c:pt idx="248">
                  <c:v>85.75</c:v>
                </c:pt>
                <c:pt idx="249">
                  <c:v>85.833333333333329</c:v>
                </c:pt>
                <c:pt idx="250">
                  <c:v>85.916666666666671</c:v>
                </c:pt>
                <c:pt idx="251">
                  <c:v>86</c:v>
                </c:pt>
                <c:pt idx="252">
                  <c:v>86.083333333333329</c:v>
                </c:pt>
                <c:pt idx="253">
                  <c:v>86.166666666666671</c:v>
                </c:pt>
                <c:pt idx="254">
                  <c:v>86.25</c:v>
                </c:pt>
                <c:pt idx="255">
                  <c:v>86.333333333333329</c:v>
                </c:pt>
                <c:pt idx="256">
                  <c:v>86.416666666666671</c:v>
                </c:pt>
                <c:pt idx="257">
                  <c:v>86.5</c:v>
                </c:pt>
                <c:pt idx="258">
                  <c:v>86.583333333333329</c:v>
                </c:pt>
                <c:pt idx="259">
                  <c:v>86.666666666666671</c:v>
                </c:pt>
                <c:pt idx="260">
                  <c:v>86.75</c:v>
                </c:pt>
                <c:pt idx="261">
                  <c:v>86.833333333333329</c:v>
                </c:pt>
                <c:pt idx="262">
                  <c:v>86.916666666666671</c:v>
                </c:pt>
                <c:pt idx="263">
                  <c:v>87</c:v>
                </c:pt>
                <c:pt idx="264">
                  <c:v>87.083333333333329</c:v>
                </c:pt>
                <c:pt idx="265">
                  <c:v>87.166666666666671</c:v>
                </c:pt>
                <c:pt idx="266">
                  <c:v>87.25</c:v>
                </c:pt>
                <c:pt idx="267">
                  <c:v>87.333333333333329</c:v>
                </c:pt>
                <c:pt idx="268">
                  <c:v>87.416666666666671</c:v>
                </c:pt>
                <c:pt idx="269">
                  <c:v>87.5</c:v>
                </c:pt>
                <c:pt idx="270">
                  <c:v>87.583333333333329</c:v>
                </c:pt>
                <c:pt idx="271">
                  <c:v>87.666666666666671</c:v>
                </c:pt>
                <c:pt idx="272">
                  <c:v>87.75</c:v>
                </c:pt>
                <c:pt idx="273">
                  <c:v>87.833333333333329</c:v>
                </c:pt>
                <c:pt idx="274">
                  <c:v>87.916666666666671</c:v>
                </c:pt>
                <c:pt idx="275">
                  <c:v>88</c:v>
                </c:pt>
                <c:pt idx="276">
                  <c:v>88.083333333333329</c:v>
                </c:pt>
                <c:pt idx="277">
                  <c:v>88.166666666666671</c:v>
                </c:pt>
                <c:pt idx="278">
                  <c:v>88.25</c:v>
                </c:pt>
                <c:pt idx="279">
                  <c:v>88.333333333333329</c:v>
                </c:pt>
                <c:pt idx="280">
                  <c:v>88.416666666666671</c:v>
                </c:pt>
                <c:pt idx="281">
                  <c:v>88.5</c:v>
                </c:pt>
                <c:pt idx="282">
                  <c:v>88.583333333333329</c:v>
                </c:pt>
                <c:pt idx="283">
                  <c:v>88.666666666666671</c:v>
                </c:pt>
                <c:pt idx="284">
                  <c:v>88.75</c:v>
                </c:pt>
                <c:pt idx="285">
                  <c:v>88.833333333333329</c:v>
                </c:pt>
                <c:pt idx="286">
                  <c:v>88.916666666666671</c:v>
                </c:pt>
                <c:pt idx="287">
                  <c:v>89</c:v>
                </c:pt>
                <c:pt idx="288">
                  <c:v>89.083333333333329</c:v>
                </c:pt>
                <c:pt idx="289">
                  <c:v>89.166666666666671</c:v>
                </c:pt>
                <c:pt idx="290">
                  <c:v>89.25</c:v>
                </c:pt>
                <c:pt idx="291">
                  <c:v>89.333333333333329</c:v>
                </c:pt>
                <c:pt idx="292">
                  <c:v>89.416666666666671</c:v>
                </c:pt>
                <c:pt idx="293">
                  <c:v>89.5</c:v>
                </c:pt>
                <c:pt idx="294">
                  <c:v>89.583333333333329</c:v>
                </c:pt>
                <c:pt idx="295">
                  <c:v>89.666666666666671</c:v>
                </c:pt>
                <c:pt idx="296">
                  <c:v>89.75</c:v>
                </c:pt>
                <c:pt idx="297">
                  <c:v>89.833333333333329</c:v>
                </c:pt>
                <c:pt idx="298">
                  <c:v>89.916666666666671</c:v>
                </c:pt>
                <c:pt idx="299">
                  <c:v>90</c:v>
                </c:pt>
                <c:pt idx="300">
                  <c:v>90.083333333333329</c:v>
                </c:pt>
                <c:pt idx="301">
                  <c:v>90.166666666666671</c:v>
                </c:pt>
                <c:pt idx="302">
                  <c:v>90.25</c:v>
                </c:pt>
                <c:pt idx="303">
                  <c:v>90.333333333333329</c:v>
                </c:pt>
                <c:pt idx="304">
                  <c:v>90.416666666666671</c:v>
                </c:pt>
                <c:pt idx="305">
                  <c:v>90.5</c:v>
                </c:pt>
                <c:pt idx="306">
                  <c:v>90.583333333333329</c:v>
                </c:pt>
                <c:pt idx="307">
                  <c:v>90.666666666666671</c:v>
                </c:pt>
                <c:pt idx="308">
                  <c:v>90.75</c:v>
                </c:pt>
                <c:pt idx="309">
                  <c:v>90.833333333333329</c:v>
                </c:pt>
                <c:pt idx="310">
                  <c:v>90.916666666666671</c:v>
                </c:pt>
                <c:pt idx="311">
                  <c:v>91</c:v>
                </c:pt>
                <c:pt idx="312">
                  <c:v>91.083333333333329</c:v>
                </c:pt>
                <c:pt idx="313">
                  <c:v>91.166666666666671</c:v>
                </c:pt>
                <c:pt idx="314">
                  <c:v>91.25</c:v>
                </c:pt>
                <c:pt idx="315">
                  <c:v>91.333333333333329</c:v>
                </c:pt>
                <c:pt idx="316">
                  <c:v>91.416666666666671</c:v>
                </c:pt>
                <c:pt idx="317">
                  <c:v>91.5</c:v>
                </c:pt>
                <c:pt idx="318">
                  <c:v>91.583333333333329</c:v>
                </c:pt>
                <c:pt idx="319">
                  <c:v>91.666666666666671</c:v>
                </c:pt>
                <c:pt idx="320">
                  <c:v>91.75</c:v>
                </c:pt>
                <c:pt idx="321">
                  <c:v>91.833333333333329</c:v>
                </c:pt>
                <c:pt idx="322">
                  <c:v>91.916666666666671</c:v>
                </c:pt>
                <c:pt idx="323">
                  <c:v>92</c:v>
                </c:pt>
                <c:pt idx="324">
                  <c:v>92.083333333333329</c:v>
                </c:pt>
                <c:pt idx="325">
                  <c:v>92.166666666666671</c:v>
                </c:pt>
                <c:pt idx="326">
                  <c:v>92.25</c:v>
                </c:pt>
                <c:pt idx="327">
                  <c:v>92.333333333333329</c:v>
                </c:pt>
                <c:pt idx="328">
                  <c:v>92.416666666666671</c:v>
                </c:pt>
                <c:pt idx="329">
                  <c:v>92.5</c:v>
                </c:pt>
                <c:pt idx="330">
                  <c:v>92.583333333333329</c:v>
                </c:pt>
                <c:pt idx="331">
                  <c:v>92.666666666666671</c:v>
                </c:pt>
                <c:pt idx="332">
                  <c:v>92.75</c:v>
                </c:pt>
                <c:pt idx="333">
                  <c:v>92.833333333333329</c:v>
                </c:pt>
                <c:pt idx="334">
                  <c:v>92.916666666666671</c:v>
                </c:pt>
                <c:pt idx="335">
                  <c:v>93</c:v>
                </c:pt>
                <c:pt idx="336">
                  <c:v>93.083333333333329</c:v>
                </c:pt>
                <c:pt idx="337">
                  <c:v>93.166666666666671</c:v>
                </c:pt>
                <c:pt idx="338">
                  <c:v>93.25</c:v>
                </c:pt>
                <c:pt idx="339">
                  <c:v>93.333333333333329</c:v>
                </c:pt>
                <c:pt idx="340">
                  <c:v>93.416666666666671</c:v>
                </c:pt>
                <c:pt idx="341">
                  <c:v>93.5</c:v>
                </c:pt>
                <c:pt idx="342">
                  <c:v>93.583333333333329</c:v>
                </c:pt>
                <c:pt idx="343">
                  <c:v>93.666666666666671</c:v>
                </c:pt>
                <c:pt idx="344">
                  <c:v>93.75</c:v>
                </c:pt>
                <c:pt idx="345">
                  <c:v>93.833333333333329</c:v>
                </c:pt>
                <c:pt idx="346">
                  <c:v>93.916666666666671</c:v>
                </c:pt>
                <c:pt idx="347">
                  <c:v>94</c:v>
                </c:pt>
                <c:pt idx="348">
                  <c:v>94.083333333333329</c:v>
                </c:pt>
                <c:pt idx="349">
                  <c:v>94.166666666666671</c:v>
                </c:pt>
                <c:pt idx="350">
                  <c:v>94.25</c:v>
                </c:pt>
                <c:pt idx="351">
                  <c:v>94.333333333333329</c:v>
                </c:pt>
                <c:pt idx="352">
                  <c:v>94.416666666666671</c:v>
                </c:pt>
                <c:pt idx="353">
                  <c:v>94.5</c:v>
                </c:pt>
                <c:pt idx="354">
                  <c:v>94.583333333333329</c:v>
                </c:pt>
                <c:pt idx="355">
                  <c:v>94.666666666666671</c:v>
                </c:pt>
                <c:pt idx="356">
                  <c:v>94.75</c:v>
                </c:pt>
                <c:pt idx="357">
                  <c:v>94.833333333333329</c:v>
                </c:pt>
                <c:pt idx="358">
                  <c:v>94.916666666666671</c:v>
                </c:pt>
                <c:pt idx="359">
                  <c:v>95</c:v>
                </c:pt>
                <c:pt idx="360">
                  <c:v>95.083333333333329</c:v>
                </c:pt>
                <c:pt idx="361">
                  <c:v>95.166666666666671</c:v>
                </c:pt>
                <c:pt idx="362">
                  <c:v>95.25</c:v>
                </c:pt>
                <c:pt idx="363">
                  <c:v>95.333333333333329</c:v>
                </c:pt>
                <c:pt idx="364">
                  <c:v>95.416666666666671</c:v>
                </c:pt>
                <c:pt idx="365">
                  <c:v>95.5</c:v>
                </c:pt>
                <c:pt idx="366">
                  <c:v>95.583333333333329</c:v>
                </c:pt>
                <c:pt idx="367">
                  <c:v>95.666666666666671</c:v>
                </c:pt>
                <c:pt idx="368">
                  <c:v>95.75</c:v>
                </c:pt>
                <c:pt idx="369">
                  <c:v>95.833333333333329</c:v>
                </c:pt>
                <c:pt idx="370">
                  <c:v>95.916666666666671</c:v>
                </c:pt>
                <c:pt idx="371">
                  <c:v>96</c:v>
                </c:pt>
                <c:pt idx="372">
                  <c:v>96.083333333333329</c:v>
                </c:pt>
                <c:pt idx="373">
                  <c:v>96.166666666666671</c:v>
                </c:pt>
                <c:pt idx="374">
                  <c:v>96.25</c:v>
                </c:pt>
                <c:pt idx="375">
                  <c:v>96.333333333333329</c:v>
                </c:pt>
                <c:pt idx="376">
                  <c:v>96.416666666666671</c:v>
                </c:pt>
                <c:pt idx="377">
                  <c:v>96.5</c:v>
                </c:pt>
                <c:pt idx="378">
                  <c:v>96.583333333333329</c:v>
                </c:pt>
                <c:pt idx="379">
                  <c:v>96.666666666666671</c:v>
                </c:pt>
                <c:pt idx="380">
                  <c:v>96.75</c:v>
                </c:pt>
                <c:pt idx="381">
                  <c:v>96.833333333333329</c:v>
                </c:pt>
                <c:pt idx="382">
                  <c:v>96.916666666666671</c:v>
                </c:pt>
                <c:pt idx="383">
                  <c:v>97</c:v>
                </c:pt>
                <c:pt idx="384">
                  <c:v>97.083333333333343</c:v>
                </c:pt>
                <c:pt idx="385">
                  <c:v>97.166666666666657</c:v>
                </c:pt>
                <c:pt idx="386">
                  <c:v>97.25</c:v>
                </c:pt>
                <c:pt idx="387">
                  <c:v>97.333333333333343</c:v>
                </c:pt>
                <c:pt idx="388">
                  <c:v>97.416666666666657</c:v>
                </c:pt>
                <c:pt idx="389">
                  <c:v>97.5</c:v>
                </c:pt>
                <c:pt idx="390">
                  <c:v>97.583333333333343</c:v>
                </c:pt>
                <c:pt idx="391">
                  <c:v>97.666666666666657</c:v>
                </c:pt>
                <c:pt idx="392">
                  <c:v>97.75</c:v>
                </c:pt>
                <c:pt idx="393">
                  <c:v>97.833333333333343</c:v>
                </c:pt>
                <c:pt idx="394">
                  <c:v>97.916666666666657</c:v>
                </c:pt>
                <c:pt idx="395">
                  <c:v>98</c:v>
                </c:pt>
                <c:pt idx="396">
                  <c:v>98.083333333333343</c:v>
                </c:pt>
                <c:pt idx="397">
                  <c:v>98.166666666666657</c:v>
                </c:pt>
                <c:pt idx="398">
                  <c:v>98.25</c:v>
                </c:pt>
                <c:pt idx="399">
                  <c:v>98.333333333333343</c:v>
                </c:pt>
                <c:pt idx="400">
                  <c:v>98.416666666666657</c:v>
                </c:pt>
                <c:pt idx="401">
                  <c:v>98.5</c:v>
                </c:pt>
                <c:pt idx="402">
                  <c:v>98.583333333333343</c:v>
                </c:pt>
                <c:pt idx="403">
                  <c:v>98.666666666666657</c:v>
                </c:pt>
                <c:pt idx="404">
                  <c:v>98.75</c:v>
                </c:pt>
                <c:pt idx="405">
                  <c:v>98.833333333333343</c:v>
                </c:pt>
                <c:pt idx="406">
                  <c:v>98.916666666666657</c:v>
                </c:pt>
                <c:pt idx="407">
                  <c:v>99</c:v>
                </c:pt>
                <c:pt idx="408">
                  <c:v>99.083333333333343</c:v>
                </c:pt>
                <c:pt idx="409">
                  <c:v>99.166666666666657</c:v>
                </c:pt>
                <c:pt idx="410">
                  <c:v>99.25</c:v>
                </c:pt>
                <c:pt idx="411">
                  <c:v>99.333333333333343</c:v>
                </c:pt>
                <c:pt idx="412">
                  <c:v>99.416666666666657</c:v>
                </c:pt>
                <c:pt idx="413">
                  <c:v>99.5</c:v>
                </c:pt>
                <c:pt idx="414">
                  <c:v>99.583333333333343</c:v>
                </c:pt>
                <c:pt idx="415">
                  <c:v>99.666666666666657</c:v>
                </c:pt>
                <c:pt idx="416">
                  <c:v>99.75</c:v>
                </c:pt>
                <c:pt idx="417">
                  <c:v>99.833333333333343</c:v>
                </c:pt>
                <c:pt idx="418">
                  <c:v>99.916666666666657</c:v>
                </c:pt>
                <c:pt idx="419">
                  <c:v>100</c:v>
                </c:pt>
                <c:pt idx="420">
                  <c:v>100.08333333333334</c:v>
                </c:pt>
                <c:pt idx="421">
                  <c:v>100.16666666666666</c:v>
                </c:pt>
                <c:pt idx="422">
                  <c:v>100.25</c:v>
                </c:pt>
                <c:pt idx="423">
                  <c:v>100.33333333333334</c:v>
                </c:pt>
                <c:pt idx="424">
                  <c:v>100.41666666666666</c:v>
                </c:pt>
                <c:pt idx="425">
                  <c:v>100.5</c:v>
                </c:pt>
                <c:pt idx="426">
                  <c:v>100.58333333333334</c:v>
                </c:pt>
                <c:pt idx="427">
                  <c:v>100.66666666666666</c:v>
                </c:pt>
                <c:pt idx="428">
                  <c:v>100.75</c:v>
                </c:pt>
                <c:pt idx="429">
                  <c:v>100.83333333333334</c:v>
                </c:pt>
                <c:pt idx="430">
                  <c:v>100.91666666666666</c:v>
                </c:pt>
                <c:pt idx="431">
                  <c:v>101</c:v>
                </c:pt>
                <c:pt idx="432">
                  <c:v>101.08333333333334</c:v>
                </c:pt>
                <c:pt idx="433">
                  <c:v>101.16666666666666</c:v>
                </c:pt>
                <c:pt idx="434">
                  <c:v>101.25</c:v>
                </c:pt>
                <c:pt idx="435">
                  <c:v>101.33333333333334</c:v>
                </c:pt>
                <c:pt idx="436">
                  <c:v>101.41666666666666</c:v>
                </c:pt>
                <c:pt idx="437">
                  <c:v>101.5</c:v>
                </c:pt>
                <c:pt idx="438">
                  <c:v>101.58333333333334</c:v>
                </c:pt>
                <c:pt idx="439">
                  <c:v>101.66666666666666</c:v>
                </c:pt>
                <c:pt idx="440">
                  <c:v>101.75</c:v>
                </c:pt>
                <c:pt idx="441">
                  <c:v>101.83333333333334</c:v>
                </c:pt>
                <c:pt idx="442">
                  <c:v>101.91666666666666</c:v>
                </c:pt>
                <c:pt idx="443">
                  <c:v>102</c:v>
                </c:pt>
                <c:pt idx="444">
                  <c:v>102.08333333333334</c:v>
                </c:pt>
                <c:pt idx="445">
                  <c:v>102.16666666666666</c:v>
                </c:pt>
                <c:pt idx="446">
                  <c:v>102.25</c:v>
                </c:pt>
                <c:pt idx="447">
                  <c:v>102.33333333333334</c:v>
                </c:pt>
                <c:pt idx="448">
                  <c:v>102.41666666666666</c:v>
                </c:pt>
                <c:pt idx="449">
                  <c:v>102.5</c:v>
                </c:pt>
                <c:pt idx="450">
                  <c:v>102.58333333333334</c:v>
                </c:pt>
                <c:pt idx="451">
                  <c:v>102.66666666666666</c:v>
                </c:pt>
                <c:pt idx="452">
                  <c:v>102.75</c:v>
                </c:pt>
                <c:pt idx="453">
                  <c:v>102.83333333333334</c:v>
                </c:pt>
                <c:pt idx="454">
                  <c:v>102.91666666666666</c:v>
                </c:pt>
                <c:pt idx="455">
                  <c:v>103</c:v>
                </c:pt>
                <c:pt idx="456">
                  <c:v>103.08333333333334</c:v>
                </c:pt>
                <c:pt idx="457">
                  <c:v>103.16666666666666</c:v>
                </c:pt>
                <c:pt idx="458">
                  <c:v>103.25</c:v>
                </c:pt>
                <c:pt idx="459">
                  <c:v>103.33333333333334</c:v>
                </c:pt>
                <c:pt idx="460">
                  <c:v>103.41666666666666</c:v>
                </c:pt>
                <c:pt idx="461">
                  <c:v>103.5</c:v>
                </c:pt>
                <c:pt idx="462">
                  <c:v>103.58333333333334</c:v>
                </c:pt>
                <c:pt idx="463">
                  <c:v>103.66666666666666</c:v>
                </c:pt>
                <c:pt idx="464">
                  <c:v>103.75</c:v>
                </c:pt>
                <c:pt idx="465">
                  <c:v>103.83333333333334</c:v>
                </c:pt>
                <c:pt idx="466">
                  <c:v>103.91666666666666</c:v>
                </c:pt>
                <c:pt idx="467">
                  <c:v>104</c:v>
                </c:pt>
                <c:pt idx="468">
                  <c:v>104.08333333333334</c:v>
                </c:pt>
                <c:pt idx="469">
                  <c:v>104.16666666666666</c:v>
                </c:pt>
                <c:pt idx="470">
                  <c:v>104.25</c:v>
                </c:pt>
                <c:pt idx="471">
                  <c:v>104.33333333333334</c:v>
                </c:pt>
                <c:pt idx="472">
                  <c:v>104.41666666666666</c:v>
                </c:pt>
                <c:pt idx="473">
                  <c:v>104.5</c:v>
                </c:pt>
                <c:pt idx="474">
                  <c:v>104.58333333333334</c:v>
                </c:pt>
                <c:pt idx="475">
                  <c:v>104.66666666666666</c:v>
                </c:pt>
                <c:pt idx="476">
                  <c:v>104.75</c:v>
                </c:pt>
                <c:pt idx="477">
                  <c:v>104.83333333333334</c:v>
                </c:pt>
                <c:pt idx="478">
                  <c:v>104.91666666666666</c:v>
                </c:pt>
                <c:pt idx="479">
                  <c:v>105</c:v>
                </c:pt>
                <c:pt idx="480">
                  <c:v>105.08333333333334</c:v>
                </c:pt>
                <c:pt idx="481">
                  <c:v>105.16666666666666</c:v>
                </c:pt>
                <c:pt idx="482">
                  <c:v>105.25</c:v>
                </c:pt>
                <c:pt idx="483">
                  <c:v>105.33333333333334</c:v>
                </c:pt>
                <c:pt idx="484">
                  <c:v>105.41666666666666</c:v>
                </c:pt>
                <c:pt idx="485">
                  <c:v>105.5</c:v>
                </c:pt>
                <c:pt idx="486">
                  <c:v>105.58333333333334</c:v>
                </c:pt>
                <c:pt idx="487">
                  <c:v>105.66666666666666</c:v>
                </c:pt>
                <c:pt idx="488">
                  <c:v>105.75</c:v>
                </c:pt>
                <c:pt idx="489">
                  <c:v>105.83333333333334</c:v>
                </c:pt>
                <c:pt idx="490">
                  <c:v>105.91666666666666</c:v>
                </c:pt>
                <c:pt idx="491">
                  <c:v>106</c:v>
                </c:pt>
                <c:pt idx="492">
                  <c:v>106.08333333333334</c:v>
                </c:pt>
                <c:pt idx="493">
                  <c:v>106.16666666666666</c:v>
                </c:pt>
                <c:pt idx="494">
                  <c:v>106.25</c:v>
                </c:pt>
                <c:pt idx="495">
                  <c:v>106.33333333333334</c:v>
                </c:pt>
                <c:pt idx="496">
                  <c:v>106.41666666666666</c:v>
                </c:pt>
                <c:pt idx="497">
                  <c:v>106.5</c:v>
                </c:pt>
                <c:pt idx="498">
                  <c:v>106.58333333333334</c:v>
                </c:pt>
                <c:pt idx="499">
                  <c:v>106.66666666666666</c:v>
                </c:pt>
                <c:pt idx="500">
                  <c:v>106.75</c:v>
                </c:pt>
                <c:pt idx="501">
                  <c:v>106.83333333333334</c:v>
                </c:pt>
                <c:pt idx="502">
                  <c:v>106.91666666666666</c:v>
                </c:pt>
                <c:pt idx="503">
                  <c:v>107</c:v>
                </c:pt>
                <c:pt idx="504">
                  <c:v>107.08333333333334</c:v>
                </c:pt>
                <c:pt idx="505">
                  <c:v>107.16666666666666</c:v>
                </c:pt>
                <c:pt idx="506">
                  <c:v>107.25</c:v>
                </c:pt>
                <c:pt idx="507">
                  <c:v>107.33333333333334</c:v>
                </c:pt>
                <c:pt idx="508">
                  <c:v>107.41666666666666</c:v>
                </c:pt>
                <c:pt idx="509">
                  <c:v>107.5</c:v>
                </c:pt>
                <c:pt idx="510">
                  <c:v>107.58333333333334</c:v>
                </c:pt>
                <c:pt idx="511">
                  <c:v>107.66666666666666</c:v>
                </c:pt>
                <c:pt idx="512">
                  <c:v>107.75</c:v>
                </c:pt>
                <c:pt idx="513">
                  <c:v>107.83333333333334</c:v>
                </c:pt>
                <c:pt idx="514">
                  <c:v>107.91666666666666</c:v>
                </c:pt>
                <c:pt idx="515">
                  <c:v>108</c:v>
                </c:pt>
                <c:pt idx="516">
                  <c:v>108.08333333333334</c:v>
                </c:pt>
                <c:pt idx="517">
                  <c:v>108.16666666666666</c:v>
                </c:pt>
                <c:pt idx="518">
                  <c:v>108.25</c:v>
                </c:pt>
                <c:pt idx="519">
                  <c:v>108.33333333333334</c:v>
                </c:pt>
                <c:pt idx="520">
                  <c:v>108.41666666666666</c:v>
                </c:pt>
                <c:pt idx="521">
                  <c:v>108.5</c:v>
                </c:pt>
                <c:pt idx="522">
                  <c:v>108.58333333333334</c:v>
                </c:pt>
                <c:pt idx="523">
                  <c:v>108.66666666666666</c:v>
                </c:pt>
                <c:pt idx="524">
                  <c:v>108.75</c:v>
                </c:pt>
                <c:pt idx="525">
                  <c:v>108.83333333333334</c:v>
                </c:pt>
                <c:pt idx="526">
                  <c:v>108.91666666666666</c:v>
                </c:pt>
                <c:pt idx="527">
                  <c:v>109</c:v>
                </c:pt>
                <c:pt idx="528">
                  <c:v>109.08333333333334</c:v>
                </c:pt>
                <c:pt idx="529">
                  <c:v>109.16666666666666</c:v>
                </c:pt>
                <c:pt idx="530">
                  <c:v>109.25</c:v>
                </c:pt>
                <c:pt idx="531">
                  <c:v>109.33333333333334</c:v>
                </c:pt>
                <c:pt idx="532">
                  <c:v>109.41666666666666</c:v>
                </c:pt>
                <c:pt idx="533">
                  <c:v>109.5</c:v>
                </c:pt>
                <c:pt idx="534">
                  <c:v>109.58333333333334</c:v>
                </c:pt>
                <c:pt idx="535">
                  <c:v>109.66666666666666</c:v>
                </c:pt>
                <c:pt idx="536">
                  <c:v>109.75</c:v>
                </c:pt>
                <c:pt idx="537">
                  <c:v>109.83333333333334</c:v>
                </c:pt>
                <c:pt idx="538">
                  <c:v>109.91666666666666</c:v>
                </c:pt>
                <c:pt idx="539">
                  <c:v>110</c:v>
                </c:pt>
              </c:numCache>
            </c:numRef>
          </c:cat>
          <c:val>
            <c:numRef>
              <c:f>Projection!$Q$4:$Q$543</c:f>
              <c:numCache>
                <c:formatCode>General</c:formatCode>
                <c:ptCount val="540"/>
                <c:pt idx="0">
                  <c:v>24.982056305950213</c:v>
                </c:pt>
                <c:pt idx="1">
                  <c:v>24.964125490946671</c:v>
                </c:pt>
                <c:pt idx="2">
                  <c:v>24.94620754574547</c:v>
                </c:pt>
                <c:pt idx="3">
                  <c:v>24.928302461109332</c:v>
                </c:pt>
                <c:pt idx="4">
                  <c:v>24.910410227807624</c:v>
                </c:pt>
                <c:pt idx="5">
                  <c:v>24.892530836616324</c:v>
                </c:pt>
                <c:pt idx="6">
                  <c:v>24.87466427831804</c:v>
                </c:pt>
                <c:pt idx="7">
                  <c:v>24.856810543701986</c:v>
                </c:pt>
                <c:pt idx="8">
                  <c:v>24.838969623563997</c:v>
                </c:pt>
                <c:pt idx="9">
                  <c:v>24.821141508706511</c:v>
                </c:pt>
                <c:pt idx="10">
                  <c:v>24.803326189938559</c:v>
                </c:pt>
                <c:pt idx="11">
                  <c:v>24.783751351885694</c:v>
                </c:pt>
                <c:pt idx="12">
                  <c:v>24.763994522363802</c:v>
                </c:pt>
                <c:pt idx="13">
                  <c:v>24.744253442366961</c:v>
                </c:pt>
                <c:pt idx="14">
                  <c:v>24.724528099340144</c:v>
                </c:pt>
                <c:pt idx="15">
                  <c:v>24.704818480738329</c:v>
                </c:pt>
                <c:pt idx="16">
                  <c:v>24.685124574026496</c:v>
                </c:pt>
                <c:pt idx="17">
                  <c:v>24.665446366679625</c:v>
                </c:pt>
                <c:pt idx="18">
                  <c:v>24.64578384618267</c:v>
                </c:pt>
                <c:pt idx="19">
                  <c:v>24.626137000030567</c:v>
                </c:pt>
                <c:pt idx="20">
                  <c:v>24.606505815728223</c:v>
                </c:pt>
                <c:pt idx="21">
                  <c:v>24.586890280790495</c:v>
                </c:pt>
                <c:pt idx="22">
                  <c:v>24.567290382742211</c:v>
                </c:pt>
                <c:pt idx="23">
                  <c:v>24.545701064521012</c:v>
                </c:pt>
                <c:pt idx="24">
                  <c:v>24.523912870609742</c:v>
                </c:pt>
                <c:pt idx="25">
                  <c:v>24.50214401716843</c:v>
                </c:pt>
                <c:pt idx="26">
                  <c:v>24.48039448702934</c:v>
                </c:pt>
                <c:pt idx="27">
                  <c:v>24.458664263039985</c:v>
                </c:pt>
                <c:pt idx="28">
                  <c:v>24.436953328063112</c:v>
                </c:pt>
                <c:pt idx="29">
                  <c:v>24.415261664976658</c:v>
                </c:pt>
                <c:pt idx="30">
                  <c:v>24.393589256673774</c:v>
                </c:pt>
                <c:pt idx="31">
                  <c:v>24.371936086062792</c:v>
                </c:pt>
                <c:pt idx="32">
                  <c:v>24.350302136067221</c:v>
                </c:pt>
                <c:pt idx="33">
                  <c:v>24.328687389625717</c:v>
                </c:pt>
                <c:pt idx="34">
                  <c:v>24.307091829692091</c:v>
                </c:pt>
                <c:pt idx="35">
                  <c:v>24.283255418712638</c:v>
                </c:pt>
                <c:pt idx="36">
                  <c:v>24.259201748155089</c:v>
                </c:pt>
                <c:pt idx="37">
                  <c:v>24.235171903853832</c:v>
                </c:pt>
                <c:pt idx="38">
                  <c:v>24.211165862207881</c:v>
                </c:pt>
                <c:pt idx="39">
                  <c:v>24.187183599639621</c:v>
                </c:pt>
                <c:pt idx="40">
                  <c:v>24.163225092594786</c:v>
                </c:pt>
                <c:pt idx="41">
                  <c:v>24.139290317542457</c:v>
                </c:pt>
                <c:pt idx="42">
                  <c:v>24.115379250975007</c:v>
                </c:pt>
                <c:pt idx="43">
                  <c:v>24.091491869408106</c:v>
                </c:pt>
                <c:pt idx="44">
                  <c:v>24.067628149380678</c:v>
                </c:pt>
                <c:pt idx="45">
                  <c:v>24.043788067454898</c:v>
                </c:pt>
                <c:pt idx="46">
                  <c:v>24.019971600216142</c:v>
                </c:pt>
                <c:pt idx="47">
                  <c:v>23.993636303394133</c:v>
                </c:pt>
                <c:pt idx="48">
                  <c:v>23.967063878309229</c:v>
                </c:pt>
                <c:pt idx="49">
                  <c:v>23.940520881601334</c:v>
                </c:pt>
                <c:pt idx="50">
                  <c:v>23.914007280679165</c:v>
                </c:pt>
                <c:pt idx="51">
                  <c:v>23.887523042987532</c:v>
                </c:pt>
                <c:pt idx="52">
                  <c:v>23.861068136007304</c:v>
                </c:pt>
                <c:pt idx="53">
                  <c:v>23.834642527255365</c:v>
                </c:pt>
                <c:pt idx="54">
                  <c:v>23.808246184284567</c:v>
                </c:pt>
                <c:pt idx="55">
                  <c:v>23.781879074683705</c:v>
                </c:pt>
                <c:pt idx="56">
                  <c:v>23.75554116607746</c:v>
                </c:pt>
                <c:pt idx="57">
                  <c:v>23.729232426126373</c:v>
                </c:pt>
                <c:pt idx="58">
                  <c:v>23.7029528225268</c:v>
                </c:pt>
                <c:pt idx="59">
                  <c:v>23.673877834805719</c:v>
                </c:pt>
                <c:pt idx="60">
                  <c:v>23.644544662007259</c:v>
                </c:pt>
                <c:pt idx="61">
                  <c:v>23.615247834544043</c:v>
                </c:pt>
                <c:pt idx="62">
                  <c:v>23.585987307382297</c:v>
                </c:pt>
                <c:pt idx="63">
                  <c:v>23.556763035544055</c:v>
                </c:pt>
                <c:pt idx="64">
                  <c:v>23.527574974107068</c:v>
                </c:pt>
                <c:pt idx="65">
                  <c:v>23.498423078204763</c:v>
                </c:pt>
                <c:pt idx="66">
                  <c:v>23.469307303026142</c:v>
                </c:pt>
                <c:pt idx="67">
                  <c:v>23.440227603815742</c:v>
                </c:pt>
                <c:pt idx="68">
                  <c:v>23.411183935873559</c:v>
                </c:pt>
                <c:pt idx="69">
                  <c:v>23.382176254554956</c:v>
                </c:pt>
                <c:pt idx="70">
                  <c:v>23.353204515270633</c:v>
                </c:pt>
                <c:pt idx="71">
                  <c:v>23.321119937297354</c:v>
                </c:pt>
                <c:pt idx="72">
                  <c:v>23.28875495477552</c:v>
                </c:pt>
                <c:pt idx="73">
                  <c:v>23.256434888282438</c:v>
                </c:pt>
                <c:pt idx="74">
                  <c:v>23.224159675483776</c:v>
                </c:pt>
                <c:pt idx="75">
                  <c:v>23.191929254131701</c:v>
                </c:pt>
                <c:pt idx="76">
                  <c:v>23.159743562064779</c:v>
                </c:pt>
                <c:pt idx="77">
                  <c:v>23.127602537207839</c:v>
                </c:pt>
                <c:pt idx="78">
                  <c:v>23.095506117571855</c:v>
                </c:pt>
                <c:pt idx="79">
                  <c:v>23.063454241253829</c:v>
                </c:pt>
                <c:pt idx="80">
                  <c:v>23.031446846436673</c:v>
                </c:pt>
                <c:pt idx="81">
                  <c:v>22.999483871389092</c:v>
                </c:pt>
                <c:pt idx="82">
                  <c:v>22.967565254465459</c:v>
                </c:pt>
                <c:pt idx="83">
                  <c:v>22.932183028642442</c:v>
                </c:pt>
                <c:pt idx="84">
                  <c:v>22.896855310203655</c:v>
                </c:pt>
                <c:pt idx="85">
                  <c:v>22.86158201517884</c:v>
                </c:pt>
                <c:pt idx="86">
                  <c:v>22.826363059727075</c:v>
                </c:pt>
                <c:pt idx="87">
                  <c:v>22.791198360136622</c:v>
                </c:pt>
                <c:pt idx="88">
                  <c:v>22.75608783282469</c:v>
                </c:pt>
                <c:pt idx="89">
                  <c:v>22.721031394337253</c:v>
                </c:pt>
                <c:pt idx="90">
                  <c:v>22.686028961348846</c:v>
                </c:pt>
                <c:pt idx="91">
                  <c:v>22.651080450662374</c:v>
                </c:pt>
                <c:pt idx="92">
                  <c:v>22.616185779208905</c:v>
                </c:pt>
                <c:pt idx="93">
                  <c:v>22.581344864047484</c:v>
                </c:pt>
                <c:pt idx="94">
                  <c:v>22.546557622364922</c:v>
                </c:pt>
                <c:pt idx="95">
                  <c:v>22.508019110972967</c:v>
                </c:pt>
                <c:pt idx="96">
                  <c:v>22.469546472912334</c:v>
                </c:pt>
                <c:pt idx="97">
                  <c:v>22.431139595586661</c:v>
                </c:pt>
                <c:pt idx="98">
                  <c:v>22.392798366592061</c:v>
                </c:pt>
                <c:pt idx="99">
                  <c:v>22.354522673716772</c:v>
                </c:pt>
                <c:pt idx="100">
                  <c:v>22.316312404940835</c:v>
                </c:pt>
                <c:pt idx="101">
                  <c:v>22.278167448435767</c:v>
                </c:pt>
                <c:pt idx="102">
                  <c:v>22.24008769256422</c:v>
                </c:pt>
                <c:pt idx="103">
                  <c:v>22.202073025879681</c:v>
                </c:pt>
                <c:pt idx="104">
                  <c:v>22.164123337126128</c:v>
                </c:pt>
                <c:pt idx="105">
                  <c:v>22.126238515237699</c:v>
                </c:pt>
                <c:pt idx="106">
                  <c:v>22.088418449338381</c:v>
                </c:pt>
                <c:pt idx="107">
                  <c:v>22.046509550110954</c:v>
                </c:pt>
                <c:pt idx="108">
                  <c:v>22.004680165668095</c:v>
                </c:pt>
                <c:pt idx="109">
                  <c:v>21.962930145144448</c:v>
                </c:pt>
                <c:pt idx="110">
                  <c:v>21.921259337960901</c:v>
                </c:pt>
                <c:pt idx="111">
                  <c:v>21.879667593824035</c:v>
                </c:pt>
                <c:pt idx="112">
                  <c:v>21.838154762725587</c:v>
                </c:pt>
                <c:pt idx="113">
                  <c:v>21.796720694941911</c:v>
                </c:pt>
                <c:pt idx="114">
                  <c:v>21.755365241033438</c:v>
                </c:pt>
                <c:pt idx="115">
                  <c:v>21.714088251844124</c:v>
                </c:pt>
                <c:pt idx="116">
                  <c:v>21.672889578500932</c:v>
                </c:pt>
                <c:pt idx="117">
                  <c:v>21.631769072413281</c:v>
                </c:pt>
                <c:pt idx="118">
                  <c:v>21.590726585272517</c:v>
                </c:pt>
                <c:pt idx="119">
                  <c:v>21.545254796513778</c:v>
                </c:pt>
                <c:pt idx="120">
                  <c:v>21.499878774961605</c:v>
                </c:pt>
                <c:pt idx="121">
                  <c:v>21.454598318922645</c:v>
                </c:pt>
                <c:pt idx="122">
                  <c:v>21.409413227128322</c:v>
                </c:pt>
                <c:pt idx="123">
                  <c:v>21.36432329873394</c:v>
                </c:pt>
                <c:pt idx="124">
                  <c:v>21.319328333317809</c:v>
                </c:pt>
                <c:pt idx="125">
                  <c:v>21.274428130880334</c:v>
                </c:pt>
                <c:pt idx="126">
                  <c:v>21.229622491843145</c:v>
                </c:pt>
                <c:pt idx="127">
                  <c:v>21.184911217048185</c:v>
                </c:pt>
                <c:pt idx="128">
                  <c:v>21.140294107756858</c:v>
                </c:pt>
                <c:pt idx="129">
                  <c:v>21.095770965649109</c:v>
                </c:pt>
                <c:pt idx="130">
                  <c:v>21.051341592822578</c:v>
                </c:pt>
                <c:pt idx="131">
                  <c:v>21.002135997402284</c:v>
                </c:pt>
                <c:pt idx="132">
                  <c:v>20.953045415583851</c:v>
                </c:pt>
                <c:pt idx="133">
                  <c:v>20.904069578533456</c:v>
                </c:pt>
                <c:pt idx="134">
                  <c:v>20.85520821804564</c:v>
                </c:pt>
                <c:pt idx="135">
                  <c:v>20.806461066541861</c:v>
                </c:pt>
                <c:pt idx="136">
                  <c:v>20.757827857069003</c:v>
                </c:pt>
                <c:pt idx="137">
                  <c:v>20.709308323297943</c:v>
                </c:pt>
                <c:pt idx="138">
                  <c:v>20.66090219952207</c:v>
                </c:pt>
                <c:pt idx="139">
                  <c:v>20.612609220655838</c:v>
                </c:pt>
                <c:pt idx="140">
                  <c:v>20.564429122233317</c:v>
                </c:pt>
                <c:pt idx="141">
                  <c:v>20.516361640406746</c:v>
                </c:pt>
                <c:pt idx="142">
                  <c:v>20.468406511945076</c:v>
                </c:pt>
                <c:pt idx="143">
                  <c:v>20.415239702109634</c:v>
                </c:pt>
                <c:pt idx="144">
                  <c:v>20.362210993384625</c:v>
                </c:pt>
                <c:pt idx="145">
                  <c:v>20.309320027051577</c:v>
                </c:pt>
                <c:pt idx="146">
                  <c:v>20.256566445323795</c:v>
                </c:pt>
                <c:pt idx="147">
                  <c:v>20.203949891343935</c:v>
                </c:pt>
                <c:pt idx="148">
                  <c:v>20.151470009181587</c:v>
                </c:pt>
                <c:pt idx="149">
                  <c:v>20.099126443830883</c:v>
                </c:pt>
                <c:pt idx="150">
                  <c:v>20.046918841208079</c:v>
                </c:pt>
                <c:pt idx="151">
                  <c:v>19.994846848149166</c:v>
                </c:pt>
                <c:pt idx="152">
                  <c:v>19.942910112407478</c:v>
                </c:pt>
                <c:pt idx="153">
                  <c:v>19.891108282651317</c:v>
                </c:pt>
                <c:pt idx="154">
                  <c:v>19.83944100846157</c:v>
                </c:pt>
                <c:pt idx="155">
                  <c:v>19.782184046891174</c:v>
                </c:pt>
                <c:pt idx="156">
                  <c:v>19.725092329878166</c:v>
                </c:pt>
                <c:pt idx="157">
                  <c:v>19.668165380523963</c:v>
                </c:pt>
                <c:pt idx="158">
                  <c:v>19.611402723306327</c:v>
                </c:pt>
                <c:pt idx="159">
                  <c:v>19.554803884075373</c:v>
                </c:pt>
                <c:pt idx="160">
                  <c:v>19.498368390049627</c:v>
                </c:pt>
                <c:pt idx="161">
                  <c:v>19.442095769812074</c:v>
                </c:pt>
                <c:pt idx="162">
                  <c:v>19.38598555330621</c:v>
                </c:pt>
                <c:pt idx="163">
                  <c:v>19.330037271832122</c:v>
                </c:pt>
                <c:pt idx="164">
                  <c:v>19.274250458042584</c:v>
                </c:pt>
                <c:pt idx="165">
                  <c:v>19.218624645939123</c:v>
                </c:pt>
                <c:pt idx="166">
                  <c:v>19.163159370868161</c:v>
                </c:pt>
                <c:pt idx="167">
                  <c:v>19.101591209753643</c:v>
                </c:pt>
                <c:pt idx="168">
                  <c:v>19.040220857277546</c:v>
                </c:pt>
                <c:pt idx="169">
                  <c:v>18.979047677912405</c:v>
                </c:pt>
                <c:pt idx="170">
                  <c:v>18.918071038172606</c:v>
                </c:pt>
                <c:pt idx="171">
                  <c:v>18.857290306607808</c:v>
                </c:pt>
                <c:pt idx="172">
                  <c:v>18.796704853796438</c:v>
                </c:pt>
                <c:pt idx="173">
                  <c:v>18.736314052339146</c:v>
                </c:pt>
                <c:pt idx="174">
                  <c:v>18.67611727685231</c:v>
                </c:pt>
                <c:pt idx="175">
                  <c:v>18.616113903961569</c:v>
                </c:pt>
                <c:pt idx="176">
                  <c:v>18.556303312295366</c:v>
                </c:pt>
                <c:pt idx="177">
                  <c:v>18.496684882478512</c:v>
                </c:pt>
                <c:pt idx="178">
                  <c:v>18.437257997125769</c:v>
                </c:pt>
                <c:pt idx="179">
                  <c:v>18.371241827213932</c:v>
                </c:pt>
                <c:pt idx="180">
                  <c:v>18.30546203381158</c:v>
                </c:pt>
                <c:pt idx="181">
                  <c:v>18.23991777055252</c:v>
                </c:pt>
                <c:pt idx="182">
                  <c:v>18.174608194101051</c:v>
                </c:pt>
                <c:pt idx="183">
                  <c:v>18.1095324641411</c:v>
                </c:pt>
                <c:pt idx="184">
                  <c:v>18.044689743365428</c:v>
                </c:pt>
                <c:pt idx="185">
                  <c:v>17.980079197464832</c:v>
                </c:pt>
                <c:pt idx="186">
                  <c:v>17.915699995117436</c:v>
                </c:pt>
                <c:pt idx="187">
                  <c:v>17.851551307977971</c:v>
                </c:pt>
                <c:pt idx="188">
                  <c:v>17.787632310667142</c:v>
                </c:pt>
                <c:pt idx="189">
                  <c:v>17.723942180760986</c:v>
                </c:pt>
                <c:pt idx="190">
                  <c:v>17.660480098780297</c:v>
                </c:pt>
                <c:pt idx="191">
                  <c:v>17.589908242920078</c:v>
                </c:pt>
                <c:pt idx="192">
                  <c:v>17.51961839450313</c:v>
                </c:pt>
                <c:pt idx="193">
                  <c:v>17.44960942661849</c:v>
                </c:pt>
                <c:pt idx="194">
                  <c:v>17.379880216858361</c:v>
                </c:pt>
                <c:pt idx="195">
                  <c:v>17.310429647300136</c:v>
                </c:pt>
                <c:pt idx="196">
                  <c:v>17.241256604488463</c:v>
                </c:pt>
                <c:pt idx="197">
                  <c:v>17.172359979417379</c:v>
                </c:pt>
                <c:pt idx="198">
                  <c:v>17.103738667512562</c:v>
                </c:pt>
                <c:pt idx="199">
                  <c:v>17.035391568613601</c:v>
                </c:pt>
                <c:pt idx="200">
                  <c:v>16.967317586956355</c:v>
                </c:pt>
                <c:pt idx="201">
                  <c:v>16.899515631155396</c:v>
                </c:pt>
                <c:pt idx="202">
                  <c:v>16.831984614186513</c:v>
                </c:pt>
                <c:pt idx="203">
                  <c:v>16.756835807537577</c:v>
                </c:pt>
                <c:pt idx="204">
                  <c:v>16.682022513501693</c:v>
                </c:pt>
                <c:pt idx="205">
                  <c:v>16.607543234134734</c:v>
                </c:pt>
                <c:pt idx="206">
                  <c:v>16.533396478180361</c:v>
                </c:pt>
                <c:pt idx="207">
                  <c:v>16.459580761040161</c:v>
                </c:pt>
                <c:pt idx="208">
                  <c:v>16.386094604743924</c:v>
                </c:pt>
                <c:pt idx="209">
                  <c:v>16.312936537920049</c:v>
                </c:pt>
                <c:pt idx="210">
                  <c:v>16.240105095766083</c:v>
                </c:pt>
                <c:pt idx="211">
                  <c:v>16.1675988200194</c:v>
                </c:pt>
                <c:pt idx="212">
                  <c:v>16.09541625892799</c:v>
                </c:pt>
                <c:pt idx="213">
                  <c:v>16.023555967221395</c:v>
                </c:pt>
                <c:pt idx="214">
                  <c:v>15.952016506081785</c:v>
                </c:pt>
                <c:pt idx="215">
                  <c:v>15.872288414834667</c:v>
                </c:pt>
                <c:pt idx="216">
                  <c:v>15.792958804151528</c:v>
                </c:pt>
                <c:pt idx="217">
                  <c:v>15.714025682428684</c:v>
                </c:pt>
                <c:pt idx="218">
                  <c:v>15.635487068016483</c:v>
                </c:pt>
                <c:pt idx="219">
                  <c:v>15.557340989169543</c:v>
                </c:pt>
                <c:pt idx="220">
                  <c:v>15.479585483997257</c:v>
                </c:pt>
                <c:pt idx="221">
                  <c:v>15.402218600414535</c:v>
                </c:pt>
                <c:pt idx="222">
                  <c:v>15.325238396092796</c:v>
                </c:pt>
                <c:pt idx="223">
                  <c:v>15.248642938411214</c:v>
                </c:pt>
                <c:pt idx="224">
                  <c:v>15.172430304408181</c:v>
                </c:pt>
                <c:pt idx="225">
                  <c:v>15.096598580733044</c:v>
                </c:pt>
                <c:pt idx="226">
                  <c:v>15.021145863598074</c:v>
                </c:pt>
                <c:pt idx="227">
                  <c:v>14.937009926940039</c:v>
                </c:pt>
                <c:pt idx="228">
                  <c:v>14.853345249658728</c:v>
                </c:pt>
                <c:pt idx="229">
                  <c:v>14.770149192151976</c:v>
                </c:pt>
                <c:pt idx="230">
                  <c:v>14.687419129602478</c:v>
                </c:pt>
                <c:pt idx="231">
                  <c:v>14.605152451894959</c:v>
                </c:pt>
                <c:pt idx="232">
                  <c:v>14.523346563533842</c:v>
                </c:pt>
                <c:pt idx="233">
                  <c:v>14.441998883561347</c:v>
                </c:pt>
                <c:pt idx="234">
                  <c:v>14.361106845476069</c:v>
                </c:pt>
                <c:pt idx="235">
                  <c:v>14.280667897152002</c:v>
                </c:pt>
                <c:pt idx="236">
                  <c:v>14.200679500758026</c:v>
                </c:pt>
                <c:pt idx="237">
                  <c:v>14.121139132677834</c:v>
                </c:pt>
                <c:pt idx="238">
                  <c:v>14.042044283430316</c:v>
                </c:pt>
                <c:pt idx="239">
                  <c:v>13.953810436885522</c:v>
                </c:pt>
                <c:pt idx="240">
                  <c:v>13.866131011870738</c:v>
                </c:pt>
                <c:pt idx="241">
                  <c:v>13.779002524652173</c:v>
                </c:pt>
                <c:pt idx="242">
                  <c:v>13.692421513386236</c:v>
                </c:pt>
                <c:pt idx="243">
                  <c:v>13.606384537981993</c:v>
                </c:pt>
                <c:pt idx="244">
                  <c:v>13.520888179964494</c:v>
                </c:pt>
                <c:pt idx="245">
                  <c:v>13.435929042338923</c:v>
                </c:pt>
                <c:pt idx="246">
                  <c:v>13.351503749455654</c:v>
                </c:pt>
                <c:pt idx="247">
                  <c:v>13.267608946876102</c:v>
                </c:pt>
                <c:pt idx="248">
                  <c:v>13.184241301239465</c:v>
                </c:pt>
                <c:pt idx="249">
                  <c:v>13.101397500130266</c:v>
                </c:pt>
                <c:pt idx="250">
                  <c:v>13.019074251946744</c:v>
                </c:pt>
                <c:pt idx="251">
                  <c:v>12.927322534630706</c:v>
                </c:pt>
                <c:pt idx="252">
                  <c:v>12.83621743607323</c:v>
                </c:pt>
                <c:pt idx="253">
                  <c:v>12.745754399238971</c:v>
                </c:pt>
                <c:pt idx="254">
                  <c:v>12.655928899208217</c:v>
                </c:pt>
                <c:pt idx="255">
                  <c:v>12.566736442950551</c:v>
                </c:pt>
                <c:pt idx="256">
                  <c:v>12.478172569100124</c:v>
                </c:pt>
                <c:pt idx="257">
                  <c:v>12.390232847732483</c:v>
                </c:pt>
                <c:pt idx="258">
                  <c:v>12.302912880142999</c:v>
                </c:pt>
                <c:pt idx="259">
                  <c:v>12.216208298626848</c:v>
                </c:pt>
                <c:pt idx="260">
                  <c:v>12.13011476626053</c:v>
                </c:pt>
                <c:pt idx="261">
                  <c:v>12.044627976684948</c:v>
                </c:pt>
                <c:pt idx="262">
                  <c:v>11.959743653889998</c:v>
                </c:pt>
                <c:pt idx="263">
                  <c:v>11.865165902024376</c:v>
                </c:pt>
                <c:pt idx="264">
                  <c:v>11.771336071803802</c:v>
                </c:pt>
                <c:pt idx="265">
                  <c:v>11.678248248657711</c:v>
                </c:pt>
                <c:pt idx="266">
                  <c:v>11.585896564788012</c:v>
                </c:pt>
                <c:pt idx="267">
                  <c:v>11.494275198799214</c:v>
                </c:pt>
                <c:pt idx="268">
                  <c:v>11.403378375331462</c:v>
                </c:pt>
                <c:pt idx="269">
                  <c:v>11.313200364696502</c:v>
                </c:pt>
                <c:pt idx="270">
                  <c:v>11.223735482516497</c:v>
                </c:pt>
                <c:pt idx="271">
                  <c:v>11.13497808936572</c:v>
                </c:pt>
                <c:pt idx="272">
                  <c:v>11.04692259041507</c:v>
                </c:pt>
                <c:pt idx="273">
                  <c:v>10.959563435079398</c:v>
                </c:pt>
                <c:pt idx="274">
                  <c:v>10.872895116667628</c:v>
                </c:pt>
                <c:pt idx="275">
                  <c:v>10.776300231476116</c:v>
                </c:pt>
                <c:pt idx="276">
                  <c:v>10.680563495999564</c:v>
                </c:pt>
                <c:pt idx="277">
                  <c:v>10.585677286429201</c:v>
                </c:pt>
                <c:pt idx="278">
                  <c:v>10.491634046686224</c:v>
                </c:pt>
                <c:pt idx="279">
                  <c:v>10.398426287820101</c:v>
                </c:pt>
                <c:pt idx="280">
                  <c:v>10.306046587412192</c:v>
                </c:pt>
                <c:pt idx="281">
                  <c:v>10.214487588984683</c:v>
                </c:pt>
                <c:pt idx="282">
                  <c:v>10.123742001414767</c:v>
                </c:pt>
                <c:pt idx="283">
                  <c:v>10.033802598354026</c:v>
                </c:pt>
                <c:pt idx="284">
                  <c:v>9.9446622176529793</c:v>
                </c:pt>
                <c:pt idx="285">
                  <c:v>9.8563137607907407</c:v>
                </c:pt>
                <c:pt idx="286">
                  <c:v>9.7687501923097386</c:v>
                </c:pt>
                <c:pt idx="287">
                  <c:v>9.6711897623159793</c:v>
                </c:pt>
                <c:pt idx="288">
                  <c:v>9.5746036675558166</c:v>
                </c:pt>
                <c:pt idx="289">
                  <c:v>9.4789821773510674</c:v>
                </c:pt>
                <c:pt idx="290">
                  <c:v>9.3843156582037608</c:v>
                </c:pt>
                <c:pt idx="291">
                  <c:v>9.2905945728255848</c:v>
                </c:pt>
                <c:pt idx="292">
                  <c:v>9.1978094791770548</c:v>
                </c:pt>
                <c:pt idx="293">
                  <c:v>9.1059510295162571</c:v>
                </c:pt>
                <c:pt idx="294">
                  <c:v>9.0150099694571022</c:v>
                </c:pt>
                <c:pt idx="295">
                  <c:v>8.9249771370369793</c:v>
                </c:pt>
                <c:pt idx="296">
                  <c:v>8.8358434617937274</c:v>
                </c:pt>
                <c:pt idx="297">
                  <c:v>8.7475999638518136</c:v>
                </c:pt>
                <c:pt idx="298">
                  <c:v>8.6602377530176557</c:v>
                </c:pt>
                <c:pt idx="299">
                  <c:v>8.5629558454043284</c:v>
                </c:pt>
                <c:pt idx="300">
                  <c:v>8.4667667218252021</c:v>
                </c:pt>
                <c:pt idx="301">
                  <c:v>8.3716581068533795</c:v>
                </c:pt>
                <c:pt idx="302">
                  <c:v>8.2776178629538961</c:v>
                </c:pt>
                <c:pt idx="303">
                  <c:v>8.184633988934765</c:v>
                </c:pt>
                <c:pt idx="304">
                  <c:v>8.0926946184154023</c:v>
                </c:pt>
                <c:pt idx="305">
                  <c:v>8.0017880183122774</c:v>
                </c:pt>
                <c:pt idx="306">
                  <c:v>7.9119025873415554</c:v>
                </c:pt>
                <c:pt idx="307">
                  <c:v>7.8230268545385826</c:v>
                </c:pt>
                <c:pt idx="308">
                  <c:v>7.7351494777939749</c:v>
                </c:pt>
                <c:pt idx="309">
                  <c:v>7.6482592424061719</c:v>
                </c:pt>
                <c:pt idx="310">
                  <c:v>7.5623450596502444</c:v>
                </c:pt>
                <c:pt idx="311">
                  <c:v>7.4669945347743836</c:v>
                </c:pt>
                <c:pt idx="312">
                  <c:v>7.3728462457820205</c:v>
                </c:pt>
                <c:pt idx="313">
                  <c:v>7.2798850341711807</c:v>
                </c:pt>
                <c:pt idx="314">
                  <c:v>7.1880959325672604</c:v>
                </c:pt>
                <c:pt idx="315">
                  <c:v>7.0974641623131776</c:v>
                </c:pt>
                <c:pt idx="316">
                  <c:v>7.0079751310899097</c:v>
                </c:pt>
                <c:pt idx="317">
                  <c:v>6.9196144305670355</c:v>
                </c:pt>
                <c:pt idx="318">
                  <c:v>6.8323678340828931</c:v>
                </c:pt>
                <c:pt idx="319">
                  <c:v>6.7462212943540019</c:v>
                </c:pt>
                <c:pt idx="320">
                  <c:v>6.6611609412133443</c:v>
                </c:pt>
                <c:pt idx="321">
                  <c:v>6.5771730793771841</c:v>
                </c:pt>
                <c:pt idx="322">
                  <c:v>6.4942441862400333</c:v>
                </c:pt>
                <c:pt idx="323">
                  <c:v>6.4026442123525404</c:v>
                </c:pt>
                <c:pt idx="324">
                  <c:v>6.3123362371912366</c:v>
                </c:pt>
                <c:pt idx="325">
                  <c:v>6.2233020373807477</c:v>
                </c:pt>
                <c:pt idx="326">
                  <c:v>6.1355236465826479</c:v>
                </c:pt>
                <c:pt idx="327">
                  <c:v>6.0489833518700067</c:v>
                </c:pt>
                <c:pt idx="328">
                  <c:v>5.9636636901530711</c:v>
                </c:pt>
                <c:pt idx="329">
                  <c:v>5.8795474446553646</c:v>
                </c:pt>
                <c:pt idx="330">
                  <c:v>5.7966176414394921</c:v>
                </c:pt>
                <c:pt idx="331">
                  <c:v>5.7148575459819391</c:v>
                </c:pt>
                <c:pt idx="332">
                  <c:v>5.6342506597961934</c:v>
                </c:pt>
                <c:pt idx="333">
                  <c:v>5.5547807171034886</c:v>
                </c:pt>
                <c:pt idx="334">
                  <c:v>5.4764316815505119</c:v>
                </c:pt>
                <c:pt idx="335">
                  <c:v>5.3903299934911182</c:v>
                </c:pt>
                <c:pt idx="336">
                  <c:v>5.3055820154965554</c:v>
                </c:pt>
                <c:pt idx="337">
                  <c:v>5.222166464233351</c:v>
                </c:pt>
                <c:pt idx="338">
                  <c:v>5.1400623909893772</c:v>
                </c:pt>
                <c:pt idx="339">
                  <c:v>5.059249176412858</c:v>
                </c:pt>
                <c:pt idx="340">
                  <c:v>4.9797065253340973</c:v>
                </c:pt>
                <c:pt idx="341">
                  <c:v>4.9014144616686108</c:v>
                </c:pt>
                <c:pt idx="342">
                  <c:v>4.8243533234003966</c:v>
                </c:pt>
                <c:pt idx="343">
                  <c:v>4.7485037576440838</c:v>
                </c:pt>
                <c:pt idx="344">
                  <c:v>4.6738467157847081</c:v>
                </c:pt>
                <c:pt idx="345">
                  <c:v>4.6003634486939049</c:v>
                </c:pt>
                <c:pt idx="346">
                  <c:v>4.5280355020213134</c:v>
                </c:pt>
                <c:pt idx="347">
                  <c:v>4.4489600002312173</c:v>
                </c:pt>
                <c:pt idx="348">
                  <c:v>4.3712654361525329</c:v>
                </c:pt>
                <c:pt idx="349">
                  <c:v>4.2949276937326326</c:v>
                </c:pt>
                <c:pt idx="350">
                  <c:v>4.2199230780703916</c:v>
                </c:pt>
                <c:pt idx="351">
                  <c:v>4.1462283080613966</c:v>
                </c:pt>
                <c:pt idx="352">
                  <c:v>4.0738205091715916</c:v>
                </c:pt>
                <c:pt idx="353">
                  <c:v>4.0026772063371228</c:v>
                </c:pt>
                <c:pt idx="354">
                  <c:v>3.9327763169881771</c:v>
                </c:pt>
                <c:pt idx="355">
                  <c:v>3.86409614419465</c:v>
                </c:pt>
                <c:pt idx="356">
                  <c:v>3.7966153699315135</c:v>
                </c:pt>
                <c:pt idx="357">
                  <c:v>3.7303130484617926</c:v>
                </c:pt>
                <c:pt idx="358">
                  <c:v>3.6651685998351016</c:v>
                </c:pt>
                <c:pt idx="359">
                  <c:v>3.5942736239312767</c:v>
                </c:pt>
                <c:pt idx="360">
                  <c:v>3.5247499621898153</c:v>
                </c:pt>
                <c:pt idx="361">
                  <c:v>3.4565710894231714</c:v>
                </c:pt>
                <c:pt idx="362">
                  <c:v>3.3897109935177507</c:v>
                </c:pt>
                <c:pt idx="363">
                  <c:v>3.3241441655095705</c:v>
                </c:pt>
                <c:pt idx="364">
                  <c:v>3.259845589851893</c:v>
                </c:pt>
                <c:pt idx="365">
                  <c:v>3.1967907348711049</c:v>
                </c:pt>
                <c:pt idx="366">
                  <c:v>3.1349555434072105</c:v>
                </c:pt>
                <c:pt idx="367">
                  <c:v>3.0743164236353628</c:v>
                </c:pt>
                <c:pt idx="368">
                  <c:v>3.0148502400649346</c:v>
                </c:pt>
                <c:pt idx="369">
                  <c:v>2.9565343047126946</c:v>
                </c:pt>
                <c:pt idx="370">
                  <c:v>2.8993463684467153</c:v>
                </c:pt>
                <c:pt idx="371">
                  <c:v>2.8378641891468463</c:v>
                </c:pt>
                <c:pt idx="372">
                  <c:v>2.7776857721061541</c:v>
                </c:pt>
                <c:pt idx="373">
                  <c:v>2.7187834703536331</c:v>
                </c:pt>
                <c:pt idx="374">
                  <c:v>2.6611302231869782</c:v>
                </c:pt>
                <c:pt idx="375">
                  <c:v>2.604699543740447</c:v>
                </c:pt>
                <c:pt idx="376">
                  <c:v>2.5494655068163485</c:v>
                </c:pt>
                <c:pt idx="377">
                  <c:v>2.4954027369745764</c:v>
                </c:pt>
                <c:pt idx="378">
                  <c:v>2.4424863968747044</c:v>
                </c:pt>
                <c:pt idx="379">
                  <c:v>2.390692175865301</c:v>
                </c:pt>
                <c:pt idx="380">
                  <c:v>2.3399962788152049</c:v>
                </c:pt>
                <c:pt idx="381">
                  <c:v>2.2903754151816487</c:v>
                </c:pt>
                <c:pt idx="382">
                  <c:v>2.2418067883101891</c:v>
                </c:pt>
                <c:pt idx="383">
                  <c:v>2.1898203215709522</c:v>
                </c:pt>
                <c:pt idx="384">
                  <c:v>2.139039397047986</c:v>
                </c:pt>
                <c:pt idx="385">
                  <c:v>2.0894360587726242</c:v>
                </c:pt>
                <c:pt idx="386">
                  <c:v>2.040982999062237</c:v>
                </c:pt>
                <c:pt idx="387">
                  <c:v>1.9936535434867748</c:v>
                </c:pt>
                <c:pt idx="388">
                  <c:v>1.9474216361839336</c:v>
                </c:pt>
                <c:pt idx="389">
                  <c:v>1.9022618255148536</c:v>
                </c:pt>
                <c:pt idx="390">
                  <c:v>1.8581492500524563</c:v>
                </c:pt>
                <c:pt idx="391">
                  <c:v>1.8150596248947044</c:v>
                </c:pt>
                <c:pt idx="392">
                  <c:v>1.7729692282952525</c:v>
                </c:pt>
                <c:pt idx="393">
                  <c:v>1.7318548886041247</c:v>
                </c:pt>
                <c:pt idx="394">
                  <c:v>1.6916939715112349</c:v>
                </c:pt>
                <c:pt idx="395">
                  <c:v>1.6489376974203658</c:v>
                </c:pt>
                <c:pt idx="396">
                  <c:v>1.6072620555271162</c:v>
                </c:pt>
                <c:pt idx="397">
                  <c:v>1.5666397336773898</c:v>
                </c:pt>
                <c:pt idx="398">
                  <c:v>1.5270441100109424</c:v>
                </c:pt>
                <c:pt idx="399">
                  <c:v>1.4884492355147301</c:v>
                </c:pt>
                <c:pt idx="400">
                  <c:v>1.4508298170172105</c:v>
                </c:pt>
                <c:pt idx="401">
                  <c:v>1.4141612006124489</c:v>
                </c:pt>
                <c:pt idx="402">
                  <c:v>1.3784193555031683</c:v>
                </c:pt>
                <c:pt idx="403">
                  <c:v>1.3435808582521533</c:v>
                </c:pt>
                <c:pt idx="404">
                  <c:v>1.3096228774316887</c:v>
                </c:pt>
                <c:pt idx="405">
                  <c:v>1.27652315866097</c:v>
                </c:pt>
                <c:pt idx="406">
                  <c:v>1.2442600100216843</c:v>
                </c:pt>
                <c:pt idx="407">
                  <c:v>1.2100833040369074</c:v>
                </c:pt>
                <c:pt idx="408">
                  <c:v>1.1768453465633437</c:v>
                </c:pt>
                <c:pt idx="409">
                  <c:v>1.144520352530668</c:v>
                </c:pt>
                <c:pt idx="410">
                  <c:v>1.1130832451198527</c:v>
                </c:pt>
                <c:pt idx="411">
                  <c:v>1.0825096363092799</c:v>
                </c:pt>
                <c:pt idx="412">
                  <c:v>1.0527758079552003</c:v>
                </c:pt>
                <c:pt idx="413">
                  <c:v>1.0238586933918674</c:v>
                </c:pt>
                <c:pt idx="414">
                  <c:v>0.99573585953706745</c:v>
                </c:pt>
                <c:pt idx="415">
                  <c:v>0.96838548948916703</c:v>
                </c:pt>
                <c:pt idx="416">
                  <c:v>0.94178636560217599</c:v>
                </c:pt>
                <c:pt idx="417">
                  <c:v>0.91591785302569584</c:v>
                </c:pt>
                <c:pt idx="418">
                  <c:v>0.89075988369698489</c:v>
                </c:pt>
                <c:pt idx="419">
                  <c:v>0.86425856875883422</c:v>
                </c:pt>
                <c:pt idx="420">
                  <c:v>0.83854570389157823</c:v>
                </c:pt>
                <c:pt idx="421">
                  <c:v>0.81359783163600252</c:v>
                </c:pt>
                <c:pt idx="422">
                  <c:v>0.78939219242412617</c:v>
                </c:pt>
                <c:pt idx="423">
                  <c:v>0.76590670381599135</c:v>
                </c:pt>
                <c:pt idx="424">
                  <c:v>0.74311994035418605</c:v>
                </c:pt>
                <c:pt idx="425">
                  <c:v>0.72101111401772155</c:v>
                </c:pt>
                <c:pt idx="426">
                  <c:v>0.69956005525743448</c:v>
                </c:pt>
                <c:pt idx="427">
                  <c:v>0.67874719459561117</c:v>
                </c:pt>
                <c:pt idx="428">
                  <c:v>0.65855354477304751</c:v>
                </c:pt>
                <c:pt idx="429">
                  <c:v>0.63896068342725865</c:v>
                </c:pt>
                <c:pt idx="430">
                  <c:v>0.61995073628603559</c:v>
                </c:pt>
                <c:pt idx="431">
                  <c:v>0.60003091145257492</c:v>
                </c:pt>
                <c:pt idx="432">
                  <c:v>0.5807511365427146</c:v>
                </c:pt>
                <c:pt idx="433">
                  <c:v>0.56209084591854708</c:v>
                </c:pt>
                <c:pt idx="434">
                  <c:v>0.5440301347429044</c:v>
                </c:pt>
                <c:pt idx="435">
                  <c:v>0.52654973774696856</c:v>
                </c:pt>
                <c:pt idx="436">
                  <c:v>0.50963100868010791</c:v>
                </c:pt>
                <c:pt idx="437">
                  <c:v>0.49325590042001588</c:v>
                </c:pt>
                <c:pt idx="438">
                  <c:v>0.47740694572193765</c:v>
                </c:pt>
                <c:pt idx="439">
                  <c:v>0.46206723858644888</c:v>
                </c:pt>
                <c:pt idx="440">
                  <c:v>0.44722041622591191</c:v>
                </c:pt>
                <c:pt idx="441">
                  <c:v>0.43285064161037334</c:v>
                </c:pt>
                <c:pt idx="442">
                  <c:v>0.41894258657428501</c:v>
                </c:pt>
                <c:pt idx="443">
                  <c:v>0.40446395509179084</c:v>
                </c:pt>
                <c:pt idx="444">
                  <c:v>0.39048570427319634</c:v>
                </c:pt>
                <c:pt idx="445">
                  <c:v>0.37699054099179219</c:v>
                </c:pt>
                <c:pt idx="446">
                  <c:v>0.36396176977032452</c:v>
                </c:pt>
                <c:pt idx="447">
                  <c:v>0.35138327212626486</c:v>
                </c:pt>
                <c:pt idx="448">
                  <c:v>0.33923948663090547</c:v>
                </c:pt>
                <c:pt idx="449">
                  <c:v>0.3275153896576119</c:v>
                </c:pt>
                <c:pt idx="450">
                  <c:v>0.31619647679541424</c:v>
                </c:pt>
                <c:pt idx="451">
                  <c:v>0.30526874490494421</c:v>
                </c:pt>
                <c:pt idx="452">
                  <c:v>0.29471867479451758</c:v>
                </c:pt>
                <c:pt idx="453">
                  <c:v>0.28453321449493019</c:v>
                </c:pt>
                <c:pt idx="454">
                  <c:v>0.27469976311227612</c:v>
                </c:pt>
                <c:pt idx="455">
                  <c:v>0.26452811726667919</c:v>
                </c:pt>
                <c:pt idx="456">
                  <c:v>0.25473310945686378</c:v>
                </c:pt>
                <c:pt idx="457">
                  <c:v>0.2453007934432388</c:v>
                </c:pt>
                <c:pt idx="458">
                  <c:v>0.23621773939077223</c:v>
                </c:pt>
                <c:pt idx="459">
                  <c:v>0.22747101474744447</c:v>
                </c:pt>
                <c:pt idx="460">
                  <c:v>0.21904816583073872</c:v>
                </c:pt>
                <c:pt idx="461">
                  <c:v>0.2109372000959514</c:v>
                </c:pt>
                <c:pt idx="462">
                  <c:v>0.2031265690610754</c:v>
                </c:pt>
                <c:pt idx="463">
                  <c:v>0.1956051518639445</c:v>
                </c:pt>
                <c:pt idx="464">
                  <c:v>0.18836223942822813</c:v>
                </c:pt>
                <c:pt idx="465">
                  <c:v>0.1813875192157306</c:v>
                </c:pt>
                <c:pt idx="466">
                  <c:v>0.17467106054328638</c:v>
                </c:pt>
                <c:pt idx="467">
                  <c:v>0.16777345504087601</c:v>
                </c:pt>
                <c:pt idx="468">
                  <c:v>0.16114822987164107</c:v>
                </c:pt>
                <c:pt idx="469">
                  <c:v>0.15478462897742845</c:v>
                </c:pt>
                <c:pt idx="470">
                  <c:v>0.14867232104729666</c:v>
                </c:pt>
                <c:pt idx="471">
                  <c:v>0.14280138274462448</c:v>
                </c:pt>
                <c:pt idx="472">
                  <c:v>0.13716228259656624</c:v>
                </c:pt>
                <c:pt idx="473">
                  <c:v>0.13174586551969861</c:v>
                </c:pt>
                <c:pt idx="474">
                  <c:v>0.12654333795673522</c:v>
                </c:pt>
                <c:pt idx="475">
                  <c:v>0.12154625360018007</c:v>
                </c:pt>
                <c:pt idx="476">
                  <c:v>0.11674649967974055</c:v>
                </c:pt>
                <c:pt idx="477">
                  <c:v>0.11213628379123869</c:v>
                </c:pt>
                <c:pt idx="478">
                  <c:v>0.10770812124563703</c:v>
                </c:pt>
                <c:pt idx="479">
                  <c:v>0.10318902640313388</c:v>
                </c:pt>
                <c:pt idx="480">
                  <c:v>9.8859538601950903E-2</c:v>
                </c:pt>
                <c:pt idx="481">
                  <c:v>9.4711702525510061E-2</c:v>
                </c:pt>
                <c:pt idx="482">
                  <c:v>9.0737896637357845E-2</c:v>
                </c:pt>
                <c:pt idx="483">
                  <c:v>8.6930819176798416E-2</c:v>
                </c:pt>
                <c:pt idx="484">
                  <c:v>8.3283474742106067E-2</c:v>
                </c:pt>
                <c:pt idx="485">
                  <c:v>7.9789161436664036E-2</c:v>
                </c:pt>
                <c:pt idx="486">
                  <c:v>7.6441458554410993E-2</c:v>
                </c:pt>
                <c:pt idx="487">
                  <c:v>7.323421478196751E-2</c:v>
                </c:pt>
                <c:pt idx="488">
                  <c:v>7.0161536895764362E-2</c:v>
                </c:pt>
                <c:pt idx="489">
                  <c:v>6.7217778933403777E-2</c:v>
                </c:pt>
                <c:pt idx="490">
                  <c:v>6.4397531819356507E-2</c:v>
                </c:pt>
                <c:pt idx="491">
                  <c:v>6.1539445696501431E-2</c:v>
                </c:pt>
                <c:pt idx="492">
                  <c:v>5.8808206924078538E-2</c:v>
                </c:pt>
                <c:pt idx="493">
                  <c:v>5.619818577309435E-2</c:v>
                </c:pt>
                <c:pt idx="494">
                  <c:v>5.3704002372738729E-2</c:v>
                </c:pt>
                <c:pt idx="495">
                  <c:v>5.1320515621198909E-2</c:v>
                </c:pt>
                <c:pt idx="496">
                  <c:v>4.9042812588632884E-2</c:v>
                </c:pt>
                <c:pt idx="497">
                  <c:v>4.6866198390459197E-2</c:v>
                </c:pt>
                <c:pt idx="498">
                  <c:v>4.4786186510089553E-2</c:v>
                </c:pt>
                <c:pt idx="499">
                  <c:v>4.2798489551157184E-2</c:v>
                </c:pt>
                <c:pt idx="500">
                  <c:v>4.0899010400179028E-2</c:v>
                </c:pt>
                <c:pt idx="501">
                  <c:v>3.9083833781435998E-2</c:v>
                </c:pt>
                <c:pt idx="502">
                  <c:v>3.7349218186663778E-2</c:v>
                </c:pt>
                <c:pt idx="503">
                  <c:v>3.560311097944352E-2</c:v>
                </c:pt>
                <c:pt idx="504">
                  <c:v>3.3938635745451425E-2</c:v>
                </c:pt>
                <c:pt idx="505">
                  <c:v>3.2351976121622515E-2</c:v>
                </c:pt>
                <c:pt idx="506">
                  <c:v>3.0839494163058961E-2</c:v>
                </c:pt>
                <c:pt idx="507">
                  <c:v>2.9397722001831446E-2</c:v>
                </c:pt>
                <c:pt idx="508">
                  <c:v>2.802335389573855E-2</c:v>
                </c:pt>
                <c:pt idx="509">
                  <c:v>2.6713238648793304E-2</c:v>
                </c:pt>
                <c:pt idx="510">
                  <c:v>2.5464372386058306E-2</c:v>
                </c:pt>
                <c:pt idx="511">
                  <c:v>2.4273891666263391E-2</c:v>
                </c:pt>
                <c:pt idx="512">
                  <c:v>2.3139066916414128E-2</c:v>
                </c:pt>
                <c:pt idx="513">
                  <c:v>2.2057296173337924E-2</c:v>
                </c:pt>
                <c:pt idx="514">
                  <c:v>2.1026099117818046E-2</c:v>
                </c:pt>
                <c:pt idx="515">
                  <c:v>1.9994960293931881E-2</c:v>
                </c:pt>
                <c:pt idx="516">
                  <c:v>1.9014389445977324E-2</c:v>
                </c:pt>
                <c:pt idx="517">
                  <c:v>1.8081906674904325E-2</c:v>
                </c:pt>
                <c:pt idx="518">
                  <c:v>1.7195153698144124E-2</c:v>
                </c:pt>
                <c:pt idx="519">
                  <c:v>1.635188788542755E-2</c:v>
                </c:pt>
                <c:pt idx="520">
                  <c:v>1.5549976587092156E-2</c:v>
                </c:pt>
                <c:pt idx="521">
                  <c:v>1.4787391740534299E-2</c:v>
                </c:pt>
                <c:pt idx="522">
                  <c:v>1.4062204741165641E-2</c:v>
                </c:pt>
                <c:pt idx="523">
                  <c:v>1.3372581564902565E-2</c:v>
                </c:pt>
                <c:pt idx="524">
                  <c:v>1.2716778129853111E-2</c:v>
                </c:pt>
                <c:pt idx="525">
                  <c:v>1.2093135885470941E-2</c:v>
                </c:pt>
                <c:pt idx="526">
                  <c:v>1.1500077618021185E-2</c:v>
                </c:pt>
                <c:pt idx="527">
                  <c:v>1.0911231499451259E-2</c:v>
                </c:pt>
                <c:pt idx="528">
                  <c:v>1.0352536460106355E-2</c:v>
                </c:pt>
                <c:pt idx="529">
                  <c:v>9.8224486542349883E-3</c:v>
                </c:pt>
                <c:pt idx="530">
                  <c:v>9.3195032866459047E-3</c:v>
                </c:pt>
                <c:pt idx="531">
                  <c:v>8.8423105650297009E-3</c:v>
                </c:pt>
                <c:pt idx="532">
                  <c:v>8.3895518595364146E-3</c:v>
                </c:pt>
                <c:pt idx="533">
                  <c:v>7.9599760589968028E-3</c:v>
                </c:pt>
                <c:pt idx="534">
                  <c:v>7.5523961137184559E-3</c:v>
                </c:pt>
                <c:pt idx="535">
                  <c:v>7.1656857553034203E-3</c:v>
                </c:pt>
                <c:pt idx="536">
                  <c:v>6.7987763844231681E-3</c:v>
                </c:pt>
                <c:pt idx="537">
                  <c:v>6.4506541179509061E-3</c:v>
                </c:pt>
                <c:pt idx="538">
                  <c:v>6.1203569872915311E-3</c:v>
                </c:pt>
                <c:pt idx="539">
                  <c:v>5.7945203268967658E-3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68D-405A-8673-183D0336D0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Attained Age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Expected Cashflow ($)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Economic Reserve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spPr>
            <a:ln>
              <a:prstDash val="solid"/>
            </a:ln>
          </c:spPr>
          <c:marker>
            <c:symbol val="none"/>
          </c:marker>
          <c:cat>
            <c:strRef>
              <c:f>Projection!$C$2:$C$543</c:f>
              <c:strCache>
                <c:ptCount val="542"/>
                <c:pt idx="0">
                  <c:v>65</c:v>
                </c:pt>
                <c:pt idx="1">
                  <c:v>AttainedAge</c:v>
                </c:pt>
                <c:pt idx="2">
                  <c:v>65.08333333</c:v>
                </c:pt>
                <c:pt idx="3">
                  <c:v>65.16666667</c:v>
                </c:pt>
                <c:pt idx="4">
                  <c:v>65.25</c:v>
                </c:pt>
                <c:pt idx="5">
                  <c:v>65.33333333</c:v>
                </c:pt>
                <c:pt idx="6">
                  <c:v>65.41666667</c:v>
                </c:pt>
                <c:pt idx="7">
                  <c:v>65.5</c:v>
                </c:pt>
                <c:pt idx="8">
                  <c:v>65.58333333</c:v>
                </c:pt>
                <c:pt idx="9">
                  <c:v>65.66666667</c:v>
                </c:pt>
                <c:pt idx="10">
                  <c:v>65.75</c:v>
                </c:pt>
                <c:pt idx="11">
                  <c:v>65.83333333</c:v>
                </c:pt>
                <c:pt idx="12">
                  <c:v>65.91666667</c:v>
                </c:pt>
                <c:pt idx="13">
                  <c:v>66</c:v>
                </c:pt>
                <c:pt idx="14">
                  <c:v>66.08333333</c:v>
                </c:pt>
                <c:pt idx="15">
                  <c:v>66.16666667</c:v>
                </c:pt>
                <c:pt idx="16">
                  <c:v>66.25</c:v>
                </c:pt>
                <c:pt idx="17">
                  <c:v>66.33333333</c:v>
                </c:pt>
                <c:pt idx="18">
                  <c:v>66.41666667</c:v>
                </c:pt>
                <c:pt idx="19">
                  <c:v>66.5</c:v>
                </c:pt>
                <c:pt idx="20">
                  <c:v>66.58333333</c:v>
                </c:pt>
                <c:pt idx="21">
                  <c:v>66.66666667</c:v>
                </c:pt>
                <c:pt idx="22">
                  <c:v>66.75</c:v>
                </c:pt>
                <c:pt idx="23">
                  <c:v>66.83333333</c:v>
                </c:pt>
                <c:pt idx="24">
                  <c:v>66.91666667</c:v>
                </c:pt>
                <c:pt idx="25">
                  <c:v>67</c:v>
                </c:pt>
                <c:pt idx="26">
                  <c:v>67.08333333</c:v>
                </c:pt>
                <c:pt idx="27">
                  <c:v>67.16666667</c:v>
                </c:pt>
                <c:pt idx="28">
                  <c:v>67.25</c:v>
                </c:pt>
                <c:pt idx="29">
                  <c:v>67.33333333</c:v>
                </c:pt>
                <c:pt idx="30">
                  <c:v>67.41666667</c:v>
                </c:pt>
                <c:pt idx="31">
                  <c:v>67.5</c:v>
                </c:pt>
                <c:pt idx="32">
                  <c:v>67.58333333</c:v>
                </c:pt>
                <c:pt idx="33">
                  <c:v>67.66666667</c:v>
                </c:pt>
                <c:pt idx="34">
                  <c:v>67.75</c:v>
                </c:pt>
                <c:pt idx="35">
                  <c:v>67.83333333</c:v>
                </c:pt>
                <c:pt idx="36">
                  <c:v>67.91666667</c:v>
                </c:pt>
                <c:pt idx="37">
                  <c:v>68</c:v>
                </c:pt>
                <c:pt idx="38">
                  <c:v>68.08333333</c:v>
                </c:pt>
                <c:pt idx="39">
                  <c:v>68.16666667</c:v>
                </c:pt>
                <c:pt idx="40">
                  <c:v>68.25</c:v>
                </c:pt>
                <c:pt idx="41">
                  <c:v>68.33333333</c:v>
                </c:pt>
                <c:pt idx="42">
                  <c:v>68.41666667</c:v>
                </c:pt>
                <c:pt idx="43">
                  <c:v>68.5</c:v>
                </c:pt>
                <c:pt idx="44">
                  <c:v>68.58333333</c:v>
                </c:pt>
                <c:pt idx="45">
                  <c:v>68.66666667</c:v>
                </c:pt>
                <c:pt idx="46">
                  <c:v>68.75</c:v>
                </c:pt>
                <c:pt idx="47">
                  <c:v>68.83333333</c:v>
                </c:pt>
                <c:pt idx="48">
                  <c:v>68.91666667</c:v>
                </c:pt>
                <c:pt idx="49">
                  <c:v>69</c:v>
                </c:pt>
                <c:pt idx="50">
                  <c:v>69.08333333</c:v>
                </c:pt>
                <c:pt idx="51">
                  <c:v>69.16666667</c:v>
                </c:pt>
                <c:pt idx="52">
                  <c:v>69.25</c:v>
                </c:pt>
                <c:pt idx="53">
                  <c:v>69.33333333</c:v>
                </c:pt>
                <c:pt idx="54">
                  <c:v>69.41666667</c:v>
                </c:pt>
                <c:pt idx="55">
                  <c:v>69.5</c:v>
                </c:pt>
                <c:pt idx="56">
                  <c:v>69.58333333</c:v>
                </c:pt>
                <c:pt idx="57">
                  <c:v>69.66666667</c:v>
                </c:pt>
                <c:pt idx="58">
                  <c:v>69.75</c:v>
                </c:pt>
                <c:pt idx="59">
                  <c:v>69.83333333</c:v>
                </c:pt>
                <c:pt idx="60">
                  <c:v>69.91666667</c:v>
                </c:pt>
                <c:pt idx="61">
                  <c:v>70</c:v>
                </c:pt>
                <c:pt idx="62">
                  <c:v>70.08333333</c:v>
                </c:pt>
                <c:pt idx="63">
                  <c:v>70.16666667</c:v>
                </c:pt>
                <c:pt idx="64">
                  <c:v>70.25</c:v>
                </c:pt>
                <c:pt idx="65">
                  <c:v>70.33333333</c:v>
                </c:pt>
                <c:pt idx="66">
                  <c:v>70.41666667</c:v>
                </c:pt>
                <c:pt idx="67">
                  <c:v>70.5</c:v>
                </c:pt>
                <c:pt idx="68">
                  <c:v>70.58333333</c:v>
                </c:pt>
                <c:pt idx="69">
                  <c:v>70.66666667</c:v>
                </c:pt>
                <c:pt idx="70">
                  <c:v>70.75</c:v>
                </c:pt>
                <c:pt idx="71">
                  <c:v>70.83333333</c:v>
                </c:pt>
                <c:pt idx="72">
                  <c:v>70.91666667</c:v>
                </c:pt>
                <c:pt idx="73">
                  <c:v>71</c:v>
                </c:pt>
                <c:pt idx="74">
                  <c:v>71.08333333</c:v>
                </c:pt>
                <c:pt idx="75">
                  <c:v>71.16666667</c:v>
                </c:pt>
                <c:pt idx="76">
                  <c:v>71.25</c:v>
                </c:pt>
                <c:pt idx="77">
                  <c:v>71.33333333</c:v>
                </c:pt>
                <c:pt idx="78">
                  <c:v>71.41666667</c:v>
                </c:pt>
                <c:pt idx="79">
                  <c:v>71.5</c:v>
                </c:pt>
                <c:pt idx="80">
                  <c:v>71.58333333</c:v>
                </c:pt>
                <c:pt idx="81">
                  <c:v>71.66666667</c:v>
                </c:pt>
                <c:pt idx="82">
                  <c:v>71.75</c:v>
                </c:pt>
                <c:pt idx="83">
                  <c:v>71.83333333</c:v>
                </c:pt>
                <c:pt idx="84">
                  <c:v>71.91666667</c:v>
                </c:pt>
                <c:pt idx="85">
                  <c:v>72</c:v>
                </c:pt>
                <c:pt idx="86">
                  <c:v>72.08333333</c:v>
                </c:pt>
                <c:pt idx="87">
                  <c:v>72.16666667</c:v>
                </c:pt>
                <c:pt idx="88">
                  <c:v>72.25</c:v>
                </c:pt>
                <c:pt idx="89">
                  <c:v>72.33333333</c:v>
                </c:pt>
                <c:pt idx="90">
                  <c:v>72.41666667</c:v>
                </c:pt>
                <c:pt idx="91">
                  <c:v>72.5</c:v>
                </c:pt>
                <c:pt idx="92">
                  <c:v>72.58333333</c:v>
                </c:pt>
                <c:pt idx="93">
                  <c:v>72.66666667</c:v>
                </c:pt>
                <c:pt idx="94">
                  <c:v>72.75</c:v>
                </c:pt>
                <c:pt idx="95">
                  <c:v>72.83333333</c:v>
                </c:pt>
                <c:pt idx="96">
                  <c:v>72.91666667</c:v>
                </c:pt>
                <c:pt idx="97">
                  <c:v>73</c:v>
                </c:pt>
                <c:pt idx="98">
                  <c:v>73.08333333</c:v>
                </c:pt>
                <c:pt idx="99">
                  <c:v>73.16666667</c:v>
                </c:pt>
                <c:pt idx="100">
                  <c:v>73.25</c:v>
                </c:pt>
                <c:pt idx="101">
                  <c:v>73.33333333</c:v>
                </c:pt>
                <c:pt idx="102">
                  <c:v>73.41666667</c:v>
                </c:pt>
                <c:pt idx="103">
                  <c:v>73.5</c:v>
                </c:pt>
                <c:pt idx="104">
                  <c:v>73.58333333</c:v>
                </c:pt>
                <c:pt idx="105">
                  <c:v>73.66666667</c:v>
                </c:pt>
                <c:pt idx="106">
                  <c:v>73.75</c:v>
                </c:pt>
                <c:pt idx="107">
                  <c:v>73.83333333</c:v>
                </c:pt>
                <c:pt idx="108">
                  <c:v>73.91666667</c:v>
                </c:pt>
                <c:pt idx="109">
                  <c:v>74</c:v>
                </c:pt>
                <c:pt idx="110">
                  <c:v>74.08333333</c:v>
                </c:pt>
                <c:pt idx="111">
                  <c:v>74.16666667</c:v>
                </c:pt>
                <c:pt idx="112">
                  <c:v>74.25</c:v>
                </c:pt>
                <c:pt idx="113">
                  <c:v>74.33333333</c:v>
                </c:pt>
                <c:pt idx="114">
                  <c:v>74.41666667</c:v>
                </c:pt>
                <c:pt idx="115">
                  <c:v>74.5</c:v>
                </c:pt>
                <c:pt idx="116">
                  <c:v>74.58333333</c:v>
                </c:pt>
                <c:pt idx="117">
                  <c:v>74.66666667</c:v>
                </c:pt>
                <c:pt idx="118">
                  <c:v>74.75</c:v>
                </c:pt>
                <c:pt idx="119">
                  <c:v>74.83333333</c:v>
                </c:pt>
                <c:pt idx="120">
                  <c:v>74.91666667</c:v>
                </c:pt>
                <c:pt idx="121">
                  <c:v>75</c:v>
                </c:pt>
                <c:pt idx="122">
                  <c:v>75.08333333</c:v>
                </c:pt>
                <c:pt idx="123">
                  <c:v>75.16666667</c:v>
                </c:pt>
                <c:pt idx="124">
                  <c:v>75.25</c:v>
                </c:pt>
                <c:pt idx="125">
                  <c:v>75.33333333</c:v>
                </c:pt>
                <c:pt idx="126">
                  <c:v>75.41666667</c:v>
                </c:pt>
                <c:pt idx="127">
                  <c:v>75.5</c:v>
                </c:pt>
                <c:pt idx="128">
                  <c:v>75.58333333</c:v>
                </c:pt>
                <c:pt idx="129">
                  <c:v>75.66666667</c:v>
                </c:pt>
                <c:pt idx="130">
                  <c:v>75.75</c:v>
                </c:pt>
                <c:pt idx="131">
                  <c:v>75.83333333</c:v>
                </c:pt>
                <c:pt idx="132">
                  <c:v>75.91666667</c:v>
                </c:pt>
                <c:pt idx="133">
                  <c:v>76</c:v>
                </c:pt>
                <c:pt idx="134">
                  <c:v>76.08333333</c:v>
                </c:pt>
                <c:pt idx="135">
                  <c:v>76.16666667</c:v>
                </c:pt>
                <c:pt idx="136">
                  <c:v>76.25</c:v>
                </c:pt>
                <c:pt idx="137">
                  <c:v>76.33333333</c:v>
                </c:pt>
                <c:pt idx="138">
                  <c:v>76.41666667</c:v>
                </c:pt>
                <c:pt idx="139">
                  <c:v>76.5</c:v>
                </c:pt>
                <c:pt idx="140">
                  <c:v>76.58333333</c:v>
                </c:pt>
                <c:pt idx="141">
                  <c:v>76.66666667</c:v>
                </c:pt>
                <c:pt idx="142">
                  <c:v>76.75</c:v>
                </c:pt>
                <c:pt idx="143">
                  <c:v>76.83333333</c:v>
                </c:pt>
                <c:pt idx="144">
                  <c:v>76.91666667</c:v>
                </c:pt>
                <c:pt idx="145">
                  <c:v>77</c:v>
                </c:pt>
                <c:pt idx="146">
                  <c:v>77.08333333</c:v>
                </c:pt>
                <c:pt idx="147">
                  <c:v>77.16666667</c:v>
                </c:pt>
                <c:pt idx="148">
                  <c:v>77.25</c:v>
                </c:pt>
                <c:pt idx="149">
                  <c:v>77.33333333</c:v>
                </c:pt>
                <c:pt idx="150">
                  <c:v>77.41666667</c:v>
                </c:pt>
                <c:pt idx="151">
                  <c:v>77.5</c:v>
                </c:pt>
                <c:pt idx="152">
                  <c:v>77.58333333</c:v>
                </c:pt>
                <c:pt idx="153">
                  <c:v>77.66666667</c:v>
                </c:pt>
                <c:pt idx="154">
                  <c:v>77.75</c:v>
                </c:pt>
                <c:pt idx="155">
                  <c:v>77.83333333</c:v>
                </c:pt>
                <c:pt idx="156">
                  <c:v>77.91666667</c:v>
                </c:pt>
                <c:pt idx="157">
                  <c:v>78</c:v>
                </c:pt>
                <c:pt idx="158">
                  <c:v>78.08333333</c:v>
                </c:pt>
                <c:pt idx="159">
                  <c:v>78.16666667</c:v>
                </c:pt>
                <c:pt idx="160">
                  <c:v>78.25</c:v>
                </c:pt>
                <c:pt idx="161">
                  <c:v>78.33333333</c:v>
                </c:pt>
                <c:pt idx="162">
                  <c:v>78.41666667</c:v>
                </c:pt>
                <c:pt idx="163">
                  <c:v>78.5</c:v>
                </c:pt>
                <c:pt idx="164">
                  <c:v>78.58333333</c:v>
                </c:pt>
                <c:pt idx="165">
                  <c:v>78.66666667</c:v>
                </c:pt>
                <c:pt idx="166">
                  <c:v>78.75</c:v>
                </c:pt>
                <c:pt idx="167">
                  <c:v>78.83333333</c:v>
                </c:pt>
                <c:pt idx="168">
                  <c:v>78.91666667</c:v>
                </c:pt>
                <c:pt idx="169">
                  <c:v>79</c:v>
                </c:pt>
                <c:pt idx="170">
                  <c:v>79.08333333</c:v>
                </c:pt>
                <c:pt idx="171">
                  <c:v>79.16666667</c:v>
                </c:pt>
                <c:pt idx="172">
                  <c:v>79.25</c:v>
                </c:pt>
                <c:pt idx="173">
                  <c:v>79.33333333</c:v>
                </c:pt>
                <c:pt idx="174">
                  <c:v>79.41666667</c:v>
                </c:pt>
                <c:pt idx="175">
                  <c:v>79.5</c:v>
                </c:pt>
                <c:pt idx="176">
                  <c:v>79.58333333</c:v>
                </c:pt>
                <c:pt idx="177">
                  <c:v>79.66666667</c:v>
                </c:pt>
                <c:pt idx="178">
                  <c:v>79.75</c:v>
                </c:pt>
                <c:pt idx="179">
                  <c:v>79.83333333</c:v>
                </c:pt>
                <c:pt idx="180">
                  <c:v>79.91666667</c:v>
                </c:pt>
                <c:pt idx="181">
                  <c:v>80</c:v>
                </c:pt>
                <c:pt idx="182">
                  <c:v>80.08333333</c:v>
                </c:pt>
                <c:pt idx="183">
                  <c:v>80.16666667</c:v>
                </c:pt>
                <c:pt idx="184">
                  <c:v>80.25</c:v>
                </c:pt>
                <c:pt idx="185">
                  <c:v>80.33333333</c:v>
                </c:pt>
                <c:pt idx="186">
                  <c:v>80.41666667</c:v>
                </c:pt>
                <c:pt idx="187">
                  <c:v>80.5</c:v>
                </c:pt>
                <c:pt idx="188">
                  <c:v>80.58333333</c:v>
                </c:pt>
                <c:pt idx="189">
                  <c:v>80.66666667</c:v>
                </c:pt>
                <c:pt idx="190">
                  <c:v>80.75</c:v>
                </c:pt>
                <c:pt idx="191">
                  <c:v>80.83333333</c:v>
                </c:pt>
                <c:pt idx="192">
                  <c:v>80.91666667</c:v>
                </c:pt>
                <c:pt idx="193">
                  <c:v>81</c:v>
                </c:pt>
                <c:pt idx="194">
                  <c:v>81.08333333</c:v>
                </c:pt>
                <c:pt idx="195">
                  <c:v>81.16666667</c:v>
                </c:pt>
                <c:pt idx="196">
                  <c:v>81.25</c:v>
                </c:pt>
                <c:pt idx="197">
                  <c:v>81.33333333</c:v>
                </c:pt>
                <c:pt idx="198">
                  <c:v>81.41666667</c:v>
                </c:pt>
                <c:pt idx="199">
                  <c:v>81.5</c:v>
                </c:pt>
                <c:pt idx="200">
                  <c:v>81.58333333</c:v>
                </c:pt>
                <c:pt idx="201">
                  <c:v>81.66666667</c:v>
                </c:pt>
                <c:pt idx="202">
                  <c:v>81.75</c:v>
                </c:pt>
                <c:pt idx="203">
                  <c:v>81.83333333</c:v>
                </c:pt>
                <c:pt idx="204">
                  <c:v>81.91666667</c:v>
                </c:pt>
                <c:pt idx="205">
                  <c:v>82</c:v>
                </c:pt>
                <c:pt idx="206">
                  <c:v>82.08333333</c:v>
                </c:pt>
                <c:pt idx="207">
                  <c:v>82.16666667</c:v>
                </c:pt>
                <c:pt idx="208">
                  <c:v>82.25</c:v>
                </c:pt>
                <c:pt idx="209">
                  <c:v>82.33333333</c:v>
                </c:pt>
                <c:pt idx="210">
                  <c:v>82.41666667</c:v>
                </c:pt>
                <c:pt idx="211">
                  <c:v>82.5</c:v>
                </c:pt>
                <c:pt idx="212">
                  <c:v>82.58333333</c:v>
                </c:pt>
                <c:pt idx="213">
                  <c:v>82.66666667</c:v>
                </c:pt>
                <c:pt idx="214">
                  <c:v>82.75</c:v>
                </c:pt>
                <c:pt idx="215">
                  <c:v>82.83333333</c:v>
                </c:pt>
                <c:pt idx="216">
                  <c:v>82.91666667</c:v>
                </c:pt>
                <c:pt idx="217">
                  <c:v>83</c:v>
                </c:pt>
                <c:pt idx="218">
                  <c:v>83.08333333</c:v>
                </c:pt>
                <c:pt idx="219">
                  <c:v>83.16666667</c:v>
                </c:pt>
                <c:pt idx="220">
                  <c:v>83.25</c:v>
                </c:pt>
                <c:pt idx="221">
                  <c:v>83.33333333</c:v>
                </c:pt>
                <c:pt idx="222">
                  <c:v>83.41666667</c:v>
                </c:pt>
                <c:pt idx="223">
                  <c:v>83.5</c:v>
                </c:pt>
                <c:pt idx="224">
                  <c:v>83.58333333</c:v>
                </c:pt>
                <c:pt idx="225">
                  <c:v>83.66666667</c:v>
                </c:pt>
                <c:pt idx="226">
                  <c:v>83.75</c:v>
                </c:pt>
                <c:pt idx="227">
                  <c:v>83.83333333</c:v>
                </c:pt>
                <c:pt idx="228">
                  <c:v>83.91666667</c:v>
                </c:pt>
                <c:pt idx="229">
                  <c:v>84</c:v>
                </c:pt>
                <c:pt idx="230">
                  <c:v>84.08333333</c:v>
                </c:pt>
                <c:pt idx="231">
                  <c:v>84.16666667</c:v>
                </c:pt>
                <c:pt idx="232">
                  <c:v>84.25</c:v>
                </c:pt>
                <c:pt idx="233">
                  <c:v>84.33333333</c:v>
                </c:pt>
                <c:pt idx="234">
                  <c:v>84.41666667</c:v>
                </c:pt>
                <c:pt idx="235">
                  <c:v>84.5</c:v>
                </c:pt>
                <c:pt idx="236">
                  <c:v>84.58333333</c:v>
                </c:pt>
                <c:pt idx="237">
                  <c:v>84.66666667</c:v>
                </c:pt>
                <c:pt idx="238">
                  <c:v>84.75</c:v>
                </c:pt>
                <c:pt idx="239">
                  <c:v>84.83333333</c:v>
                </c:pt>
                <c:pt idx="240">
                  <c:v>84.91666667</c:v>
                </c:pt>
                <c:pt idx="241">
                  <c:v>85</c:v>
                </c:pt>
                <c:pt idx="242">
                  <c:v>85.08333333</c:v>
                </c:pt>
                <c:pt idx="243">
                  <c:v>85.16666667</c:v>
                </c:pt>
                <c:pt idx="244">
                  <c:v>85.25</c:v>
                </c:pt>
                <c:pt idx="245">
                  <c:v>85.33333333</c:v>
                </c:pt>
                <c:pt idx="246">
                  <c:v>85.41666667</c:v>
                </c:pt>
                <c:pt idx="247">
                  <c:v>85.5</c:v>
                </c:pt>
                <c:pt idx="248">
                  <c:v>85.58333333</c:v>
                </c:pt>
                <c:pt idx="249">
                  <c:v>85.66666667</c:v>
                </c:pt>
                <c:pt idx="250">
                  <c:v>85.75</c:v>
                </c:pt>
                <c:pt idx="251">
                  <c:v>85.83333333</c:v>
                </c:pt>
                <c:pt idx="252">
                  <c:v>85.91666667</c:v>
                </c:pt>
                <c:pt idx="253">
                  <c:v>86</c:v>
                </c:pt>
                <c:pt idx="254">
                  <c:v>86.08333333</c:v>
                </c:pt>
                <c:pt idx="255">
                  <c:v>86.16666667</c:v>
                </c:pt>
                <c:pt idx="256">
                  <c:v>86.25</c:v>
                </c:pt>
                <c:pt idx="257">
                  <c:v>86.33333333</c:v>
                </c:pt>
                <c:pt idx="258">
                  <c:v>86.41666667</c:v>
                </c:pt>
                <c:pt idx="259">
                  <c:v>86.5</c:v>
                </c:pt>
                <c:pt idx="260">
                  <c:v>86.58333333</c:v>
                </c:pt>
                <c:pt idx="261">
                  <c:v>86.66666667</c:v>
                </c:pt>
                <c:pt idx="262">
                  <c:v>86.75</c:v>
                </c:pt>
                <c:pt idx="263">
                  <c:v>86.83333333</c:v>
                </c:pt>
                <c:pt idx="264">
                  <c:v>86.91666667</c:v>
                </c:pt>
                <c:pt idx="265">
                  <c:v>87</c:v>
                </c:pt>
                <c:pt idx="266">
                  <c:v>87.08333333</c:v>
                </c:pt>
                <c:pt idx="267">
                  <c:v>87.16666667</c:v>
                </c:pt>
                <c:pt idx="268">
                  <c:v>87.25</c:v>
                </c:pt>
                <c:pt idx="269">
                  <c:v>87.33333333</c:v>
                </c:pt>
                <c:pt idx="270">
                  <c:v>87.41666667</c:v>
                </c:pt>
                <c:pt idx="271">
                  <c:v>87.5</c:v>
                </c:pt>
                <c:pt idx="272">
                  <c:v>87.58333333</c:v>
                </c:pt>
                <c:pt idx="273">
                  <c:v>87.66666667</c:v>
                </c:pt>
                <c:pt idx="274">
                  <c:v>87.75</c:v>
                </c:pt>
                <c:pt idx="275">
                  <c:v>87.83333333</c:v>
                </c:pt>
                <c:pt idx="276">
                  <c:v>87.91666667</c:v>
                </c:pt>
                <c:pt idx="277">
                  <c:v>88</c:v>
                </c:pt>
                <c:pt idx="278">
                  <c:v>88.08333333</c:v>
                </c:pt>
                <c:pt idx="279">
                  <c:v>88.16666667</c:v>
                </c:pt>
                <c:pt idx="280">
                  <c:v>88.25</c:v>
                </c:pt>
                <c:pt idx="281">
                  <c:v>88.33333333</c:v>
                </c:pt>
                <c:pt idx="282">
                  <c:v>88.41666667</c:v>
                </c:pt>
                <c:pt idx="283">
                  <c:v>88.5</c:v>
                </c:pt>
                <c:pt idx="284">
                  <c:v>88.58333333</c:v>
                </c:pt>
                <c:pt idx="285">
                  <c:v>88.66666667</c:v>
                </c:pt>
                <c:pt idx="286">
                  <c:v>88.75</c:v>
                </c:pt>
                <c:pt idx="287">
                  <c:v>88.83333333</c:v>
                </c:pt>
                <c:pt idx="288">
                  <c:v>88.91666667</c:v>
                </c:pt>
                <c:pt idx="289">
                  <c:v>89</c:v>
                </c:pt>
                <c:pt idx="290">
                  <c:v>89.08333333</c:v>
                </c:pt>
                <c:pt idx="291">
                  <c:v>89.16666667</c:v>
                </c:pt>
                <c:pt idx="292">
                  <c:v>89.25</c:v>
                </c:pt>
                <c:pt idx="293">
                  <c:v>89.33333333</c:v>
                </c:pt>
                <c:pt idx="294">
                  <c:v>89.41666667</c:v>
                </c:pt>
                <c:pt idx="295">
                  <c:v>89.5</c:v>
                </c:pt>
                <c:pt idx="296">
                  <c:v>89.58333333</c:v>
                </c:pt>
                <c:pt idx="297">
                  <c:v>89.66666667</c:v>
                </c:pt>
                <c:pt idx="298">
                  <c:v>89.75</c:v>
                </c:pt>
                <c:pt idx="299">
                  <c:v>89.83333333</c:v>
                </c:pt>
                <c:pt idx="300">
                  <c:v>89.91666667</c:v>
                </c:pt>
                <c:pt idx="301">
                  <c:v>90</c:v>
                </c:pt>
                <c:pt idx="302">
                  <c:v>90.08333333</c:v>
                </c:pt>
                <c:pt idx="303">
                  <c:v>90.16666667</c:v>
                </c:pt>
                <c:pt idx="304">
                  <c:v>90.25</c:v>
                </c:pt>
                <c:pt idx="305">
                  <c:v>90.33333333</c:v>
                </c:pt>
                <c:pt idx="306">
                  <c:v>90.41666667</c:v>
                </c:pt>
                <c:pt idx="307">
                  <c:v>90.5</c:v>
                </c:pt>
                <c:pt idx="308">
                  <c:v>90.58333333</c:v>
                </c:pt>
                <c:pt idx="309">
                  <c:v>90.66666667</c:v>
                </c:pt>
                <c:pt idx="310">
                  <c:v>90.75</c:v>
                </c:pt>
                <c:pt idx="311">
                  <c:v>90.83333333</c:v>
                </c:pt>
                <c:pt idx="312">
                  <c:v>90.91666667</c:v>
                </c:pt>
                <c:pt idx="313">
                  <c:v>91</c:v>
                </c:pt>
                <c:pt idx="314">
                  <c:v>91.08333333</c:v>
                </c:pt>
                <c:pt idx="315">
                  <c:v>91.16666667</c:v>
                </c:pt>
                <c:pt idx="316">
                  <c:v>91.25</c:v>
                </c:pt>
                <c:pt idx="317">
                  <c:v>91.33333333</c:v>
                </c:pt>
                <c:pt idx="318">
                  <c:v>91.41666667</c:v>
                </c:pt>
                <c:pt idx="319">
                  <c:v>91.5</c:v>
                </c:pt>
                <c:pt idx="320">
                  <c:v>91.58333333</c:v>
                </c:pt>
                <c:pt idx="321">
                  <c:v>91.66666667</c:v>
                </c:pt>
                <c:pt idx="322">
                  <c:v>91.75</c:v>
                </c:pt>
                <c:pt idx="323">
                  <c:v>91.83333333</c:v>
                </c:pt>
                <c:pt idx="324">
                  <c:v>91.91666667</c:v>
                </c:pt>
                <c:pt idx="325">
                  <c:v>92</c:v>
                </c:pt>
                <c:pt idx="326">
                  <c:v>92.08333333</c:v>
                </c:pt>
                <c:pt idx="327">
                  <c:v>92.16666667</c:v>
                </c:pt>
                <c:pt idx="328">
                  <c:v>92.25</c:v>
                </c:pt>
                <c:pt idx="329">
                  <c:v>92.33333333</c:v>
                </c:pt>
                <c:pt idx="330">
                  <c:v>92.41666667</c:v>
                </c:pt>
                <c:pt idx="331">
                  <c:v>92.5</c:v>
                </c:pt>
                <c:pt idx="332">
                  <c:v>92.58333333</c:v>
                </c:pt>
                <c:pt idx="333">
                  <c:v>92.66666667</c:v>
                </c:pt>
                <c:pt idx="334">
                  <c:v>92.75</c:v>
                </c:pt>
                <c:pt idx="335">
                  <c:v>92.83333333</c:v>
                </c:pt>
                <c:pt idx="336">
                  <c:v>92.91666667</c:v>
                </c:pt>
                <c:pt idx="337">
                  <c:v>93</c:v>
                </c:pt>
                <c:pt idx="338">
                  <c:v>93.08333333</c:v>
                </c:pt>
                <c:pt idx="339">
                  <c:v>93.16666667</c:v>
                </c:pt>
                <c:pt idx="340">
                  <c:v>93.25</c:v>
                </c:pt>
                <c:pt idx="341">
                  <c:v>93.33333333</c:v>
                </c:pt>
                <c:pt idx="342">
                  <c:v>93.41666667</c:v>
                </c:pt>
                <c:pt idx="343">
                  <c:v>93.5</c:v>
                </c:pt>
                <c:pt idx="344">
                  <c:v>93.58333333</c:v>
                </c:pt>
                <c:pt idx="345">
                  <c:v>93.66666667</c:v>
                </c:pt>
                <c:pt idx="346">
                  <c:v>93.75</c:v>
                </c:pt>
                <c:pt idx="347">
                  <c:v>93.83333333</c:v>
                </c:pt>
                <c:pt idx="348">
                  <c:v>93.91666667</c:v>
                </c:pt>
                <c:pt idx="349">
                  <c:v>94</c:v>
                </c:pt>
                <c:pt idx="350">
                  <c:v>94.08333333</c:v>
                </c:pt>
                <c:pt idx="351">
                  <c:v>94.16666667</c:v>
                </c:pt>
                <c:pt idx="352">
                  <c:v>94.25</c:v>
                </c:pt>
                <c:pt idx="353">
                  <c:v>94.33333333</c:v>
                </c:pt>
                <c:pt idx="354">
                  <c:v>94.41666667</c:v>
                </c:pt>
                <c:pt idx="355">
                  <c:v>94.5</c:v>
                </c:pt>
                <c:pt idx="356">
                  <c:v>94.58333333</c:v>
                </c:pt>
                <c:pt idx="357">
                  <c:v>94.66666667</c:v>
                </c:pt>
                <c:pt idx="358">
                  <c:v>94.75</c:v>
                </c:pt>
                <c:pt idx="359">
                  <c:v>94.83333333</c:v>
                </c:pt>
                <c:pt idx="360">
                  <c:v>94.91666667</c:v>
                </c:pt>
                <c:pt idx="361">
                  <c:v>95</c:v>
                </c:pt>
                <c:pt idx="362">
                  <c:v>95.08333333</c:v>
                </c:pt>
                <c:pt idx="363">
                  <c:v>95.16666667</c:v>
                </c:pt>
                <c:pt idx="364">
                  <c:v>95.25</c:v>
                </c:pt>
                <c:pt idx="365">
                  <c:v>95.33333333</c:v>
                </c:pt>
                <c:pt idx="366">
                  <c:v>95.41666667</c:v>
                </c:pt>
                <c:pt idx="367">
                  <c:v>95.5</c:v>
                </c:pt>
                <c:pt idx="368">
                  <c:v>95.58333333</c:v>
                </c:pt>
                <c:pt idx="369">
                  <c:v>95.66666667</c:v>
                </c:pt>
                <c:pt idx="370">
                  <c:v>95.75</c:v>
                </c:pt>
                <c:pt idx="371">
                  <c:v>95.83333333</c:v>
                </c:pt>
                <c:pt idx="372">
                  <c:v>95.91666667</c:v>
                </c:pt>
                <c:pt idx="373">
                  <c:v>96</c:v>
                </c:pt>
                <c:pt idx="374">
                  <c:v>96.08333333</c:v>
                </c:pt>
                <c:pt idx="375">
                  <c:v>96.16666667</c:v>
                </c:pt>
                <c:pt idx="376">
                  <c:v>96.25</c:v>
                </c:pt>
                <c:pt idx="377">
                  <c:v>96.33333333</c:v>
                </c:pt>
                <c:pt idx="378">
                  <c:v>96.41666667</c:v>
                </c:pt>
                <c:pt idx="379">
                  <c:v>96.5</c:v>
                </c:pt>
                <c:pt idx="380">
                  <c:v>96.58333333</c:v>
                </c:pt>
                <c:pt idx="381">
                  <c:v>96.66666667</c:v>
                </c:pt>
                <c:pt idx="382">
                  <c:v>96.75</c:v>
                </c:pt>
                <c:pt idx="383">
                  <c:v>96.83333333</c:v>
                </c:pt>
                <c:pt idx="384">
                  <c:v>96.91666667</c:v>
                </c:pt>
                <c:pt idx="385">
                  <c:v>97</c:v>
                </c:pt>
                <c:pt idx="386">
                  <c:v>97.08333333</c:v>
                </c:pt>
                <c:pt idx="387">
                  <c:v>97.16666667</c:v>
                </c:pt>
                <c:pt idx="388">
                  <c:v>97.25</c:v>
                </c:pt>
                <c:pt idx="389">
                  <c:v>97.33333333</c:v>
                </c:pt>
                <c:pt idx="390">
                  <c:v>97.41666667</c:v>
                </c:pt>
                <c:pt idx="391">
                  <c:v>97.5</c:v>
                </c:pt>
                <c:pt idx="392">
                  <c:v>97.58333333</c:v>
                </c:pt>
                <c:pt idx="393">
                  <c:v>97.66666667</c:v>
                </c:pt>
                <c:pt idx="394">
                  <c:v>97.75</c:v>
                </c:pt>
                <c:pt idx="395">
                  <c:v>97.83333333</c:v>
                </c:pt>
                <c:pt idx="396">
                  <c:v>97.91666667</c:v>
                </c:pt>
                <c:pt idx="397">
                  <c:v>98</c:v>
                </c:pt>
                <c:pt idx="398">
                  <c:v>98.08333333</c:v>
                </c:pt>
                <c:pt idx="399">
                  <c:v>98.16666667</c:v>
                </c:pt>
                <c:pt idx="400">
                  <c:v>98.25</c:v>
                </c:pt>
                <c:pt idx="401">
                  <c:v>98.33333333</c:v>
                </c:pt>
                <c:pt idx="402">
                  <c:v>98.41666667</c:v>
                </c:pt>
                <c:pt idx="403">
                  <c:v>98.5</c:v>
                </c:pt>
                <c:pt idx="404">
                  <c:v>98.58333333</c:v>
                </c:pt>
                <c:pt idx="405">
                  <c:v>98.66666667</c:v>
                </c:pt>
                <c:pt idx="406">
                  <c:v>98.75</c:v>
                </c:pt>
                <c:pt idx="407">
                  <c:v>98.83333333</c:v>
                </c:pt>
                <c:pt idx="408">
                  <c:v>98.91666667</c:v>
                </c:pt>
                <c:pt idx="409">
                  <c:v>99</c:v>
                </c:pt>
                <c:pt idx="410">
                  <c:v>99.08333333</c:v>
                </c:pt>
                <c:pt idx="411">
                  <c:v>99.16666667</c:v>
                </c:pt>
                <c:pt idx="412">
                  <c:v>99.25</c:v>
                </c:pt>
                <c:pt idx="413">
                  <c:v>99.33333333</c:v>
                </c:pt>
                <c:pt idx="414">
                  <c:v>99.41666667</c:v>
                </c:pt>
                <c:pt idx="415">
                  <c:v>99.5</c:v>
                </c:pt>
                <c:pt idx="416">
                  <c:v>99.58333333</c:v>
                </c:pt>
                <c:pt idx="417">
                  <c:v>99.66666667</c:v>
                </c:pt>
                <c:pt idx="418">
                  <c:v>99.75</c:v>
                </c:pt>
                <c:pt idx="419">
                  <c:v>99.83333333</c:v>
                </c:pt>
                <c:pt idx="420">
                  <c:v>99.91666667</c:v>
                </c:pt>
                <c:pt idx="421">
                  <c:v>100</c:v>
                </c:pt>
                <c:pt idx="422">
                  <c:v>100.0833333</c:v>
                </c:pt>
                <c:pt idx="423">
                  <c:v>100.1666667</c:v>
                </c:pt>
                <c:pt idx="424">
                  <c:v>100.25</c:v>
                </c:pt>
                <c:pt idx="425">
                  <c:v>100.3333333</c:v>
                </c:pt>
                <c:pt idx="426">
                  <c:v>100.4166667</c:v>
                </c:pt>
                <c:pt idx="427">
                  <c:v>100.5</c:v>
                </c:pt>
                <c:pt idx="428">
                  <c:v>100.5833333</c:v>
                </c:pt>
                <c:pt idx="429">
                  <c:v>100.6666667</c:v>
                </c:pt>
                <c:pt idx="430">
                  <c:v>100.75</c:v>
                </c:pt>
                <c:pt idx="431">
                  <c:v>100.8333333</c:v>
                </c:pt>
                <c:pt idx="432">
                  <c:v>100.9166667</c:v>
                </c:pt>
                <c:pt idx="433">
                  <c:v>101</c:v>
                </c:pt>
                <c:pt idx="434">
                  <c:v>101.0833333</c:v>
                </c:pt>
                <c:pt idx="435">
                  <c:v>101.1666667</c:v>
                </c:pt>
                <c:pt idx="436">
                  <c:v>101.25</c:v>
                </c:pt>
                <c:pt idx="437">
                  <c:v>101.3333333</c:v>
                </c:pt>
                <c:pt idx="438">
                  <c:v>101.4166667</c:v>
                </c:pt>
                <c:pt idx="439">
                  <c:v>101.5</c:v>
                </c:pt>
                <c:pt idx="440">
                  <c:v>101.5833333</c:v>
                </c:pt>
                <c:pt idx="441">
                  <c:v>101.6666667</c:v>
                </c:pt>
                <c:pt idx="442">
                  <c:v>101.75</c:v>
                </c:pt>
                <c:pt idx="443">
                  <c:v>101.8333333</c:v>
                </c:pt>
                <c:pt idx="444">
                  <c:v>101.9166667</c:v>
                </c:pt>
                <c:pt idx="445">
                  <c:v>102</c:v>
                </c:pt>
                <c:pt idx="446">
                  <c:v>102.0833333</c:v>
                </c:pt>
                <c:pt idx="447">
                  <c:v>102.1666667</c:v>
                </c:pt>
                <c:pt idx="448">
                  <c:v>102.25</c:v>
                </c:pt>
                <c:pt idx="449">
                  <c:v>102.3333333</c:v>
                </c:pt>
                <c:pt idx="450">
                  <c:v>102.4166667</c:v>
                </c:pt>
                <c:pt idx="451">
                  <c:v>102.5</c:v>
                </c:pt>
                <c:pt idx="452">
                  <c:v>102.5833333</c:v>
                </c:pt>
                <c:pt idx="453">
                  <c:v>102.6666667</c:v>
                </c:pt>
                <c:pt idx="454">
                  <c:v>102.75</c:v>
                </c:pt>
                <c:pt idx="455">
                  <c:v>102.8333333</c:v>
                </c:pt>
                <c:pt idx="456">
                  <c:v>102.9166667</c:v>
                </c:pt>
                <c:pt idx="457">
                  <c:v>103</c:v>
                </c:pt>
                <c:pt idx="458">
                  <c:v>103.0833333</c:v>
                </c:pt>
                <c:pt idx="459">
                  <c:v>103.1666667</c:v>
                </c:pt>
                <c:pt idx="460">
                  <c:v>103.25</c:v>
                </c:pt>
                <c:pt idx="461">
                  <c:v>103.3333333</c:v>
                </c:pt>
                <c:pt idx="462">
                  <c:v>103.4166667</c:v>
                </c:pt>
                <c:pt idx="463">
                  <c:v>103.5</c:v>
                </c:pt>
                <c:pt idx="464">
                  <c:v>103.5833333</c:v>
                </c:pt>
                <c:pt idx="465">
                  <c:v>103.6666667</c:v>
                </c:pt>
                <c:pt idx="466">
                  <c:v>103.75</c:v>
                </c:pt>
                <c:pt idx="467">
                  <c:v>103.8333333</c:v>
                </c:pt>
                <c:pt idx="468">
                  <c:v>103.9166667</c:v>
                </c:pt>
                <c:pt idx="469">
                  <c:v>104</c:v>
                </c:pt>
                <c:pt idx="470">
                  <c:v>104.0833333</c:v>
                </c:pt>
                <c:pt idx="471">
                  <c:v>104.1666667</c:v>
                </c:pt>
                <c:pt idx="472">
                  <c:v>104.25</c:v>
                </c:pt>
                <c:pt idx="473">
                  <c:v>104.3333333</c:v>
                </c:pt>
                <c:pt idx="474">
                  <c:v>104.4166667</c:v>
                </c:pt>
                <c:pt idx="475">
                  <c:v>104.5</c:v>
                </c:pt>
                <c:pt idx="476">
                  <c:v>104.5833333</c:v>
                </c:pt>
                <c:pt idx="477">
                  <c:v>104.6666667</c:v>
                </c:pt>
                <c:pt idx="478">
                  <c:v>104.75</c:v>
                </c:pt>
                <c:pt idx="479">
                  <c:v>104.8333333</c:v>
                </c:pt>
                <c:pt idx="480">
                  <c:v>104.9166667</c:v>
                </c:pt>
                <c:pt idx="481">
                  <c:v>105</c:v>
                </c:pt>
                <c:pt idx="482">
                  <c:v>105.0833333</c:v>
                </c:pt>
                <c:pt idx="483">
                  <c:v>105.1666667</c:v>
                </c:pt>
                <c:pt idx="484">
                  <c:v>105.25</c:v>
                </c:pt>
                <c:pt idx="485">
                  <c:v>105.3333333</c:v>
                </c:pt>
                <c:pt idx="486">
                  <c:v>105.4166667</c:v>
                </c:pt>
                <c:pt idx="487">
                  <c:v>105.5</c:v>
                </c:pt>
                <c:pt idx="488">
                  <c:v>105.5833333</c:v>
                </c:pt>
                <c:pt idx="489">
                  <c:v>105.6666667</c:v>
                </c:pt>
                <c:pt idx="490">
                  <c:v>105.75</c:v>
                </c:pt>
                <c:pt idx="491">
                  <c:v>105.8333333</c:v>
                </c:pt>
                <c:pt idx="492">
                  <c:v>105.9166667</c:v>
                </c:pt>
                <c:pt idx="493">
                  <c:v>106</c:v>
                </c:pt>
                <c:pt idx="494">
                  <c:v>106.0833333</c:v>
                </c:pt>
                <c:pt idx="495">
                  <c:v>106.1666667</c:v>
                </c:pt>
                <c:pt idx="496">
                  <c:v>106.25</c:v>
                </c:pt>
                <c:pt idx="497">
                  <c:v>106.3333333</c:v>
                </c:pt>
                <c:pt idx="498">
                  <c:v>106.4166667</c:v>
                </c:pt>
                <c:pt idx="499">
                  <c:v>106.5</c:v>
                </c:pt>
                <c:pt idx="500">
                  <c:v>106.5833333</c:v>
                </c:pt>
                <c:pt idx="501">
                  <c:v>106.6666667</c:v>
                </c:pt>
                <c:pt idx="502">
                  <c:v>106.75</c:v>
                </c:pt>
                <c:pt idx="503">
                  <c:v>106.8333333</c:v>
                </c:pt>
                <c:pt idx="504">
                  <c:v>106.9166667</c:v>
                </c:pt>
                <c:pt idx="505">
                  <c:v>107</c:v>
                </c:pt>
                <c:pt idx="506">
                  <c:v>107.0833333</c:v>
                </c:pt>
                <c:pt idx="507">
                  <c:v>107.1666667</c:v>
                </c:pt>
                <c:pt idx="508">
                  <c:v>107.25</c:v>
                </c:pt>
                <c:pt idx="509">
                  <c:v>107.3333333</c:v>
                </c:pt>
                <c:pt idx="510">
                  <c:v>107.4166667</c:v>
                </c:pt>
                <c:pt idx="511">
                  <c:v>107.5</c:v>
                </c:pt>
                <c:pt idx="512">
                  <c:v>107.5833333</c:v>
                </c:pt>
                <c:pt idx="513">
                  <c:v>107.6666667</c:v>
                </c:pt>
                <c:pt idx="514">
                  <c:v>107.75</c:v>
                </c:pt>
                <c:pt idx="515">
                  <c:v>107.8333333</c:v>
                </c:pt>
                <c:pt idx="516">
                  <c:v>107.9166667</c:v>
                </c:pt>
                <c:pt idx="517">
                  <c:v>108</c:v>
                </c:pt>
                <c:pt idx="518">
                  <c:v>108.0833333</c:v>
                </c:pt>
                <c:pt idx="519">
                  <c:v>108.1666667</c:v>
                </c:pt>
                <c:pt idx="520">
                  <c:v>108.25</c:v>
                </c:pt>
                <c:pt idx="521">
                  <c:v>108.3333333</c:v>
                </c:pt>
                <c:pt idx="522">
                  <c:v>108.4166667</c:v>
                </c:pt>
                <c:pt idx="523">
                  <c:v>108.5</c:v>
                </c:pt>
                <c:pt idx="524">
                  <c:v>108.5833333</c:v>
                </c:pt>
                <c:pt idx="525">
                  <c:v>108.6666667</c:v>
                </c:pt>
                <c:pt idx="526">
                  <c:v>108.75</c:v>
                </c:pt>
                <c:pt idx="527">
                  <c:v>108.8333333</c:v>
                </c:pt>
                <c:pt idx="528">
                  <c:v>108.9166667</c:v>
                </c:pt>
                <c:pt idx="529">
                  <c:v>109</c:v>
                </c:pt>
                <c:pt idx="530">
                  <c:v>109.0833333</c:v>
                </c:pt>
                <c:pt idx="531">
                  <c:v>109.1666667</c:v>
                </c:pt>
                <c:pt idx="532">
                  <c:v>109.25</c:v>
                </c:pt>
                <c:pt idx="533">
                  <c:v>109.3333333</c:v>
                </c:pt>
                <c:pt idx="534">
                  <c:v>109.4166667</c:v>
                </c:pt>
                <c:pt idx="535">
                  <c:v>109.5</c:v>
                </c:pt>
                <c:pt idx="536">
                  <c:v>109.5833333</c:v>
                </c:pt>
                <c:pt idx="537">
                  <c:v>109.6666667</c:v>
                </c:pt>
                <c:pt idx="538">
                  <c:v>109.75</c:v>
                </c:pt>
                <c:pt idx="539">
                  <c:v>109.8333333</c:v>
                </c:pt>
                <c:pt idx="540">
                  <c:v>109.9166667</c:v>
                </c:pt>
                <c:pt idx="541">
                  <c:v>110</c:v>
                </c:pt>
              </c:strCache>
            </c:strRef>
          </c:cat>
          <c:val>
            <c:numRef>
              <c:f>Projection!$U$2:$U$543</c:f>
              <c:numCache>
                <c:formatCode>General</c:formatCode>
                <c:ptCount val="542"/>
                <c:pt idx="0">
                  <c:v>1268278.9752250386</c:v>
                </c:pt>
                <c:pt idx="1">
                  <c:v>0</c:v>
                </c:pt>
                <c:pt idx="2">
                  <c:v>1264777.5970735804</c:v>
                </c:pt>
                <c:pt idx="3">
                  <c:v>1261262.8101712959</c:v>
                </c:pt>
                <c:pt idx="4">
                  <c:v>1257734.5631685196</c:v>
                </c:pt>
                <c:pt idx="5">
                  <c:v>1254192.8045189385</c:v>
                </c:pt>
                <c:pt idx="6">
                  <c:v>1250637.4824788403</c:v>
                </c:pt>
                <c:pt idx="7">
                  <c:v>1247068.545106356</c:v>
                </c:pt>
                <c:pt idx="8">
                  <c:v>1243449.7657873491</c:v>
                </c:pt>
                <c:pt idx="9">
                  <c:v>1239806.9277140512</c:v>
                </c:pt>
                <c:pt idx="10">
                  <c:v>1236139.9999163959</c:v>
                </c:pt>
                <c:pt idx="11">
                  <c:v>1232448.9519048044</c:v>
                </c:pt>
                <c:pt idx="12">
                  <c:v>1228733.7536730175</c:v>
                </c:pt>
                <c:pt idx="13">
                  <c:v>1225082.5737549404</c:v>
                </c:pt>
                <c:pt idx="14">
                  <c:v>1221549.8865518172</c:v>
                </c:pt>
                <c:pt idx="15">
                  <c:v>1218013.5360468398</c:v>
                </c:pt>
                <c:pt idx="16">
                  <c:v>1214473.4485366184</c:v>
                </c:pt>
                <c:pt idx="17">
                  <c:v>1210929.5499326081</c:v>
                </c:pt>
                <c:pt idx="18">
                  <c:v>1207381.7657571044</c:v>
                </c:pt>
                <c:pt idx="19">
                  <c:v>1203830.0211392012</c:v>
                </c:pt>
                <c:pt idx="20">
                  <c:v>1200274.5820816085</c:v>
                </c:pt>
                <c:pt idx="21">
                  <c:v>1196715.0678206014</c:v>
                </c:pt>
                <c:pt idx="22">
                  <c:v>1193151.402218767</c:v>
                </c:pt>
                <c:pt idx="23">
                  <c:v>1189583.5087292742</c:v>
                </c:pt>
                <c:pt idx="24">
                  <c:v>1186011.3103916587</c:v>
                </c:pt>
                <c:pt idx="25">
                  <c:v>1182532.0011661013</c:v>
                </c:pt>
                <c:pt idx="26">
                  <c:v>1178933.4409014778</c:v>
                </c:pt>
                <c:pt idx="27">
                  <c:v>1175320.3218742562</c:v>
                </c:pt>
                <c:pt idx="28">
                  <c:v>1171692.5859398858</c:v>
                </c:pt>
                <c:pt idx="29">
                  <c:v>1168050.1747225481</c:v>
                </c:pt>
                <c:pt idx="30">
                  <c:v>1164393.029614235</c:v>
                </c:pt>
                <c:pt idx="31">
                  <c:v>1160721.0917738297</c:v>
                </c:pt>
                <c:pt idx="32">
                  <c:v>1157034.6784509509</c:v>
                </c:pt>
                <c:pt idx="33">
                  <c:v>1153333.3785319848</c:v>
                </c:pt>
                <c:pt idx="34">
                  <c:v>1149617.1324099058</c:v>
                </c:pt>
                <c:pt idx="35">
                  <c:v>1145885.8802396581</c:v>
                </c:pt>
                <c:pt idx="36">
                  <c:v>1142139.5619372062</c:v>
                </c:pt>
                <c:pt idx="37">
                  <c:v>1138484.8428983253</c:v>
                </c:pt>
                <c:pt idx="38">
                  <c:v>1134964.0285930024</c:v>
                </c:pt>
                <c:pt idx="39">
                  <c:v>1131435.6250083072</c:v>
                </c:pt>
                <c:pt idx="40">
                  <c:v>1127899.5541142253</c:v>
                </c:pt>
                <c:pt idx="41">
                  <c:v>1124355.7373993574</c:v>
                </c:pt>
                <c:pt idx="42">
                  <c:v>1120804.0958668301</c:v>
                </c:pt>
                <c:pt idx="43">
                  <c:v>1117244.550030177</c:v>
                </c:pt>
                <c:pt idx="44">
                  <c:v>1113677.7235190747</c:v>
                </c:pt>
                <c:pt idx="45">
                  <c:v>1110102.8656472026</c:v>
                </c:pt>
                <c:pt idx="46">
                  <c:v>1106519.8953729654</c:v>
                </c:pt>
                <c:pt idx="47">
                  <c:v>1102928.731147974</c:v>
                </c:pt>
                <c:pt idx="48">
                  <c:v>1099329.2909127444</c:v>
                </c:pt>
                <c:pt idx="49">
                  <c:v>1095838.4829296176</c:v>
                </c:pt>
                <c:pt idx="50">
                  <c:v>1092352.551438788</c:v>
                </c:pt>
                <c:pt idx="51">
                  <c:v>1088858.2874642776</c:v>
                </c:pt>
                <c:pt idx="52">
                  <c:v>1085355.6081524249</c:v>
                </c:pt>
                <c:pt idx="53">
                  <c:v>1081844.4301150881</c:v>
                </c:pt>
                <c:pt idx="54">
                  <c:v>1078324.6694250787</c:v>
                </c:pt>
                <c:pt idx="55">
                  <c:v>1074796.2416115566</c:v>
                </c:pt>
                <c:pt idx="56">
                  <c:v>1071260.2822235201</c:v>
                </c:pt>
                <c:pt idx="57">
                  <c:v>1067715.5308347698</c:v>
                </c:pt>
                <c:pt idx="58">
                  <c:v>1064161.9012349418</c:v>
                </c:pt>
                <c:pt idx="59">
                  <c:v>1060599.3066505452</c:v>
                </c:pt>
                <c:pt idx="60">
                  <c:v>1057027.6597401428</c:v>
                </c:pt>
                <c:pt idx="61">
                  <c:v>1053573.5546777055</c:v>
                </c:pt>
                <c:pt idx="62">
                  <c:v>1050344.0293055142</c:v>
                </c:pt>
                <c:pt idx="63">
                  <c:v>1047112.9281329474</c:v>
                </c:pt>
                <c:pt idx="64">
                  <c:v>1043880.1566479278</c:v>
                </c:pt>
                <c:pt idx="65">
                  <c:v>1040645.6198090595</c:v>
                </c:pt>
                <c:pt idx="66">
                  <c:v>1037409.2220379293</c:v>
                </c:pt>
                <c:pt idx="67">
                  <c:v>1034170.8672113331</c:v>
                </c:pt>
                <c:pt idx="68">
                  <c:v>1030933.4277036668</c:v>
                </c:pt>
                <c:pt idx="69">
                  <c:v>1027693.9310589558</c:v>
                </c:pt>
                <c:pt idx="70">
                  <c:v>1024452.279460054</c:v>
                </c:pt>
                <c:pt idx="71">
                  <c:v>1021208.3745160521</c:v>
                </c:pt>
                <c:pt idx="72">
                  <c:v>1017962.1172540996</c:v>
                </c:pt>
                <c:pt idx="73">
                  <c:v>1014851.5396856634</c:v>
                </c:pt>
                <c:pt idx="74">
                  <c:v>1011756.5388676837</c:v>
                </c:pt>
                <c:pt idx="75">
                  <c:v>1008659.3027958819</c:v>
                </c:pt>
                <c:pt idx="76">
                  <c:v>1005559.7354740239</c:v>
                </c:pt>
                <c:pt idx="77">
                  <c:v>1002457.7403107805</c:v>
                </c:pt>
                <c:pt idx="78">
                  <c:v>999353.22011136427</c:v>
                </c:pt>
                <c:pt idx="79">
                  <c:v>996246.07706907834</c:v>
                </c:pt>
                <c:pt idx="80">
                  <c:v>993140.55327136826</c:v>
                </c:pt>
                <c:pt idx="81">
                  <c:v>990032.32814766804</c:v>
                </c:pt>
                <c:pt idx="82">
                  <c:v>986921.30205787276</c:v>
                </c:pt>
                <c:pt idx="83">
                  <c:v>983807.37471907306</c:v>
                </c:pt>
                <c:pt idx="84">
                  <c:v>980690.44519663975</c:v>
                </c:pt>
                <c:pt idx="85">
                  <c:v>977721.22810087027</c:v>
                </c:pt>
                <c:pt idx="86">
                  <c:v>974577.25147549703</c:v>
                </c:pt>
                <c:pt idx="87">
                  <c:v>971425.8940381573</c:v>
                </c:pt>
                <c:pt idx="88">
                  <c:v>968267.05581126176</c:v>
                </c:pt>
                <c:pt idx="89">
                  <c:v>965100.63606699626</c:v>
                </c:pt>
                <c:pt idx="90">
                  <c:v>961926.53331943974</c:v>
                </c:pt>
                <c:pt idx="91">
                  <c:v>958744.64531659591</c:v>
                </c:pt>
                <c:pt idx="92">
                  <c:v>955559.13301893463</c:v>
                </c:pt>
                <c:pt idx="93">
                  <c:v>952365.73093655496</c:v>
                </c:pt>
                <c:pt idx="94">
                  <c:v>949164.33444842452</c:v>
                </c:pt>
                <c:pt idx="95">
                  <c:v>945954.83813478344</c:v>
                </c:pt>
                <c:pt idx="96">
                  <c:v>942737.13576872612</c:v>
                </c:pt>
                <c:pt idx="97">
                  <c:v>939671.35257994349</c:v>
                </c:pt>
                <c:pt idx="98">
                  <c:v>936602.0985502227</c:v>
                </c:pt>
                <c:pt idx="99">
                  <c:v>933524.77824860066</c:v>
                </c:pt>
                <c:pt idx="100">
                  <c:v>930439.28584489552</c:v>
                </c:pt>
                <c:pt idx="101">
                  <c:v>927345.51467129053</c:v>
                </c:pt>
                <c:pt idx="102">
                  <c:v>924243.35721341905</c:v>
                </c:pt>
                <c:pt idx="103">
                  <c:v>921132.70510135638</c:v>
                </c:pt>
                <c:pt idx="104">
                  <c:v>918018.37895547459</c:v>
                </c:pt>
                <c:pt idx="105">
                  <c:v>914895.44568335195</c:v>
                </c:pt>
                <c:pt idx="106">
                  <c:v>911763.79430670931</c:v>
                </c:pt>
                <c:pt idx="107">
                  <c:v>908623.31295464037</c:v>
                </c:pt>
                <c:pt idx="108">
                  <c:v>905473.88885407953</c:v>
                </c:pt>
                <c:pt idx="109">
                  <c:v>902486.97579287307</c:v>
                </c:pt>
                <c:pt idx="110">
                  <c:v>899496.60578213329</c:v>
                </c:pt>
                <c:pt idx="111">
                  <c:v>896497.48685242189</c:v>
                </c:pt>
                <c:pt idx="112">
                  <c:v>893489.50678803981</c:v>
                </c:pt>
                <c:pt idx="113">
                  <c:v>890472.55243782897</c:v>
                </c:pt>
                <c:pt idx="114">
                  <c:v>887446.50970505911</c:v>
                </c:pt>
                <c:pt idx="115">
                  <c:v>884411.26353720156</c:v>
                </c:pt>
                <c:pt idx="116">
                  <c:v>881372.36807714065</c:v>
                </c:pt>
                <c:pt idx="117">
                  <c:v>878324.14914019534</c:v>
                </c:pt>
                <c:pt idx="118">
                  <c:v>875266.48880102113</c:v>
                </c:pt>
                <c:pt idx="119">
                  <c:v>872199.26813628676</c:v>
                </c:pt>
                <c:pt idx="120">
                  <c:v>869122.36721383315</c:v>
                </c:pt>
                <c:pt idx="121">
                  <c:v>866218.58446020179</c:v>
                </c:pt>
                <c:pt idx="122">
                  <c:v>863253.92087103368</c:v>
                </c:pt>
                <c:pt idx="123">
                  <c:v>860278.72184531658</c:v>
                </c:pt>
                <c:pt idx="124">
                  <c:v>857292.86723017786</c:v>
                </c:pt>
                <c:pt idx="125">
                  <c:v>854296.23583038989</c:v>
                </c:pt>
                <c:pt idx="126">
                  <c:v>851288.70539742266</c:v>
                </c:pt>
                <c:pt idx="127">
                  <c:v>848270.15261838282</c:v>
                </c:pt>
                <c:pt idx="128">
                  <c:v>845246.41551317903</c:v>
                </c:pt>
                <c:pt idx="129">
                  <c:v>842211.51607069303</c:v>
                </c:pt>
                <c:pt idx="130">
                  <c:v>839165.32777004316</c:v>
                </c:pt>
                <c:pt idx="131">
                  <c:v>836107.72297924128</c:v>
                </c:pt>
                <c:pt idx="132">
                  <c:v>833038.57294345438</c:v>
                </c:pt>
                <c:pt idx="133">
                  <c:v>830152.12928504543</c:v>
                </c:pt>
                <c:pt idx="134">
                  <c:v>827260.73874101776</c:v>
                </c:pt>
                <c:pt idx="135">
                  <c:v>824358.08988351061</c:v>
                </c:pt>
                <c:pt idx="136">
                  <c:v>821444.05402756983</c:v>
                </c:pt>
                <c:pt idx="137">
                  <c:v>818518.5013186367</c:v>
                </c:pt>
                <c:pt idx="138">
                  <c:v>815581.30071995128</c:v>
                </c:pt>
                <c:pt idx="139">
                  <c:v>812632.31999982055</c:v>
                </c:pt>
                <c:pt idx="140">
                  <c:v>809678.05860359618</c:v>
                </c:pt>
                <c:pt idx="141">
                  <c:v>806711.86414354621</c:v>
                </c:pt>
                <c:pt idx="142">
                  <c:v>803733.60082441522</c:v>
                </c:pt>
                <c:pt idx="143">
                  <c:v>800743.13160218811</c:v>
                </c:pt>
                <c:pt idx="144">
                  <c:v>797740.3181705568</c:v>
                </c:pt>
                <c:pt idx="145">
                  <c:v>794934.44453649188</c:v>
                </c:pt>
                <c:pt idx="146">
                  <c:v>792123.64491260645</c:v>
                </c:pt>
                <c:pt idx="147">
                  <c:v>789300.87468979112</c:v>
                </c:pt>
                <c:pt idx="148">
                  <c:v>786465.99591731187</c:v>
                </c:pt>
                <c:pt idx="149">
                  <c:v>783618.86933036149</c:v>
                </c:pt>
                <c:pt idx="150">
                  <c:v>780759.35433550843</c:v>
                </c:pt>
                <c:pt idx="151">
                  <c:v>777887.3089959753</c:v>
                </c:pt>
                <c:pt idx="152">
                  <c:v>775009.99944932817</c:v>
                </c:pt>
                <c:pt idx="153">
                  <c:v>772119.99424353335</c:v>
                </c:pt>
                <c:pt idx="154">
                  <c:v>769217.14748140192</c:v>
                </c:pt>
                <c:pt idx="155">
                  <c:v>766301.3118602297</c:v>
                </c:pt>
                <c:pt idx="156">
                  <c:v>763372.3386561271</c:v>
                </c:pt>
                <c:pt idx="157">
                  <c:v>760652.52346698067</c:v>
                </c:pt>
                <c:pt idx="158">
                  <c:v>757927.89555349213</c:v>
                </c:pt>
                <c:pt idx="159">
                  <c:v>755190.60099758138</c:v>
                </c:pt>
                <c:pt idx="160">
                  <c:v>752440.49179086962</c:v>
                </c:pt>
                <c:pt idx="161">
                  <c:v>749677.41844688321</c:v>
                </c:pt>
                <c:pt idx="162">
                  <c:v>746901.22998416878</c:v>
                </c:pt>
                <c:pt idx="163">
                  <c:v>744111.77390921325</c:v>
                </c:pt>
                <c:pt idx="164">
                  <c:v>741317.14445822942</c:v>
                </c:pt>
                <c:pt idx="165">
                  <c:v>738509.06939511886</c:v>
                </c:pt>
                <c:pt idx="166">
                  <c:v>735687.39182275161</c:v>
                </c:pt>
                <c:pt idx="167">
                  <c:v>732851.95325994375</c:v>
                </c:pt>
                <c:pt idx="168">
                  <c:v>730002.59362323687</c:v>
                </c:pt>
                <c:pt idx="169">
                  <c:v>727380.30342982162</c:v>
                </c:pt>
                <c:pt idx="170">
                  <c:v>724753.44516621984</c:v>
                </c:pt>
                <c:pt idx="171">
                  <c:v>722113.27736569545</c:v>
                </c:pt>
                <c:pt idx="172">
                  <c:v>719459.64139404648</c:v>
                </c:pt>
                <c:pt idx="173">
                  <c:v>716792.37695433898</c:v>
                </c:pt>
                <c:pt idx="174">
                  <c:v>714111.32206725783</c:v>
                </c:pt>
                <c:pt idx="175">
                  <c:v>711416.3130512198</c:v>
                </c:pt>
                <c:pt idx="176">
                  <c:v>708716.38690210239</c:v>
                </c:pt>
                <c:pt idx="177">
                  <c:v>706002.31718260434</c:v>
                </c:pt>
                <c:pt idx="178">
                  <c:v>703273.93532552838</c:v>
                </c:pt>
                <c:pt idx="179">
                  <c:v>700531.07097794465</c:v>
                </c:pt>
                <c:pt idx="180">
                  <c:v>697773.55197992327</c:v>
                </c:pt>
                <c:pt idx="181">
                  <c:v>695260.79092747776</c:v>
                </c:pt>
                <c:pt idx="182">
                  <c:v>692743.88531147735</c:v>
                </c:pt>
                <c:pt idx="183">
                  <c:v>690213.10898771673</c:v>
                </c:pt>
                <c:pt idx="184">
                  <c:v>687668.29233239871</c:v>
                </c:pt>
                <c:pt idx="185">
                  <c:v>685109.26385336078</c:v>
                </c:pt>
                <c:pt idx="186">
                  <c:v>682535.85016716248</c:v>
                </c:pt>
                <c:pt idx="187">
                  <c:v>679947.87597588205</c:v>
                </c:pt>
                <c:pt idx="188">
                  <c:v>677355.36881614081</c:v>
                </c:pt>
                <c:pt idx="189">
                  <c:v>674748.10113111732</c:v>
                </c:pt>
                <c:pt idx="190">
                  <c:v>672125.89222181693</c:v>
                </c:pt>
                <c:pt idx="191">
                  <c:v>669488.55937805865</c:v>
                </c:pt>
                <c:pt idx="192">
                  <c:v>666835.91785361711</c:v>
                </c:pt>
                <c:pt idx="193">
                  <c:v>664448.30121494597</c:v>
                </c:pt>
                <c:pt idx="194">
                  <c:v>662057.19585029583</c:v>
                </c:pt>
                <c:pt idx="195">
                  <c:v>659651.79194212565</c:v>
                </c:pt>
                <c:pt idx="196">
                  <c:v>657231.90901681618</c:v>
                </c:pt>
                <c:pt idx="197">
                  <c:v>654797.36450835317</c:v>
                </c:pt>
                <c:pt idx="198">
                  <c:v>652347.97373161057</c:v>
                </c:pt>
                <c:pt idx="199">
                  <c:v>649883.54985527985</c:v>
                </c:pt>
                <c:pt idx="200">
                  <c:v>647415.28618409822</c:v>
                </c:pt>
                <c:pt idx="201">
                  <c:v>644931.78314153221</c:v>
                </c:pt>
                <c:pt idx="202">
                  <c:v>642432.84797588794</c:v>
                </c:pt>
                <c:pt idx="203">
                  <c:v>639918.28567766398</c:v>
                </c:pt>
                <c:pt idx="204">
                  <c:v>637387.89895048481</c:v>
                </c:pt>
                <c:pt idx="205">
                  <c:v>635144.25013798289</c:v>
                </c:pt>
                <c:pt idx="206">
                  <c:v>632898.05403089046</c:v>
                </c:pt>
                <c:pt idx="207">
                  <c:v>630637.33383908507</c:v>
                </c:pt>
                <c:pt idx="208">
                  <c:v>628361.89921006293</c:v>
                </c:pt>
                <c:pt idx="209">
                  <c:v>626071.55746404408</c:v>
                </c:pt>
                <c:pt idx="210">
                  <c:v>623766.11356293096</c:v>
                </c:pt>
                <c:pt idx="211">
                  <c:v>621445.37007883319</c:v>
                </c:pt>
                <c:pt idx="212">
                  <c:v>619121.77842807095</c:v>
                </c:pt>
                <c:pt idx="213">
                  <c:v>616782.68008743599</c:v>
                </c:pt>
                <c:pt idx="214">
                  <c:v>614427.87122758536</c:v>
                </c:pt>
                <c:pt idx="215">
                  <c:v>612057.14550167311</c:v>
                </c:pt>
                <c:pt idx="216">
                  <c:v>609670.29401148215</c:v>
                </c:pt>
                <c:pt idx="217">
                  <c:v>607597.09919109405</c:v>
                </c:pt>
                <c:pt idx="218">
                  <c:v>605522.81973974826</c:v>
                </c:pt>
                <c:pt idx="219">
                  <c:v>603434.11640336132</c:v>
                </c:pt>
                <c:pt idx="220">
                  <c:v>601330.79158991156</c:v>
                </c:pt>
                <c:pt idx="221">
                  <c:v>599212.64515374182</c:v>
                </c:pt>
                <c:pt idx="222">
                  <c:v>597079.47435984283</c:v>
                </c:pt>
                <c:pt idx="223">
                  <c:v>594931.07384761726</c:v>
                </c:pt>
                <c:pt idx="224">
                  <c:v>592781.34835136193</c:v>
                </c:pt>
                <c:pt idx="225">
                  <c:v>590616.19678271667</c:v>
                </c:pt>
                <c:pt idx="226">
                  <c:v>588435.40704450605</c:v>
                </c:pt>
                <c:pt idx="227">
                  <c:v>586238.76427059365</c:v>
                </c:pt>
                <c:pt idx="228">
                  <c:v>584026.05078681151</c:v>
                </c:pt>
                <c:pt idx="229">
                  <c:v>582155.01621203055</c:v>
                </c:pt>
                <c:pt idx="230">
                  <c:v>580284.96936450747</c:v>
                </c:pt>
                <c:pt idx="231">
                  <c:v>578401.0750849488</c:v>
                </c:pt>
                <c:pt idx="232">
                  <c:v>576503.13370572194</c:v>
                </c:pt>
                <c:pt idx="233">
                  <c:v>574590.942825053</c:v>
                </c:pt>
                <c:pt idx="234">
                  <c:v>572664.29726677726</c:v>
                </c:pt>
                <c:pt idx="235">
                  <c:v>570722.98903948208</c:v>
                </c:pt>
                <c:pt idx="236">
                  <c:v>568782.55501057883</c:v>
                </c:pt>
                <c:pt idx="237">
                  <c:v>566827.29077557044</c:v>
                </c:pt>
                <c:pt idx="238">
                  <c:v>564856.98158966727</c:v>
                </c:pt>
                <c:pt idx="239">
                  <c:v>562871.40973763634</c:v>
                </c:pt>
                <c:pt idx="240">
                  <c:v>560870.35448968306</c:v>
                </c:pt>
                <c:pt idx="241">
                  <c:v>559243.09400937322</c:v>
                </c:pt>
                <c:pt idx="242">
                  <c:v>556678.22252256563</c:v>
                </c:pt>
                <c:pt idx="243">
                  <c:v>554085.98134353023</c:v>
                </c:pt>
                <c:pt idx="244">
                  <c:v>551466.09437903645</c:v>
                </c:pt>
                <c:pt idx="245">
                  <c:v>548818.28279469698</c:v>
                </c:pt>
                <c:pt idx="246">
                  <c:v>546142.26498816977</c:v>
                </c:pt>
                <c:pt idx="247">
                  <c:v>543437.7565621041</c:v>
                </c:pt>
                <c:pt idx="248">
                  <c:v>540709.87622803391</c:v>
                </c:pt>
                <c:pt idx="249">
                  <c:v>537953.0003429451</c:v>
                </c:pt>
                <c:pt idx="250">
                  <c:v>535166.83596015908</c:v>
                </c:pt>
                <c:pt idx="251">
                  <c:v>532351.08721685281</c:v>
                </c:pt>
                <c:pt idx="252">
                  <c:v>529505.45530544745</c:v>
                </c:pt>
                <c:pt idx="253">
                  <c:v>527041.23622265225</c:v>
                </c:pt>
                <c:pt idx="254">
                  <c:v>524553.89102653496</c:v>
                </c:pt>
                <c:pt idx="255">
                  <c:v>522038.16630196181</c:v>
                </c:pt>
                <c:pt idx="256">
                  <c:v>519493.75235810631</c:v>
                </c:pt>
                <c:pt idx="257">
                  <c:v>516920.3361645313</c:v>
                </c:pt>
                <c:pt idx="258">
                  <c:v>514317.60131558904</c:v>
                </c:pt>
                <c:pt idx="259">
                  <c:v>511685.22799444868</c:v>
                </c:pt>
                <c:pt idx="260">
                  <c:v>509027.56440729601</c:v>
                </c:pt>
                <c:pt idx="261">
                  <c:v>506339.6759476767</c:v>
                </c:pt>
                <c:pt idx="262">
                  <c:v>503621.23238660686</c:v>
                </c:pt>
                <c:pt idx="263">
                  <c:v>500871.89992693503</c:v>
                </c:pt>
                <c:pt idx="264">
                  <c:v>498091.34116520424</c:v>
                </c:pt>
                <c:pt idx="265">
                  <c:v>495716.061988562</c:v>
                </c:pt>
                <c:pt idx="266">
                  <c:v>493316.00829725654</c:v>
                </c:pt>
                <c:pt idx="267">
                  <c:v>490886.54235992552</c:v>
                </c:pt>
                <c:pt idx="268">
                  <c:v>488427.3162175488</c:v>
                </c:pt>
                <c:pt idx="269">
                  <c:v>485937.9778309887</c:v>
                </c:pt>
                <c:pt idx="270">
                  <c:v>483418.17103356181</c:v>
                </c:pt>
                <c:pt idx="271">
                  <c:v>480867.53548306122</c:v>
                </c:pt>
                <c:pt idx="272">
                  <c:v>478289.73631292151</c:v>
                </c:pt>
                <c:pt idx="273">
                  <c:v>475680.43136040115</c:v>
                </c:pt>
                <c:pt idx="274">
                  <c:v>473039.2475444033</c:v>
                </c:pt>
                <c:pt idx="275">
                  <c:v>470365.80740255566</c:v>
                </c:pt>
                <c:pt idx="276">
                  <c:v>467659.72904017824</c:v>
                </c:pt>
                <c:pt idx="277">
                  <c:v>465386.6866075474</c:v>
                </c:pt>
                <c:pt idx="278">
                  <c:v>463087.31686580315</c:v>
                </c:pt>
                <c:pt idx="279">
                  <c:v>460757.53618332598</c:v>
                </c:pt>
                <c:pt idx="280">
                  <c:v>458396.95341361902</c:v>
                </c:pt>
                <c:pt idx="281">
                  <c:v>456005.1724125421</c:v>
                </c:pt>
                <c:pt idx="282">
                  <c:v>453581.79197487148</c:v>
                </c:pt>
                <c:pt idx="283">
                  <c:v>451126.4057700588</c:v>
                </c:pt>
                <c:pt idx="284">
                  <c:v>448642.104981702</c:v>
                </c:pt>
                <c:pt idx="285">
                  <c:v>446125.02103071945</c:v>
                </c:pt>
                <c:pt idx="286">
                  <c:v>443574.7319413239</c:v>
                </c:pt>
                <c:pt idx="287">
                  <c:v>440990.81033996138</c:v>
                </c:pt>
                <c:pt idx="288">
                  <c:v>438372.82338668674</c:v>
                </c:pt>
                <c:pt idx="289">
                  <c:v>436215.08554247406</c:v>
                </c:pt>
                <c:pt idx="290">
                  <c:v>434029.67073917377</c:v>
                </c:pt>
                <c:pt idx="291">
                  <c:v>431812.93060299952</c:v>
                </c:pt>
                <c:pt idx="292">
                  <c:v>429564.42592580378</c:v>
                </c:pt>
                <c:pt idx="293">
                  <c:v>427283.71137183579</c:v>
                </c:pt>
                <c:pt idx="294">
                  <c:v>424970.33539266762</c:v>
                </c:pt>
                <c:pt idx="295">
                  <c:v>422623.84014094598</c:v>
                </c:pt>
                <c:pt idx="296">
                  <c:v>420246.81696961052</c:v>
                </c:pt>
                <c:pt idx="297">
                  <c:v>417835.7862141247</c:v>
                </c:pt>
                <c:pt idx="298">
                  <c:v>415390.27077253535</c:v>
                </c:pt>
                <c:pt idx="299">
                  <c:v>412909.78688066819</c:v>
                </c:pt>
                <c:pt idx="300">
                  <c:v>410393.84401952557</c:v>
                </c:pt>
                <c:pt idx="301">
                  <c:v>408366.4960897952</c:v>
                </c:pt>
                <c:pt idx="302">
                  <c:v>406310.34257345885</c:v>
                </c:pt>
                <c:pt idx="303">
                  <c:v>404222.1214662327</c:v>
                </c:pt>
                <c:pt idx="304">
                  <c:v>402101.34133071534</c:v>
                </c:pt>
                <c:pt idx="305">
                  <c:v>399947.50322601426</c:v>
                </c:pt>
                <c:pt idx="306">
                  <c:v>397760.10059359547</c:v>
                </c:pt>
                <c:pt idx="307">
                  <c:v>395538.61914140347</c:v>
                </c:pt>
                <c:pt idx="308">
                  <c:v>393285.22544193186</c:v>
                </c:pt>
                <c:pt idx="309">
                  <c:v>390996.74424061854</c:v>
                </c:pt>
                <c:pt idx="310">
                  <c:v>388672.6375584121</c:v>
                </c:pt>
                <c:pt idx="311">
                  <c:v>386312.35919638461</c:v>
                </c:pt>
                <c:pt idx="312">
                  <c:v>383915.35461057269</c:v>
                </c:pt>
                <c:pt idx="313">
                  <c:v>382024.1022160633</c:v>
                </c:pt>
                <c:pt idx="314">
                  <c:v>380103.17485239223</c:v>
                </c:pt>
                <c:pt idx="315">
                  <c:v>378149.59652612294</c:v>
                </c:pt>
                <c:pt idx="316">
                  <c:v>376162.81994008721</c:v>
                </c:pt>
                <c:pt idx="317">
                  <c:v>374142.28864857188</c:v>
                </c:pt>
                <c:pt idx="318">
                  <c:v>372087.43690480845</c:v>
                </c:pt>
                <c:pt idx="319">
                  <c:v>369997.68950592796</c:v>
                </c:pt>
                <c:pt idx="320">
                  <c:v>367874.79531859007</c:v>
                </c:pt>
                <c:pt idx="321">
                  <c:v>365715.86653719185</c:v>
                </c:pt>
                <c:pt idx="322">
                  <c:v>363520.29891449359</c:v>
                </c:pt>
                <c:pt idx="323">
                  <c:v>361287.47809724155</c:v>
                </c:pt>
                <c:pt idx="324">
                  <c:v>359016.77945757774</c:v>
                </c:pt>
                <c:pt idx="325">
                  <c:v>357261.59447002155</c:v>
                </c:pt>
                <c:pt idx="326">
                  <c:v>355476.07711472828</c:v>
                </c:pt>
                <c:pt idx="327">
                  <c:v>353657.47380862298</c:v>
                </c:pt>
                <c:pt idx="328">
                  <c:v>351805.17826320487</c:v>
                </c:pt>
                <c:pt idx="329">
                  <c:v>349918.57310283894</c:v>
                </c:pt>
                <c:pt idx="330">
                  <c:v>347997.02966241946</c:v>
                </c:pt>
                <c:pt idx="331">
                  <c:v>346039.90778134827</c:v>
                </c:pt>
                <c:pt idx="332">
                  <c:v>344048.59690499364</c:v>
                </c:pt>
                <c:pt idx="333">
                  <c:v>342020.42999853275</c:v>
                </c:pt>
                <c:pt idx="334">
                  <c:v>339954.73147622473</c:v>
                </c:pt>
                <c:pt idx="335">
                  <c:v>337850.81339263736</c:v>
                </c:pt>
                <c:pt idx="336">
                  <c:v>335707.97521696478</c:v>
                </c:pt>
                <c:pt idx="337">
                  <c:v>334087.30990883528</c:v>
                </c:pt>
                <c:pt idx="338">
                  <c:v>332435.85320001515</c:v>
                </c:pt>
                <c:pt idx="339">
                  <c:v>330751.04503611906</c:v>
                </c:pt>
                <c:pt idx="340">
                  <c:v>329032.2178873595</c:v>
                </c:pt>
                <c:pt idx="341">
                  <c:v>327278.69088395499</c:v>
                </c:pt>
                <c:pt idx="342">
                  <c:v>325489.76954994746</c:v>
                </c:pt>
                <c:pt idx="343">
                  <c:v>323664.74553172087</c:v>
                </c:pt>
                <c:pt idx="344">
                  <c:v>321804.72083378874</c:v>
                </c:pt>
                <c:pt idx="345">
                  <c:v>319907.17070957005</c:v>
                </c:pt>
                <c:pt idx="346">
                  <c:v>317971.34388730687</c:v>
                </c:pt>
                <c:pt idx="347">
                  <c:v>315996.47407639655</c:v>
                </c:pt>
                <c:pt idx="348">
                  <c:v>313981.77966757969</c:v>
                </c:pt>
                <c:pt idx="349">
                  <c:v>312494.09117955324</c:v>
                </c:pt>
                <c:pt idx="350">
                  <c:v>310975.39052963065</c:v>
                </c:pt>
                <c:pt idx="351">
                  <c:v>309423.28411689587</c:v>
                </c:pt>
                <c:pt idx="352">
                  <c:v>307837.04243458383</c:v>
                </c:pt>
                <c:pt idx="353">
                  <c:v>306215.92006357253</c:v>
                </c:pt>
                <c:pt idx="354">
                  <c:v>304559.15532569366</c:v>
                </c:pt>
                <c:pt idx="355">
                  <c:v>302865.96992949635</c:v>
                </c:pt>
                <c:pt idx="356">
                  <c:v>301137.17088817502</c:v>
                </c:pt>
                <c:pt idx="357">
                  <c:v>299370.37820221449</c:v>
                </c:pt>
                <c:pt idx="358">
                  <c:v>297564.76199249947</c:v>
                </c:pt>
                <c:pt idx="359">
                  <c:v>295719.47427296406</c:v>
                </c:pt>
                <c:pt idx="360">
                  <c:v>293833.64855594723</c:v>
                </c:pt>
                <c:pt idx="361">
                  <c:v>292481.83627260401</c:v>
                </c:pt>
                <c:pt idx="362">
                  <c:v>291124.23410927469</c:v>
                </c:pt>
                <c:pt idx="363">
                  <c:v>289734.13691000617</c:v>
                </c:pt>
                <c:pt idx="364">
                  <c:v>288310.7668862904</c:v>
                </c:pt>
                <c:pt idx="365">
                  <c:v>286853.32763277768</c:v>
                </c:pt>
                <c:pt idx="366">
                  <c:v>285361.00368166954</c:v>
                </c:pt>
                <c:pt idx="367">
                  <c:v>283832.96004644892</c:v>
                </c:pt>
                <c:pt idx="368">
                  <c:v>282268.34175468725</c:v>
                </c:pt>
                <c:pt idx="369">
                  <c:v>280666.27336966898</c:v>
                </c:pt>
                <c:pt idx="370">
                  <c:v>279025.85850056674</c:v>
                </c:pt>
                <c:pt idx="371">
                  <c:v>277346.17930089193</c:v>
                </c:pt>
                <c:pt idx="372">
                  <c:v>275626.29595494055</c:v>
                </c:pt>
                <c:pt idx="373">
                  <c:v>274402.31442133279</c:v>
                </c:pt>
                <c:pt idx="374">
                  <c:v>273146.65116872621</c:v>
                </c:pt>
                <c:pt idx="375">
                  <c:v>271858.48614282167</c:v>
                </c:pt>
                <c:pt idx="376">
                  <c:v>270536.97806291323</c:v>
                </c:pt>
                <c:pt idx="377">
                  <c:v>269181.26387246093</c:v>
                </c:pt>
                <c:pt idx="378">
                  <c:v>267790.45817544154</c:v>
                </c:pt>
                <c:pt idx="379">
                  <c:v>266363.65265811025</c:v>
                </c:pt>
                <c:pt idx="380">
                  <c:v>264899.91549579514</c:v>
                </c:pt>
                <c:pt idx="381">
                  <c:v>263398.29074433655</c:v>
                </c:pt>
                <c:pt idx="382">
                  <c:v>261857.79771577485</c:v>
                </c:pt>
                <c:pt idx="383">
                  <c:v>260277.43033787815</c:v>
                </c:pt>
                <c:pt idx="384">
                  <c:v>258656.15649709266</c:v>
                </c:pt>
                <c:pt idx="385">
                  <c:v>257531.87463274764</c:v>
                </c:pt>
                <c:pt idx="386">
                  <c:v>256376.14904410689</c:v>
                </c:pt>
                <c:pt idx="387">
                  <c:v>255188.10031842772</c:v>
                </c:pt>
                <c:pt idx="388">
                  <c:v>253966.82444770171</c:v>
                </c:pt>
                <c:pt idx="389">
                  <c:v>252711.39214077746</c:v>
                </c:pt>
                <c:pt idx="390">
                  <c:v>251420.84811624655</c:v>
                </c:pt>
                <c:pt idx="391">
                  <c:v>250094.21037555262</c:v>
                </c:pt>
                <c:pt idx="392">
                  <c:v>248730.46945577001</c:v>
                </c:pt>
                <c:pt idx="393">
                  <c:v>247328.58766148557</c:v>
                </c:pt>
                <c:pt idx="394">
                  <c:v>245887.49827519702</c:v>
                </c:pt>
                <c:pt idx="395">
                  <c:v>244406.10474562808</c:v>
                </c:pt>
                <c:pt idx="396">
                  <c:v>242883.27985334239</c:v>
                </c:pt>
                <c:pt idx="397">
                  <c:v>241851.8605282504</c:v>
                </c:pt>
                <c:pt idx="398">
                  <c:v>240789.32699593107</c:v>
                </c:pt>
                <c:pt idx="399">
                  <c:v>239694.74065278462</c:v>
                </c:pt>
                <c:pt idx="400">
                  <c:v>238567.13458092063</c:v>
                </c:pt>
                <c:pt idx="401">
                  <c:v>237405.51269401688</c:v>
                </c:pt>
                <c:pt idx="402">
                  <c:v>236208.8488574138</c:v>
                </c:pt>
                <c:pt idx="403">
                  <c:v>234976.08598166381</c:v>
                </c:pt>
                <c:pt idx="404">
                  <c:v>233706.13508873683</c:v>
                </c:pt>
                <c:pt idx="405">
                  <c:v>232397.87435005693</c:v>
                </c:pt>
                <c:pt idx="406">
                  <c:v>231050.14809551928</c:v>
                </c:pt>
                <c:pt idx="407">
                  <c:v>229661.76579261286</c:v>
                </c:pt>
                <c:pt idx="408">
                  <c:v>228231.50099474785</c:v>
                </c:pt>
                <c:pt idx="409">
                  <c:v>227288.32558148974</c:v>
                </c:pt>
                <c:pt idx="410">
                  <c:v>226314.50674431704</c:v>
                </c:pt>
                <c:pt idx="411">
                  <c:v>225309.04888960414</c:v>
                </c:pt>
                <c:pt idx="412">
                  <c:v>224270.92407725321</c:v>
                </c:pt>
                <c:pt idx="413">
                  <c:v>223199.07096976874</c:v>
                </c:pt>
                <c:pt idx="414">
                  <c:v>222092.39374718841</c:v>
                </c:pt>
                <c:pt idx="415">
                  <c:v>220949.76098676072</c:v>
                </c:pt>
                <c:pt idx="416">
                  <c:v>219770.00450622305</c:v>
                </c:pt>
                <c:pt idx="417">
                  <c:v>218551.9181694985</c:v>
                </c:pt>
                <c:pt idx="418">
                  <c:v>217294.256653591</c:v>
                </c:pt>
                <c:pt idx="419">
                  <c:v>215995.73417541565</c:v>
                </c:pt>
                <c:pt idx="420">
                  <c:v>214655.02317726618</c:v>
                </c:pt>
                <c:pt idx="421">
                  <c:v>213792.44407792343</c:v>
                </c:pt>
                <c:pt idx="422">
                  <c:v>212899.74371311784</c:v>
                </c:pt>
                <c:pt idx="423">
                  <c:v>211975.87024814368</c:v>
                </c:pt>
                <c:pt idx="424">
                  <c:v>211019.73511822344</c:v>
                </c:pt>
                <c:pt idx="425">
                  <c:v>210030.21174589332</c:v>
                </c:pt>
                <c:pt idx="426">
                  <c:v>209006.13421359987</c:v>
                </c:pt>
                <c:pt idx="427">
                  <c:v>207946.29588994448</c:v>
                </c:pt>
                <c:pt idx="428">
                  <c:v>206849.44800795548</c:v>
                </c:pt>
                <c:pt idx="429">
                  <c:v>205714.29819371371</c:v>
                </c:pt>
                <c:pt idx="430">
                  <c:v>204539.50894359761</c:v>
                </c:pt>
                <c:pt idx="431">
                  <c:v>203323.69604835435</c:v>
                </c:pt>
                <c:pt idx="432">
                  <c:v>202065.42696213842</c:v>
                </c:pt>
                <c:pt idx="433">
                  <c:v>201277.43974050612</c:v>
                </c:pt>
                <c:pt idx="434">
                  <c:v>200459.93071453046</c:v>
                </c:pt>
                <c:pt idx="435">
                  <c:v>199611.793854941</c:v>
                </c:pt>
                <c:pt idx="436">
                  <c:v>198731.88169527319</c:v>
                </c:pt>
                <c:pt idx="437">
                  <c:v>197819.00377943067</c:v>
                </c:pt>
                <c:pt idx="438">
                  <c:v>196871.92505108623</c:v>
                </c:pt>
                <c:pt idx="439">
                  <c:v>195889.36418274193</c:v>
                </c:pt>
                <c:pt idx="440">
                  <c:v>194869.99184218774</c:v>
                </c:pt>
                <c:pt idx="441">
                  <c:v>193812.42889401349</c:v>
                </c:pt>
                <c:pt idx="442">
                  <c:v>192715.24453374042</c:v>
                </c:pt>
                <c:pt idx="443">
                  <c:v>191576.95435204872</c:v>
                </c:pt>
                <c:pt idx="444">
                  <c:v>190396.01832648093</c:v>
                </c:pt>
                <c:pt idx="445">
                  <c:v>189667.73865397583</c:v>
                </c:pt>
                <c:pt idx="446">
                  <c:v>188910.27342900925</c:v>
                </c:pt>
                <c:pt idx="447">
                  <c:v>188122.45305080191</c:v>
                </c:pt>
                <c:pt idx="448">
                  <c:v>187303.06104723376</c:v>
                </c:pt>
                <c:pt idx="449">
                  <c:v>186450.83219649084</c:v>
                </c:pt>
                <c:pt idx="450">
                  <c:v>185564.45057343866</c:v>
                </c:pt>
                <c:pt idx="451">
                  <c:v>184642.54751770478</c:v>
                </c:pt>
                <c:pt idx="452">
                  <c:v>183683.69952033216</c:v>
                </c:pt>
                <c:pt idx="453">
                  <c:v>182686.42602574138</c:v>
                </c:pt>
                <c:pt idx="454">
                  <c:v>181649.18714560772</c:v>
                </c:pt>
                <c:pt idx="455">
                  <c:v>180570.38128112178</c:v>
                </c:pt>
                <c:pt idx="456">
                  <c:v>179448.34264996351</c:v>
                </c:pt>
                <c:pt idx="457">
                  <c:v>178759.73317016367</c:v>
                </c:pt>
                <c:pt idx="458">
                  <c:v>178041.69213098011</c:v>
                </c:pt>
                <c:pt idx="459">
                  <c:v>177292.96161088685</c:v>
                </c:pt>
                <c:pt idx="460">
                  <c:v>176512.22992407874</c:v>
                </c:pt>
                <c:pt idx="461">
                  <c:v>175698.12932255637</c:v>
                </c:pt>
                <c:pt idx="462">
                  <c:v>174849.23359999538</c:v>
                </c:pt>
                <c:pt idx="463">
                  <c:v>173964.05559320527</c:v>
                </c:pt>
                <c:pt idx="464">
                  <c:v>173041.04457679772</c:v>
                </c:pt>
                <c:pt idx="465">
                  <c:v>172078.58354650269</c:v>
                </c:pt>
                <c:pt idx="466">
                  <c:v>171074.98638637154</c:v>
                </c:pt>
                <c:pt idx="467">
                  <c:v>170028.49491490409</c:v>
                </c:pt>
                <c:pt idx="468">
                  <c:v>168937.27580492679</c:v>
                </c:pt>
                <c:pt idx="469">
                  <c:v>168250.7438300607</c:v>
                </c:pt>
                <c:pt idx="470">
                  <c:v>167533.03497660274</c:v>
                </c:pt>
                <c:pt idx="471">
                  <c:v>166782.73343612105</c:v>
                </c:pt>
                <c:pt idx="472">
                  <c:v>165998.35910530889</c:v>
                </c:pt>
                <c:pt idx="473">
                  <c:v>165178.36466621686</c:v>
                </c:pt>
                <c:pt idx="474">
                  <c:v>164321.13253389354</c:v>
                </c:pt>
                <c:pt idx="475">
                  <c:v>163424.97166541082</c:v>
                </c:pt>
                <c:pt idx="476">
                  <c:v>162488.11422398136</c:v>
                </c:pt>
                <c:pt idx="477">
                  <c:v>161508.71209158524</c:v>
                </c:pt>
                <c:pt idx="478">
                  <c:v>160484.8332232291</c:v>
                </c:pt>
                <c:pt idx="479">
                  <c:v>159414.45783564268</c:v>
                </c:pt>
                <c:pt idx="480">
                  <c:v>158295.47442289762</c:v>
                </c:pt>
                <c:pt idx="481">
                  <c:v>157551.93286195904</c:v>
                </c:pt>
                <c:pt idx="482">
                  <c:v>156772.6232907137</c:v>
                </c:pt>
                <c:pt idx="483">
                  <c:v>155955.82509174282</c:v>
                </c:pt>
                <c:pt idx="484">
                  <c:v>155099.73487745749</c:v>
                </c:pt>
                <c:pt idx="485">
                  <c:v>154202.46250844595</c:v>
                </c:pt>
                <c:pt idx="486">
                  <c:v>153262.02692028307</c:v>
                </c:pt>
                <c:pt idx="487">
                  <c:v>152276.35174959083</c:v>
                </c:pt>
                <c:pt idx="488">
                  <c:v>151243.26074968794</c:v>
                </c:pt>
                <c:pt idx="489">
                  <c:v>150160.4729857122</c:v>
                </c:pt>
                <c:pt idx="490">
                  <c:v>149025.59779860309</c:v>
                </c:pt>
                <c:pt idx="491">
                  <c:v>147836.12952682746</c:v>
                </c:pt>
                <c:pt idx="492">
                  <c:v>146589.44197419455</c:v>
                </c:pt>
                <c:pt idx="493">
                  <c:v>145672.67536980339</c:v>
                </c:pt>
                <c:pt idx="494">
                  <c:v>144709.36939825481</c:v>
                </c:pt>
                <c:pt idx="495">
                  <c:v>143697.16150327207</c:v>
                </c:pt>
                <c:pt idx="496">
                  <c:v>142633.56919415537</c:v>
                </c:pt>
                <c:pt idx="497">
                  <c:v>141515.98395734833</c:v>
                </c:pt>
                <c:pt idx="498">
                  <c:v>140341.66485892769</c:v>
                </c:pt>
                <c:pt idx="499">
                  <c:v>139107.73182232512</c:v>
                </c:pt>
                <c:pt idx="500">
                  <c:v>137811.15856479493</c:v>
                </c:pt>
                <c:pt idx="501">
                  <c:v>136448.76517530336</c:v>
                </c:pt>
                <c:pt idx="502">
                  <c:v>135017.21031563752</c:v>
                </c:pt>
                <c:pt idx="503">
                  <c:v>133512.98302560515</c:v>
                </c:pt>
                <c:pt idx="504">
                  <c:v>131932.39411222853</c:v>
                </c:pt>
                <c:pt idx="505">
                  <c:v>130616.07584834268</c:v>
                </c:pt>
                <c:pt idx="506">
                  <c:v>129229.49786459919</c:v>
                </c:pt>
                <c:pt idx="507">
                  <c:v>127768.90998266356</c:v>
                </c:pt>
                <c:pt idx="508">
                  <c:v>126230.36185492139</c:v>
                </c:pt>
                <c:pt idx="509">
                  <c:v>124609.69228025526</c:v>
                </c:pt>
                <c:pt idx="510">
                  <c:v>122902.51794954203</c:v>
                </c:pt>
                <c:pt idx="511">
                  <c:v>121104.22159042969</c:v>
                </c:pt>
                <c:pt idx="512">
                  <c:v>119209.93947933114</c:v>
                </c:pt>
                <c:pt idx="513">
                  <c:v>117214.54828685868</c:v>
                </c:pt>
                <c:pt idx="514">
                  <c:v>115112.65122112154</c:v>
                </c:pt>
                <c:pt idx="515">
                  <c:v>112898.56343140829</c:v>
                </c:pt>
                <c:pt idx="516">
                  <c:v>110566.296632778</c:v>
                </c:pt>
                <c:pt idx="517">
                  <c:v>108390.01636629349</c:v>
                </c:pt>
                <c:pt idx="518">
                  <c:v>106092.05453403828</c:v>
                </c:pt>
                <c:pt idx="519">
                  <c:v>103665.60759895128</c:v>
                </c:pt>
                <c:pt idx="520">
                  <c:v>101103.49162028203</c:v>
                </c:pt>
                <c:pt idx="521">
                  <c:v>98398.120984217821</c:v>
                </c:pt>
                <c:pt idx="522">
                  <c:v>95541.485945284192</c:v>
                </c:pt>
                <c:pt idx="523">
                  <c:v>92525.128912025626</c:v>
                </c:pt>
                <c:pt idx="524">
                  <c:v>89340.119406756552</c:v>
                </c:pt>
                <c:pt idx="525">
                  <c:v>85977.02762524561</c:v>
                </c:pt>
                <c:pt idx="526">
                  <c:v>82425.896518052745</c:v>
                </c:pt>
                <c:pt idx="527">
                  <c:v>78676.212310859439</c:v>
                </c:pt>
                <c:pt idx="528">
                  <c:v>74716.873376513773</c:v>
                </c:pt>
                <c:pt idx="529">
                  <c:v>70715.995985062167</c:v>
                </c:pt>
                <c:pt idx="530">
                  <c:v>66481.789143724862</c:v>
                </c:pt>
                <c:pt idx="531">
                  <c:v>62000.645179269894</c:v>
                </c:pt>
                <c:pt idx="532">
                  <c:v>57258.162824811057</c:v>
                </c:pt>
                <c:pt idx="533">
                  <c:v>52239.100937767027</c:v>
                </c:pt>
                <c:pt idx="534">
                  <c:v>46927.329518671708</c:v>
                </c:pt>
                <c:pt idx="535">
                  <c:v>41305.77787342298</c:v>
                </c:pt>
                <c:pt idx="536">
                  <c:v>35356.379752375578</c:v>
                </c:pt>
                <c:pt idx="537">
                  <c:v>29060.01528996991</c:v>
                </c:pt>
                <c:pt idx="538">
                  <c:v>22396.449558304674</c:v>
                </c:pt>
                <c:pt idx="539">
                  <c:v>15344.267537180367</c:v>
                </c:pt>
                <c:pt idx="540">
                  <c:v>7880.8052916236547</c:v>
                </c:pt>
                <c:pt idx="54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D5D-4F49-9C59-159E0F3A44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Attained Age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Reserve ($)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19</xdr:row>
      <xdr:rowOff>0</xdr:rowOff>
    </xdr:from>
    <xdr:ext cx="3240000" cy="21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0</xdr:colOff>
      <xdr:row>19</xdr:row>
      <xdr:rowOff>0</xdr:rowOff>
    </xdr:from>
    <xdr:ext cx="3240000" cy="216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35</xdr:row>
      <xdr:rowOff>0</xdr:rowOff>
    </xdr:from>
    <xdr:ext cx="6480000" cy="216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fb t="s">import pandas as pd; pd.read_csv('treasury_zero_rate_curve_latest.csv').head()</fb>
    <v>&lt;class 'str'&gt;</v>
    <v>str</v>
    <v>import pandas as pd; pd.read_csv('treasury_zero_rate_curve_latest.csv').head()</v>
    <v>import pandas as pd; pd.read_csv('treasury_zero_rate_curve_latest.csv').head()</v>
    <v>0</v>
  </rv>
  <rv s="0">
    <fb t="s">from spia_projection import _example_usage; _example_usage()</fb>
    <v>&lt;class 'str'&gt;</v>
    <v>str</v>
    <v>from spia_projection import _example_usage; _example_usage()</v>
    <v>from spia_projection import _example_usage; _example_usage()</v>
    <v>0</v>
  </rv>
</rvData>
</file>

<file path=xl/richData/rdrichvaluestructure.xml><?xml version="1.0" encoding="utf-8"?>
<rvStructures xmlns="http://schemas.microsoft.com/office/spreadsheetml/2017/richdata" count="1">
  <s t="_python">
    <k n="Python_type" t="s"/>
    <k n="Python_typeName" t="s"/>
    <k n="Python_str" t="s"/>
    <k n="basicValue" t="s"/>
    <k n="_Provider" t="spb"/>
  </s>
</rvStructures>
</file>

<file path=xl/richData/rdsupportingpropertybag.xml><?xml version="1.0" encoding="utf-8"?>
<supportingPropertyBags xmlns="http://schemas.microsoft.com/office/spreadsheetml/2017/richdata2">
  <spbData count="1">
    <spb s="0">
      <v>https://www.anaconda.com/excel</v>
      <v>https://res.cdn.office.net/officepysvc/prod-service/anacondalogo.png</v>
      <v>Python provided by Anaconda</v>
    </spb>
  </spbData>
</supportingPropertyBags>
</file>

<file path=xl/richData/rdsupportingpropertybagstructure.xml><?xml version="1.0" encoding="utf-8"?>
<spbStructures xmlns="http://schemas.microsoft.com/office/spreadsheetml/2017/richdata2" count="1">
  <s>
    <k n="link" t="s"/>
    <k n="logo" t="s"/>
    <k n="name" t="s"/>
  </s>
</spb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workbookViewId="0"/>
  </sheetViews>
  <sheetFormatPr defaultRowHeight="14.5" x14ac:dyDescent="0.35"/>
  <sheetData>
    <row r="1" spans="1:4" ht="15.5" x14ac:dyDescent="0.35">
      <c r="A1" s="1" t="s">
        <v>0</v>
      </c>
    </row>
    <row r="3" spans="1:4" x14ac:dyDescent="0.35">
      <c r="A3" t="s">
        <v>1</v>
      </c>
      <c r="B3">
        <v>65</v>
      </c>
      <c r="D3" t="s">
        <v>2</v>
      </c>
    </row>
    <row r="4" spans="1:4" x14ac:dyDescent="0.35">
      <c r="A4" t="s">
        <v>3</v>
      </c>
      <c r="B4" t="s">
        <v>4</v>
      </c>
      <c r="D4" t="s">
        <v>5</v>
      </c>
    </row>
    <row r="5" spans="1:4" x14ac:dyDescent="0.35">
      <c r="A5" t="s">
        <v>6</v>
      </c>
      <c r="B5">
        <v>100000</v>
      </c>
      <c r="D5" t="s">
        <v>7</v>
      </c>
    </row>
    <row r="6" spans="1:4" x14ac:dyDescent="0.35">
      <c r="A6" t="s">
        <v>8</v>
      </c>
      <c r="B6">
        <v>12</v>
      </c>
      <c r="D6" t="s">
        <v>9</v>
      </c>
    </row>
    <row r="7" spans="1:4" x14ac:dyDescent="0.35">
      <c r="A7" t="s">
        <v>10</v>
      </c>
      <c r="B7">
        <v>2025</v>
      </c>
    </row>
    <row r="8" spans="1:4" x14ac:dyDescent="0.35">
      <c r="A8" t="s">
        <v>11</v>
      </c>
      <c r="B8">
        <v>110</v>
      </c>
    </row>
    <row r="9" spans="1:4" x14ac:dyDescent="0.35">
      <c r="A9" t="s">
        <v>12</v>
      </c>
      <c r="B9">
        <v>0</v>
      </c>
    </row>
    <row r="10" spans="1:4" x14ac:dyDescent="0.35">
      <c r="A10" t="s">
        <v>13</v>
      </c>
      <c r="B10">
        <v>250</v>
      </c>
    </row>
    <row r="11" spans="1:4" x14ac:dyDescent="0.35">
      <c r="A11" t="s">
        <v>14</v>
      </c>
      <c r="B11">
        <v>0.01</v>
      </c>
    </row>
    <row r="12" spans="1:4" x14ac:dyDescent="0.35">
      <c r="A12" t="s">
        <v>15</v>
      </c>
      <c r="B12">
        <v>25</v>
      </c>
    </row>
    <row r="15" spans="1:4" x14ac:dyDescent="0.35">
      <c r="A15" s="2" t="s">
        <v>16</v>
      </c>
    </row>
    <row r="16" spans="1:4" x14ac:dyDescent="0.35">
      <c r="A16" t="s">
        <v>17</v>
      </c>
      <c r="B16">
        <f>B5/B6</f>
        <v>8333.3333333333339</v>
      </c>
    </row>
    <row r="17" spans="1:2" x14ac:dyDescent="0.35">
      <c r="A17" t="s">
        <v>18</v>
      </c>
      <c r="B17">
        <f>(B8-B3)*B6</f>
        <v>540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3"/>
  <sheetViews>
    <sheetView workbookViewId="0"/>
  </sheetViews>
  <sheetFormatPr defaultRowHeight="14.5" x14ac:dyDescent="0.35"/>
  <sheetData>
    <row r="1" spans="1:2" ht="15.5" x14ac:dyDescent="0.35">
      <c r="A1" s="1" t="s">
        <v>19</v>
      </c>
    </row>
    <row r="3" spans="1:2" x14ac:dyDescent="0.35">
      <c r="A3" s="2" t="s">
        <v>20</v>
      </c>
      <c r="B3" s="2" t="s">
        <v>21</v>
      </c>
    </row>
    <row r="4" spans="1:2" x14ac:dyDescent="0.35">
      <c r="A4">
        <v>0.5</v>
      </c>
      <c r="B4">
        <v>3.7250930000000002E-2</v>
      </c>
    </row>
    <row r="5" spans="1:2" x14ac:dyDescent="0.35">
      <c r="A5">
        <v>1</v>
      </c>
      <c r="B5">
        <v>3.6953699999999999E-2</v>
      </c>
    </row>
    <row r="6" spans="1:2" x14ac:dyDescent="0.35">
      <c r="A6">
        <v>1.5</v>
      </c>
      <c r="B6">
        <v>3.725465E-2</v>
      </c>
    </row>
    <row r="7" spans="1:2" x14ac:dyDescent="0.35">
      <c r="A7">
        <v>2</v>
      </c>
      <c r="B7">
        <v>3.755667E-2</v>
      </c>
    </row>
    <row r="8" spans="1:2" x14ac:dyDescent="0.35">
      <c r="A8">
        <v>2.5</v>
      </c>
      <c r="B8">
        <v>3.7554410000000003E-2</v>
      </c>
    </row>
    <row r="9" spans="1:2" x14ac:dyDescent="0.35">
      <c r="A9">
        <v>3</v>
      </c>
      <c r="B9">
        <v>3.75529E-2</v>
      </c>
    </row>
    <row r="10" spans="1:2" x14ac:dyDescent="0.35">
      <c r="A10">
        <v>3.5</v>
      </c>
      <c r="B10">
        <v>3.778571E-2</v>
      </c>
    </row>
    <row r="11" spans="1:2" x14ac:dyDescent="0.35">
      <c r="A11">
        <v>4</v>
      </c>
      <c r="B11">
        <v>3.8019570000000003E-2</v>
      </c>
    </row>
    <row r="12" spans="1:2" x14ac:dyDescent="0.35">
      <c r="A12">
        <v>4.5</v>
      </c>
      <c r="B12">
        <v>3.8254719999999999E-2</v>
      </c>
    </row>
    <row r="13" spans="1:2" x14ac:dyDescent="0.35">
      <c r="A13">
        <v>5</v>
      </c>
      <c r="B13">
        <v>3.8491350000000001E-2</v>
      </c>
    </row>
    <row r="14" spans="1:2" x14ac:dyDescent="0.35">
      <c r="A14">
        <v>5.5</v>
      </c>
      <c r="B14">
        <v>3.8973830000000001E-2</v>
      </c>
    </row>
    <row r="15" spans="1:2" x14ac:dyDescent="0.35">
      <c r="A15">
        <v>6</v>
      </c>
      <c r="B15">
        <v>3.9459380000000002E-2</v>
      </c>
    </row>
    <row r="16" spans="1:2" x14ac:dyDescent="0.35">
      <c r="A16">
        <v>6.5</v>
      </c>
      <c r="B16">
        <v>3.9948450000000003E-2</v>
      </c>
    </row>
    <row r="17" spans="1:2" x14ac:dyDescent="0.35">
      <c r="A17">
        <v>7</v>
      </c>
      <c r="B17">
        <v>4.044147E-2</v>
      </c>
    </row>
    <row r="18" spans="1:2" x14ac:dyDescent="0.35">
      <c r="A18">
        <v>7.5</v>
      </c>
      <c r="B18">
        <v>4.0786360000000001E-2</v>
      </c>
    </row>
    <row r="19" spans="1:2" x14ac:dyDescent="0.35">
      <c r="A19">
        <v>8</v>
      </c>
      <c r="B19">
        <v>4.1134749999999998E-2</v>
      </c>
    </row>
    <row r="20" spans="1:2" x14ac:dyDescent="0.35">
      <c r="A20">
        <v>8.5</v>
      </c>
      <c r="B20">
        <v>4.1486750000000003E-2</v>
      </c>
    </row>
    <row r="21" spans="1:2" x14ac:dyDescent="0.35">
      <c r="A21">
        <v>9</v>
      </c>
      <c r="B21">
        <v>4.184247E-2</v>
      </c>
    </row>
    <row r="22" spans="1:2" x14ac:dyDescent="0.35">
      <c r="A22">
        <v>9.5</v>
      </c>
      <c r="B22">
        <v>4.2202040000000003E-2</v>
      </c>
    </row>
    <row r="23" spans="1:2" x14ac:dyDescent="0.35">
      <c r="A23">
        <v>10</v>
      </c>
      <c r="B23">
        <v>4.2565600000000002E-2</v>
      </c>
    </row>
    <row r="24" spans="1:2" x14ac:dyDescent="0.35">
      <c r="A24">
        <v>10.5</v>
      </c>
      <c r="B24">
        <v>4.289403E-2</v>
      </c>
    </row>
    <row r="25" spans="1:2" x14ac:dyDescent="0.35">
      <c r="A25">
        <v>11</v>
      </c>
      <c r="B25">
        <v>4.3226420000000002E-2</v>
      </c>
    </row>
    <row r="26" spans="1:2" x14ac:dyDescent="0.35">
      <c r="A26">
        <v>11.5</v>
      </c>
      <c r="B26">
        <v>4.356289E-2</v>
      </c>
    </row>
    <row r="27" spans="1:2" x14ac:dyDescent="0.35">
      <c r="A27">
        <v>12</v>
      </c>
      <c r="B27">
        <v>4.3903560000000001E-2</v>
      </c>
    </row>
    <row r="28" spans="1:2" x14ac:dyDescent="0.35">
      <c r="A28">
        <v>12.5</v>
      </c>
      <c r="B28">
        <v>4.4248589999999997E-2</v>
      </c>
    </row>
    <row r="29" spans="1:2" x14ac:dyDescent="0.35">
      <c r="A29">
        <v>13</v>
      </c>
      <c r="B29">
        <v>4.459813E-2</v>
      </c>
    </row>
    <row r="30" spans="1:2" x14ac:dyDescent="0.35">
      <c r="A30">
        <v>13.5</v>
      </c>
      <c r="B30">
        <v>4.4952359999999997E-2</v>
      </c>
    </row>
    <row r="31" spans="1:2" x14ac:dyDescent="0.35">
      <c r="A31">
        <v>14</v>
      </c>
      <c r="B31">
        <v>4.5311450000000003E-2</v>
      </c>
    </row>
    <row r="32" spans="1:2" x14ac:dyDescent="0.35">
      <c r="A32">
        <v>14.5</v>
      </c>
      <c r="B32">
        <v>4.5675609999999998E-2</v>
      </c>
    </row>
    <row r="33" spans="1:2" x14ac:dyDescent="0.35">
      <c r="A33">
        <v>15</v>
      </c>
      <c r="B33">
        <v>4.6045049999999997E-2</v>
      </c>
    </row>
    <row r="34" spans="1:2" x14ac:dyDescent="0.35">
      <c r="A34">
        <v>15.5</v>
      </c>
      <c r="B34">
        <v>4.6420000000000003E-2</v>
      </c>
    </row>
    <row r="35" spans="1:2" x14ac:dyDescent="0.35">
      <c r="A35">
        <v>16</v>
      </c>
      <c r="B35">
        <v>4.6800679999999997E-2</v>
      </c>
    </row>
    <row r="36" spans="1:2" x14ac:dyDescent="0.35">
      <c r="A36">
        <v>16.5</v>
      </c>
      <c r="B36">
        <v>4.7187369999999999E-2</v>
      </c>
    </row>
    <row r="37" spans="1:2" x14ac:dyDescent="0.35">
      <c r="A37">
        <v>17</v>
      </c>
      <c r="B37">
        <v>4.7580339999999999E-2</v>
      </c>
    </row>
    <row r="38" spans="1:2" x14ac:dyDescent="0.35">
      <c r="A38">
        <v>17.5</v>
      </c>
      <c r="B38">
        <v>4.7979870000000001E-2</v>
      </c>
    </row>
    <row r="39" spans="1:2" x14ac:dyDescent="0.35">
      <c r="A39">
        <v>18</v>
      </c>
      <c r="B39">
        <v>4.8386279999999997E-2</v>
      </c>
    </row>
    <row r="40" spans="1:2" x14ac:dyDescent="0.35">
      <c r="A40">
        <v>18.5</v>
      </c>
      <c r="B40">
        <v>4.8799910000000002E-2</v>
      </c>
    </row>
    <row r="41" spans="1:2" x14ac:dyDescent="0.35">
      <c r="A41">
        <v>19</v>
      </c>
      <c r="B41">
        <v>4.922112E-2</v>
      </c>
    </row>
    <row r="42" spans="1:2" x14ac:dyDescent="0.35">
      <c r="A42">
        <v>19.5</v>
      </c>
      <c r="B42">
        <v>4.9650279999999998E-2</v>
      </c>
    </row>
    <row r="43" spans="1:2" x14ac:dyDescent="0.35">
      <c r="A43">
        <v>20</v>
      </c>
      <c r="B43">
        <v>5.0087800000000002E-2</v>
      </c>
    </row>
    <row r="44" spans="1:2" x14ac:dyDescent="0.35">
      <c r="A44">
        <v>20.5</v>
      </c>
      <c r="B44">
        <v>5.0036659999999997E-2</v>
      </c>
    </row>
    <row r="45" spans="1:2" x14ac:dyDescent="0.35">
      <c r="A45">
        <v>21</v>
      </c>
      <c r="B45">
        <v>4.9988390000000001E-2</v>
      </c>
    </row>
    <row r="46" spans="1:2" x14ac:dyDescent="0.35">
      <c r="A46">
        <v>21.5</v>
      </c>
      <c r="B46">
        <v>4.9942800000000002E-2</v>
      </c>
    </row>
    <row r="47" spans="1:2" x14ac:dyDescent="0.35">
      <c r="A47">
        <v>22</v>
      </c>
      <c r="B47">
        <v>4.9899720000000002E-2</v>
      </c>
    </row>
    <row r="48" spans="1:2" x14ac:dyDescent="0.35">
      <c r="A48">
        <v>22.5</v>
      </c>
      <c r="B48">
        <v>4.9859000000000001E-2</v>
      </c>
    </row>
    <row r="49" spans="1:2" x14ac:dyDescent="0.35">
      <c r="A49">
        <v>23</v>
      </c>
      <c r="B49">
        <v>4.982048E-2</v>
      </c>
    </row>
    <row r="50" spans="1:2" x14ac:dyDescent="0.35">
      <c r="A50">
        <v>23.5</v>
      </c>
      <c r="B50">
        <v>4.978403E-2</v>
      </c>
    </row>
    <row r="51" spans="1:2" x14ac:dyDescent="0.35">
      <c r="A51">
        <v>24</v>
      </c>
      <c r="B51">
        <v>4.974953E-2</v>
      </c>
    </row>
    <row r="52" spans="1:2" x14ac:dyDescent="0.35">
      <c r="A52">
        <v>24.5</v>
      </c>
      <c r="B52">
        <v>4.9716870000000003E-2</v>
      </c>
    </row>
    <row r="53" spans="1:2" x14ac:dyDescent="0.35">
      <c r="A53">
        <v>25</v>
      </c>
      <c r="B53">
        <v>4.968595E-2</v>
      </c>
    </row>
    <row r="54" spans="1:2" x14ac:dyDescent="0.35">
      <c r="A54">
        <v>25.5</v>
      </c>
      <c r="B54">
        <v>4.9656659999999998E-2</v>
      </c>
    </row>
    <row r="55" spans="1:2" x14ac:dyDescent="0.35">
      <c r="A55">
        <v>26</v>
      </c>
      <c r="B55">
        <v>4.9628940000000003E-2</v>
      </c>
    </row>
    <row r="56" spans="1:2" x14ac:dyDescent="0.35">
      <c r="A56">
        <v>26.5</v>
      </c>
      <c r="B56">
        <v>4.9602689999999998E-2</v>
      </c>
    </row>
    <row r="57" spans="1:2" x14ac:dyDescent="0.35">
      <c r="A57">
        <v>27</v>
      </c>
      <c r="B57">
        <v>4.9577839999999998E-2</v>
      </c>
    </row>
    <row r="58" spans="1:2" x14ac:dyDescent="0.35">
      <c r="A58">
        <v>27.5</v>
      </c>
      <c r="B58">
        <v>4.9554330000000001E-2</v>
      </c>
    </row>
    <row r="59" spans="1:2" x14ac:dyDescent="0.35">
      <c r="A59">
        <v>28</v>
      </c>
      <c r="B59">
        <v>4.9532079999999999E-2</v>
      </c>
    </row>
    <row r="60" spans="1:2" x14ac:dyDescent="0.35">
      <c r="A60">
        <v>28.5</v>
      </c>
      <c r="B60">
        <v>4.9511050000000001E-2</v>
      </c>
    </row>
    <row r="61" spans="1:2" x14ac:dyDescent="0.35">
      <c r="A61">
        <v>29</v>
      </c>
      <c r="B61">
        <v>4.9491180000000003E-2</v>
      </c>
    </row>
    <row r="62" spans="1:2" x14ac:dyDescent="0.35">
      <c r="A62">
        <v>29.5</v>
      </c>
      <c r="B62">
        <v>4.9472420000000003E-2</v>
      </c>
    </row>
    <row r="63" spans="1:2" x14ac:dyDescent="0.35">
      <c r="A63">
        <v>30</v>
      </c>
      <c r="B63">
        <v>4.9454709999999999E-2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4"/>
  <sheetViews>
    <sheetView workbookViewId="0"/>
  </sheetViews>
  <sheetFormatPr defaultRowHeight="14.5" x14ac:dyDescent="0.35"/>
  <sheetData>
    <row r="1" spans="1:2" ht="15.5" x14ac:dyDescent="0.35">
      <c r="A1" s="1" t="s">
        <v>22</v>
      </c>
    </row>
    <row r="3" spans="1:2" x14ac:dyDescent="0.35">
      <c r="A3" s="2" t="s">
        <v>23</v>
      </c>
      <c r="B3" s="2" t="s">
        <v>24</v>
      </c>
    </row>
    <row r="4" spans="1:2" x14ac:dyDescent="0.35">
      <c r="A4">
        <v>50</v>
      </c>
      <c r="B4">
        <v>2.7680000000000001E-3</v>
      </c>
    </row>
    <row r="5" spans="1:2" x14ac:dyDescent="0.35">
      <c r="A5">
        <v>51</v>
      </c>
      <c r="B5">
        <v>2.905E-3</v>
      </c>
    </row>
    <row r="6" spans="1:2" x14ac:dyDescent="0.35">
      <c r="A6">
        <v>52</v>
      </c>
      <c r="B6">
        <v>3.0569999999999998E-3</v>
      </c>
    </row>
    <row r="7" spans="1:2" x14ac:dyDescent="0.35">
      <c r="A7">
        <v>53</v>
      </c>
      <c r="B7">
        <v>3.225E-3</v>
      </c>
    </row>
    <row r="8" spans="1:2" x14ac:dyDescent="0.35">
      <c r="A8">
        <v>54</v>
      </c>
      <c r="B8">
        <v>3.4120000000000001E-3</v>
      </c>
    </row>
    <row r="9" spans="1:2" x14ac:dyDescent="0.35">
      <c r="A9">
        <v>55</v>
      </c>
      <c r="B9">
        <v>3.6219999999999998E-3</v>
      </c>
    </row>
    <row r="10" spans="1:2" x14ac:dyDescent="0.35">
      <c r="A10">
        <v>56</v>
      </c>
      <c r="B10">
        <v>3.8579999999999999E-3</v>
      </c>
    </row>
    <row r="11" spans="1:2" x14ac:dyDescent="0.35">
      <c r="A11">
        <v>57</v>
      </c>
      <c r="B11">
        <v>4.1279999999999997E-3</v>
      </c>
    </row>
    <row r="12" spans="1:2" x14ac:dyDescent="0.35">
      <c r="A12">
        <v>58</v>
      </c>
      <c r="B12">
        <v>4.4359999999999998E-3</v>
      </c>
    </row>
    <row r="13" spans="1:2" x14ac:dyDescent="0.35">
      <c r="A13">
        <v>59</v>
      </c>
      <c r="B13">
        <v>4.7889999999999999E-3</v>
      </c>
    </row>
    <row r="14" spans="1:2" x14ac:dyDescent="0.35">
      <c r="A14">
        <v>60</v>
      </c>
      <c r="B14">
        <v>5.1910000000000003E-3</v>
      </c>
    </row>
    <row r="15" spans="1:2" x14ac:dyDescent="0.35">
      <c r="A15">
        <v>61</v>
      </c>
      <c r="B15">
        <v>5.646E-3</v>
      </c>
    </row>
    <row r="16" spans="1:2" x14ac:dyDescent="0.35">
      <c r="A16">
        <v>62</v>
      </c>
      <c r="B16">
        <v>6.156E-3</v>
      </c>
    </row>
    <row r="17" spans="1:2" x14ac:dyDescent="0.35">
      <c r="A17">
        <v>63</v>
      </c>
      <c r="B17">
        <v>6.7229999999999998E-3</v>
      </c>
    </row>
    <row r="18" spans="1:2" x14ac:dyDescent="0.35">
      <c r="A18">
        <v>64</v>
      </c>
      <c r="B18">
        <v>7.352E-3</v>
      </c>
    </row>
    <row r="19" spans="1:2" x14ac:dyDescent="0.35">
      <c r="A19">
        <v>65</v>
      </c>
      <c r="B19">
        <v>8.0479999999999996E-3</v>
      </c>
    </row>
    <row r="20" spans="1:2" x14ac:dyDescent="0.35">
      <c r="A20">
        <v>66</v>
      </c>
      <c r="B20">
        <v>8.8210000000000007E-3</v>
      </c>
    </row>
    <row r="21" spans="1:2" x14ac:dyDescent="0.35">
      <c r="A21">
        <v>67</v>
      </c>
      <c r="B21">
        <v>9.6790000000000001E-3</v>
      </c>
    </row>
    <row r="22" spans="1:2" x14ac:dyDescent="0.35">
      <c r="A22">
        <v>68</v>
      </c>
      <c r="B22">
        <v>1.0633E-2</v>
      </c>
    </row>
    <row r="23" spans="1:2" x14ac:dyDescent="0.35">
      <c r="A23">
        <v>69</v>
      </c>
      <c r="B23">
        <v>1.1691999999999999E-2</v>
      </c>
    </row>
    <row r="24" spans="1:2" x14ac:dyDescent="0.35">
      <c r="A24">
        <v>70</v>
      </c>
      <c r="B24">
        <v>1.2867999999999999E-2</v>
      </c>
    </row>
    <row r="25" spans="1:2" x14ac:dyDescent="0.35">
      <c r="A25">
        <v>71</v>
      </c>
      <c r="B25">
        <v>1.4171E-2</v>
      </c>
    </row>
    <row r="26" spans="1:2" x14ac:dyDescent="0.35">
      <c r="A26">
        <v>72</v>
      </c>
      <c r="B26">
        <v>1.5613999999999999E-2</v>
      </c>
    </row>
    <row r="27" spans="1:2" x14ac:dyDescent="0.35">
      <c r="A27">
        <v>73</v>
      </c>
      <c r="B27">
        <v>1.721E-2</v>
      </c>
    </row>
    <row r="28" spans="1:2" x14ac:dyDescent="0.35">
      <c r="A28">
        <v>74</v>
      </c>
      <c r="B28">
        <v>1.8977000000000001E-2</v>
      </c>
    </row>
    <row r="29" spans="1:2" x14ac:dyDescent="0.35">
      <c r="A29">
        <v>75</v>
      </c>
      <c r="B29">
        <v>2.0937999999999998E-2</v>
      </c>
    </row>
    <row r="30" spans="1:2" x14ac:dyDescent="0.35">
      <c r="A30">
        <v>76</v>
      </c>
      <c r="B30">
        <v>2.3118E-2</v>
      </c>
    </row>
    <row r="31" spans="1:2" x14ac:dyDescent="0.35">
      <c r="A31">
        <v>77</v>
      </c>
      <c r="B31">
        <v>2.5554E-2</v>
      </c>
    </row>
    <row r="32" spans="1:2" x14ac:dyDescent="0.35">
      <c r="A32">
        <v>78</v>
      </c>
      <c r="B32">
        <v>2.8288000000000001E-2</v>
      </c>
    </row>
    <row r="33" spans="1:2" x14ac:dyDescent="0.35">
      <c r="A33">
        <v>79</v>
      </c>
      <c r="B33">
        <v>3.1365999999999998E-2</v>
      </c>
    </row>
    <row r="34" spans="1:2" x14ac:dyDescent="0.35">
      <c r="A34">
        <v>80</v>
      </c>
      <c r="B34">
        <v>3.4844E-2</v>
      </c>
    </row>
    <row r="35" spans="1:2" x14ac:dyDescent="0.35">
      <c r="A35">
        <v>81</v>
      </c>
      <c r="B35">
        <v>3.8782999999999998E-2</v>
      </c>
    </row>
    <row r="36" spans="1:2" x14ac:dyDescent="0.35">
      <c r="A36">
        <v>82</v>
      </c>
      <c r="B36">
        <v>4.3246E-2</v>
      </c>
    </row>
    <row r="37" spans="1:2" x14ac:dyDescent="0.35">
      <c r="A37">
        <v>83</v>
      </c>
      <c r="B37">
        <v>4.8305000000000001E-2</v>
      </c>
    </row>
    <row r="38" spans="1:2" x14ac:dyDescent="0.35">
      <c r="A38">
        <v>84</v>
      </c>
      <c r="B38">
        <v>5.4031999999999997E-2</v>
      </c>
    </row>
    <row r="39" spans="1:2" x14ac:dyDescent="0.35">
      <c r="A39">
        <v>85</v>
      </c>
      <c r="B39">
        <v>6.0504000000000002E-2</v>
      </c>
    </row>
    <row r="40" spans="1:2" x14ac:dyDescent="0.35">
      <c r="A40">
        <v>86</v>
      </c>
      <c r="B40">
        <v>6.7801E-2</v>
      </c>
    </row>
    <row r="41" spans="1:2" x14ac:dyDescent="0.35">
      <c r="A41">
        <v>87</v>
      </c>
      <c r="B41">
        <v>7.6011999999999996E-2</v>
      </c>
    </row>
    <row r="42" spans="1:2" x14ac:dyDescent="0.35">
      <c r="A42">
        <v>88</v>
      </c>
      <c r="B42">
        <v>8.523E-2</v>
      </c>
    </row>
    <row r="43" spans="1:2" x14ac:dyDescent="0.35">
      <c r="A43">
        <v>89</v>
      </c>
      <c r="B43">
        <v>9.5562999999999995E-2</v>
      </c>
    </row>
    <row r="44" spans="1:2" x14ac:dyDescent="0.35">
      <c r="A44">
        <v>90</v>
      </c>
      <c r="B44">
        <v>0.107126</v>
      </c>
    </row>
    <row r="45" spans="1:2" x14ac:dyDescent="0.35">
      <c r="A45">
        <v>91</v>
      </c>
      <c r="B45">
        <v>0.119744</v>
      </c>
    </row>
    <row r="46" spans="1:2" x14ac:dyDescent="0.35">
      <c r="A46">
        <v>92</v>
      </c>
      <c r="B46">
        <v>0.133299</v>
      </c>
    </row>
    <row r="47" spans="1:2" x14ac:dyDescent="0.35">
      <c r="A47">
        <v>93</v>
      </c>
      <c r="B47">
        <v>0.14771999999999999</v>
      </c>
    </row>
    <row r="48" spans="1:2" x14ac:dyDescent="0.35">
      <c r="A48">
        <v>94</v>
      </c>
      <c r="B48">
        <v>0.162971</v>
      </c>
    </row>
    <row r="49" spans="1:2" x14ac:dyDescent="0.35">
      <c r="A49">
        <v>95</v>
      </c>
      <c r="B49">
        <v>0.179034</v>
      </c>
    </row>
    <row r="50" spans="1:2" x14ac:dyDescent="0.35">
      <c r="A50">
        <v>96</v>
      </c>
      <c r="B50">
        <v>0.19590299999999999</v>
      </c>
    </row>
    <row r="51" spans="1:2" x14ac:dyDescent="0.35">
      <c r="A51">
        <v>97</v>
      </c>
      <c r="B51">
        <v>0.213565</v>
      </c>
    </row>
    <row r="52" spans="1:2" x14ac:dyDescent="0.35">
      <c r="A52">
        <v>98</v>
      </c>
      <c r="B52">
        <v>0.231991</v>
      </c>
    </row>
    <row r="53" spans="1:2" x14ac:dyDescent="0.35">
      <c r="A53">
        <v>99</v>
      </c>
      <c r="B53">
        <v>0.25112299999999999</v>
      </c>
    </row>
    <row r="54" spans="1:2" x14ac:dyDescent="0.35">
      <c r="A54">
        <v>100</v>
      </c>
      <c r="B54">
        <v>0.27085799999999999</v>
      </c>
    </row>
    <row r="55" spans="1:2" x14ac:dyDescent="0.35">
      <c r="A55">
        <v>101</v>
      </c>
      <c r="B55">
        <v>0.29104000000000002</v>
      </c>
    </row>
    <row r="56" spans="1:2" x14ac:dyDescent="0.35">
      <c r="A56">
        <v>102</v>
      </c>
      <c r="B56">
        <v>0.311444</v>
      </c>
    </row>
    <row r="57" spans="1:2" x14ac:dyDescent="0.35">
      <c r="A57">
        <v>103</v>
      </c>
      <c r="B57">
        <v>0.33189999999999997</v>
      </c>
    </row>
    <row r="58" spans="1:2" x14ac:dyDescent="0.35">
      <c r="A58">
        <v>104</v>
      </c>
      <c r="B58">
        <v>0.35223199999999999</v>
      </c>
    </row>
    <row r="59" spans="1:2" x14ac:dyDescent="0.35">
      <c r="A59">
        <v>105</v>
      </c>
      <c r="B59">
        <v>0.37227300000000002</v>
      </c>
    </row>
    <row r="60" spans="1:2" x14ac:dyDescent="0.35">
      <c r="A60">
        <v>106</v>
      </c>
      <c r="B60">
        <v>0.39185999999999999</v>
      </c>
    </row>
    <row r="61" spans="1:2" x14ac:dyDescent="0.35">
      <c r="A61">
        <v>107</v>
      </c>
      <c r="B61">
        <v>0.41084900000000002</v>
      </c>
    </row>
    <row r="62" spans="1:2" x14ac:dyDescent="0.35">
      <c r="A62">
        <v>108</v>
      </c>
      <c r="B62">
        <v>0.42911199999999999</v>
      </c>
    </row>
    <row r="63" spans="1:2" x14ac:dyDescent="0.35">
      <c r="A63">
        <v>109</v>
      </c>
      <c r="B63">
        <v>0.446544</v>
      </c>
    </row>
    <row r="64" spans="1:2" x14ac:dyDescent="0.35">
      <c r="A64">
        <v>110</v>
      </c>
      <c r="B64">
        <v>0.463061</v>
      </c>
    </row>
    <row r="65" spans="1:2" x14ac:dyDescent="0.35">
      <c r="A65">
        <v>111</v>
      </c>
      <c r="B65">
        <v>0.47860399999999997</v>
      </c>
    </row>
    <row r="66" spans="1:2" x14ac:dyDescent="0.35">
      <c r="A66">
        <v>112</v>
      </c>
      <c r="B66">
        <v>0.49313699999999999</v>
      </c>
    </row>
    <row r="67" spans="1:2" x14ac:dyDescent="0.35">
      <c r="A67">
        <v>113</v>
      </c>
      <c r="B67">
        <v>0.5</v>
      </c>
    </row>
    <row r="68" spans="1:2" x14ac:dyDescent="0.35">
      <c r="A68">
        <v>114</v>
      </c>
      <c r="B68">
        <v>0.5</v>
      </c>
    </row>
    <row r="69" spans="1:2" x14ac:dyDescent="0.35">
      <c r="A69">
        <v>115</v>
      </c>
      <c r="B69">
        <v>0.5</v>
      </c>
    </row>
    <row r="70" spans="1:2" x14ac:dyDescent="0.35">
      <c r="A70">
        <v>116</v>
      </c>
      <c r="B70">
        <v>0.5</v>
      </c>
    </row>
    <row r="71" spans="1:2" x14ac:dyDescent="0.35">
      <c r="A71">
        <v>117</v>
      </c>
      <c r="B71">
        <v>0.5</v>
      </c>
    </row>
    <row r="72" spans="1:2" x14ac:dyDescent="0.35">
      <c r="A72">
        <v>118</v>
      </c>
      <c r="B72">
        <v>0.5</v>
      </c>
    </row>
    <row r="73" spans="1:2" x14ac:dyDescent="0.35">
      <c r="A73">
        <v>119</v>
      </c>
      <c r="B73">
        <v>0.5</v>
      </c>
    </row>
    <row r="74" spans="1:2" x14ac:dyDescent="0.35">
      <c r="A74">
        <v>120</v>
      </c>
      <c r="B74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8103"/>
  <sheetViews>
    <sheetView workbookViewId="0"/>
  </sheetViews>
  <sheetFormatPr defaultRowHeight="14.5" x14ac:dyDescent="0.35"/>
  <sheetData>
    <row r="1" spans="1:3" ht="15.5" x14ac:dyDescent="0.35">
      <c r="A1" s="1" t="s">
        <v>25</v>
      </c>
    </row>
    <row r="3" spans="1:3" x14ac:dyDescent="0.35">
      <c r="A3" s="2" t="s">
        <v>23</v>
      </c>
      <c r="B3" s="2" t="s">
        <v>26</v>
      </c>
      <c r="C3" s="2" t="s">
        <v>27</v>
      </c>
    </row>
    <row r="4" spans="1:3" x14ac:dyDescent="0.35">
      <c r="A4">
        <v>21</v>
      </c>
      <c r="B4">
        <v>1951</v>
      </c>
      <c r="C4">
        <v>-1.46E-2</v>
      </c>
    </row>
    <row r="5" spans="1:3" x14ac:dyDescent="0.35">
      <c r="A5">
        <v>21</v>
      </c>
      <c r="B5">
        <v>1952</v>
      </c>
      <c r="C5">
        <v>-6.1999999999999998E-3</v>
      </c>
    </row>
    <row r="6" spans="1:3" x14ac:dyDescent="0.35">
      <c r="A6">
        <v>21</v>
      </c>
      <c r="B6">
        <v>1953</v>
      </c>
      <c r="C6">
        <v>2E-3</v>
      </c>
    </row>
    <row r="7" spans="1:3" x14ac:dyDescent="0.35">
      <c r="A7">
        <v>21</v>
      </c>
      <c r="B7">
        <v>1954</v>
      </c>
      <c r="C7">
        <v>9.1999999999999998E-3</v>
      </c>
    </row>
    <row r="8" spans="1:3" x14ac:dyDescent="0.35">
      <c r="A8">
        <v>21</v>
      </c>
      <c r="B8">
        <v>1955</v>
      </c>
      <c r="C8">
        <v>1.5100000000000001E-2</v>
      </c>
    </row>
    <row r="9" spans="1:3" x14ac:dyDescent="0.35">
      <c r="A9">
        <v>21</v>
      </c>
      <c r="B9">
        <v>1956</v>
      </c>
      <c r="C9">
        <v>1.9300000000000001E-2</v>
      </c>
    </row>
    <row r="10" spans="1:3" x14ac:dyDescent="0.35">
      <c r="A10">
        <v>21</v>
      </c>
      <c r="B10">
        <v>1957</v>
      </c>
      <c r="C10">
        <v>2.1499999999999998E-2</v>
      </c>
    </row>
    <row r="11" spans="1:3" x14ac:dyDescent="0.35">
      <c r="A11">
        <v>21</v>
      </c>
      <c r="B11">
        <v>1958</v>
      </c>
      <c r="C11">
        <v>2.1100000000000001E-2</v>
      </c>
    </row>
    <row r="12" spans="1:3" x14ac:dyDescent="0.35">
      <c r="A12">
        <v>21</v>
      </c>
      <c r="B12">
        <v>1959</v>
      </c>
      <c r="C12">
        <v>1.7999999999999999E-2</v>
      </c>
    </row>
    <row r="13" spans="1:3" x14ac:dyDescent="0.35">
      <c r="A13">
        <v>21</v>
      </c>
      <c r="B13">
        <v>1960</v>
      </c>
      <c r="C13">
        <v>1.21E-2</v>
      </c>
    </row>
    <row r="14" spans="1:3" x14ac:dyDescent="0.35">
      <c r="A14">
        <v>21</v>
      </c>
      <c r="B14">
        <v>1961</v>
      </c>
      <c r="C14">
        <v>3.8E-3</v>
      </c>
    </row>
    <row r="15" spans="1:3" x14ac:dyDescent="0.35">
      <c r="A15">
        <v>21</v>
      </c>
      <c r="B15">
        <v>1962</v>
      </c>
      <c r="C15">
        <v>-5.8999999999999999E-3</v>
      </c>
    </row>
    <row r="16" spans="1:3" x14ac:dyDescent="0.35">
      <c r="A16">
        <v>21</v>
      </c>
      <c r="B16">
        <v>1963</v>
      </c>
      <c r="C16">
        <v>-1.6E-2</v>
      </c>
    </row>
    <row r="17" spans="1:3" x14ac:dyDescent="0.35">
      <c r="A17">
        <v>21</v>
      </c>
      <c r="B17">
        <v>1964</v>
      </c>
      <c r="C17">
        <v>-2.53E-2</v>
      </c>
    </row>
    <row r="18" spans="1:3" x14ac:dyDescent="0.35">
      <c r="A18">
        <v>21</v>
      </c>
      <c r="B18">
        <v>1965</v>
      </c>
      <c r="C18">
        <v>-3.2500000000000001E-2</v>
      </c>
    </row>
    <row r="19" spans="1:3" x14ac:dyDescent="0.35">
      <c r="A19">
        <v>21</v>
      </c>
      <c r="B19">
        <v>1966</v>
      </c>
      <c r="C19">
        <v>-3.6499999999999998E-2</v>
      </c>
    </row>
    <row r="20" spans="1:3" x14ac:dyDescent="0.35">
      <c r="A20">
        <v>21</v>
      </c>
      <c r="B20">
        <v>1967</v>
      </c>
      <c r="C20">
        <v>-3.6299999999999999E-2</v>
      </c>
    </row>
    <row r="21" spans="1:3" x14ac:dyDescent="0.35">
      <c r="A21">
        <v>21</v>
      </c>
      <c r="B21">
        <v>1968</v>
      </c>
      <c r="C21">
        <v>-3.2099999999999997E-2</v>
      </c>
    </row>
    <row r="22" spans="1:3" x14ac:dyDescent="0.35">
      <c r="A22">
        <v>21</v>
      </c>
      <c r="B22">
        <v>1969</v>
      </c>
      <c r="C22">
        <v>-2.4400000000000002E-2</v>
      </c>
    </row>
    <row r="23" spans="1:3" x14ac:dyDescent="0.35">
      <c r="A23">
        <v>21</v>
      </c>
      <c r="B23">
        <v>1970</v>
      </c>
      <c r="C23">
        <v>-1.46E-2</v>
      </c>
    </row>
    <row r="24" spans="1:3" x14ac:dyDescent="0.35">
      <c r="A24">
        <v>21</v>
      </c>
      <c r="B24">
        <v>1971</v>
      </c>
      <c r="C24">
        <v>-4.7999999999999996E-3</v>
      </c>
    </row>
    <row r="25" spans="1:3" x14ac:dyDescent="0.35">
      <c r="A25">
        <v>21</v>
      </c>
      <c r="B25">
        <v>1972</v>
      </c>
      <c r="C25">
        <v>3.8E-3</v>
      </c>
    </row>
    <row r="26" spans="1:3" x14ac:dyDescent="0.35">
      <c r="A26">
        <v>21</v>
      </c>
      <c r="B26">
        <v>1973</v>
      </c>
      <c r="C26">
        <v>1.0500000000000001E-2</v>
      </c>
    </row>
    <row r="27" spans="1:3" x14ac:dyDescent="0.35">
      <c r="A27">
        <v>21</v>
      </c>
      <c r="B27">
        <v>1974</v>
      </c>
      <c r="C27">
        <v>1.4800000000000001E-2</v>
      </c>
    </row>
    <row r="28" spans="1:3" x14ac:dyDescent="0.35">
      <c r="A28">
        <v>21</v>
      </c>
      <c r="B28">
        <v>1975</v>
      </c>
      <c r="C28">
        <v>1.6899999999999998E-2</v>
      </c>
    </row>
    <row r="29" spans="1:3" x14ac:dyDescent="0.35">
      <c r="A29">
        <v>21</v>
      </c>
      <c r="B29">
        <v>1976</v>
      </c>
      <c r="C29">
        <v>1.7600000000000001E-2</v>
      </c>
    </row>
    <row r="30" spans="1:3" x14ac:dyDescent="0.35">
      <c r="A30">
        <v>21</v>
      </c>
      <c r="B30">
        <v>1977</v>
      </c>
      <c r="C30">
        <v>1.83E-2</v>
      </c>
    </row>
    <row r="31" spans="1:3" x14ac:dyDescent="0.35">
      <c r="A31">
        <v>21</v>
      </c>
      <c r="B31">
        <v>1978</v>
      </c>
      <c r="C31">
        <v>2.0299999999999999E-2</v>
      </c>
    </row>
    <row r="32" spans="1:3" x14ac:dyDescent="0.35">
      <c r="A32">
        <v>21</v>
      </c>
      <c r="B32">
        <v>1979</v>
      </c>
      <c r="C32">
        <v>2.4E-2</v>
      </c>
    </row>
    <row r="33" spans="1:3" x14ac:dyDescent="0.35">
      <c r="A33">
        <v>21</v>
      </c>
      <c r="B33">
        <v>1980</v>
      </c>
      <c r="C33">
        <v>2.87E-2</v>
      </c>
    </row>
    <row r="34" spans="1:3" x14ac:dyDescent="0.35">
      <c r="A34">
        <v>21</v>
      </c>
      <c r="B34">
        <v>1981</v>
      </c>
      <c r="C34">
        <v>3.2399999999999998E-2</v>
      </c>
    </row>
    <row r="35" spans="1:3" x14ac:dyDescent="0.35">
      <c r="A35">
        <v>21</v>
      </c>
      <c r="B35">
        <v>1982</v>
      </c>
      <c r="C35">
        <v>3.2800000000000003E-2</v>
      </c>
    </row>
    <row r="36" spans="1:3" x14ac:dyDescent="0.35">
      <c r="A36">
        <v>21</v>
      </c>
      <c r="B36">
        <v>1983</v>
      </c>
      <c r="C36">
        <v>2.9100000000000001E-2</v>
      </c>
    </row>
    <row r="37" spans="1:3" x14ac:dyDescent="0.35">
      <c r="A37">
        <v>21</v>
      </c>
      <c r="B37">
        <v>1984</v>
      </c>
      <c r="C37">
        <v>2.1899999999999999E-2</v>
      </c>
    </row>
    <row r="38" spans="1:3" x14ac:dyDescent="0.35">
      <c r="A38">
        <v>21</v>
      </c>
      <c r="B38">
        <v>1985</v>
      </c>
      <c r="C38">
        <v>1.34E-2</v>
      </c>
    </row>
    <row r="39" spans="1:3" x14ac:dyDescent="0.35">
      <c r="A39">
        <v>21</v>
      </c>
      <c r="B39">
        <v>1986</v>
      </c>
      <c r="C39">
        <v>5.4999999999999997E-3</v>
      </c>
    </row>
    <row r="40" spans="1:3" x14ac:dyDescent="0.35">
      <c r="A40">
        <v>21</v>
      </c>
      <c r="B40">
        <v>1987</v>
      </c>
      <c r="C40">
        <v>-1E-4</v>
      </c>
    </row>
    <row r="41" spans="1:3" x14ac:dyDescent="0.35">
      <c r="A41">
        <v>21</v>
      </c>
      <c r="B41">
        <v>1988</v>
      </c>
      <c r="C41">
        <v>-2.8999999999999998E-3</v>
      </c>
    </row>
    <row r="42" spans="1:3" x14ac:dyDescent="0.35">
      <c r="A42">
        <v>21</v>
      </c>
      <c r="B42">
        <v>1989</v>
      </c>
      <c r="C42">
        <v>-3.0000000000000001E-3</v>
      </c>
    </row>
    <row r="43" spans="1:3" x14ac:dyDescent="0.35">
      <c r="A43">
        <v>21</v>
      </c>
      <c r="B43">
        <v>1990</v>
      </c>
      <c r="C43">
        <v>-6.9999999999999999E-4</v>
      </c>
    </row>
    <row r="44" spans="1:3" x14ac:dyDescent="0.35">
      <c r="A44">
        <v>21</v>
      </c>
      <c r="B44">
        <v>1991</v>
      </c>
      <c r="C44">
        <v>3.7000000000000002E-3</v>
      </c>
    </row>
    <row r="45" spans="1:3" x14ac:dyDescent="0.35">
      <c r="A45">
        <v>21</v>
      </c>
      <c r="B45">
        <v>1992</v>
      </c>
      <c r="C45">
        <v>9.4999999999999998E-3</v>
      </c>
    </row>
    <row r="46" spans="1:3" x14ac:dyDescent="0.35">
      <c r="A46">
        <v>21</v>
      </c>
      <c r="B46">
        <v>1993</v>
      </c>
      <c r="C46">
        <v>1.5900000000000001E-2</v>
      </c>
    </row>
    <row r="47" spans="1:3" x14ac:dyDescent="0.35">
      <c r="A47">
        <v>21</v>
      </c>
      <c r="B47">
        <v>1994</v>
      </c>
      <c r="C47">
        <v>2.2100000000000002E-2</v>
      </c>
    </row>
    <row r="48" spans="1:3" x14ac:dyDescent="0.35">
      <c r="A48">
        <v>21</v>
      </c>
      <c r="B48">
        <v>1995</v>
      </c>
      <c r="C48">
        <v>2.69E-2</v>
      </c>
    </row>
    <row r="49" spans="1:3" x14ac:dyDescent="0.35">
      <c r="A49">
        <v>21</v>
      </c>
      <c r="B49">
        <v>1996</v>
      </c>
      <c r="C49">
        <v>2.9100000000000001E-2</v>
      </c>
    </row>
    <row r="50" spans="1:3" x14ac:dyDescent="0.35">
      <c r="A50">
        <v>21</v>
      </c>
      <c r="B50">
        <v>1997</v>
      </c>
      <c r="C50">
        <v>2.7699999999999999E-2</v>
      </c>
    </row>
    <row r="51" spans="1:3" x14ac:dyDescent="0.35">
      <c r="A51">
        <v>21</v>
      </c>
      <c r="B51">
        <v>1998</v>
      </c>
      <c r="C51">
        <v>2.2800000000000001E-2</v>
      </c>
    </row>
    <row r="52" spans="1:3" x14ac:dyDescent="0.35">
      <c r="A52">
        <v>21</v>
      </c>
      <c r="B52">
        <v>1999</v>
      </c>
      <c r="C52">
        <v>1.5100000000000001E-2</v>
      </c>
    </row>
    <row r="53" spans="1:3" x14ac:dyDescent="0.35">
      <c r="A53">
        <v>21</v>
      </c>
      <c r="B53">
        <v>2000</v>
      </c>
      <c r="C53">
        <v>6.4000000000000003E-3</v>
      </c>
    </row>
    <row r="54" spans="1:3" x14ac:dyDescent="0.35">
      <c r="A54">
        <v>21</v>
      </c>
      <c r="B54">
        <v>2001</v>
      </c>
      <c r="C54">
        <v>-1.1999999999999999E-3</v>
      </c>
    </row>
    <row r="55" spans="1:3" x14ac:dyDescent="0.35">
      <c r="A55">
        <v>21</v>
      </c>
      <c r="B55">
        <v>2002</v>
      </c>
      <c r="C55">
        <v>-6.1999999999999998E-3</v>
      </c>
    </row>
    <row r="56" spans="1:3" x14ac:dyDescent="0.35">
      <c r="A56">
        <v>21</v>
      </c>
      <c r="B56">
        <v>2003</v>
      </c>
      <c r="C56">
        <v>-7.4999999999999997E-3</v>
      </c>
    </row>
    <row r="57" spans="1:3" x14ac:dyDescent="0.35">
      <c r="A57">
        <v>21</v>
      </c>
      <c r="B57">
        <v>2004</v>
      </c>
      <c r="C57">
        <v>-5.0000000000000001E-3</v>
      </c>
    </row>
    <row r="58" spans="1:3" x14ac:dyDescent="0.35">
      <c r="A58">
        <v>21</v>
      </c>
      <c r="B58">
        <v>2005</v>
      </c>
      <c r="C58">
        <v>8.0000000000000004E-4</v>
      </c>
    </row>
    <row r="59" spans="1:3" x14ac:dyDescent="0.35">
      <c r="A59">
        <v>21</v>
      </c>
      <c r="B59">
        <v>2006</v>
      </c>
      <c r="C59">
        <v>9.2999999999999992E-3</v>
      </c>
    </row>
    <row r="60" spans="1:3" x14ac:dyDescent="0.35">
      <c r="A60">
        <v>21</v>
      </c>
      <c r="B60">
        <v>2007</v>
      </c>
      <c r="C60">
        <v>1.8700000000000001E-2</v>
      </c>
    </row>
    <row r="61" spans="1:3" x14ac:dyDescent="0.35">
      <c r="A61">
        <v>21</v>
      </c>
      <c r="B61">
        <v>2008</v>
      </c>
      <c r="C61">
        <v>2.69E-2</v>
      </c>
    </row>
    <row r="62" spans="1:3" x14ac:dyDescent="0.35">
      <c r="A62">
        <v>21</v>
      </c>
      <c r="B62">
        <v>2009</v>
      </c>
      <c r="C62">
        <v>3.2000000000000001E-2</v>
      </c>
    </row>
    <row r="63" spans="1:3" x14ac:dyDescent="0.35">
      <c r="A63">
        <v>21</v>
      </c>
      <c r="B63">
        <v>2010</v>
      </c>
      <c r="C63">
        <v>3.3500000000000002E-2</v>
      </c>
    </row>
    <row r="64" spans="1:3" x14ac:dyDescent="0.35">
      <c r="A64">
        <v>21</v>
      </c>
      <c r="B64">
        <v>2011</v>
      </c>
      <c r="C64">
        <v>3.1899999999999998E-2</v>
      </c>
    </row>
    <row r="65" spans="1:3" x14ac:dyDescent="0.35">
      <c r="A65">
        <v>21</v>
      </c>
      <c r="B65">
        <v>2012</v>
      </c>
      <c r="C65">
        <v>2.8400000000000002E-2</v>
      </c>
    </row>
    <row r="66" spans="1:3" x14ac:dyDescent="0.35">
      <c r="A66">
        <v>21</v>
      </c>
      <c r="B66">
        <v>2013</v>
      </c>
      <c r="C66">
        <v>2.98E-2</v>
      </c>
    </row>
    <row r="67" spans="1:3" x14ac:dyDescent="0.35">
      <c r="A67">
        <v>21</v>
      </c>
      <c r="B67">
        <v>2014</v>
      </c>
      <c r="C67">
        <v>2.8899999999999999E-2</v>
      </c>
    </row>
    <row r="68" spans="1:3" x14ac:dyDescent="0.35">
      <c r="A68">
        <v>21</v>
      </c>
      <c r="B68">
        <v>2015</v>
      </c>
      <c r="C68">
        <v>2.75E-2</v>
      </c>
    </row>
    <row r="69" spans="1:3" x14ac:dyDescent="0.35">
      <c r="A69">
        <v>21</v>
      </c>
      <c r="B69">
        <v>2016</v>
      </c>
      <c r="C69">
        <v>2.58E-2</v>
      </c>
    </row>
    <row r="70" spans="1:3" x14ac:dyDescent="0.35">
      <c r="A70">
        <v>21</v>
      </c>
      <c r="B70">
        <v>2017</v>
      </c>
      <c r="C70">
        <v>2.3800000000000002E-2</v>
      </c>
    </row>
    <row r="71" spans="1:3" x14ac:dyDescent="0.35">
      <c r="A71">
        <v>21</v>
      </c>
      <c r="B71">
        <v>2018</v>
      </c>
      <c r="C71">
        <v>2.18E-2</v>
      </c>
    </row>
    <row r="72" spans="1:3" x14ac:dyDescent="0.35">
      <c r="A72">
        <v>21</v>
      </c>
      <c r="B72">
        <v>2019</v>
      </c>
      <c r="C72">
        <v>1.9800000000000002E-2</v>
      </c>
    </row>
    <row r="73" spans="1:3" x14ac:dyDescent="0.35">
      <c r="A73">
        <v>21</v>
      </c>
      <c r="B73">
        <v>2020</v>
      </c>
      <c r="C73">
        <v>1.7999999999999999E-2</v>
      </c>
    </row>
    <row r="74" spans="1:3" x14ac:dyDescent="0.35">
      <c r="A74">
        <v>21</v>
      </c>
      <c r="B74">
        <v>2021</v>
      </c>
      <c r="C74">
        <v>1.6500000000000001E-2</v>
      </c>
    </row>
    <row r="75" spans="1:3" x14ac:dyDescent="0.35">
      <c r="A75">
        <v>21</v>
      </c>
      <c r="B75">
        <v>2022</v>
      </c>
      <c r="C75">
        <v>1.55E-2</v>
      </c>
    </row>
    <row r="76" spans="1:3" x14ac:dyDescent="0.35">
      <c r="A76">
        <v>21</v>
      </c>
      <c r="B76">
        <v>2023</v>
      </c>
      <c r="C76">
        <v>1.46E-2</v>
      </c>
    </row>
    <row r="77" spans="1:3" x14ac:dyDescent="0.35">
      <c r="A77">
        <v>21</v>
      </c>
      <c r="B77">
        <v>2024</v>
      </c>
      <c r="C77">
        <v>1.38E-2</v>
      </c>
    </row>
    <row r="78" spans="1:3" x14ac:dyDescent="0.35">
      <c r="A78">
        <v>21</v>
      </c>
      <c r="B78">
        <v>2025</v>
      </c>
      <c r="C78">
        <v>1.3100000000000001E-2</v>
      </c>
    </row>
    <row r="79" spans="1:3" x14ac:dyDescent="0.35">
      <c r="A79">
        <v>21</v>
      </c>
      <c r="B79">
        <v>2026</v>
      </c>
      <c r="C79">
        <v>1.24E-2</v>
      </c>
    </row>
    <row r="80" spans="1:3" x14ac:dyDescent="0.35">
      <c r="A80">
        <v>21</v>
      </c>
      <c r="B80">
        <v>2027</v>
      </c>
      <c r="C80">
        <v>1.17E-2</v>
      </c>
    </row>
    <row r="81" spans="1:3" x14ac:dyDescent="0.35">
      <c r="A81">
        <v>21</v>
      </c>
      <c r="B81">
        <v>2028</v>
      </c>
      <c r="C81">
        <v>1.11E-2</v>
      </c>
    </row>
    <row r="82" spans="1:3" x14ac:dyDescent="0.35">
      <c r="A82">
        <v>21</v>
      </c>
      <c r="B82">
        <v>2029</v>
      </c>
      <c r="C82">
        <v>1.0699999999999999E-2</v>
      </c>
    </row>
    <row r="83" spans="1:3" x14ac:dyDescent="0.35">
      <c r="A83">
        <v>21</v>
      </c>
      <c r="B83">
        <v>2030</v>
      </c>
      <c r="C83">
        <v>1.03E-2</v>
      </c>
    </row>
    <row r="84" spans="1:3" x14ac:dyDescent="0.35">
      <c r="A84">
        <v>21</v>
      </c>
      <c r="B84">
        <v>2031</v>
      </c>
      <c r="C84">
        <v>1.01E-2</v>
      </c>
    </row>
    <row r="85" spans="1:3" x14ac:dyDescent="0.35">
      <c r="A85">
        <v>22</v>
      </c>
      <c r="B85">
        <v>1951</v>
      </c>
      <c r="C85">
        <v>-1.21E-2</v>
      </c>
    </row>
    <row r="86" spans="1:3" x14ac:dyDescent="0.35">
      <c r="A86">
        <v>22</v>
      </c>
      <c r="B86">
        <v>1952</v>
      </c>
      <c r="C86">
        <v>-4.1999999999999997E-3</v>
      </c>
    </row>
    <row r="87" spans="1:3" x14ac:dyDescent="0.35">
      <c r="A87">
        <v>22</v>
      </c>
      <c r="B87">
        <v>1953</v>
      </c>
      <c r="C87">
        <v>3.3999999999999998E-3</v>
      </c>
    </row>
    <row r="88" spans="1:3" x14ac:dyDescent="0.35">
      <c r="A88">
        <v>22</v>
      </c>
      <c r="B88">
        <v>1954</v>
      </c>
      <c r="C88">
        <v>1.03E-2</v>
      </c>
    </row>
    <row r="89" spans="1:3" x14ac:dyDescent="0.35">
      <c r="A89">
        <v>22</v>
      </c>
      <c r="B89">
        <v>1955</v>
      </c>
      <c r="C89">
        <v>1.5699999999999999E-2</v>
      </c>
    </row>
    <row r="90" spans="1:3" x14ac:dyDescent="0.35">
      <c r="A90">
        <v>22</v>
      </c>
      <c r="B90">
        <v>1956</v>
      </c>
      <c r="C90">
        <v>1.95E-2</v>
      </c>
    </row>
    <row r="91" spans="1:3" x14ac:dyDescent="0.35">
      <c r="A91">
        <v>22</v>
      </c>
      <c r="B91">
        <v>1957</v>
      </c>
      <c r="C91">
        <v>2.12E-2</v>
      </c>
    </row>
    <row r="92" spans="1:3" x14ac:dyDescent="0.35">
      <c r="A92">
        <v>22</v>
      </c>
      <c r="B92">
        <v>1958</v>
      </c>
      <c r="C92">
        <v>2.0500000000000001E-2</v>
      </c>
    </row>
    <row r="93" spans="1:3" x14ac:dyDescent="0.35">
      <c r="A93">
        <v>22</v>
      </c>
      <c r="B93">
        <v>1959</v>
      </c>
      <c r="C93">
        <v>1.7100000000000001E-2</v>
      </c>
    </row>
    <row r="94" spans="1:3" x14ac:dyDescent="0.35">
      <c r="A94">
        <v>22</v>
      </c>
      <c r="B94">
        <v>1960</v>
      </c>
      <c r="C94">
        <v>1.11E-2</v>
      </c>
    </row>
    <row r="95" spans="1:3" x14ac:dyDescent="0.35">
      <c r="A95">
        <v>22</v>
      </c>
      <c r="B95">
        <v>1961</v>
      </c>
      <c r="C95">
        <v>3.0999999999999999E-3</v>
      </c>
    </row>
    <row r="96" spans="1:3" x14ac:dyDescent="0.35">
      <c r="A96">
        <v>22</v>
      </c>
      <c r="B96">
        <v>1962</v>
      </c>
      <c r="C96">
        <v>-6.3E-3</v>
      </c>
    </row>
    <row r="97" spans="1:3" x14ac:dyDescent="0.35">
      <c r="A97">
        <v>22</v>
      </c>
      <c r="B97">
        <v>1963</v>
      </c>
      <c r="C97">
        <v>-1.5900000000000001E-2</v>
      </c>
    </row>
    <row r="98" spans="1:3" x14ac:dyDescent="0.35">
      <c r="A98">
        <v>22</v>
      </c>
      <c r="B98">
        <v>1964</v>
      </c>
      <c r="C98">
        <v>-2.47E-2</v>
      </c>
    </row>
    <row r="99" spans="1:3" x14ac:dyDescent="0.35">
      <c r="A99">
        <v>22</v>
      </c>
      <c r="B99">
        <v>1965</v>
      </c>
      <c r="C99">
        <v>-3.1399999999999997E-2</v>
      </c>
    </row>
    <row r="100" spans="1:3" x14ac:dyDescent="0.35">
      <c r="A100">
        <v>22</v>
      </c>
      <c r="B100">
        <v>1966</v>
      </c>
      <c r="C100">
        <v>-3.5000000000000003E-2</v>
      </c>
    </row>
    <row r="101" spans="1:3" x14ac:dyDescent="0.35">
      <c r="A101">
        <v>22</v>
      </c>
      <c r="B101">
        <v>1967</v>
      </c>
      <c r="C101">
        <v>-3.4799999999999998E-2</v>
      </c>
    </row>
    <row r="102" spans="1:3" x14ac:dyDescent="0.35">
      <c r="A102">
        <v>22</v>
      </c>
      <c r="B102">
        <v>1968</v>
      </c>
      <c r="C102">
        <v>-3.0599999999999999E-2</v>
      </c>
    </row>
    <row r="103" spans="1:3" x14ac:dyDescent="0.35">
      <c r="A103">
        <v>22</v>
      </c>
      <c r="B103">
        <v>1969</v>
      </c>
      <c r="C103">
        <v>-2.3099999999999999E-2</v>
      </c>
    </row>
    <row r="104" spans="1:3" x14ac:dyDescent="0.35">
      <c r="A104">
        <v>22</v>
      </c>
      <c r="B104">
        <v>1970</v>
      </c>
      <c r="C104">
        <v>-1.38E-2</v>
      </c>
    </row>
    <row r="105" spans="1:3" x14ac:dyDescent="0.35">
      <c r="A105">
        <v>22</v>
      </c>
      <c r="B105">
        <v>1971</v>
      </c>
      <c r="C105">
        <v>-4.4000000000000003E-3</v>
      </c>
    </row>
    <row r="106" spans="1:3" x14ac:dyDescent="0.35">
      <c r="A106">
        <v>22</v>
      </c>
      <c r="B106">
        <v>1972</v>
      </c>
      <c r="C106">
        <v>3.8E-3</v>
      </c>
    </row>
    <row r="107" spans="1:3" x14ac:dyDescent="0.35">
      <c r="A107">
        <v>22</v>
      </c>
      <c r="B107">
        <v>1973</v>
      </c>
      <c r="C107">
        <v>9.9000000000000008E-3</v>
      </c>
    </row>
    <row r="108" spans="1:3" x14ac:dyDescent="0.35">
      <c r="A108">
        <v>22</v>
      </c>
      <c r="B108">
        <v>1974</v>
      </c>
      <c r="C108">
        <v>1.38E-2</v>
      </c>
    </row>
    <row r="109" spans="1:3" x14ac:dyDescent="0.35">
      <c r="A109">
        <v>22</v>
      </c>
      <c r="B109">
        <v>1975</v>
      </c>
      <c r="C109">
        <v>1.5599999999999999E-2</v>
      </c>
    </row>
    <row r="110" spans="1:3" x14ac:dyDescent="0.35">
      <c r="A110">
        <v>22</v>
      </c>
      <c r="B110">
        <v>1976</v>
      </c>
      <c r="C110">
        <v>1.6199999999999999E-2</v>
      </c>
    </row>
    <row r="111" spans="1:3" x14ac:dyDescent="0.35">
      <c r="A111">
        <v>22</v>
      </c>
      <c r="B111">
        <v>1977</v>
      </c>
      <c r="C111">
        <v>1.67E-2</v>
      </c>
    </row>
    <row r="112" spans="1:3" x14ac:dyDescent="0.35">
      <c r="A112">
        <v>22</v>
      </c>
      <c r="B112">
        <v>1978</v>
      </c>
      <c r="C112">
        <v>1.8499999999999999E-2</v>
      </c>
    </row>
    <row r="113" spans="1:3" x14ac:dyDescent="0.35">
      <c r="A113">
        <v>22</v>
      </c>
      <c r="B113">
        <v>1979</v>
      </c>
      <c r="C113">
        <v>2.2200000000000001E-2</v>
      </c>
    </row>
    <row r="114" spans="1:3" x14ac:dyDescent="0.35">
      <c r="A114">
        <v>22</v>
      </c>
      <c r="B114">
        <v>1980</v>
      </c>
      <c r="C114">
        <v>2.6800000000000001E-2</v>
      </c>
    </row>
    <row r="115" spans="1:3" x14ac:dyDescent="0.35">
      <c r="A115">
        <v>22</v>
      </c>
      <c r="B115">
        <v>1981</v>
      </c>
      <c r="C115">
        <v>3.0700000000000002E-2</v>
      </c>
    </row>
    <row r="116" spans="1:3" x14ac:dyDescent="0.35">
      <c r="A116">
        <v>22</v>
      </c>
      <c r="B116">
        <v>1982</v>
      </c>
      <c r="C116">
        <v>3.1399999999999997E-2</v>
      </c>
    </row>
    <row r="117" spans="1:3" x14ac:dyDescent="0.35">
      <c r="A117">
        <v>22</v>
      </c>
      <c r="B117">
        <v>1983</v>
      </c>
      <c r="C117">
        <v>2.8000000000000001E-2</v>
      </c>
    </row>
    <row r="118" spans="1:3" x14ac:dyDescent="0.35">
      <c r="A118">
        <v>22</v>
      </c>
      <c r="B118">
        <v>1984</v>
      </c>
      <c r="C118">
        <v>2.12E-2</v>
      </c>
    </row>
    <row r="119" spans="1:3" x14ac:dyDescent="0.35">
      <c r="A119">
        <v>22</v>
      </c>
      <c r="B119">
        <v>1985</v>
      </c>
      <c r="C119">
        <v>1.29E-2</v>
      </c>
    </row>
    <row r="120" spans="1:3" x14ac:dyDescent="0.35">
      <c r="A120">
        <v>22</v>
      </c>
      <c r="B120">
        <v>1986</v>
      </c>
      <c r="C120">
        <v>5.3E-3</v>
      </c>
    </row>
    <row r="121" spans="1:3" x14ac:dyDescent="0.35">
      <c r="A121">
        <v>22</v>
      </c>
      <c r="B121">
        <v>1987</v>
      </c>
      <c r="C121">
        <v>1E-4</v>
      </c>
    </row>
    <row r="122" spans="1:3" x14ac:dyDescent="0.35">
      <c r="A122">
        <v>22</v>
      </c>
      <c r="B122">
        <v>1988</v>
      </c>
      <c r="C122">
        <v>-2.3999999999999998E-3</v>
      </c>
    </row>
    <row r="123" spans="1:3" x14ac:dyDescent="0.35">
      <c r="A123">
        <v>22</v>
      </c>
      <c r="B123">
        <v>1989</v>
      </c>
      <c r="C123">
        <v>-2E-3</v>
      </c>
    </row>
    <row r="124" spans="1:3" x14ac:dyDescent="0.35">
      <c r="A124">
        <v>22</v>
      </c>
      <c r="B124">
        <v>1990</v>
      </c>
      <c r="C124">
        <v>6.9999999999999999E-4</v>
      </c>
    </row>
    <row r="125" spans="1:3" x14ac:dyDescent="0.35">
      <c r="A125">
        <v>22</v>
      </c>
      <c r="B125">
        <v>1991</v>
      </c>
      <c r="C125">
        <v>5.4999999999999997E-3</v>
      </c>
    </row>
    <row r="126" spans="1:3" x14ac:dyDescent="0.35">
      <c r="A126">
        <v>22</v>
      </c>
      <c r="B126">
        <v>1992</v>
      </c>
      <c r="C126">
        <v>1.15E-2</v>
      </c>
    </row>
    <row r="127" spans="1:3" x14ac:dyDescent="0.35">
      <c r="A127">
        <v>22</v>
      </c>
      <c r="B127">
        <v>1993</v>
      </c>
      <c r="C127">
        <v>1.7899999999999999E-2</v>
      </c>
    </row>
    <row r="128" spans="1:3" x14ac:dyDescent="0.35">
      <c r="A128">
        <v>22</v>
      </c>
      <c r="B128">
        <v>1994</v>
      </c>
      <c r="C128">
        <v>2.3900000000000001E-2</v>
      </c>
    </row>
    <row r="129" spans="1:3" x14ac:dyDescent="0.35">
      <c r="A129">
        <v>22</v>
      </c>
      <c r="B129">
        <v>1995</v>
      </c>
      <c r="C129">
        <v>2.8299999999999999E-2</v>
      </c>
    </row>
    <row r="130" spans="1:3" x14ac:dyDescent="0.35">
      <c r="A130">
        <v>22</v>
      </c>
      <c r="B130">
        <v>1996</v>
      </c>
      <c r="C130">
        <v>2.98E-2</v>
      </c>
    </row>
    <row r="131" spans="1:3" x14ac:dyDescent="0.35">
      <c r="A131">
        <v>22</v>
      </c>
      <c r="B131">
        <v>1997</v>
      </c>
      <c r="C131">
        <v>2.7699999999999999E-2</v>
      </c>
    </row>
    <row r="132" spans="1:3" x14ac:dyDescent="0.35">
      <c r="A132">
        <v>22</v>
      </c>
      <c r="B132">
        <v>1998</v>
      </c>
      <c r="C132">
        <v>2.1899999999999999E-2</v>
      </c>
    </row>
    <row r="133" spans="1:3" x14ac:dyDescent="0.35">
      <c r="A133">
        <v>22</v>
      </c>
      <c r="B133">
        <v>1999</v>
      </c>
      <c r="C133">
        <v>1.3299999999999999E-2</v>
      </c>
    </row>
    <row r="134" spans="1:3" x14ac:dyDescent="0.35">
      <c r="A134">
        <v>22</v>
      </c>
      <c r="B134">
        <v>2000</v>
      </c>
      <c r="C134">
        <v>3.8E-3</v>
      </c>
    </row>
    <row r="135" spans="1:3" x14ac:dyDescent="0.35">
      <c r="A135">
        <v>22</v>
      </c>
      <c r="B135">
        <v>2001</v>
      </c>
      <c r="C135">
        <v>-4.4000000000000003E-3</v>
      </c>
    </row>
    <row r="136" spans="1:3" x14ac:dyDescent="0.35">
      <c r="A136">
        <v>22</v>
      </c>
      <c r="B136">
        <v>2002</v>
      </c>
      <c r="C136">
        <v>-9.7999999999999997E-3</v>
      </c>
    </row>
    <row r="137" spans="1:3" x14ac:dyDescent="0.35">
      <c r="A137">
        <v>22</v>
      </c>
      <c r="B137">
        <v>2003</v>
      </c>
      <c r="C137">
        <v>-1.14E-2</v>
      </c>
    </row>
    <row r="138" spans="1:3" x14ac:dyDescent="0.35">
      <c r="A138">
        <v>22</v>
      </c>
      <c r="B138">
        <v>2004</v>
      </c>
      <c r="C138">
        <v>-9.1999999999999998E-3</v>
      </c>
    </row>
    <row r="139" spans="1:3" x14ac:dyDescent="0.35">
      <c r="A139">
        <v>22</v>
      </c>
      <c r="B139">
        <v>2005</v>
      </c>
      <c r="C139">
        <v>-3.3999999999999998E-3</v>
      </c>
    </row>
    <row r="140" spans="1:3" x14ac:dyDescent="0.35">
      <c r="A140">
        <v>22</v>
      </c>
      <c r="B140">
        <v>2006</v>
      </c>
      <c r="C140">
        <v>5.0000000000000001E-3</v>
      </c>
    </row>
    <row r="141" spans="1:3" x14ac:dyDescent="0.35">
      <c r="A141">
        <v>22</v>
      </c>
      <c r="B141">
        <v>2007</v>
      </c>
      <c r="C141">
        <v>1.44E-2</v>
      </c>
    </row>
    <row r="142" spans="1:3" x14ac:dyDescent="0.35">
      <c r="A142">
        <v>22</v>
      </c>
      <c r="B142">
        <v>2008</v>
      </c>
      <c r="C142">
        <v>2.2599999999999999E-2</v>
      </c>
    </row>
    <row r="143" spans="1:3" x14ac:dyDescent="0.35">
      <c r="A143">
        <v>22</v>
      </c>
      <c r="B143">
        <v>2009</v>
      </c>
      <c r="C143">
        <v>2.7799999999999998E-2</v>
      </c>
    </row>
    <row r="144" spans="1:3" x14ac:dyDescent="0.35">
      <c r="A144">
        <v>22</v>
      </c>
      <c r="B144">
        <v>2010</v>
      </c>
      <c r="C144">
        <v>2.9399999999999999E-2</v>
      </c>
    </row>
    <row r="145" spans="1:3" x14ac:dyDescent="0.35">
      <c r="A145">
        <v>22</v>
      </c>
      <c r="B145">
        <v>2011</v>
      </c>
      <c r="C145">
        <v>2.8000000000000001E-2</v>
      </c>
    </row>
    <row r="146" spans="1:3" x14ac:dyDescent="0.35">
      <c r="A146">
        <v>22</v>
      </c>
      <c r="B146">
        <v>2012</v>
      </c>
      <c r="C146">
        <v>2.47E-2</v>
      </c>
    </row>
    <row r="147" spans="1:3" x14ac:dyDescent="0.35">
      <c r="A147">
        <v>22</v>
      </c>
      <c r="B147">
        <v>2013</v>
      </c>
      <c r="C147">
        <v>2.63E-2</v>
      </c>
    </row>
    <row r="148" spans="1:3" x14ac:dyDescent="0.35">
      <c r="A148">
        <v>22</v>
      </c>
      <c r="B148">
        <v>2014</v>
      </c>
      <c r="C148">
        <v>2.7199999999999998E-2</v>
      </c>
    </row>
    <row r="149" spans="1:3" x14ac:dyDescent="0.35">
      <c r="A149">
        <v>22</v>
      </c>
      <c r="B149">
        <v>2015</v>
      </c>
      <c r="C149">
        <v>2.5999999999999999E-2</v>
      </c>
    </row>
    <row r="150" spans="1:3" x14ac:dyDescent="0.35">
      <c r="A150">
        <v>22</v>
      </c>
      <c r="B150">
        <v>2016</v>
      </c>
      <c r="C150">
        <v>2.46E-2</v>
      </c>
    </row>
    <row r="151" spans="1:3" x14ac:dyDescent="0.35">
      <c r="A151">
        <v>22</v>
      </c>
      <c r="B151">
        <v>2017</v>
      </c>
      <c r="C151">
        <v>2.29E-2</v>
      </c>
    </row>
    <row r="152" spans="1:3" x14ac:dyDescent="0.35">
      <c r="A152">
        <v>22</v>
      </c>
      <c r="B152">
        <v>2018</v>
      </c>
      <c r="C152">
        <v>2.12E-2</v>
      </c>
    </row>
    <row r="153" spans="1:3" x14ac:dyDescent="0.35">
      <c r="A153">
        <v>22</v>
      </c>
      <c r="B153">
        <v>2019</v>
      </c>
      <c r="C153">
        <v>1.9400000000000001E-2</v>
      </c>
    </row>
    <row r="154" spans="1:3" x14ac:dyDescent="0.35">
      <c r="A154">
        <v>22</v>
      </c>
      <c r="B154">
        <v>2020</v>
      </c>
      <c r="C154">
        <v>1.78E-2</v>
      </c>
    </row>
    <row r="155" spans="1:3" x14ac:dyDescent="0.35">
      <c r="A155">
        <v>22</v>
      </c>
      <c r="B155">
        <v>2021</v>
      </c>
      <c r="C155">
        <v>1.6500000000000001E-2</v>
      </c>
    </row>
    <row r="156" spans="1:3" x14ac:dyDescent="0.35">
      <c r="A156">
        <v>22</v>
      </c>
      <c r="B156">
        <v>2022</v>
      </c>
      <c r="C156">
        <v>1.55E-2</v>
      </c>
    </row>
    <row r="157" spans="1:3" x14ac:dyDescent="0.35">
      <c r="A157">
        <v>22</v>
      </c>
      <c r="B157">
        <v>2023</v>
      </c>
      <c r="C157">
        <v>1.46E-2</v>
      </c>
    </row>
    <row r="158" spans="1:3" x14ac:dyDescent="0.35">
      <c r="A158">
        <v>22</v>
      </c>
      <c r="B158">
        <v>2024</v>
      </c>
      <c r="C158">
        <v>1.38E-2</v>
      </c>
    </row>
    <row r="159" spans="1:3" x14ac:dyDescent="0.35">
      <c r="A159">
        <v>22</v>
      </c>
      <c r="B159">
        <v>2025</v>
      </c>
      <c r="C159">
        <v>1.3100000000000001E-2</v>
      </c>
    </row>
    <row r="160" spans="1:3" x14ac:dyDescent="0.35">
      <c r="A160">
        <v>22</v>
      </c>
      <c r="B160">
        <v>2026</v>
      </c>
      <c r="C160">
        <v>1.24E-2</v>
      </c>
    </row>
    <row r="161" spans="1:3" x14ac:dyDescent="0.35">
      <c r="A161">
        <v>22</v>
      </c>
      <c r="B161">
        <v>2027</v>
      </c>
      <c r="C161">
        <v>1.17E-2</v>
      </c>
    </row>
    <row r="162" spans="1:3" x14ac:dyDescent="0.35">
      <c r="A162">
        <v>22</v>
      </c>
      <c r="B162">
        <v>2028</v>
      </c>
      <c r="C162">
        <v>1.11E-2</v>
      </c>
    </row>
    <row r="163" spans="1:3" x14ac:dyDescent="0.35">
      <c r="A163">
        <v>22</v>
      </c>
      <c r="B163">
        <v>2029</v>
      </c>
      <c r="C163">
        <v>1.0699999999999999E-2</v>
      </c>
    </row>
    <row r="164" spans="1:3" x14ac:dyDescent="0.35">
      <c r="A164">
        <v>22</v>
      </c>
      <c r="B164">
        <v>2030</v>
      </c>
      <c r="C164">
        <v>1.03E-2</v>
      </c>
    </row>
    <row r="165" spans="1:3" x14ac:dyDescent="0.35">
      <c r="A165">
        <v>22</v>
      </c>
      <c r="B165">
        <v>2031</v>
      </c>
      <c r="C165">
        <v>1.01E-2</v>
      </c>
    </row>
    <row r="166" spans="1:3" x14ac:dyDescent="0.35">
      <c r="A166">
        <v>23</v>
      </c>
      <c r="B166">
        <v>1951</v>
      </c>
      <c r="C166">
        <v>-8.2000000000000007E-3</v>
      </c>
    </row>
    <row r="167" spans="1:3" x14ac:dyDescent="0.35">
      <c r="A167">
        <v>23</v>
      </c>
      <c r="B167">
        <v>1952</v>
      </c>
      <c r="C167">
        <v>-1E-3</v>
      </c>
    </row>
    <row r="168" spans="1:3" x14ac:dyDescent="0.35">
      <c r="A168">
        <v>23</v>
      </c>
      <c r="B168">
        <v>1953</v>
      </c>
      <c r="C168">
        <v>5.8999999999999999E-3</v>
      </c>
    </row>
    <row r="169" spans="1:3" x14ac:dyDescent="0.35">
      <c r="A169">
        <v>23</v>
      </c>
      <c r="B169">
        <v>1954</v>
      </c>
      <c r="C169">
        <v>1.1900000000000001E-2</v>
      </c>
    </row>
    <row r="170" spans="1:3" x14ac:dyDescent="0.35">
      <c r="A170">
        <v>23</v>
      </c>
      <c r="B170">
        <v>1955</v>
      </c>
      <c r="C170">
        <v>1.66E-2</v>
      </c>
    </row>
    <row r="171" spans="1:3" x14ac:dyDescent="0.35">
      <c r="A171">
        <v>23</v>
      </c>
      <c r="B171">
        <v>1956</v>
      </c>
      <c r="C171">
        <v>1.9699999999999999E-2</v>
      </c>
    </row>
    <row r="172" spans="1:3" x14ac:dyDescent="0.35">
      <c r="A172">
        <v>23</v>
      </c>
      <c r="B172">
        <v>1957</v>
      </c>
      <c r="C172">
        <v>2.0799999999999999E-2</v>
      </c>
    </row>
    <row r="173" spans="1:3" x14ac:dyDescent="0.35">
      <c r="A173">
        <v>23</v>
      </c>
      <c r="B173">
        <v>1958</v>
      </c>
      <c r="C173">
        <v>1.9599999999999999E-2</v>
      </c>
    </row>
    <row r="174" spans="1:3" x14ac:dyDescent="0.35">
      <c r="A174">
        <v>23</v>
      </c>
      <c r="B174">
        <v>1959</v>
      </c>
      <c r="C174">
        <v>1.5900000000000001E-2</v>
      </c>
    </row>
    <row r="175" spans="1:3" x14ac:dyDescent="0.35">
      <c r="A175">
        <v>23</v>
      </c>
      <c r="B175">
        <v>1960</v>
      </c>
      <c r="C175">
        <v>9.9000000000000008E-3</v>
      </c>
    </row>
    <row r="176" spans="1:3" x14ac:dyDescent="0.35">
      <c r="A176">
        <v>23</v>
      </c>
      <c r="B176">
        <v>1961</v>
      </c>
      <c r="C176">
        <v>2.0999999999999999E-3</v>
      </c>
    </row>
    <row r="177" spans="1:3" x14ac:dyDescent="0.35">
      <c r="A177">
        <v>23</v>
      </c>
      <c r="B177">
        <v>1962</v>
      </c>
      <c r="C177">
        <v>-6.8999999999999999E-3</v>
      </c>
    </row>
    <row r="178" spans="1:3" x14ac:dyDescent="0.35">
      <c r="A178">
        <v>23</v>
      </c>
      <c r="B178">
        <v>1963</v>
      </c>
      <c r="C178">
        <v>-1.5900000000000001E-2</v>
      </c>
    </row>
    <row r="179" spans="1:3" x14ac:dyDescent="0.35">
      <c r="A179">
        <v>23</v>
      </c>
      <c r="B179">
        <v>1964</v>
      </c>
      <c r="C179">
        <v>-2.3900000000000001E-2</v>
      </c>
    </row>
    <row r="180" spans="1:3" x14ac:dyDescent="0.35">
      <c r="A180">
        <v>23</v>
      </c>
      <c r="B180">
        <v>1965</v>
      </c>
      <c r="C180">
        <v>-0.03</v>
      </c>
    </row>
    <row r="181" spans="1:3" x14ac:dyDescent="0.35">
      <c r="A181">
        <v>23</v>
      </c>
      <c r="B181">
        <v>1966</v>
      </c>
      <c r="C181">
        <v>-3.32E-2</v>
      </c>
    </row>
    <row r="182" spans="1:3" x14ac:dyDescent="0.35">
      <c r="A182">
        <v>23</v>
      </c>
      <c r="B182">
        <v>1967</v>
      </c>
      <c r="C182">
        <v>-3.2800000000000003E-2</v>
      </c>
    </row>
    <row r="183" spans="1:3" x14ac:dyDescent="0.35">
      <c r="A183">
        <v>23</v>
      </c>
      <c r="B183">
        <v>1968</v>
      </c>
      <c r="C183">
        <v>-2.87E-2</v>
      </c>
    </row>
    <row r="184" spans="1:3" x14ac:dyDescent="0.35">
      <c r="A184">
        <v>23</v>
      </c>
      <c r="B184">
        <v>1969</v>
      </c>
      <c r="C184">
        <v>-2.1499999999999998E-2</v>
      </c>
    </row>
    <row r="185" spans="1:3" x14ac:dyDescent="0.35">
      <c r="A185">
        <v>23</v>
      </c>
      <c r="B185">
        <v>1970</v>
      </c>
      <c r="C185">
        <v>-1.26E-2</v>
      </c>
    </row>
    <row r="186" spans="1:3" x14ac:dyDescent="0.35">
      <c r="A186">
        <v>23</v>
      </c>
      <c r="B186">
        <v>1971</v>
      </c>
      <c r="C186">
        <v>-3.8E-3</v>
      </c>
    </row>
    <row r="187" spans="1:3" x14ac:dyDescent="0.35">
      <c r="A187">
        <v>23</v>
      </c>
      <c r="B187">
        <v>1972</v>
      </c>
      <c r="C187">
        <v>3.8999999999999998E-3</v>
      </c>
    </row>
    <row r="188" spans="1:3" x14ac:dyDescent="0.35">
      <c r="A188">
        <v>23</v>
      </c>
      <c r="B188">
        <v>1973</v>
      </c>
      <c r="C188">
        <v>9.5999999999999992E-3</v>
      </c>
    </row>
    <row r="189" spans="1:3" x14ac:dyDescent="0.35">
      <c r="A189">
        <v>23</v>
      </c>
      <c r="B189">
        <v>1974</v>
      </c>
      <c r="C189">
        <v>1.3100000000000001E-2</v>
      </c>
    </row>
    <row r="190" spans="1:3" x14ac:dyDescent="0.35">
      <c r="A190">
        <v>23</v>
      </c>
      <c r="B190">
        <v>1975</v>
      </c>
      <c r="C190">
        <v>1.46E-2</v>
      </c>
    </row>
    <row r="191" spans="1:3" x14ac:dyDescent="0.35">
      <c r="A191">
        <v>23</v>
      </c>
      <c r="B191">
        <v>1976</v>
      </c>
      <c r="C191">
        <v>1.49E-2</v>
      </c>
    </row>
    <row r="192" spans="1:3" x14ac:dyDescent="0.35">
      <c r="A192">
        <v>23</v>
      </c>
      <c r="B192">
        <v>1977</v>
      </c>
      <c r="C192">
        <v>1.52E-2</v>
      </c>
    </row>
    <row r="193" spans="1:3" x14ac:dyDescent="0.35">
      <c r="A193">
        <v>23</v>
      </c>
      <c r="B193">
        <v>1978</v>
      </c>
      <c r="C193">
        <v>1.6799999999999999E-2</v>
      </c>
    </row>
    <row r="194" spans="1:3" x14ac:dyDescent="0.35">
      <c r="A194">
        <v>23</v>
      </c>
      <c r="B194">
        <v>1979</v>
      </c>
      <c r="C194">
        <v>2.0199999999999999E-2</v>
      </c>
    </row>
    <row r="195" spans="1:3" x14ac:dyDescent="0.35">
      <c r="A195">
        <v>23</v>
      </c>
      <c r="B195">
        <v>1980</v>
      </c>
      <c r="C195">
        <v>2.47E-2</v>
      </c>
    </row>
    <row r="196" spans="1:3" x14ac:dyDescent="0.35">
      <c r="A196">
        <v>23</v>
      </c>
      <c r="B196">
        <v>1981</v>
      </c>
      <c r="C196">
        <v>2.8500000000000001E-2</v>
      </c>
    </row>
    <row r="197" spans="1:3" x14ac:dyDescent="0.35">
      <c r="A197">
        <v>23</v>
      </c>
      <c r="B197">
        <v>1982</v>
      </c>
      <c r="C197">
        <v>2.9399999999999999E-2</v>
      </c>
    </row>
    <row r="198" spans="1:3" x14ac:dyDescent="0.35">
      <c r="A198">
        <v>23</v>
      </c>
      <c r="B198">
        <v>1983</v>
      </c>
      <c r="C198">
        <v>2.63E-2</v>
      </c>
    </row>
    <row r="199" spans="1:3" x14ac:dyDescent="0.35">
      <c r="A199">
        <v>23</v>
      </c>
      <c r="B199">
        <v>1984</v>
      </c>
      <c r="C199">
        <v>1.9699999999999999E-2</v>
      </c>
    </row>
    <row r="200" spans="1:3" x14ac:dyDescent="0.35">
      <c r="A200">
        <v>23</v>
      </c>
      <c r="B200">
        <v>1985</v>
      </c>
      <c r="C200">
        <v>1.1599999999999999E-2</v>
      </c>
    </row>
    <row r="201" spans="1:3" x14ac:dyDescent="0.35">
      <c r="A201">
        <v>23</v>
      </c>
      <c r="B201">
        <v>1986</v>
      </c>
      <c r="C201">
        <v>4.1999999999999997E-3</v>
      </c>
    </row>
    <row r="202" spans="1:3" x14ac:dyDescent="0.35">
      <c r="A202">
        <v>23</v>
      </c>
      <c r="B202">
        <v>1987</v>
      </c>
      <c r="C202">
        <v>-8.0000000000000004E-4</v>
      </c>
    </row>
    <row r="203" spans="1:3" x14ac:dyDescent="0.35">
      <c r="A203">
        <v>23</v>
      </c>
      <c r="B203">
        <v>1988</v>
      </c>
      <c r="C203">
        <v>-2.8999999999999998E-3</v>
      </c>
    </row>
    <row r="204" spans="1:3" x14ac:dyDescent="0.35">
      <c r="A204">
        <v>23</v>
      </c>
      <c r="B204">
        <v>1989</v>
      </c>
      <c r="C204">
        <v>-2E-3</v>
      </c>
    </row>
    <row r="205" spans="1:3" x14ac:dyDescent="0.35">
      <c r="A205">
        <v>23</v>
      </c>
      <c r="B205">
        <v>1990</v>
      </c>
      <c r="C205">
        <v>1.4E-3</v>
      </c>
    </row>
    <row r="206" spans="1:3" x14ac:dyDescent="0.35">
      <c r="A206">
        <v>23</v>
      </c>
      <c r="B206">
        <v>1991</v>
      </c>
      <c r="C206">
        <v>6.7999999999999996E-3</v>
      </c>
    </row>
    <row r="207" spans="1:3" x14ac:dyDescent="0.35">
      <c r="A207">
        <v>23</v>
      </c>
      <c r="B207">
        <v>1992</v>
      </c>
      <c r="C207">
        <v>1.34E-2</v>
      </c>
    </row>
    <row r="208" spans="1:3" x14ac:dyDescent="0.35">
      <c r="A208">
        <v>23</v>
      </c>
      <c r="B208">
        <v>1993</v>
      </c>
      <c r="C208">
        <v>2.0299999999999999E-2</v>
      </c>
    </row>
    <row r="209" spans="1:3" x14ac:dyDescent="0.35">
      <c r="A209">
        <v>23</v>
      </c>
      <c r="B209">
        <v>1994</v>
      </c>
      <c r="C209">
        <v>2.6499999999999999E-2</v>
      </c>
    </row>
    <row r="210" spans="1:3" x14ac:dyDescent="0.35">
      <c r="A210">
        <v>23</v>
      </c>
      <c r="B210">
        <v>1995</v>
      </c>
      <c r="C210">
        <v>3.0800000000000001E-2</v>
      </c>
    </row>
    <row r="211" spans="1:3" x14ac:dyDescent="0.35">
      <c r="A211">
        <v>23</v>
      </c>
      <c r="B211">
        <v>1996</v>
      </c>
      <c r="C211">
        <v>3.2000000000000001E-2</v>
      </c>
    </row>
    <row r="212" spans="1:3" x14ac:dyDescent="0.35">
      <c r="A212">
        <v>23</v>
      </c>
      <c r="B212">
        <v>1997</v>
      </c>
      <c r="C212">
        <v>2.92E-2</v>
      </c>
    </row>
    <row r="213" spans="1:3" x14ac:dyDescent="0.35">
      <c r="A213">
        <v>23</v>
      </c>
      <c r="B213">
        <v>1998</v>
      </c>
      <c r="C213">
        <v>2.2499999999999999E-2</v>
      </c>
    </row>
    <row r="214" spans="1:3" x14ac:dyDescent="0.35">
      <c r="A214">
        <v>23</v>
      </c>
      <c r="B214">
        <v>1999</v>
      </c>
      <c r="C214">
        <v>1.2999999999999999E-2</v>
      </c>
    </row>
    <row r="215" spans="1:3" x14ac:dyDescent="0.35">
      <c r="A215">
        <v>23</v>
      </c>
      <c r="B215">
        <v>2000</v>
      </c>
      <c r="C215">
        <v>2.5000000000000001E-3</v>
      </c>
    </row>
    <row r="216" spans="1:3" x14ac:dyDescent="0.35">
      <c r="A216">
        <v>23</v>
      </c>
      <c r="B216">
        <v>2001</v>
      </c>
      <c r="C216">
        <v>-6.6E-3</v>
      </c>
    </row>
    <row r="217" spans="1:3" x14ac:dyDescent="0.35">
      <c r="A217">
        <v>23</v>
      </c>
      <c r="B217">
        <v>2002</v>
      </c>
      <c r="C217">
        <v>-1.26E-2</v>
      </c>
    </row>
    <row r="218" spans="1:3" x14ac:dyDescent="0.35">
      <c r="A218">
        <v>23</v>
      </c>
      <c r="B218">
        <v>2003</v>
      </c>
      <c r="C218">
        <v>-1.47E-2</v>
      </c>
    </row>
    <row r="219" spans="1:3" x14ac:dyDescent="0.35">
      <c r="A219">
        <v>23</v>
      </c>
      <c r="B219">
        <v>2004</v>
      </c>
      <c r="C219">
        <v>-1.2699999999999999E-2</v>
      </c>
    </row>
    <row r="220" spans="1:3" x14ac:dyDescent="0.35">
      <c r="A220">
        <v>23</v>
      </c>
      <c r="B220">
        <v>2005</v>
      </c>
      <c r="C220">
        <v>-7.1000000000000004E-3</v>
      </c>
    </row>
    <row r="221" spans="1:3" x14ac:dyDescent="0.35">
      <c r="A221">
        <v>23</v>
      </c>
      <c r="B221">
        <v>2006</v>
      </c>
      <c r="C221">
        <v>1.1000000000000001E-3</v>
      </c>
    </row>
    <row r="222" spans="1:3" x14ac:dyDescent="0.35">
      <c r="A222">
        <v>23</v>
      </c>
      <c r="B222">
        <v>2007</v>
      </c>
      <c r="C222">
        <v>1.04E-2</v>
      </c>
    </row>
    <row r="223" spans="1:3" x14ac:dyDescent="0.35">
      <c r="A223">
        <v>23</v>
      </c>
      <c r="B223">
        <v>2008</v>
      </c>
      <c r="C223">
        <v>1.8499999999999999E-2</v>
      </c>
    </row>
    <row r="224" spans="1:3" x14ac:dyDescent="0.35">
      <c r="A224">
        <v>23</v>
      </c>
      <c r="B224">
        <v>2009</v>
      </c>
      <c r="C224">
        <v>2.3699999999999999E-2</v>
      </c>
    </row>
    <row r="225" spans="1:3" x14ac:dyDescent="0.35">
      <c r="A225">
        <v>23</v>
      </c>
      <c r="B225">
        <v>2010</v>
      </c>
      <c r="C225">
        <v>2.53E-2</v>
      </c>
    </row>
    <row r="226" spans="1:3" x14ac:dyDescent="0.35">
      <c r="A226">
        <v>23</v>
      </c>
      <c r="B226">
        <v>2011</v>
      </c>
      <c r="C226">
        <v>2.4E-2</v>
      </c>
    </row>
    <row r="227" spans="1:3" x14ac:dyDescent="0.35">
      <c r="A227">
        <v>23</v>
      </c>
      <c r="B227">
        <v>2012</v>
      </c>
      <c r="C227">
        <v>2.0799999999999999E-2</v>
      </c>
    </row>
    <row r="228" spans="1:3" x14ac:dyDescent="0.35">
      <c r="A228">
        <v>23</v>
      </c>
      <c r="B228">
        <v>2013</v>
      </c>
      <c r="C228">
        <v>2.2599999999999999E-2</v>
      </c>
    </row>
    <row r="229" spans="1:3" x14ac:dyDescent="0.35">
      <c r="A229">
        <v>23</v>
      </c>
      <c r="B229">
        <v>2014</v>
      </c>
      <c r="C229">
        <v>2.3800000000000002E-2</v>
      </c>
    </row>
    <row r="230" spans="1:3" x14ac:dyDescent="0.35">
      <c r="A230">
        <v>23</v>
      </c>
      <c r="B230">
        <v>2015</v>
      </c>
      <c r="C230">
        <v>2.4500000000000001E-2</v>
      </c>
    </row>
    <row r="231" spans="1:3" x14ac:dyDescent="0.35">
      <c r="A231">
        <v>23</v>
      </c>
      <c r="B231">
        <v>2016</v>
      </c>
      <c r="C231">
        <v>2.3300000000000001E-2</v>
      </c>
    </row>
    <row r="232" spans="1:3" x14ac:dyDescent="0.35">
      <c r="A232">
        <v>23</v>
      </c>
      <c r="B232">
        <v>2017</v>
      </c>
      <c r="C232">
        <v>2.1899999999999999E-2</v>
      </c>
    </row>
    <row r="233" spans="1:3" x14ac:dyDescent="0.35">
      <c r="A233">
        <v>23</v>
      </c>
      <c r="B233">
        <v>2018</v>
      </c>
      <c r="C233">
        <v>2.0500000000000001E-2</v>
      </c>
    </row>
    <row r="234" spans="1:3" x14ac:dyDescent="0.35">
      <c r="A234">
        <v>23</v>
      </c>
      <c r="B234">
        <v>2019</v>
      </c>
      <c r="C234">
        <v>1.9E-2</v>
      </c>
    </row>
    <row r="235" spans="1:3" x14ac:dyDescent="0.35">
      <c r="A235">
        <v>23</v>
      </c>
      <c r="B235">
        <v>2020</v>
      </c>
      <c r="C235">
        <v>1.7600000000000001E-2</v>
      </c>
    </row>
    <row r="236" spans="1:3" x14ac:dyDescent="0.35">
      <c r="A236">
        <v>23</v>
      </c>
      <c r="B236">
        <v>2021</v>
      </c>
      <c r="C236">
        <v>1.6400000000000001E-2</v>
      </c>
    </row>
    <row r="237" spans="1:3" x14ac:dyDescent="0.35">
      <c r="A237">
        <v>23</v>
      </c>
      <c r="B237">
        <v>2022</v>
      </c>
      <c r="C237">
        <v>1.55E-2</v>
      </c>
    </row>
    <row r="238" spans="1:3" x14ac:dyDescent="0.35">
      <c r="A238">
        <v>23</v>
      </c>
      <c r="B238">
        <v>2023</v>
      </c>
      <c r="C238">
        <v>1.46E-2</v>
      </c>
    </row>
    <row r="239" spans="1:3" x14ac:dyDescent="0.35">
      <c r="A239">
        <v>23</v>
      </c>
      <c r="B239">
        <v>2024</v>
      </c>
      <c r="C239">
        <v>1.38E-2</v>
      </c>
    </row>
    <row r="240" spans="1:3" x14ac:dyDescent="0.35">
      <c r="A240">
        <v>23</v>
      </c>
      <c r="B240">
        <v>2025</v>
      </c>
      <c r="C240">
        <v>1.3100000000000001E-2</v>
      </c>
    </row>
    <row r="241" spans="1:3" x14ac:dyDescent="0.35">
      <c r="A241">
        <v>23</v>
      </c>
      <c r="B241">
        <v>2026</v>
      </c>
      <c r="C241">
        <v>1.24E-2</v>
      </c>
    </row>
    <row r="242" spans="1:3" x14ac:dyDescent="0.35">
      <c r="A242">
        <v>23</v>
      </c>
      <c r="B242">
        <v>2027</v>
      </c>
      <c r="C242">
        <v>1.17E-2</v>
      </c>
    </row>
    <row r="243" spans="1:3" x14ac:dyDescent="0.35">
      <c r="A243">
        <v>23</v>
      </c>
      <c r="B243">
        <v>2028</v>
      </c>
      <c r="C243">
        <v>1.11E-2</v>
      </c>
    </row>
    <row r="244" spans="1:3" x14ac:dyDescent="0.35">
      <c r="A244">
        <v>23</v>
      </c>
      <c r="B244">
        <v>2029</v>
      </c>
      <c r="C244">
        <v>1.0699999999999999E-2</v>
      </c>
    </row>
    <row r="245" spans="1:3" x14ac:dyDescent="0.35">
      <c r="A245">
        <v>23</v>
      </c>
      <c r="B245">
        <v>2030</v>
      </c>
      <c r="C245">
        <v>1.03E-2</v>
      </c>
    </row>
    <row r="246" spans="1:3" x14ac:dyDescent="0.35">
      <c r="A246">
        <v>23</v>
      </c>
      <c r="B246">
        <v>2031</v>
      </c>
      <c r="C246">
        <v>1.01E-2</v>
      </c>
    </row>
    <row r="247" spans="1:3" x14ac:dyDescent="0.35">
      <c r="A247">
        <v>24</v>
      </c>
      <c r="B247">
        <v>1951</v>
      </c>
      <c r="C247">
        <v>-3.0999999999999999E-3</v>
      </c>
    </row>
    <row r="248" spans="1:3" x14ac:dyDescent="0.35">
      <c r="A248">
        <v>24</v>
      </c>
      <c r="B248">
        <v>1952</v>
      </c>
      <c r="C248">
        <v>3.0999999999999999E-3</v>
      </c>
    </row>
    <row r="249" spans="1:3" x14ac:dyDescent="0.35">
      <c r="A249">
        <v>24</v>
      </c>
      <c r="B249">
        <v>1953</v>
      </c>
      <c r="C249">
        <v>8.9999999999999993E-3</v>
      </c>
    </row>
    <row r="250" spans="1:3" x14ac:dyDescent="0.35">
      <c r="A250">
        <v>24</v>
      </c>
      <c r="B250">
        <v>1954</v>
      </c>
      <c r="C250">
        <v>1.4E-2</v>
      </c>
    </row>
    <row r="251" spans="1:3" x14ac:dyDescent="0.35">
      <c r="A251">
        <v>24</v>
      </c>
      <c r="B251">
        <v>1955</v>
      </c>
      <c r="C251">
        <v>1.77E-2</v>
      </c>
    </row>
    <row r="252" spans="1:3" x14ac:dyDescent="0.35">
      <c r="A252">
        <v>24</v>
      </c>
      <c r="B252">
        <v>1956</v>
      </c>
      <c r="C252">
        <v>1.9900000000000001E-2</v>
      </c>
    </row>
    <row r="253" spans="1:3" x14ac:dyDescent="0.35">
      <c r="A253">
        <v>24</v>
      </c>
      <c r="B253">
        <v>1957</v>
      </c>
      <c r="C253">
        <v>2.0199999999999999E-2</v>
      </c>
    </row>
    <row r="254" spans="1:3" x14ac:dyDescent="0.35">
      <c r="A254">
        <v>24</v>
      </c>
      <c r="B254">
        <v>1958</v>
      </c>
      <c r="C254">
        <v>1.83E-2</v>
      </c>
    </row>
    <row r="255" spans="1:3" x14ac:dyDescent="0.35">
      <c r="A255">
        <v>24</v>
      </c>
      <c r="B255">
        <v>1959</v>
      </c>
      <c r="C255">
        <v>1.44E-2</v>
      </c>
    </row>
    <row r="256" spans="1:3" x14ac:dyDescent="0.35">
      <c r="A256">
        <v>24</v>
      </c>
      <c r="B256">
        <v>1960</v>
      </c>
      <c r="C256">
        <v>8.3999999999999995E-3</v>
      </c>
    </row>
    <row r="257" spans="1:3" x14ac:dyDescent="0.35">
      <c r="A257">
        <v>24</v>
      </c>
      <c r="B257">
        <v>1961</v>
      </c>
      <c r="C257">
        <v>8.9999999999999998E-4</v>
      </c>
    </row>
    <row r="258" spans="1:3" x14ac:dyDescent="0.35">
      <c r="A258">
        <v>24</v>
      </c>
      <c r="B258">
        <v>1962</v>
      </c>
      <c r="C258">
        <v>-7.4999999999999997E-3</v>
      </c>
    </row>
    <row r="259" spans="1:3" x14ac:dyDescent="0.35">
      <c r="A259">
        <v>24</v>
      </c>
      <c r="B259">
        <v>1963</v>
      </c>
      <c r="C259">
        <v>-1.5900000000000001E-2</v>
      </c>
    </row>
    <row r="260" spans="1:3" x14ac:dyDescent="0.35">
      <c r="A260">
        <v>24</v>
      </c>
      <c r="B260">
        <v>1964</v>
      </c>
      <c r="C260">
        <v>-2.3199999999999998E-2</v>
      </c>
    </row>
    <row r="261" spans="1:3" x14ac:dyDescent="0.35">
      <c r="A261">
        <v>24</v>
      </c>
      <c r="B261">
        <v>1965</v>
      </c>
      <c r="C261">
        <v>-2.86E-2</v>
      </c>
    </row>
    <row r="262" spans="1:3" x14ac:dyDescent="0.35">
      <c r="A262">
        <v>24</v>
      </c>
      <c r="B262">
        <v>1966</v>
      </c>
      <c r="C262">
        <v>-3.1199999999999999E-2</v>
      </c>
    </row>
    <row r="263" spans="1:3" x14ac:dyDescent="0.35">
      <c r="A263">
        <v>24</v>
      </c>
      <c r="B263">
        <v>1967</v>
      </c>
      <c r="C263">
        <v>-3.0499999999999999E-2</v>
      </c>
    </row>
    <row r="264" spans="1:3" x14ac:dyDescent="0.35">
      <c r="A264">
        <v>24</v>
      </c>
      <c r="B264">
        <v>1968</v>
      </c>
      <c r="C264">
        <v>-2.64E-2</v>
      </c>
    </row>
    <row r="265" spans="1:3" x14ac:dyDescent="0.35">
      <c r="A265">
        <v>24</v>
      </c>
      <c r="B265">
        <v>1969</v>
      </c>
      <c r="C265">
        <v>-1.9599999999999999E-2</v>
      </c>
    </row>
    <row r="266" spans="1:3" x14ac:dyDescent="0.35">
      <c r="A266">
        <v>24</v>
      </c>
      <c r="B266">
        <v>1970</v>
      </c>
      <c r="C266">
        <v>-1.12E-2</v>
      </c>
    </row>
    <row r="267" spans="1:3" x14ac:dyDescent="0.35">
      <c r="A267">
        <v>24</v>
      </c>
      <c r="B267">
        <v>1971</v>
      </c>
      <c r="C267">
        <v>-2.8999999999999998E-3</v>
      </c>
    </row>
    <row r="268" spans="1:3" x14ac:dyDescent="0.35">
      <c r="A268">
        <v>24</v>
      </c>
      <c r="B268">
        <v>1972</v>
      </c>
      <c r="C268">
        <v>4.1999999999999997E-3</v>
      </c>
    </row>
    <row r="269" spans="1:3" x14ac:dyDescent="0.35">
      <c r="A269">
        <v>24</v>
      </c>
      <c r="B269">
        <v>1973</v>
      </c>
      <c r="C269">
        <v>9.4999999999999998E-3</v>
      </c>
    </row>
    <row r="270" spans="1:3" x14ac:dyDescent="0.35">
      <c r="A270">
        <v>24</v>
      </c>
      <c r="B270">
        <v>1974</v>
      </c>
      <c r="C270">
        <v>1.26E-2</v>
      </c>
    </row>
    <row r="271" spans="1:3" x14ac:dyDescent="0.35">
      <c r="A271">
        <v>24</v>
      </c>
      <c r="B271">
        <v>1975</v>
      </c>
      <c r="C271">
        <v>1.38E-2</v>
      </c>
    </row>
    <row r="272" spans="1:3" x14ac:dyDescent="0.35">
      <c r="A272">
        <v>24</v>
      </c>
      <c r="B272">
        <v>1976</v>
      </c>
      <c r="C272">
        <v>1.3899999999999999E-2</v>
      </c>
    </row>
    <row r="273" spans="1:3" x14ac:dyDescent="0.35">
      <c r="A273">
        <v>24</v>
      </c>
      <c r="B273">
        <v>1977</v>
      </c>
      <c r="C273">
        <v>1.3899999999999999E-2</v>
      </c>
    </row>
    <row r="274" spans="1:3" x14ac:dyDescent="0.35">
      <c r="A274">
        <v>24</v>
      </c>
      <c r="B274">
        <v>1978</v>
      </c>
      <c r="C274">
        <v>1.5100000000000001E-2</v>
      </c>
    </row>
    <row r="275" spans="1:3" x14ac:dyDescent="0.35">
      <c r="A275">
        <v>24</v>
      </c>
      <c r="B275">
        <v>1979</v>
      </c>
      <c r="C275">
        <v>1.8100000000000002E-2</v>
      </c>
    </row>
    <row r="276" spans="1:3" x14ac:dyDescent="0.35">
      <c r="A276">
        <v>24</v>
      </c>
      <c r="B276">
        <v>1980</v>
      </c>
      <c r="C276">
        <v>2.2200000000000001E-2</v>
      </c>
    </row>
    <row r="277" spans="1:3" x14ac:dyDescent="0.35">
      <c r="A277">
        <v>24</v>
      </c>
      <c r="B277">
        <v>1981</v>
      </c>
      <c r="C277">
        <v>2.5899999999999999E-2</v>
      </c>
    </row>
    <row r="278" spans="1:3" x14ac:dyDescent="0.35">
      <c r="A278">
        <v>24</v>
      </c>
      <c r="B278">
        <v>1982</v>
      </c>
      <c r="C278">
        <v>2.6800000000000001E-2</v>
      </c>
    </row>
    <row r="279" spans="1:3" x14ac:dyDescent="0.35">
      <c r="A279">
        <v>24</v>
      </c>
      <c r="B279">
        <v>1983</v>
      </c>
      <c r="C279">
        <v>2.3800000000000002E-2</v>
      </c>
    </row>
    <row r="280" spans="1:3" x14ac:dyDescent="0.35">
      <c r="A280">
        <v>24</v>
      </c>
      <c r="B280">
        <v>1984</v>
      </c>
      <c r="C280">
        <v>1.7299999999999999E-2</v>
      </c>
    </row>
    <row r="281" spans="1:3" x14ac:dyDescent="0.35">
      <c r="A281">
        <v>24</v>
      </c>
      <c r="B281">
        <v>1985</v>
      </c>
      <c r="C281">
        <v>9.4000000000000004E-3</v>
      </c>
    </row>
    <row r="282" spans="1:3" x14ac:dyDescent="0.35">
      <c r="A282">
        <v>24</v>
      </c>
      <c r="B282">
        <v>1986</v>
      </c>
      <c r="C282">
        <v>2.0999999999999999E-3</v>
      </c>
    </row>
    <row r="283" spans="1:3" x14ac:dyDescent="0.35">
      <c r="A283">
        <v>24</v>
      </c>
      <c r="B283">
        <v>1987</v>
      </c>
      <c r="C283">
        <v>-2.7000000000000001E-3</v>
      </c>
    </row>
    <row r="284" spans="1:3" x14ac:dyDescent="0.35">
      <c r="A284">
        <v>24</v>
      </c>
      <c r="B284">
        <v>1988</v>
      </c>
      <c r="C284">
        <v>-4.4999999999999997E-3</v>
      </c>
    </row>
    <row r="285" spans="1:3" x14ac:dyDescent="0.35">
      <c r="A285">
        <v>24</v>
      </c>
      <c r="B285">
        <v>1989</v>
      </c>
      <c r="C285">
        <v>-3.0000000000000001E-3</v>
      </c>
    </row>
    <row r="286" spans="1:3" x14ac:dyDescent="0.35">
      <c r="A286">
        <v>24</v>
      </c>
      <c r="B286">
        <v>1990</v>
      </c>
      <c r="C286">
        <v>1.1999999999999999E-3</v>
      </c>
    </row>
    <row r="287" spans="1:3" x14ac:dyDescent="0.35">
      <c r="A287">
        <v>24</v>
      </c>
      <c r="B287">
        <v>1991</v>
      </c>
      <c r="C287">
        <v>7.6E-3</v>
      </c>
    </row>
    <row r="288" spans="1:3" x14ac:dyDescent="0.35">
      <c r="A288">
        <v>24</v>
      </c>
      <c r="B288">
        <v>1992</v>
      </c>
      <c r="C288">
        <v>1.5100000000000001E-2</v>
      </c>
    </row>
    <row r="289" spans="1:3" x14ac:dyDescent="0.35">
      <c r="A289">
        <v>24</v>
      </c>
      <c r="B289">
        <v>1993</v>
      </c>
      <c r="C289">
        <v>2.2800000000000001E-2</v>
      </c>
    </row>
    <row r="290" spans="1:3" x14ac:dyDescent="0.35">
      <c r="A290">
        <v>24</v>
      </c>
      <c r="B290">
        <v>1994</v>
      </c>
      <c r="C290">
        <v>2.9600000000000001E-2</v>
      </c>
    </row>
    <row r="291" spans="1:3" x14ac:dyDescent="0.35">
      <c r="A291">
        <v>24</v>
      </c>
      <c r="B291">
        <v>1995</v>
      </c>
      <c r="C291">
        <v>3.4299999999999997E-2</v>
      </c>
    </row>
    <row r="292" spans="1:3" x14ac:dyDescent="0.35">
      <c r="A292">
        <v>24</v>
      </c>
      <c r="B292">
        <v>1996</v>
      </c>
      <c r="C292">
        <v>3.5400000000000001E-2</v>
      </c>
    </row>
    <row r="293" spans="1:3" x14ac:dyDescent="0.35">
      <c r="A293">
        <v>24</v>
      </c>
      <c r="B293">
        <v>1997</v>
      </c>
      <c r="C293">
        <v>3.2199999999999999E-2</v>
      </c>
    </row>
    <row r="294" spans="1:3" x14ac:dyDescent="0.35">
      <c r="A294">
        <v>24</v>
      </c>
      <c r="B294">
        <v>1998</v>
      </c>
      <c r="C294">
        <v>2.46E-2</v>
      </c>
    </row>
    <row r="295" spans="1:3" x14ac:dyDescent="0.35">
      <c r="A295">
        <v>24</v>
      </c>
      <c r="B295">
        <v>1999</v>
      </c>
      <c r="C295">
        <v>1.4E-2</v>
      </c>
    </row>
    <row r="296" spans="1:3" x14ac:dyDescent="0.35">
      <c r="A296">
        <v>24</v>
      </c>
      <c r="B296">
        <v>2000</v>
      </c>
      <c r="C296">
        <v>2.5000000000000001E-3</v>
      </c>
    </row>
    <row r="297" spans="1:3" x14ac:dyDescent="0.35">
      <c r="A297">
        <v>24</v>
      </c>
      <c r="B297">
        <v>2001</v>
      </c>
      <c r="C297">
        <v>-7.6E-3</v>
      </c>
    </row>
    <row r="298" spans="1:3" x14ac:dyDescent="0.35">
      <c r="A298">
        <v>24</v>
      </c>
      <c r="B298">
        <v>2002</v>
      </c>
      <c r="C298">
        <v>-1.44E-2</v>
      </c>
    </row>
    <row r="299" spans="1:3" x14ac:dyDescent="0.35">
      <c r="A299">
        <v>24</v>
      </c>
      <c r="B299">
        <v>2003</v>
      </c>
      <c r="C299">
        <v>-1.7100000000000001E-2</v>
      </c>
    </row>
    <row r="300" spans="1:3" x14ac:dyDescent="0.35">
      <c r="A300">
        <v>24</v>
      </c>
      <c r="B300">
        <v>2004</v>
      </c>
      <c r="C300">
        <v>-1.55E-2</v>
      </c>
    </row>
    <row r="301" spans="1:3" x14ac:dyDescent="0.35">
      <c r="A301">
        <v>24</v>
      </c>
      <c r="B301">
        <v>2005</v>
      </c>
      <c r="C301">
        <v>-1.0200000000000001E-2</v>
      </c>
    </row>
    <row r="302" spans="1:3" x14ac:dyDescent="0.35">
      <c r="A302">
        <v>24</v>
      </c>
      <c r="B302">
        <v>2006</v>
      </c>
      <c r="C302">
        <v>-2.2000000000000001E-3</v>
      </c>
    </row>
    <row r="303" spans="1:3" x14ac:dyDescent="0.35">
      <c r="A303">
        <v>24</v>
      </c>
      <c r="B303">
        <v>2007</v>
      </c>
      <c r="C303">
        <v>6.8999999999999999E-3</v>
      </c>
    </row>
    <row r="304" spans="1:3" x14ac:dyDescent="0.35">
      <c r="A304">
        <v>24</v>
      </c>
      <c r="B304">
        <v>2008</v>
      </c>
      <c r="C304">
        <v>1.4800000000000001E-2</v>
      </c>
    </row>
    <row r="305" spans="1:3" x14ac:dyDescent="0.35">
      <c r="A305">
        <v>24</v>
      </c>
      <c r="B305">
        <v>2009</v>
      </c>
      <c r="C305">
        <v>1.9800000000000002E-2</v>
      </c>
    </row>
    <row r="306" spans="1:3" x14ac:dyDescent="0.35">
      <c r="A306">
        <v>24</v>
      </c>
      <c r="B306">
        <v>2010</v>
      </c>
      <c r="C306">
        <v>2.1299999999999999E-2</v>
      </c>
    </row>
    <row r="307" spans="1:3" x14ac:dyDescent="0.35">
      <c r="A307">
        <v>24</v>
      </c>
      <c r="B307">
        <v>2011</v>
      </c>
      <c r="C307">
        <v>1.9900000000000001E-2</v>
      </c>
    </row>
    <row r="308" spans="1:3" x14ac:dyDescent="0.35">
      <c r="A308">
        <v>24</v>
      </c>
      <c r="B308">
        <v>2012</v>
      </c>
      <c r="C308">
        <v>1.67E-2</v>
      </c>
    </row>
    <row r="309" spans="1:3" x14ac:dyDescent="0.35">
      <c r="A309">
        <v>24</v>
      </c>
      <c r="B309">
        <v>2013</v>
      </c>
      <c r="C309">
        <v>1.8599999999999998E-2</v>
      </c>
    </row>
    <row r="310" spans="1:3" x14ac:dyDescent="0.35">
      <c r="A310">
        <v>24</v>
      </c>
      <c r="B310">
        <v>2014</v>
      </c>
      <c r="C310">
        <v>2.0199999999999999E-2</v>
      </c>
    </row>
    <row r="311" spans="1:3" x14ac:dyDescent="0.35">
      <c r="A311">
        <v>24</v>
      </c>
      <c r="B311">
        <v>2015</v>
      </c>
      <c r="C311">
        <v>2.1299999999999999E-2</v>
      </c>
    </row>
    <row r="312" spans="1:3" x14ac:dyDescent="0.35">
      <c r="A312">
        <v>24</v>
      </c>
      <c r="B312">
        <v>2016</v>
      </c>
      <c r="C312">
        <v>2.1999999999999999E-2</v>
      </c>
    </row>
    <row r="313" spans="1:3" x14ac:dyDescent="0.35">
      <c r="A313">
        <v>24</v>
      </c>
      <c r="B313">
        <v>2017</v>
      </c>
      <c r="C313">
        <v>2.0899999999999998E-2</v>
      </c>
    </row>
    <row r="314" spans="1:3" x14ac:dyDescent="0.35">
      <c r="A314">
        <v>24</v>
      </c>
      <c r="B314">
        <v>2018</v>
      </c>
      <c r="C314">
        <v>1.9699999999999999E-2</v>
      </c>
    </row>
    <row r="315" spans="1:3" x14ac:dyDescent="0.35">
      <c r="A315">
        <v>24</v>
      </c>
      <c r="B315">
        <v>2019</v>
      </c>
      <c r="C315">
        <v>1.8599999999999998E-2</v>
      </c>
    </row>
    <row r="316" spans="1:3" x14ac:dyDescent="0.35">
      <c r="A316">
        <v>24</v>
      </c>
      <c r="B316">
        <v>2020</v>
      </c>
      <c r="C316">
        <v>1.7399999999999999E-2</v>
      </c>
    </row>
    <row r="317" spans="1:3" x14ac:dyDescent="0.35">
      <c r="A317">
        <v>24</v>
      </c>
      <c r="B317">
        <v>2021</v>
      </c>
      <c r="C317">
        <v>1.6400000000000001E-2</v>
      </c>
    </row>
    <row r="318" spans="1:3" x14ac:dyDescent="0.35">
      <c r="A318">
        <v>24</v>
      </c>
      <c r="B318">
        <v>2022</v>
      </c>
      <c r="C318">
        <v>1.55E-2</v>
      </c>
    </row>
    <row r="319" spans="1:3" x14ac:dyDescent="0.35">
      <c r="A319">
        <v>24</v>
      </c>
      <c r="B319">
        <v>2023</v>
      </c>
      <c r="C319">
        <v>1.46E-2</v>
      </c>
    </row>
    <row r="320" spans="1:3" x14ac:dyDescent="0.35">
      <c r="A320">
        <v>24</v>
      </c>
      <c r="B320">
        <v>2024</v>
      </c>
      <c r="C320">
        <v>1.38E-2</v>
      </c>
    </row>
    <row r="321" spans="1:3" x14ac:dyDescent="0.35">
      <c r="A321">
        <v>24</v>
      </c>
      <c r="B321">
        <v>2025</v>
      </c>
      <c r="C321">
        <v>1.3100000000000001E-2</v>
      </c>
    </row>
    <row r="322" spans="1:3" x14ac:dyDescent="0.35">
      <c r="A322">
        <v>24</v>
      </c>
      <c r="B322">
        <v>2026</v>
      </c>
      <c r="C322">
        <v>1.24E-2</v>
      </c>
    </row>
    <row r="323" spans="1:3" x14ac:dyDescent="0.35">
      <c r="A323">
        <v>24</v>
      </c>
      <c r="B323">
        <v>2027</v>
      </c>
      <c r="C323">
        <v>1.17E-2</v>
      </c>
    </row>
    <row r="324" spans="1:3" x14ac:dyDescent="0.35">
      <c r="A324">
        <v>24</v>
      </c>
      <c r="B324">
        <v>2028</v>
      </c>
      <c r="C324">
        <v>1.11E-2</v>
      </c>
    </row>
    <row r="325" spans="1:3" x14ac:dyDescent="0.35">
      <c r="A325">
        <v>24</v>
      </c>
      <c r="B325">
        <v>2029</v>
      </c>
      <c r="C325">
        <v>1.0699999999999999E-2</v>
      </c>
    </row>
    <row r="326" spans="1:3" x14ac:dyDescent="0.35">
      <c r="A326">
        <v>24</v>
      </c>
      <c r="B326">
        <v>2030</v>
      </c>
      <c r="C326">
        <v>1.03E-2</v>
      </c>
    </row>
    <row r="327" spans="1:3" x14ac:dyDescent="0.35">
      <c r="A327">
        <v>24</v>
      </c>
      <c r="B327">
        <v>2031</v>
      </c>
      <c r="C327">
        <v>1.01E-2</v>
      </c>
    </row>
    <row r="328" spans="1:3" x14ac:dyDescent="0.35">
      <c r="A328">
        <v>25</v>
      </c>
      <c r="B328">
        <v>1951</v>
      </c>
      <c r="C328">
        <v>2.8E-3</v>
      </c>
    </row>
    <row r="329" spans="1:3" x14ac:dyDescent="0.35">
      <c r="A329">
        <v>25</v>
      </c>
      <c r="B329">
        <v>1952</v>
      </c>
      <c r="C329">
        <v>7.7999999999999996E-3</v>
      </c>
    </row>
    <row r="330" spans="1:3" x14ac:dyDescent="0.35">
      <c r="A330">
        <v>25</v>
      </c>
      <c r="B330">
        <v>1953</v>
      </c>
      <c r="C330">
        <v>1.2500000000000001E-2</v>
      </c>
    </row>
    <row r="331" spans="1:3" x14ac:dyDescent="0.35">
      <c r="A331">
        <v>25</v>
      </c>
      <c r="B331">
        <v>1954</v>
      </c>
      <c r="C331">
        <v>1.6299999999999999E-2</v>
      </c>
    </row>
    <row r="332" spans="1:3" x14ac:dyDescent="0.35">
      <c r="A332">
        <v>25</v>
      </c>
      <c r="B332">
        <v>1955</v>
      </c>
      <c r="C332">
        <v>1.8800000000000001E-2</v>
      </c>
    </row>
    <row r="333" spans="1:3" x14ac:dyDescent="0.35">
      <c r="A333">
        <v>25</v>
      </c>
      <c r="B333">
        <v>1956</v>
      </c>
      <c r="C333">
        <v>1.9900000000000001E-2</v>
      </c>
    </row>
    <row r="334" spans="1:3" x14ac:dyDescent="0.35">
      <c r="A334">
        <v>25</v>
      </c>
      <c r="B334">
        <v>1957</v>
      </c>
      <c r="C334">
        <v>1.9300000000000001E-2</v>
      </c>
    </row>
    <row r="335" spans="1:3" x14ac:dyDescent="0.35">
      <c r="A335">
        <v>25</v>
      </c>
      <c r="B335">
        <v>1958</v>
      </c>
      <c r="C335">
        <v>1.6899999999999998E-2</v>
      </c>
    </row>
    <row r="336" spans="1:3" x14ac:dyDescent="0.35">
      <c r="A336">
        <v>25</v>
      </c>
      <c r="B336">
        <v>1959</v>
      </c>
      <c r="C336">
        <v>1.26E-2</v>
      </c>
    </row>
    <row r="337" spans="1:3" x14ac:dyDescent="0.35">
      <c r="A337">
        <v>25</v>
      </c>
      <c r="B337">
        <v>1960</v>
      </c>
      <c r="C337">
        <v>6.7000000000000002E-3</v>
      </c>
    </row>
    <row r="338" spans="1:3" x14ac:dyDescent="0.35">
      <c r="A338">
        <v>25</v>
      </c>
      <c r="B338">
        <v>1961</v>
      </c>
      <c r="C338">
        <v>-4.0000000000000002E-4</v>
      </c>
    </row>
    <row r="339" spans="1:3" x14ac:dyDescent="0.35">
      <c r="A339">
        <v>25</v>
      </c>
      <c r="B339">
        <v>1962</v>
      </c>
      <c r="C339">
        <v>-8.2000000000000007E-3</v>
      </c>
    </row>
    <row r="340" spans="1:3" x14ac:dyDescent="0.35">
      <c r="A340">
        <v>25</v>
      </c>
      <c r="B340">
        <v>1963</v>
      </c>
      <c r="C340">
        <v>-1.5900000000000001E-2</v>
      </c>
    </row>
    <row r="341" spans="1:3" x14ac:dyDescent="0.35">
      <c r="A341">
        <v>25</v>
      </c>
      <c r="B341">
        <v>1964</v>
      </c>
      <c r="C341">
        <v>-2.24E-2</v>
      </c>
    </row>
    <row r="342" spans="1:3" x14ac:dyDescent="0.35">
      <c r="A342">
        <v>25</v>
      </c>
      <c r="B342">
        <v>1965</v>
      </c>
      <c r="C342">
        <v>-2.7E-2</v>
      </c>
    </row>
    <row r="343" spans="1:3" x14ac:dyDescent="0.35">
      <c r="A343">
        <v>25</v>
      </c>
      <c r="B343">
        <v>1966</v>
      </c>
      <c r="C343">
        <v>-2.9000000000000001E-2</v>
      </c>
    </row>
    <row r="344" spans="1:3" x14ac:dyDescent="0.35">
      <c r="A344">
        <v>25</v>
      </c>
      <c r="B344">
        <v>1967</v>
      </c>
      <c r="C344">
        <v>-2.8000000000000001E-2</v>
      </c>
    </row>
    <row r="345" spans="1:3" x14ac:dyDescent="0.35">
      <c r="A345">
        <v>25</v>
      </c>
      <c r="B345">
        <v>1968</v>
      </c>
      <c r="C345">
        <v>-2.4E-2</v>
      </c>
    </row>
    <row r="346" spans="1:3" x14ac:dyDescent="0.35">
      <c r="A346">
        <v>25</v>
      </c>
      <c r="B346">
        <v>1969</v>
      </c>
      <c r="C346">
        <v>-1.7500000000000002E-2</v>
      </c>
    </row>
    <row r="347" spans="1:3" x14ac:dyDescent="0.35">
      <c r="A347">
        <v>25</v>
      </c>
      <c r="B347">
        <v>1970</v>
      </c>
      <c r="C347">
        <v>-9.7000000000000003E-3</v>
      </c>
    </row>
    <row r="348" spans="1:3" x14ac:dyDescent="0.35">
      <c r="A348">
        <v>25</v>
      </c>
      <c r="B348">
        <v>1971</v>
      </c>
      <c r="C348">
        <v>-1.9E-3</v>
      </c>
    </row>
    <row r="349" spans="1:3" x14ac:dyDescent="0.35">
      <c r="A349">
        <v>25</v>
      </c>
      <c r="B349">
        <v>1972</v>
      </c>
      <c r="C349">
        <v>4.7999999999999996E-3</v>
      </c>
    </row>
    <row r="350" spans="1:3" x14ac:dyDescent="0.35">
      <c r="A350">
        <v>25</v>
      </c>
      <c r="B350">
        <v>1973</v>
      </c>
      <c r="C350">
        <v>9.7000000000000003E-3</v>
      </c>
    </row>
    <row r="351" spans="1:3" x14ac:dyDescent="0.35">
      <c r="A351">
        <v>25</v>
      </c>
      <c r="B351">
        <v>1974</v>
      </c>
      <c r="C351">
        <v>1.26E-2</v>
      </c>
    </row>
    <row r="352" spans="1:3" x14ac:dyDescent="0.35">
      <c r="A352">
        <v>25</v>
      </c>
      <c r="B352">
        <v>1975</v>
      </c>
      <c r="C352">
        <v>1.35E-2</v>
      </c>
    </row>
    <row r="353" spans="1:3" x14ac:dyDescent="0.35">
      <c r="A353">
        <v>25</v>
      </c>
      <c r="B353">
        <v>1976</v>
      </c>
      <c r="C353">
        <v>1.3299999999999999E-2</v>
      </c>
    </row>
    <row r="354" spans="1:3" x14ac:dyDescent="0.35">
      <c r="A354">
        <v>25</v>
      </c>
      <c r="B354">
        <v>1977</v>
      </c>
      <c r="C354">
        <v>1.29E-2</v>
      </c>
    </row>
    <row r="355" spans="1:3" x14ac:dyDescent="0.35">
      <c r="A355">
        <v>25</v>
      </c>
      <c r="B355">
        <v>1978</v>
      </c>
      <c r="C355">
        <v>1.37E-2</v>
      </c>
    </row>
    <row r="356" spans="1:3" x14ac:dyDescent="0.35">
      <c r="A356">
        <v>25</v>
      </c>
      <c r="B356">
        <v>1979</v>
      </c>
      <c r="C356">
        <v>1.6E-2</v>
      </c>
    </row>
    <row r="357" spans="1:3" x14ac:dyDescent="0.35">
      <c r="A357">
        <v>25</v>
      </c>
      <c r="B357">
        <v>1980</v>
      </c>
      <c r="C357">
        <v>1.9599999999999999E-2</v>
      </c>
    </row>
    <row r="358" spans="1:3" x14ac:dyDescent="0.35">
      <c r="A358">
        <v>25</v>
      </c>
      <c r="B358">
        <v>1981</v>
      </c>
      <c r="C358">
        <v>2.2800000000000001E-2</v>
      </c>
    </row>
    <row r="359" spans="1:3" x14ac:dyDescent="0.35">
      <c r="A359">
        <v>25</v>
      </c>
      <c r="B359">
        <v>1982</v>
      </c>
      <c r="C359">
        <v>2.35E-2</v>
      </c>
    </row>
    <row r="360" spans="1:3" x14ac:dyDescent="0.35">
      <c r="A360">
        <v>25</v>
      </c>
      <c r="B360">
        <v>1983</v>
      </c>
      <c r="C360">
        <v>2.0500000000000001E-2</v>
      </c>
    </row>
    <row r="361" spans="1:3" x14ac:dyDescent="0.35">
      <c r="A361">
        <v>25</v>
      </c>
      <c r="B361">
        <v>1984</v>
      </c>
      <c r="C361">
        <v>1.41E-2</v>
      </c>
    </row>
    <row r="362" spans="1:3" x14ac:dyDescent="0.35">
      <c r="A362">
        <v>25</v>
      </c>
      <c r="B362">
        <v>1985</v>
      </c>
      <c r="C362">
        <v>6.1999999999999998E-3</v>
      </c>
    </row>
    <row r="363" spans="1:3" x14ac:dyDescent="0.35">
      <c r="A363">
        <v>25</v>
      </c>
      <c r="B363">
        <v>1986</v>
      </c>
      <c r="C363">
        <v>-8.9999999999999998E-4</v>
      </c>
    </row>
    <row r="364" spans="1:3" x14ac:dyDescent="0.35">
      <c r="A364">
        <v>25</v>
      </c>
      <c r="B364">
        <v>1987</v>
      </c>
      <c r="C364">
        <v>-5.5999999999999999E-3</v>
      </c>
    </row>
    <row r="365" spans="1:3" x14ac:dyDescent="0.35">
      <c r="A365">
        <v>25</v>
      </c>
      <c r="B365">
        <v>1988</v>
      </c>
      <c r="C365">
        <v>-7.0000000000000001E-3</v>
      </c>
    </row>
    <row r="366" spans="1:3" x14ac:dyDescent="0.35">
      <c r="A366">
        <v>25</v>
      </c>
      <c r="B366">
        <v>1989</v>
      </c>
      <c r="C366">
        <v>-4.8999999999999998E-3</v>
      </c>
    </row>
    <row r="367" spans="1:3" x14ac:dyDescent="0.35">
      <c r="A367">
        <v>25</v>
      </c>
      <c r="B367">
        <v>1990</v>
      </c>
      <c r="C367">
        <v>2.9999999999999997E-4</v>
      </c>
    </row>
    <row r="368" spans="1:3" x14ac:dyDescent="0.35">
      <c r="A368">
        <v>25</v>
      </c>
      <c r="B368">
        <v>1991</v>
      </c>
      <c r="C368">
        <v>7.7000000000000002E-3</v>
      </c>
    </row>
    <row r="369" spans="1:3" x14ac:dyDescent="0.35">
      <c r="A369">
        <v>25</v>
      </c>
      <c r="B369">
        <v>1992</v>
      </c>
      <c r="C369">
        <v>1.6400000000000001E-2</v>
      </c>
    </row>
    <row r="370" spans="1:3" x14ac:dyDescent="0.35">
      <c r="A370">
        <v>25</v>
      </c>
      <c r="B370">
        <v>1993</v>
      </c>
      <c r="C370">
        <v>2.5100000000000001E-2</v>
      </c>
    </row>
    <row r="371" spans="1:3" x14ac:dyDescent="0.35">
      <c r="A371">
        <v>25</v>
      </c>
      <c r="B371">
        <v>1994</v>
      </c>
      <c r="C371">
        <v>3.2899999999999999E-2</v>
      </c>
    </row>
    <row r="372" spans="1:3" x14ac:dyDescent="0.35">
      <c r="A372">
        <v>25</v>
      </c>
      <c r="B372">
        <v>1995</v>
      </c>
      <c r="C372">
        <v>3.8300000000000001E-2</v>
      </c>
    </row>
    <row r="373" spans="1:3" x14ac:dyDescent="0.35">
      <c r="A373">
        <v>25</v>
      </c>
      <c r="B373">
        <v>1996</v>
      </c>
      <c r="C373">
        <v>3.9800000000000002E-2</v>
      </c>
    </row>
    <row r="374" spans="1:3" x14ac:dyDescent="0.35">
      <c r="A374">
        <v>25</v>
      </c>
      <c r="B374">
        <v>1997</v>
      </c>
      <c r="C374">
        <v>3.6400000000000002E-2</v>
      </c>
    </row>
    <row r="375" spans="1:3" x14ac:dyDescent="0.35">
      <c r="A375">
        <v>25</v>
      </c>
      <c r="B375">
        <v>1998</v>
      </c>
      <c r="C375">
        <v>2.8199999999999999E-2</v>
      </c>
    </row>
    <row r="376" spans="1:3" x14ac:dyDescent="0.35">
      <c r="A376">
        <v>25</v>
      </c>
      <c r="B376">
        <v>1999</v>
      </c>
      <c r="C376">
        <v>1.6500000000000001E-2</v>
      </c>
    </row>
    <row r="377" spans="1:3" x14ac:dyDescent="0.35">
      <c r="A377">
        <v>25</v>
      </c>
      <c r="B377">
        <v>2000</v>
      </c>
      <c r="C377">
        <v>3.8E-3</v>
      </c>
    </row>
    <row r="378" spans="1:3" x14ac:dyDescent="0.35">
      <c r="A378">
        <v>25</v>
      </c>
      <c r="B378">
        <v>2001</v>
      </c>
      <c r="C378">
        <v>-7.4000000000000003E-3</v>
      </c>
    </row>
    <row r="379" spans="1:3" x14ac:dyDescent="0.35">
      <c r="A379">
        <v>25</v>
      </c>
      <c r="B379">
        <v>2002</v>
      </c>
      <c r="C379">
        <v>-1.5100000000000001E-2</v>
      </c>
    </row>
    <row r="380" spans="1:3" x14ac:dyDescent="0.35">
      <c r="A380">
        <v>25</v>
      </c>
      <c r="B380">
        <v>2003</v>
      </c>
      <c r="C380">
        <v>-1.8499999999999999E-2</v>
      </c>
    </row>
    <row r="381" spans="1:3" x14ac:dyDescent="0.35">
      <c r="A381">
        <v>25</v>
      </c>
      <c r="B381">
        <v>2004</v>
      </c>
      <c r="C381">
        <v>-1.7600000000000001E-2</v>
      </c>
    </row>
    <row r="382" spans="1:3" x14ac:dyDescent="0.35">
      <c r="A382">
        <v>25</v>
      </c>
      <c r="B382">
        <v>2005</v>
      </c>
      <c r="C382">
        <v>-1.26E-2</v>
      </c>
    </row>
    <row r="383" spans="1:3" x14ac:dyDescent="0.35">
      <c r="A383">
        <v>25</v>
      </c>
      <c r="B383">
        <v>2006</v>
      </c>
      <c r="C383">
        <v>-4.8999999999999998E-3</v>
      </c>
    </row>
    <row r="384" spans="1:3" x14ac:dyDescent="0.35">
      <c r="A384">
        <v>25</v>
      </c>
      <c r="B384">
        <v>2007</v>
      </c>
      <c r="C384">
        <v>3.8E-3</v>
      </c>
    </row>
    <row r="385" spans="1:3" x14ac:dyDescent="0.35">
      <c r="A385">
        <v>25</v>
      </c>
      <c r="B385">
        <v>2008</v>
      </c>
      <c r="C385">
        <v>1.1299999999999999E-2</v>
      </c>
    </row>
    <row r="386" spans="1:3" x14ac:dyDescent="0.35">
      <c r="A386">
        <v>25</v>
      </c>
      <c r="B386">
        <v>2009</v>
      </c>
      <c r="C386">
        <v>1.6E-2</v>
      </c>
    </row>
    <row r="387" spans="1:3" x14ac:dyDescent="0.35">
      <c r="A387">
        <v>25</v>
      </c>
      <c r="B387">
        <v>2010</v>
      </c>
      <c r="C387">
        <v>1.7299999999999999E-2</v>
      </c>
    </row>
    <row r="388" spans="1:3" x14ac:dyDescent="0.35">
      <c r="A388">
        <v>25</v>
      </c>
      <c r="B388">
        <v>2011</v>
      </c>
      <c r="C388">
        <v>1.5900000000000001E-2</v>
      </c>
    </row>
    <row r="389" spans="1:3" x14ac:dyDescent="0.35">
      <c r="A389">
        <v>25</v>
      </c>
      <c r="B389">
        <v>2012</v>
      </c>
      <c r="C389">
        <v>1.26E-2</v>
      </c>
    </row>
    <row r="390" spans="1:3" x14ac:dyDescent="0.35">
      <c r="A390">
        <v>25</v>
      </c>
      <c r="B390">
        <v>2013</v>
      </c>
      <c r="C390">
        <v>1.46E-2</v>
      </c>
    </row>
    <row r="391" spans="1:3" x14ac:dyDescent="0.35">
      <c r="A391">
        <v>25</v>
      </c>
      <c r="B391">
        <v>2014</v>
      </c>
      <c r="C391">
        <v>1.6400000000000001E-2</v>
      </c>
    </row>
    <row r="392" spans="1:3" x14ac:dyDescent="0.35">
      <c r="A392">
        <v>25</v>
      </c>
      <c r="B392">
        <v>2015</v>
      </c>
      <c r="C392">
        <v>1.7899999999999999E-2</v>
      </c>
    </row>
    <row r="393" spans="1:3" x14ac:dyDescent="0.35">
      <c r="A393">
        <v>25</v>
      </c>
      <c r="B393">
        <v>2016</v>
      </c>
      <c r="C393">
        <v>1.9099999999999999E-2</v>
      </c>
    </row>
    <row r="394" spans="1:3" x14ac:dyDescent="0.35">
      <c r="A394">
        <v>25</v>
      </c>
      <c r="B394">
        <v>2017</v>
      </c>
      <c r="C394">
        <v>1.9900000000000001E-2</v>
      </c>
    </row>
    <row r="395" spans="1:3" x14ac:dyDescent="0.35">
      <c r="A395">
        <v>25</v>
      </c>
      <c r="B395">
        <v>2018</v>
      </c>
      <c r="C395">
        <v>1.9E-2</v>
      </c>
    </row>
    <row r="396" spans="1:3" x14ac:dyDescent="0.35">
      <c r="A396">
        <v>25</v>
      </c>
      <c r="B396">
        <v>2019</v>
      </c>
      <c r="C396">
        <v>1.8100000000000002E-2</v>
      </c>
    </row>
    <row r="397" spans="1:3" x14ac:dyDescent="0.35">
      <c r="A397">
        <v>25</v>
      </c>
      <c r="B397">
        <v>2020</v>
      </c>
      <c r="C397">
        <v>1.72E-2</v>
      </c>
    </row>
    <row r="398" spans="1:3" x14ac:dyDescent="0.35">
      <c r="A398">
        <v>25</v>
      </c>
      <c r="B398">
        <v>2021</v>
      </c>
      <c r="C398">
        <v>1.6299999999999999E-2</v>
      </c>
    </row>
    <row r="399" spans="1:3" x14ac:dyDescent="0.35">
      <c r="A399">
        <v>25</v>
      </c>
      <c r="B399">
        <v>2022</v>
      </c>
      <c r="C399">
        <v>1.55E-2</v>
      </c>
    </row>
    <row r="400" spans="1:3" x14ac:dyDescent="0.35">
      <c r="A400">
        <v>25</v>
      </c>
      <c r="B400">
        <v>2023</v>
      </c>
      <c r="C400">
        <v>1.46E-2</v>
      </c>
    </row>
    <row r="401" spans="1:3" x14ac:dyDescent="0.35">
      <c r="A401">
        <v>25</v>
      </c>
      <c r="B401">
        <v>2024</v>
      </c>
      <c r="C401">
        <v>1.38E-2</v>
      </c>
    </row>
    <row r="402" spans="1:3" x14ac:dyDescent="0.35">
      <c r="A402">
        <v>25</v>
      </c>
      <c r="B402">
        <v>2025</v>
      </c>
      <c r="C402">
        <v>1.3100000000000001E-2</v>
      </c>
    </row>
    <row r="403" spans="1:3" x14ac:dyDescent="0.35">
      <c r="A403">
        <v>25</v>
      </c>
      <c r="B403">
        <v>2026</v>
      </c>
      <c r="C403">
        <v>1.24E-2</v>
      </c>
    </row>
    <row r="404" spans="1:3" x14ac:dyDescent="0.35">
      <c r="A404">
        <v>25</v>
      </c>
      <c r="B404">
        <v>2027</v>
      </c>
      <c r="C404">
        <v>1.17E-2</v>
      </c>
    </row>
    <row r="405" spans="1:3" x14ac:dyDescent="0.35">
      <c r="A405">
        <v>25</v>
      </c>
      <c r="B405">
        <v>2028</v>
      </c>
      <c r="C405">
        <v>1.11E-2</v>
      </c>
    </row>
    <row r="406" spans="1:3" x14ac:dyDescent="0.35">
      <c r="A406">
        <v>25</v>
      </c>
      <c r="B406">
        <v>2029</v>
      </c>
      <c r="C406">
        <v>1.0699999999999999E-2</v>
      </c>
    </row>
    <row r="407" spans="1:3" x14ac:dyDescent="0.35">
      <c r="A407">
        <v>25</v>
      </c>
      <c r="B407">
        <v>2030</v>
      </c>
      <c r="C407">
        <v>1.03E-2</v>
      </c>
    </row>
    <row r="408" spans="1:3" x14ac:dyDescent="0.35">
      <c r="A408">
        <v>25</v>
      </c>
      <c r="B408">
        <v>2031</v>
      </c>
      <c r="C408">
        <v>1.01E-2</v>
      </c>
    </row>
    <row r="409" spans="1:3" x14ac:dyDescent="0.35">
      <c r="A409">
        <v>26</v>
      </c>
      <c r="B409">
        <v>1951</v>
      </c>
      <c r="C409">
        <v>8.9999999999999993E-3</v>
      </c>
    </row>
    <row r="410" spans="1:3" x14ac:dyDescent="0.35">
      <c r="A410">
        <v>26</v>
      </c>
      <c r="B410">
        <v>1952</v>
      </c>
      <c r="C410">
        <v>1.2699999999999999E-2</v>
      </c>
    </row>
    <row r="411" spans="1:3" x14ac:dyDescent="0.35">
      <c r="A411">
        <v>26</v>
      </c>
      <c r="B411">
        <v>1953</v>
      </c>
      <c r="C411">
        <v>1.61E-2</v>
      </c>
    </row>
    <row r="412" spans="1:3" x14ac:dyDescent="0.35">
      <c r="A412">
        <v>26</v>
      </c>
      <c r="B412">
        <v>1954</v>
      </c>
      <c r="C412">
        <v>1.8599999999999998E-2</v>
      </c>
    </row>
    <row r="413" spans="1:3" x14ac:dyDescent="0.35">
      <c r="A413">
        <v>26</v>
      </c>
      <c r="B413">
        <v>1955</v>
      </c>
      <c r="C413">
        <v>1.9900000000000001E-2</v>
      </c>
    </row>
    <row r="414" spans="1:3" x14ac:dyDescent="0.35">
      <c r="A414">
        <v>26</v>
      </c>
      <c r="B414">
        <v>1956</v>
      </c>
      <c r="C414">
        <v>1.9800000000000002E-2</v>
      </c>
    </row>
    <row r="415" spans="1:3" x14ac:dyDescent="0.35">
      <c r="A415">
        <v>26</v>
      </c>
      <c r="B415">
        <v>1957</v>
      </c>
      <c r="C415">
        <v>1.83E-2</v>
      </c>
    </row>
    <row r="416" spans="1:3" x14ac:dyDescent="0.35">
      <c r="A416">
        <v>26</v>
      </c>
      <c r="B416">
        <v>1958</v>
      </c>
      <c r="C416">
        <v>1.5299999999999999E-2</v>
      </c>
    </row>
    <row r="417" spans="1:3" x14ac:dyDescent="0.35">
      <c r="A417">
        <v>26</v>
      </c>
      <c r="B417">
        <v>1959</v>
      </c>
      <c r="C417">
        <v>1.0699999999999999E-2</v>
      </c>
    </row>
    <row r="418" spans="1:3" x14ac:dyDescent="0.35">
      <c r="A418">
        <v>26</v>
      </c>
      <c r="B418">
        <v>1960</v>
      </c>
      <c r="C418">
        <v>5.0000000000000001E-3</v>
      </c>
    </row>
    <row r="419" spans="1:3" x14ac:dyDescent="0.35">
      <c r="A419">
        <v>26</v>
      </c>
      <c r="B419">
        <v>1961</v>
      </c>
      <c r="C419">
        <v>-1.6999999999999999E-3</v>
      </c>
    </row>
    <row r="420" spans="1:3" x14ac:dyDescent="0.35">
      <c r="A420">
        <v>26</v>
      </c>
      <c r="B420">
        <v>1962</v>
      </c>
      <c r="C420">
        <v>-8.9999999999999993E-3</v>
      </c>
    </row>
    <row r="421" spans="1:3" x14ac:dyDescent="0.35">
      <c r="A421">
        <v>26</v>
      </c>
      <c r="B421">
        <v>1963</v>
      </c>
      <c r="C421">
        <v>-1.5900000000000001E-2</v>
      </c>
    </row>
    <row r="422" spans="1:3" x14ac:dyDescent="0.35">
      <c r="A422">
        <v>26</v>
      </c>
      <c r="B422">
        <v>1964</v>
      </c>
      <c r="C422">
        <v>-2.1600000000000001E-2</v>
      </c>
    </row>
    <row r="423" spans="1:3" x14ac:dyDescent="0.35">
      <c r="A423">
        <v>26</v>
      </c>
      <c r="B423">
        <v>1965</v>
      </c>
      <c r="C423">
        <v>-2.5499999999999998E-2</v>
      </c>
    </row>
    <row r="424" spans="1:3" x14ac:dyDescent="0.35">
      <c r="A424">
        <v>26</v>
      </c>
      <c r="B424">
        <v>1966</v>
      </c>
      <c r="C424">
        <v>-2.69E-2</v>
      </c>
    </row>
    <row r="425" spans="1:3" x14ac:dyDescent="0.35">
      <c r="A425">
        <v>26</v>
      </c>
      <c r="B425">
        <v>1967</v>
      </c>
      <c r="C425">
        <v>-2.5600000000000001E-2</v>
      </c>
    </row>
    <row r="426" spans="1:3" x14ac:dyDescent="0.35">
      <c r="A426">
        <v>26</v>
      </c>
      <c r="B426">
        <v>1968</v>
      </c>
      <c r="C426">
        <v>-2.1600000000000001E-2</v>
      </c>
    </row>
    <row r="427" spans="1:3" x14ac:dyDescent="0.35">
      <c r="A427">
        <v>26</v>
      </c>
      <c r="B427">
        <v>1969</v>
      </c>
      <c r="C427">
        <v>-1.54E-2</v>
      </c>
    </row>
    <row r="428" spans="1:3" x14ac:dyDescent="0.35">
      <c r="A428">
        <v>26</v>
      </c>
      <c r="B428">
        <v>1970</v>
      </c>
      <c r="C428">
        <v>-8.0000000000000002E-3</v>
      </c>
    </row>
    <row r="429" spans="1:3" x14ac:dyDescent="0.35">
      <c r="A429">
        <v>26</v>
      </c>
      <c r="B429">
        <v>1971</v>
      </c>
      <c r="C429">
        <v>-6.9999999999999999E-4</v>
      </c>
    </row>
    <row r="430" spans="1:3" x14ac:dyDescent="0.35">
      <c r="A430">
        <v>26</v>
      </c>
      <c r="B430">
        <v>1972</v>
      </c>
      <c r="C430">
        <v>5.5999999999999999E-3</v>
      </c>
    </row>
    <row r="431" spans="1:3" x14ac:dyDescent="0.35">
      <c r="A431">
        <v>26</v>
      </c>
      <c r="B431">
        <v>1973</v>
      </c>
      <c r="C431">
        <v>1.03E-2</v>
      </c>
    </row>
    <row r="432" spans="1:3" x14ac:dyDescent="0.35">
      <c r="A432">
        <v>26</v>
      </c>
      <c r="B432">
        <v>1974</v>
      </c>
      <c r="C432">
        <v>1.2999999999999999E-2</v>
      </c>
    </row>
    <row r="433" spans="1:3" x14ac:dyDescent="0.35">
      <c r="A433">
        <v>26</v>
      </c>
      <c r="B433">
        <v>1975</v>
      </c>
      <c r="C433">
        <v>1.38E-2</v>
      </c>
    </row>
    <row r="434" spans="1:3" x14ac:dyDescent="0.35">
      <c r="A434">
        <v>26</v>
      </c>
      <c r="B434">
        <v>1976</v>
      </c>
      <c r="C434">
        <v>1.34E-2</v>
      </c>
    </row>
    <row r="435" spans="1:3" x14ac:dyDescent="0.35">
      <c r="A435">
        <v>26</v>
      </c>
      <c r="B435">
        <v>1977</v>
      </c>
      <c r="C435">
        <v>1.26E-2</v>
      </c>
    </row>
    <row r="436" spans="1:3" x14ac:dyDescent="0.35">
      <c r="A436">
        <v>26</v>
      </c>
      <c r="B436">
        <v>1978</v>
      </c>
      <c r="C436">
        <v>1.2699999999999999E-2</v>
      </c>
    </row>
    <row r="437" spans="1:3" x14ac:dyDescent="0.35">
      <c r="A437">
        <v>26</v>
      </c>
      <c r="B437">
        <v>1979</v>
      </c>
      <c r="C437">
        <v>1.4200000000000001E-2</v>
      </c>
    </row>
    <row r="438" spans="1:3" x14ac:dyDescent="0.35">
      <c r="A438">
        <v>26</v>
      </c>
      <c r="B438">
        <v>1980</v>
      </c>
      <c r="C438">
        <v>1.7000000000000001E-2</v>
      </c>
    </row>
    <row r="439" spans="1:3" x14ac:dyDescent="0.35">
      <c r="A439">
        <v>26</v>
      </c>
      <c r="B439">
        <v>1981</v>
      </c>
      <c r="C439">
        <v>1.95E-2</v>
      </c>
    </row>
    <row r="440" spans="1:3" x14ac:dyDescent="0.35">
      <c r="A440">
        <v>26</v>
      </c>
      <c r="B440">
        <v>1982</v>
      </c>
      <c r="C440">
        <v>1.9800000000000002E-2</v>
      </c>
    </row>
    <row r="441" spans="1:3" x14ac:dyDescent="0.35">
      <c r="A441">
        <v>26</v>
      </c>
      <c r="B441">
        <v>1983</v>
      </c>
      <c r="C441">
        <v>1.6500000000000001E-2</v>
      </c>
    </row>
    <row r="442" spans="1:3" x14ac:dyDescent="0.35">
      <c r="A442">
        <v>26</v>
      </c>
      <c r="B442">
        <v>1984</v>
      </c>
      <c r="C442">
        <v>1.01E-2</v>
      </c>
    </row>
    <row r="443" spans="1:3" x14ac:dyDescent="0.35">
      <c r="A443">
        <v>26</v>
      </c>
      <c r="B443">
        <v>1985</v>
      </c>
      <c r="C443">
        <v>2.3E-3</v>
      </c>
    </row>
    <row r="444" spans="1:3" x14ac:dyDescent="0.35">
      <c r="A444">
        <v>26</v>
      </c>
      <c r="B444">
        <v>1986</v>
      </c>
      <c r="C444">
        <v>-4.7000000000000002E-3</v>
      </c>
    </row>
    <row r="445" spans="1:3" x14ac:dyDescent="0.35">
      <c r="A445">
        <v>26</v>
      </c>
      <c r="B445">
        <v>1987</v>
      </c>
      <c r="C445">
        <v>-9.1000000000000004E-3</v>
      </c>
    </row>
    <row r="446" spans="1:3" x14ac:dyDescent="0.35">
      <c r="A446">
        <v>26</v>
      </c>
      <c r="B446">
        <v>1988</v>
      </c>
      <c r="C446">
        <v>-1.01E-2</v>
      </c>
    </row>
    <row r="447" spans="1:3" x14ac:dyDescent="0.35">
      <c r="A447">
        <v>26</v>
      </c>
      <c r="B447">
        <v>1989</v>
      </c>
      <c r="C447">
        <v>-7.4000000000000003E-3</v>
      </c>
    </row>
    <row r="448" spans="1:3" x14ac:dyDescent="0.35">
      <c r="A448">
        <v>26</v>
      </c>
      <c r="B448">
        <v>1990</v>
      </c>
      <c r="C448">
        <v>-1.4E-3</v>
      </c>
    </row>
    <row r="449" spans="1:3" x14ac:dyDescent="0.35">
      <c r="A449">
        <v>26</v>
      </c>
      <c r="B449">
        <v>1991</v>
      </c>
      <c r="C449">
        <v>7.1000000000000004E-3</v>
      </c>
    </row>
    <row r="450" spans="1:3" x14ac:dyDescent="0.35">
      <c r="A450">
        <v>26</v>
      </c>
      <c r="B450">
        <v>1992</v>
      </c>
      <c r="C450">
        <v>1.7000000000000001E-2</v>
      </c>
    </row>
    <row r="451" spans="1:3" x14ac:dyDescent="0.35">
      <c r="A451">
        <v>26</v>
      </c>
      <c r="B451">
        <v>1993</v>
      </c>
      <c r="C451">
        <v>2.7E-2</v>
      </c>
    </row>
    <row r="452" spans="1:3" x14ac:dyDescent="0.35">
      <c r="A452">
        <v>26</v>
      </c>
      <c r="B452">
        <v>1994</v>
      </c>
      <c r="C452">
        <v>3.5999999999999997E-2</v>
      </c>
    </row>
    <row r="453" spans="1:3" x14ac:dyDescent="0.35">
      <c r="A453">
        <v>26</v>
      </c>
      <c r="B453">
        <v>1995</v>
      </c>
      <c r="C453">
        <v>4.2500000000000003E-2</v>
      </c>
    </row>
    <row r="454" spans="1:3" x14ac:dyDescent="0.35">
      <c r="A454">
        <v>26</v>
      </c>
      <c r="B454">
        <v>1996</v>
      </c>
      <c r="C454">
        <v>4.4699999999999997E-2</v>
      </c>
    </row>
    <row r="455" spans="1:3" x14ac:dyDescent="0.35">
      <c r="A455">
        <v>26</v>
      </c>
      <c r="B455">
        <v>1997</v>
      </c>
      <c r="C455">
        <v>4.1500000000000002E-2</v>
      </c>
    </row>
    <row r="456" spans="1:3" x14ac:dyDescent="0.35">
      <c r="A456">
        <v>26</v>
      </c>
      <c r="B456">
        <v>1998</v>
      </c>
      <c r="C456">
        <v>3.2800000000000003E-2</v>
      </c>
    </row>
    <row r="457" spans="1:3" x14ac:dyDescent="0.35">
      <c r="A457">
        <v>26</v>
      </c>
      <c r="B457">
        <v>1999</v>
      </c>
      <c r="C457">
        <v>2.0299999999999999E-2</v>
      </c>
    </row>
    <row r="458" spans="1:3" x14ac:dyDescent="0.35">
      <c r="A458">
        <v>26</v>
      </c>
      <c r="B458">
        <v>2000</v>
      </c>
      <c r="C458">
        <v>6.4999999999999997E-3</v>
      </c>
    </row>
    <row r="459" spans="1:3" x14ac:dyDescent="0.35">
      <c r="A459">
        <v>26</v>
      </c>
      <c r="B459">
        <v>2001</v>
      </c>
      <c r="C459">
        <v>-5.8999999999999999E-3</v>
      </c>
    </row>
    <row r="460" spans="1:3" x14ac:dyDescent="0.35">
      <c r="A460">
        <v>26</v>
      </c>
      <c r="B460">
        <v>2002</v>
      </c>
      <c r="C460">
        <v>-1.46E-2</v>
      </c>
    </row>
    <row r="461" spans="1:3" x14ac:dyDescent="0.35">
      <c r="A461">
        <v>26</v>
      </c>
      <c r="B461">
        <v>2003</v>
      </c>
      <c r="C461">
        <v>-1.89E-2</v>
      </c>
    </row>
    <row r="462" spans="1:3" x14ac:dyDescent="0.35">
      <c r="A462">
        <v>26</v>
      </c>
      <c r="B462">
        <v>2004</v>
      </c>
      <c r="C462">
        <v>-1.8599999999999998E-2</v>
      </c>
    </row>
    <row r="463" spans="1:3" x14ac:dyDescent="0.35">
      <c r="A463">
        <v>26</v>
      </c>
      <c r="B463">
        <v>2005</v>
      </c>
      <c r="C463">
        <v>-1.43E-2</v>
      </c>
    </row>
    <row r="464" spans="1:3" x14ac:dyDescent="0.35">
      <c r="A464">
        <v>26</v>
      </c>
      <c r="B464">
        <v>2006</v>
      </c>
      <c r="C464">
        <v>-7.1000000000000004E-3</v>
      </c>
    </row>
    <row r="465" spans="1:3" x14ac:dyDescent="0.35">
      <c r="A465">
        <v>26</v>
      </c>
      <c r="B465">
        <v>2007</v>
      </c>
      <c r="C465">
        <v>1.1000000000000001E-3</v>
      </c>
    </row>
    <row r="466" spans="1:3" x14ac:dyDescent="0.35">
      <c r="A466">
        <v>26</v>
      </c>
      <c r="B466">
        <v>2008</v>
      </c>
      <c r="C466">
        <v>8.2000000000000007E-3</v>
      </c>
    </row>
    <row r="467" spans="1:3" x14ac:dyDescent="0.35">
      <c r="A467">
        <v>26</v>
      </c>
      <c r="B467">
        <v>2009</v>
      </c>
      <c r="C467">
        <v>1.2500000000000001E-2</v>
      </c>
    </row>
    <row r="468" spans="1:3" x14ac:dyDescent="0.35">
      <c r="A468">
        <v>26</v>
      </c>
      <c r="B468">
        <v>2010</v>
      </c>
      <c r="C468">
        <v>1.3599999999999999E-2</v>
      </c>
    </row>
    <row r="469" spans="1:3" x14ac:dyDescent="0.35">
      <c r="A469">
        <v>26</v>
      </c>
      <c r="B469">
        <v>2011</v>
      </c>
      <c r="C469">
        <v>1.1900000000000001E-2</v>
      </c>
    </row>
    <row r="470" spans="1:3" x14ac:dyDescent="0.35">
      <c r="A470">
        <v>26</v>
      </c>
      <c r="B470">
        <v>2012</v>
      </c>
      <c r="C470">
        <v>8.5000000000000006E-3</v>
      </c>
    </row>
    <row r="471" spans="1:3" x14ac:dyDescent="0.35">
      <c r="A471">
        <v>26</v>
      </c>
      <c r="B471">
        <v>2013</v>
      </c>
      <c r="C471">
        <v>1.06E-2</v>
      </c>
    </row>
    <row r="472" spans="1:3" x14ac:dyDescent="0.35">
      <c r="A472">
        <v>26</v>
      </c>
      <c r="B472">
        <v>2014</v>
      </c>
      <c r="C472">
        <v>1.26E-2</v>
      </c>
    </row>
    <row r="473" spans="1:3" x14ac:dyDescent="0.35">
      <c r="A473">
        <v>26</v>
      </c>
      <c r="B473">
        <v>2015</v>
      </c>
      <c r="C473">
        <v>1.4500000000000001E-2</v>
      </c>
    </row>
    <row r="474" spans="1:3" x14ac:dyDescent="0.35">
      <c r="A474">
        <v>26</v>
      </c>
      <c r="B474">
        <v>2016</v>
      </c>
      <c r="C474">
        <v>1.61E-2</v>
      </c>
    </row>
    <row r="475" spans="1:3" x14ac:dyDescent="0.35">
      <c r="A475">
        <v>26</v>
      </c>
      <c r="B475">
        <v>2017</v>
      </c>
      <c r="C475">
        <v>1.7399999999999999E-2</v>
      </c>
    </row>
    <row r="476" spans="1:3" x14ac:dyDescent="0.35">
      <c r="A476">
        <v>26</v>
      </c>
      <c r="B476">
        <v>2018</v>
      </c>
      <c r="C476">
        <v>1.83E-2</v>
      </c>
    </row>
    <row r="477" spans="1:3" x14ac:dyDescent="0.35">
      <c r="A477">
        <v>26</v>
      </c>
      <c r="B477">
        <v>2019</v>
      </c>
      <c r="C477">
        <v>1.77E-2</v>
      </c>
    </row>
    <row r="478" spans="1:3" x14ac:dyDescent="0.35">
      <c r="A478">
        <v>26</v>
      </c>
      <c r="B478">
        <v>2020</v>
      </c>
      <c r="C478">
        <v>1.7000000000000001E-2</v>
      </c>
    </row>
    <row r="479" spans="1:3" x14ac:dyDescent="0.35">
      <c r="A479">
        <v>26</v>
      </c>
      <c r="B479">
        <v>2021</v>
      </c>
      <c r="C479">
        <v>1.6299999999999999E-2</v>
      </c>
    </row>
    <row r="480" spans="1:3" x14ac:dyDescent="0.35">
      <c r="A480">
        <v>26</v>
      </c>
      <c r="B480">
        <v>2022</v>
      </c>
      <c r="C480">
        <v>1.55E-2</v>
      </c>
    </row>
    <row r="481" spans="1:3" x14ac:dyDescent="0.35">
      <c r="A481">
        <v>26</v>
      </c>
      <c r="B481">
        <v>2023</v>
      </c>
      <c r="C481">
        <v>1.46E-2</v>
      </c>
    </row>
    <row r="482" spans="1:3" x14ac:dyDescent="0.35">
      <c r="A482">
        <v>26</v>
      </c>
      <c r="B482">
        <v>2024</v>
      </c>
      <c r="C482">
        <v>1.38E-2</v>
      </c>
    </row>
    <row r="483" spans="1:3" x14ac:dyDescent="0.35">
      <c r="A483">
        <v>26</v>
      </c>
      <c r="B483">
        <v>2025</v>
      </c>
      <c r="C483">
        <v>1.3100000000000001E-2</v>
      </c>
    </row>
    <row r="484" spans="1:3" x14ac:dyDescent="0.35">
      <c r="A484">
        <v>26</v>
      </c>
      <c r="B484">
        <v>2026</v>
      </c>
      <c r="C484">
        <v>1.24E-2</v>
      </c>
    </row>
    <row r="485" spans="1:3" x14ac:dyDescent="0.35">
      <c r="A485">
        <v>26</v>
      </c>
      <c r="B485">
        <v>2027</v>
      </c>
      <c r="C485">
        <v>1.17E-2</v>
      </c>
    </row>
    <row r="486" spans="1:3" x14ac:dyDescent="0.35">
      <c r="A486">
        <v>26</v>
      </c>
      <c r="B486">
        <v>2028</v>
      </c>
      <c r="C486">
        <v>1.11E-2</v>
      </c>
    </row>
    <row r="487" spans="1:3" x14ac:dyDescent="0.35">
      <c r="A487">
        <v>26</v>
      </c>
      <c r="B487">
        <v>2029</v>
      </c>
      <c r="C487">
        <v>1.0699999999999999E-2</v>
      </c>
    </row>
    <row r="488" spans="1:3" x14ac:dyDescent="0.35">
      <c r="A488">
        <v>26</v>
      </c>
      <c r="B488">
        <v>2030</v>
      </c>
      <c r="C488">
        <v>1.03E-2</v>
      </c>
    </row>
    <row r="489" spans="1:3" x14ac:dyDescent="0.35">
      <c r="A489">
        <v>26</v>
      </c>
      <c r="B489">
        <v>2031</v>
      </c>
      <c r="C489">
        <v>1.01E-2</v>
      </c>
    </row>
    <row r="490" spans="1:3" x14ac:dyDescent="0.35">
      <c r="A490">
        <v>27</v>
      </c>
      <c r="B490">
        <v>1951</v>
      </c>
      <c r="C490">
        <v>1.5299999999999999E-2</v>
      </c>
    </row>
    <row r="491" spans="1:3" x14ac:dyDescent="0.35">
      <c r="A491">
        <v>27</v>
      </c>
      <c r="B491">
        <v>1952</v>
      </c>
      <c r="C491">
        <v>1.7600000000000001E-2</v>
      </c>
    </row>
    <row r="492" spans="1:3" x14ac:dyDescent="0.35">
      <c r="A492">
        <v>27</v>
      </c>
      <c r="B492">
        <v>1953</v>
      </c>
      <c r="C492">
        <v>1.9599999999999999E-2</v>
      </c>
    </row>
    <row r="493" spans="1:3" x14ac:dyDescent="0.35">
      <c r="A493">
        <v>27</v>
      </c>
      <c r="B493">
        <v>1954</v>
      </c>
      <c r="C493">
        <v>2.07E-2</v>
      </c>
    </row>
    <row r="494" spans="1:3" x14ac:dyDescent="0.35">
      <c r="A494">
        <v>27</v>
      </c>
      <c r="B494">
        <v>1955</v>
      </c>
      <c r="C494">
        <v>2.07E-2</v>
      </c>
    </row>
    <row r="495" spans="1:3" x14ac:dyDescent="0.35">
      <c r="A495">
        <v>27</v>
      </c>
      <c r="B495">
        <v>1956</v>
      </c>
      <c r="C495">
        <v>1.95E-2</v>
      </c>
    </row>
    <row r="496" spans="1:3" x14ac:dyDescent="0.35">
      <c r="A496">
        <v>27</v>
      </c>
      <c r="B496">
        <v>1957</v>
      </c>
      <c r="C496">
        <v>1.7100000000000001E-2</v>
      </c>
    </row>
    <row r="497" spans="1:3" x14ac:dyDescent="0.35">
      <c r="A497">
        <v>27</v>
      </c>
      <c r="B497">
        <v>1958</v>
      </c>
      <c r="C497">
        <v>1.3599999999999999E-2</v>
      </c>
    </row>
    <row r="498" spans="1:3" x14ac:dyDescent="0.35">
      <c r="A498">
        <v>27</v>
      </c>
      <c r="B498">
        <v>1959</v>
      </c>
      <c r="C498">
        <v>8.8999999999999999E-3</v>
      </c>
    </row>
    <row r="499" spans="1:3" x14ac:dyDescent="0.35">
      <c r="A499">
        <v>27</v>
      </c>
      <c r="B499">
        <v>1960</v>
      </c>
      <c r="C499">
        <v>3.3E-3</v>
      </c>
    </row>
    <row r="500" spans="1:3" x14ac:dyDescent="0.35">
      <c r="A500">
        <v>27</v>
      </c>
      <c r="B500">
        <v>1961</v>
      </c>
      <c r="C500">
        <v>-3.0000000000000001E-3</v>
      </c>
    </row>
    <row r="501" spans="1:3" x14ac:dyDescent="0.35">
      <c r="A501">
        <v>27</v>
      </c>
      <c r="B501">
        <v>1962</v>
      </c>
      <c r="C501">
        <v>-9.5999999999999992E-3</v>
      </c>
    </row>
    <row r="502" spans="1:3" x14ac:dyDescent="0.35">
      <c r="A502">
        <v>27</v>
      </c>
      <c r="B502">
        <v>1963</v>
      </c>
      <c r="C502">
        <v>-1.5800000000000002E-2</v>
      </c>
    </row>
    <row r="503" spans="1:3" x14ac:dyDescent="0.35">
      <c r="A503">
        <v>27</v>
      </c>
      <c r="B503">
        <v>1964</v>
      </c>
      <c r="C503">
        <v>-2.0899999999999998E-2</v>
      </c>
    </row>
    <row r="504" spans="1:3" x14ac:dyDescent="0.35">
      <c r="A504">
        <v>27</v>
      </c>
      <c r="B504">
        <v>1965</v>
      </c>
      <c r="C504">
        <v>-2.4E-2</v>
      </c>
    </row>
    <row r="505" spans="1:3" x14ac:dyDescent="0.35">
      <c r="A505">
        <v>27</v>
      </c>
      <c r="B505">
        <v>1966</v>
      </c>
      <c r="C505">
        <v>-2.4899999999999999E-2</v>
      </c>
    </row>
    <row r="506" spans="1:3" x14ac:dyDescent="0.35">
      <c r="A506">
        <v>27</v>
      </c>
      <c r="B506">
        <v>1967</v>
      </c>
      <c r="C506">
        <v>-2.3400000000000001E-2</v>
      </c>
    </row>
    <row r="507" spans="1:3" x14ac:dyDescent="0.35">
      <c r="A507">
        <v>27</v>
      </c>
      <c r="B507">
        <v>1968</v>
      </c>
      <c r="C507">
        <v>-1.9400000000000001E-2</v>
      </c>
    </row>
    <row r="508" spans="1:3" x14ac:dyDescent="0.35">
      <c r="A508">
        <v>27</v>
      </c>
      <c r="B508">
        <v>1969</v>
      </c>
      <c r="C508">
        <v>-1.34E-2</v>
      </c>
    </row>
    <row r="509" spans="1:3" x14ac:dyDescent="0.35">
      <c r="A509">
        <v>27</v>
      </c>
      <c r="B509">
        <v>1970</v>
      </c>
      <c r="C509">
        <v>-6.4000000000000003E-3</v>
      </c>
    </row>
    <row r="510" spans="1:3" x14ac:dyDescent="0.35">
      <c r="A510">
        <v>27</v>
      </c>
      <c r="B510">
        <v>1971</v>
      </c>
      <c r="C510">
        <v>5.0000000000000001E-4</v>
      </c>
    </row>
    <row r="511" spans="1:3" x14ac:dyDescent="0.35">
      <c r="A511">
        <v>27</v>
      </c>
      <c r="B511">
        <v>1972</v>
      </c>
      <c r="C511">
        <v>6.6E-3</v>
      </c>
    </row>
    <row r="512" spans="1:3" x14ac:dyDescent="0.35">
      <c r="A512">
        <v>27</v>
      </c>
      <c r="B512">
        <v>1973</v>
      </c>
      <c r="C512">
        <v>1.12E-2</v>
      </c>
    </row>
    <row r="513" spans="1:3" x14ac:dyDescent="0.35">
      <c r="A513">
        <v>27</v>
      </c>
      <c r="B513">
        <v>1974</v>
      </c>
      <c r="C513">
        <v>1.3899999999999999E-2</v>
      </c>
    </row>
    <row r="514" spans="1:3" x14ac:dyDescent="0.35">
      <c r="A514">
        <v>27</v>
      </c>
      <c r="B514">
        <v>1975</v>
      </c>
      <c r="C514">
        <v>1.47E-2</v>
      </c>
    </row>
    <row r="515" spans="1:3" x14ac:dyDescent="0.35">
      <c r="A515">
        <v>27</v>
      </c>
      <c r="B515">
        <v>1976</v>
      </c>
      <c r="C515">
        <v>1.41E-2</v>
      </c>
    </row>
    <row r="516" spans="1:3" x14ac:dyDescent="0.35">
      <c r="A516">
        <v>27</v>
      </c>
      <c r="B516">
        <v>1977</v>
      </c>
      <c r="C516">
        <v>1.29E-2</v>
      </c>
    </row>
    <row r="517" spans="1:3" x14ac:dyDescent="0.35">
      <c r="A517">
        <v>27</v>
      </c>
      <c r="B517">
        <v>1978</v>
      </c>
      <c r="C517">
        <v>1.2200000000000001E-2</v>
      </c>
    </row>
    <row r="518" spans="1:3" x14ac:dyDescent="0.35">
      <c r="A518">
        <v>27</v>
      </c>
      <c r="B518">
        <v>1979</v>
      </c>
      <c r="C518">
        <v>1.2800000000000001E-2</v>
      </c>
    </row>
    <row r="519" spans="1:3" x14ac:dyDescent="0.35">
      <c r="A519">
        <v>27</v>
      </c>
      <c r="B519">
        <v>1980</v>
      </c>
      <c r="C519">
        <v>1.4500000000000001E-2</v>
      </c>
    </row>
    <row r="520" spans="1:3" x14ac:dyDescent="0.35">
      <c r="A520">
        <v>27</v>
      </c>
      <c r="B520">
        <v>1981</v>
      </c>
      <c r="C520">
        <v>1.6E-2</v>
      </c>
    </row>
    <row r="521" spans="1:3" x14ac:dyDescent="0.35">
      <c r="A521">
        <v>27</v>
      </c>
      <c r="B521">
        <v>1982</v>
      </c>
      <c r="C521">
        <v>1.5599999999999999E-2</v>
      </c>
    </row>
    <row r="522" spans="1:3" x14ac:dyDescent="0.35">
      <c r="A522">
        <v>27</v>
      </c>
      <c r="B522">
        <v>1983</v>
      </c>
      <c r="C522">
        <v>1.1900000000000001E-2</v>
      </c>
    </row>
    <row r="523" spans="1:3" x14ac:dyDescent="0.35">
      <c r="A523">
        <v>27</v>
      </c>
      <c r="B523">
        <v>1984</v>
      </c>
      <c r="C523">
        <v>5.4000000000000003E-3</v>
      </c>
    </row>
    <row r="524" spans="1:3" x14ac:dyDescent="0.35">
      <c r="A524">
        <v>27</v>
      </c>
      <c r="B524">
        <v>1985</v>
      </c>
      <c r="C524">
        <v>-2.3999999999999998E-3</v>
      </c>
    </row>
    <row r="525" spans="1:3" x14ac:dyDescent="0.35">
      <c r="A525">
        <v>27</v>
      </c>
      <c r="B525">
        <v>1986</v>
      </c>
      <c r="C525">
        <v>-9.1999999999999998E-3</v>
      </c>
    </row>
    <row r="526" spans="1:3" x14ac:dyDescent="0.35">
      <c r="A526">
        <v>27</v>
      </c>
      <c r="B526">
        <v>1987</v>
      </c>
      <c r="C526">
        <v>-1.32E-2</v>
      </c>
    </row>
    <row r="527" spans="1:3" x14ac:dyDescent="0.35">
      <c r="A527">
        <v>27</v>
      </c>
      <c r="B527">
        <v>1988</v>
      </c>
      <c r="C527">
        <v>-1.37E-2</v>
      </c>
    </row>
    <row r="528" spans="1:3" x14ac:dyDescent="0.35">
      <c r="A528">
        <v>27</v>
      </c>
      <c r="B528">
        <v>1989</v>
      </c>
      <c r="C528">
        <v>-1.04E-2</v>
      </c>
    </row>
    <row r="529" spans="1:3" x14ac:dyDescent="0.35">
      <c r="A529">
        <v>27</v>
      </c>
      <c r="B529">
        <v>1990</v>
      </c>
      <c r="C529">
        <v>-3.5000000000000001E-3</v>
      </c>
    </row>
    <row r="530" spans="1:3" x14ac:dyDescent="0.35">
      <c r="A530">
        <v>27</v>
      </c>
      <c r="B530">
        <v>1991</v>
      </c>
      <c r="C530">
        <v>5.8999999999999999E-3</v>
      </c>
    </row>
    <row r="531" spans="1:3" x14ac:dyDescent="0.35">
      <c r="A531">
        <v>27</v>
      </c>
      <c r="B531">
        <v>1992</v>
      </c>
      <c r="C531">
        <v>1.6799999999999999E-2</v>
      </c>
    </row>
    <row r="532" spans="1:3" x14ac:dyDescent="0.35">
      <c r="A532">
        <v>27</v>
      </c>
      <c r="B532">
        <v>1993</v>
      </c>
      <c r="C532">
        <v>2.81E-2</v>
      </c>
    </row>
    <row r="533" spans="1:3" x14ac:dyDescent="0.35">
      <c r="A533">
        <v>27</v>
      </c>
      <c r="B533">
        <v>1994</v>
      </c>
      <c r="C533">
        <v>3.8600000000000002E-2</v>
      </c>
    </row>
    <row r="534" spans="1:3" x14ac:dyDescent="0.35">
      <c r="A534">
        <v>27</v>
      </c>
      <c r="B534">
        <v>1995</v>
      </c>
      <c r="C534">
        <v>4.65E-2</v>
      </c>
    </row>
    <row r="535" spans="1:3" x14ac:dyDescent="0.35">
      <c r="A535">
        <v>27</v>
      </c>
      <c r="B535">
        <v>1996</v>
      </c>
      <c r="C535">
        <v>4.9799999999999997E-2</v>
      </c>
    </row>
    <row r="536" spans="1:3" x14ac:dyDescent="0.35">
      <c r="A536">
        <v>27</v>
      </c>
      <c r="B536">
        <v>1997</v>
      </c>
      <c r="C536">
        <v>4.7E-2</v>
      </c>
    </row>
    <row r="537" spans="1:3" x14ac:dyDescent="0.35">
      <c r="A537">
        <v>27</v>
      </c>
      <c r="B537">
        <v>1998</v>
      </c>
      <c r="C537">
        <v>3.8199999999999998E-2</v>
      </c>
    </row>
    <row r="538" spans="1:3" x14ac:dyDescent="0.35">
      <c r="A538">
        <v>27</v>
      </c>
      <c r="B538">
        <v>1999</v>
      </c>
      <c r="C538">
        <v>2.5100000000000001E-2</v>
      </c>
    </row>
    <row r="539" spans="1:3" x14ac:dyDescent="0.35">
      <c r="A539">
        <v>27</v>
      </c>
      <c r="B539">
        <v>2000</v>
      </c>
      <c r="C539">
        <v>1.03E-2</v>
      </c>
    </row>
    <row r="540" spans="1:3" x14ac:dyDescent="0.35">
      <c r="A540">
        <v>27</v>
      </c>
      <c r="B540">
        <v>2001</v>
      </c>
      <c r="C540">
        <v>-3.2000000000000002E-3</v>
      </c>
    </row>
    <row r="541" spans="1:3" x14ac:dyDescent="0.35">
      <c r="A541">
        <v>27</v>
      </c>
      <c r="B541">
        <v>2002</v>
      </c>
      <c r="C541">
        <v>-1.2999999999999999E-2</v>
      </c>
    </row>
    <row r="542" spans="1:3" x14ac:dyDescent="0.35">
      <c r="A542">
        <v>27</v>
      </c>
      <c r="B542">
        <v>2003</v>
      </c>
      <c r="C542">
        <v>-1.8200000000000001E-2</v>
      </c>
    </row>
    <row r="543" spans="1:3" x14ac:dyDescent="0.35">
      <c r="A543">
        <v>27</v>
      </c>
      <c r="B543">
        <v>2004</v>
      </c>
      <c r="C543">
        <v>-1.8700000000000001E-2</v>
      </c>
    </row>
    <row r="544" spans="1:3" x14ac:dyDescent="0.35">
      <c r="A544">
        <v>27</v>
      </c>
      <c r="B544">
        <v>2005</v>
      </c>
      <c r="C544">
        <v>-1.5100000000000001E-2</v>
      </c>
    </row>
    <row r="545" spans="1:3" x14ac:dyDescent="0.35">
      <c r="A545">
        <v>27</v>
      </c>
      <c r="B545">
        <v>2006</v>
      </c>
      <c r="C545">
        <v>-8.5000000000000006E-3</v>
      </c>
    </row>
    <row r="546" spans="1:3" x14ac:dyDescent="0.35">
      <c r="A546">
        <v>27</v>
      </c>
      <c r="B546">
        <v>2007</v>
      </c>
      <c r="C546">
        <v>-1E-3</v>
      </c>
    </row>
    <row r="547" spans="1:3" x14ac:dyDescent="0.35">
      <c r="A547">
        <v>27</v>
      </c>
      <c r="B547">
        <v>2008</v>
      </c>
      <c r="C547">
        <v>5.4000000000000003E-3</v>
      </c>
    </row>
    <row r="548" spans="1:3" x14ac:dyDescent="0.35">
      <c r="A548">
        <v>27</v>
      </c>
      <c r="B548">
        <v>2009</v>
      </c>
      <c r="C548">
        <v>9.2999999999999992E-3</v>
      </c>
    </row>
    <row r="549" spans="1:3" x14ac:dyDescent="0.35">
      <c r="A549">
        <v>27</v>
      </c>
      <c r="B549">
        <v>2010</v>
      </c>
      <c r="C549">
        <v>0.01</v>
      </c>
    </row>
    <row r="550" spans="1:3" x14ac:dyDescent="0.35">
      <c r="A550">
        <v>27</v>
      </c>
      <c r="B550">
        <v>2011</v>
      </c>
      <c r="C550">
        <v>8.2000000000000007E-3</v>
      </c>
    </row>
    <row r="551" spans="1:3" x14ac:dyDescent="0.35">
      <c r="A551">
        <v>27</v>
      </c>
      <c r="B551">
        <v>2012</v>
      </c>
      <c r="C551">
        <v>4.7000000000000002E-3</v>
      </c>
    </row>
    <row r="552" spans="1:3" x14ac:dyDescent="0.35">
      <c r="A552">
        <v>27</v>
      </c>
      <c r="B552">
        <v>2013</v>
      </c>
      <c r="C552">
        <v>6.7000000000000002E-3</v>
      </c>
    </row>
    <row r="553" spans="1:3" x14ac:dyDescent="0.35">
      <c r="A553">
        <v>27</v>
      </c>
      <c r="B553">
        <v>2014</v>
      </c>
      <c r="C553">
        <v>8.8999999999999999E-3</v>
      </c>
    </row>
    <row r="554" spans="1:3" x14ac:dyDescent="0.35">
      <c r="A554">
        <v>27</v>
      </c>
      <c r="B554">
        <v>2015</v>
      </c>
      <c r="C554">
        <v>1.11E-2</v>
      </c>
    </row>
    <row r="555" spans="1:3" x14ac:dyDescent="0.35">
      <c r="A555">
        <v>27</v>
      </c>
      <c r="B555">
        <v>2016</v>
      </c>
      <c r="C555">
        <v>1.3100000000000001E-2</v>
      </c>
    </row>
    <row r="556" spans="1:3" x14ac:dyDescent="0.35">
      <c r="A556">
        <v>27</v>
      </c>
      <c r="B556">
        <v>2017</v>
      </c>
      <c r="C556">
        <v>1.49E-2</v>
      </c>
    </row>
    <row r="557" spans="1:3" x14ac:dyDescent="0.35">
      <c r="A557">
        <v>27</v>
      </c>
      <c r="B557">
        <v>2018</v>
      </c>
      <c r="C557">
        <v>1.6299999999999999E-2</v>
      </c>
    </row>
    <row r="558" spans="1:3" x14ac:dyDescent="0.35">
      <c r="A558">
        <v>27</v>
      </c>
      <c r="B558">
        <v>2019</v>
      </c>
      <c r="C558">
        <v>1.7299999999999999E-2</v>
      </c>
    </row>
    <row r="559" spans="1:3" x14ac:dyDescent="0.35">
      <c r="A559">
        <v>27</v>
      </c>
      <c r="B559">
        <v>2020</v>
      </c>
      <c r="C559">
        <v>1.6799999999999999E-2</v>
      </c>
    </row>
    <row r="560" spans="1:3" x14ac:dyDescent="0.35">
      <c r="A560">
        <v>27</v>
      </c>
      <c r="B560">
        <v>2021</v>
      </c>
      <c r="C560">
        <v>1.6199999999999999E-2</v>
      </c>
    </row>
    <row r="561" spans="1:3" x14ac:dyDescent="0.35">
      <c r="A561">
        <v>27</v>
      </c>
      <c r="B561">
        <v>2022</v>
      </c>
      <c r="C561">
        <v>1.55E-2</v>
      </c>
    </row>
    <row r="562" spans="1:3" x14ac:dyDescent="0.35">
      <c r="A562">
        <v>27</v>
      </c>
      <c r="B562">
        <v>2023</v>
      </c>
      <c r="C562">
        <v>1.46E-2</v>
      </c>
    </row>
    <row r="563" spans="1:3" x14ac:dyDescent="0.35">
      <c r="A563">
        <v>27</v>
      </c>
      <c r="B563">
        <v>2024</v>
      </c>
      <c r="C563">
        <v>1.38E-2</v>
      </c>
    </row>
    <row r="564" spans="1:3" x14ac:dyDescent="0.35">
      <c r="A564">
        <v>27</v>
      </c>
      <c r="B564">
        <v>2025</v>
      </c>
      <c r="C564">
        <v>1.3100000000000001E-2</v>
      </c>
    </row>
    <row r="565" spans="1:3" x14ac:dyDescent="0.35">
      <c r="A565">
        <v>27</v>
      </c>
      <c r="B565">
        <v>2026</v>
      </c>
      <c r="C565">
        <v>1.24E-2</v>
      </c>
    </row>
    <row r="566" spans="1:3" x14ac:dyDescent="0.35">
      <c r="A566">
        <v>27</v>
      </c>
      <c r="B566">
        <v>2027</v>
      </c>
      <c r="C566">
        <v>1.17E-2</v>
      </c>
    </row>
    <row r="567" spans="1:3" x14ac:dyDescent="0.35">
      <c r="A567">
        <v>27</v>
      </c>
      <c r="B567">
        <v>2028</v>
      </c>
      <c r="C567">
        <v>1.11E-2</v>
      </c>
    </row>
    <row r="568" spans="1:3" x14ac:dyDescent="0.35">
      <c r="A568">
        <v>27</v>
      </c>
      <c r="B568">
        <v>2029</v>
      </c>
      <c r="C568">
        <v>1.0699999999999999E-2</v>
      </c>
    </row>
    <row r="569" spans="1:3" x14ac:dyDescent="0.35">
      <c r="A569">
        <v>27</v>
      </c>
      <c r="B569">
        <v>2030</v>
      </c>
      <c r="C569">
        <v>1.03E-2</v>
      </c>
    </row>
    <row r="570" spans="1:3" x14ac:dyDescent="0.35">
      <c r="A570">
        <v>27</v>
      </c>
      <c r="B570">
        <v>2031</v>
      </c>
      <c r="C570">
        <v>1.01E-2</v>
      </c>
    </row>
    <row r="571" spans="1:3" x14ac:dyDescent="0.35">
      <c r="A571">
        <v>28</v>
      </c>
      <c r="B571">
        <v>1951</v>
      </c>
      <c r="C571">
        <v>2.12E-2</v>
      </c>
    </row>
    <row r="572" spans="1:3" x14ac:dyDescent="0.35">
      <c r="A572">
        <v>28</v>
      </c>
      <c r="B572">
        <v>1952</v>
      </c>
      <c r="C572">
        <v>2.2100000000000002E-2</v>
      </c>
    </row>
    <row r="573" spans="1:3" x14ac:dyDescent="0.35">
      <c r="A573">
        <v>28</v>
      </c>
      <c r="B573">
        <v>1953</v>
      </c>
      <c r="C573">
        <v>2.2700000000000001E-2</v>
      </c>
    </row>
    <row r="574" spans="1:3" x14ac:dyDescent="0.35">
      <c r="A574">
        <v>28</v>
      </c>
      <c r="B574">
        <v>1954</v>
      </c>
      <c r="C574">
        <v>2.24E-2</v>
      </c>
    </row>
    <row r="575" spans="1:3" x14ac:dyDescent="0.35">
      <c r="A575">
        <v>28</v>
      </c>
      <c r="B575">
        <v>1955</v>
      </c>
      <c r="C575">
        <v>2.12E-2</v>
      </c>
    </row>
    <row r="576" spans="1:3" x14ac:dyDescent="0.35">
      <c r="A576">
        <v>28</v>
      </c>
      <c r="B576">
        <v>1956</v>
      </c>
      <c r="C576">
        <v>1.9E-2</v>
      </c>
    </row>
    <row r="577" spans="1:3" x14ac:dyDescent="0.35">
      <c r="A577">
        <v>28</v>
      </c>
      <c r="B577">
        <v>1957</v>
      </c>
      <c r="C577">
        <v>1.5900000000000001E-2</v>
      </c>
    </row>
    <row r="578" spans="1:3" x14ac:dyDescent="0.35">
      <c r="A578">
        <v>28</v>
      </c>
      <c r="B578">
        <v>1958</v>
      </c>
      <c r="C578">
        <v>1.2E-2</v>
      </c>
    </row>
    <row r="579" spans="1:3" x14ac:dyDescent="0.35">
      <c r="A579">
        <v>28</v>
      </c>
      <c r="B579">
        <v>1959</v>
      </c>
      <c r="C579">
        <v>7.1999999999999998E-3</v>
      </c>
    </row>
    <row r="580" spans="1:3" x14ac:dyDescent="0.35">
      <c r="A580">
        <v>28</v>
      </c>
      <c r="B580">
        <v>1960</v>
      </c>
      <c r="C580">
        <v>1.9E-3</v>
      </c>
    </row>
    <row r="581" spans="1:3" x14ac:dyDescent="0.35">
      <c r="A581">
        <v>28</v>
      </c>
      <c r="B581">
        <v>1961</v>
      </c>
      <c r="C581">
        <v>-4.0000000000000001E-3</v>
      </c>
    </row>
    <row r="582" spans="1:3" x14ac:dyDescent="0.35">
      <c r="A582">
        <v>28</v>
      </c>
      <c r="B582">
        <v>1962</v>
      </c>
      <c r="C582">
        <v>-1.01E-2</v>
      </c>
    </row>
    <row r="583" spans="1:3" x14ac:dyDescent="0.35">
      <c r="A583">
        <v>28</v>
      </c>
      <c r="B583">
        <v>1963</v>
      </c>
      <c r="C583">
        <v>-1.5699999999999999E-2</v>
      </c>
    </row>
    <row r="584" spans="1:3" x14ac:dyDescent="0.35">
      <c r="A584">
        <v>28</v>
      </c>
      <c r="B584">
        <v>1964</v>
      </c>
      <c r="C584">
        <v>-2.01E-2</v>
      </c>
    </row>
    <row r="585" spans="1:3" x14ac:dyDescent="0.35">
      <c r="A585">
        <v>28</v>
      </c>
      <c r="B585">
        <v>1965</v>
      </c>
      <c r="C585">
        <v>-2.2700000000000001E-2</v>
      </c>
    </row>
    <row r="586" spans="1:3" x14ac:dyDescent="0.35">
      <c r="A586">
        <v>28</v>
      </c>
      <c r="B586">
        <v>1966</v>
      </c>
      <c r="C586">
        <v>-2.3199999999999998E-2</v>
      </c>
    </row>
    <row r="587" spans="1:3" x14ac:dyDescent="0.35">
      <c r="A587">
        <v>28</v>
      </c>
      <c r="B587">
        <v>1967</v>
      </c>
      <c r="C587">
        <v>-2.1399999999999999E-2</v>
      </c>
    </row>
    <row r="588" spans="1:3" x14ac:dyDescent="0.35">
      <c r="A588">
        <v>28</v>
      </c>
      <c r="B588">
        <v>1968</v>
      </c>
      <c r="C588">
        <v>-1.7399999999999999E-2</v>
      </c>
    </row>
    <row r="589" spans="1:3" x14ac:dyDescent="0.35">
      <c r="A589">
        <v>28</v>
      </c>
      <c r="B589">
        <v>1969</v>
      </c>
      <c r="C589">
        <v>-1.17E-2</v>
      </c>
    </row>
    <row r="590" spans="1:3" x14ac:dyDescent="0.35">
      <c r="A590">
        <v>28</v>
      </c>
      <c r="B590">
        <v>1970</v>
      </c>
      <c r="C590">
        <v>-4.8999999999999998E-3</v>
      </c>
    </row>
    <row r="591" spans="1:3" x14ac:dyDescent="0.35">
      <c r="A591">
        <v>28</v>
      </c>
      <c r="B591">
        <v>1971</v>
      </c>
      <c r="C591">
        <v>1.9E-3</v>
      </c>
    </row>
    <row r="592" spans="1:3" x14ac:dyDescent="0.35">
      <c r="A592">
        <v>28</v>
      </c>
      <c r="B592">
        <v>1972</v>
      </c>
      <c r="C592">
        <v>7.9000000000000008E-3</v>
      </c>
    </row>
    <row r="593" spans="1:3" x14ac:dyDescent="0.35">
      <c r="A593">
        <v>28</v>
      </c>
      <c r="B593">
        <v>1973</v>
      </c>
      <c r="C593">
        <v>1.2500000000000001E-2</v>
      </c>
    </row>
    <row r="594" spans="1:3" x14ac:dyDescent="0.35">
      <c r="A594">
        <v>28</v>
      </c>
      <c r="B594">
        <v>1974</v>
      </c>
      <c r="C594">
        <v>1.54E-2</v>
      </c>
    </row>
    <row r="595" spans="1:3" x14ac:dyDescent="0.35">
      <c r="A595">
        <v>28</v>
      </c>
      <c r="B595">
        <v>1975</v>
      </c>
      <c r="C595">
        <v>1.6299999999999999E-2</v>
      </c>
    </row>
    <row r="596" spans="1:3" x14ac:dyDescent="0.35">
      <c r="A596">
        <v>28</v>
      </c>
      <c r="B596">
        <v>1976</v>
      </c>
      <c r="C596">
        <v>1.55E-2</v>
      </c>
    </row>
    <row r="597" spans="1:3" x14ac:dyDescent="0.35">
      <c r="A597">
        <v>28</v>
      </c>
      <c r="B597">
        <v>1977</v>
      </c>
      <c r="C597">
        <v>1.3899999999999999E-2</v>
      </c>
    </row>
    <row r="598" spans="1:3" x14ac:dyDescent="0.35">
      <c r="A598">
        <v>28</v>
      </c>
      <c r="B598">
        <v>1978</v>
      </c>
      <c r="C598">
        <v>1.2500000000000001E-2</v>
      </c>
    </row>
    <row r="599" spans="1:3" x14ac:dyDescent="0.35">
      <c r="A599">
        <v>28</v>
      </c>
      <c r="B599">
        <v>1979</v>
      </c>
      <c r="C599">
        <v>1.2E-2</v>
      </c>
    </row>
    <row r="600" spans="1:3" x14ac:dyDescent="0.35">
      <c r="A600">
        <v>28</v>
      </c>
      <c r="B600">
        <v>1980</v>
      </c>
      <c r="C600">
        <v>1.24E-2</v>
      </c>
    </row>
    <row r="601" spans="1:3" x14ac:dyDescent="0.35">
      <c r="A601">
        <v>28</v>
      </c>
      <c r="B601">
        <v>1981</v>
      </c>
      <c r="C601">
        <v>1.2699999999999999E-2</v>
      </c>
    </row>
    <row r="602" spans="1:3" x14ac:dyDescent="0.35">
      <c r="A602">
        <v>28</v>
      </c>
      <c r="B602">
        <v>1982</v>
      </c>
      <c r="C602">
        <v>1.12E-2</v>
      </c>
    </row>
    <row r="603" spans="1:3" x14ac:dyDescent="0.35">
      <c r="A603">
        <v>28</v>
      </c>
      <c r="B603">
        <v>1983</v>
      </c>
      <c r="C603">
        <v>6.8999999999999999E-3</v>
      </c>
    </row>
    <row r="604" spans="1:3" x14ac:dyDescent="0.35">
      <c r="A604">
        <v>28</v>
      </c>
      <c r="B604">
        <v>1984</v>
      </c>
      <c r="C604">
        <v>1E-4</v>
      </c>
    </row>
    <row r="605" spans="1:3" x14ac:dyDescent="0.35">
      <c r="A605">
        <v>28</v>
      </c>
      <c r="B605">
        <v>1985</v>
      </c>
      <c r="C605">
        <v>-7.6E-3</v>
      </c>
    </row>
    <row r="606" spans="1:3" x14ac:dyDescent="0.35">
      <c r="A606">
        <v>28</v>
      </c>
      <c r="B606">
        <v>1986</v>
      </c>
      <c r="C606">
        <v>-1.41E-2</v>
      </c>
    </row>
    <row r="607" spans="1:3" x14ac:dyDescent="0.35">
      <c r="A607">
        <v>28</v>
      </c>
      <c r="B607">
        <v>1987</v>
      </c>
      <c r="C607">
        <v>-1.7600000000000001E-2</v>
      </c>
    </row>
    <row r="608" spans="1:3" x14ac:dyDescent="0.35">
      <c r="A608">
        <v>28</v>
      </c>
      <c r="B608">
        <v>1988</v>
      </c>
      <c r="C608">
        <v>-1.7500000000000002E-2</v>
      </c>
    </row>
    <row r="609" spans="1:3" x14ac:dyDescent="0.35">
      <c r="A609">
        <v>28</v>
      </c>
      <c r="B609">
        <v>1989</v>
      </c>
      <c r="C609">
        <v>-1.3599999999999999E-2</v>
      </c>
    </row>
    <row r="610" spans="1:3" x14ac:dyDescent="0.35">
      <c r="A610">
        <v>28</v>
      </c>
      <c r="B610">
        <v>1990</v>
      </c>
      <c r="C610">
        <v>-6.1000000000000004E-3</v>
      </c>
    </row>
    <row r="611" spans="1:3" x14ac:dyDescent="0.35">
      <c r="A611">
        <v>28</v>
      </c>
      <c r="B611">
        <v>1991</v>
      </c>
      <c r="C611">
        <v>4.0000000000000001E-3</v>
      </c>
    </row>
    <row r="612" spans="1:3" x14ac:dyDescent="0.35">
      <c r="A612">
        <v>28</v>
      </c>
      <c r="B612">
        <v>1992</v>
      </c>
      <c r="C612">
        <v>1.5900000000000001E-2</v>
      </c>
    </row>
    <row r="613" spans="1:3" x14ac:dyDescent="0.35">
      <c r="A613">
        <v>28</v>
      </c>
      <c r="B613">
        <v>1993</v>
      </c>
      <c r="C613">
        <v>2.8500000000000001E-2</v>
      </c>
    </row>
    <row r="614" spans="1:3" x14ac:dyDescent="0.35">
      <c r="A614">
        <v>28</v>
      </c>
      <c r="B614">
        <v>1994</v>
      </c>
      <c r="C614">
        <v>4.0500000000000001E-2</v>
      </c>
    </row>
    <row r="615" spans="1:3" x14ac:dyDescent="0.35">
      <c r="A615">
        <v>28</v>
      </c>
      <c r="B615">
        <v>1995</v>
      </c>
      <c r="C615">
        <v>4.99E-2</v>
      </c>
    </row>
    <row r="616" spans="1:3" x14ac:dyDescent="0.35">
      <c r="A616">
        <v>28</v>
      </c>
      <c r="B616">
        <v>1996</v>
      </c>
      <c r="C616">
        <v>5.4600000000000003E-2</v>
      </c>
    </row>
    <row r="617" spans="1:3" x14ac:dyDescent="0.35">
      <c r="A617">
        <v>28</v>
      </c>
      <c r="B617">
        <v>1997</v>
      </c>
      <c r="C617">
        <v>5.2600000000000001E-2</v>
      </c>
    </row>
    <row r="618" spans="1:3" x14ac:dyDescent="0.35">
      <c r="A618">
        <v>28</v>
      </c>
      <c r="B618">
        <v>1998</v>
      </c>
      <c r="C618">
        <v>4.3999999999999997E-2</v>
      </c>
    </row>
    <row r="619" spans="1:3" x14ac:dyDescent="0.35">
      <c r="A619">
        <v>28</v>
      </c>
      <c r="B619">
        <v>1999</v>
      </c>
      <c r="C619">
        <v>3.04E-2</v>
      </c>
    </row>
    <row r="620" spans="1:3" x14ac:dyDescent="0.35">
      <c r="A620">
        <v>28</v>
      </c>
      <c r="B620">
        <v>2000</v>
      </c>
      <c r="C620">
        <v>1.49E-2</v>
      </c>
    </row>
    <row r="621" spans="1:3" x14ac:dyDescent="0.35">
      <c r="A621">
        <v>28</v>
      </c>
      <c r="B621">
        <v>2001</v>
      </c>
      <c r="C621">
        <v>5.9999999999999995E-4</v>
      </c>
    </row>
    <row r="622" spans="1:3" x14ac:dyDescent="0.35">
      <c r="A622">
        <v>28</v>
      </c>
      <c r="B622">
        <v>2002</v>
      </c>
      <c r="C622">
        <v>-1.0200000000000001E-2</v>
      </c>
    </row>
    <row r="623" spans="1:3" x14ac:dyDescent="0.35">
      <c r="A623">
        <v>28</v>
      </c>
      <c r="B623">
        <v>2003</v>
      </c>
      <c r="C623">
        <v>-1.6400000000000001E-2</v>
      </c>
    </row>
    <row r="624" spans="1:3" x14ac:dyDescent="0.35">
      <c r="A624">
        <v>28</v>
      </c>
      <c r="B624">
        <v>2004</v>
      </c>
      <c r="C624">
        <v>-1.77E-2</v>
      </c>
    </row>
    <row r="625" spans="1:3" x14ac:dyDescent="0.35">
      <c r="A625">
        <v>28</v>
      </c>
      <c r="B625">
        <v>2005</v>
      </c>
      <c r="C625">
        <v>-1.4999999999999999E-2</v>
      </c>
    </row>
    <row r="626" spans="1:3" x14ac:dyDescent="0.35">
      <c r="A626">
        <v>28</v>
      </c>
      <c r="B626">
        <v>2006</v>
      </c>
      <c r="C626">
        <v>-9.2999999999999992E-3</v>
      </c>
    </row>
    <row r="627" spans="1:3" x14ac:dyDescent="0.35">
      <c r="A627">
        <v>28</v>
      </c>
      <c r="B627">
        <v>2007</v>
      </c>
      <c r="C627">
        <v>-2.5999999999999999E-3</v>
      </c>
    </row>
    <row r="628" spans="1:3" x14ac:dyDescent="0.35">
      <c r="A628">
        <v>28</v>
      </c>
      <c r="B628">
        <v>2008</v>
      </c>
      <c r="C628">
        <v>3.2000000000000002E-3</v>
      </c>
    </row>
    <row r="629" spans="1:3" x14ac:dyDescent="0.35">
      <c r="A629">
        <v>28</v>
      </c>
      <c r="B629">
        <v>2009</v>
      </c>
      <c r="C629">
        <v>6.4999999999999997E-3</v>
      </c>
    </row>
    <row r="630" spans="1:3" x14ac:dyDescent="0.35">
      <c r="A630">
        <v>28</v>
      </c>
      <c r="B630">
        <v>2010</v>
      </c>
      <c r="C630">
        <v>6.8999999999999999E-3</v>
      </c>
    </row>
    <row r="631" spans="1:3" x14ac:dyDescent="0.35">
      <c r="A631">
        <v>28</v>
      </c>
      <c r="B631">
        <v>2011</v>
      </c>
      <c r="C631">
        <v>4.7999999999999996E-3</v>
      </c>
    </row>
    <row r="632" spans="1:3" x14ac:dyDescent="0.35">
      <c r="A632">
        <v>28</v>
      </c>
      <c r="B632">
        <v>2012</v>
      </c>
      <c r="C632">
        <v>1.1000000000000001E-3</v>
      </c>
    </row>
    <row r="633" spans="1:3" x14ac:dyDescent="0.35">
      <c r="A633">
        <v>28</v>
      </c>
      <c r="B633">
        <v>2013</v>
      </c>
      <c r="C633">
        <v>3.0000000000000001E-3</v>
      </c>
    </row>
    <row r="634" spans="1:3" x14ac:dyDescent="0.35">
      <c r="A634">
        <v>28</v>
      </c>
      <c r="B634">
        <v>2014</v>
      </c>
      <c r="C634">
        <v>5.3E-3</v>
      </c>
    </row>
    <row r="635" spans="1:3" x14ac:dyDescent="0.35">
      <c r="A635">
        <v>28</v>
      </c>
      <c r="B635">
        <v>2015</v>
      </c>
      <c r="C635">
        <v>7.7000000000000002E-3</v>
      </c>
    </row>
    <row r="636" spans="1:3" x14ac:dyDescent="0.35">
      <c r="A636">
        <v>28</v>
      </c>
      <c r="B636">
        <v>2016</v>
      </c>
      <c r="C636">
        <v>1.01E-2</v>
      </c>
    </row>
    <row r="637" spans="1:3" x14ac:dyDescent="0.35">
      <c r="A637">
        <v>28</v>
      </c>
      <c r="B637">
        <v>2017</v>
      </c>
      <c r="C637">
        <v>1.23E-2</v>
      </c>
    </row>
    <row r="638" spans="1:3" x14ac:dyDescent="0.35">
      <c r="A638">
        <v>28</v>
      </c>
      <c r="B638">
        <v>2018</v>
      </c>
      <c r="C638">
        <v>1.4200000000000001E-2</v>
      </c>
    </row>
    <row r="639" spans="1:3" x14ac:dyDescent="0.35">
      <c r="A639">
        <v>28</v>
      </c>
      <c r="B639">
        <v>2019</v>
      </c>
      <c r="C639">
        <v>1.5699999999999999E-2</v>
      </c>
    </row>
    <row r="640" spans="1:3" x14ac:dyDescent="0.35">
      <c r="A640">
        <v>28</v>
      </c>
      <c r="B640">
        <v>2020</v>
      </c>
      <c r="C640">
        <v>1.66E-2</v>
      </c>
    </row>
    <row r="641" spans="1:3" x14ac:dyDescent="0.35">
      <c r="A641">
        <v>28</v>
      </c>
      <c r="B641">
        <v>2021</v>
      </c>
      <c r="C641">
        <v>1.6199999999999999E-2</v>
      </c>
    </row>
    <row r="642" spans="1:3" x14ac:dyDescent="0.35">
      <c r="A642">
        <v>28</v>
      </c>
      <c r="B642">
        <v>2022</v>
      </c>
      <c r="C642">
        <v>1.55E-2</v>
      </c>
    </row>
    <row r="643" spans="1:3" x14ac:dyDescent="0.35">
      <c r="A643">
        <v>28</v>
      </c>
      <c r="B643">
        <v>2023</v>
      </c>
      <c r="C643">
        <v>1.46E-2</v>
      </c>
    </row>
    <row r="644" spans="1:3" x14ac:dyDescent="0.35">
      <c r="A644">
        <v>28</v>
      </c>
      <c r="B644">
        <v>2024</v>
      </c>
      <c r="C644">
        <v>1.38E-2</v>
      </c>
    </row>
    <row r="645" spans="1:3" x14ac:dyDescent="0.35">
      <c r="A645">
        <v>28</v>
      </c>
      <c r="B645">
        <v>2025</v>
      </c>
      <c r="C645">
        <v>1.3100000000000001E-2</v>
      </c>
    </row>
    <row r="646" spans="1:3" x14ac:dyDescent="0.35">
      <c r="A646">
        <v>28</v>
      </c>
      <c r="B646">
        <v>2026</v>
      </c>
      <c r="C646">
        <v>1.24E-2</v>
      </c>
    </row>
    <row r="647" spans="1:3" x14ac:dyDescent="0.35">
      <c r="A647">
        <v>28</v>
      </c>
      <c r="B647">
        <v>2027</v>
      </c>
      <c r="C647">
        <v>1.17E-2</v>
      </c>
    </row>
    <row r="648" spans="1:3" x14ac:dyDescent="0.35">
      <c r="A648">
        <v>28</v>
      </c>
      <c r="B648">
        <v>2028</v>
      </c>
      <c r="C648">
        <v>1.11E-2</v>
      </c>
    </row>
    <row r="649" spans="1:3" x14ac:dyDescent="0.35">
      <c r="A649">
        <v>28</v>
      </c>
      <c r="B649">
        <v>2029</v>
      </c>
      <c r="C649">
        <v>1.0699999999999999E-2</v>
      </c>
    </row>
    <row r="650" spans="1:3" x14ac:dyDescent="0.35">
      <c r="A650">
        <v>28</v>
      </c>
      <c r="B650">
        <v>2030</v>
      </c>
      <c r="C650">
        <v>1.03E-2</v>
      </c>
    </row>
    <row r="651" spans="1:3" x14ac:dyDescent="0.35">
      <c r="A651">
        <v>28</v>
      </c>
      <c r="B651">
        <v>2031</v>
      </c>
      <c r="C651">
        <v>1.01E-2</v>
      </c>
    </row>
    <row r="652" spans="1:3" x14ac:dyDescent="0.35">
      <c r="A652">
        <v>29</v>
      </c>
      <c r="B652">
        <v>1951</v>
      </c>
      <c r="C652">
        <v>2.6499999999999999E-2</v>
      </c>
    </row>
    <row r="653" spans="1:3" x14ac:dyDescent="0.35">
      <c r="A653">
        <v>29</v>
      </c>
      <c r="B653">
        <v>1952</v>
      </c>
      <c r="C653">
        <v>2.5999999999999999E-2</v>
      </c>
    </row>
    <row r="654" spans="1:3" x14ac:dyDescent="0.35">
      <c r="A654">
        <v>29</v>
      </c>
      <c r="B654">
        <v>1953</v>
      </c>
      <c r="C654">
        <v>2.53E-2</v>
      </c>
    </row>
    <row r="655" spans="1:3" x14ac:dyDescent="0.35">
      <c r="A655">
        <v>29</v>
      </c>
      <c r="B655">
        <v>1954</v>
      </c>
      <c r="C655">
        <v>2.3800000000000002E-2</v>
      </c>
    </row>
    <row r="656" spans="1:3" x14ac:dyDescent="0.35">
      <c r="A656">
        <v>29</v>
      </c>
      <c r="B656">
        <v>1955</v>
      </c>
      <c r="C656">
        <v>2.1499999999999998E-2</v>
      </c>
    </row>
    <row r="657" spans="1:3" x14ac:dyDescent="0.35">
      <c r="A657">
        <v>29</v>
      </c>
      <c r="B657">
        <v>1956</v>
      </c>
      <c r="C657">
        <v>1.84E-2</v>
      </c>
    </row>
    <row r="658" spans="1:3" x14ac:dyDescent="0.35">
      <c r="A658">
        <v>29</v>
      </c>
      <c r="B658">
        <v>1957</v>
      </c>
      <c r="C658">
        <v>1.46E-2</v>
      </c>
    </row>
    <row r="659" spans="1:3" x14ac:dyDescent="0.35">
      <c r="A659">
        <v>29</v>
      </c>
      <c r="B659">
        <v>1958</v>
      </c>
      <c r="C659">
        <v>1.04E-2</v>
      </c>
    </row>
    <row r="660" spans="1:3" x14ac:dyDescent="0.35">
      <c r="A660">
        <v>29</v>
      </c>
      <c r="B660">
        <v>1959</v>
      </c>
      <c r="C660">
        <v>5.7000000000000002E-3</v>
      </c>
    </row>
    <row r="661" spans="1:3" x14ac:dyDescent="0.35">
      <c r="A661">
        <v>29</v>
      </c>
      <c r="B661">
        <v>1960</v>
      </c>
      <c r="C661">
        <v>5.9999999999999995E-4</v>
      </c>
    </row>
    <row r="662" spans="1:3" x14ac:dyDescent="0.35">
      <c r="A662">
        <v>29</v>
      </c>
      <c r="B662">
        <v>1961</v>
      </c>
      <c r="C662">
        <v>-4.8999999999999998E-3</v>
      </c>
    </row>
    <row r="663" spans="1:3" x14ac:dyDescent="0.35">
      <c r="A663">
        <v>29</v>
      </c>
      <c r="B663">
        <v>1962</v>
      </c>
      <c r="C663">
        <v>-1.04E-2</v>
      </c>
    </row>
    <row r="664" spans="1:3" x14ac:dyDescent="0.35">
      <c r="A664">
        <v>29</v>
      </c>
      <c r="B664">
        <v>1963</v>
      </c>
      <c r="C664">
        <v>-1.55E-2</v>
      </c>
    </row>
    <row r="665" spans="1:3" x14ac:dyDescent="0.35">
      <c r="A665">
        <v>29</v>
      </c>
      <c r="B665">
        <v>1964</v>
      </c>
      <c r="C665">
        <v>-1.9400000000000001E-2</v>
      </c>
    </row>
    <row r="666" spans="1:3" x14ac:dyDescent="0.35">
      <c r="A666">
        <v>29</v>
      </c>
      <c r="B666">
        <v>1965</v>
      </c>
      <c r="C666">
        <v>-2.1499999999999998E-2</v>
      </c>
    </row>
    <row r="667" spans="1:3" x14ac:dyDescent="0.35">
      <c r="A667">
        <v>29</v>
      </c>
      <c r="B667">
        <v>1966</v>
      </c>
      <c r="C667">
        <v>-2.1600000000000001E-2</v>
      </c>
    </row>
    <row r="668" spans="1:3" x14ac:dyDescent="0.35">
      <c r="A668">
        <v>29</v>
      </c>
      <c r="B668">
        <v>1967</v>
      </c>
      <c r="C668">
        <v>-1.9699999999999999E-2</v>
      </c>
    </row>
    <row r="669" spans="1:3" x14ac:dyDescent="0.35">
      <c r="A669">
        <v>29</v>
      </c>
      <c r="B669">
        <v>1968</v>
      </c>
      <c r="C669">
        <v>-1.5699999999999999E-2</v>
      </c>
    </row>
    <row r="670" spans="1:3" x14ac:dyDescent="0.35">
      <c r="A670">
        <v>29</v>
      </c>
      <c r="B670">
        <v>1969</v>
      </c>
      <c r="C670">
        <v>-1.01E-2</v>
      </c>
    </row>
    <row r="671" spans="1:3" x14ac:dyDescent="0.35">
      <c r="A671">
        <v>29</v>
      </c>
      <c r="B671">
        <v>1970</v>
      </c>
      <c r="C671">
        <v>-3.5000000000000001E-3</v>
      </c>
    </row>
    <row r="672" spans="1:3" x14ac:dyDescent="0.35">
      <c r="A672">
        <v>29</v>
      </c>
      <c r="B672">
        <v>1971</v>
      </c>
      <c r="C672">
        <v>3.2000000000000002E-3</v>
      </c>
    </row>
    <row r="673" spans="1:3" x14ac:dyDescent="0.35">
      <c r="A673">
        <v>29</v>
      </c>
      <c r="B673">
        <v>1972</v>
      </c>
      <c r="C673">
        <v>9.2999999999999992E-3</v>
      </c>
    </row>
    <row r="674" spans="1:3" x14ac:dyDescent="0.35">
      <c r="A674">
        <v>29</v>
      </c>
      <c r="B674">
        <v>1973</v>
      </c>
      <c r="C674">
        <v>1.41E-2</v>
      </c>
    </row>
    <row r="675" spans="1:3" x14ac:dyDescent="0.35">
      <c r="A675">
        <v>29</v>
      </c>
      <c r="B675">
        <v>1974</v>
      </c>
      <c r="C675">
        <v>1.72E-2</v>
      </c>
    </row>
    <row r="676" spans="1:3" x14ac:dyDescent="0.35">
      <c r="A676">
        <v>29</v>
      </c>
      <c r="B676">
        <v>1975</v>
      </c>
      <c r="C676">
        <v>1.83E-2</v>
      </c>
    </row>
    <row r="677" spans="1:3" x14ac:dyDescent="0.35">
      <c r="A677">
        <v>29</v>
      </c>
      <c r="B677">
        <v>1976</v>
      </c>
      <c r="C677">
        <v>1.7500000000000002E-2</v>
      </c>
    </row>
    <row r="678" spans="1:3" x14ac:dyDescent="0.35">
      <c r="A678">
        <v>29</v>
      </c>
      <c r="B678">
        <v>1977</v>
      </c>
      <c r="C678">
        <v>1.55E-2</v>
      </c>
    </row>
    <row r="679" spans="1:3" x14ac:dyDescent="0.35">
      <c r="A679">
        <v>29</v>
      </c>
      <c r="B679">
        <v>1978</v>
      </c>
      <c r="C679">
        <v>1.34E-2</v>
      </c>
    </row>
    <row r="680" spans="1:3" x14ac:dyDescent="0.35">
      <c r="A680">
        <v>29</v>
      </c>
      <c r="B680">
        <v>1979</v>
      </c>
      <c r="C680">
        <v>1.18E-2</v>
      </c>
    </row>
    <row r="681" spans="1:3" x14ac:dyDescent="0.35">
      <c r="A681">
        <v>29</v>
      </c>
      <c r="B681">
        <v>1980</v>
      </c>
      <c r="C681">
        <v>1.0800000000000001E-2</v>
      </c>
    </row>
    <row r="682" spans="1:3" x14ac:dyDescent="0.35">
      <c r="A682">
        <v>29</v>
      </c>
      <c r="B682">
        <v>1981</v>
      </c>
      <c r="C682">
        <v>9.7000000000000003E-3</v>
      </c>
    </row>
    <row r="683" spans="1:3" x14ac:dyDescent="0.35">
      <c r="A683">
        <v>29</v>
      </c>
      <c r="B683">
        <v>1982</v>
      </c>
      <c r="C683">
        <v>7.0000000000000001E-3</v>
      </c>
    </row>
    <row r="684" spans="1:3" x14ac:dyDescent="0.35">
      <c r="A684">
        <v>29</v>
      </c>
      <c r="B684">
        <v>1983</v>
      </c>
      <c r="C684">
        <v>1.9E-3</v>
      </c>
    </row>
    <row r="685" spans="1:3" x14ac:dyDescent="0.35">
      <c r="A685">
        <v>29</v>
      </c>
      <c r="B685">
        <v>1984</v>
      </c>
      <c r="C685">
        <v>-5.3E-3</v>
      </c>
    </row>
    <row r="686" spans="1:3" x14ac:dyDescent="0.35">
      <c r="A686">
        <v>29</v>
      </c>
      <c r="B686">
        <v>1985</v>
      </c>
      <c r="C686">
        <v>-1.2999999999999999E-2</v>
      </c>
    </row>
    <row r="687" spans="1:3" x14ac:dyDescent="0.35">
      <c r="A687">
        <v>29</v>
      </c>
      <c r="B687">
        <v>1986</v>
      </c>
      <c r="C687">
        <v>-1.9099999999999999E-2</v>
      </c>
    </row>
    <row r="688" spans="1:3" x14ac:dyDescent="0.35">
      <c r="A688">
        <v>29</v>
      </c>
      <c r="B688">
        <v>1987</v>
      </c>
      <c r="C688">
        <v>-2.2100000000000002E-2</v>
      </c>
    </row>
    <row r="689" spans="1:3" x14ac:dyDescent="0.35">
      <c r="A689">
        <v>29</v>
      </c>
      <c r="B689">
        <v>1988</v>
      </c>
      <c r="C689">
        <v>-2.1399999999999999E-2</v>
      </c>
    </row>
    <row r="690" spans="1:3" x14ac:dyDescent="0.35">
      <c r="A690">
        <v>29</v>
      </c>
      <c r="B690">
        <v>1989</v>
      </c>
      <c r="C690">
        <v>-1.6899999999999998E-2</v>
      </c>
    </row>
    <row r="691" spans="1:3" x14ac:dyDescent="0.35">
      <c r="A691">
        <v>29</v>
      </c>
      <c r="B691">
        <v>1990</v>
      </c>
      <c r="C691">
        <v>-8.9999999999999993E-3</v>
      </c>
    </row>
    <row r="692" spans="1:3" x14ac:dyDescent="0.35">
      <c r="A692">
        <v>29</v>
      </c>
      <c r="B692">
        <v>1991</v>
      </c>
      <c r="C692">
        <v>1.6999999999999999E-3</v>
      </c>
    </row>
    <row r="693" spans="1:3" x14ac:dyDescent="0.35">
      <c r="A693">
        <v>29</v>
      </c>
      <c r="B693">
        <v>1992</v>
      </c>
      <c r="C693">
        <v>1.43E-2</v>
      </c>
    </row>
    <row r="694" spans="1:3" x14ac:dyDescent="0.35">
      <c r="A694">
        <v>29</v>
      </c>
      <c r="B694">
        <v>1993</v>
      </c>
      <c r="C694">
        <v>2.8000000000000001E-2</v>
      </c>
    </row>
    <row r="695" spans="1:3" x14ac:dyDescent="0.35">
      <c r="A695">
        <v>29</v>
      </c>
      <c r="B695">
        <v>1994</v>
      </c>
      <c r="C695">
        <v>4.1500000000000002E-2</v>
      </c>
    </row>
    <row r="696" spans="1:3" x14ac:dyDescent="0.35">
      <c r="A696">
        <v>29</v>
      </c>
      <c r="B696">
        <v>1995</v>
      </c>
      <c r="C696">
        <v>5.2600000000000001E-2</v>
      </c>
    </row>
    <row r="697" spans="1:3" x14ac:dyDescent="0.35">
      <c r="A697">
        <v>29</v>
      </c>
      <c r="B697">
        <v>1996</v>
      </c>
      <c r="C697">
        <v>5.8700000000000002E-2</v>
      </c>
    </row>
    <row r="698" spans="1:3" x14ac:dyDescent="0.35">
      <c r="A698">
        <v>29</v>
      </c>
      <c r="B698">
        <v>1997</v>
      </c>
      <c r="C698">
        <v>5.7700000000000001E-2</v>
      </c>
    </row>
    <row r="699" spans="1:3" x14ac:dyDescent="0.35">
      <c r="A699">
        <v>29</v>
      </c>
      <c r="B699">
        <v>1998</v>
      </c>
      <c r="C699">
        <v>4.9500000000000002E-2</v>
      </c>
    </row>
    <row r="700" spans="1:3" x14ac:dyDescent="0.35">
      <c r="A700">
        <v>29</v>
      </c>
      <c r="B700">
        <v>1999</v>
      </c>
      <c r="C700">
        <v>3.5900000000000001E-2</v>
      </c>
    </row>
    <row r="701" spans="1:3" x14ac:dyDescent="0.35">
      <c r="A701">
        <v>29</v>
      </c>
      <c r="B701">
        <v>2000</v>
      </c>
      <c r="C701">
        <v>1.9900000000000001E-2</v>
      </c>
    </row>
    <row r="702" spans="1:3" x14ac:dyDescent="0.35">
      <c r="A702">
        <v>29</v>
      </c>
      <c r="B702">
        <v>2001</v>
      </c>
      <c r="C702">
        <v>4.8999999999999998E-3</v>
      </c>
    </row>
    <row r="703" spans="1:3" x14ac:dyDescent="0.35">
      <c r="A703">
        <v>29</v>
      </c>
      <c r="B703">
        <v>2002</v>
      </c>
      <c r="C703">
        <v>-6.6E-3</v>
      </c>
    </row>
    <row r="704" spans="1:3" x14ac:dyDescent="0.35">
      <c r="A704">
        <v>29</v>
      </c>
      <c r="B704">
        <v>2003</v>
      </c>
      <c r="C704">
        <v>-1.35E-2</v>
      </c>
    </row>
    <row r="705" spans="1:3" x14ac:dyDescent="0.35">
      <c r="A705">
        <v>29</v>
      </c>
      <c r="B705">
        <v>2004</v>
      </c>
      <c r="C705">
        <v>-1.5800000000000002E-2</v>
      </c>
    </row>
    <row r="706" spans="1:3" x14ac:dyDescent="0.35">
      <c r="A706">
        <v>29</v>
      </c>
      <c r="B706">
        <v>2005</v>
      </c>
      <c r="C706">
        <v>-1.3899999999999999E-2</v>
      </c>
    </row>
    <row r="707" spans="1:3" x14ac:dyDescent="0.35">
      <c r="A707">
        <v>29</v>
      </c>
      <c r="B707">
        <v>2006</v>
      </c>
      <c r="C707">
        <v>-9.1999999999999998E-3</v>
      </c>
    </row>
    <row r="708" spans="1:3" x14ac:dyDescent="0.35">
      <c r="A708">
        <v>29</v>
      </c>
      <c r="B708">
        <v>2007</v>
      </c>
      <c r="C708">
        <v>-3.3999999999999998E-3</v>
      </c>
    </row>
    <row r="709" spans="1:3" x14ac:dyDescent="0.35">
      <c r="A709">
        <v>29</v>
      </c>
      <c r="B709">
        <v>2008</v>
      </c>
      <c r="C709">
        <v>1.5E-3</v>
      </c>
    </row>
    <row r="710" spans="1:3" x14ac:dyDescent="0.35">
      <c r="A710">
        <v>29</v>
      </c>
      <c r="B710">
        <v>2009</v>
      </c>
      <c r="C710">
        <v>4.1999999999999997E-3</v>
      </c>
    </row>
    <row r="711" spans="1:3" x14ac:dyDescent="0.35">
      <c r="A711">
        <v>29</v>
      </c>
      <c r="B711">
        <v>2010</v>
      </c>
      <c r="C711">
        <v>4.1999999999999997E-3</v>
      </c>
    </row>
    <row r="712" spans="1:3" x14ac:dyDescent="0.35">
      <c r="A712">
        <v>29</v>
      </c>
      <c r="B712">
        <v>2011</v>
      </c>
      <c r="C712">
        <v>1.9E-3</v>
      </c>
    </row>
    <row r="713" spans="1:3" x14ac:dyDescent="0.35">
      <c r="A713">
        <v>29</v>
      </c>
      <c r="B713">
        <v>2012</v>
      </c>
      <c r="C713">
        <v>-2E-3</v>
      </c>
    </row>
    <row r="714" spans="1:3" x14ac:dyDescent="0.35">
      <c r="A714">
        <v>29</v>
      </c>
      <c r="B714">
        <v>2013</v>
      </c>
      <c r="C714">
        <v>-2.0000000000000001E-4</v>
      </c>
    </row>
    <row r="715" spans="1:3" x14ac:dyDescent="0.35">
      <c r="A715">
        <v>29</v>
      </c>
      <c r="B715">
        <v>2014</v>
      </c>
      <c r="C715">
        <v>2E-3</v>
      </c>
    </row>
    <row r="716" spans="1:3" x14ac:dyDescent="0.35">
      <c r="A716">
        <v>29</v>
      </c>
      <c r="B716">
        <v>2015</v>
      </c>
      <c r="C716">
        <v>4.5999999999999999E-3</v>
      </c>
    </row>
    <row r="717" spans="1:3" x14ac:dyDescent="0.35">
      <c r="A717">
        <v>29</v>
      </c>
      <c r="B717">
        <v>2016</v>
      </c>
      <c r="C717">
        <v>7.3000000000000001E-3</v>
      </c>
    </row>
    <row r="718" spans="1:3" x14ac:dyDescent="0.35">
      <c r="A718">
        <v>29</v>
      </c>
      <c r="B718">
        <v>2017</v>
      </c>
      <c r="C718">
        <v>9.7999999999999997E-3</v>
      </c>
    </row>
    <row r="719" spans="1:3" x14ac:dyDescent="0.35">
      <c r="A719">
        <v>29</v>
      </c>
      <c r="B719">
        <v>2018</v>
      </c>
      <c r="C719">
        <v>1.21E-2</v>
      </c>
    </row>
    <row r="720" spans="1:3" x14ac:dyDescent="0.35">
      <c r="A720">
        <v>29</v>
      </c>
      <c r="B720">
        <v>2019</v>
      </c>
      <c r="C720">
        <v>1.4E-2</v>
      </c>
    </row>
    <row r="721" spans="1:3" x14ac:dyDescent="0.35">
      <c r="A721">
        <v>29</v>
      </c>
      <c r="B721">
        <v>2020</v>
      </c>
      <c r="C721">
        <v>1.5299999999999999E-2</v>
      </c>
    </row>
    <row r="722" spans="1:3" x14ac:dyDescent="0.35">
      <c r="A722">
        <v>29</v>
      </c>
      <c r="B722">
        <v>2021</v>
      </c>
      <c r="C722">
        <v>1.61E-2</v>
      </c>
    </row>
    <row r="723" spans="1:3" x14ac:dyDescent="0.35">
      <c r="A723">
        <v>29</v>
      </c>
      <c r="B723">
        <v>2022</v>
      </c>
      <c r="C723">
        <v>1.55E-2</v>
      </c>
    </row>
    <row r="724" spans="1:3" x14ac:dyDescent="0.35">
      <c r="A724">
        <v>29</v>
      </c>
      <c r="B724">
        <v>2023</v>
      </c>
      <c r="C724">
        <v>1.46E-2</v>
      </c>
    </row>
    <row r="725" spans="1:3" x14ac:dyDescent="0.35">
      <c r="A725">
        <v>29</v>
      </c>
      <c r="B725">
        <v>2024</v>
      </c>
      <c r="C725">
        <v>1.38E-2</v>
      </c>
    </row>
    <row r="726" spans="1:3" x14ac:dyDescent="0.35">
      <c r="A726">
        <v>29</v>
      </c>
      <c r="B726">
        <v>2025</v>
      </c>
      <c r="C726">
        <v>1.3100000000000001E-2</v>
      </c>
    </row>
    <row r="727" spans="1:3" x14ac:dyDescent="0.35">
      <c r="A727">
        <v>29</v>
      </c>
      <c r="B727">
        <v>2026</v>
      </c>
      <c r="C727">
        <v>1.24E-2</v>
      </c>
    </row>
    <row r="728" spans="1:3" x14ac:dyDescent="0.35">
      <c r="A728">
        <v>29</v>
      </c>
      <c r="B728">
        <v>2027</v>
      </c>
      <c r="C728">
        <v>1.17E-2</v>
      </c>
    </row>
    <row r="729" spans="1:3" x14ac:dyDescent="0.35">
      <c r="A729">
        <v>29</v>
      </c>
      <c r="B729">
        <v>2028</v>
      </c>
      <c r="C729">
        <v>1.11E-2</v>
      </c>
    </row>
    <row r="730" spans="1:3" x14ac:dyDescent="0.35">
      <c r="A730">
        <v>29</v>
      </c>
      <c r="B730">
        <v>2029</v>
      </c>
      <c r="C730">
        <v>1.0699999999999999E-2</v>
      </c>
    </row>
    <row r="731" spans="1:3" x14ac:dyDescent="0.35">
      <c r="A731">
        <v>29</v>
      </c>
      <c r="B731">
        <v>2030</v>
      </c>
      <c r="C731">
        <v>1.03E-2</v>
      </c>
    </row>
    <row r="732" spans="1:3" x14ac:dyDescent="0.35">
      <c r="A732">
        <v>29</v>
      </c>
      <c r="B732">
        <v>2031</v>
      </c>
      <c r="C732">
        <v>1.01E-2</v>
      </c>
    </row>
    <row r="733" spans="1:3" x14ac:dyDescent="0.35">
      <c r="A733">
        <v>30</v>
      </c>
      <c r="B733">
        <v>1951</v>
      </c>
      <c r="C733">
        <v>3.09E-2</v>
      </c>
    </row>
    <row r="734" spans="1:3" x14ac:dyDescent="0.35">
      <c r="A734">
        <v>30</v>
      </c>
      <c r="B734">
        <v>1952</v>
      </c>
      <c r="C734">
        <v>2.93E-2</v>
      </c>
    </row>
    <row r="735" spans="1:3" x14ac:dyDescent="0.35">
      <c r="A735">
        <v>30</v>
      </c>
      <c r="B735">
        <v>1953</v>
      </c>
      <c r="C735">
        <v>2.7300000000000001E-2</v>
      </c>
    </row>
    <row r="736" spans="1:3" x14ac:dyDescent="0.35">
      <c r="A736">
        <v>30</v>
      </c>
      <c r="B736">
        <v>1954</v>
      </c>
      <c r="C736">
        <v>2.4799999999999999E-2</v>
      </c>
    </row>
    <row r="737" spans="1:3" x14ac:dyDescent="0.35">
      <c r="A737">
        <v>30</v>
      </c>
      <c r="B737">
        <v>1955</v>
      </c>
      <c r="C737">
        <v>2.1499999999999998E-2</v>
      </c>
    </row>
    <row r="738" spans="1:3" x14ac:dyDescent="0.35">
      <c r="A738">
        <v>30</v>
      </c>
      <c r="B738">
        <v>1956</v>
      </c>
      <c r="C738">
        <v>1.7600000000000001E-2</v>
      </c>
    </row>
    <row r="739" spans="1:3" x14ac:dyDescent="0.35">
      <c r="A739">
        <v>30</v>
      </c>
      <c r="B739">
        <v>1957</v>
      </c>
      <c r="C739">
        <v>1.34E-2</v>
      </c>
    </row>
    <row r="740" spans="1:3" x14ac:dyDescent="0.35">
      <c r="A740">
        <v>30</v>
      </c>
      <c r="B740">
        <v>1958</v>
      </c>
      <c r="C740">
        <v>8.9999999999999993E-3</v>
      </c>
    </row>
    <row r="741" spans="1:3" x14ac:dyDescent="0.35">
      <c r="A741">
        <v>30</v>
      </c>
      <c r="B741">
        <v>1959</v>
      </c>
      <c r="C741">
        <v>4.4000000000000003E-3</v>
      </c>
    </row>
    <row r="742" spans="1:3" x14ac:dyDescent="0.35">
      <c r="A742">
        <v>30</v>
      </c>
      <c r="B742">
        <v>1960</v>
      </c>
      <c r="C742">
        <v>-4.0000000000000002E-4</v>
      </c>
    </row>
    <row r="743" spans="1:3" x14ac:dyDescent="0.35">
      <c r="A743">
        <v>30</v>
      </c>
      <c r="B743">
        <v>1961</v>
      </c>
      <c r="C743">
        <v>-5.4999999999999997E-3</v>
      </c>
    </row>
    <row r="744" spans="1:3" x14ac:dyDescent="0.35">
      <c r="A744">
        <v>30</v>
      </c>
      <c r="B744">
        <v>1962</v>
      </c>
      <c r="C744">
        <v>-1.0699999999999999E-2</v>
      </c>
    </row>
    <row r="745" spans="1:3" x14ac:dyDescent="0.35">
      <c r="A745">
        <v>30</v>
      </c>
      <c r="B745">
        <v>1963</v>
      </c>
      <c r="C745">
        <v>-1.52E-2</v>
      </c>
    </row>
    <row r="746" spans="1:3" x14ac:dyDescent="0.35">
      <c r="A746">
        <v>30</v>
      </c>
      <c r="B746">
        <v>1964</v>
      </c>
      <c r="C746">
        <v>-1.8700000000000001E-2</v>
      </c>
    </row>
    <row r="747" spans="1:3" x14ac:dyDescent="0.35">
      <c r="A747">
        <v>30</v>
      </c>
      <c r="B747">
        <v>1965</v>
      </c>
      <c r="C747">
        <v>-2.0400000000000001E-2</v>
      </c>
    </row>
    <row r="748" spans="1:3" x14ac:dyDescent="0.35">
      <c r="A748">
        <v>30</v>
      </c>
      <c r="B748">
        <v>1966</v>
      </c>
      <c r="C748">
        <v>-2.0299999999999999E-2</v>
      </c>
    </row>
    <row r="749" spans="1:3" x14ac:dyDescent="0.35">
      <c r="A749">
        <v>30</v>
      </c>
      <c r="B749">
        <v>1967</v>
      </c>
      <c r="C749">
        <v>-1.83E-2</v>
      </c>
    </row>
    <row r="750" spans="1:3" x14ac:dyDescent="0.35">
      <c r="A750">
        <v>30</v>
      </c>
      <c r="B750">
        <v>1968</v>
      </c>
      <c r="C750">
        <v>-1.43E-2</v>
      </c>
    </row>
    <row r="751" spans="1:3" x14ac:dyDescent="0.35">
      <c r="A751">
        <v>30</v>
      </c>
      <c r="B751">
        <v>1969</v>
      </c>
      <c r="C751">
        <v>-8.8000000000000005E-3</v>
      </c>
    </row>
    <row r="752" spans="1:3" x14ac:dyDescent="0.35">
      <c r="A752">
        <v>30</v>
      </c>
      <c r="B752">
        <v>1970</v>
      </c>
      <c r="C752">
        <v>-2.2000000000000001E-3</v>
      </c>
    </row>
    <row r="753" spans="1:3" x14ac:dyDescent="0.35">
      <c r="A753">
        <v>30</v>
      </c>
      <c r="B753">
        <v>1971</v>
      </c>
      <c r="C753">
        <v>4.4999999999999997E-3</v>
      </c>
    </row>
    <row r="754" spans="1:3" x14ac:dyDescent="0.35">
      <c r="A754">
        <v>30</v>
      </c>
      <c r="B754">
        <v>1972</v>
      </c>
      <c r="C754">
        <v>1.0800000000000001E-2</v>
      </c>
    </row>
    <row r="755" spans="1:3" x14ac:dyDescent="0.35">
      <c r="A755">
        <v>30</v>
      </c>
      <c r="B755">
        <v>1973</v>
      </c>
      <c r="C755">
        <v>1.5900000000000001E-2</v>
      </c>
    </row>
    <row r="756" spans="1:3" x14ac:dyDescent="0.35">
      <c r="A756">
        <v>30</v>
      </c>
      <c r="B756">
        <v>1974</v>
      </c>
      <c r="C756">
        <v>1.9300000000000001E-2</v>
      </c>
    </row>
    <row r="757" spans="1:3" x14ac:dyDescent="0.35">
      <c r="A757">
        <v>30</v>
      </c>
      <c r="B757">
        <v>1975</v>
      </c>
      <c r="C757">
        <v>2.06E-2</v>
      </c>
    </row>
    <row r="758" spans="1:3" x14ac:dyDescent="0.35">
      <c r="A758">
        <v>30</v>
      </c>
      <c r="B758">
        <v>1976</v>
      </c>
      <c r="C758">
        <v>1.9900000000000001E-2</v>
      </c>
    </row>
    <row r="759" spans="1:3" x14ac:dyDescent="0.35">
      <c r="A759">
        <v>30</v>
      </c>
      <c r="B759">
        <v>1977</v>
      </c>
      <c r="C759">
        <v>1.77E-2</v>
      </c>
    </row>
    <row r="760" spans="1:3" x14ac:dyDescent="0.35">
      <c r="A760">
        <v>30</v>
      </c>
      <c r="B760">
        <v>1978</v>
      </c>
      <c r="C760">
        <v>1.49E-2</v>
      </c>
    </row>
    <row r="761" spans="1:3" x14ac:dyDescent="0.35">
      <c r="A761">
        <v>30</v>
      </c>
      <c r="B761">
        <v>1979</v>
      </c>
      <c r="C761">
        <v>1.2200000000000001E-2</v>
      </c>
    </row>
    <row r="762" spans="1:3" x14ac:dyDescent="0.35">
      <c r="A762">
        <v>30</v>
      </c>
      <c r="B762">
        <v>1980</v>
      </c>
      <c r="C762">
        <v>9.9000000000000008E-3</v>
      </c>
    </row>
    <row r="763" spans="1:3" x14ac:dyDescent="0.35">
      <c r="A763">
        <v>30</v>
      </c>
      <c r="B763">
        <v>1981</v>
      </c>
      <c r="C763">
        <v>7.3000000000000001E-3</v>
      </c>
    </row>
    <row r="764" spans="1:3" x14ac:dyDescent="0.35">
      <c r="A764">
        <v>30</v>
      </c>
      <c r="B764">
        <v>1982</v>
      </c>
      <c r="C764">
        <v>3.3E-3</v>
      </c>
    </row>
    <row r="765" spans="1:3" x14ac:dyDescent="0.35">
      <c r="A765">
        <v>30</v>
      </c>
      <c r="B765">
        <v>1983</v>
      </c>
      <c r="C765">
        <v>-2.8E-3</v>
      </c>
    </row>
    <row r="766" spans="1:3" x14ac:dyDescent="0.35">
      <c r="A766">
        <v>30</v>
      </c>
      <c r="B766">
        <v>1984</v>
      </c>
      <c r="C766">
        <v>-1.04E-2</v>
      </c>
    </row>
    <row r="767" spans="1:3" x14ac:dyDescent="0.35">
      <c r="A767">
        <v>30</v>
      </c>
      <c r="B767">
        <v>1985</v>
      </c>
      <c r="C767">
        <v>-1.8200000000000001E-2</v>
      </c>
    </row>
    <row r="768" spans="1:3" x14ac:dyDescent="0.35">
      <c r="A768">
        <v>30</v>
      </c>
      <c r="B768">
        <v>1986</v>
      </c>
      <c r="C768">
        <v>-2.41E-2</v>
      </c>
    </row>
    <row r="769" spans="1:3" x14ac:dyDescent="0.35">
      <c r="A769">
        <v>30</v>
      </c>
      <c r="B769">
        <v>1987</v>
      </c>
      <c r="C769">
        <v>-2.6499999999999999E-2</v>
      </c>
    </row>
    <row r="770" spans="1:3" x14ac:dyDescent="0.35">
      <c r="A770">
        <v>30</v>
      </c>
      <c r="B770">
        <v>1988</v>
      </c>
      <c r="C770">
        <v>-2.52E-2</v>
      </c>
    </row>
    <row r="771" spans="1:3" x14ac:dyDescent="0.35">
      <c r="A771">
        <v>30</v>
      </c>
      <c r="B771">
        <v>1989</v>
      </c>
      <c r="C771">
        <v>-2.0199999999999999E-2</v>
      </c>
    </row>
    <row r="772" spans="1:3" x14ac:dyDescent="0.35">
      <c r="A772">
        <v>30</v>
      </c>
      <c r="B772">
        <v>1990</v>
      </c>
      <c r="C772">
        <v>-1.1900000000000001E-2</v>
      </c>
    </row>
    <row r="773" spans="1:3" x14ac:dyDescent="0.35">
      <c r="A773">
        <v>30</v>
      </c>
      <c r="B773">
        <v>1991</v>
      </c>
      <c r="C773">
        <v>-8.9999999999999998E-4</v>
      </c>
    </row>
    <row r="774" spans="1:3" x14ac:dyDescent="0.35">
      <c r="A774">
        <v>30</v>
      </c>
      <c r="B774">
        <v>1992</v>
      </c>
      <c r="C774">
        <v>1.23E-2</v>
      </c>
    </row>
    <row r="775" spans="1:3" x14ac:dyDescent="0.35">
      <c r="A775">
        <v>30</v>
      </c>
      <c r="B775">
        <v>1993</v>
      </c>
      <c r="C775">
        <v>2.69E-2</v>
      </c>
    </row>
    <row r="776" spans="1:3" x14ac:dyDescent="0.35">
      <c r="A776">
        <v>30</v>
      </c>
      <c r="B776">
        <v>1994</v>
      </c>
      <c r="C776">
        <v>4.1799999999999997E-2</v>
      </c>
    </row>
    <row r="777" spans="1:3" x14ac:dyDescent="0.35">
      <c r="A777">
        <v>30</v>
      </c>
      <c r="B777">
        <v>1995</v>
      </c>
      <c r="C777">
        <v>5.4399999999999997E-2</v>
      </c>
    </row>
    <row r="778" spans="1:3" x14ac:dyDescent="0.35">
      <c r="A778">
        <v>30</v>
      </c>
      <c r="B778">
        <v>1996</v>
      </c>
      <c r="C778">
        <v>6.1899999999999997E-2</v>
      </c>
    </row>
    <row r="779" spans="1:3" x14ac:dyDescent="0.35">
      <c r="A779">
        <v>30</v>
      </c>
      <c r="B779">
        <v>1997</v>
      </c>
      <c r="C779">
        <v>6.2E-2</v>
      </c>
    </row>
    <row r="780" spans="1:3" x14ac:dyDescent="0.35">
      <c r="A780">
        <v>30</v>
      </c>
      <c r="B780">
        <v>1998</v>
      </c>
      <c r="C780">
        <v>5.4399999999999997E-2</v>
      </c>
    </row>
    <row r="781" spans="1:3" x14ac:dyDescent="0.35">
      <c r="A781">
        <v>30</v>
      </c>
      <c r="B781">
        <v>1999</v>
      </c>
      <c r="C781">
        <v>4.0899999999999999E-2</v>
      </c>
    </row>
    <row r="782" spans="1:3" x14ac:dyDescent="0.35">
      <c r="A782">
        <v>30</v>
      </c>
      <c r="B782">
        <v>2000</v>
      </c>
      <c r="C782">
        <v>2.4899999999999999E-2</v>
      </c>
    </row>
    <row r="783" spans="1:3" x14ac:dyDescent="0.35">
      <c r="A783">
        <v>30</v>
      </c>
      <c r="B783">
        <v>2001</v>
      </c>
      <c r="C783">
        <v>9.5999999999999992E-3</v>
      </c>
    </row>
    <row r="784" spans="1:3" x14ac:dyDescent="0.35">
      <c r="A784">
        <v>30</v>
      </c>
      <c r="B784">
        <v>2002</v>
      </c>
      <c r="C784">
        <v>-2.3999999999999998E-3</v>
      </c>
    </row>
    <row r="785" spans="1:3" x14ac:dyDescent="0.35">
      <c r="A785">
        <v>30</v>
      </c>
      <c r="B785">
        <v>2003</v>
      </c>
      <c r="C785">
        <v>-0.01</v>
      </c>
    </row>
    <row r="786" spans="1:3" x14ac:dyDescent="0.35">
      <c r="A786">
        <v>30</v>
      </c>
      <c r="B786">
        <v>2004</v>
      </c>
      <c r="C786">
        <v>-1.29E-2</v>
      </c>
    </row>
    <row r="787" spans="1:3" x14ac:dyDescent="0.35">
      <c r="A787">
        <v>30</v>
      </c>
      <c r="B787">
        <v>2005</v>
      </c>
      <c r="C787">
        <v>-1.2E-2</v>
      </c>
    </row>
    <row r="788" spans="1:3" x14ac:dyDescent="0.35">
      <c r="A788">
        <v>30</v>
      </c>
      <c r="B788">
        <v>2006</v>
      </c>
      <c r="C788">
        <v>-8.3000000000000001E-3</v>
      </c>
    </row>
    <row r="789" spans="1:3" x14ac:dyDescent="0.35">
      <c r="A789">
        <v>30</v>
      </c>
      <c r="B789">
        <v>2007</v>
      </c>
      <c r="C789">
        <v>-3.5000000000000001E-3</v>
      </c>
    </row>
    <row r="790" spans="1:3" x14ac:dyDescent="0.35">
      <c r="A790">
        <v>30</v>
      </c>
      <c r="B790">
        <v>2008</v>
      </c>
      <c r="C790">
        <v>5.9999999999999995E-4</v>
      </c>
    </row>
    <row r="791" spans="1:3" x14ac:dyDescent="0.35">
      <c r="A791">
        <v>30</v>
      </c>
      <c r="B791">
        <v>2009</v>
      </c>
      <c r="C791">
        <v>2.7000000000000001E-3</v>
      </c>
    </row>
    <row r="792" spans="1:3" x14ac:dyDescent="0.35">
      <c r="A792">
        <v>30</v>
      </c>
      <c r="B792">
        <v>2010</v>
      </c>
      <c r="C792">
        <v>2.2000000000000001E-3</v>
      </c>
    </row>
    <row r="793" spans="1:3" x14ac:dyDescent="0.35">
      <c r="A793">
        <v>30</v>
      </c>
      <c r="B793">
        <v>2011</v>
      </c>
      <c r="C793">
        <v>-4.0000000000000002E-4</v>
      </c>
    </row>
    <row r="794" spans="1:3" x14ac:dyDescent="0.35">
      <c r="A794">
        <v>30</v>
      </c>
      <c r="B794">
        <v>2012</v>
      </c>
      <c r="C794">
        <v>-4.4999999999999997E-3</v>
      </c>
    </row>
    <row r="795" spans="1:3" x14ac:dyDescent="0.35">
      <c r="A795">
        <v>30</v>
      </c>
      <c r="B795">
        <v>2013</v>
      </c>
      <c r="C795">
        <v>-3.0000000000000001E-3</v>
      </c>
    </row>
    <row r="796" spans="1:3" x14ac:dyDescent="0.35">
      <c r="A796">
        <v>30</v>
      </c>
      <c r="B796">
        <v>2014</v>
      </c>
      <c r="C796">
        <v>-8.0000000000000004E-4</v>
      </c>
    </row>
    <row r="797" spans="1:3" x14ac:dyDescent="0.35">
      <c r="A797">
        <v>30</v>
      </c>
      <c r="B797">
        <v>2015</v>
      </c>
      <c r="C797">
        <v>1.8E-3</v>
      </c>
    </row>
    <row r="798" spans="1:3" x14ac:dyDescent="0.35">
      <c r="A798">
        <v>30</v>
      </c>
      <c r="B798">
        <v>2016</v>
      </c>
      <c r="C798">
        <v>4.5999999999999999E-3</v>
      </c>
    </row>
    <row r="799" spans="1:3" x14ac:dyDescent="0.35">
      <c r="A799">
        <v>30</v>
      </c>
      <c r="B799">
        <v>2017</v>
      </c>
      <c r="C799">
        <v>7.4999999999999997E-3</v>
      </c>
    </row>
    <row r="800" spans="1:3" x14ac:dyDescent="0.35">
      <c r="A800">
        <v>30</v>
      </c>
      <c r="B800">
        <v>2018</v>
      </c>
      <c r="C800">
        <v>1.01E-2</v>
      </c>
    </row>
    <row r="801" spans="1:3" x14ac:dyDescent="0.35">
      <c r="A801">
        <v>30</v>
      </c>
      <c r="B801">
        <v>2019</v>
      </c>
      <c r="C801">
        <v>1.23E-2</v>
      </c>
    </row>
    <row r="802" spans="1:3" x14ac:dyDescent="0.35">
      <c r="A802">
        <v>30</v>
      </c>
      <c r="B802">
        <v>2020</v>
      </c>
      <c r="C802">
        <v>1.4E-2</v>
      </c>
    </row>
    <row r="803" spans="1:3" x14ac:dyDescent="0.35">
      <c r="A803">
        <v>30</v>
      </c>
      <c r="B803">
        <v>2021</v>
      </c>
      <c r="C803">
        <v>1.5100000000000001E-2</v>
      </c>
    </row>
    <row r="804" spans="1:3" x14ac:dyDescent="0.35">
      <c r="A804">
        <v>30</v>
      </c>
      <c r="B804">
        <v>2022</v>
      </c>
      <c r="C804">
        <v>1.55E-2</v>
      </c>
    </row>
    <row r="805" spans="1:3" x14ac:dyDescent="0.35">
      <c r="A805">
        <v>30</v>
      </c>
      <c r="B805">
        <v>2023</v>
      </c>
      <c r="C805">
        <v>1.46E-2</v>
      </c>
    </row>
    <row r="806" spans="1:3" x14ac:dyDescent="0.35">
      <c r="A806">
        <v>30</v>
      </c>
      <c r="B806">
        <v>2024</v>
      </c>
      <c r="C806">
        <v>1.38E-2</v>
      </c>
    </row>
    <row r="807" spans="1:3" x14ac:dyDescent="0.35">
      <c r="A807">
        <v>30</v>
      </c>
      <c r="B807">
        <v>2025</v>
      </c>
      <c r="C807">
        <v>1.3100000000000001E-2</v>
      </c>
    </row>
    <row r="808" spans="1:3" x14ac:dyDescent="0.35">
      <c r="A808">
        <v>30</v>
      </c>
      <c r="B808">
        <v>2026</v>
      </c>
      <c r="C808">
        <v>1.24E-2</v>
      </c>
    </row>
    <row r="809" spans="1:3" x14ac:dyDescent="0.35">
      <c r="A809">
        <v>30</v>
      </c>
      <c r="B809">
        <v>2027</v>
      </c>
      <c r="C809">
        <v>1.17E-2</v>
      </c>
    </row>
    <row r="810" spans="1:3" x14ac:dyDescent="0.35">
      <c r="A810">
        <v>30</v>
      </c>
      <c r="B810">
        <v>2028</v>
      </c>
      <c r="C810">
        <v>1.11E-2</v>
      </c>
    </row>
    <row r="811" spans="1:3" x14ac:dyDescent="0.35">
      <c r="A811">
        <v>30</v>
      </c>
      <c r="B811">
        <v>2029</v>
      </c>
      <c r="C811">
        <v>1.0699999999999999E-2</v>
      </c>
    </row>
    <row r="812" spans="1:3" x14ac:dyDescent="0.35">
      <c r="A812">
        <v>30</v>
      </c>
      <c r="B812">
        <v>2030</v>
      </c>
      <c r="C812">
        <v>1.03E-2</v>
      </c>
    </row>
    <row r="813" spans="1:3" x14ac:dyDescent="0.35">
      <c r="A813">
        <v>30</v>
      </c>
      <c r="B813">
        <v>2031</v>
      </c>
      <c r="C813">
        <v>1.01E-2</v>
      </c>
    </row>
    <row r="814" spans="1:3" x14ac:dyDescent="0.35">
      <c r="A814">
        <v>31</v>
      </c>
      <c r="B814">
        <v>1951</v>
      </c>
      <c r="C814">
        <v>3.4500000000000003E-2</v>
      </c>
    </row>
    <row r="815" spans="1:3" x14ac:dyDescent="0.35">
      <c r="A815">
        <v>31</v>
      </c>
      <c r="B815">
        <v>1952</v>
      </c>
      <c r="C815">
        <v>3.1800000000000002E-2</v>
      </c>
    </row>
    <row r="816" spans="1:3" x14ac:dyDescent="0.35">
      <c r="A816">
        <v>31</v>
      </c>
      <c r="B816">
        <v>1953</v>
      </c>
      <c r="C816">
        <v>2.8899999999999999E-2</v>
      </c>
    </row>
    <row r="817" spans="1:3" x14ac:dyDescent="0.35">
      <c r="A817">
        <v>31</v>
      </c>
      <c r="B817">
        <v>1954</v>
      </c>
      <c r="C817">
        <v>2.5399999999999999E-2</v>
      </c>
    </row>
    <row r="818" spans="1:3" x14ac:dyDescent="0.35">
      <c r="A818">
        <v>31</v>
      </c>
      <c r="B818">
        <v>1955</v>
      </c>
      <c r="C818">
        <v>2.1399999999999999E-2</v>
      </c>
    </row>
    <row r="819" spans="1:3" x14ac:dyDescent="0.35">
      <c r="A819">
        <v>31</v>
      </c>
      <c r="B819">
        <v>1956</v>
      </c>
      <c r="C819">
        <v>1.6799999999999999E-2</v>
      </c>
    </row>
    <row r="820" spans="1:3" x14ac:dyDescent="0.35">
      <c r="A820">
        <v>31</v>
      </c>
      <c r="B820">
        <v>1957</v>
      </c>
      <c r="C820">
        <v>1.23E-2</v>
      </c>
    </row>
    <row r="821" spans="1:3" x14ac:dyDescent="0.35">
      <c r="A821">
        <v>31</v>
      </c>
      <c r="B821">
        <v>1958</v>
      </c>
      <c r="C821">
        <v>7.7999999999999996E-3</v>
      </c>
    </row>
    <row r="822" spans="1:3" x14ac:dyDescent="0.35">
      <c r="A822">
        <v>31</v>
      </c>
      <c r="B822">
        <v>1959</v>
      </c>
      <c r="C822">
        <v>3.3E-3</v>
      </c>
    </row>
    <row r="823" spans="1:3" x14ac:dyDescent="0.35">
      <c r="A823">
        <v>31</v>
      </c>
      <c r="B823">
        <v>1960</v>
      </c>
      <c r="C823">
        <v>-1.1999999999999999E-3</v>
      </c>
    </row>
    <row r="824" spans="1:3" x14ac:dyDescent="0.35">
      <c r="A824">
        <v>31</v>
      </c>
      <c r="B824">
        <v>1961</v>
      </c>
      <c r="C824">
        <v>-6.0000000000000001E-3</v>
      </c>
    </row>
    <row r="825" spans="1:3" x14ac:dyDescent="0.35">
      <c r="A825">
        <v>31</v>
      </c>
      <c r="B825">
        <v>1962</v>
      </c>
      <c r="C825">
        <v>-1.0800000000000001E-2</v>
      </c>
    </row>
    <row r="826" spans="1:3" x14ac:dyDescent="0.35">
      <c r="A826">
        <v>31</v>
      </c>
      <c r="B826">
        <v>1963</v>
      </c>
      <c r="C826">
        <v>-1.49E-2</v>
      </c>
    </row>
    <row r="827" spans="1:3" x14ac:dyDescent="0.35">
      <c r="A827">
        <v>31</v>
      </c>
      <c r="B827">
        <v>1964</v>
      </c>
      <c r="C827">
        <v>-1.7999999999999999E-2</v>
      </c>
    </row>
    <row r="828" spans="1:3" x14ac:dyDescent="0.35">
      <c r="A828">
        <v>31</v>
      </c>
      <c r="B828">
        <v>1965</v>
      </c>
      <c r="C828">
        <v>-1.95E-2</v>
      </c>
    </row>
    <row r="829" spans="1:3" x14ac:dyDescent="0.35">
      <c r="A829">
        <v>31</v>
      </c>
      <c r="B829">
        <v>1966</v>
      </c>
      <c r="C829">
        <v>-1.9199999999999998E-2</v>
      </c>
    </row>
    <row r="830" spans="1:3" x14ac:dyDescent="0.35">
      <c r="A830">
        <v>31</v>
      </c>
      <c r="B830">
        <v>1967</v>
      </c>
      <c r="C830">
        <v>-1.7100000000000001E-2</v>
      </c>
    </row>
    <row r="831" spans="1:3" x14ac:dyDescent="0.35">
      <c r="A831">
        <v>31</v>
      </c>
      <c r="B831">
        <v>1968</v>
      </c>
      <c r="C831">
        <v>-1.32E-2</v>
      </c>
    </row>
    <row r="832" spans="1:3" x14ac:dyDescent="0.35">
      <c r="A832">
        <v>31</v>
      </c>
      <c r="B832">
        <v>1969</v>
      </c>
      <c r="C832">
        <v>-7.6E-3</v>
      </c>
    </row>
    <row r="833" spans="1:3" x14ac:dyDescent="0.35">
      <c r="A833">
        <v>31</v>
      </c>
      <c r="B833">
        <v>1970</v>
      </c>
      <c r="C833">
        <v>-1E-3</v>
      </c>
    </row>
    <row r="834" spans="1:3" x14ac:dyDescent="0.35">
      <c r="A834">
        <v>31</v>
      </c>
      <c r="B834">
        <v>1971</v>
      </c>
      <c r="C834">
        <v>5.8999999999999999E-3</v>
      </c>
    </row>
    <row r="835" spans="1:3" x14ac:dyDescent="0.35">
      <c r="A835">
        <v>31</v>
      </c>
      <c r="B835">
        <v>1972</v>
      </c>
      <c r="C835">
        <v>1.23E-2</v>
      </c>
    </row>
    <row r="836" spans="1:3" x14ac:dyDescent="0.35">
      <c r="A836">
        <v>31</v>
      </c>
      <c r="B836">
        <v>1973</v>
      </c>
      <c r="C836">
        <v>1.78E-2</v>
      </c>
    </row>
    <row r="837" spans="1:3" x14ac:dyDescent="0.35">
      <c r="A837">
        <v>31</v>
      </c>
      <c r="B837">
        <v>1974</v>
      </c>
      <c r="C837">
        <v>2.1499999999999998E-2</v>
      </c>
    </row>
    <row r="838" spans="1:3" x14ac:dyDescent="0.35">
      <c r="A838">
        <v>31</v>
      </c>
      <c r="B838">
        <v>1975</v>
      </c>
      <c r="C838">
        <v>2.3099999999999999E-2</v>
      </c>
    </row>
    <row r="839" spans="1:3" x14ac:dyDescent="0.35">
      <c r="A839">
        <v>31</v>
      </c>
      <c r="B839">
        <v>1976</v>
      </c>
      <c r="C839">
        <v>2.2599999999999999E-2</v>
      </c>
    </row>
    <row r="840" spans="1:3" x14ac:dyDescent="0.35">
      <c r="A840">
        <v>31</v>
      </c>
      <c r="B840">
        <v>1977</v>
      </c>
      <c r="C840">
        <v>2.0199999999999999E-2</v>
      </c>
    </row>
    <row r="841" spans="1:3" x14ac:dyDescent="0.35">
      <c r="A841">
        <v>31</v>
      </c>
      <c r="B841">
        <v>1978</v>
      </c>
      <c r="C841">
        <v>1.6899999999999998E-2</v>
      </c>
    </row>
    <row r="842" spans="1:3" x14ac:dyDescent="0.35">
      <c r="A842">
        <v>31</v>
      </c>
      <c r="B842">
        <v>1979</v>
      </c>
      <c r="C842">
        <v>1.3299999999999999E-2</v>
      </c>
    </row>
    <row r="843" spans="1:3" x14ac:dyDescent="0.35">
      <c r="A843">
        <v>31</v>
      </c>
      <c r="B843">
        <v>1980</v>
      </c>
      <c r="C843">
        <v>9.7999999999999997E-3</v>
      </c>
    </row>
    <row r="844" spans="1:3" x14ac:dyDescent="0.35">
      <c r="A844">
        <v>31</v>
      </c>
      <c r="B844">
        <v>1981</v>
      </c>
      <c r="C844">
        <v>5.7999999999999996E-3</v>
      </c>
    </row>
    <row r="845" spans="1:3" x14ac:dyDescent="0.35">
      <c r="A845">
        <v>31</v>
      </c>
      <c r="B845">
        <v>1982</v>
      </c>
      <c r="C845">
        <v>4.0000000000000002E-4</v>
      </c>
    </row>
    <row r="846" spans="1:3" x14ac:dyDescent="0.35">
      <c r="A846">
        <v>31</v>
      </c>
      <c r="B846">
        <v>1983</v>
      </c>
      <c r="C846">
        <v>-6.6E-3</v>
      </c>
    </row>
    <row r="847" spans="1:3" x14ac:dyDescent="0.35">
      <c r="A847">
        <v>31</v>
      </c>
      <c r="B847">
        <v>1984</v>
      </c>
      <c r="C847">
        <v>-1.49E-2</v>
      </c>
    </row>
    <row r="848" spans="1:3" x14ac:dyDescent="0.35">
      <c r="A848">
        <v>31</v>
      </c>
      <c r="B848">
        <v>1985</v>
      </c>
      <c r="C848">
        <v>-2.2800000000000001E-2</v>
      </c>
    </row>
    <row r="849" spans="1:3" x14ac:dyDescent="0.35">
      <c r="A849">
        <v>31</v>
      </c>
      <c r="B849">
        <v>1986</v>
      </c>
      <c r="C849">
        <v>-2.8500000000000001E-2</v>
      </c>
    </row>
    <row r="850" spans="1:3" x14ac:dyDescent="0.35">
      <c r="A850">
        <v>31</v>
      </c>
      <c r="B850">
        <v>1987</v>
      </c>
      <c r="C850">
        <v>-3.0599999999999999E-2</v>
      </c>
    </row>
    <row r="851" spans="1:3" x14ac:dyDescent="0.35">
      <c r="A851">
        <v>31</v>
      </c>
      <c r="B851">
        <v>1988</v>
      </c>
      <c r="C851">
        <v>-2.8899999999999999E-2</v>
      </c>
    </row>
    <row r="852" spans="1:3" x14ac:dyDescent="0.35">
      <c r="A852">
        <v>31</v>
      </c>
      <c r="B852">
        <v>1989</v>
      </c>
      <c r="C852">
        <v>-2.35E-2</v>
      </c>
    </row>
    <row r="853" spans="1:3" x14ac:dyDescent="0.35">
      <c r="A853">
        <v>31</v>
      </c>
      <c r="B853">
        <v>1990</v>
      </c>
      <c r="C853">
        <v>-1.4999999999999999E-2</v>
      </c>
    </row>
    <row r="854" spans="1:3" x14ac:dyDescent="0.35">
      <c r="A854">
        <v>31</v>
      </c>
      <c r="B854">
        <v>1991</v>
      </c>
      <c r="C854">
        <v>-3.7000000000000002E-3</v>
      </c>
    </row>
    <row r="855" spans="1:3" x14ac:dyDescent="0.35">
      <c r="A855">
        <v>31</v>
      </c>
      <c r="B855">
        <v>1992</v>
      </c>
      <c r="C855">
        <v>9.9000000000000008E-3</v>
      </c>
    </row>
    <row r="856" spans="1:3" x14ac:dyDescent="0.35">
      <c r="A856">
        <v>31</v>
      </c>
      <c r="B856">
        <v>1993</v>
      </c>
      <c r="C856">
        <v>2.53E-2</v>
      </c>
    </row>
    <row r="857" spans="1:3" x14ac:dyDescent="0.35">
      <c r="A857">
        <v>31</v>
      </c>
      <c r="B857">
        <v>1994</v>
      </c>
      <c r="C857">
        <v>4.1300000000000003E-2</v>
      </c>
    </row>
    <row r="858" spans="1:3" x14ac:dyDescent="0.35">
      <c r="A858">
        <v>31</v>
      </c>
      <c r="B858">
        <v>1995</v>
      </c>
      <c r="C858">
        <v>5.5199999999999999E-2</v>
      </c>
    </row>
    <row r="859" spans="1:3" x14ac:dyDescent="0.35">
      <c r="A859">
        <v>31</v>
      </c>
      <c r="B859">
        <v>1996</v>
      </c>
      <c r="C859">
        <v>6.4000000000000001E-2</v>
      </c>
    </row>
    <row r="860" spans="1:3" x14ac:dyDescent="0.35">
      <c r="A860">
        <v>31</v>
      </c>
      <c r="B860">
        <v>1997</v>
      </c>
      <c r="C860">
        <v>6.5100000000000005E-2</v>
      </c>
    </row>
    <row r="861" spans="1:3" x14ac:dyDescent="0.35">
      <c r="A861">
        <v>31</v>
      </c>
      <c r="B861">
        <v>1998</v>
      </c>
      <c r="C861">
        <v>5.8099999999999999E-2</v>
      </c>
    </row>
    <row r="862" spans="1:3" x14ac:dyDescent="0.35">
      <c r="A862">
        <v>31</v>
      </c>
      <c r="B862">
        <v>1999</v>
      </c>
      <c r="C862">
        <v>4.5100000000000001E-2</v>
      </c>
    </row>
    <row r="863" spans="1:3" x14ac:dyDescent="0.35">
      <c r="A863">
        <v>31</v>
      </c>
      <c r="B863">
        <v>2000</v>
      </c>
      <c r="C863">
        <v>2.93E-2</v>
      </c>
    </row>
    <row r="864" spans="1:3" x14ac:dyDescent="0.35">
      <c r="A864">
        <v>31</v>
      </c>
      <c r="B864">
        <v>2001</v>
      </c>
      <c r="C864">
        <v>1.4E-2</v>
      </c>
    </row>
    <row r="865" spans="1:3" x14ac:dyDescent="0.35">
      <c r="A865">
        <v>31</v>
      </c>
      <c r="B865">
        <v>2002</v>
      </c>
      <c r="C865">
        <v>1.9E-3</v>
      </c>
    </row>
    <row r="866" spans="1:3" x14ac:dyDescent="0.35">
      <c r="A866">
        <v>31</v>
      </c>
      <c r="B866">
        <v>2003</v>
      </c>
      <c r="C866">
        <v>-5.8999999999999999E-3</v>
      </c>
    </row>
    <row r="867" spans="1:3" x14ac:dyDescent="0.35">
      <c r="A867">
        <v>31</v>
      </c>
      <c r="B867">
        <v>2004</v>
      </c>
      <c r="C867">
        <v>-9.4000000000000004E-3</v>
      </c>
    </row>
    <row r="868" spans="1:3" x14ac:dyDescent="0.35">
      <c r="A868">
        <v>31</v>
      </c>
      <c r="B868">
        <v>2005</v>
      </c>
      <c r="C868">
        <v>-9.2999999999999992E-3</v>
      </c>
    </row>
    <row r="869" spans="1:3" x14ac:dyDescent="0.35">
      <c r="A869">
        <v>31</v>
      </c>
      <c r="B869">
        <v>2006</v>
      </c>
      <c r="C869">
        <v>-6.4999999999999997E-3</v>
      </c>
    </row>
    <row r="870" spans="1:3" x14ac:dyDescent="0.35">
      <c r="A870">
        <v>31</v>
      </c>
      <c r="B870">
        <v>2007</v>
      </c>
      <c r="C870">
        <v>-2.7000000000000001E-3</v>
      </c>
    </row>
    <row r="871" spans="1:3" x14ac:dyDescent="0.35">
      <c r="A871">
        <v>31</v>
      </c>
      <c r="B871">
        <v>2008</v>
      </c>
      <c r="C871">
        <v>5.0000000000000001E-4</v>
      </c>
    </row>
    <row r="872" spans="1:3" x14ac:dyDescent="0.35">
      <c r="A872">
        <v>31</v>
      </c>
      <c r="B872">
        <v>2009</v>
      </c>
      <c r="C872">
        <v>1.9E-3</v>
      </c>
    </row>
    <row r="873" spans="1:3" x14ac:dyDescent="0.35">
      <c r="A873">
        <v>31</v>
      </c>
      <c r="B873">
        <v>2010</v>
      </c>
      <c r="C873">
        <v>1E-3</v>
      </c>
    </row>
    <row r="874" spans="1:3" x14ac:dyDescent="0.35">
      <c r="A874">
        <v>31</v>
      </c>
      <c r="B874">
        <v>2011</v>
      </c>
      <c r="C874">
        <v>-2E-3</v>
      </c>
    </row>
    <row r="875" spans="1:3" x14ac:dyDescent="0.35">
      <c r="A875">
        <v>31</v>
      </c>
      <c r="B875">
        <v>2012</v>
      </c>
      <c r="C875">
        <v>-6.4000000000000003E-3</v>
      </c>
    </row>
    <row r="876" spans="1:3" x14ac:dyDescent="0.35">
      <c r="A876">
        <v>31</v>
      </c>
      <c r="B876">
        <v>2013</v>
      </c>
      <c r="C876">
        <v>-5.1000000000000004E-3</v>
      </c>
    </row>
    <row r="877" spans="1:3" x14ac:dyDescent="0.35">
      <c r="A877">
        <v>31</v>
      </c>
      <c r="B877">
        <v>2014</v>
      </c>
      <c r="C877">
        <v>-3.2000000000000002E-3</v>
      </c>
    </row>
    <row r="878" spans="1:3" x14ac:dyDescent="0.35">
      <c r="A878">
        <v>31</v>
      </c>
      <c r="B878">
        <v>2015</v>
      </c>
      <c r="C878">
        <v>-5.9999999999999995E-4</v>
      </c>
    </row>
    <row r="879" spans="1:3" x14ac:dyDescent="0.35">
      <c r="A879">
        <v>31</v>
      </c>
      <c r="B879">
        <v>2016</v>
      </c>
      <c r="C879">
        <v>2.3E-3</v>
      </c>
    </row>
    <row r="880" spans="1:3" x14ac:dyDescent="0.35">
      <c r="A880">
        <v>31</v>
      </c>
      <c r="B880">
        <v>2017</v>
      </c>
      <c r="C880">
        <v>5.3E-3</v>
      </c>
    </row>
    <row r="881" spans="1:3" x14ac:dyDescent="0.35">
      <c r="A881">
        <v>31</v>
      </c>
      <c r="B881">
        <v>2018</v>
      </c>
      <c r="C881">
        <v>8.0999999999999996E-3</v>
      </c>
    </row>
    <row r="882" spans="1:3" x14ac:dyDescent="0.35">
      <c r="A882">
        <v>31</v>
      </c>
      <c r="B882">
        <v>2019</v>
      </c>
      <c r="C882">
        <v>1.0699999999999999E-2</v>
      </c>
    </row>
    <row r="883" spans="1:3" x14ac:dyDescent="0.35">
      <c r="A883">
        <v>31</v>
      </c>
      <c r="B883">
        <v>2020</v>
      </c>
      <c r="C883">
        <v>1.2699999999999999E-2</v>
      </c>
    </row>
    <row r="884" spans="1:3" x14ac:dyDescent="0.35">
      <c r="A884">
        <v>31</v>
      </c>
      <c r="B884">
        <v>2021</v>
      </c>
      <c r="C884">
        <v>1.4E-2</v>
      </c>
    </row>
    <row r="885" spans="1:3" x14ac:dyDescent="0.35">
      <c r="A885">
        <v>31</v>
      </c>
      <c r="B885">
        <v>2022</v>
      </c>
      <c r="C885">
        <v>1.46E-2</v>
      </c>
    </row>
    <row r="886" spans="1:3" x14ac:dyDescent="0.35">
      <c r="A886">
        <v>31</v>
      </c>
      <c r="B886">
        <v>2023</v>
      </c>
      <c r="C886">
        <v>1.46E-2</v>
      </c>
    </row>
    <row r="887" spans="1:3" x14ac:dyDescent="0.35">
      <c r="A887">
        <v>31</v>
      </c>
      <c r="B887">
        <v>2024</v>
      </c>
      <c r="C887">
        <v>1.38E-2</v>
      </c>
    </row>
    <row r="888" spans="1:3" x14ac:dyDescent="0.35">
      <c r="A888">
        <v>31</v>
      </c>
      <c r="B888">
        <v>2025</v>
      </c>
      <c r="C888">
        <v>1.3100000000000001E-2</v>
      </c>
    </row>
    <row r="889" spans="1:3" x14ac:dyDescent="0.35">
      <c r="A889">
        <v>31</v>
      </c>
      <c r="B889">
        <v>2026</v>
      </c>
      <c r="C889">
        <v>1.24E-2</v>
      </c>
    </row>
    <row r="890" spans="1:3" x14ac:dyDescent="0.35">
      <c r="A890">
        <v>31</v>
      </c>
      <c r="B890">
        <v>2027</v>
      </c>
      <c r="C890">
        <v>1.17E-2</v>
      </c>
    </row>
    <row r="891" spans="1:3" x14ac:dyDescent="0.35">
      <c r="A891">
        <v>31</v>
      </c>
      <c r="B891">
        <v>2028</v>
      </c>
      <c r="C891">
        <v>1.11E-2</v>
      </c>
    </row>
    <row r="892" spans="1:3" x14ac:dyDescent="0.35">
      <c r="A892">
        <v>31</v>
      </c>
      <c r="B892">
        <v>2029</v>
      </c>
      <c r="C892">
        <v>1.0699999999999999E-2</v>
      </c>
    </row>
    <row r="893" spans="1:3" x14ac:dyDescent="0.35">
      <c r="A893">
        <v>31</v>
      </c>
      <c r="B893">
        <v>2030</v>
      </c>
      <c r="C893">
        <v>1.03E-2</v>
      </c>
    </row>
    <row r="894" spans="1:3" x14ac:dyDescent="0.35">
      <c r="A894">
        <v>31</v>
      </c>
      <c r="B894">
        <v>2031</v>
      </c>
      <c r="C894">
        <v>1.01E-2</v>
      </c>
    </row>
    <row r="895" spans="1:3" x14ac:dyDescent="0.35">
      <c r="A895">
        <v>32</v>
      </c>
      <c r="B895">
        <v>1951</v>
      </c>
      <c r="C895">
        <v>3.7199999999999997E-2</v>
      </c>
    </row>
    <row r="896" spans="1:3" x14ac:dyDescent="0.35">
      <c r="A896">
        <v>32</v>
      </c>
      <c r="B896">
        <v>1952</v>
      </c>
      <c r="C896">
        <v>3.3599999999999998E-2</v>
      </c>
    </row>
    <row r="897" spans="1:3" x14ac:dyDescent="0.35">
      <c r="A897">
        <v>32</v>
      </c>
      <c r="B897">
        <v>1953</v>
      </c>
      <c r="C897">
        <v>2.9899999999999999E-2</v>
      </c>
    </row>
    <row r="898" spans="1:3" x14ac:dyDescent="0.35">
      <c r="A898">
        <v>32</v>
      </c>
      <c r="B898">
        <v>1954</v>
      </c>
      <c r="C898">
        <v>2.58E-2</v>
      </c>
    </row>
    <row r="899" spans="1:3" x14ac:dyDescent="0.35">
      <c r="A899">
        <v>32</v>
      </c>
      <c r="B899">
        <v>1955</v>
      </c>
      <c r="C899">
        <v>2.1100000000000001E-2</v>
      </c>
    </row>
    <row r="900" spans="1:3" x14ac:dyDescent="0.35">
      <c r="A900">
        <v>32</v>
      </c>
      <c r="B900">
        <v>1956</v>
      </c>
      <c r="C900">
        <v>1.61E-2</v>
      </c>
    </row>
    <row r="901" spans="1:3" x14ac:dyDescent="0.35">
      <c r="A901">
        <v>32</v>
      </c>
      <c r="B901">
        <v>1957</v>
      </c>
      <c r="C901">
        <v>1.1299999999999999E-2</v>
      </c>
    </row>
    <row r="902" spans="1:3" x14ac:dyDescent="0.35">
      <c r="A902">
        <v>32</v>
      </c>
      <c r="B902">
        <v>1958</v>
      </c>
      <c r="C902">
        <v>6.7999999999999996E-3</v>
      </c>
    </row>
    <row r="903" spans="1:3" x14ac:dyDescent="0.35">
      <c r="A903">
        <v>32</v>
      </c>
      <c r="B903">
        <v>1959</v>
      </c>
      <c r="C903">
        <v>2.5000000000000001E-3</v>
      </c>
    </row>
    <row r="904" spans="1:3" x14ac:dyDescent="0.35">
      <c r="A904">
        <v>32</v>
      </c>
      <c r="B904">
        <v>1960</v>
      </c>
      <c r="C904">
        <v>-1.9E-3</v>
      </c>
    </row>
    <row r="905" spans="1:3" x14ac:dyDescent="0.35">
      <c r="A905">
        <v>32</v>
      </c>
      <c r="B905">
        <v>1961</v>
      </c>
      <c r="C905">
        <v>-6.4000000000000003E-3</v>
      </c>
    </row>
    <row r="906" spans="1:3" x14ac:dyDescent="0.35">
      <c r="A906">
        <v>32</v>
      </c>
      <c r="B906">
        <v>1962</v>
      </c>
      <c r="C906">
        <v>-1.0800000000000001E-2</v>
      </c>
    </row>
    <row r="907" spans="1:3" x14ac:dyDescent="0.35">
      <c r="A907">
        <v>32</v>
      </c>
      <c r="B907">
        <v>1963</v>
      </c>
      <c r="C907">
        <v>-1.46E-2</v>
      </c>
    </row>
    <row r="908" spans="1:3" x14ac:dyDescent="0.35">
      <c r="A908">
        <v>32</v>
      </c>
      <c r="B908">
        <v>1964</v>
      </c>
      <c r="C908">
        <v>-1.7399999999999999E-2</v>
      </c>
    </row>
    <row r="909" spans="1:3" x14ac:dyDescent="0.35">
      <c r="A909">
        <v>32</v>
      </c>
      <c r="B909">
        <v>1965</v>
      </c>
      <c r="C909">
        <v>-1.8599999999999998E-2</v>
      </c>
    </row>
    <row r="910" spans="1:3" x14ac:dyDescent="0.35">
      <c r="A910">
        <v>32</v>
      </c>
      <c r="B910">
        <v>1966</v>
      </c>
      <c r="C910">
        <v>-1.8200000000000001E-2</v>
      </c>
    </row>
    <row r="911" spans="1:3" x14ac:dyDescent="0.35">
      <c r="A911">
        <v>32</v>
      </c>
      <c r="B911">
        <v>1967</v>
      </c>
      <c r="C911">
        <v>-1.61E-2</v>
      </c>
    </row>
    <row r="912" spans="1:3" x14ac:dyDescent="0.35">
      <c r="A912">
        <v>32</v>
      </c>
      <c r="B912">
        <v>1968</v>
      </c>
      <c r="C912">
        <v>-1.21E-2</v>
      </c>
    </row>
    <row r="913" spans="1:3" x14ac:dyDescent="0.35">
      <c r="A913">
        <v>32</v>
      </c>
      <c r="B913">
        <v>1969</v>
      </c>
      <c r="C913">
        <v>-6.6E-3</v>
      </c>
    </row>
    <row r="914" spans="1:3" x14ac:dyDescent="0.35">
      <c r="A914">
        <v>32</v>
      </c>
      <c r="B914">
        <v>1970</v>
      </c>
      <c r="C914">
        <v>1E-4</v>
      </c>
    </row>
    <row r="915" spans="1:3" x14ac:dyDescent="0.35">
      <c r="A915">
        <v>32</v>
      </c>
      <c r="B915">
        <v>1971</v>
      </c>
      <c r="C915">
        <v>7.1000000000000004E-3</v>
      </c>
    </row>
    <row r="916" spans="1:3" x14ac:dyDescent="0.35">
      <c r="A916">
        <v>32</v>
      </c>
      <c r="B916">
        <v>1972</v>
      </c>
      <c r="C916">
        <v>1.38E-2</v>
      </c>
    </row>
    <row r="917" spans="1:3" x14ac:dyDescent="0.35">
      <c r="A917">
        <v>32</v>
      </c>
      <c r="B917">
        <v>1973</v>
      </c>
      <c r="C917">
        <v>1.9599999999999999E-2</v>
      </c>
    </row>
    <row r="918" spans="1:3" x14ac:dyDescent="0.35">
      <c r="A918">
        <v>32</v>
      </c>
      <c r="B918">
        <v>1974</v>
      </c>
      <c r="C918">
        <v>2.3699999999999999E-2</v>
      </c>
    </row>
    <row r="919" spans="1:3" x14ac:dyDescent="0.35">
      <c r="A919">
        <v>32</v>
      </c>
      <c r="B919">
        <v>1975</v>
      </c>
      <c r="C919">
        <v>2.5600000000000001E-2</v>
      </c>
    </row>
    <row r="920" spans="1:3" x14ac:dyDescent="0.35">
      <c r="A920">
        <v>32</v>
      </c>
      <c r="B920">
        <v>1976</v>
      </c>
      <c r="C920">
        <v>2.52E-2</v>
      </c>
    </row>
    <row r="921" spans="1:3" x14ac:dyDescent="0.35">
      <c r="A921">
        <v>32</v>
      </c>
      <c r="B921">
        <v>1977</v>
      </c>
      <c r="C921">
        <v>2.2800000000000001E-2</v>
      </c>
    </row>
    <row r="922" spans="1:3" x14ac:dyDescent="0.35">
      <c r="A922">
        <v>32</v>
      </c>
      <c r="B922">
        <v>1978</v>
      </c>
      <c r="C922">
        <v>1.9199999999999998E-2</v>
      </c>
    </row>
    <row r="923" spans="1:3" x14ac:dyDescent="0.35">
      <c r="A923">
        <v>32</v>
      </c>
      <c r="B923">
        <v>1979</v>
      </c>
      <c r="C923">
        <v>1.4999999999999999E-2</v>
      </c>
    </row>
    <row r="924" spans="1:3" x14ac:dyDescent="0.35">
      <c r="A924">
        <v>32</v>
      </c>
      <c r="B924">
        <v>1980</v>
      </c>
      <c r="C924">
        <v>1.0500000000000001E-2</v>
      </c>
    </row>
    <row r="925" spans="1:3" x14ac:dyDescent="0.35">
      <c r="A925">
        <v>32</v>
      </c>
      <c r="B925">
        <v>1981</v>
      </c>
      <c r="C925">
        <v>5.3E-3</v>
      </c>
    </row>
    <row r="926" spans="1:3" x14ac:dyDescent="0.35">
      <c r="A926">
        <v>32</v>
      </c>
      <c r="B926">
        <v>1982</v>
      </c>
      <c r="C926">
        <v>-1.1999999999999999E-3</v>
      </c>
    </row>
    <row r="927" spans="1:3" x14ac:dyDescent="0.35">
      <c r="A927">
        <v>32</v>
      </c>
      <c r="B927">
        <v>1983</v>
      </c>
      <c r="C927">
        <v>-9.2999999999999992E-3</v>
      </c>
    </row>
    <row r="928" spans="1:3" x14ac:dyDescent="0.35">
      <c r="A928">
        <v>32</v>
      </c>
      <c r="B928">
        <v>1984</v>
      </c>
      <c r="C928">
        <v>-1.8200000000000001E-2</v>
      </c>
    </row>
    <row r="929" spans="1:3" x14ac:dyDescent="0.35">
      <c r="A929">
        <v>32</v>
      </c>
      <c r="B929">
        <v>1985</v>
      </c>
      <c r="C929">
        <v>-2.6499999999999999E-2</v>
      </c>
    </row>
    <row r="930" spans="1:3" x14ac:dyDescent="0.35">
      <c r="A930">
        <v>32</v>
      </c>
      <c r="B930">
        <v>1986</v>
      </c>
      <c r="C930">
        <v>-3.2300000000000002E-2</v>
      </c>
    </row>
    <row r="931" spans="1:3" x14ac:dyDescent="0.35">
      <c r="A931">
        <v>32</v>
      </c>
      <c r="B931">
        <v>1987</v>
      </c>
      <c r="C931">
        <v>-3.4200000000000001E-2</v>
      </c>
    </row>
    <row r="932" spans="1:3" x14ac:dyDescent="0.35">
      <c r="A932">
        <v>32</v>
      </c>
      <c r="B932">
        <v>1988</v>
      </c>
      <c r="C932">
        <v>-3.2300000000000002E-2</v>
      </c>
    </row>
    <row r="933" spans="1:3" x14ac:dyDescent="0.35">
      <c r="A933">
        <v>32</v>
      </c>
      <c r="B933">
        <v>1989</v>
      </c>
      <c r="C933">
        <v>-2.6599999999999999E-2</v>
      </c>
    </row>
    <row r="934" spans="1:3" x14ac:dyDescent="0.35">
      <c r="A934">
        <v>32</v>
      </c>
      <c r="B934">
        <v>1990</v>
      </c>
      <c r="C934">
        <v>-1.7899999999999999E-2</v>
      </c>
    </row>
    <row r="935" spans="1:3" x14ac:dyDescent="0.35">
      <c r="A935">
        <v>32</v>
      </c>
      <c r="B935">
        <v>1991</v>
      </c>
      <c r="C935">
        <v>-6.4000000000000003E-3</v>
      </c>
    </row>
    <row r="936" spans="1:3" x14ac:dyDescent="0.35">
      <c r="A936">
        <v>32</v>
      </c>
      <c r="B936">
        <v>1992</v>
      </c>
      <c r="C936">
        <v>7.4999999999999997E-3</v>
      </c>
    </row>
    <row r="937" spans="1:3" x14ac:dyDescent="0.35">
      <c r="A937">
        <v>32</v>
      </c>
      <c r="B937">
        <v>1993</v>
      </c>
      <c r="C937">
        <v>2.35E-2</v>
      </c>
    </row>
    <row r="938" spans="1:3" x14ac:dyDescent="0.35">
      <c r="A938">
        <v>32</v>
      </c>
      <c r="B938">
        <v>1994</v>
      </c>
      <c r="C938">
        <v>4.02E-2</v>
      </c>
    </row>
    <row r="939" spans="1:3" x14ac:dyDescent="0.35">
      <c r="A939">
        <v>32</v>
      </c>
      <c r="B939">
        <v>1995</v>
      </c>
      <c r="C939">
        <v>5.5100000000000003E-2</v>
      </c>
    </row>
    <row r="940" spans="1:3" x14ac:dyDescent="0.35">
      <c r="A940">
        <v>32</v>
      </c>
      <c r="B940">
        <v>1996</v>
      </c>
      <c r="C940">
        <v>6.4899999999999999E-2</v>
      </c>
    </row>
    <row r="941" spans="1:3" x14ac:dyDescent="0.35">
      <c r="A941">
        <v>32</v>
      </c>
      <c r="B941">
        <v>1997</v>
      </c>
      <c r="C941">
        <v>6.6900000000000001E-2</v>
      </c>
    </row>
    <row r="942" spans="1:3" x14ac:dyDescent="0.35">
      <c r="A942">
        <v>32</v>
      </c>
      <c r="B942">
        <v>1998</v>
      </c>
      <c r="C942">
        <v>6.0600000000000001E-2</v>
      </c>
    </row>
    <row r="943" spans="1:3" x14ac:dyDescent="0.35">
      <c r="A943">
        <v>32</v>
      </c>
      <c r="B943">
        <v>1999</v>
      </c>
      <c r="C943">
        <v>4.8099999999999997E-2</v>
      </c>
    </row>
    <row r="944" spans="1:3" x14ac:dyDescent="0.35">
      <c r="A944">
        <v>32</v>
      </c>
      <c r="B944">
        <v>2000</v>
      </c>
      <c r="C944">
        <v>3.2800000000000003E-2</v>
      </c>
    </row>
    <row r="945" spans="1:3" x14ac:dyDescent="0.35">
      <c r="A945">
        <v>32</v>
      </c>
      <c r="B945">
        <v>2001</v>
      </c>
      <c r="C945">
        <v>1.7899999999999999E-2</v>
      </c>
    </row>
    <row r="946" spans="1:3" x14ac:dyDescent="0.35">
      <c r="A946">
        <v>32</v>
      </c>
      <c r="B946">
        <v>2002</v>
      </c>
      <c r="C946">
        <v>6.1000000000000004E-3</v>
      </c>
    </row>
    <row r="947" spans="1:3" x14ac:dyDescent="0.35">
      <c r="A947">
        <v>32</v>
      </c>
      <c r="B947">
        <v>2003</v>
      </c>
      <c r="C947">
        <v>-1.6000000000000001E-3</v>
      </c>
    </row>
    <row r="948" spans="1:3" x14ac:dyDescent="0.35">
      <c r="A948">
        <v>32</v>
      </c>
      <c r="B948">
        <v>2004</v>
      </c>
      <c r="C948">
        <v>-5.4000000000000003E-3</v>
      </c>
    </row>
    <row r="949" spans="1:3" x14ac:dyDescent="0.35">
      <c r="A949">
        <v>32</v>
      </c>
      <c r="B949">
        <v>2005</v>
      </c>
      <c r="C949">
        <v>-5.7999999999999996E-3</v>
      </c>
    </row>
    <row r="950" spans="1:3" x14ac:dyDescent="0.35">
      <c r="A950">
        <v>32</v>
      </c>
      <c r="B950">
        <v>2006</v>
      </c>
      <c r="C950">
        <v>-3.8999999999999998E-3</v>
      </c>
    </row>
    <row r="951" spans="1:3" x14ac:dyDescent="0.35">
      <c r="A951">
        <v>32</v>
      </c>
      <c r="B951">
        <v>2007</v>
      </c>
      <c r="C951">
        <v>-1.1000000000000001E-3</v>
      </c>
    </row>
    <row r="952" spans="1:3" x14ac:dyDescent="0.35">
      <c r="A952">
        <v>32</v>
      </c>
      <c r="B952">
        <v>2008</v>
      </c>
      <c r="C952">
        <v>1.2999999999999999E-3</v>
      </c>
    </row>
    <row r="953" spans="1:3" x14ac:dyDescent="0.35">
      <c r="A953">
        <v>32</v>
      </c>
      <c r="B953">
        <v>2009</v>
      </c>
      <c r="C953">
        <v>2E-3</v>
      </c>
    </row>
    <row r="954" spans="1:3" x14ac:dyDescent="0.35">
      <c r="A954">
        <v>32</v>
      </c>
      <c r="B954">
        <v>2010</v>
      </c>
      <c r="C954">
        <v>5.9999999999999995E-4</v>
      </c>
    </row>
    <row r="955" spans="1:3" x14ac:dyDescent="0.35">
      <c r="A955">
        <v>32</v>
      </c>
      <c r="B955">
        <v>2011</v>
      </c>
      <c r="C955">
        <v>-2.7000000000000001E-3</v>
      </c>
    </row>
    <row r="956" spans="1:3" x14ac:dyDescent="0.35">
      <c r="A956">
        <v>32</v>
      </c>
      <c r="B956">
        <v>2012</v>
      </c>
      <c r="C956">
        <v>-7.4000000000000003E-3</v>
      </c>
    </row>
    <row r="957" spans="1:3" x14ac:dyDescent="0.35">
      <c r="A957">
        <v>32</v>
      </c>
      <c r="B957">
        <v>2013</v>
      </c>
      <c r="C957">
        <v>-6.6E-3</v>
      </c>
    </row>
    <row r="958" spans="1:3" x14ac:dyDescent="0.35">
      <c r="A958">
        <v>32</v>
      </c>
      <c r="B958">
        <v>2014</v>
      </c>
      <c r="C958">
        <v>-4.8999999999999998E-3</v>
      </c>
    </row>
    <row r="959" spans="1:3" x14ac:dyDescent="0.35">
      <c r="A959">
        <v>32</v>
      </c>
      <c r="B959">
        <v>2015</v>
      </c>
      <c r="C959">
        <v>-2.5000000000000001E-3</v>
      </c>
    </row>
    <row r="960" spans="1:3" x14ac:dyDescent="0.35">
      <c r="A960">
        <v>32</v>
      </c>
      <c r="B960">
        <v>2016</v>
      </c>
      <c r="C960">
        <v>4.0000000000000002E-4</v>
      </c>
    </row>
    <row r="961" spans="1:3" x14ac:dyDescent="0.35">
      <c r="A961">
        <v>32</v>
      </c>
      <c r="B961">
        <v>2017</v>
      </c>
      <c r="C961">
        <v>3.3999999999999998E-3</v>
      </c>
    </row>
    <row r="962" spans="1:3" x14ac:dyDescent="0.35">
      <c r="A962">
        <v>32</v>
      </c>
      <c r="B962">
        <v>2018</v>
      </c>
      <c r="C962">
        <v>6.4000000000000003E-3</v>
      </c>
    </row>
    <row r="963" spans="1:3" x14ac:dyDescent="0.35">
      <c r="A963">
        <v>32</v>
      </c>
      <c r="B963">
        <v>2019</v>
      </c>
      <c r="C963">
        <v>9.1000000000000004E-3</v>
      </c>
    </row>
    <row r="964" spans="1:3" x14ac:dyDescent="0.35">
      <c r="A964">
        <v>32</v>
      </c>
      <c r="B964">
        <v>2020</v>
      </c>
      <c r="C964">
        <v>1.1299999999999999E-2</v>
      </c>
    </row>
    <row r="965" spans="1:3" x14ac:dyDescent="0.35">
      <c r="A965">
        <v>32</v>
      </c>
      <c r="B965">
        <v>2021</v>
      </c>
      <c r="C965">
        <v>1.29E-2</v>
      </c>
    </row>
    <row r="966" spans="1:3" x14ac:dyDescent="0.35">
      <c r="A966">
        <v>32</v>
      </c>
      <c r="B966">
        <v>2022</v>
      </c>
      <c r="C966">
        <v>1.37E-2</v>
      </c>
    </row>
    <row r="967" spans="1:3" x14ac:dyDescent="0.35">
      <c r="A967">
        <v>32</v>
      </c>
      <c r="B967">
        <v>2023</v>
      </c>
      <c r="C967">
        <v>1.3899999999999999E-2</v>
      </c>
    </row>
    <row r="968" spans="1:3" x14ac:dyDescent="0.35">
      <c r="A968">
        <v>32</v>
      </c>
      <c r="B968">
        <v>2024</v>
      </c>
      <c r="C968">
        <v>1.38E-2</v>
      </c>
    </row>
    <row r="969" spans="1:3" x14ac:dyDescent="0.35">
      <c r="A969">
        <v>32</v>
      </c>
      <c r="B969">
        <v>2025</v>
      </c>
      <c r="C969">
        <v>1.3100000000000001E-2</v>
      </c>
    </row>
    <row r="970" spans="1:3" x14ac:dyDescent="0.35">
      <c r="A970">
        <v>32</v>
      </c>
      <c r="B970">
        <v>2026</v>
      </c>
      <c r="C970">
        <v>1.24E-2</v>
      </c>
    </row>
    <row r="971" spans="1:3" x14ac:dyDescent="0.35">
      <c r="A971">
        <v>32</v>
      </c>
      <c r="B971">
        <v>2027</v>
      </c>
      <c r="C971">
        <v>1.17E-2</v>
      </c>
    </row>
    <row r="972" spans="1:3" x14ac:dyDescent="0.35">
      <c r="A972">
        <v>32</v>
      </c>
      <c r="B972">
        <v>2028</v>
      </c>
      <c r="C972">
        <v>1.11E-2</v>
      </c>
    </row>
    <row r="973" spans="1:3" x14ac:dyDescent="0.35">
      <c r="A973">
        <v>32</v>
      </c>
      <c r="B973">
        <v>2029</v>
      </c>
      <c r="C973">
        <v>1.0699999999999999E-2</v>
      </c>
    </row>
    <row r="974" spans="1:3" x14ac:dyDescent="0.35">
      <c r="A974">
        <v>32</v>
      </c>
      <c r="B974">
        <v>2030</v>
      </c>
      <c r="C974">
        <v>1.03E-2</v>
      </c>
    </row>
    <row r="975" spans="1:3" x14ac:dyDescent="0.35">
      <c r="A975">
        <v>32</v>
      </c>
      <c r="B975">
        <v>2031</v>
      </c>
      <c r="C975">
        <v>1.01E-2</v>
      </c>
    </row>
    <row r="976" spans="1:3" x14ac:dyDescent="0.35">
      <c r="A976">
        <v>33</v>
      </c>
      <c r="B976">
        <v>1951</v>
      </c>
      <c r="C976">
        <v>3.9E-2</v>
      </c>
    </row>
    <row r="977" spans="1:3" x14ac:dyDescent="0.35">
      <c r="A977">
        <v>33</v>
      </c>
      <c r="B977">
        <v>1952</v>
      </c>
      <c r="C977">
        <v>3.4799999999999998E-2</v>
      </c>
    </row>
    <row r="978" spans="1:3" x14ac:dyDescent="0.35">
      <c r="A978">
        <v>33</v>
      </c>
      <c r="B978">
        <v>1953</v>
      </c>
      <c r="C978">
        <v>3.0499999999999999E-2</v>
      </c>
    </row>
    <row r="979" spans="1:3" x14ac:dyDescent="0.35">
      <c r="A979">
        <v>33</v>
      </c>
      <c r="B979">
        <v>1954</v>
      </c>
      <c r="C979">
        <v>2.5899999999999999E-2</v>
      </c>
    </row>
    <row r="980" spans="1:3" x14ac:dyDescent="0.35">
      <c r="A980">
        <v>33</v>
      </c>
      <c r="B980">
        <v>1955</v>
      </c>
      <c r="C980">
        <v>2.07E-2</v>
      </c>
    </row>
    <row r="981" spans="1:3" x14ac:dyDescent="0.35">
      <c r="A981">
        <v>33</v>
      </c>
      <c r="B981">
        <v>1956</v>
      </c>
      <c r="C981">
        <v>1.55E-2</v>
      </c>
    </row>
    <row r="982" spans="1:3" x14ac:dyDescent="0.35">
      <c r="A982">
        <v>33</v>
      </c>
      <c r="B982">
        <v>1957</v>
      </c>
      <c r="C982">
        <v>1.0500000000000001E-2</v>
      </c>
    </row>
    <row r="983" spans="1:3" x14ac:dyDescent="0.35">
      <c r="A983">
        <v>33</v>
      </c>
      <c r="B983">
        <v>1958</v>
      </c>
      <c r="C983">
        <v>6.0000000000000001E-3</v>
      </c>
    </row>
    <row r="984" spans="1:3" x14ac:dyDescent="0.35">
      <c r="A984">
        <v>33</v>
      </c>
      <c r="B984">
        <v>1959</v>
      </c>
      <c r="C984">
        <v>1.8E-3</v>
      </c>
    </row>
    <row r="985" spans="1:3" x14ac:dyDescent="0.35">
      <c r="A985">
        <v>33</v>
      </c>
      <c r="B985">
        <v>1960</v>
      </c>
      <c r="C985">
        <v>-2.3999999999999998E-3</v>
      </c>
    </row>
    <row r="986" spans="1:3" x14ac:dyDescent="0.35">
      <c r="A986">
        <v>33</v>
      </c>
      <c r="B986">
        <v>1961</v>
      </c>
      <c r="C986">
        <v>-6.6E-3</v>
      </c>
    </row>
    <row r="987" spans="1:3" x14ac:dyDescent="0.35">
      <c r="A987">
        <v>33</v>
      </c>
      <c r="B987">
        <v>1962</v>
      </c>
      <c r="C987">
        <v>-1.0699999999999999E-2</v>
      </c>
    </row>
    <row r="988" spans="1:3" x14ac:dyDescent="0.35">
      <c r="A988">
        <v>33</v>
      </c>
      <c r="B988">
        <v>1963</v>
      </c>
      <c r="C988">
        <v>-1.43E-2</v>
      </c>
    </row>
    <row r="989" spans="1:3" x14ac:dyDescent="0.35">
      <c r="A989">
        <v>33</v>
      </c>
      <c r="B989">
        <v>1964</v>
      </c>
      <c r="C989">
        <v>-1.6799999999999999E-2</v>
      </c>
    </row>
    <row r="990" spans="1:3" x14ac:dyDescent="0.35">
      <c r="A990">
        <v>33</v>
      </c>
      <c r="B990">
        <v>1965</v>
      </c>
      <c r="C990">
        <v>-1.78E-2</v>
      </c>
    </row>
    <row r="991" spans="1:3" x14ac:dyDescent="0.35">
      <c r="A991">
        <v>33</v>
      </c>
      <c r="B991">
        <v>1966</v>
      </c>
      <c r="C991">
        <v>-1.7399999999999999E-2</v>
      </c>
    </row>
    <row r="992" spans="1:3" x14ac:dyDescent="0.35">
      <c r="A992">
        <v>33</v>
      </c>
      <c r="B992">
        <v>1967</v>
      </c>
      <c r="C992">
        <v>-1.52E-2</v>
      </c>
    </row>
    <row r="993" spans="1:3" x14ac:dyDescent="0.35">
      <c r="A993">
        <v>33</v>
      </c>
      <c r="B993">
        <v>1968</v>
      </c>
      <c r="C993">
        <v>-1.12E-2</v>
      </c>
    </row>
    <row r="994" spans="1:3" x14ac:dyDescent="0.35">
      <c r="A994">
        <v>33</v>
      </c>
      <c r="B994">
        <v>1969</v>
      </c>
      <c r="C994">
        <v>-5.5999999999999999E-3</v>
      </c>
    </row>
    <row r="995" spans="1:3" x14ac:dyDescent="0.35">
      <c r="A995">
        <v>33</v>
      </c>
      <c r="B995">
        <v>1970</v>
      </c>
      <c r="C995">
        <v>1.1000000000000001E-3</v>
      </c>
    </row>
    <row r="996" spans="1:3" x14ac:dyDescent="0.35">
      <c r="A996">
        <v>33</v>
      </c>
      <c r="B996">
        <v>1971</v>
      </c>
      <c r="C996">
        <v>8.3000000000000001E-3</v>
      </c>
    </row>
    <row r="997" spans="1:3" x14ac:dyDescent="0.35">
      <c r="A997">
        <v>33</v>
      </c>
      <c r="B997">
        <v>1972</v>
      </c>
      <c r="C997">
        <v>1.52E-2</v>
      </c>
    </row>
    <row r="998" spans="1:3" x14ac:dyDescent="0.35">
      <c r="A998">
        <v>33</v>
      </c>
      <c r="B998">
        <v>1973</v>
      </c>
      <c r="C998">
        <v>2.12E-2</v>
      </c>
    </row>
    <row r="999" spans="1:3" x14ac:dyDescent="0.35">
      <c r="A999">
        <v>33</v>
      </c>
      <c r="B999">
        <v>1974</v>
      </c>
      <c r="C999">
        <v>2.5600000000000001E-2</v>
      </c>
    </row>
    <row r="1000" spans="1:3" x14ac:dyDescent="0.35">
      <c r="A1000">
        <v>33</v>
      </c>
      <c r="B1000">
        <v>1975</v>
      </c>
      <c r="C1000">
        <v>2.7799999999999998E-2</v>
      </c>
    </row>
    <row r="1001" spans="1:3" x14ac:dyDescent="0.35">
      <c r="A1001">
        <v>33</v>
      </c>
      <c r="B1001">
        <v>1976</v>
      </c>
      <c r="C1001">
        <v>2.76E-2</v>
      </c>
    </row>
    <row r="1002" spans="1:3" x14ac:dyDescent="0.35">
      <c r="A1002">
        <v>33</v>
      </c>
      <c r="B1002">
        <v>1977</v>
      </c>
      <c r="C1002">
        <v>2.5399999999999999E-2</v>
      </c>
    </row>
    <row r="1003" spans="1:3" x14ac:dyDescent="0.35">
      <c r="A1003">
        <v>33</v>
      </c>
      <c r="B1003">
        <v>1978</v>
      </c>
      <c r="C1003">
        <v>2.1700000000000001E-2</v>
      </c>
    </row>
    <row r="1004" spans="1:3" x14ac:dyDescent="0.35">
      <c r="A1004">
        <v>33</v>
      </c>
      <c r="B1004">
        <v>1979</v>
      </c>
      <c r="C1004">
        <v>1.72E-2</v>
      </c>
    </row>
    <row r="1005" spans="1:3" x14ac:dyDescent="0.35">
      <c r="A1005">
        <v>33</v>
      </c>
      <c r="B1005">
        <v>1980</v>
      </c>
      <c r="C1005">
        <v>1.2E-2</v>
      </c>
    </row>
    <row r="1006" spans="1:3" x14ac:dyDescent="0.35">
      <c r="A1006">
        <v>33</v>
      </c>
      <c r="B1006">
        <v>1981</v>
      </c>
      <c r="C1006">
        <v>5.8999999999999999E-3</v>
      </c>
    </row>
    <row r="1007" spans="1:3" x14ac:dyDescent="0.35">
      <c r="A1007">
        <v>33</v>
      </c>
      <c r="B1007">
        <v>1982</v>
      </c>
      <c r="C1007">
        <v>-1.6999999999999999E-3</v>
      </c>
    </row>
    <row r="1008" spans="1:3" x14ac:dyDescent="0.35">
      <c r="A1008">
        <v>33</v>
      </c>
      <c r="B1008">
        <v>1983</v>
      </c>
      <c r="C1008">
        <v>-1.06E-2</v>
      </c>
    </row>
    <row r="1009" spans="1:3" x14ac:dyDescent="0.35">
      <c r="A1009">
        <v>33</v>
      </c>
      <c r="B1009">
        <v>1984</v>
      </c>
      <c r="C1009">
        <v>-2.0199999999999999E-2</v>
      </c>
    </row>
    <row r="1010" spans="1:3" x14ac:dyDescent="0.35">
      <c r="A1010">
        <v>33</v>
      </c>
      <c r="B1010">
        <v>1985</v>
      </c>
      <c r="C1010">
        <v>-2.9000000000000001E-2</v>
      </c>
    </row>
    <row r="1011" spans="1:3" x14ac:dyDescent="0.35">
      <c r="A1011">
        <v>33</v>
      </c>
      <c r="B1011">
        <v>1986</v>
      </c>
      <c r="C1011">
        <v>-3.5000000000000003E-2</v>
      </c>
    </row>
    <row r="1012" spans="1:3" x14ac:dyDescent="0.35">
      <c r="A1012">
        <v>33</v>
      </c>
      <c r="B1012">
        <v>1987</v>
      </c>
      <c r="C1012">
        <v>-3.7100000000000001E-2</v>
      </c>
    </row>
    <row r="1013" spans="1:3" x14ac:dyDescent="0.35">
      <c r="A1013">
        <v>33</v>
      </c>
      <c r="B1013">
        <v>1988</v>
      </c>
      <c r="C1013">
        <v>-3.5099999999999999E-2</v>
      </c>
    </row>
    <row r="1014" spans="1:3" x14ac:dyDescent="0.35">
      <c r="A1014">
        <v>33</v>
      </c>
      <c r="B1014">
        <v>1989</v>
      </c>
      <c r="C1014">
        <v>-2.9399999999999999E-2</v>
      </c>
    </row>
    <row r="1015" spans="1:3" x14ac:dyDescent="0.35">
      <c r="A1015">
        <v>33</v>
      </c>
      <c r="B1015">
        <v>1990</v>
      </c>
      <c r="C1015">
        <v>-2.06E-2</v>
      </c>
    </row>
    <row r="1016" spans="1:3" x14ac:dyDescent="0.35">
      <c r="A1016">
        <v>33</v>
      </c>
      <c r="B1016">
        <v>1991</v>
      </c>
      <c r="C1016">
        <v>-8.9999999999999993E-3</v>
      </c>
    </row>
    <row r="1017" spans="1:3" x14ac:dyDescent="0.35">
      <c r="A1017">
        <v>33</v>
      </c>
      <c r="B1017">
        <v>1992</v>
      </c>
      <c r="C1017">
        <v>5.1000000000000004E-3</v>
      </c>
    </row>
    <row r="1018" spans="1:3" x14ac:dyDescent="0.35">
      <c r="A1018">
        <v>33</v>
      </c>
      <c r="B1018">
        <v>1993</v>
      </c>
      <c r="C1018">
        <v>2.1399999999999999E-2</v>
      </c>
    </row>
    <row r="1019" spans="1:3" x14ac:dyDescent="0.35">
      <c r="A1019">
        <v>33</v>
      </c>
      <c r="B1019">
        <v>1994</v>
      </c>
      <c r="C1019">
        <v>3.8600000000000002E-2</v>
      </c>
    </row>
    <row r="1020" spans="1:3" x14ac:dyDescent="0.35">
      <c r="A1020">
        <v>33</v>
      </c>
      <c r="B1020">
        <v>1995</v>
      </c>
      <c r="C1020">
        <v>5.4100000000000002E-2</v>
      </c>
    </row>
    <row r="1021" spans="1:3" x14ac:dyDescent="0.35">
      <c r="A1021">
        <v>33</v>
      </c>
      <c r="B1021">
        <v>1996</v>
      </c>
      <c r="C1021">
        <v>6.4600000000000005E-2</v>
      </c>
    </row>
    <row r="1022" spans="1:3" x14ac:dyDescent="0.35">
      <c r="A1022">
        <v>33</v>
      </c>
      <c r="B1022">
        <v>1997</v>
      </c>
      <c r="C1022">
        <v>6.7199999999999996E-2</v>
      </c>
    </row>
    <row r="1023" spans="1:3" x14ac:dyDescent="0.35">
      <c r="A1023">
        <v>33</v>
      </c>
      <c r="B1023">
        <v>1998</v>
      </c>
      <c r="C1023">
        <v>6.1499999999999999E-2</v>
      </c>
    </row>
    <row r="1024" spans="1:3" x14ac:dyDescent="0.35">
      <c r="A1024">
        <v>33</v>
      </c>
      <c r="B1024">
        <v>1999</v>
      </c>
      <c r="C1024">
        <v>4.9700000000000001E-2</v>
      </c>
    </row>
    <row r="1025" spans="1:3" x14ac:dyDescent="0.35">
      <c r="A1025">
        <v>33</v>
      </c>
      <c r="B1025">
        <v>2000</v>
      </c>
      <c r="C1025">
        <v>3.5099999999999999E-2</v>
      </c>
    </row>
    <row r="1026" spans="1:3" x14ac:dyDescent="0.35">
      <c r="A1026">
        <v>33</v>
      </c>
      <c r="B1026">
        <v>2001</v>
      </c>
      <c r="C1026">
        <v>2.1000000000000001E-2</v>
      </c>
    </row>
    <row r="1027" spans="1:3" x14ac:dyDescent="0.35">
      <c r="A1027">
        <v>33</v>
      </c>
      <c r="B1027">
        <v>2002</v>
      </c>
      <c r="C1027">
        <v>9.7999999999999997E-3</v>
      </c>
    </row>
    <row r="1028" spans="1:3" x14ac:dyDescent="0.35">
      <c r="A1028">
        <v>33</v>
      </c>
      <c r="B1028">
        <v>2003</v>
      </c>
      <c r="C1028">
        <v>2.5000000000000001E-3</v>
      </c>
    </row>
    <row r="1029" spans="1:3" x14ac:dyDescent="0.35">
      <c r="A1029">
        <v>33</v>
      </c>
      <c r="B1029">
        <v>2004</v>
      </c>
      <c r="C1029">
        <v>-1.1999999999999999E-3</v>
      </c>
    </row>
    <row r="1030" spans="1:3" x14ac:dyDescent="0.35">
      <c r="A1030">
        <v>33</v>
      </c>
      <c r="B1030">
        <v>2005</v>
      </c>
      <c r="C1030">
        <v>-1.9E-3</v>
      </c>
    </row>
    <row r="1031" spans="1:3" x14ac:dyDescent="0.35">
      <c r="A1031">
        <v>33</v>
      </c>
      <c r="B1031">
        <v>2006</v>
      </c>
      <c r="C1031">
        <v>-6.9999999999999999E-4</v>
      </c>
    </row>
    <row r="1032" spans="1:3" x14ac:dyDescent="0.35">
      <c r="A1032">
        <v>33</v>
      </c>
      <c r="B1032">
        <v>2007</v>
      </c>
      <c r="C1032">
        <v>1.4E-3</v>
      </c>
    </row>
    <row r="1033" spans="1:3" x14ac:dyDescent="0.35">
      <c r="A1033">
        <v>33</v>
      </c>
      <c r="B1033">
        <v>2008</v>
      </c>
      <c r="C1033">
        <v>3.0000000000000001E-3</v>
      </c>
    </row>
    <row r="1034" spans="1:3" x14ac:dyDescent="0.35">
      <c r="A1034">
        <v>33</v>
      </c>
      <c r="B1034">
        <v>2009</v>
      </c>
      <c r="C1034">
        <v>3.0000000000000001E-3</v>
      </c>
    </row>
    <row r="1035" spans="1:3" x14ac:dyDescent="0.35">
      <c r="A1035">
        <v>33</v>
      </c>
      <c r="B1035">
        <v>2010</v>
      </c>
      <c r="C1035">
        <v>1.1000000000000001E-3</v>
      </c>
    </row>
    <row r="1036" spans="1:3" x14ac:dyDescent="0.35">
      <c r="A1036">
        <v>33</v>
      </c>
      <c r="B1036">
        <v>2011</v>
      </c>
      <c r="C1036">
        <v>-2.5999999999999999E-3</v>
      </c>
    </row>
    <row r="1037" spans="1:3" x14ac:dyDescent="0.35">
      <c r="A1037">
        <v>33</v>
      </c>
      <c r="B1037">
        <v>2012</v>
      </c>
      <c r="C1037">
        <v>-7.7000000000000002E-3</v>
      </c>
    </row>
    <row r="1038" spans="1:3" x14ac:dyDescent="0.35">
      <c r="A1038">
        <v>33</v>
      </c>
      <c r="B1038">
        <v>2013</v>
      </c>
      <c r="C1038">
        <v>-7.1999999999999998E-3</v>
      </c>
    </row>
    <row r="1039" spans="1:3" x14ac:dyDescent="0.35">
      <c r="A1039">
        <v>33</v>
      </c>
      <c r="B1039">
        <v>2014</v>
      </c>
      <c r="C1039">
        <v>-5.8999999999999999E-3</v>
      </c>
    </row>
    <row r="1040" spans="1:3" x14ac:dyDescent="0.35">
      <c r="A1040">
        <v>33</v>
      </c>
      <c r="B1040">
        <v>2015</v>
      </c>
      <c r="C1040">
        <v>-3.7000000000000002E-3</v>
      </c>
    </row>
    <row r="1041" spans="1:3" x14ac:dyDescent="0.35">
      <c r="A1041">
        <v>33</v>
      </c>
      <c r="B1041">
        <v>2016</v>
      </c>
      <c r="C1041">
        <v>-1.1000000000000001E-3</v>
      </c>
    </row>
    <row r="1042" spans="1:3" x14ac:dyDescent="0.35">
      <c r="A1042">
        <v>33</v>
      </c>
      <c r="B1042">
        <v>2017</v>
      </c>
      <c r="C1042">
        <v>1.8E-3</v>
      </c>
    </row>
    <row r="1043" spans="1:3" x14ac:dyDescent="0.35">
      <c r="A1043">
        <v>33</v>
      </c>
      <c r="B1043">
        <v>2018</v>
      </c>
      <c r="C1043">
        <v>4.7999999999999996E-3</v>
      </c>
    </row>
    <row r="1044" spans="1:3" x14ac:dyDescent="0.35">
      <c r="A1044">
        <v>33</v>
      </c>
      <c r="B1044">
        <v>2019</v>
      </c>
      <c r="C1044">
        <v>7.6E-3</v>
      </c>
    </row>
    <row r="1045" spans="1:3" x14ac:dyDescent="0.35">
      <c r="A1045">
        <v>33</v>
      </c>
      <c r="B1045">
        <v>2020</v>
      </c>
      <c r="C1045">
        <v>9.9000000000000008E-3</v>
      </c>
    </row>
    <row r="1046" spans="1:3" x14ac:dyDescent="0.35">
      <c r="A1046">
        <v>33</v>
      </c>
      <c r="B1046">
        <v>2021</v>
      </c>
      <c r="C1046">
        <v>1.17E-2</v>
      </c>
    </row>
    <row r="1047" spans="1:3" x14ac:dyDescent="0.35">
      <c r="A1047">
        <v>33</v>
      </c>
      <c r="B1047">
        <v>2022</v>
      </c>
      <c r="C1047">
        <v>1.2699999999999999E-2</v>
      </c>
    </row>
    <row r="1048" spans="1:3" x14ac:dyDescent="0.35">
      <c r="A1048">
        <v>33</v>
      </c>
      <c r="B1048">
        <v>2023</v>
      </c>
      <c r="C1048">
        <v>1.3100000000000001E-2</v>
      </c>
    </row>
    <row r="1049" spans="1:3" x14ac:dyDescent="0.35">
      <c r="A1049">
        <v>33</v>
      </c>
      <c r="B1049">
        <v>2024</v>
      </c>
      <c r="C1049">
        <v>1.32E-2</v>
      </c>
    </row>
    <row r="1050" spans="1:3" x14ac:dyDescent="0.35">
      <c r="A1050">
        <v>33</v>
      </c>
      <c r="B1050">
        <v>2025</v>
      </c>
      <c r="C1050">
        <v>1.3100000000000001E-2</v>
      </c>
    </row>
    <row r="1051" spans="1:3" x14ac:dyDescent="0.35">
      <c r="A1051">
        <v>33</v>
      </c>
      <c r="B1051">
        <v>2026</v>
      </c>
      <c r="C1051">
        <v>1.24E-2</v>
      </c>
    </row>
    <row r="1052" spans="1:3" x14ac:dyDescent="0.35">
      <c r="A1052">
        <v>33</v>
      </c>
      <c r="B1052">
        <v>2027</v>
      </c>
      <c r="C1052">
        <v>1.17E-2</v>
      </c>
    </row>
    <row r="1053" spans="1:3" x14ac:dyDescent="0.35">
      <c r="A1053">
        <v>33</v>
      </c>
      <c r="B1053">
        <v>2028</v>
      </c>
      <c r="C1053">
        <v>1.11E-2</v>
      </c>
    </row>
    <row r="1054" spans="1:3" x14ac:dyDescent="0.35">
      <c r="A1054">
        <v>33</v>
      </c>
      <c r="B1054">
        <v>2029</v>
      </c>
      <c r="C1054">
        <v>1.0699999999999999E-2</v>
      </c>
    </row>
    <row r="1055" spans="1:3" x14ac:dyDescent="0.35">
      <c r="A1055">
        <v>33</v>
      </c>
      <c r="B1055">
        <v>2030</v>
      </c>
      <c r="C1055">
        <v>1.03E-2</v>
      </c>
    </row>
    <row r="1056" spans="1:3" x14ac:dyDescent="0.35">
      <c r="A1056">
        <v>33</v>
      </c>
      <c r="B1056">
        <v>2031</v>
      </c>
      <c r="C1056">
        <v>1.01E-2</v>
      </c>
    </row>
    <row r="1057" spans="1:3" x14ac:dyDescent="0.35">
      <c r="A1057">
        <v>34</v>
      </c>
      <c r="B1057">
        <v>1951</v>
      </c>
      <c r="C1057">
        <v>0.04</v>
      </c>
    </row>
    <row r="1058" spans="1:3" x14ac:dyDescent="0.35">
      <c r="A1058">
        <v>34</v>
      </c>
      <c r="B1058">
        <v>1952</v>
      </c>
      <c r="C1058">
        <v>3.5499999999999997E-2</v>
      </c>
    </row>
    <row r="1059" spans="1:3" x14ac:dyDescent="0.35">
      <c r="A1059">
        <v>34</v>
      </c>
      <c r="B1059">
        <v>1953</v>
      </c>
      <c r="C1059">
        <v>3.0800000000000001E-2</v>
      </c>
    </row>
    <row r="1060" spans="1:3" x14ac:dyDescent="0.35">
      <c r="A1060">
        <v>34</v>
      </c>
      <c r="B1060">
        <v>1954</v>
      </c>
      <c r="C1060">
        <v>2.58E-2</v>
      </c>
    </row>
    <row r="1061" spans="1:3" x14ac:dyDescent="0.35">
      <c r="A1061">
        <v>34</v>
      </c>
      <c r="B1061">
        <v>1955</v>
      </c>
      <c r="C1061">
        <v>2.0400000000000001E-2</v>
      </c>
    </row>
    <row r="1062" spans="1:3" x14ac:dyDescent="0.35">
      <c r="A1062">
        <v>34</v>
      </c>
      <c r="B1062">
        <v>1956</v>
      </c>
      <c r="C1062">
        <v>1.5100000000000001E-2</v>
      </c>
    </row>
    <row r="1063" spans="1:3" x14ac:dyDescent="0.35">
      <c r="A1063">
        <v>34</v>
      </c>
      <c r="B1063">
        <v>1957</v>
      </c>
      <c r="C1063">
        <v>0.01</v>
      </c>
    </row>
    <row r="1064" spans="1:3" x14ac:dyDescent="0.35">
      <c r="A1064">
        <v>34</v>
      </c>
      <c r="B1064">
        <v>1958</v>
      </c>
      <c r="C1064">
        <v>5.4999999999999997E-3</v>
      </c>
    </row>
    <row r="1065" spans="1:3" x14ac:dyDescent="0.35">
      <c r="A1065">
        <v>34</v>
      </c>
      <c r="B1065">
        <v>1959</v>
      </c>
      <c r="C1065">
        <v>1.2999999999999999E-3</v>
      </c>
    </row>
    <row r="1066" spans="1:3" x14ac:dyDescent="0.35">
      <c r="A1066">
        <v>34</v>
      </c>
      <c r="B1066">
        <v>1960</v>
      </c>
      <c r="C1066">
        <v>-2.7000000000000001E-3</v>
      </c>
    </row>
    <row r="1067" spans="1:3" x14ac:dyDescent="0.35">
      <c r="A1067">
        <v>34</v>
      </c>
      <c r="B1067">
        <v>1961</v>
      </c>
      <c r="C1067">
        <v>-6.7000000000000002E-3</v>
      </c>
    </row>
    <row r="1068" spans="1:3" x14ac:dyDescent="0.35">
      <c r="A1068">
        <v>34</v>
      </c>
      <c r="B1068">
        <v>1962</v>
      </c>
      <c r="C1068">
        <v>-1.06E-2</v>
      </c>
    </row>
    <row r="1069" spans="1:3" x14ac:dyDescent="0.35">
      <c r="A1069">
        <v>34</v>
      </c>
      <c r="B1069">
        <v>1963</v>
      </c>
      <c r="C1069">
        <v>-1.3899999999999999E-2</v>
      </c>
    </row>
    <row r="1070" spans="1:3" x14ac:dyDescent="0.35">
      <c r="A1070">
        <v>34</v>
      </c>
      <c r="B1070">
        <v>1964</v>
      </c>
      <c r="C1070">
        <v>-1.6199999999999999E-2</v>
      </c>
    </row>
    <row r="1071" spans="1:3" x14ac:dyDescent="0.35">
      <c r="A1071">
        <v>34</v>
      </c>
      <c r="B1071">
        <v>1965</v>
      </c>
      <c r="C1071">
        <v>-1.7100000000000001E-2</v>
      </c>
    </row>
    <row r="1072" spans="1:3" x14ac:dyDescent="0.35">
      <c r="A1072">
        <v>34</v>
      </c>
      <c r="B1072">
        <v>1966</v>
      </c>
      <c r="C1072">
        <v>-1.66E-2</v>
      </c>
    </row>
    <row r="1073" spans="1:3" x14ac:dyDescent="0.35">
      <c r="A1073">
        <v>34</v>
      </c>
      <c r="B1073">
        <v>1967</v>
      </c>
      <c r="C1073">
        <v>-1.43E-2</v>
      </c>
    </row>
    <row r="1074" spans="1:3" x14ac:dyDescent="0.35">
      <c r="A1074">
        <v>34</v>
      </c>
      <c r="B1074">
        <v>1968</v>
      </c>
      <c r="C1074">
        <v>-1.03E-2</v>
      </c>
    </row>
    <row r="1075" spans="1:3" x14ac:dyDescent="0.35">
      <c r="A1075">
        <v>34</v>
      </c>
      <c r="B1075">
        <v>1969</v>
      </c>
      <c r="C1075">
        <v>-4.7000000000000002E-3</v>
      </c>
    </row>
    <row r="1076" spans="1:3" x14ac:dyDescent="0.35">
      <c r="A1076">
        <v>34</v>
      </c>
      <c r="B1076">
        <v>1970</v>
      </c>
      <c r="C1076">
        <v>2.0999999999999999E-3</v>
      </c>
    </row>
    <row r="1077" spans="1:3" x14ac:dyDescent="0.35">
      <c r="A1077">
        <v>34</v>
      </c>
      <c r="B1077">
        <v>1971</v>
      </c>
      <c r="C1077">
        <v>9.4000000000000004E-3</v>
      </c>
    </row>
    <row r="1078" spans="1:3" x14ac:dyDescent="0.35">
      <c r="A1078">
        <v>34</v>
      </c>
      <c r="B1078">
        <v>1972</v>
      </c>
      <c r="C1078">
        <v>1.6500000000000001E-2</v>
      </c>
    </row>
    <row r="1079" spans="1:3" x14ac:dyDescent="0.35">
      <c r="A1079">
        <v>34</v>
      </c>
      <c r="B1079">
        <v>1973</v>
      </c>
      <c r="C1079">
        <v>2.2700000000000001E-2</v>
      </c>
    </row>
    <row r="1080" spans="1:3" x14ac:dyDescent="0.35">
      <c r="A1080">
        <v>34</v>
      </c>
      <c r="B1080">
        <v>1974</v>
      </c>
      <c r="C1080">
        <v>2.7300000000000001E-2</v>
      </c>
    </row>
    <row r="1081" spans="1:3" x14ac:dyDescent="0.35">
      <c r="A1081">
        <v>34</v>
      </c>
      <c r="B1081">
        <v>1975</v>
      </c>
      <c r="C1081">
        <v>2.9700000000000001E-2</v>
      </c>
    </row>
    <row r="1082" spans="1:3" x14ac:dyDescent="0.35">
      <c r="A1082">
        <v>34</v>
      </c>
      <c r="B1082">
        <v>1976</v>
      </c>
      <c r="C1082">
        <v>2.98E-2</v>
      </c>
    </row>
    <row r="1083" spans="1:3" x14ac:dyDescent="0.35">
      <c r="A1083">
        <v>34</v>
      </c>
      <c r="B1083">
        <v>1977</v>
      </c>
      <c r="C1083">
        <v>2.7799999999999998E-2</v>
      </c>
    </row>
    <row r="1084" spans="1:3" x14ac:dyDescent="0.35">
      <c r="A1084">
        <v>34</v>
      </c>
      <c r="B1084">
        <v>1978</v>
      </c>
      <c r="C1084">
        <v>2.4199999999999999E-2</v>
      </c>
    </row>
    <row r="1085" spans="1:3" x14ac:dyDescent="0.35">
      <c r="A1085">
        <v>34</v>
      </c>
      <c r="B1085">
        <v>1979</v>
      </c>
      <c r="C1085">
        <v>1.9599999999999999E-2</v>
      </c>
    </row>
    <row r="1086" spans="1:3" x14ac:dyDescent="0.35">
      <c r="A1086">
        <v>34</v>
      </c>
      <c r="B1086">
        <v>1980</v>
      </c>
      <c r="C1086">
        <v>1.41E-2</v>
      </c>
    </row>
    <row r="1087" spans="1:3" x14ac:dyDescent="0.35">
      <c r="A1087">
        <v>34</v>
      </c>
      <c r="B1087">
        <v>1981</v>
      </c>
      <c r="C1087">
        <v>7.3000000000000001E-3</v>
      </c>
    </row>
    <row r="1088" spans="1:3" x14ac:dyDescent="0.35">
      <c r="A1088">
        <v>34</v>
      </c>
      <c r="B1088">
        <v>1982</v>
      </c>
      <c r="C1088">
        <v>-8.9999999999999998E-4</v>
      </c>
    </row>
    <row r="1089" spans="1:3" x14ac:dyDescent="0.35">
      <c r="A1089">
        <v>34</v>
      </c>
      <c r="B1089">
        <v>1983</v>
      </c>
      <c r="C1089">
        <v>-1.0500000000000001E-2</v>
      </c>
    </row>
    <row r="1090" spans="1:3" x14ac:dyDescent="0.35">
      <c r="A1090">
        <v>34</v>
      </c>
      <c r="B1090">
        <v>1984</v>
      </c>
      <c r="C1090">
        <v>-2.0799999999999999E-2</v>
      </c>
    </row>
    <row r="1091" spans="1:3" x14ac:dyDescent="0.35">
      <c r="A1091">
        <v>34</v>
      </c>
      <c r="B1091">
        <v>1985</v>
      </c>
      <c r="C1091">
        <v>-0.03</v>
      </c>
    </row>
    <row r="1092" spans="1:3" x14ac:dyDescent="0.35">
      <c r="A1092">
        <v>34</v>
      </c>
      <c r="B1092">
        <v>1986</v>
      </c>
      <c r="C1092">
        <v>-3.6499999999999998E-2</v>
      </c>
    </row>
    <row r="1093" spans="1:3" x14ac:dyDescent="0.35">
      <c r="A1093">
        <v>34</v>
      </c>
      <c r="B1093">
        <v>1987</v>
      </c>
      <c r="C1093">
        <v>-3.8899999999999997E-2</v>
      </c>
    </row>
    <row r="1094" spans="1:3" x14ac:dyDescent="0.35">
      <c r="A1094">
        <v>34</v>
      </c>
      <c r="B1094">
        <v>1988</v>
      </c>
      <c r="C1094">
        <v>-3.7199999999999997E-2</v>
      </c>
    </row>
    <row r="1095" spans="1:3" x14ac:dyDescent="0.35">
      <c r="A1095">
        <v>34</v>
      </c>
      <c r="B1095">
        <v>1989</v>
      </c>
      <c r="C1095">
        <v>-3.1699999999999999E-2</v>
      </c>
    </row>
    <row r="1096" spans="1:3" x14ac:dyDescent="0.35">
      <c r="A1096">
        <v>34</v>
      </c>
      <c r="B1096">
        <v>1990</v>
      </c>
      <c r="C1096">
        <v>-2.29E-2</v>
      </c>
    </row>
    <row r="1097" spans="1:3" x14ac:dyDescent="0.35">
      <c r="A1097">
        <v>34</v>
      </c>
      <c r="B1097">
        <v>1991</v>
      </c>
      <c r="C1097">
        <v>-1.14E-2</v>
      </c>
    </row>
    <row r="1098" spans="1:3" x14ac:dyDescent="0.35">
      <c r="A1098">
        <v>34</v>
      </c>
      <c r="B1098">
        <v>1992</v>
      </c>
      <c r="C1098">
        <v>2.8E-3</v>
      </c>
    </row>
    <row r="1099" spans="1:3" x14ac:dyDescent="0.35">
      <c r="A1099">
        <v>34</v>
      </c>
      <c r="B1099">
        <v>1993</v>
      </c>
      <c r="C1099">
        <v>1.9199999999999998E-2</v>
      </c>
    </row>
    <row r="1100" spans="1:3" x14ac:dyDescent="0.35">
      <c r="A1100">
        <v>34</v>
      </c>
      <c r="B1100">
        <v>1994</v>
      </c>
      <c r="C1100">
        <v>3.6499999999999998E-2</v>
      </c>
    </row>
    <row r="1101" spans="1:3" x14ac:dyDescent="0.35">
      <c r="A1101">
        <v>34</v>
      </c>
      <c r="B1101">
        <v>1995</v>
      </c>
      <c r="C1101">
        <v>5.2200000000000003E-2</v>
      </c>
    </row>
    <row r="1102" spans="1:3" x14ac:dyDescent="0.35">
      <c r="A1102">
        <v>34</v>
      </c>
      <c r="B1102">
        <v>1996</v>
      </c>
      <c r="C1102">
        <v>6.3100000000000003E-2</v>
      </c>
    </row>
    <row r="1103" spans="1:3" x14ac:dyDescent="0.35">
      <c r="A1103">
        <v>34</v>
      </c>
      <c r="B1103">
        <v>1997</v>
      </c>
      <c r="C1103">
        <v>6.6100000000000006E-2</v>
      </c>
    </row>
    <row r="1104" spans="1:3" x14ac:dyDescent="0.35">
      <c r="A1104">
        <v>34</v>
      </c>
      <c r="B1104">
        <v>1998</v>
      </c>
      <c r="C1104">
        <v>6.0999999999999999E-2</v>
      </c>
    </row>
    <row r="1105" spans="1:3" x14ac:dyDescent="0.35">
      <c r="A1105">
        <v>34</v>
      </c>
      <c r="B1105">
        <v>1999</v>
      </c>
      <c r="C1105">
        <v>4.99E-2</v>
      </c>
    </row>
    <row r="1106" spans="1:3" x14ac:dyDescent="0.35">
      <c r="A1106">
        <v>34</v>
      </c>
      <c r="B1106">
        <v>2000</v>
      </c>
      <c r="C1106">
        <v>3.61E-2</v>
      </c>
    </row>
    <row r="1107" spans="1:3" x14ac:dyDescent="0.35">
      <c r="A1107">
        <v>34</v>
      </c>
      <c r="B1107">
        <v>2001</v>
      </c>
      <c r="C1107">
        <v>2.3E-2</v>
      </c>
    </row>
    <row r="1108" spans="1:3" x14ac:dyDescent="0.35">
      <c r="A1108">
        <v>34</v>
      </c>
      <c r="B1108">
        <v>2002</v>
      </c>
      <c r="C1108">
        <v>1.2800000000000001E-2</v>
      </c>
    </row>
    <row r="1109" spans="1:3" x14ac:dyDescent="0.35">
      <c r="A1109">
        <v>34</v>
      </c>
      <c r="B1109">
        <v>2003</v>
      </c>
      <c r="C1109">
        <v>6.1999999999999998E-3</v>
      </c>
    </row>
    <row r="1110" spans="1:3" x14ac:dyDescent="0.35">
      <c r="A1110">
        <v>34</v>
      </c>
      <c r="B1110">
        <v>2004</v>
      </c>
      <c r="C1110">
        <v>2.8999999999999998E-3</v>
      </c>
    </row>
    <row r="1111" spans="1:3" x14ac:dyDescent="0.35">
      <c r="A1111">
        <v>34</v>
      </c>
      <c r="B1111">
        <v>2005</v>
      </c>
      <c r="C1111">
        <v>2.0999999999999999E-3</v>
      </c>
    </row>
    <row r="1112" spans="1:3" x14ac:dyDescent="0.35">
      <c r="A1112">
        <v>34</v>
      </c>
      <c r="B1112">
        <v>2006</v>
      </c>
      <c r="C1112">
        <v>3.0000000000000001E-3</v>
      </c>
    </row>
    <row r="1113" spans="1:3" x14ac:dyDescent="0.35">
      <c r="A1113">
        <v>34</v>
      </c>
      <c r="B1113">
        <v>2007</v>
      </c>
      <c r="C1113">
        <v>4.4999999999999997E-3</v>
      </c>
    </row>
    <row r="1114" spans="1:3" x14ac:dyDescent="0.35">
      <c r="A1114">
        <v>34</v>
      </c>
      <c r="B1114">
        <v>2008</v>
      </c>
      <c r="C1114">
        <v>5.4000000000000003E-3</v>
      </c>
    </row>
    <row r="1115" spans="1:3" x14ac:dyDescent="0.35">
      <c r="A1115">
        <v>34</v>
      </c>
      <c r="B1115">
        <v>2009</v>
      </c>
      <c r="C1115">
        <v>4.8999999999999998E-3</v>
      </c>
    </row>
    <row r="1116" spans="1:3" x14ac:dyDescent="0.35">
      <c r="A1116">
        <v>34</v>
      </c>
      <c r="B1116">
        <v>2010</v>
      </c>
      <c r="C1116">
        <v>2.5999999999999999E-3</v>
      </c>
    </row>
    <row r="1117" spans="1:3" x14ac:dyDescent="0.35">
      <c r="A1117">
        <v>34</v>
      </c>
      <c r="B1117">
        <v>2011</v>
      </c>
      <c r="C1117">
        <v>-1.6000000000000001E-3</v>
      </c>
    </row>
    <row r="1118" spans="1:3" x14ac:dyDescent="0.35">
      <c r="A1118">
        <v>34</v>
      </c>
      <c r="B1118">
        <v>2012</v>
      </c>
      <c r="C1118">
        <v>-7.1000000000000004E-3</v>
      </c>
    </row>
    <row r="1119" spans="1:3" x14ac:dyDescent="0.35">
      <c r="A1119">
        <v>34</v>
      </c>
      <c r="B1119">
        <v>2013</v>
      </c>
      <c r="C1119">
        <v>-7.1000000000000004E-3</v>
      </c>
    </row>
    <row r="1120" spans="1:3" x14ac:dyDescent="0.35">
      <c r="A1120">
        <v>34</v>
      </c>
      <c r="B1120">
        <v>2014</v>
      </c>
      <c r="C1120">
        <v>-6.1000000000000004E-3</v>
      </c>
    </row>
    <row r="1121" spans="1:3" x14ac:dyDescent="0.35">
      <c r="A1121">
        <v>34</v>
      </c>
      <c r="B1121">
        <v>2015</v>
      </c>
      <c r="C1121">
        <v>-4.4000000000000003E-3</v>
      </c>
    </row>
    <row r="1122" spans="1:3" x14ac:dyDescent="0.35">
      <c r="A1122">
        <v>34</v>
      </c>
      <c r="B1122">
        <v>2016</v>
      </c>
      <c r="C1122">
        <v>-2E-3</v>
      </c>
    </row>
    <row r="1123" spans="1:3" x14ac:dyDescent="0.35">
      <c r="A1123">
        <v>34</v>
      </c>
      <c r="B1123">
        <v>2017</v>
      </c>
      <c r="C1123">
        <v>6.9999999999999999E-4</v>
      </c>
    </row>
    <row r="1124" spans="1:3" x14ac:dyDescent="0.35">
      <c r="A1124">
        <v>34</v>
      </c>
      <c r="B1124">
        <v>2018</v>
      </c>
      <c r="C1124">
        <v>3.5000000000000001E-3</v>
      </c>
    </row>
    <row r="1125" spans="1:3" x14ac:dyDescent="0.35">
      <c r="A1125">
        <v>34</v>
      </c>
      <c r="B1125">
        <v>2019</v>
      </c>
      <c r="C1125">
        <v>6.1999999999999998E-3</v>
      </c>
    </row>
    <row r="1126" spans="1:3" x14ac:dyDescent="0.35">
      <c r="A1126">
        <v>34</v>
      </c>
      <c r="B1126">
        <v>2020</v>
      </c>
      <c r="C1126">
        <v>8.6E-3</v>
      </c>
    </row>
    <row r="1127" spans="1:3" x14ac:dyDescent="0.35">
      <c r="A1127">
        <v>34</v>
      </c>
      <c r="B1127">
        <v>2021</v>
      </c>
      <c r="C1127">
        <v>1.0500000000000001E-2</v>
      </c>
    </row>
    <row r="1128" spans="1:3" x14ac:dyDescent="0.35">
      <c r="A1128">
        <v>34</v>
      </c>
      <c r="B1128">
        <v>2022</v>
      </c>
      <c r="C1128">
        <v>1.17E-2</v>
      </c>
    </row>
    <row r="1129" spans="1:3" x14ac:dyDescent="0.35">
      <c r="A1129">
        <v>34</v>
      </c>
      <c r="B1129">
        <v>2023</v>
      </c>
      <c r="C1129">
        <v>1.23E-2</v>
      </c>
    </row>
    <row r="1130" spans="1:3" x14ac:dyDescent="0.35">
      <c r="A1130">
        <v>34</v>
      </c>
      <c r="B1130">
        <v>2024</v>
      </c>
      <c r="C1130">
        <v>1.26E-2</v>
      </c>
    </row>
    <row r="1131" spans="1:3" x14ac:dyDescent="0.35">
      <c r="A1131">
        <v>34</v>
      </c>
      <c r="B1131">
        <v>2025</v>
      </c>
      <c r="C1131">
        <v>1.26E-2</v>
      </c>
    </row>
    <row r="1132" spans="1:3" x14ac:dyDescent="0.35">
      <c r="A1132">
        <v>34</v>
      </c>
      <c r="B1132">
        <v>2026</v>
      </c>
      <c r="C1132">
        <v>1.24E-2</v>
      </c>
    </row>
    <row r="1133" spans="1:3" x14ac:dyDescent="0.35">
      <c r="A1133">
        <v>34</v>
      </c>
      <c r="B1133">
        <v>2027</v>
      </c>
      <c r="C1133">
        <v>1.17E-2</v>
      </c>
    </row>
    <row r="1134" spans="1:3" x14ac:dyDescent="0.35">
      <c r="A1134">
        <v>34</v>
      </c>
      <c r="B1134">
        <v>2028</v>
      </c>
      <c r="C1134">
        <v>1.11E-2</v>
      </c>
    </row>
    <row r="1135" spans="1:3" x14ac:dyDescent="0.35">
      <c r="A1135">
        <v>34</v>
      </c>
      <c r="B1135">
        <v>2029</v>
      </c>
      <c r="C1135">
        <v>1.0699999999999999E-2</v>
      </c>
    </row>
    <row r="1136" spans="1:3" x14ac:dyDescent="0.35">
      <c r="A1136">
        <v>34</v>
      </c>
      <c r="B1136">
        <v>2030</v>
      </c>
      <c r="C1136">
        <v>1.03E-2</v>
      </c>
    </row>
    <row r="1137" spans="1:3" x14ac:dyDescent="0.35">
      <c r="A1137">
        <v>34</v>
      </c>
      <c r="B1137">
        <v>2031</v>
      </c>
      <c r="C1137">
        <v>1.01E-2</v>
      </c>
    </row>
    <row r="1138" spans="1:3" x14ac:dyDescent="0.35">
      <c r="A1138">
        <v>35</v>
      </c>
      <c r="B1138">
        <v>1951</v>
      </c>
      <c r="C1138">
        <v>4.02E-2</v>
      </c>
    </row>
    <row r="1139" spans="1:3" x14ac:dyDescent="0.35">
      <c r="A1139">
        <v>35</v>
      </c>
      <c r="B1139">
        <v>1952</v>
      </c>
      <c r="C1139">
        <v>3.56E-2</v>
      </c>
    </row>
    <row r="1140" spans="1:3" x14ac:dyDescent="0.35">
      <c r="A1140">
        <v>35</v>
      </c>
      <c r="B1140">
        <v>1953</v>
      </c>
      <c r="C1140">
        <v>3.0800000000000001E-2</v>
      </c>
    </row>
    <row r="1141" spans="1:3" x14ac:dyDescent="0.35">
      <c r="A1141">
        <v>35</v>
      </c>
      <c r="B1141">
        <v>1954</v>
      </c>
      <c r="C1141">
        <v>2.5600000000000001E-2</v>
      </c>
    </row>
    <row r="1142" spans="1:3" x14ac:dyDescent="0.35">
      <c r="A1142">
        <v>35</v>
      </c>
      <c r="B1142">
        <v>1955</v>
      </c>
      <c r="C1142">
        <v>2.0199999999999999E-2</v>
      </c>
    </row>
    <row r="1143" spans="1:3" x14ac:dyDescent="0.35">
      <c r="A1143">
        <v>35</v>
      </c>
      <c r="B1143">
        <v>1956</v>
      </c>
      <c r="C1143">
        <v>1.4800000000000001E-2</v>
      </c>
    </row>
    <row r="1144" spans="1:3" x14ac:dyDescent="0.35">
      <c r="A1144">
        <v>35</v>
      </c>
      <c r="B1144">
        <v>1957</v>
      </c>
      <c r="C1144">
        <v>9.7000000000000003E-3</v>
      </c>
    </row>
    <row r="1145" spans="1:3" x14ac:dyDescent="0.35">
      <c r="A1145">
        <v>35</v>
      </c>
      <c r="B1145">
        <v>1958</v>
      </c>
      <c r="C1145">
        <v>5.1999999999999998E-3</v>
      </c>
    </row>
    <row r="1146" spans="1:3" x14ac:dyDescent="0.35">
      <c r="A1146">
        <v>35</v>
      </c>
      <c r="B1146">
        <v>1959</v>
      </c>
      <c r="C1146">
        <v>1.1000000000000001E-3</v>
      </c>
    </row>
    <row r="1147" spans="1:3" x14ac:dyDescent="0.35">
      <c r="A1147">
        <v>35</v>
      </c>
      <c r="B1147">
        <v>1960</v>
      </c>
      <c r="C1147">
        <v>-2.8999999999999998E-3</v>
      </c>
    </row>
    <row r="1148" spans="1:3" x14ac:dyDescent="0.35">
      <c r="A1148">
        <v>35</v>
      </c>
      <c r="B1148">
        <v>1961</v>
      </c>
      <c r="C1148">
        <v>-6.7000000000000002E-3</v>
      </c>
    </row>
    <row r="1149" spans="1:3" x14ac:dyDescent="0.35">
      <c r="A1149">
        <v>35</v>
      </c>
      <c r="B1149">
        <v>1962</v>
      </c>
      <c r="C1149">
        <v>-1.03E-2</v>
      </c>
    </row>
    <row r="1150" spans="1:3" x14ac:dyDescent="0.35">
      <c r="A1150">
        <v>35</v>
      </c>
      <c r="B1150">
        <v>1963</v>
      </c>
      <c r="C1150">
        <v>-1.34E-2</v>
      </c>
    </row>
    <row r="1151" spans="1:3" x14ac:dyDescent="0.35">
      <c r="A1151">
        <v>35</v>
      </c>
      <c r="B1151">
        <v>1964</v>
      </c>
      <c r="C1151">
        <v>-1.55E-2</v>
      </c>
    </row>
    <row r="1152" spans="1:3" x14ac:dyDescent="0.35">
      <c r="A1152">
        <v>35</v>
      </c>
      <c r="B1152">
        <v>1965</v>
      </c>
      <c r="C1152">
        <v>-1.6400000000000001E-2</v>
      </c>
    </row>
    <row r="1153" spans="1:3" x14ac:dyDescent="0.35">
      <c r="A1153">
        <v>35</v>
      </c>
      <c r="B1153">
        <v>1966</v>
      </c>
      <c r="C1153">
        <v>-1.5800000000000002E-2</v>
      </c>
    </row>
    <row r="1154" spans="1:3" x14ac:dyDescent="0.35">
      <c r="A1154">
        <v>35</v>
      </c>
      <c r="B1154">
        <v>1967</v>
      </c>
      <c r="C1154">
        <v>-1.3599999999999999E-2</v>
      </c>
    </row>
    <row r="1155" spans="1:3" x14ac:dyDescent="0.35">
      <c r="A1155">
        <v>35</v>
      </c>
      <c r="B1155">
        <v>1968</v>
      </c>
      <c r="C1155">
        <v>-9.4999999999999998E-3</v>
      </c>
    </row>
    <row r="1156" spans="1:3" x14ac:dyDescent="0.35">
      <c r="A1156">
        <v>35</v>
      </c>
      <c r="B1156">
        <v>1969</v>
      </c>
      <c r="C1156">
        <v>-3.8E-3</v>
      </c>
    </row>
    <row r="1157" spans="1:3" x14ac:dyDescent="0.35">
      <c r="A1157">
        <v>35</v>
      </c>
      <c r="B1157">
        <v>1970</v>
      </c>
      <c r="C1157">
        <v>3.0999999999999999E-3</v>
      </c>
    </row>
    <row r="1158" spans="1:3" x14ac:dyDescent="0.35">
      <c r="A1158">
        <v>35</v>
      </c>
      <c r="B1158">
        <v>1971</v>
      </c>
      <c r="C1158">
        <v>1.0500000000000001E-2</v>
      </c>
    </row>
    <row r="1159" spans="1:3" x14ac:dyDescent="0.35">
      <c r="A1159">
        <v>35</v>
      </c>
      <c r="B1159">
        <v>1972</v>
      </c>
      <c r="C1159">
        <v>1.7600000000000001E-2</v>
      </c>
    </row>
    <row r="1160" spans="1:3" x14ac:dyDescent="0.35">
      <c r="A1160">
        <v>35</v>
      </c>
      <c r="B1160">
        <v>1973</v>
      </c>
      <c r="C1160">
        <v>2.3900000000000001E-2</v>
      </c>
    </row>
    <row r="1161" spans="1:3" x14ac:dyDescent="0.35">
      <c r="A1161">
        <v>35</v>
      </c>
      <c r="B1161">
        <v>1974</v>
      </c>
      <c r="C1161">
        <v>2.86E-2</v>
      </c>
    </row>
    <row r="1162" spans="1:3" x14ac:dyDescent="0.35">
      <c r="A1162">
        <v>35</v>
      </c>
      <c r="B1162">
        <v>1975</v>
      </c>
      <c r="C1162">
        <v>3.1199999999999999E-2</v>
      </c>
    </row>
    <row r="1163" spans="1:3" x14ac:dyDescent="0.35">
      <c r="A1163">
        <v>35</v>
      </c>
      <c r="B1163">
        <v>1976</v>
      </c>
      <c r="C1163">
        <v>3.1600000000000003E-2</v>
      </c>
    </row>
    <row r="1164" spans="1:3" x14ac:dyDescent="0.35">
      <c r="A1164">
        <v>35</v>
      </c>
      <c r="B1164">
        <v>1977</v>
      </c>
      <c r="C1164">
        <v>2.9899999999999999E-2</v>
      </c>
    </row>
    <row r="1165" spans="1:3" x14ac:dyDescent="0.35">
      <c r="A1165">
        <v>35</v>
      </c>
      <c r="B1165">
        <v>1978</v>
      </c>
      <c r="C1165">
        <v>2.6599999999999999E-2</v>
      </c>
    </row>
    <row r="1166" spans="1:3" x14ac:dyDescent="0.35">
      <c r="A1166">
        <v>35</v>
      </c>
      <c r="B1166">
        <v>1979</v>
      </c>
      <c r="C1166">
        <v>2.2200000000000001E-2</v>
      </c>
    </row>
    <row r="1167" spans="1:3" x14ac:dyDescent="0.35">
      <c r="A1167">
        <v>35</v>
      </c>
      <c r="B1167">
        <v>1980</v>
      </c>
      <c r="C1167">
        <v>1.6500000000000001E-2</v>
      </c>
    </row>
    <row r="1168" spans="1:3" x14ac:dyDescent="0.35">
      <c r="A1168">
        <v>35</v>
      </c>
      <c r="B1168">
        <v>1981</v>
      </c>
      <c r="C1168">
        <v>9.5999999999999992E-3</v>
      </c>
    </row>
    <row r="1169" spans="1:3" x14ac:dyDescent="0.35">
      <c r="A1169">
        <v>35</v>
      </c>
      <c r="B1169">
        <v>1982</v>
      </c>
      <c r="C1169">
        <v>1E-3</v>
      </c>
    </row>
    <row r="1170" spans="1:3" x14ac:dyDescent="0.35">
      <c r="A1170">
        <v>35</v>
      </c>
      <c r="B1170">
        <v>1983</v>
      </c>
      <c r="C1170">
        <v>-9.1000000000000004E-3</v>
      </c>
    </row>
    <row r="1171" spans="1:3" x14ac:dyDescent="0.35">
      <c r="A1171">
        <v>35</v>
      </c>
      <c r="B1171">
        <v>1984</v>
      </c>
      <c r="C1171">
        <v>-1.9900000000000001E-2</v>
      </c>
    </row>
    <row r="1172" spans="1:3" x14ac:dyDescent="0.35">
      <c r="A1172">
        <v>35</v>
      </c>
      <c r="B1172">
        <v>1985</v>
      </c>
      <c r="C1172">
        <v>-2.9600000000000001E-2</v>
      </c>
    </row>
    <row r="1173" spans="1:3" x14ac:dyDescent="0.35">
      <c r="A1173">
        <v>35</v>
      </c>
      <c r="B1173">
        <v>1986</v>
      </c>
      <c r="C1173">
        <v>-3.6499999999999998E-2</v>
      </c>
    </row>
    <row r="1174" spans="1:3" x14ac:dyDescent="0.35">
      <c r="A1174">
        <v>35</v>
      </c>
      <c r="B1174">
        <v>1987</v>
      </c>
      <c r="C1174">
        <v>-3.95E-2</v>
      </c>
    </row>
    <row r="1175" spans="1:3" x14ac:dyDescent="0.35">
      <c r="A1175">
        <v>35</v>
      </c>
      <c r="B1175">
        <v>1988</v>
      </c>
      <c r="C1175">
        <v>-3.8199999999999998E-2</v>
      </c>
    </row>
    <row r="1176" spans="1:3" x14ac:dyDescent="0.35">
      <c r="A1176">
        <v>35</v>
      </c>
      <c r="B1176">
        <v>1989</v>
      </c>
      <c r="C1176">
        <v>-3.32E-2</v>
      </c>
    </row>
    <row r="1177" spans="1:3" x14ac:dyDescent="0.35">
      <c r="A1177">
        <v>35</v>
      </c>
      <c r="B1177">
        <v>1990</v>
      </c>
      <c r="C1177">
        <v>-2.4799999999999999E-2</v>
      </c>
    </row>
    <row r="1178" spans="1:3" x14ac:dyDescent="0.35">
      <c r="A1178">
        <v>35</v>
      </c>
      <c r="B1178">
        <v>1991</v>
      </c>
      <c r="C1178">
        <v>-1.35E-2</v>
      </c>
    </row>
    <row r="1179" spans="1:3" x14ac:dyDescent="0.35">
      <c r="A1179">
        <v>35</v>
      </c>
      <c r="B1179">
        <v>1992</v>
      </c>
      <c r="C1179">
        <v>5.0000000000000001E-4</v>
      </c>
    </row>
    <row r="1180" spans="1:3" x14ac:dyDescent="0.35">
      <c r="A1180">
        <v>35</v>
      </c>
      <c r="B1180">
        <v>1993</v>
      </c>
      <c r="C1180">
        <v>1.67E-2</v>
      </c>
    </row>
    <row r="1181" spans="1:3" x14ac:dyDescent="0.35">
      <c r="A1181">
        <v>35</v>
      </c>
      <c r="B1181">
        <v>1994</v>
      </c>
      <c r="C1181">
        <v>3.39E-2</v>
      </c>
    </row>
    <row r="1182" spans="1:3" x14ac:dyDescent="0.35">
      <c r="A1182">
        <v>35</v>
      </c>
      <c r="B1182">
        <v>1995</v>
      </c>
      <c r="C1182">
        <v>4.9599999999999998E-2</v>
      </c>
    </row>
    <row r="1183" spans="1:3" x14ac:dyDescent="0.35">
      <c r="A1183">
        <v>35</v>
      </c>
      <c r="B1183">
        <v>1996</v>
      </c>
      <c r="C1183">
        <v>6.0499999999999998E-2</v>
      </c>
    </row>
    <row r="1184" spans="1:3" x14ac:dyDescent="0.35">
      <c r="A1184">
        <v>35</v>
      </c>
      <c r="B1184">
        <v>1997</v>
      </c>
      <c r="C1184">
        <v>6.3799999999999996E-2</v>
      </c>
    </row>
    <row r="1185" spans="1:3" x14ac:dyDescent="0.35">
      <c r="A1185">
        <v>35</v>
      </c>
      <c r="B1185">
        <v>1998</v>
      </c>
      <c r="C1185">
        <v>5.9299999999999999E-2</v>
      </c>
    </row>
    <row r="1186" spans="1:3" x14ac:dyDescent="0.35">
      <c r="A1186">
        <v>35</v>
      </c>
      <c r="B1186">
        <v>1999</v>
      </c>
      <c r="C1186">
        <v>4.8899999999999999E-2</v>
      </c>
    </row>
    <row r="1187" spans="1:3" x14ac:dyDescent="0.35">
      <c r="A1187">
        <v>35</v>
      </c>
      <c r="B1187">
        <v>2000</v>
      </c>
      <c r="C1187">
        <v>3.5999999999999997E-2</v>
      </c>
    </row>
    <row r="1188" spans="1:3" x14ac:dyDescent="0.35">
      <c r="A1188">
        <v>35</v>
      </c>
      <c r="B1188">
        <v>2001</v>
      </c>
      <c r="C1188">
        <v>2.4E-2</v>
      </c>
    </row>
    <row r="1189" spans="1:3" x14ac:dyDescent="0.35">
      <c r="A1189">
        <v>35</v>
      </c>
      <c r="B1189">
        <v>2002</v>
      </c>
      <c r="C1189">
        <v>1.49E-2</v>
      </c>
    </row>
    <row r="1190" spans="1:3" x14ac:dyDescent="0.35">
      <c r="A1190">
        <v>35</v>
      </c>
      <c r="B1190">
        <v>2003</v>
      </c>
      <c r="C1190">
        <v>9.2999999999999992E-3</v>
      </c>
    </row>
    <row r="1191" spans="1:3" x14ac:dyDescent="0.35">
      <c r="A1191">
        <v>35</v>
      </c>
      <c r="B1191">
        <v>2004</v>
      </c>
      <c r="C1191">
        <v>6.7000000000000002E-3</v>
      </c>
    </row>
    <row r="1192" spans="1:3" x14ac:dyDescent="0.35">
      <c r="A1192">
        <v>35</v>
      </c>
      <c r="B1192">
        <v>2005</v>
      </c>
      <c r="C1192">
        <v>6.1999999999999998E-3</v>
      </c>
    </row>
    <row r="1193" spans="1:3" x14ac:dyDescent="0.35">
      <c r="A1193">
        <v>35</v>
      </c>
      <c r="B1193">
        <v>2006</v>
      </c>
      <c r="C1193">
        <v>6.8999999999999999E-3</v>
      </c>
    </row>
    <row r="1194" spans="1:3" x14ac:dyDescent="0.35">
      <c r="A1194">
        <v>35</v>
      </c>
      <c r="B1194">
        <v>2007</v>
      </c>
      <c r="C1194">
        <v>8.0999999999999996E-3</v>
      </c>
    </row>
    <row r="1195" spans="1:3" x14ac:dyDescent="0.35">
      <c r="A1195">
        <v>35</v>
      </c>
      <c r="B1195">
        <v>2008</v>
      </c>
      <c r="C1195">
        <v>8.5000000000000006E-3</v>
      </c>
    </row>
    <row r="1196" spans="1:3" x14ac:dyDescent="0.35">
      <c r="A1196">
        <v>35</v>
      </c>
      <c r="B1196">
        <v>2009</v>
      </c>
      <c r="C1196">
        <v>7.6E-3</v>
      </c>
    </row>
    <row r="1197" spans="1:3" x14ac:dyDescent="0.35">
      <c r="A1197">
        <v>35</v>
      </c>
      <c r="B1197">
        <v>2010</v>
      </c>
      <c r="C1197">
        <v>4.7999999999999996E-3</v>
      </c>
    </row>
    <row r="1198" spans="1:3" x14ac:dyDescent="0.35">
      <c r="A1198">
        <v>35</v>
      </c>
      <c r="B1198">
        <v>2011</v>
      </c>
      <c r="C1198">
        <v>2.0000000000000001E-4</v>
      </c>
    </row>
    <row r="1199" spans="1:3" x14ac:dyDescent="0.35">
      <c r="A1199">
        <v>35</v>
      </c>
      <c r="B1199">
        <v>2012</v>
      </c>
      <c r="C1199">
        <v>-5.7000000000000002E-3</v>
      </c>
    </row>
    <row r="1200" spans="1:3" x14ac:dyDescent="0.35">
      <c r="A1200">
        <v>35</v>
      </c>
      <c r="B1200">
        <v>2013</v>
      </c>
      <c r="C1200">
        <v>-6.1000000000000004E-3</v>
      </c>
    </row>
    <row r="1201" spans="1:3" x14ac:dyDescent="0.35">
      <c r="A1201">
        <v>35</v>
      </c>
      <c r="B1201">
        <v>2014</v>
      </c>
      <c r="C1201">
        <v>-5.5999999999999999E-3</v>
      </c>
    </row>
    <row r="1202" spans="1:3" x14ac:dyDescent="0.35">
      <c r="A1202">
        <v>35</v>
      </c>
      <c r="B1202">
        <v>2015</v>
      </c>
      <c r="C1202">
        <v>-4.3E-3</v>
      </c>
    </row>
    <row r="1203" spans="1:3" x14ac:dyDescent="0.35">
      <c r="A1203">
        <v>35</v>
      </c>
      <c r="B1203">
        <v>2016</v>
      </c>
      <c r="C1203">
        <v>-2.3999999999999998E-3</v>
      </c>
    </row>
    <row r="1204" spans="1:3" x14ac:dyDescent="0.35">
      <c r="A1204">
        <v>35</v>
      </c>
      <c r="B1204">
        <v>2017</v>
      </c>
      <c r="C1204">
        <v>0</v>
      </c>
    </row>
    <row r="1205" spans="1:3" x14ac:dyDescent="0.35">
      <c r="A1205">
        <v>35</v>
      </c>
      <c r="B1205">
        <v>2018</v>
      </c>
      <c r="C1205">
        <v>2.5000000000000001E-3</v>
      </c>
    </row>
    <row r="1206" spans="1:3" x14ac:dyDescent="0.35">
      <c r="A1206">
        <v>35</v>
      </c>
      <c r="B1206">
        <v>2019</v>
      </c>
      <c r="C1206">
        <v>5.1000000000000004E-3</v>
      </c>
    </row>
    <row r="1207" spans="1:3" x14ac:dyDescent="0.35">
      <c r="A1207">
        <v>35</v>
      </c>
      <c r="B1207">
        <v>2020</v>
      </c>
      <c r="C1207">
        <v>7.4999999999999997E-3</v>
      </c>
    </row>
    <row r="1208" spans="1:3" x14ac:dyDescent="0.35">
      <c r="A1208">
        <v>35</v>
      </c>
      <c r="B1208">
        <v>2021</v>
      </c>
      <c r="C1208">
        <v>9.4000000000000004E-3</v>
      </c>
    </row>
    <row r="1209" spans="1:3" x14ac:dyDescent="0.35">
      <c r="A1209">
        <v>35</v>
      </c>
      <c r="B1209">
        <v>2022</v>
      </c>
      <c r="C1209">
        <v>1.0699999999999999E-2</v>
      </c>
    </row>
    <row r="1210" spans="1:3" x14ac:dyDescent="0.35">
      <c r="A1210">
        <v>35</v>
      </c>
      <c r="B1210">
        <v>2023</v>
      </c>
      <c r="C1210">
        <v>1.14E-2</v>
      </c>
    </row>
    <row r="1211" spans="1:3" x14ac:dyDescent="0.35">
      <c r="A1211">
        <v>35</v>
      </c>
      <c r="B1211">
        <v>2024</v>
      </c>
      <c r="C1211">
        <v>1.1900000000000001E-2</v>
      </c>
    </row>
    <row r="1212" spans="1:3" x14ac:dyDescent="0.35">
      <c r="A1212">
        <v>35</v>
      </c>
      <c r="B1212">
        <v>2025</v>
      </c>
      <c r="C1212">
        <v>1.21E-2</v>
      </c>
    </row>
    <row r="1213" spans="1:3" x14ac:dyDescent="0.35">
      <c r="A1213">
        <v>35</v>
      </c>
      <c r="B1213">
        <v>2026</v>
      </c>
      <c r="C1213">
        <v>1.2E-2</v>
      </c>
    </row>
    <row r="1214" spans="1:3" x14ac:dyDescent="0.35">
      <c r="A1214">
        <v>35</v>
      </c>
      <c r="B1214">
        <v>2027</v>
      </c>
      <c r="C1214">
        <v>1.17E-2</v>
      </c>
    </row>
    <row r="1215" spans="1:3" x14ac:dyDescent="0.35">
      <c r="A1215">
        <v>35</v>
      </c>
      <c r="B1215">
        <v>2028</v>
      </c>
      <c r="C1215">
        <v>1.11E-2</v>
      </c>
    </row>
    <row r="1216" spans="1:3" x14ac:dyDescent="0.35">
      <c r="A1216">
        <v>35</v>
      </c>
      <c r="B1216">
        <v>2029</v>
      </c>
      <c r="C1216">
        <v>1.0699999999999999E-2</v>
      </c>
    </row>
    <row r="1217" spans="1:3" x14ac:dyDescent="0.35">
      <c r="A1217">
        <v>35</v>
      </c>
      <c r="B1217">
        <v>2030</v>
      </c>
      <c r="C1217">
        <v>1.03E-2</v>
      </c>
    </row>
    <row r="1218" spans="1:3" x14ac:dyDescent="0.35">
      <c r="A1218">
        <v>35</v>
      </c>
      <c r="B1218">
        <v>2031</v>
      </c>
      <c r="C1218">
        <v>1.01E-2</v>
      </c>
    </row>
    <row r="1219" spans="1:3" x14ac:dyDescent="0.35">
      <c r="A1219">
        <v>36</v>
      </c>
      <c r="B1219">
        <v>1951</v>
      </c>
      <c r="C1219">
        <v>3.9800000000000002E-2</v>
      </c>
    </row>
    <row r="1220" spans="1:3" x14ac:dyDescent="0.35">
      <c r="A1220">
        <v>36</v>
      </c>
      <c r="B1220">
        <v>1952</v>
      </c>
      <c r="C1220">
        <v>3.5200000000000002E-2</v>
      </c>
    </row>
    <row r="1221" spans="1:3" x14ac:dyDescent="0.35">
      <c r="A1221">
        <v>36</v>
      </c>
      <c r="B1221">
        <v>1953</v>
      </c>
      <c r="C1221">
        <v>3.0499999999999999E-2</v>
      </c>
    </row>
    <row r="1222" spans="1:3" x14ac:dyDescent="0.35">
      <c r="A1222">
        <v>36</v>
      </c>
      <c r="B1222">
        <v>1954</v>
      </c>
      <c r="C1222">
        <v>2.5399999999999999E-2</v>
      </c>
    </row>
    <row r="1223" spans="1:3" x14ac:dyDescent="0.35">
      <c r="A1223">
        <v>36</v>
      </c>
      <c r="B1223">
        <v>1955</v>
      </c>
      <c r="C1223">
        <v>0.02</v>
      </c>
    </row>
    <row r="1224" spans="1:3" x14ac:dyDescent="0.35">
      <c r="A1224">
        <v>36</v>
      </c>
      <c r="B1224">
        <v>1956</v>
      </c>
      <c r="C1224">
        <v>1.47E-2</v>
      </c>
    </row>
    <row r="1225" spans="1:3" x14ac:dyDescent="0.35">
      <c r="A1225">
        <v>36</v>
      </c>
      <c r="B1225">
        <v>1957</v>
      </c>
      <c r="C1225">
        <v>9.5999999999999992E-3</v>
      </c>
    </row>
    <row r="1226" spans="1:3" x14ac:dyDescent="0.35">
      <c r="A1226">
        <v>36</v>
      </c>
      <c r="B1226">
        <v>1958</v>
      </c>
      <c r="C1226">
        <v>5.1000000000000004E-3</v>
      </c>
    </row>
    <row r="1227" spans="1:3" x14ac:dyDescent="0.35">
      <c r="A1227">
        <v>36</v>
      </c>
      <c r="B1227">
        <v>1959</v>
      </c>
      <c r="C1227">
        <v>1.1000000000000001E-3</v>
      </c>
    </row>
    <row r="1228" spans="1:3" x14ac:dyDescent="0.35">
      <c r="A1228">
        <v>36</v>
      </c>
      <c r="B1228">
        <v>1960</v>
      </c>
      <c r="C1228">
        <v>-2.8E-3</v>
      </c>
    </row>
    <row r="1229" spans="1:3" x14ac:dyDescent="0.35">
      <c r="A1229">
        <v>36</v>
      </c>
      <c r="B1229">
        <v>1961</v>
      </c>
      <c r="C1229">
        <v>-6.4999999999999997E-3</v>
      </c>
    </row>
    <row r="1230" spans="1:3" x14ac:dyDescent="0.35">
      <c r="A1230">
        <v>36</v>
      </c>
      <c r="B1230">
        <v>1962</v>
      </c>
      <c r="C1230">
        <v>-9.9000000000000008E-3</v>
      </c>
    </row>
    <row r="1231" spans="1:3" x14ac:dyDescent="0.35">
      <c r="A1231">
        <v>36</v>
      </c>
      <c r="B1231">
        <v>1963</v>
      </c>
      <c r="C1231">
        <v>-1.29E-2</v>
      </c>
    </row>
    <row r="1232" spans="1:3" x14ac:dyDescent="0.35">
      <c r="A1232">
        <v>36</v>
      </c>
      <c r="B1232">
        <v>1964</v>
      </c>
      <c r="C1232">
        <v>-1.49E-2</v>
      </c>
    </row>
    <row r="1233" spans="1:3" x14ac:dyDescent="0.35">
      <c r="A1233">
        <v>36</v>
      </c>
      <c r="B1233">
        <v>1965</v>
      </c>
      <c r="C1233">
        <v>-1.5699999999999999E-2</v>
      </c>
    </row>
    <row r="1234" spans="1:3" x14ac:dyDescent="0.35">
      <c r="A1234">
        <v>36</v>
      </c>
      <c r="B1234">
        <v>1966</v>
      </c>
      <c r="C1234">
        <v>-1.5100000000000001E-2</v>
      </c>
    </row>
    <row r="1235" spans="1:3" x14ac:dyDescent="0.35">
      <c r="A1235">
        <v>36</v>
      </c>
      <c r="B1235">
        <v>1967</v>
      </c>
      <c r="C1235">
        <v>-1.2800000000000001E-2</v>
      </c>
    </row>
    <row r="1236" spans="1:3" x14ac:dyDescent="0.35">
      <c r="A1236">
        <v>36</v>
      </c>
      <c r="B1236">
        <v>1968</v>
      </c>
      <c r="C1236">
        <v>-8.6999999999999994E-3</v>
      </c>
    </row>
    <row r="1237" spans="1:3" x14ac:dyDescent="0.35">
      <c r="A1237">
        <v>36</v>
      </c>
      <c r="B1237">
        <v>1969</v>
      </c>
      <c r="C1237">
        <v>-3.0000000000000001E-3</v>
      </c>
    </row>
    <row r="1238" spans="1:3" x14ac:dyDescent="0.35">
      <c r="A1238">
        <v>36</v>
      </c>
      <c r="B1238">
        <v>1970</v>
      </c>
      <c r="C1238">
        <v>4.0000000000000001E-3</v>
      </c>
    </row>
    <row r="1239" spans="1:3" x14ac:dyDescent="0.35">
      <c r="A1239">
        <v>36</v>
      </c>
      <c r="B1239">
        <v>1971</v>
      </c>
      <c r="C1239">
        <v>1.14E-2</v>
      </c>
    </row>
    <row r="1240" spans="1:3" x14ac:dyDescent="0.35">
      <c r="A1240">
        <v>36</v>
      </c>
      <c r="B1240">
        <v>1972</v>
      </c>
      <c r="C1240">
        <v>1.8499999999999999E-2</v>
      </c>
    </row>
    <row r="1241" spans="1:3" x14ac:dyDescent="0.35">
      <c r="A1241">
        <v>36</v>
      </c>
      <c r="B1241">
        <v>1973</v>
      </c>
      <c r="C1241">
        <v>2.4799999999999999E-2</v>
      </c>
    </row>
    <row r="1242" spans="1:3" x14ac:dyDescent="0.35">
      <c r="A1242">
        <v>36</v>
      </c>
      <c r="B1242">
        <v>1974</v>
      </c>
      <c r="C1242">
        <v>2.9600000000000001E-2</v>
      </c>
    </row>
    <row r="1243" spans="1:3" x14ac:dyDescent="0.35">
      <c r="A1243">
        <v>36</v>
      </c>
      <c r="B1243">
        <v>1975</v>
      </c>
      <c r="C1243">
        <v>3.2300000000000002E-2</v>
      </c>
    </row>
    <row r="1244" spans="1:3" x14ac:dyDescent="0.35">
      <c r="A1244">
        <v>36</v>
      </c>
      <c r="B1244">
        <v>1976</v>
      </c>
      <c r="C1244">
        <v>3.2899999999999999E-2</v>
      </c>
    </row>
    <row r="1245" spans="1:3" x14ac:dyDescent="0.35">
      <c r="A1245">
        <v>36</v>
      </c>
      <c r="B1245">
        <v>1977</v>
      </c>
      <c r="C1245">
        <v>3.1600000000000003E-2</v>
      </c>
    </row>
    <row r="1246" spans="1:3" x14ac:dyDescent="0.35">
      <c r="A1246">
        <v>36</v>
      </c>
      <c r="B1246">
        <v>1978</v>
      </c>
      <c r="C1246">
        <v>2.8799999999999999E-2</v>
      </c>
    </row>
    <row r="1247" spans="1:3" x14ac:dyDescent="0.35">
      <c r="A1247">
        <v>36</v>
      </c>
      <c r="B1247">
        <v>1979</v>
      </c>
      <c r="C1247">
        <v>2.47E-2</v>
      </c>
    </row>
    <row r="1248" spans="1:3" x14ac:dyDescent="0.35">
      <c r="A1248">
        <v>36</v>
      </c>
      <c r="B1248">
        <v>1980</v>
      </c>
      <c r="C1248">
        <v>1.9199999999999998E-2</v>
      </c>
    </row>
    <row r="1249" spans="1:3" x14ac:dyDescent="0.35">
      <c r="A1249">
        <v>36</v>
      </c>
      <c r="B1249">
        <v>1981</v>
      </c>
      <c r="C1249">
        <v>1.23E-2</v>
      </c>
    </row>
    <row r="1250" spans="1:3" x14ac:dyDescent="0.35">
      <c r="A1250">
        <v>36</v>
      </c>
      <c r="B1250">
        <v>1982</v>
      </c>
      <c r="C1250">
        <v>3.5999999999999999E-3</v>
      </c>
    </row>
    <row r="1251" spans="1:3" x14ac:dyDescent="0.35">
      <c r="A1251">
        <v>36</v>
      </c>
      <c r="B1251">
        <v>1983</v>
      </c>
      <c r="C1251">
        <v>-6.7000000000000002E-3</v>
      </c>
    </row>
    <row r="1252" spans="1:3" x14ac:dyDescent="0.35">
      <c r="A1252">
        <v>36</v>
      </c>
      <c r="B1252">
        <v>1984</v>
      </c>
      <c r="C1252">
        <v>-1.77E-2</v>
      </c>
    </row>
    <row r="1253" spans="1:3" x14ac:dyDescent="0.35">
      <c r="A1253">
        <v>36</v>
      </c>
      <c r="B1253">
        <v>1985</v>
      </c>
      <c r="C1253">
        <v>-2.7699999999999999E-2</v>
      </c>
    </row>
    <row r="1254" spans="1:3" x14ac:dyDescent="0.35">
      <c r="A1254">
        <v>36</v>
      </c>
      <c r="B1254">
        <v>1986</v>
      </c>
      <c r="C1254">
        <v>-3.5099999999999999E-2</v>
      </c>
    </row>
    <row r="1255" spans="1:3" x14ac:dyDescent="0.35">
      <c r="A1255">
        <v>36</v>
      </c>
      <c r="B1255">
        <v>1987</v>
      </c>
      <c r="C1255">
        <v>-3.8699999999999998E-2</v>
      </c>
    </row>
    <row r="1256" spans="1:3" x14ac:dyDescent="0.35">
      <c r="A1256">
        <v>36</v>
      </c>
      <c r="B1256">
        <v>1988</v>
      </c>
      <c r="C1256">
        <v>-3.8100000000000002E-2</v>
      </c>
    </row>
    <row r="1257" spans="1:3" x14ac:dyDescent="0.35">
      <c r="A1257">
        <v>36</v>
      </c>
      <c r="B1257">
        <v>1989</v>
      </c>
      <c r="C1257">
        <v>-3.3799999999999997E-2</v>
      </c>
    </row>
    <row r="1258" spans="1:3" x14ac:dyDescent="0.35">
      <c r="A1258">
        <v>36</v>
      </c>
      <c r="B1258">
        <v>1990</v>
      </c>
      <c r="C1258">
        <v>-2.5999999999999999E-2</v>
      </c>
    </row>
    <row r="1259" spans="1:3" x14ac:dyDescent="0.35">
      <c r="A1259">
        <v>36</v>
      </c>
      <c r="B1259">
        <v>1991</v>
      </c>
      <c r="C1259">
        <v>-1.5299999999999999E-2</v>
      </c>
    </row>
    <row r="1260" spans="1:3" x14ac:dyDescent="0.35">
      <c r="A1260">
        <v>36</v>
      </c>
      <c r="B1260">
        <v>1992</v>
      </c>
      <c r="C1260">
        <v>-1.8E-3</v>
      </c>
    </row>
    <row r="1261" spans="1:3" x14ac:dyDescent="0.35">
      <c r="A1261">
        <v>36</v>
      </c>
      <c r="B1261">
        <v>1993</v>
      </c>
      <c r="C1261">
        <v>1.4E-2</v>
      </c>
    </row>
    <row r="1262" spans="1:3" x14ac:dyDescent="0.35">
      <c r="A1262">
        <v>36</v>
      </c>
      <c r="B1262">
        <v>1994</v>
      </c>
      <c r="C1262">
        <v>3.0800000000000001E-2</v>
      </c>
    </row>
    <row r="1263" spans="1:3" x14ac:dyDescent="0.35">
      <c r="A1263">
        <v>36</v>
      </c>
      <c r="B1263">
        <v>1995</v>
      </c>
      <c r="C1263">
        <v>4.6100000000000002E-2</v>
      </c>
    </row>
    <row r="1264" spans="1:3" x14ac:dyDescent="0.35">
      <c r="A1264">
        <v>36</v>
      </c>
      <c r="B1264">
        <v>1996</v>
      </c>
      <c r="C1264">
        <v>5.7000000000000002E-2</v>
      </c>
    </row>
    <row r="1265" spans="1:3" x14ac:dyDescent="0.35">
      <c r="A1265">
        <v>36</v>
      </c>
      <c r="B1265">
        <v>1997</v>
      </c>
      <c r="C1265">
        <v>6.0499999999999998E-2</v>
      </c>
    </row>
    <row r="1266" spans="1:3" x14ac:dyDescent="0.35">
      <c r="A1266">
        <v>36</v>
      </c>
      <c r="B1266">
        <v>1998</v>
      </c>
      <c r="C1266">
        <v>5.6399999999999999E-2</v>
      </c>
    </row>
    <row r="1267" spans="1:3" x14ac:dyDescent="0.35">
      <c r="A1267">
        <v>36</v>
      </c>
      <c r="B1267">
        <v>1999</v>
      </c>
      <c r="C1267">
        <v>4.6800000000000001E-2</v>
      </c>
    </row>
    <row r="1268" spans="1:3" x14ac:dyDescent="0.35">
      <c r="A1268">
        <v>36</v>
      </c>
      <c r="B1268">
        <v>2000</v>
      </c>
      <c r="C1268">
        <v>3.5000000000000003E-2</v>
      </c>
    </row>
    <row r="1269" spans="1:3" x14ac:dyDescent="0.35">
      <c r="A1269">
        <v>36</v>
      </c>
      <c r="B1269">
        <v>2001</v>
      </c>
      <c r="C1269">
        <v>2.41E-2</v>
      </c>
    </row>
    <row r="1270" spans="1:3" x14ac:dyDescent="0.35">
      <c r="A1270">
        <v>36</v>
      </c>
      <c r="B1270">
        <v>2002</v>
      </c>
      <c r="C1270">
        <v>1.6199999999999999E-2</v>
      </c>
    </row>
    <row r="1271" spans="1:3" x14ac:dyDescent="0.35">
      <c r="A1271">
        <v>36</v>
      </c>
      <c r="B1271">
        <v>2003</v>
      </c>
      <c r="C1271">
        <v>1.1599999999999999E-2</v>
      </c>
    </row>
    <row r="1272" spans="1:3" x14ac:dyDescent="0.35">
      <c r="A1272">
        <v>36</v>
      </c>
      <c r="B1272">
        <v>2004</v>
      </c>
      <c r="C1272">
        <v>9.7999999999999997E-3</v>
      </c>
    </row>
    <row r="1273" spans="1:3" x14ac:dyDescent="0.35">
      <c r="A1273">
        <v>36</v>
      </c>
      <c r="B1273">
        <v>2005</v>
      </c>
      <c r="C1273">
        <v>9.7999999999999997E-3</v>
      </c>
    </row>
    <row r="1274" spans="1:3" x14ac:dyDescent="0.35">
      <c r="A1274">
        <v>36</v>
      </c>
      <c r="B1274">
        <v>2006</v>
      </c>
      <c r="C1274">
        <v>1.0699999999999999E-2</v>
      </c>
    </row>
    <row r="1275" spans="1:3" x14ac:dyDescent="0.35">
      <c r="A1275">
        <v>36</v>
      </c>
      <c r="B1275">
        <v>2007</v>
      </c>
      <c r="C1275">
        <v>1.18E-2</v>
      </c>
    </row>
    <row r="1276" spans="1:3" x14ac:dyDescent="0.35">
      <c r="A1276">
        <v>36</v>
      </c>
      <c r="B1276">
        <v>2008</v>
      </c>
      <c r="C1276">
        <v>1.2E-2</v>
      </c>
    </row>
    <row r="1277" spans="1:3" x14ac:dyDescent="0.35">
      <c r="A1277">
        <v>36</v>
      </c>
      <c r="B1277">
        <v>2009</v>
      </c>
      <c r="C1277">
        <v>1.0699999999999999E-2</v>
      </c>
    </row>
    <row r="1278" spans="1:3" x14ac:dyDescent="0.35">
      <c r="A1278">
        <v>36</v>
      </c>
      <c r="B1278">
        <v>2010</v>
      </c>
      <c r="C1278">
        <v>7.6E-3</v>
      </c>
    </row>
    <row r="1279" spans="1:3" x14ac:dyDescent="0.35">
      <c r="A1279">
        <v>36</v>
      </c>
      <c r="B1279">
        <v>2011</v>
      </c>
      <c r="C1279">
        <v>2.7000000000000001E-3</v>
      </c>
    </row>
    <row r="1280" spans="1:3" x14ac:dyDescent="0.35">
      <c r="A1280">
        <v>36</v>
      </c>
      <c r="B1280">
        <v>2012</v>
      </c>
      <c r="C1280">
        <v>-3.5999999999999999E-3</v>
      </c>
    </row>
    <row r="1281" spans="1:3" x14ac:dyDescent="0.35">
      <c r="A1281">
        <v>36</v>
      </c>
      <c r="B1281">
        <v>2013</v>
      </c>
      <c r="C1281">
        <v>-4.4000000000000003E-3</v>
      </c>
    </row>
    <row r="1282" spans="1:3" x14ac:dyDescent="0.35">
      <c r="A1282">
        <v>36</v>
      </c>
      <c r="B1282">
        <v>2014</v>
      </c>
      <c r="C1282">
        <v>-4.4000000000000003E-3</v>
      </c>
    </row>
    <row r="1283" spans="1:3" x14ac:dyDescent="0.35">
      <c r="A1283">
        <v>36</v>
      </c>
      <c r="B1283">
        <v>2015</v>
      </c>
      <c r="C1283">
        <v>-3.5999999999999999E-3</v>
      </c>
    </row>
    <row r="1284" spans="1:3" x14ac:dyDescent="0.35">
      <c r="A1284">
        <v>36</v>
      </c>
      <c r="B1284">
        <v>2016</v>
      </c>
      <c r="C1284">
        <v>-2.2000000000000001E-3</v>
      </c>
    </row>
    <row r="1285" spans="1:3" x14ac:dyDescent="0.35">
      <c r="A1285">
        <v>36</v>
      </c>
      <c r="B1285">
        <v>2017</v>
      </c>
      <c r="C1285">
        <v>-2.9999999999999997E-4</v>
      </c>
    </row>
    <row r="1286" spans="1:3" x14ac:dyDescent="0.35">
      <c r="A1286">
        <v>36</v>
      </c>
      <c r="B1286">
        <v>2018</v>
      </c>
      <c r="C1286">
        <v>1.9E-3</v>
      </c>
    </row>
    <row r="1287" spans="1:3" x14ac:dyDescent="0.35">
      <c r="A1287">
        <v>36</v>
      </c>
      <c r="B1287">
        <v>2019</v>
      </c>
      <c r="C1287">
        <v>4.1999999999999997E-3</v>
      </c>
    </row>
    <row r="1288" spans="1:3" x14ac:dyDescent="0.35">
      <c r="A1288">
        <v>36</v>
      </c>
      <c r="B1288">
        <v>2020</v>
      </c>
      <c r="C1288">
        <v>6.4000000000000003E-3</v>
      </c>
    </row>
    <row r="1289" spans="1:3" x14ac:dyDescent="0.35">
      <c r="A1289">
        <v>36</v>
      </c>
      <c r="B1289">
        <v>2021</v>
      </c>
      <c r="C1289">
        <v>8.3000000000000001E-3</v>
      </c>
    </row>
    <row r="1290" spans="1:3" x14ac:dyDescent="0.35">
      <c r="A1290">
        <v>36</v>
      </c>
      <c r="B1290">
        <v>2022</v>
      </c>
      <c r="C1290">
        <v>9.5999999999999992E-3</v>
      </c>
    </row>
    <row r="1291" spans="1:3" x14ac:dyDescent="0.35">
      <c r="A1291">
        <v>36</v>
      </c>
      <c r="B1291">
        <v>2023</v>
      </c>
      <c r="C1291">
        <v>1.06E-2</v>
      </c>
    </row>
    <row r="1292" spans="1:3" x14ac:dyDescent="0.35">
      <c r="A1292">
        <v>36</v>
      </c>
      <c r="B1292">
        <v>2024</v>
      </c>
      <c r="C1292">
        <v>1.12E-2</v>
      </c>
    </row>
    <row r="1293" spans="1:3" x14ac:dyDescent="0.35">
      <c r="A1293">
        <v>36</v>
      </c>
      <c r="B1293">
        <v>2025</v>
      </c>
      <c r="C1293">
        <v>1.15E-2</v>
      </c>
    </row>
    <row r="1294" spans="1:3" x14ac:dyDescent="0.35">
      <c r="A1294">
        <v>36</v>
      </c>
      <c r="B1294">
        <v>2026</v>
      </c>
      <c r="C1294">
        <v>1.1599999999999999E-2</v>
      </c>
    </row>
    <row r="1295" spans="1:3" x14ac:dyDescent="0.35">
      <c r="A1295">
        <v>36</v>
      </c>
      <c r="B1295">
        <v>2027</v>
      </c>
      <c r="C1295">
        <v>1.14E-2</v>
      </c>
    </row>
    <row r="1296" spans="1:3" x14ac:dyDescent="0.35">
      <c r="A1296">
        <v>36</v>
      </c>
      <c r="B1296">
        <v>2028</v>
      </c>
      <c r="C1296">
        <v>1.11E-2</v>
      </c>
    </row>
    <row r="1297" spans="1:3" x14ac:dyDescent="0.35">
      <c r="A1297">
        <v>36</v>
      </c>
      <c r="B1297">
        <v>2029</v>
      </c>
      <c r="C1297">
        <v>1.0699999999999999E-2</v>
      </c>
    </row>
    <row r="1298" spans="1:3" x14ac:dyDescent="0.35">
      <c r="A1298">
        <v>36</v>
      </c>
      <c r="B1298">
        <v>2030</v>
      </c>
      <c r="C1298">
        <v>1.03E-2</v>
      </c>
    </row>
    <row r="1299" spans="1:3" x14ac:dyDescent="0.35">
      <c r="A1299">
        <v>36</v>
      </c>
      <c r="B1299">
        <v>2031</v>
      </c>
      <c r="C1299">
        <v>1.01E-2</v>
      </c>
    </row>
    <row r="1300" spans="1:3" x14ac:dyDescent="0.35">
      <c r="A1300">
        <v>37</v>
      </c>
      <c r="B1300">
        <v>1951</v>
      </c>
      <c r="C1300">
        <v>3.8800000000000001E-2</v>
      </c>
    </row>
    <row r="1301" spans="1:3" x14ac:dyDescent="0.35">
      <c r="A1301">
        <v>37</v>
      </c>
      <c r="B1301">
        <v>1952</v>
      </c>
      <c r="C1301">
        <v>3.4500000000000003E-2</v>
      </c>
    </row>
    <row r="1302" spans="1:3" x14ac:dyDescent="0.35">
      <c r="A1302">
        <v>37</v>
      </c>
      <c r="B1302">
        <v>1953</v>
      </c>
      <c r="C1302">
        <v>2.9899999999999999E-2</v>
      </c>
    </row>
    <row r="1303" spans="1:3" x14ac:dyDescent="0.35">
      <c r="A1303">
        <v>37</v>
      </c>
      <c r="B1303">
        <v>1954</v>
      </c>
      <c r="C1303">
        <v>2.5000000000000001E-2</v>
      </c>
    </row>
    <row r="1304" spans="1:3" x14ac:dyDescent="0.35">
      <c r="A1304">
        <v>37</v>
      </c>
      <c r="B1304">
        <v>1955</v>
      </c>
      <c r="C1304">
        <v>1.9800000000000002E-2</v>
      </c>
    </row>
    <row r="1305" spans="1:3" x14ac:dyDescent="0.35">
      <c r="A1305">
        <v>37</v>
      </c>
      <c r="B1305">
        <v>1956</v>
      </c>
      <c r="C1305">
        <v>1.46E-2</v>
      </c>
    </row>
    <row r="1306" spans="1:3" x14ac:dyDescent="0.35">
      <c r="A1306">
        <v>37</v>
      </c>
      <c r="B1306">
        <v>1957</v>
      </c>
      <c r="C1306">
        <v>9.7000000000000003E-3</v>
      </c>
    </row>
    <row r="1307" spans="1:3" x14ac:dyDescent="0.35">
      <c r="A1307">
        <v>37</v>
      </c>
      <c r="B1307">
        <v>1958</v>
      </c>
      <c r="C1307">
        <v>5.3E-3</v>
      </c>
    </row>
    <row r="1308" spans="1:3" x14ac:dyDescent="0.35">
      <c r="A1308">
        <v>37</v>
      </c>
      <c r="B1308">
        <v>1959</v>
      </c>
      <c r="C1308">
        <v>1.2999999999999999E-3</v>
      </c>
    </row>
    <row r="1309" spans="1:3" x14ac:dyDescent="0.35">
      <c r="A1309">
        <v>37</v>
      </c>
      <c r="B1309">
        <v>1960</v>
      </c>
      <c r="C1309">
        <v>-2.5000000000000001E-3</v>
      </c>
    </row>
    <row r="1310" spans="1:3" x14ac:dyDescent="0.35">
      <c r="A1310">
        <v>37</v>
      </c>
      <c r="B1310">
        <v>1961</v>
      </c>
      <c r="C1310">
        <v>-6.0000000000000001E-3</v>
      </c>
    </row>
    <row r="1311" spans="1:3" x14ac:dyDescent="0.35">
      <c r="A1311">
        <v>37</v>
      </c>
      <c r="B1311">
        <v>1962</v>
      </c>
      <c r="C1311">
        <v>-9.4000000000000004E-3</v>
      </c>
    </row>
    <row r="1312" spans="1:3" x14ac:dyDescent="0.35">
      <c r="A1312">
        <v>37</v>
      </c>
      <c r="B1312">
        <v>1963</v>
      </c>
      <c r="C1312">
        <v>-1.2200000000000001E-2</v>
      </c>
    </row>
    <row r="1313" spans="1:3" x14ac:dyDescent="0.35">
      <c r="A1313">
        <v>37</v>
      </c>
      <c r="B1313">
        <v>1964</v>
      </c>
      <c r="C1313">
        <v>-1.41E-2</v>
      </c>
    </row>
    <row r="1314" spans="1:3" x14ac:dyDescent="0.35">
      <c r="A1314">
        <v>37</v>
      </c>
      <c r="B1314">
        <v>1965</v>
      </c>
      <c r="C1314">
        <v>-1.4999999999999999E-2</v>
      </c>
    </row>
    <row r="1315" spans="1:3" x14ac:dyDescent="0.35">
      <c r="A1315">
        <v>37</v>
      </c>
      <c r="B1315">
        <v>1966</v>
      </c>
      <c r="C1315">
        <v>-1.43E-2</v>
      </c>
    </row>
    <row r="1316" spans="1:3" x14ac:dyDescent="0.35">
      <c r="A1316">
        <v>37</v>
      </c>
      <c r="B1316">
        <v>1967</v>
      </c>
      <c r="C1316">
        <v>-1.21E-2</v>
      </c>
    </row>
    <row r="1317" spans="1:3" x14ac:dyDescent="0.35">
      <c r="A1317">
        <v>37</v>
      </c>
      <c r="B1317">
        <v>1968</v>
      </c>
      <c r="C1317">
        <v>-8.0000000000000002E-3</v>
      </c>
    </row>
    <row r="1318" spans="1:3" x14ac:dyDescent="0.35">
      <c r="A1318">
        <v>37</v>
      </c>
      <c r="B1318">
        <v>1969</v>
      </c>
      <c r="C1318">
        <v>-2.2000000000000001E-3</v>
      </c>
    </row>
    <row r="1319" spans="1:3" x14ac:dyDescent="0.35">
      <c r="A1319">
        <v>37</v>
      </c>
      <c r="B1319">
        <v>1970</v>
      </c>
      <c r="C1319">
        <v>4.7000000000000002E-3</v>
      </c>
    </row>
    <row r="1320" spans="1:3" x14ac:dyDescent="0.35">
      <c r="A1320">
        <v>37</v>
      </c>
      <c r="B1320">
        <v>1971</v>
      </c>
      <c r="C1320">
        <v>1.21E-2</v>
      </c>
    </row>
    <row r="1321" spans="1:3" x14ac:dyDescent="0.35">
      <c r="A1321">
        <v>37</v>
      </c>
      <c r="B1321">
        <v>1972</v>
      </c>
      <c r="C1321">
        <v>1.9300000000000001E-2</v>
      </c>
    </row>
    <row r="1322" spans="1:3" x14ac:dyDescent="0.35">
      <c r="A1322">
        <v>37</v>
      </c>
      <c r="B1322">
        <v>1973</v>
      </c>
      <c r="C1322">
        <v>2.5499999999999998E-2</v>
      </c>
    </row>
    <row r="1323" spans="1:3" x14ac:dyDescent="0.35">
      <c r="A1323">
        <v>37</v>
      </c>
      <c r="B1323">
        <v>1974</v>
      </c>
      <c r="C1323">
        <v>3.0200000000000001E-2</v>
      </c>
    </row>
    <row r="1324" spans="1:3" x14ac:dyDescent="0.35">
      <c r="A1324">
        <v>37</v>
      </c>
      <c r="B1324">
        <v>1975</v>
      </c>
      <c r="C1324">
        <v>3.3099999999999997E-2</v>
      </c>
    </row>
    <row r="1325" spans="1:3" x14ac:dyDescent="0.35">
      <c r="A1325">
        <v>37</v>
      </c>
      <c r="B1325">
        <v>1976</v>
      </c>
      <c r="C1325">
        <v>3.39E-2</v>
      </c>
    </row>
    <row r="1326" spans="1:3" x14ac:dyDescent="0.35">
      <c r="A1326">
        <v>37</v>
      </c>
      <c r="B1326">
        <v>1977</v>
      </c>
      <c r="C1326">
        <v>3.3000000000000002E-2</v>
      </c>
    </row>
    <row r="1327" spans="1:3" x14ac:dyDescent="0.35">
      <c r="A1327">
        <v>37</v>
      </c>
      <c r="B1327">
        <v>1978</v>
      </c>
      <c r="C1327">
        <v>3.0700000000000002E-2</v>
      </c>
    </row>
    <row r="1328" spans="1:3" x14ac:dyDescent="0.35">
      <c r="A1328">
        <v>37</v>
      </c>
      <c r="B1328">
        <v>1979</v>
      </c>
      <c r="C1328">
        <v>2.7E-2</v>
      </c>
    </row>
    <row r="1329" spans="1:3" x14ac:dyDescent="0.35">
      <c r="A1329">
        <v>37</v>
      </c>
      <c r="B1329">
        <v>1980</v>
      </c>
      <c r="C1329">
        <v>2.1899999999999999E-2</v>
      </c>
    </row>
    <row r="1330" spans="1:3" x14ac:dyDescent="0.35">
      <c r="A1330">
        <v>37</v>
      </c>
      <c r="B1330">
        <v>1981</v>
      </c>
      <c r="C1330">
        <v>1.52E-2</v>
      </c>
    </row>
    <row r="1331" spans="1:3" x14ac:dyDescent="0.35">
      <c r="A1331">
        <v>37</v>
      </c>
      <c r="B1331">
        <v>1982</v>
      </c>
      <c r="C1331">
        <v>6.6E-3</v>
      </c>
    </row>
    <row r="1332" spans="1:3" x14ac:dyDescent="0.35">
      <c r="A1332">
        <v>37</v>
      </c>
      <c r="B1332">
        <v>1983</v>
      </c>
      <c r="C1332">
        <v>-3.5000000000000001E-3</v>
      </c>
    </row>
    <row r="1333" spans="1:3" x14ac:dyDescent="0.35">
      <c r="A1333">
        <v>37</v>
      </c>
      <c r="B1333">
        <v>1984</v>
      </c>
      <c r="C1333">
        <v>-1.4500000000000001E-2</v>
      </c>
    </row>
    <row r="1334" spans="1:3" x14ac:dyDescent="0.35">
      <c r="A1334">
        <v>37</v>
      </c>
      <c r="B1334">
        <v>1985</v>
      </c>
      <c r="C1334">
        <v>-2.46E-2</v>
      </c>
    </row>
    <row r="1335" spans="1:3" x14ac:dyDescent="0.35">
      <c r="A1335">
        <v>37</v>
      </c>
      <c r="B1335">
        <v>1986</v>
      </c>
      <c r="C1335">
        <v>-3.2199999999999999E-2</v>
      </c>
    </row>
    <row r="1336" spans="1:3" x14ac:dyDescent="0.35">
      <c r="A1336">
        <v>37</v>
      </c>
      <c r="B1336">
        <v>1987</v>
      </c>
      <c r="C1336">
        <v>-3.6400000000000002E-2</v>
      </c>
    </row>
    <row r="1337" spans="1:3" x14ac:dyDescent="0.35">
      <c r="A1337">
        <v>37</v>
      </c>
      <c r="B1337">
        <v>1988</v>
      </c>
      <c r="C1337">
        <v>-3.6700000000000003E-2</v>
      </c>
    </row>
    <row r="1338" spans="1:3" x14ac:dyDescent="0.35">
      <c r="A1338">
        <v>37</v>
      </c>
      <c r="B1338">
        <v>1989</v>
      </c>
      <c r="C1338">
        <v>-3.3300000000000003E-2</v>
      </c>
    </row>
    <row r="1339" spans="1:3" x14ac:dyDescent="0.35">
      <c r="A1339">
        <v>37</v>
      </c>
      <c r="B1339">
        <v>1990</v>
      </c>
      <c r="C1339">
        <v>-2.6499999999999999E-2</v>
      </c>
    </row>
    <row r="1340" spans="1:3" x14ac:dyDescent="0.35">
      <c r="A1340">
        <v>37</v>
      </c>
      <c r="B1340">
        <v>1991</v>
      </c>
      <c r="C1340">
        <v>-1.67E-2</v>
      </c>
    </row>
    <row r="1341" spans="1:3" x14ac:dyDescent="0.35">
      <c r="A1341">
        <v>37</v>
      </c>
      <c r="B1341">
        <v>1992</v>
      </c>
      <c r="C1341">
        <v>-4.0000000000000001E-3</v>
      </c>
    </row>
    <row r="1342" spans="1:3" x14ac:dyDescent="0.35">
      <c r="A1342">
        <v>37</v>
      </c>
      <c r="B1342">
        <v>1993</v>
      </c>
      <c r="C1342">
        <v>1.0999999999999999E-2</v>
      </c>
    </row>
    <row r="1343" spans="1:3" x14ac:dyDescent="0.35">
      <c r="A1343">
        <v>37</v>
      </c>
      <c r="B1343">
        <v>1994</v>
      </c>
      <c r="C1343">
        <v>2.7199999999999998E-2</v>
      </c>
    </row>
    <row r="1344" spans="1:3" x14ac:dyDescent="0.35">
      <c r="A1344">
        <v>37</v>
      </c>
      <c r="B1344">
        <v>1995</v>
      </c>
      <c r="C1344">
        <v>4.2099999999999999E-2</v>
      </c>
    </row>
    <row r="1345" spans="1:3" x14ac:dyDescent="0.35">
      <c r="A1345">
        <v>37</v>
      </c>
      <c r="B1345">
        <v>1996</v>
      </c>
      <c r="C1345">
        <v>5.2699999999999997E-2</v>
      </c>
    </row>
    <row r="1346" spans="1:3" x14ac:dyDescent="0.35">
      <c r="A1346">
        <v>37</v>
      </c>
      <c r="B1346">
        <v>1997</v>
      </c>
      <c r="C1346">
        <v>5.6399999999999999E-2</v>
      </c>
    </row>
    <row r="1347" spans="1:3" x14ac:dyDescent="0.35">
      <c r="A1347">
        <v>37</v>
      </c>
      <c r="B1347">
        <v>1998</v>
      </c>
      <c r="C1347">
        <v>5.28E-2</v>
      </c>
    </row>
    <row r="1348" spans="1:3" x14ac:dyDescent="0.35">
      <c r="A1348">
        <v>37</v>
      </c>
      <c r="B1348">
        <v>1999</v>
      </c>
      <c r="C1348">
        <v>4.3900000000000002E-2</v>
      </c>
    </row>
    <row r="1349" spans="1:3" x14ac:dyDescent="0.35">
      <c r="A1349">
        <v>37</v>
      </c>
      <c r="B1349">
        <v>2000</v>
      </c>
      <c r="C1349">
        <v>3.3099999999999997E-2</v>
      </c>
    </row>
    <row r="1350" spans="1:3" x14ac:dyDescent="0.35">
      <c r="A1350">
        <v>37</v>
      </c>
      <c r="B1350">
        <v>2001</v>
      </c>
      <c r="C1350">
        <v>2.3400000000000001E-2</v>
      </c>
    </row>
    <row r="1351" spans="1:3" x14ac:dyDescent="0.35">
      <c r="A1351">
        <v>37</v>
      </c>
      <c r="B1351">
        <v>2002</v>
      </c>
      <c r="C1351">
        <v>1.67E-2</v>
      </c>
    </row>
    <row r="1352" spans="1:3" x14ac:dyDescent="0.35">
      <c r="A1352">
        <v>37</v>
      </c>
      <c r="B1352">
        <v>2003</v>
      </c>
      <c r="C1352">
        <v>1.3100000000000001E-2</v>
      </c>
    </row>
    <row r="1353" spans="1:3" x14ac:dyDescent="0.35">
      <c r="A1353">
        <v>37</v>
      </c>
      <c r="B1353">
        <v>2004</v>
      </c>
      <c r="C1353">
        <v>1.2200000000000001E-2</v>
      </c>
    </row>
    <row r="1354" spans="1:3" x14ac:dyDescent="0.35">
      <c r="A1354">
        <v>37</v>
      </c>
      <c r="B1354">
        <v>2005</v>
      </c>
      <c r="C1354">
        <v>1.29E-2</v>
      </c>
    </row>
    <row r="1355" spans="1:3" x14ac:dyDescent="0.35">
      <c r="A1355">
        <v>37</v>
      </c>
      <c r="B1355">
        <v>2006</v>
      </c>
      <c r="C1355">
        <v>1.4200000000000001E-2</v>
      </c>
    </row>
    <row r="1356" spans="1:3" x14ac:dyDescent="0.35">
      <c r="A1356">
        <v>37</v>
      </c>
      <c r="B1356">
        <v>2007</v>
      </c>
      <c r="C1356">
        <v>1.54E-2</v>
      </c>
    </row>
    <row r="1357" spans="1:3" x14ac:dyDescent="0.35">
      <c r="A1357">
        <v>37</v>
      </c>
      <c r="B1357">
        <v>2008</v>
      </c>
      <c r="C1357">
        <v>1.5699999999999999E-2</v>
      </c>
    </row>
    <row r="1358" spans="1:3" x14ac:dyDescent="0.35">
      <c r="A1358">
        <v>37</v>
      </c>
      <c r="B1358">
        <v>2009</v>
      </c>
      <c r="C1358">
        <v>1.4200000000000001E-2</v>
      </c>
    </row>
    <row r="1359" spans="1:3" x14ac:dyDescent="0.35">
      <c r="A1359">
        <v>37</v>
      </c>
      <c r="B1359">
        <v>2010</v>
      </c>
      <c r="C1359">
        <v>1.09E-2</v>
      </c>
    </row>
    <row r="1360" spans="1:3" x14ac:dyDescent="0.35">
      <c r="A1360">
        <v>37</v>
      </c>
      <c r="B1360">
        <v>2011</v>
      </c>
      <c r="C1360">
        <v>5.7000000000000002E-3</v>
      </c>
    </row>
    <row r="1361" spans="1:3" x14ac:dyDescent="0.35">
      <c r="A1361">
        <v>37</v>
      </c>
      <c r="B1361">
        <v>2012</v>
      </c>
      <c r="C1361">
        <v>-8.0000000000000004E-4</v>
      </c>
    </row>
    <row r="1362" spans="1:3" x14ac:dyDescent="0.35">
      <c r="A1362">
        <v>37</v>
      </c>
      <c r="B1362">
        <v>2013</v>
      </c>
      <c r="C1362">
        <v>-2E-3</v>
      </c>
    </row>
    <row r="1363" spans="1:3" x14ac:dyDescent="0.35">
      <c r="A1363">
        <v>37</v>
      </c>
      <c r="B1363">
        <v>2014</v>
      </c>
      <c r="C1363">
        <v>-2.5000000000000001E-3</v>
      </c>
    </row>
    <row r="1364" spans="1:3" x14ac:dyDescent="0.35">
      <c r="A1364">
        <v>37</v>
      </c>
      <c r="B1364">
        <v>2015</v>
      </c>
      <c r="C1364">
        <v>-2.3E-3</v>
      </c>
    </row>
    <row r="1365" spans="1:3" x14ac:dyDescent="0.35">
      <c r="A1365">
        <v>37</v>
      </c>
      <c r="B1365">
        <v>2016</v>
      </c>
      <c r="C1365">
        <v>-1.4E-3</v>
      </c>
    </row>
    <row r="1366" spans="1:3" x14ac:dyDescent="0.35">
      <c r="A1366">
        <v>37</v>
      </c>
      <c r="B1366">
        <v>2017</v>
      </c>
      <c r="C1366">
        <v>-1E-4</v>
      </c>
    </row>
    <row r="1367" spans="1:3" x14ac:dyDescent="0.35">
      <c r="A1367">
        <v>37</v>
      </c>
      <c r="B1367">
        <v>2018</v>
      </c>
      <c r="C1367">
        <v>1.6999999999999999E-3</v>
      </c>
    </row>
    <row r="1368" spans="1:3" x14ac:dyDescent="0.35">
      <c r="A1368">
        <v>37</v>
      </c>
      <c r="B1368">
        <v>2019</v>
      </c>
      <c r="C1368">
        <v>3.5999999999999999E-3</v>
      </c>
    </row>
    <row r="1369" spans="1:3" x14ac:dyDescent="0.35">
      <c r="A1369">
        <v>37</v>
      </c>
      <c r="B1369">
        <v>2020</v>
      </c>
      <c r="C1369">
        <v>5.5999999999999999E-3</v>
      </c>
    </row>
    <row r="1370" spans="1:3" x14ac:dyDescent="0.35">
      <c r="A1370">
        <v>37</v>
      </c>
      <c r="B1370">
        <v>2021</v>
      </c>
      <c r="C1370">
        <v>7.3000000000000001E-3</v>
      </c>
    </row>
    <row r="1371" spans="1:3" x14ac:dyDescent="0.35">
      <c r="A1371">
        <v>37</v>
      </c>
      <c r="B1371">
        <v>2022</v>
      </c>
      <c r="C1371">
        <v>8.6999999999999994E-3</v>
      </c>
    </row>
    <row r="1372" spans="1:3" x14ac:dyDescent="0.35">
      <c r="A1372">
        <v>37</v>
      </c>
      <c r="B1372">
        <v>2023</v>
      </c>
      <c r="C1372">
        <v>9.7000000000000003E-3</v>
      </c>
    </row>
    <row r="1373" spans="1:3" x14ac:dyDescent="0.35">
      <c r="A1373">
        <v>37</v>
      </c>
      <c r="B1373">
        <v>2024</v>
      </c>
      <c r="C1373">
        <v>1.0500000000000001E-2</v>
      </c>
    </row>
    <row r="1374" spans="1:3" x14ac:dyDescent="0.35">
      <c r="A1374">
        <v>37</v>
      </c>
      <c r="B1374">
        <v>2025</v>
      </c>
      <c r="C1374">
        <v>1.09E-2</v>
      </c>
    </row>
    <row r="1375" spans="1:3" x14ac:dyDescent="0.35">
      <c r="A1375">
        <v>37</v>
      </c>
      <c r="B1375">
        <v>2026</v>
      </c>
      <c r="C1375">
        <v>1.12E-2</v>
      </c>
    </row>
    <row r="1376" spans="1:3" x14ac:dyDescent="0.35">
      <c r="A1376">
        <v>37</v>
      </c>
      <c r="B1376">
        <v>2027</v>
      </c>
      <c r="C1376">
        <v>1.12E-2</v>
      </c>
    </row>
    <row r="1377" spans="1:3" x14ac:dyDescent="0.35">
      <c r="A1377">
        <v>37</v>
      </c>
      <c r="B1377">
        <v>2028</v>
      </c>
      <c r="C1377">
        <v>1.0999999999999999E-2</v>
      </c>
    </row>
    <row r="1378" spans="1:3" x14ac:dyDescent="0.35">
      <c r="A1378">
        <v>37</v>
      </c>
      <c r="B1378">
        <v>2029</v>
      </c>
      <c r="C1378">
        <v>1.0699999999999999E-2</v>
      </c>
    </row>
    <row r="1379" spans="1:3" x14ac:dyDescent="0.35">
      <c r="A1379">
        <v>37</v>
      </c>
      <c r="B1379">
        <v>2030</v>
      </c>
      <c r="C1379">
        <v>1.03E-2</v>
      </c>
    </row>
    <row r="1380" spans="1:3" x14ac:dyDescent="0.35">
      <c r="A1380">
        <v>37</v>
      </c>
      <c r="B1380">
        <v>2031</v>
      </c>
      <c r="C1380">
        <v>1.01E-2</v>
      </c>
    </row>
    <row r="1381" spans="1:3" x14ac:dyDescent="0.35">
      <c r="A1381">
        <v>38</v>
      </c>
      <c r="B1381">
        <v>1951</v>
      </c>
      <c r="C1381">
        <v>3.7400000000000003E-2</v>
      </c>
    </row>
    <row r="1382" spans="1:3" x14ac:dyDescent="0.35">
      <c r="A1382">
        <v>38</v>
      </c>
      <c r="B1382">
        <v>1952</v>
      </c>
      <c r="C1382">
        <v>3.3399999999999999E-2</v>
      </c>
    </row>
    <row r="1383" spans="1:3" x14ac:dyDescent="0.35">
      <c r="A1383">
        <v>38</v>
      </c>
      <c r="B1383">
        <v>1953</v>
      </c>
      <c r="C1383">
        <v>2.92E-2</v>
      </c>
    </row>
    <row r="1384" spans="1:3" x14ac:dyDescent="0.35">
      <c r="A1384">
        <v>38</v>
      </c>
      <c r="B1384">
        <v>1954</v>
      </c>
      <c r="C1384">
        <v>2.46E-2</v>
      </c>
    </row>
    <row r="1385" spans="1:3" x14ac:dyDescent="0.35">
      <c r="A1385">
        <v>38</v>
      </c>
      <c r="B1385">
        <v>1955</v>
      </c>
      <c r="C1385">
        <v>1.9699999999999999E-2</v>
      </c>
    </row>
    <row r="1386" spans="1:3" x14ac:dyDescent="0.35">
      <c r="A1386">
        <v>38</v>
      </c>
      <c r="B1386">
        <v>1956</v>
      </c>
      <c r="C1386">
        <v>1.47E-2</v>
      </c>
    </row>
    <row r="1387" spans="1:3" x14ac:dyDescent="0.35">
      <c r="A1387">
        <v>38</v>
      </c>
      <c r="B1387">
        <v>1957</v>
      </c>
      <c r="C1387">
        <v>9.9000000000000008E-3</v>
      </c>
    </row>
    <row r="1388" spans="1:3" x14ac:dyDescent="0.35">
      <c r="A1388">
        <v>38</v>
      </c>
      <c r="B1388">
        <v>1958</v>
      </c>
      <c r="C1388">
        <v>5.7000000000000002E-3</v>
      </c>
    </row>
    <row r="1389" spans="1:3" x14ac:dyDescent="0.35">
      <c r="A1389">
        <v>38</v>
      </c>
      <c r="B1389">
        <v>1959</v>
      </c>
      <c r="C1389">
        <v>1.8E-3</v>
      </c>
    </row>
    <row r="1390" spans="1:3" x14ac:dyDescent="0.35">
      <c r="A1390">
        <v>38</v>
      </c>
      <c r="B1390">
        <v>1960</v>
      </c>
      <c r="C1390">
        <v>-1.9E-3</v>
      </c>
    </row>
    <row r="1391" spans="1:3" x14ac:dyDescent="0.35">
      <c r="A1391">
        <v>38</v>
      </c>
      <c r="B1391">
        <v>1961</v>
      </c>
      <c r="C1391">
        <v>-5.4000000000000003E-3</v>
      </c>
    </row>
    <row r="1392" spans="1:3" x14ac:dyDescent="0.35">
      <c r="A1392">
        <v>38</v>
      </c>
      <c r="B1392">
        <v>1962</v>
      </c>
      <c r="C1392">
        <v>-8.6999999999999994E-3</v>
      </c>
    </row>
    <row r="1393" spans="1:3" x14ac:dyDescent="0.35">
      <c r="A1393">
        <v>38</v>
      </c>
      <c r="B1393">
        <v>1963</v>
      </c>
      <c r="C1393">
        <v>-1.14E-2</v>
      </c>
    </row>
    <row r="1394" spans="1:3" x14ac:dyDescent="0.35">
      <c r="A1394">
        <v>38</v>
      </c>
      <c r="B1394">
        <v>1964</v>
      </c>
      <c r="C1394">
        <v>-1.3299999999999999E-2</v>
      </c>
    </row>
    <row r="1395" spans="1:3" x14ac:dyDescent="0.35">
      <c r="A1395">
        <v>38</v>
      </c>
      <c r="B1395">
        <v>1965</v>
      </c>
      <c r="C1395">
        <v>-1.41E-2</v>
      </c>
    </row>
    <row r="1396" spans="1:3" x14ac:dyDescent="0.35">
      <c r="A1396">
        <v>38</v>
      </c>
      <c r="B1396">
        <v>1966</v>
      </c>
      <c r="C1396">
        <v>-1.3599999999999999E-2</v>
      </c>
    </row>
    <row r="1397" spans="1:3" x14ac:dyDescent="0.35">
      <c r="A1397">
        <v>38</v>
      </c>
      <c r="B1397">
        <v>1967</v>
      </c>
      <c r="C1397">
        <v>-1.1299999999999999E-2</v>
      </c>
    </row>
    <row r="1398" spans="1:3" x14ac:dyDescent="0.35">
      <c r="A1398">
        <v>38</v>
      </c>
      <c r="B1398">
        <v>1968</v>
      </c>
      <c r="C1398">
        <v>-7.3000000000000001E-3</v>
      </c>
    </row>
    <row r="1399" spans="1:3" x14ac:dyDescent="0.35">
      <c r="A1399">
        <v>38</v>
      </c>
      <c r="B1399">
        <v>1969</v>
      </c>
      <c r="C1399">
        <v>-1.5E-3</v>
      </c>
    </row>
    <row r="1400" spans="1:3" x14ac:dyDescent="0.35">
      <c r="A1400">
        <v>38</v>
      </c>
      <c r="B1400">
        <v>1970</v>
      </c>
      <c r="C1400">
        <v>5.4000000000000003E-3</v>
      </c>
    </row>
    <row r="1401" spans="1:3" x14ac:dyDescent="0.35">
      <c r="A1401">
        <v>38</v>
      </c>
      <c r="B1401">
        <v>1971</v>
      </c>
      <c r="C1401">
        <v>1.2699999999999999E-2</v>
      </c>
    </row>
    <row r="1402" spans="1:3" x14ac:dyDescent="0.35">
      <c r="A1402">
        <v>38</v>
      </c>
      <c r="B1402">
        <v>1972</v>
      </c>
      <c r="C1402">
        <v>1.9800000000000002E-2</v>
      </c>
    </row>
    <row r="1403" spans="1:3" x14ac:dyDescent="0.35">
      <c r="A1403">
        <v>38</v>
      </c>
      <c r="B1403">
        <v>1973</v>
      </c>
      <c r="C1403">
        <v>2.5899999999999999E-2</v>
      </c>
    </row>
    <row r="1404" spans="1:3" x14ac:dyDescent="0.35">
      <c r="A1404">
        <v>38</v>
      </c>
      <c r="B1404">
        <v>1974</v>
      </c>
      <c r="C1404">
        <v>3.0599999999999999E-2</v>
      </c>
    </row>
    <row r="1405" spans="1:3" x14ac:dyDescent="0.35">
      <c r="A1405">
        <v>38</v>
      </c>
      <c r="B1405">
        <v>1975</v>
      </c>
      <c r="C1405">
        <v>3.3500000000000002E-2</v>
      </c>
    </row>
    <row r="1406" spans="1:3" x14ac:dyDescent="0.35">
      <c r="A1406">
        <v>38</v>
      </c>
      <c r="B1406">
        <v>1976</v>
      </c>
      <c r="C1406">
        <v>3.4599999999999999E-2</v>
      </c>
    </row>
    <row r="1407" spans="1:3" x14ac:dyDescent="0.35">
      <c r="A1407">
        <v>38</v>
      </c>
      <c r="B1407">
        <v>1977</v>
      </c>
      <c r="C1407">
        <v>3.4099999999999998E-2</v>
      </c>
    </row>
    <row r="1408" spans="1:3" x14ac:dyDescent="0.35">
      <c r="A1408">
        <v>38</v>
      </c>
      <c r="B1408">
        <v>1978</v>
      </c>
      <c r="C1408">
        <v>3.2199999999999999E-2</v>
      </c>
    </row>
    <row r="1409" spans="1:3" x14ac:dyDescent="0.35">
      <c r="A1409">
        <v>38</v>
      </c>
      <c r="B1409">
        <v>1979</v>
      </c>
      <c r="C1409">
        <v>2.9000000000000001E-2</v>
      </c>
    </row>
    <row r="1410" spans="1:3" x14ac:dyDescent="0.35">
      <c r="A1410">
        <v>38</v>
      </c>
      <c r="B1410">
        <v>1980</v>
      </c>
      <c r="C1410">
        <v>2.4299999999999999E-2</v>
      </c>
    </row>
    <row r="1411" spans="1:3" x14ac:dyDescent="0.35">
      <c r="A1411">
        <v>38</v>
      </c>
      <c r="B1411">
        <v>1981</v>
      </c>
      <c r="C1411">
        <v>1.7999999999999999E-2</v>
      </c>
    </row>
    <row r="1412" spans="1:3" x14ac:dyDescent="0.35">
      <c r="A1412">
        <v>38</v>
      </c>
      <c r="B1412">
        <v>1982</v>
      </c>
      <c r="C1412">
        <v>9.9000000000000008E-3</v>
      </c>
    </row>
    <row r="1413" spans="1:3" x14ac:dyDescent="0.35">
      <c r="A1413">
        <v>38</v>
      </c>
      <c r="B1413">
        <v>1983</v>
      </c>
      <c r="C1413">
        <v>1E-4</v>
      </c>
    </row>
    <row r="1414" spans="1:3" x14ac:dyDescent="0.35">
      <c r="A1414">
        <v>38</v>
      </c>
      <c r="B1414">
        <v>1984</v>
      </c>
      <c r="C1414">
        <v>-1.0500000000000001E-2</v>
      </c>
    </row>
    <row r="1415" spans="1:3" x14ac:dyDescent="0.35">
      <c r="A1415">
        <v>38</v>
      </c>
      <c r="B1415">
        <v>1985</v>
      </c>
      <c r="C1415">
        <v>-2.0400000000000001E-2</v>
      </c>
    </row>
    <row r="1416" spans="1:3" x14ac:dyDescent="0.35">
      <c r="A1416">
        <v>38</v>
      </c>
      <c r="B1416">
        <v>1986</v>
      </c>
      <c r="C1416">
        <v>-2.8199999999999999E-2</v>
      </c>
    </row>
    <row r="1417" spans="1:3" x14ac:dyDescent="0.35">
      <c r="A1417">
        <v>38</v>
      </c>
      <c r="B1417">
        <v>1987</v>
      </c>
      <c r="C1417">
        <v>-3.2899999999999999E-2</v>
      </c>
    </row>
    <row r="1418" spans="1:3" x14ac:dyDescent="0.35">
      <c r="A1418">
        <v>38</v>
      </c>
      <c r="B1418">
        <v>1988</v>
      </c>
      <c r="C1418">
        <v>-3.4099999999999998E-2</v>
      </c>
    </row>
    <row r="1419" spans="1:3" x14ac:dyDescent="0.35">
      <c r="A1419">
        <v>38</v>
      </c>
      <c r="B1419">
        <v>1989</v>
      </c>
      <c r="C1419">
        <v>-3.1800000000000002E-2</v>
      </c>
    </row>
    <row r="1420" spans="1:3" x14ac:dyDescent="0.35">
      <c r="A1420">
        <v>38</v>
      </c>
      <c r="B1420">
        <v>1990</v>
      </c>
      <c r="C1420">
        <v>-2.63E-2</v>
      </c>
    </row>
    <row r="1421" spans="1:3" x14ac:dyDescent="0.35">
      <c r="A1421">
        <v>38</v>
      </c>
      <c r="B1421">
        <v>1991</v>
      </c>
      <c r="C1421">
        <v>-1.77E-2</v>
      </c>
    </row>
    <row r="1422" spans="1:3" x14ac:dyDescent="0.35">
      <c r="A1422">
        <v>38</v>
      </c>
      <c r="B1422">
        <v>1992</v>
      </c>
      <c r="C1422">
        <v>-6.1000000000000004E-3</v>
      </c>
    </row>
    <row r="1423" spans="1:3" x14ac:dyDescent="0.35">
      <c r="A1423">
        <v>38</v>
      </c>
      <c r="B1423">
        <v>1993</v>
      </c>
      <c r="C1423">
        <v>7.9000000000000008E-3</v>
      </c>
    </row>
    <row r="1424" spans="1:3" x14ac:dyDescent="0.35">
      <c r="A1424">
        <v>38</v>
      </c>
      <c r="B1424">
        <v>1994</v>
      </c>
      <c r="C1424">
        <v>2.3300000000000001E-2</v>
      </c>
    </row>
    <row r="1425" spans="1:3" x14ac:dyDescent="0.35">
      <c r="A1425">
        <v>38</v>
      </c>
      <c r="B1425">
        <v>1995</v>
      </c>
      <c r="C1425">
        <v>3.7600000000000001E-2</v>
      </c>
    </row>
    <row r="1426" spans="1:3" x14ac:dyDescent="0.35">
      <c r="A1426">
        <v>38</v>
      </c>
      <c r="B1426">
        <v>1996</v>
      </c>
      <c r="C1426">
        <v>4.7899999999999998E-2</v>
      </c>
    </row>
    <row r="1427" spans="1:3" x14ac:dyDescent="0.35">
      <c r="A1427">
        <v>38</v>
      </c>
      <c r="B1427">
        <v>1997</v>
      </c>
      <c r="C1427">
        <v>5.1700000000000003E-2</v>
      </c>
    </row>
    <row r="1428" spans="1:3" x14ac:dyDescent="0.35">
      <c r="A1428">
        <v>38</v>
      </c>
      <c r="B1428">
        <v>1998</v>
      </c>
      <c r="C1428">
        <v>4.8500000000000001E-2</v>
      </c>
    </row>
    <row r="1429" spans="1:3" x14ac:dyDescent="0.35">
      <c r="A1429">
        <v>38</v>
      </c>
      <c r="B1429">
        <v>1999</v>
      </c>
      <c r="C1429">
        <v>4.0500000000000001E-2</v>
      </c>
    </row>
    <row r="1430" spans="1:3" x14ac:dyDescent="0.35">
      <c r="A1430">
        <v>38</v>
      </c>
      <c r="B1430">
        <v>2000</v>
      </c>
      <c r="C1430">
        <v>3.0700000000000002E-2</v>
      </c>
    </row>
    <row r="1431" spans="1:3" x14ac:dyDescent="0.35">
      <c r="A1431">
        <v>38</v>
      </c>
      <c r="B1431">
        <v>2001</v>
      </c>
      <c r="C1431">
        <v>2.2100000000000002E-2</v>
      </c>
    </row>
    <row r="1432" spans="1:3" x14ac:dyDescent="0.35">
      <c r="A1432">
        <v>38</v>
      </c>
      <c r="B1432">
        <v>2002</v>
      </c>
      <c r="C1432">
        <v>1.6400000000000001E-2</v>
      </c>
    </row>
    <row r="1433" spans="1:3" x14ac:dyDescent="0.35">
      <c r="A1433">
        <v>38</v>
      </c>
      <c r="B1433">
        <v>2003</v>
      </c>
      <c r="C1433">
        <v>1.38E-2</v>
      </c>
    </row>
    <row r="1434" spans="1:3" x14ac:dyDescent="0.35">
      <c r="A1434">
        <v>38</v>
      </c>
      <c r="B1434">
        <v>2004</v>
      </c>
      <c r="C1434">
        <v>1.38E-2</v>
      </c>
    </row>
    <row r="1435" spans="1:3" x14ac:dyDescent="0.35">
      <c r="A1435">
        <v>38</v>
      </c>
      <c r="B1435">
        <v>2005</v>
      </c>
      <c r="C1435">
        <v>1.52E-2</v>
      </c>
    </row>
    <row r="1436" spans="1:3" x14ac:dyDescent="0.35">
      <c r="A1436">
        <v>38</v>
      </c>
      <c r="B1436">
        <v>2006</v>
      </c>
      <c r="C1436">
        <v>1.7100000000000001E-2</v>
      </c>
    </row>
    <row r="1437" spans="1:3" x14ac:dyDescent="0.35">
      <c r="A1437">
        <v>38</v>
      </c>
      <c r="B1437">
        <v>2007</v>
      </c>
      <c r="C1437">
        <v>1.8800000000000001E-2</v>
      </c>
    </row>
    <row r="1438" spans="1:3" x14ac:dyDescent="0.35">
      <c r="A1438">
        <v>38</v>
      </c>
      <c r="B1438">
        <v>2008</v>
      </c>
      <c r="C1438">
        <v>1.9199999999999998E-2</v>
      </c>
    </row>
    <row r="1439" spans="1:3" x14ac:dyDescent="0.35">
      <c r="A1439">
        <v>38</v>
      </c>
      <c r="B1439">
        <v>2009</v>
      </c>
      <c r="C1439">
        <v>1.78E-2</v>
      </c>
    </row>
    <row r="1440" spans="1:3" x14ac:dyDescent="0.35">
      <c r="A1440">
        <v>38</v>
      </c>
      <c r="B1440">
        <v>2010</v>
      </c>
      <c r="C1440">
        <v>1.44E-2</v>
      </c>
    </row>
    <row r="1441" spans="1:3" x14ac:dyDescent="0.35">
      <c r="A1441">
        <v>38</v>
      </c>
      <c r="B1441">
        <v>2011</v>
      </c>
      <c r="C1441">
        <v>8.9999999999999993E-3</v>
      </c>
    </row>
    <row r="1442" spans="1:3" x14ac:dyDescent="0.35">
      <c r="A1442">
        <v>38</v>
      </c>
      <c r="B1442">
        <v>2012</v>
      </c>
      <c r="C1442">
        <v>2.3E-3</v>
      </c>
    </row>
    <row r="1443" spans="1:3" x14ac:dyDescent="0.35">
      <c r="A1443">
        <v>38</v>
      </c>
      <c r="B1443">
        <v>2013</v>
      </c>
      <c r="C1443">
        <v>8.9999999999999998E-4</v>
      </c>
    </row>
    <row r="1444" spans="1:3" x14ac:dyDescent="0.35">
      <c r="A1444">
        <v>38</v>
      </c>
      <c r="B1444">
        <v>2014</v>
      </c>
      <c r="C1444">
        <v>0</v>
      </c>
    </row>
    <row r="1445" spans="1:3" x14ac:dyDescent="0.35">
      <c r="A1445">
        <v>38</v>
      </c>
      <c r="B1445">
        <v>2015</v>
      </c>
      <c r="C1445">
        <v>-4.0000000000000002E-4</v>
      </c>
    </row>
    <row r="1446" spans="1:3" x14ac:dyDescent="0.35">
      <c r="A1446">
        <v>38</v>
      </c>
      <c r="B1446">
        <v>2016</v>
      </c>
      <c r="C1446">
        <v>-2.0000000000000001E-4</v>
      </c>
    </row>
    <row r="1447" spans="1:3" x14ac:dyDescent="0.35">
      <c r="A1447">
        <v>38</v>
      </c>
      <c r="B1447">
        <v>2017</v>
      </c>
      <c r="C1447">
        <v>5.9999999999999995E-4</v>
      </c>
    </row>
    <row r="1448" spans="1:3" x14ac:dyDescent="0.35">
      <c r="A1448">
        <v>38</v>
      </c>
      <c r="B1448">
        <v>2018</v>
      </c>
      <c r="C1448">
        <v>1.8E-3</v>
      </c>
    </row>
    <row r="1449" spans="1:3" x14ac:dyDescent="0.35">
      <c r="A1449">
        <v>38</v>
      </c>
      <c r="B1449">
        <v>2019</v>
      </c>
      <c r="C1449">
        <v>3.3E-3</v>
      </c>
    </row>
    <row r="1450" spans="1:3" x14ac:dyDescent="0.35">
      <c r="A1450">
        <v>38</v>
      </c>
      <c r="B1450">
        <v>2020</v>
      </c>
      <c r="C1450">
        <v>4.8999999999999998E-3</v>
      </c>
    </row>
    <row r="1451" spans="1:3" x14ac:dyDescent="0.35">
      <c r="A1451">
        <v>38</v>
      </c>
      <c r="B1451">
        <v>2021</v>
      </c>
      <c r="C1451">
        <v>6.4000000000000003E-3</v>
      </c>
    </row>
    <row r="1452" spans="1:3" x14ac:dyDescent="0.35">
      <c r="A1452">
        <v>38</v>
      </c>
      <c r="B1452">
        <v>2022</v>
      </c>
      <c r="C1452">
        <v>7.7999999999999996E-3</v>
      </c>
    </row>
    <row r="1453" spans="1:3" x14ac:dyDescent="0.35">
      <c r="A1453">
        <v>38</v>
      </c>
      <c r="B1453">
        <v>2023</v>
      </c>
      <c r="C1453">
        <v>8.8999999999999999E-3</v>
      </c>
    </row>
    <row r="1454" spans="1:3" x14ac:dyDescent="0.35">
      <c r="A1454">
        <v>38</v>
      </c>
      <c r="B1454">
        <v>2024</v>
      </c>
      <c r="C1454">
        <v>9.7000000000000003E-3</v>
      </c>
    </row>
    <row r="1455" spans="1:3" x14ac:dyDescent="0.35">
      <c r="A1455">
        <v>38</v>
      </c>
      <c r="B1455">
        <v>2025</v>
      </c>
      <c r="C1455">
        <v>1.04E-2</v>
      </c>
    </row>
    <row r="1456" spans="1:3" x14ac:dyDescent="0.35">
      <c r="A1456">
        <v>38</v>
      </c>
      <c r="B1456">
        <v>2026</v>
      </c>
      <c r="C1456">
        <v>1.0699999999999999E-2</v>
      </c>
    </row>
    <row r="1457" spans="1:3" x14ac:dyDescent="0.35">
      <c r="A1457">
        <v>38</v>
      </c>
      <c r="B1457">
        <v>2027</v>
      </c>
      <c r="C1457">
        <v>1.0800000000000001E-2</v>
      </c>
    </row>
    <row r="1458" spans="1:3" x14ac:dyDescent="0.35">
      <c r="A1458">
        <v>38</v>
      </c>
      <c r="B1458">
        <v>2028</v>
      </c>
      <c r="C1458">
        <v>1.0800000000000001E-2</v>
      </c>
    </row>
    <row r="1459" spans="1:3" x14ac:dyDescent="0.35">
      <c r="A1459">
        <v>38</v>
      </c>
      <c r="B1459">
        <v>2029</v>
      </c>
      <c r="C1459">
        <v>1.06E-2</v>
      </c>
    </row>
    <row r="1460" spans="1:3" x14ac:dyDescent="0.35">
      <c r="A1460">
        <v>38</v>
      </c>
      <c r="B1460">
        <v>2030</v>
      </c>
      <c r="C1460">
        <v>1.03E-2</v>
      </c>
    </row>
    <row r="1461" spans="1:3" x14ac:dyDescent="0.35">
      <c r="A1461">
        <v>38</v>
      </c>
      <c r="B1461">
        <v>2031</v>
      </c>
      <c r="C1461">
        <v>1.01E-2</v>
      </c>
    </row>
    <row r="1462" spans="1:3" x14ac:dyDescent="0.35">
      <c r="A1462">
        <v>39</v>
      </c>
      <c r="B1462">
        <v>1951</v>
      </c>
      <c r="C1462">
        <v>3.5700000000000003E-2</v>
      </c>
    </row>
    <row r="1463" spans="1:3" x14ac:dyDescent="0.35">
      <c r="A1463">
        <v>39</v>
      </c>
      <c r="B1463">
        <v>1952</v>
      </c>
      <c r="C1463">
        <v>3.2199999999999999E-2</v>
      </c>
    </row>
    <row r="1464" spans="1:3" x14ac:dyDescent="0.35">
      <c r="A1464">
        <v>39</v>
      </c>
      <c r="B1464">
        <v>1953</v>
      </c>
      <c r="C1464">
        <v>2.8400000000000002E-2</v>
      </c>
    </row>
    <row r="1465" spans="1:3" x14ac:dyDescent="0.35">
      <c r="A1465">
        <v>39</v>
      </c>
      <c r="B1465">
        <v>1954</v>
      </c>
      <c r="C1465">
        <v>2.4199999999999999E-2</v>
      </c>
    </row>
    <row r="1466" spans="1:3" x14ac:dyDescent="0.35">
      <c r="A1466">
        <v>39</v>
      </c>
      <c r="B1466">
        <v>1955</v>
      </c>
      <c r="C1466">
        <v>1.95E-2</v>
      </c>
    </row>
    <row r="1467" spans="1:3" x14ac:dyDescent="0.35">
      <c r="A1467">
        <v>39</v>
      </c>
      <c r="B1467">
        <v>1956</v>
      </c>
      <c r="C1467">
        <v>1.47E-2</v>
      </c>
    </row>
    <row r="1468" spans="1:3" x14ac:dyDescent="0.35">
      <c r="A1468">
        <v>39</v>
      </c>
      <c r="B1468">
        <v>1957</v>
      </c>
      <c r="C1468">
        <v>1.0200000000000001E-2</v>
      </c>
    </row>
    <row r="1469" spans="1:3" x14ac:dyDescent="0.35">
      <c r="A1469">
        <v>39</v>
      </c>
      <c r="B1469">
        <v>1958</v>
      </c>
      <c r="C1469">
        <v>6.1000000000000004E-3</v>
      </c>
    </row>
    <row r="1470" spans="1:3" x14ac:dyDescent="0.35">
      <c r="A1470">
        <v>39</v>
      </c>
      <c r="B1470">
        <v>1959</v>
      </c>
      <c r="C1470">
        <v>2.3E-3</v>
      </c>
    </row>
    <row r="1471" spans="1:3" x14ac:dyDescent="0.35">
      <c r="A1471">
        <v>39</v>
      </c>
      <c r="B1471">
        <v>1960</v>
      </c>
      <c r="C1471">
        <v>-1.1999999999999999E-3</v>
      </c>
    </row>
    <row r="1472" spans="1:3" x14ac:dyDescent="0.35">
      <c r="A1472">
        <v>39</v>
      </c>
      <c r="B1472">
        <v>1961</v>
      </c>
      <c r="C1472">
        <v>-4.5999999999999999E-3</v>
      </c>
    </row>
    <row r="1473" spans="1:3" x14ac:dyDescent="0.35">
      <c r="A1473">
        <v>39</v>
      </c>
      <c r="B1473">
        <v>1962</v>
      </c>
      <c r="C1473">
        <v>-7.7999999999999996E-3</v>
      </c>
    </row>
    <row r="1474" spans="1:3" x14ac:dyDescent="0.35">
      <c r="A1474">
        <v>39</v>
      </c>
      <c r="B1474">
        <v>1963</v>
      </c>
      <c r="C1474">
        <v>-1.0500000000000001E-2</v>
      </c>
    </row>
    <row r="1475" spans="1:3" x14ac:dyDescent="0.35">
      <c r="A1475">
        <v>39</v>
      </c>
      <c r="B1475">
        <v>1964</v>
      </c>
      <c r="C1475">
        <v>-1.24E-2</v>
      </c>
    </row>
    <row r="1476" spans="1:3" x14ac:dyDescent="0.35">
      <c r="A1476">
        <v>39</v>
      </c>
      <c r="B1476">
        <v>1965</v>
      </c>
      <c r="C1476">
        <v>-1.32E-2</v>
      </c>
    </row>
    <row r="1477" spans="1:3" x14ac:dyDescent="0.35">
      <c r="A1477">
        <v>39</v>
      </c>
      <c r="B1477">
        <v>1966</v>
      </c>
      <c r="C1477">
        <v>-1.2699999999999999E-2</v>
      </c>
    </row>
    <row r="1478" spans="1:3" x14ac:dyDescent="0.35">
      <c r="A1478">
        <v>39</v>
      </c>
      <c r="B1478">
        <v>1967</v>
      </c>
      <c r="C1478">
        <v>-1.0500000000000001E-2</v>
      </c>
    </row>
    <row r="1479" spans="1:3" x14ac:dyDescent="0.35">
      <c r="A1479">
        <v>39</v>
      </c>
      <c r="B1479">
        <v>1968</v>
      </c>
      <c r="C1479">
        <v>-6.6E-3</v>
      </c>
    </row>
    <row r="1480" spans="1:3" x14ac:dyDescent="0.35">
      <c r="A1480">
        <v>39</v>
      </c>
      <c r="B1480">
        <v>1969</v>
      </c>
      <c r="C1480">
        <v>-8.9999999999999998E-4</v>
      </c>
    </row>
    <row r="1481" spans="1:3" x14ac:dyDescent="0.35">
      <c r="A1481">
        <v>39</v>
      </c>
      <c r="B1481">
        <v>1970</v>
      </c>
      <c r="C1481">
        <v>5.8999999999999999E-3</v>
      </c>
    </row>
    <row r="1482" spans="1:3" x14ac:dyDescent="0.35">
      <c r="A1482">
        <v>39</v>
      </c>
      <c r="B1482">
        <v>1971</v>
      </c>
      <c r="C1482">
        <v>1.32E-2</v>
      </c>
    </row>
    <row r="1483" spans="1:3" x14ac:dyDescent="0.35">
      <c r="A1483">
        <v>39</v>
      </c>
      <c r="B1483">
        <v>1972</v>
      </c>
      <c r="C1483">
        <v>2.01E-2</v>
      </c>
    </row>
    <row r="1484" spans="1:3" x14ac:dyDescent="0.35">
      <c r="A1484">
        <v>39</v>
      </c>
      <c r="B1484">
        <v>1973</v>
      </c>
      <c r="C1484">
        <v>2.6100000000000002E-2</v>
      </c>
    </row>
    <row r="1485" spans="1:3" x14ac:dyDescent="0.35">
      <c r="A1485">
        <v>39</v>
      </c>
      <c r="B1485">
        <v>1974</v>
      </c>
      <c r="C1485">
        <v>3.0700000000000002E-2</v>
      </c>
    </row>
    <row r="1486" spans="1:3" x14ac:dyDescent="0.35">
      <c r="A1486">
        <v>39</v>
      </c>
      <c r="B1486">
        <v>1975</v>
      </c>
      <c r="C1486">
        <v>3.3599999999999998E-2</v>
      </c>
    </row>
    <row r="1487" spans="1:3" x14ac:dyDescent="0.35">
      <c r="A1487">
        <v>39</v>
      </c>
      <c r="B1487">
        <v>1976</v>
      </c>
      <c r="C1487">
        <v>3.49E-2</v>
      </c>
    </row>
    <row r="1488" spans="1:3" x14ac:dyDescent="0.35">
      <c r="A1488">
        <v>39</v>
      </c>
      <c r="B1488">
        <v>1977</v>
      </c>
      <c r="C1488">
        <v>3.4799999999999998E-2</v>
      </c>
    </row>
    <row r="1489" spans="1:3" x14ac:dyDescent="0.35">
      <c r="A1489">
        <v>39</v>
      </c>
      <c r="B1489">
        <v>1978</v>
      </c>
      <c r="C1489">
        <v>3.3399999999999999E-2</v>
      </c>
    </row>
    <row r="1490" spans="1:3" x14ac:dyDescent="0.35">
      <c r="A1490">
        <v>39</v>
      </c>
      <c r="B1490">
        <v>1979</v>
      </c>
      <c r="C1490">
        <v>3.0599999999999999E-2</v>
      </c>
    </row>
    <row r="1491" spans="1:3" x14ac:dyDescent="0.35">
      <c r="A1491">
        <v>39</v>
      </c>
      <c r="B1491">
        <v>1980</v>
      </c>
      <c r="C1491">
        <v>2.6499999999999999E-2</v>
      </c>
    </row>
    <row r="1492" spans="1:3" x14ac:dyDescent="0.35">
      <c r="A1492">
        <v>39</v>
      </c>
      <c r="B1492">
        <v>1981</v>
      </c>
      <c r="C1492">
        <v>2.07E-2</v>
      </c>
    </row>
    <row r="1493" spans="1:3" x14ac:dyDescent="0.35">
      <c r="A1493">
        <v>39</v>
      </c>
      <c r="B1493">
        <v>1982</v>
      </c>
      <c r="C1493">
        <v>1.3100000000000001E-2</v>
      </c>
    </row>
    <row r="1494" spans="1:3" x14ac:dyDescent="0.35">
      <c r="A1494">
        <v>39</v>
      </c>
      <c r="B1494">
        <v>1983</v>
      </c>
      <c r="C1494">
        <v>3.8999999999999998E-3</v>
      </c>
    </row>
    <row r="1495" spans="1:3" x14ac:dyDescent="0.35">
      <c r="A1495">
        <v>39</v>
      </c>
      <c r="B1495">
        <v>1984</v>
      </c>
      <c r="C1495">
        <v>-6.1000000000000004E-3</v>
      </c>
    </row>
    <row r="1496" spans="1:3" x14ac:dyDescent="0.35">
      <c r="A1496">
        <v>39</v>
      </c>
      <c r="B1496">
        <v>1985</v>
      </c>
      <c r="C1496">
        <v>-1.55E-2</v>
      </c>
    </row>
    <row r="1497" spans="1:3" x14ac:dyDescent="0.35">
      <c r="A1497">
        <v>39</v>
      </c>
      <c r="B1497">
        <v>1986</v>
      </c>
      <c r="C1497">
        <v>-2.3199999999999998E-2</v>
      </c>
    </row>
    <row r="1498" spans="1:3" x14ac:dyDescent="0.35">
      <c r="A1498">
        <v>39</v>
      </c>
      <c r="B1498">
        <v>1987</v>
      </c>
      <c r="C1498">
        <v>-2.8299999999999999E-2</v>
      </c>
    </row>
    <row r="1499" spans="1:3" x14ac:dyDescent="0.35">
      <c r="A1499">
        <v>39</v>
      </c>
      <c r="B1499">
        <v>1988</v>
      </c>
      <c r="C1499">
        <v>-3.04E-2</v>
      </c>
    </row>
    <row r="1500" spans="1:3" x14ac:dyDescent="0.35">
      <c r="A1500">
        <v>39</v>
      </c>
      <c r="B1500">
        <v>1989</v>
      </c>
      <c r="C1500">
        <v>-2.93E-2</v>
      </c>
    </row>
    <row r="1501" spans="1:3" x14ac:dyDescent="0.35">
      <c r="A1501">
        <v>39</v>
      </c>
      <c r="B1501">
        <v>1990</v>
      </c>
      <c r="C1501">
        <v>-2.52E-2</v>
      </c>
    </row>
    <row r="1502" spans="1:3" x14ac:dyDescent="0.35">
      <c r="A1502">
        <v>39</v>
      </c>
      <c r="B1502">
        <v>1991</v>
      </c>
      <c r="C1502">
        <v>-1.8100000000000002E-2</v>
      </c>
    </row>
    <row r="1503" spans="1:3" x14ac:dyDescent="0.35">
      <c r="A1503">
        <v>39</v>
      </c>
      <c r="B1503">
        <v>1992</v>
      </c>
      <c r="C1503">
        <v>-8.0000000000000002E-3</v>
      </c>
    </row>
    <row r="1504" spans="1:3" x14ac:dyDescent="0.35">
      <c r="A1504">
        <v>39</v>
      </c>
      <c r="B1504">
        <v>1993</v>
      </c>
      <c r="C1504">
        <v>4.8999999999999998E-3</v>
      </c>
    </row>
    <row r="1505" spans="1:3" x14ac:dyDescent="0.35">
      <c r="A1505">
        <v>39</v>
      </c>
      <c r="B1505">
        <v>1994</v>
      </c>
      <c r="C1505">
        <v>1.9300000000000001E-2</v>
      </c>
    </row>
    <row r="1506" spans="1:3" x14ac:dyDescent="0.35">
      <c r="A1506">
        <v>39</v>
      </c>
      <c r="B1506">
        <v>1995</v>
      </c>
      <c r="C1506">
        <v>3.2899999999999999E-2</v>
      </c>
    </row>
    <row r="1507" spans="1:3" x14ac:dyDescent="0.35">
      <c r="A1507">
        <v>39</v>
      </c>
      <c r="B1507">
        <v>1996</v>
      </c>
      <c r="C1507">
        <v>4.2799999999999998E-2</v>
      </c>
    </row>
    <row r="1508" spans="1:3" x14ac:dyDescent="0.35">
      <c r="A1508">
        <v>39</v>
      </c>
      <c r="B1508">
        <v>1997</v>
      </c>
      <c r="C1508">
        <v>4.65E-2</v>
      </c>
    </row>
    <row r="1509" spans="1:3" x14ac:dyDescent="0.35">
      <c r="A1509">
        <v>39</v>
      </c>
      <c r="B1509">
        <v>1998</v>
      </c>
      <c r="C1509">
        <v>4.3799999999999999E-2</v>
      </c>
    </row>
    <row r="1510" spans="1:3" x14ac:dyDescent="0.35">
      <c r="A1510">
        <v>39</v>
      </c>
      <c r="B1510">
        <v>1999</v>
      </c>
      <c r="C1510">
        <v>3.6700000000000003E-2</v>
      </c>
    </row>
    <row r="1511" spans="1:3" x14ac:dyDescent="0.35">
      <c r="A1511">
        <v>39</v>
      </c>
      <c r="B1511">
        <v>2000</v>
      </c>
      <c r="C1511">
        <v>2.7900000000000001E-2</v>
      </c>
    </row>
    <row r="1512" spans="1:3" x14ac:dyDescent="0.35">
      <c r="A1512">
        <v>39</v>
      </c>
      <c r="B1512">
        <v>2001</v>
      </c>
      <c r="C1512">
        <v>2.0299999999999999E-2</v>
      </c>
    </row>
    <row r="1513" spans="1:3" x14ac:dyDescent="0.35">
      <c r="A1513">
        <v>39</v>
      </c>
      <c r="B1513">
        <v>2002</v>
      </c>
      <c r="C1513">
        <v>1.55E-2</v>
      </c>
    </row>
    <row r="1514" spans="1:3" x14ac:dyDescent="0.35">
      <c r="A1514">
        <v>39</v>
      </c>
      <c r="B1514">
        <v>2003</v>
      </c>
      <c r="C1514">
        <v>1.3899999999999999E-2</v>
      </c>
    </row>
    <row r="1515" spans="1:3" x14ac:dyDescent="0.35">
      <c r="A1515">
        <v>39</v>
      </c>
      <c r="B1515">
        <v>2004</v>
      </c>
      <c r="C1515">
        <v>1.46E-2</v>
      </c>
    </row>
    <row r="1516" spans="1:3" x14ac:dyDescent="0.35">
      <c r="A1516">
        <v>39</v>
      </c>
      <c r="B1516">
        <v>2005</v>
      </c>
      <c r="C1516">
        <v>1.6799999999999999E-2</v>
      </c>
    </row>
    <row r="1517" spans="1:3" x14ac:dyDescent="0.35">
      <c r="A1517">
        <v>39</v>
      </c>
      <c r="B1517">
        <v>2006</v>
      </c>
      <c r="C1517">
        <v>1.9400000000000001E-2</v>
      </c>
    </row>
    <row r="1518" spans="1:3" x14ac:dyDescent="0.35">
      <c r="A1518">
        <v>39</v>
      </c>
      <c r="B1518">
        <v>2007</v>
      </c>
      <c r="C1518">
        <v>2.1499999999999998E-2</v>
      </c>
    </row>
    <row r="1519" spans="1:3" x14ac:dyDescent="0.35">
      <c r="A1519">
        <v>39</v>
      </c>
      <c r="B1519">
        <v>2008</v>
      </c>
      <c r="C1519">
        <v>2.23E-2</v>
      </c>
    </row>
    <row r="1520" spans="1:3" x14ac:dyDescent="0.35">
      <c r="A1520">
        <v>39</v>
      </c>
      <c r="B1520">
        <v>2009</v>
      </c>
      <c r="C1520">
        <v>2.1100000000000001E-2</v>
      </c>
    </row>
    <row r="1521" spans="1:3" x14ac:dyDescent="0.35">
      <c r="A1521">
        <v>39</v>
      </c>
      <c r="B1521">
        <v>2010</v>
      </c>
      <c r="C1521">
        <v>1.78E-2</v>
      </c>
    </row>
    <row r="1522" spans="1:3" x14ac:dyDescent="0.35">
      <c r="A1522">
        <v>39</v>
      </c>
      <c r="B1522">
        <v>2011</v>
      </c>
      <c r="C1522">
        <v>1.24E-2</v>
      </c>
    </row>
    <row r="1523" spans="1:3" x14ac:dyDescent="0.35">
      <c r="A1523">
        <v>39</v>
      </c>
      <c r="B1523">
        <v>2012</v>
      </c>
      <c r="C1523">
        <v>5.5999999999999999E-3</v>
      </c>
    </row>
    <row r="1524" spans="1:3" x14ac:dyDescent="0.35">
      <c r="A1524">
        <v>39</v>
      </c>
      <c r="B1524">
        <v>2013</v>
      </c>
      <c r="C1524">
        <v>4.0000000000000001E-3</v>
      </c>
    </row>
    <row r="1525" spans="1:3" x14ac:dyDescent="0.35">
      <c r="A1525">
        <v>39</v>
      </c>
      <c r="B1525">
        <v>2014</v>
      </c>
      <c r="C1525">
        <v>2.8E-3</v>
      </c>
    </row>
    <row r="1526" spans="1:3" x14ac:dyDescent="0.35">
      <c r="A1526">
        <v>39</v>
      </c>
      <c r="B1526">
        <v>2015</v>
      </c>
      <c r="C1526">
        <v>1.9E-3</v>
      </c>
    </row>
    <row r="1527" spans="1:3" x14ac:dyDescent="0.35">
      <c r="A1527">
        <v>39</v>
      </c>
      <c r="B1527">
        <v>2016</v>
      </c>
      <c r="C1527">
        <v>1.6000000000000001E-3</v>
      </c>
    </row>
    <row r="1528" spans="1:3" x14ac:dyDescent="0.35">
      <c r="A1528">
        <v>39</v>
      </c>
      <c r="B1528">
        <v>2017</v>
      </c>
      <c r="C1528">
        <v>1.6999999999999999E-3</v>
      </c>
    </row>
    <row r="1529" spans="1:3" x14ac:dyDescent="0.35">
      <c r="A1529">
        <v>39</v>
      </c>
      <c r="B1529">
        <v>2018</v>
      </c>
      <c r="C1529">
        <v>2.3E-3</v>
      </c>
    </row>
    <row r="1530" spans="1:3" x14ac:dyDescent="0.35">
      <c r="A1530">
        <v>39</v>
      </c>
      <c r="B1530">
        <v>2019</v>
      </c>
      <c r="C1530">
        <v>3.3E-3</v>
      </c>
    </row>
    <row r="1531" spans="1:3" x14ac:dyDescent="0.35">
      <c r="A1531">
        <v>39</v>
      </c>
      <c r="B1531">
        <v>2020</v>
      </c>
      <c r="C1531">
        <v>4.4999999999999997E-3</v>
      </c>
    </row>
    <row r="1532" spans="1:3" x14ac:dyDescent="0.35">
      <c r="A1532">
        <v>39</v>
      </c>
      <c r="B1532">
        <v>2021</v>
      </c>
      <c r="C1532">
        <v>5.7999999999999996E-3</v>
      </c>
    </row>
    <row r="1533" spans="1:3" x14ac:dyDescent="0.35">
      <c r="A1533">
        <v>39</v>
      </c>
      <c r="B1533">
        <v>2022</v>
      </c>
      <c r="C1533">
        <v>7.0000000000000001E-3</v>
      </c>
    </row>
    <row r="1534" spans="1:3" x14ac:dyDescent="0.35">
      <c r="A1534">
        <v>39</v>
      </c>
      <c r="B1534">
        <v>2023</v>
      </c>
      <c r="C1534">
        <v>8.0999999999999996E-3</v>
      </c>
    </row>
    <row r="1535" spans="1:3" x14ac:dyDescent="0.35">
      <c r="A1535">
        <v>39</v>
      </c>
      <c r="B1535">
        <v>2024</v>
      </c>
      <c r="C1535">
        <v>9.1000000000000004E-3</v>
      </c>
    </row>
    <row r="1536" spans="1:3" x14ac:dyDescent="0.35">
      <c r="A1536">
        <v>39</v>
      </c>
      <c r="B1536">
        <v>2025</v>
      </c>
      <c r="C1536">
        <v>9.7999999999999997E-3</v>
      </c>
    </row>
    <row r="1537" spans="1:3" x14ac:dyDescent="0.35">
      <c r="A1537">
        <v>39</v>
      </c>
      <c r="B1537">
        <v>2026</v>
      </c>
      <c r="C1537">
        <v>1.03E-2</v>
      </c>
    </row>
    <row r="1538" spans="1:3" x14ac:dyDescent="0.35">
      <c r="A1538">
        <v>39</v>
      </c>
      <c r="B1538">
        <v>2027</v>
      </c>
      <c r="C1538">
        <v>1.0500000000000001E-2</v>
      </c>
    </row>
    <row r="1539" spans="1:3" x14ac:dyDescent="0.35">
      <c r="A1539">
        <v>39</v>
      </c>
      <c r="B1539">
        <v>2028</v>
      </c>
      <c r="C1539">
        <v>1.06E-2</v>
      </c>
    </row>
    <row r="1540" spans="1:3" x14ac:dyDescent="0.35">
      <c r="A1540">
        <v>39</v>
      </c>
      <c r="B1540">
        <v>2029</v>
      </c>
      <c r="C1540">
        <v>1.04E-2</v>
      </c>
    </row>
    <row r="1541" spans="1:3" x14ac:dyDescent="0.35">
      <c r="A1541">
        <v>39</v>
      </c>
      <c r="B1541">
        <v>2030</v>
      </c>
      <c r="C1541">
        <v>1.03E-2</v>
      </c>
    </row>
    <row r="1542" spans="1:3" x14ac:dyDescent="0.35">
      <c r="A1542">
        <v>39</v>
      </c>
      <c r="B1542">
        <v>2031</v>
      </c>
      <c r="C1542">
        <v>1.01E-2</v>
      </c>
    </row>
    <row r="1543" spans="1:3" x14ac:dyDescent="0.35">
      <c r="A1543">
        <v>40</v>
      </c>
      <c r="B1543">
        <v>1951</v>
      </c>
      <c r="C1543">
        <v>3.39E-2</v>
      </c>
    </row>
    <row r="1544" spans="1:3" x14ac:dyDescent="0.35">
      <c r="A1544">
        <v>40</v>
      </c>
      <c r="B1544">
        <v>1952</v>
      </c>
      <c r="C1544">
        <v>3.0700000000000002E-2</v>
      </c>
    </row>
    <row r="1545" spans="1:3" x14ac:dyDescent="0.35">
      <c r="A1545">
        <v>40</v>
      </c>
      <c r="B1545">
        <v>1953</v>
      </c>
      <c r="C1545">
        <v>2.7400000000000001E-2</v>
      </c>
    </row>
    <row r="1546" spans="1:3" x14ac:dyDescent="0.35">
      <c r="A1546">
        <v>40</v>
      </c>
      <c r="B1546">
        <v>1954</v>
      </c>
      <c r="C1546">
        <v>2.35E-2</v>
      </c>
    </row>
    <row r="1547" spans="1:3" x14ac:dyDescent="0.35">
      <c r="A1547">
        <v>40</v>
      </c>
      <c r="B1547">
        <v>1955</v>
      </c>
      <c r="C1547">
        <v>1.9199999999999998E-2</v>
      </c>
    </row>
    <row r="1548" spans="1:3" x14ac:dyDescent="0.35">
      <c r="A1548">
        <v>40</v>
      </c>
      <c r="B1548">
        <v>1956</v>
      </c>
      <c r="C1548">
        <v>1.47E-2</v>
      </c>
    </row>
    <row r="1549" spans="1:3" x14ac:dyDescent="0.35">
      <c r="A1549">
        <v>40</v>
      </c>
      <c r="B1549">
        <v>1957</v>
      </c>
      <c r="C1549">
        <v>1.04E-2</v>
      </c>
    </row>
    <row r="1550" spans="1:3" x14ac:dyDescent="0.35">
      <c r="A1550">
        <v>40</v>
      </c>
      <c r="B1550">
        <v>1958</v>
      </c>
      <c r="C1550">
        <v>6.6E-3</v>
      </c>
    </row>
    <row r="1551" spans="1:3" x14ac:dyDescent="0.35">
      <c r="A1551">
        <v>40</v>
      </c>
      <c r="B1551">
        <v>1959</v>
      </c>
      <c r="C1551">
        <v>3.0000000000000001E-3</v>
      </c>
    </row>
    <row r="1552" spans="1:3" x14ac:dyDescent="0.35">
      <c r="A1552">
        <v>40</v>
      </c>
      <c r="B1552">
        <v>1960</v>
      </c>
      <c r="C1552">
        <v>-5.0000000000000001E-4</v>
      </c>
    </row>
    <row r="1553" spans="1:3" x14ac:dyDescent="0.35">
      <c r="A1553">
        <v>40</v>
      </c>
      <c r="B1553">
        <v>1961</v>
      </c>
      <c r="C1553">
        <v>-3.7000000000000002E-3</v>
      </c>
    </row>
    <row r="1554" spans="1:3" x14ac:dyDescent="0.35">
      <c r="A1554">
        <v>40</v>
      </c>
      <c r="B1554">
        <v>1962</v>
      </c>
      <c r="C1554">
        <v>-6.7999999999999996E-3</v>
      </c>
    </row>
    <row r="1555" spans="1:3" x14ac:dyDescent="0.35">
      <c r="A1555">
        <v>40</v>
      </c>
      <c r="B1555">
        <v>1963</v>
      </c>
      <c r="C1555">
        <v>-9.4999999999999998E-3</v>
      </c>
    </row>
    <row r="1556" spans="1:3" x14ac:dyDescent="0.35">
      <c r="A1556">
        <v>40</v>
      </c>
      <c r="B1556">
        <v>1964</v>
      </c>
      <c r="C1556">
        <v>-1.14E-2</v>
      </c>
    </row>
    <row r="1557" spans="1:3" x14ac:dyDescent="0.35">
      <c r="A1557">
        <v>40</v>
      </c>
      <c r="B1557">
        <v>1965</v>
      </c>
      <c r="C1557">
        <v>-1.23E-2</v>
      </c>
    </row>
    <row r="1558" spans="1:3" x14ac:dyDescent="0.35">
      <c r="A1558">
        <v>40</v>
      </c>
      <c r="B1558">
        <v>1966</v>
      </c>
      <c r="C1558">
        <v>-1.18E-2</v>
      </c>
    </row>
    <row r="1559" spans="1:3" x14ac:dyDescent="0.35">
      <c r="A1559">
        <v>40</v>
      </c>
      <c r="B1559">
        <v>1967</v>
      </c>
      <c r="C1559">
        <v>-9.7000000000000003E-3</v>
      </c>
    </row>
    <row r="1560" spans="1:3" x14ac:dyDescent="0.35">
      <c r="A1560">
        <v>40</v>
      </c>
      <c r="B1560">
        <v>1968</v>
      </c>
      <c r="C1560">
        <v>-5.8999999999999999E-3</v>
      </c>
    </row>
    <row r="1561" spans="1:3" x14ac:dyDescent="0.35">
      <c r="A1561">
        <v>40</v>
      </c>
      <c r="B1561">
        <v>1969</v>
      </c>
      <c r="C1561">
        <v>-4.0000000000000002E-4</v>
      </c>
    </row>
    <row r="1562" spans="1:3" x14ac:dyDescent="0.35">
      <c r="A1562">
        <v>40</v>
      </c>
      <c r="B1562">
        <v>1970</v>
      </c>
      <c r="C1562">
        <v>6.3E-3</v>
      </c>
    </row>
    <row r="1563" spans="1:3" x14ac:dyDescent="0.35">
      <c r="A1563">
        <v>40</v>
      </c>
      <c r="B1563">
        <v>1971</v>
      </c>
      <c r="C1563">
        <v>1.34E-2</v>
      </c>
    </row>
    <row r="1564" spans="1:3" x14ac:dyDescent="0.35">
      <c r="A1564">
        <v>40</v>
      </c>
      <c r="B1564">
        <v>1972</v>
      </c>
      <c r="C1564">
        <v>2.0199999999999999E-2</v>
      </c>
    </row>
    <row r="1565" spans="1:3" x14ac:dyDescent="0.35">
      <c r="A1565">
        <v>40</v>
      </c>
      <c r="B1565">
        <v>1973</v>
      </c>
      <c r="C1565">
        <v>2.5999999999999999E-2</v>
      </c>
    </row>
    <row r="1566" spans="1:3" x14ac:dyDescent="0.35">
      <c r="A1566">
        <v>40</v>
      </c>
      <c r="B1566">
        <v>1974</v>
      </c>
      <c r="C1566">
        <v>3.0499999999999999E-2</v>
      </c>
    </row>
    <row r="1567" spans="1:3" x14ac:dyDescent="0.35">
      <c r="A1567">
        <v>40</v>
      </c>
      <c r="B1567">
        <v>1975</v>
      </c>
      <c r="C1567">
        <v>3.3500000000000002E-2</v>
      </c>
    </row>
    <row r="1568" spans="1:3" x14ac:dyDescent="0.35">
      <c r="A1568">
        <v>40</v>
      </c>
      <c r="B1568">
        <v>1976</v>
      </c>
      <c r="C1568">
        <v>3.5000000000000003E-2</v>
      </c>
    </row>
    <row r="1569" spans="1:3" x14ac:dyDescent="0.35">
      <c r="A1569">
        <v>40</v>
      </c>
      <c r="B1569">
        <v>1977</v>
      </c>
      <c r="C1569">
        <v>3.5200000000000002E-2</v>
      </c>
    </row>
    <row r="1570" spans="1:3" x14ac:dyDescent="0.35">
      <c r="A1570">
        <v>40</v>
      </c>
      <c r="B1570">
        <v>1978</v>
      </c>
      <c r="C1570">
        <v>3.4200000000000001E-2</v>
      </c>
    </row>
    <row r="1571" spans="1:3" x14ac:dyDescent="0.35">
      <c r="A1571">
        <v>40</v>
      </c>
      <c r="B1571">
        <v>1979</v>
      </c>
      <c r="C1571">
        <v>3.1899999999999998E-2</v>
      </c>
    </row>
    <row r="1572" spans="1:3" x14ac:dyDescent="0.35">
      <c r="A1572">
        <v>40</v>
      </c>
      <c r="B1572">
        <v>1980</v>
      </c>
      <c r="C1572">
        <v>2.8199999999999999E-2</v>
      </c>
    </row>
    <row r="1573" spans="1:3" x14ac:dyDescent="0.35">
      <c r="A1573">
        <v>40</v>
      </c>
      <c r="B1573">
        <v>1981</v>
      </c>
      <c r="C1573">
        <v>2.3E-2</v>
      </c>
    </row>
    <row r="1574" spans="1:3" x14ac:dyDescent="0.35">
      <c r="A1574">
        <v>40</v>
      </c>
      <c r="B1574">
        <v>1982</v>
      </c>
      <c r="C1574">
        <v>1.61E-2</v>
      </c>
    </row>
    <row r="1575" spans="1:3" x14ac:dyDescent="0.35">
      <c r="A1575">
        <v>40</v>
      </c>
      <c r="B1575">
        <v>1983</v>
      </c>
      <c r="C1575">
        <v>7.7000000000000002E-3</v>
      </c>
    </row>
    <row r="1576" spans="1:3" x14ac:dyDescent="0.35">
      <c r="A1576">
        <v>40</v>
      </c>
      <c r="B1576">
        <v>1984</v>
      </c>
      <c r="C1576">
        <v>-1.5E-3</v>
      </c>
    </row>
    <row r="1577" spans="1:3" x14ac:dyDescent="0.35">
      <c r="A1577">
        <v>40</v>
      </c>
      <c r="B1577">
        <v>1985</v>
      </c>
      <c r="C1577">
        <v>-1.03E-2</v>
      </c>
    </row>
    <row r="1578" spans="1:3" x14ac:dyDescent="0.35">
      <c r="A1578">
        <v>40</v>
      </c>
      <c r="B1578">
        <v>1986</v>
      </c>
      <c r="C1578">
        <v>-1.77E-2</v>
      </c>
    </row>
    <row r="1579" spans="1:3" x14ac:dyDescent="0.35">
      <c r="A1579">
        <v>40</v>
      </c>
      <c r="B1579">
        <v>1987</v>
      </c>
      <c r="C1579">
        <v>-2.3E-2</v>
      </c>
    </row>
    <row r="1580" spans="1:3" x14ac:dyDescent="0.35">
      <c r="A1580">
        <v>40</v>
      </c>
      <c r="B1580">
        <v>1988</v>
      </c>
      <c r="C1580">
        <v>-2.5899999999999999E-2</v>
      </c>
    </row>
    <row r="1581" spans="1:3" x14ac:dyDescent="0.35">
      <c r="A1581">
        <v>40</v>
      </c>
      <c r="B1581">
        <v>1989</v>
      </c>
      <c r="C1581">
        <v>-2.5999999999999999E-2</v>
      </c>
    </row>
    <row r="1582" spans="1:3" x14ac:dyDescent="0.35">
      <c r="A1582">
        <v>40</v>
      </c>
      <c r="B1582">
        <v>1990</v>
      </c>
      <c r="C1582">
        <v>-2.3400000000000001E-2</v>
      </c>
    </row>
    <row r="1583" spans="1:3" x14ac:dyDescent="0.35">
      <c r="A1583">
        <v>40</v>
      </c>
      <c r="B1583">
        <v>1991</v>
      </c>
      <c r="C1583">
        <v>-1.78E-2</v>
      </c>
    </row>
    <row r="1584" spans="1:3" x14ac:dyDescent="0.35">
      <c r="A1584">
        <v>40</v>
      </c>
      <c r="B1584">
        <v>1992</v>
      </c>
      <c r="C1584">
        <v>-9.1999999999999998E-3</v>
      </c>
    </row>
    <row r="1585" spans="1:3" x14ac:dyDescent="0.35">
      <c r="A1585">
        <v>40</v>
      </c>
      <c r="B1585">
        <v>1993</v>
      </c>
      <c r="C1585">
        <v>2.3E-3</v>
      </c>
    </row>
    <row r="1586" spans="1:3" x14ac:dyDescent="0.35">
      <c r="A1586">
        <v>40</v>
      </c>
      <c r="B1586">
        <v>1994</v>
      </c>
      <c r="C1586">
        <v>1.55E-2</v>
      </c>
    </row>
    <row r="1587" spans="1:3" x14ac:dyDescent="0.35">
      <c r="A1587">
        <v>40</v>
      </c>
      <c r="B1587">
        <v>1995</v>
      </c>
      <c r="C1587">
        <v>2.8199999999999999E-2</v>
      </c>
    </row>
    <row r="1588" spans="1:3" x14ac:dyDescent="0.35">
      <c r="A1588">
        <v>40</v>
      </c>
      <c r="B1588">
        <v>1996</v>
      </c>
      <c r="C1588">
        <v>3.7499999999999999E-2</v>
      </c>
    </row>
    <row r="1589" spans="1:3" x14ac:dyDescent="0.35">
      <c r="A1589">
        <v>40</v>
      </c>
      <c r="B1589">
        <v>1997</v>
      </c>
      <c r="C1589">
        <v>4.1200000000000001E-2</v>
      </c>
    </row>
    <row r="1590" spans="1:3" x14ac:dyDescent="0.35">
      <c r="A1590">
        <v>40</v>
      </c>
      <c r="B1590">
        <v>1998</v>
      </c>
      <c r="C1590">
        <v>3.8899999999999997E-2</v>
      </c>
    </row>
    <row r="1591" spans="1:3" x14ac:dyDescent="0.35">
      <c r="A1591">
        <v>40</v>
      </c>
      <c r="B1591">
        <v>1999</v>
      </c>
      <c r="C1591">
        <v>3.2500000000000001E-2</v>
      </c>
    </row>
    <row r="1592" spans="1:3" x14ac:dyDescent="0.35">
      <c r="A1592">
        <v>40</v>
      </c>
      <c r="B1592">
        <v>2000</v>
      </c>
      <c r="C1592">
        <v>2.4799999999999999E-2</v>
      </c>
    </row>
    <row r="1593" spans="1:3" x14ac:dyDescent="0.35">
      <c r="A1593">
        <v>40</v>
      </c>
      <c r="B1593">
        <v>2001</v>
      </c>
      <c r="C1593">
        <v>1.8100000000000002E-2</v>
      </c>
    </row>
    <row r="1594" spans="1:3" x14ac:dyDescent="0.35">
      <c r="A1594">
        <v>40</v>
      </c>
      <c r="B1594">
        <v>2002</v>
      </c>
      <c r="C1594">
        <v>1.4200000000000001E-2</v>
      </c>
    </row>
    <row r="1595" spans="1:3" x14ac:dyDescent="0.35">
      <c r="A1595">
        <v>40</v>
      </c>
      <c r="B1595">
        <v>2003</v>
      </c>
      <c r="C1595">
        <v>1.3299999999999999E-2</v>
      </c>
    </row>
    <row r="1596" spans="1:3" x14ac:dyDescent="0.35">
      <c r="A1596">
        <v>40</v>
      </c>
      <c r="B1596">
        <v>2004</v>
      </c>
      <c r="C1596">
        <v>1.49E-2</v>
      </c>
    </row>
    <row r="1597" spans="1:3" x14ac:dyDescent="0.35">
      <c r="A1597">
        <v>40</v>
      </c>
      <c r="B1597">
        <v>2005</v>
      </c>
      <c r="C1597">
        <v>1.77E-2</v>
      </c>
    </row>
    <row r="1598" spans="1:3" x14ac:dyDescent="0.35">
      <c r="A1598">
        <v>40</v>
      </c>
      <c r="B1598">
        <v>2006</v>
      </c>
      <c r="C1598">
        <v>2.1000000000000001E-2</v>
      </c>
    </row>
    <row r="1599" spans="1:3" x14ac:dyDescent="0.35">
      <c r="A1599">
        <v>40</v>
      </c>
      <c r="B1599">
        <v>2007</v>
      </c>
      <c r="C1599">
        <v>2.3599999999999999E-2</v>
      </c>
    </row>
    <row r="1600" spans="1:3" x14ac:dyDescent="0.35">
      <c r="A1600">
        <v>40</v>
      </c>
      <c r="B1600">
        <v>2008</v>
      </c>
      <c r="C1600">
        <v>2.4799999999999999E-2</v>
      </c>
    </row>
    <row r="1601" spans="1:3" x14ac:dyDescent="0.35">
      <c r="A1601">
        <v>40</v>
      </c>
      <c r="B1601">
        <v>2009</v>
      </c>
      <c r="C1601">
        <v>2.3900000000000001E-2</v>
      </c>
    </row>
    <row r="1602" spans="1:3" x14ac:dyDescent="0.35">
      <c r="A1602">
        <v>40</v>
      </c>
      <c r="B1602">
        <v>2010</v>
      </c>
      <c r="C1602">
        <v>2.0799999999999999E-2</v>
      </c>
    </row>
    <row r="1603" spans="1:3" x14ac:dyDescent="0.35">
      <c r="A1603">
        <v>40</v>
      </c>
      <c r="B1603">
        <v>2011</v>
      </c>
      <c r="C1603">
        <v>1.5599999999999999E-2</v>
      </c>
    </row>
    <row r="1604" spans="1:3" x14ac:dyDescent="0.35">
      <c r="A1604">
        <v>40</v>
      </c>
      <c r="B1604">
        <v>2012</v>
      </c>
      <c r="C1604">
        <v>8.9999999999999993E-3</v>
      </c>
    </row>
    <row r="1605" spans="1:3" x14ac:dyDescent="0.35">
      <c r="A1605">
        <v>40</v>
      </c>
      <c r="B1605">
        <v>2013</v>
      </c>
      <c r="C1605">
        <v>7.3000000000000001E-3</v>
      </c>
    </row>
    <row r="1606" spans="1:3" x14ac:dyDescent="0.35">
      <c r="A1606">
        <v>40</v>
      </c>
      <c r="B1606">
        <v>2014</v>
      </c>
      <c r="C1606">
        <v>5.7999999999999996E-3</v>
      </c>
    </row>
    <row r="1607" spans="1:3" x14ac:dyDescent="0.35">
      <c r="A1607">
        <v>40</v>
      </c>
      <c r="B1607">
        <v>2015</v>
      </c>
      <c r="C1607">
        <v>4.4999999999999997E-3</v>
      </c>
    </row>
    <row r="1608" spans="1:3" x14ac:dyDescent="0.35">
      <c r="A1608">
        <v>40</v>
      </c>
      <c r="B1608">
        <v>2016</v>
      </c>
      <c r="C1608">
        <v>3.5999999999999999E-3</v>
      </c>
    </row>
    <row r="1609" spans="1:3" x14ac:dyDescent="0.35">
      <c r="A1609">
        <v>40</v>
      </c>
      <c r="B1609">
        <v>2017</v>
      </c>
      <c r="C1609">
        <v>3.0999999999999999E-3</v>
      </c>
    </row>
    <row r="1610" spans="1:3" x14ac:dyDescent="0.35">
      <c r="A1610">
        <v>40</v>
      </c>
      <c r="B1610">
        <v>2018</v>
      </c>
      <c r="C1610">
        <v>3.0999999999999999E-3</v>
      </c>
    </row>
    <row r="1611" spans="1:3" x14ac:dyDescent="0.35">
      <c r="A1611">
        <v>40</v>
      </c>
      <c r="B1611">
        <v>2019</v>
      </c>
      <c r="C1611">
        <v>3.5000000000000001E-3</v>
      </c>
    </row>
    <row r="1612" spans="1:3" x14ac:dyDescent="0.35">
      <c r="A1612">
        <v>40</v>
      </c>
      <c r="B1612">
        <v>2020</v>
      </c>
      <c r="C1612">
        <v>4.3E-3</v>
      </c>
    </row>
    <row r="1613" spans="1:3" x14ac:dyDescent="0.35">
      <c r="A1613">
        <v>40</v>
      </c>
      <c r="B1613">
        <v>2021</v>
      </c>
      <c r="C1613">
        <v>5.3E-3</v>
      </c>
    </row>
    <row r="1614" spans="1:3" x14ac:dyDescent="0.35">
      <c r="A1614">
        <v>40</v>
      </c>
      <c r="B1614">
        <v>2022</v>
      </c>
      <c r="C1614">
        <v>6.4000000000000003E-3</v>
      </c>
    </row>
    <row r="1615" spans="1:3" x14ac:dyDescent="0.35">
      <c r="A1615">
        <v>40</v>
      </c>
      <c r="B1615">
        <v>2023</v>
      </c>
      <c r="C1615">
        <v>7.4999999999999997E-3</v>
      </c>
    </row>
    <row r="1616" spans="1:3" x14ac:dyDescent="0.35">
      <c r="A1616">
        <v>40</v>
      </c>
      <c r="B1616">
        <v>2024</v>
      </c>
      <c r="C1616">
        <v>8.3999999999999995E-3</v>
      </c>
    </row>
    <row r="1617" spans="1:3" x14ac:dyDescent="0.35">
      <c r="A1617">
        <v>40</v>
      </c>
      <c r="B1617">
        <v>2025</v>
      </c>
      <c r="C1617">
        <v>9.1999999999999998E-3</v>
      </c>
    </row>
    <row r="1618" spans="1:3" x14ac:dyDescent="0.35">
      <c r="A1618">
        <v>40</v>
      </c>
      <c r="B1618">
        <v>2026</v>
      </c>
      <c r="C1618">
        <v>9.7999999999999997E-3</v>
      </c>
    </row>
    <row r="1619" spans="1:3" x14ac:dyDescent="0.35">
      <c r="A1619">
        <v>40</v>
      </c>
      <c r="B1619">
        <v>2027</v>
      </c>
      <c r="C1619">
        <v>1.0200000000000001E-2</v>
      </c>
    </row>
    <row r="1620" spans="1:3" x14ac:dyDescent="0.35">
      <c r="A1620">
        <v>40</v>
      </c>
      <c r="B1620">
        <v>2028</v>
      </c>
      <c r="C1620">
        <v>1.03E-2</v>
      </c>
    </row>
    <row r="1621" spans="1:3" x14ac:dyDescent="0.35">
      <c r="A1621">
        <v>40</v>
      </c>
      <c r="B1621">
        <v>2029</v>
      </c>
      <c r="C1621">
        <v>1.03E-2</v>
      </c>
    </row>
    <row r="1622" spans="1:3" x14ac:dyDescent="0.35">
      <c r="A1622">
        <v>40</v>
      </c>
      <c r="B1622">
        <v>2030</v>
      </c>
      <c r="C1622">
        <v>1.0200000000000001E-2</v>
      </c>
    </row>
    <row r="1623" spans="1:3" x14ac:dyDescent="0.35">
      <c r="A1623">
        <v>40</v>
      </c>
      <c r="B1623">
        <v>2031</v>
      </c>
      <c r="C1623">
        <v>1.01E-2</v>
      </c>
    </row>
    <row r="1624" spans="1:3" x14ac:dyDescent="0.35">
      <c r="A1624">
        <v>41</v>
      </c>
      <c r="B1624">
        <v>1951</v>
      </c>
      <c r="C1624">
        <v>3.2000000000000001E-2</v>
      </c>
    </row>
    <row r="1625" spans="1:3" x14ac:dyDescent="0.35">
      <c r="A1625">
        <v>41</v>
      </c>
      <c r="B1625">
        <v>1952</v>
      </c>
      <c r="C1625">
        <v>2.92E-2</v>
      </c>
    </row>
    <row r="1626" spans="1:3" x14ac:dyDescent="0.35">
      <c r="A1626">
        <v>41</v>
      </c>
      <c r="B1626">
        <v>1953</v>
      </c>
      <c r="C1626">
        <v>2.6200000000000001E-2</v>
      </c>
    </row>
    <row r="1627" spans="1:3" x14ac:dyDescent="0.35">
      <c r="A1627">
        <v>41</v>
      </c>
      <c r="B1627">
        <v>1954</v>
      </c>
      <c r="C1627">
        <v>2.2800000000000001E-2</v>
      </c>
    </row>
    <row r="1628" spans="1:3" x14ac:dyDescent="0.35">
      <c r="A1628">
        <v>41</v>
      </c>
      <c r="B1628">
        <v>1955</v>
      </c>
      <c r="C1628">
        <v>1.8800000000000001E-2</v>
      </c>
    </row>
    <row r="1629" spans="1:3" x14ac:dyDescent="0.35">
      <c r="A1629">
        <v>41</v>
      </c>
      <c r="B1629">
        <v>1956</v>
      </c>
      <c r="C1629">
        <v>1.47E-2</v>
      </c>
    </row>
    <row r="1630" spans="1:3" x14ac:dyDescent="0.35">
      <c r="A1630">
        <v>41</v>
      </c>
      <c r="B1630">
        <v>1957</v>
      </c>
      <c r="C1630">
        <v>1.06E-2</v>
      </c>
    </row>
    <row r="1631" spans="1:3" x14ac:dyDescent="0.35">
      <c r="A1631">
        <v>41</v>
      </c>
      <c r="B1631">
        <v>1958</v>
      </c>
      <c r="C1631">
        <v>7.0000000000000001E-3</v>
      </c>
    </row>
    <row r="1632" spans="1:3" x14ac:dyDescent="0.35">
      <c r="A1632">
        <v>41</v>
      </c>
      <c r="B1632">
        <v>1959</v>
      </c>
      <c r="C1632">
        <v>3.5000000000000001E-3</v>
      </c>
    </row>
    <row r="1633" spans="1:3" x14ac:dyDescent="0.35">
      <c r="A1633">
        <v>41</v>
      </c>
      <c r="B1633">
        <v>1960</v>
      </c>
      <c r="C1633">
        <v>2.9999999999999997E-4</v>
      </c>
    </row>
    <row r="1634" spans="1:3" x14ac:dyDescent="0.35">
      <c r="A1634">
        <v>41</v>
      </c>
      <c r="B1634">
        <v>1961</v>
      </c>
      <c r="C1634">
        <v>-2.8999999999999998E-3</v>
      </c>
    </row>
    <row r="1635" spans="1:3" x14ac:dyDescent="0.35">
      <c r="A1635">
        <v>41</v>
      </c>
      <c r="B1635">
        <v>1962</v>
      </c>
      <c r="C1635">
        <v>-5.7999999999999996E-3</v>
      </c>
    </row>
    <row r="1636" spans="1:3" x14ac:dyDescent="0.35">
      <c r="A1636">
        <v>41</v>
      </c>
      <c r="B1636">
        <v>1963</v>
      </c>
      <c r="C1636">
        <v>-8.3999999999999995E-3</v>
      </c>
    </row>
    <row r="1637" spans="1:3" x14ac:dyDescent="0.35">
      <c r="A1637">
        <v>41</v>
      </c>
      <c r="B1637">
        <v>1964</v>
      </c>
      <c r="C1637">
        <v>-1.03E-2</v>
      </c>
    </row>
    <row r="1638" spans="1:3" x14ac:dyDescent="0.35">
      <c r="A1638">
        <v>41</v>
      </c>
      <c r="B1638">
        <v>1965</v>
      </c>
      <c r="C1638">
        <v>-1.12E-2</v>
      </c>
    </row>
    <row r="1639" spans="1:3" x14ac:dyDescent="0.35">
      <c r="A1639">
        <v>41</v>
      </c>
      <c r="B1639">
        <v>1966</v>
      </c>
      <c r="C1639">
        <v>-1.0800000000000001E-2</v>
      </c>
    </row>
    <row r="1640" spans="1:3" x14ac:dyDescent="0.35">
      <c r="A1640">
        <v>41</v>
      </c>
      <c r="B1640">
        <v>1967</v>
      </c>
      <c r="C1640">
        <v>-8.8000000000000005E-3</v>
      </c>
    </row>
    <row r="1641" spans="1:3" x14ac:dyDescent="0.35">
      <c r="A1641">
        <v>41</v>
      </c>
      <c r="B1641">
        <v>1968</v>
      </c>
      <c r="C1641">
        <v>-5.1999999999999998E-3</v>
      </c>
    </row>
    <row r="1642" spans="1:3" x14ac:dyDescent="0.35">
      <c r="A1642">
        <v>41</v>
      </c>
      <c r="B1642">
        <v>1969</v>
      </c>
      <c r="C1642">
        <v>1E-4</v>
      </c>
    </row>
    <row r="1643" spans="1:3" x14ac:dyDescent="0.35">
      <c r="A1643">
        <v>41</v>
      </c>
      <c r="B1643">
        <v>1970</v>
      </c>
      <c r="C1643">
        <v>6.6E-3</v>
      </c>
    </row>
    <row r="1644" spans="1:3" x14ac:dyDescent="0.35">
      <c r="A1644">
        <v>41</v>
      </c>
      <c r="B1644">
        <v>1971</v>
      </c>
      <c r="C1644">
        <v>1.35E-2</v>
      </c>
    </row>
    <row r="1645" spans="1:3" x14ac:dyDescent="0.35">
      <c r="A1645">
        <v>41</v>
      </c>
      <c r="B1645">
        <v>1972</v>
      </c>
      <c r="C1645">
        <v>0.02</v>
      </c>
    </row>
    <row r="1646" spans="1:3" x14ac:dyDescent="0.35">
      <c r="A1646">
        <v>41</v>
      </c>
      <c r="B1646">
        <v>1973</v>
      </c>
      <c r="C1646">
        <v>2.58E-2</v>
      </c>
    </row>
    <row r="1647" spans="1:3" x14ac:dyDescent="0.35">
      <c r="A1647">
        <v>41</v>
      </c>
      <c r="B1647">
        <v>1974</v>
      </c>
      <c r="C1647">
        <v>3.0200000000000001E-2</v>
      </c>
    </row>
    <row r="1648" spans="1:3" x14ac:dyDescent="0.35">
      <c r="A1648">
        <v>41</v>
      </c>
      <c r="B1648">
        <v>1975</v>
      </c>
      <c r="C1648">
        <v>3.3300000000000003E-2</v>
      </c>
    </row>
    <row r="1649" spans="1:3" x14ac:dyDescent="0.35">
      <c r="A1649">
        <v>41</v>
      </c>
      <c r="B1649">
        <v>1976</v>
      </c>
      <c r="C1649">
        <v>3.5000000000000003E-2</v>
      </c>
    </row>
    <row r="1650" spans="1:3" x14ac:dyDescent="0.35">
      <c r="A1650">
        <v>41</v>
      </c>
      <c r="B1650">
        <v>1977</v>
      </c>
      <c r="C1650">
        <v>3.5400000000000001E-2</v>
      </c>
    </row>
    <row r="1651" spans="1:3" x14ac:dyDescent="0.35">
      <c r="A1651">
        <v>41</v>
      </c>
      <c r="B1651">
        <v>1978</v>
      </c>
      <c r="C1651">
        <v>3.4599999999999999E-2</v>
      </c>
    </row>
    <row r="1652" spans="1:3" x14ac:dyDescent="0.35">
      <c r="A1652">
        <v>41</v>
      </c>
      <c r="B1652">
        <v>1979</v>
      </c>
      <c r="C1652">
        <v>3.27E-2</v>
      </c>
    </row>
    <row r="1653" spans="1:3" x14ac:dyDescent="0.35">
      <c r="A1653">
        <v>41</v>
      </c>
      <c r="B1653">
        <v>1980</v>
      </c>
      <c r="C1653">
        <v>2.9499999999999998E-2</v>
      </c>
    </row>
    <row r="1654" spans="1:3" x14ac:dyDescent="0.35">
      <c r="A1654">
        <v>41</v>
      </c>
      <c r="B1654">
        <v>1981</v>
      </c>
      <c r="C1654">
        <v>2.4899999999999999E-2</v>
      </c>
    </row>
    <row r="1655" spans="1:3" x14ac:dyDescent="0.35">
      <c r="A1655">
        <v>41</v>
      </c>
      <c r="B1655">
        <v>1982</v>
      </c>
      <c r="C1655">
        <v>1.8800000000000001E-2</v>
      </c>
    </row>
    <row r="1656" spans="1:3" x14ac:dyDescent="0.35">
      <c r="A1656">
        <v>41</v>
      </c>
      <c r="B1656">
        <v>1983</v>
      </c>
      <c r="C1656">
        <v>1.1299999999999999E-2</v>
      </c>
    </row>
    <row r="1657" spans="1:3" x14ac:dyDescent="0.35">
      <c r="A1657">
        <v>41</v>
      </c>
      <c r="B1657">
        <v>1984</v>
      </c>
      <c r="C1657">
        <v>3.0999999999999999E-3</v>
      </c>
    </row>
    <row r="1658" spans="1:3" x14ac:dyDescent="0.35">
      <c r="A1658">
        <v>41</v>
      </c>
      <c r="B1658">
        <v>1985</v>
      </c>
      <c r="C1658">
        <v>-5.0000000000000001E-3</v>
      </c>
    </row>
    <row r="1659" spans="1:3" x14ac:dyDescent="0.35">
      <c r="A1659">
        <v>41</v>
      </c>
      <c r="B1659">
        <v>1986</v>
      </c>
      <c r="C1659">
        <v>-1.2E-2</v>
      </c>
    </row>
    <row r="1660" spans="1:3" x14ac:dyDescent="0.35">
      <c r="A1660">
        <v>41</v>
      </c>
      <c r="B1660">
        <v>1987</v>
      </c>
      <c r="C1660">
        <v>-1.7399999999999999E-2</v>
      </c>
    </row>
    <row r="1661" spans="1:3" x14ac:dyDescent="0.35">
      <c r="A1661">
        <v>41</v>
      </c>
      <c r="B1661">
        <v>1988</v>
      </c>
      <c r="C1661">
        <v>-2.0899999999999998E-2</v>
      </c>
    </row>
    <row r="1662" spans="1:3" x14ac:dyDescent="0.35">
      <c r="A1662">
        <v>41</v>
      </c>
      <c r="B1662">
        <v>1989</v>
      </c>
      <c r="C1662">
        <v>-2.2100000000000002E-2</v>
      </c>
    </row>
    <row r="1663" spans="1:3" x14ac:dyDescent="0.35">
      <c r="A1663">
        <v>41</v>
      </c>
      <c r="B1663">
        <v>1990</v>
      </c>
      <c r="C1663">
        <v>-2.0799999999999999E-2</v>
      </c>
    </row>
    <row r="1664" spans="1:3" x14ac:dyDescent="0.35">
      <c r="A1664">
        <v>41</v>
      </c>
      <c r="B1664">
        <v>1991</v>
      </c>
      <c r="C1664">
        <v>-1.67E-2</v>
      </c>
    </row>
    <row r="1665" spans="1:3" x14ac:dyDescent="0.35">
      <c r="A1665">
        <v>41</v>
      </c>
      <c r="B1665">
        <v>1992</v>
      </c>
      <c r="C1665">
        <v>-9.7000000000000003E-3</v>
      </c>
    </row>
    <row r="1666" spans="1:3" x14ac:dyDescent="0.35">
      <c r="A1666">
        <v>41</v>
      </c>
      <c r="B1666">
        <v>1993</v>
      </c>
      <c r="C1666">
        <v>4.0000000000000002E-4</v>
      </c>
    </row>
    <row r="1667" spans="1:3" x14ac:dyDescent="0.35">
      <c r="A1667">
        <v>41</v>
      </c>
      <c r="B1667">
        <v>1994</v>
      </c>
      <c r="C1667">
        <v>1.2200000000000001E-2</v>
      </c>
    </row>
    <row r="1668" spans="1:3" x14ac:dyDescent="0.35">
      <c r="A1668">
        <v>41</v>
      </c>
      <c r="B1668">
        <v>1995</v>
      </c>
      <c r="C1668">
        <v>2.3699999999999999E-2</v>
      </c>
    </row>
    <row r="1669" spans="1:3" x14ac:dyDescent="0.35">
      <c r="A1669">
        <v>41</v>
      </c>
      <c r="B1669">
        <v>1996</v>
      </c>
      <c r="C1669">
        <v>3.2300000000000002E-2</v>
      </c>
    </row>
    <row r="1670" spans="1:3" x14ac:dyDescent="0.35">
      <c r="A1670">
        <v>41</v>
      </c>
      <c r="B1670">
        <v>1997</v>
      </c>
      <c r="C1670">
        <v>3.5700000000000003E-2</v>
      </c>
    </row>
    <row r="1671" spans="1:3" x14ac:dyDescent="0.35">
      <c r="A1671">
        <v>41</v>
      </c>
      <c r="B1671">
        <v>1998</v>
      </c>
      <c r="C1671">
        <v>3.3799999999999997E-2</v>
      </c>
    </row>
    <row r="1672" spans="1:3" x14ac:dyDescent="0.35">
      <c r="A1672">
        <v>41</v>
      </c>
      <c r="B1672">
        <v>1999</v>
      </c>
      <c r="C1672">
        <v>2.8199999999999999E-2</v>
      </c>
    </row>
    <row r="1673" spans="1:3" x14ac:dyDescent="0.35">
      <c r="A1673">
        <v>41</v>
      </c>
      <c r="B1673">
        <v>2000</v>
      </c>
      <c r="C1673">
        <v>2.1399999999999999E-2</v>
      </c>
    </row>
    <row r="1674" spans="1:3" x14ac:dyDescent="0.35">
      <c r="A1674">
        <v>41</v>
      </c>
      <c r="B1674">
        <v>2001</v>
      </c>
      <c r="C1674">
        <v>1.5699999999999999E-2</v>
      </c>
    </row>
    <row r="1675" spans="1:3" x14ac:dyDescent="0.35">
      <c r="A1675">
        <v>41</v>
      </c>
      <c r="B1675">
        <v>2002</v>
      </c>
      <c r="C1675">
        <v>1.26E-2</v>
      </c>
    </row>
    <row r="1676" spans="1:3" x14ac:dyDescent="0.35">
      <c r="A1676">
        <v>41</v>
      </c>
      <c r="B1676">
        <v>2003</v>
      </c>
      <c r="C1676">
        <v>1.24E-2</v>
      </c>
    </row>
    <row r="1677" spans="1:3" x14ac:dyDescent="0.35">
      <c r="A1677">
        <v>41</v>
      </c>
      <c r="B1677">
        <v>2004</v>
      </c>
      <c r="C1677">
        <v>1.46E-2</v>
      </c>
    </row>
    <row r="1678" spans="1:3" x14ac:dyDescent="0.35">
      <c r="A1678">
        <v>41</v>
      </c>
      <c r="B1678">
        <v>2005</v>
      </c>
      <c r="C1678">
        <v>1.7999999999999999E-2</v>
      </c>
    </row>
    <row r="1679" spans="1:3" x14ac:dyDescent="0.35">
      <c r="A1679">
        <v>41</v>
      </c>
      <c r="B1679">
        <v>2006</v>
      </c>
      <c r="C1679">
        <v>2.18E-2</v>
      </c>
    </row>
    <row r="1680" spans="1:3" x14ac:dyDescent="0.35">
      <c r="A1680">
        <v>41</v>
      </c>
      <c r="B1680">
        <v>2007</v>
      </c>
      <c r="C1680">
        <v>2.5000000000000001E-2</v>
      </c>
    </row>
    <row r="1681" spans="1:3" x14ac:dyDescent="0.35">
      <c r="A1681">
        <v>41</v>
      </c>
      <c r="B1681">
        <v>2008</v>
      </c>
      <c r="C1681">
        <v>2.6499999999999999E-2</v>
      </c>
    </row>
    <row r="1682" spans="1:3" x14ac:dyDescent="0.35">
      <c r="A1682">
        <v>41</v>
      </c>
      <c r="B1682">
        <v>2009</v>
      </c>
      <c r="C1682">
        <v>2.5999999999999999E-2</v>
      </c>
    </row>
    <row r="1683" spans="1:3" x14ac:dyDescent="0.35">
      <c r="A1683">
        <v>41</v>
      </c>
      <c r="B1683">
        <v>2010</v>
      </c>
      <c r="C1683">
        <v>2.3199999999999998E-2</v>
      </c>
    </row>
    <row r="1684" spans="1:3" x14ac:dyDescent="0.35">
      <c r="A1684">
        <v>41</v>
      </c>
      <c r="B1684">
        <v>2011</v>
      </c>
      <c r="C1684">
        <v>1.83E-2</v>
      </c>
    </row>
    <row r="1685" spans="1:3" x14ac:dyDescent="0.35">
      <c r="A1685">
        <v>41</v>
      </c>
      <c r="B1685">
        <v>2012</v>
      </c>
      <c r="C1685">
        <v>1.21E-2</v>
      </c>
    </row>
    <row r="1686" spans="1:3" x14ac:dyDescent="0.35">
      <c r="A1686">
        <v>41</v>
      </c>
      <c r="B1686">
        <v>2013</v>
      </c>
      <c r="C1686">
        <v>1.0500000000000001E-2</v>
      </c>
    </row>
    <row r="1687" spans="1:3" x14ac:dyDescent="0.35">
      <c r="A1687">
        <v>41</v>
      </c>
      <c r="B1687">
        <v>2014</v>
      </c>
      <c r="C1687">
        <v>8.8000000000000005E-3</v>
      </c>
    </row>
    <row r="1688" spans="1:3" x14ac:dyDescent="0.35">
      <c r="A1688">
        <v>41</v>
      </c>
      <c r="B1688">
        <v>2015</v>
      </c>
      <c r="C1688">
        <v>7.1999999999999998E-3</v>
      </c>
    </row>
    <row r="1689" spans="1:3" x14ac:dyDescent="0.35">
      <c r="A1689">
        <v>41</v>
      </c>
      <c r="B1689">
        <v>2016</v>
      </c>
      <c r="C1689">
        <v>5.7999999999999996E-3</v>
      </c>
    </row>
    <row r="1690" spans="1:3" x14ac:dyDescent="0.35">
      <c r="A1690">
        <v>41</v>
      </c>
      <c r="B1690">
        <v>2017</v>
      </c>
      <c r="C1690">
        <v>4.7999999999999996E-3</v>
      </c>
    </row>
    <row r="1691" spans="1:3" x14ac:dyDescent="0.35">
      <c r="A1691">
        <v>41</v>
      </c>
      <c r="B1691">
        <v>2018</v>
      </c>
      <c r="C1691">
        <v>4.1999999999999997E-3</v>
      </c>
    </row>
    <row r="1692" spans="1:3" x14ac:dyDescent="0.35">
      <c r="A1692">
        <v>41</v>
      </c>
      <c r="B1692">
        <v>2019</v>
      </c>
      <c r="C1692">
        <v>4.1000000000000003E-3</v>
      </c>
    </row>
    <row r="1693" spans="1:3" x14ac:dyDescent="0.35">
      <c r="A1693">
        <v>41</v>
      </c>
      <c r="B1693">
        <v>2020</v>
      </c>
      <c r="C1693">
        <v>4.4000000000000003E-3</v>
      </c>
    </row>
    <row r="1694" spans="1:3" x14ac:dyDescent="0.35">
      <c r="A1694">
        <v>41</v>
      </c>
      <c r="B1694">
        <v>2021</v>
      </c>
      <c r="C1694">
        <v>5.0000000000000001E-3</v>
      </c>
    </row>
    <row r="1695" spans="1:3" x14ac:dyDescent="0.35">
      <c r="A1695">
        <v>41</v>
      </c>
      <c r="B1695">
        <v>2022</v>
      </c>
      <c r="C1695">
        <v>5.8999999999999999E-3</v>
      </c>
    </row>
    <row r="1696" spans="1:3" x14ac:dyDescent="0.35">
      <c r="A1696">
        <v>41</v>
      </c>
      <c r="B1696">
        <v>2023</v>
      </c>
      <c r="C1696">
        <v>6.8999999999999999E-3</v>
      </c>
    </row>
    <row r="1697" spans="1:3" x14ac:dyDescent="0.35">
      <c r="A1697">
        <v>41</v>
      </c>
      <c r="B1697">
        <v>2024</v>
      </c>
      <c r="C1697">
        <v>7.9000000000000008E-3</v>
      </c>
    </row>
    <row r="1698" spans="1:3" x14ac:dyDescent="0.35">
      <c r="A1698">
        <v>41</v>
      </c>
      <c r="B1698">
        <v>2025</v>
      </c>
      <c r="C1698">
        <v>8.6999999999999994E-3</v>
      </c>
    </row>
    <row r="1699" spans="1:3" x14ac:dyDescent="0.35">
      <c r="A1699">
        <v>41</v>
      </c>
      <c r="B1699">
        <v>2026</v>
      </c>
      <c r="C1699">
        <v>9.4000000000000004E-3</v>
      </c>
    </row>
    <row r="1700" spans="1:3" x14ac:dyDescent="0.35">
      <c r="A1700">
        <v>41</v>
      </c>
      <c r="B1700">
        <v>2027</v>
      </c>
      <c r="C1700">
        <v>9.9000000000000008E-3</v>
      </c>
    </row>
    <row r="1701" spans="1:3" x14ac:dyDescent="0.35">
      <c r="A1701">
        <v>41</v>
      </c>
      <c r="B1701">
        <v>2028</v>
      </c>
      <c r="C1701">
        <v>1.01E-2</v>
      </c>
    </row>
    <row r="1702" spans="1:3" x14ac:dyDescent="0.35">
      <c r="A1702">
        <v>41</v>
      </c>
      <c r="B1702">
        <v>2029</v>
      </c>
      <c r="C1702">
        <v>1.0200000000000001E-2</v>
      </c>
    </row>
    <row r="1703" spans="1:3" x14ac:dyDescent="0.35">
      <c r="A1703">
        <v>41</v>
      </c>
      <c r="B1703">
        <v>2030</v>
      </c>
      <c r="C1703">
        <v>1.0200000000000001E-2</v>
      </c>
    </row>
    <row r="1704" spans="1:3" x14ac:dyDescent="0.35">
      <c r="A1704">
        <v>41</v>
      </c>
      <c r="B1704">
        <v>2031</v>
      </c>
      <c r="C1704">
        <v>1.01E-2</v>
      </c>
    </row>
    <row r="1705" spans="1:3" x14ac:dyDescent="0.35">
      <c r="A1705">
        <v>42</v>
      </c>
      <c r="B1705">
        <v>1951</v>
      </c>
      <c r="C1705">
        <v>3.0200000000000001E-2</v>
      </c>
    </row>
    <row r="1706" spans="1:3" x14ac:dyDescent="0.35">
      <c r="A1706">
        <v>42</v>
      </c>
      <c r="B1706">
        <v>1952</v>
      </c>
      <c r="C1706">
        <v>2.7699999999999999E-2</v>
      </c>
    </row>
    <row r="1707" spans="1:3" x14ac:dyDescent="0.35">
      <c r="A1707">
        <v>42</v>
      </c>
      <c r="B1707">
        <v>1953</v>
      </c>
      <c r="C1707">
        <v>2.5000000000000001E-2</v>
      </c>
    </row>
    <row r="1708" spans="1:3" x14ac:dyDescent="0.35">
      <c r="A1708">
        <v>42</v>
      </c>
      <c r="B1708">
        <v>1954</v>
      </c>
      <c r="C1708">
        <v>2.1899999999999999E-2</v>
      </c>
    </row>
    <row r="1709" spans="1:3" x14ac:dyDescent="0.35">
      <c r="A1709">
        <v>42</v>
      </c>
      <c r="B1709">
        <v>1955</v>
      </c>
      <c r="C1709">
        <v>1.83E-2</v>
      </c>
    </row>
    <row r="1710" spans="1:3" x14ac:dyDescent="0.35">
      <c r="A1710">
        <v>42</v>
      </c>
      <c r="B1710">
        <v>1956</v>
      </c>
      <c r="C1710">
        <v>1.44E-2</v>
      </c>
    </row>
    <row r="1711" spans="1:3" x14ac:dyDescent="0.35">
      <c r="A1711">
        <v>42</v>
      </c>
      <c r="B1711">
        <v>1957</v>
      </c>
      <c r="C1711">
        <v>1.0699999999999999E-2</v>
      </c>
    </row>
    <row r="1712" spans="1:3" x14ac:dyDescent="0.35">
      <c r="A1712">
        <v>42</v>
      </c>
      <c r="B1712">
        <v>1958</v>
      </c>
      <c r="C1712">
        <v>7.1999999999999998E-3</v>
      </c>
    </row>
    <row r="1713" spans="1:3" x14ac:dyDescent="0.35">
      <c r="A1713">
        <v>42</v>
      </c>
      <c r="B1713">
        <v>1959</v>
      </c>
      <c r="C1713">
        <v>4.0000000000000001E-3</v>
      </c>
    </row>
    <row r="1714" spans="1:3" x14ac:dyDescent="0.35">
      <c r="A1714">
        <v>42</v>
      </c>
      <c r="B1714">
        <v>1960</v>
      </c>
      <c r="C1714">
        <v>8.9999999999999998E-4</v>
      </c>
    </row>
    <row r="1715" spans="1:3" x14ac:dyDescent="0.35">
      <c r="A1715">
        <v>42</v>
      </c>
      <c r="B1715">
        <v>1961</v>
      </c>
      <c r="C1715">
        <v>-2.0999999999999999E-3</v>
      </c>
    </row>
    <row r="1716" spans="1:3" x14ac:dyDescent="0.35">
      <c r="A1716">
        <v>42</v>
      </c>
      <c r="B1716">
        <v>1962</v>
      </c>
      <c r="C1716">
        <v>-4.8999999999999998E-3</v>
      </c>
    </row>
    <row r="1717" spans="1:3" x14ac:dyDescent="0.35">
      <c r="A1717">
        <v>42</v>
      </c>
      <c r="B1717">
        <v>1963</v>
      </c>
      <c r="C1717">
        <v>-7.3000000000000001E-3</v>
      </c>
    </row>
    <row r="1718" spans="1:3" x14ac:dyDescent="0.35">
      <c r="A1718">
        <v>42</v>
      </c>
      <c r="B1718">
        <v>1964</v>
      </c>
      <c r="C1718">
        <v>-9.1000000000000004E-3</v>
      </c>
    </row>
    <row r="1719" spans="1:3" x14ac:dyDescent="0.35">
      <c r="A1719">
        <v>42</v>
      </c>
      <c r="B1719">
        <v>1965</v>
      </c>
      <c r="C1719">
        <v>-0.01</v>
      </c>
    </row>
    <row r="1720" spans="1:3" x14ac:dyDescent="0.35">
      <c r="A1720">
        <v>42</v>
      </c>
      <c r="B1720">
        <v>1966</v>
      </c>
      <c r="C1720">
        <v>-9.5999999999999992E-3</v>
      </c>
    </row>
    <row r="1721" spans="1:3" x14ac:dyDescent="0.35">
      <c r="A1721">
        <v>42</v>
      </c>
      <c r="B1721">
        <v>1967</v>
      </c>
      <c r="C1721">
        <v>-7.7999999999999996E-3</v>
      </c>
    </row>
    <row r="1722" spans="1:3" x14ac:dyDescent="0.35">
      <c r="A1722">
        <v>42</v>
      </c>
      <c r="B1722">
        <v>1968</v>
      </c>
      <c r="C1722">
        <v>-4.4000000000000003E-3</v>
      </c>
    </row>
    <row r="1723" spans="1:3" x14ac:dyDescent="0.35">
      <c r="A1723">
        <v>42</v>
      </c>
      <c r="B1723">
        <v>1969</v>
      </c>
      <c r="C1723">
        <v>5.9999999999999995E-4</v>
      </c>
    </row>
    <row r="1724" spans="1:3" x14ac:dyDescent="0.35">
      <c r="A1724">
        <v>42</v>
      </c>
      <c r="B1724">
        <v>1970</v>
      </c>
      <c r="C1724">
        <v>6.7999999999999996E-3</v>
      </c>
    </row>
    <row r="1725" spans="1:3" x14ac:dyDescent="0.35">
      <c r="A1725">
        <v>42</v>
      </c>
      <c r="B1725">
        <v>1971</v>
      </c>
      <c r="C1725">
        <v>1.34E-2</v>
      </c>
    </row>
    <row r="1726" spans="1:3" x14ac:dyDescent="0.35">
      <c r="A1726">
        <v>42</v>
      </c>
      <c r="B1726">
        <v>1972</v>
      </c>
      <c r="C1726">
        <v>1.9699999999999999E-2</v>
      </c>
    </row>
    <row r="1727" spans="1:3" x14ac:dyDescent="0.35">
      <c r="A1727">
        <v>42</v>
      </c>
      <c r="B1727">
        <v>1973</v>
      </c>
      <c r="C1727">
        <v>2.53E-2</v>
      </c>
    </row>
    <row r="1728" spans="1:3" x14ac:dyDescent="0.35">
      <c r="A1728">
        <v>42</v>
      </c>
      <c r="B1728">
        <v>1974</v>
      </c>
      <c r="C1728">
        <v>2.98E-2</v>
      </c>
    </row>
    <row r="1729" spans="1:3" x14ac:dyDescent="0.35">
      <c r="A1729">
        <v>42</v>
      </c>
      <c r="B1729">
        <v>1975</v>
      </c>
      <c r="C1729">
        <v>3.2899999999999999E-2</v>
      </c>
    </row>
    <row r="1730" spans="1:3" x14ac:dyDescent="0.35">
      <c r="A1730">
        <v>42</v>
      </c>
      <c r="B1730">
        <v>1976</v>
      </c>
      <c r="C1730">
        <v>3.4700000000000002E-2</v>
      </c>
    </row>
    <row r="1731" spans="1:3" x14ac:dyDescent="0.35">
      <c r="A1731">
        <v>42</v>
      </c>
      <c r="B1731">
        <v>1977</v>
      </c>
      <c r="C1731">
        <v>3.5299999999999998E-2</v>
      </c>
    </row>
    <row r="1732" spans="1:3" x14ac:dyDescent="0.35">
      <c r="A1732">
        <v>42</v>
      </c>
      <c r="B1732">
        <v>1978</v>
      </c>
      <c r="C1732">
        <v>3.4799999999999998E-2</v>
      </c>
    </row>
    <row r="1733" spans="1:3" x14ac:dyDescent="0.35">
      <c r="A1733">
        <v>42</v>
      </c>
      <c r="B1733">
        <v>1979</v>
      </c>
      <c r="C1733">
        <v>3.3099999999999997E-2</v>
      </c>
    </row>
    <row r="1734" spans="1:3" x14ac:dyDescent="0.35">
      <c r="A1734">
        <v>42</v>
      </c>
      <c r="B1734">
        <v>1980</v>
      </c>
      <c r="C1734">
        <v>3.04E-2</v>
      </c>
    </row>
    <row r="1735" spans="1:3" x14ac:dyDescent="0.35">
      <c r="A1735">
        <v>42</v>
      </c>
      <c r="B1735">
        <v>1981</v>
      </c>
      <c r="C1735">
        <v>2.64E-2</v>
      </c>
    </row>
    <row r="1736" spans="1:3" x14ac:dyDescent="0.35">
      <c r="A1736">
        <v>42</v>
      </c>
      <c r="B1736">
        <v>1982</v>
      </c>
      <c r="C1736">
        <v>2.1100000000000001E-2</v>
      </c>
    </row>
    <row r="1737" spans="1:3" x14ac:dyDescent="0.35">
      <c r="A1737">
        <v>42</v>
      </c>
      <c r="B1737">
        <v>1983</v>
      </c>
      <c r="C1737">
        <v>1.46E-2</v>
      </c>
    </row>
    <row r="1738" spans="1:3" x14ac:dyDescent="0.35">
      <c r="A1738">
        <v>42</v>
      </c>
      <c r="B1738">
        <v>1984</v>
      </c>
      <c r="C1738">
        <v>7.3000000000000001E-3</v>
      </c>
    </row>
    <row r="1739" spans="1:3" x14ac:dyDescent="0.35">
      <c r="A1739">
        <v>42</v>
      </c>
      <c r="B1739">
        <v>1985</v>
      </c>
      <c r="C1739">
        <v>1E-4</v>
      </c>
    </row>
    <row r="1740" spans="1:3" x14ac:dyDescent="0.35">
      <c r="A1740">
        <v>42</v>
      </c>
      <c r="B1740">
        <v>1986</v>
      </c>
      <c r="C1740">
        <v>-6.4000000000000003E-3</v>
      </c>
    </row>
    <row r="1741" spans="1:3" x14ac:dyDescent="0.35">
      <c r="A1741">
        <v>42</v>
      </c>
      <c r="B1741">
        <v>1987</v>
      </c>
      <c r="C1741">
        <v>-1.18E-2</v>
      </c>
    </row>
    <row r="1742" spans="1:3" x14ac:dyDescent="0.35">
      <c r="A1742">
        <v>42</v>
      </c>
      <c r="B1742">
        <v>1988</v>
      </c>
      <c r="C1742">
        <v>-1.5699999999999999E-2</v>
      </c>
    </row>
    <row r="1743" spans="1:3" x14ac:dyDescent="0.35">
      <c r="A1743">
        <v>42</v>
      </c>
      <c r="B1743">
        <v>1989</v>
      </c>
      <c r="C1743">
        <v>-1.77E-2</v>
      </c>
    </row>
    <row r="1744" spans="1:3" x14ac:dyDescent="0.35">
      <c r="A1744">
        <v>42</v>
      </c>
      <c r="B1744">
        <v>1990</v>
      </c>
      <c r="C1744">
        <v>-1.7500000000000002E-2</v>
      </c>
    </row>
    <row r="1745" spans="1:3" x14ac:dyDescent="0.35">
      <c r="A1745">
        <v>42</v>
      </c>
      <c r="B1745">
        <v>1991</v>
      </c>
      <c r="C1745">
        <v>-1.4800000000000001E-2</v>
      </c>
    </row>
    <row r="1746" spans="1:3" x14ac:dyDescent="0.35">
      <c r="A1746">
        <v>42</v>
      </c>
      <c r="B1746">
        <v>1992</v>
      </c>
      <c r="C1746">
        <v>-9.1999999999999998E-3</v>
      </c>
    </row>
    <row r="1747" spans="1:3" x14ac:dyDescent="0.35">
      <c r="A1747">
        <v>42</v>
      </c>
      <c r="B1747">
        <v>1993</v>
      </c>
      <c r="C1747">
        <v>-6.9999999999999999E-4</v>
      </c>
    </row>
    <row r="1748" spans="1:3" x14ac:dyDescent="0.35">
      <c r="A1748">
        <v>42</v>
      </c>
      <c r="B1748">
        <v>1994</v>
      </c>
      <c r="C1748">
        <v>9.5999999999999992E-3</v>
      </c>
    </row>
    <row r="1749" spans="1:3" x14ac:dyDescent="0.35">
      <c r="A1749">
        <v>42</v>
      </c>
      <c r="B1749">
        <v>1995</v>
      </c>
      <c r="C1749">
        <v>1.9800000000000002E-2</v>
      </c>
    </row>
    <row r="1750" spans="1:3" x14ac:dyDescent="0.35">
      <c r="A1750">
        <v>42</v>
      </c>
      <c r="B1750">
        <v>1996</v>
      </c>
      <c r="C1750">
        <v>2.7400000000000001E-2</v>
      </c>
    </row>
    <row r="1751" spans="1:3" x14ac:dyDescent="0.35">
      <c r="A1751">
        <v>42</v>
      </c>
      <c r="B1751">
        <v>1997</v>
      </c>
      <c r="C1751">
        <v>3.04E-2</v>
      </c>
    </row>
    <row r="1752" spans="1:3" x14ac:dyDescent="0.35">
      <c r="A1752">
        <v>42</v>
      </c>
      <c r="B1752">
        <v>1998</v>
      </c>
      <c r="C1752">
        <v>2.87E-2</v>
      </c>
    </row>
    <row r="1753" spans="1:3" x14ac:dyDescent="0.35">
      <c r="A1753">
        <v>42</v>
      </c>
      <c r="B1753">
        <v>1999</v>
      </c>
      <c r="C1753">
        <v>2.3800000000000002E-2</v>
      </c>
    </row>
    <row r="1754" spans="1:3" x14ac:dyDescent="0.35">
      <c r="A1754">
        <v>42</v>
      </c>
      <c r="B1754">
        <v>2000</v>
      </c>
      <c r="C1754">
        <v>1.7899999999999999E-2</v>
      </c>
    </row>
    <row r="1755" spans="1:3" x14ac:dyDescent="0.35">
      <c r="A1755">
        <v>42</v>
      </c>
      <c r="B1755">
        <v>2001</v>
      </c>
      <c r="C1755">
        <v>1.32E-2</v>
      </c>
    </row>
    <row r="1756" spans="1:3" x14ac:dyDescent="0.35">
      <c r="A1756">
        <v>42</v>
      </c>
      <c r="B1756">
        <v>2002</v>
      </c>
      <c r="C1756">
        <v>1.0800000000000001E-2</v>
      </c>
    </row>
    <row r="1757" spans="1:3" x14ac:dyDescent="0.35">
      <c r="A1757">
        <v>42</v>
      </c>
      <c r="B1757">
        <v>2003</v>
      </c>
      <c r="C1757">
        <v>1.1299999999999999E-2</v>
      </c>
    </row>
    <row r="1758" spans="1:3" x14ac:dyDescent="0.35">
      <c r="A1758">
        <v>42</v>
      </c>
      <c r="B1758">
        <v>2004</v>
      </c>
      <c r="C1758">
        <v>1.3899999999999999E-2</v>
      </c>
    </row>
    <row r="1759" spans="1:3" x14ac:dyDescent="0.35">
      <c r="A1759">
        <v>42</v>
      </c>
      <c r="B1759">
        <v>2005</v>
      </c>
      <c r="C1759">
        <v>1.78E-2</v>
      </c>
    </row>
    <row r="1760" spans="1:3" x14ac:dyDescent="0.35">
      <c r="A1760">
        <v>42</v>
      </c>
      <c r="B1760">
        <v>2006</v>
      </c>
      <c r="C1760">
        <v>2.1999999999999999E-2</v>
      </c>
    </row>
    <row r="1761" spans="1:3" x14ac:dyDescent="0.35">
      <c r="A1761">
        <v>42</v>
      </c>
      <c r="B1761">
        <v>2007</v>
      </c>
      <c r="C1761">
        <v>2.5499999999999998E-2</v>
      </c>
    </row>
    <row r="1762" spans="1:3" x14ac:dyDescent="0.35">
      <c r="A1762">
        <v>42</v>
      </c>
      <c r="B1762">
        <v>2008</v>
      </c>
      <c r="C1762">
        <v>2.7400000000000001E-2</v>
      </c>
    </row>
    <row r="1763" spans="1:3" x14ac:dyDescent="0.35">
      <c r="A1763">
        <v>42</v>
      </c>
      <c r="B1763">
        <v>2009</v>
      </c>
      <c r="C1763">
        <v>2.7199999999999998E-2</v>
      </c>
    </row>
    <row r="1764" spans="1:3" x14ac:dyDescent="0.35">
      <c r="A1764">
        <v>42</v>
      </c>
      <c r="B1764">
        <v>2010</v>
      </c>
      <c r="C1764">
        <v>2.4899999999999999E-2</v>
      </c>
    </row>
    <row r="1765" spans="1:3" x14ac:dyDescent="0.35">
      <c r="A1765">
        <v>42</v>
      </c>
      <c r="B1765">
        <v>2011</v>
      </c>
      <c r="C1765">
        <v>2.0500000000000001E-2</v>
      </c>
    </row>
    <row r="1766" spans="1:3" x14ac:dyDescent="0.35">
      <c r="A1766">
        <v>42</v>
      </c>
      <c r="B1766">
        <v>2012</v>
      </c>
      <c r="C1766">
        <v>1.49E-2</v>
      </c>
    </row>
    <row r="1767" spans="1:3" x14ac:dyDescent="0.35">
      <c r="A1767">
        <v>42</v>
      </c>
      <c r="B1767">
        <v>2013</v>
      </c>
      <c r="C1767">
        <v>1.34E-2</v>
      </c>
    </row>
    <row r="1768" spans="1:3" x14ac:dyDescent="0.35">
      <c r="A1768">
        <v>42</v>
      </c>
      <c r="B1768">
        <v>2014</v>
      </c>
      <c r="C1768">
        <v>1.17E-2</v>
      </c>
    </row>
    <row r="1769" spans="1:3" x14ac:dyDescent="0.35">
      <c r="A1769">
        <v>42</v>
      </c>
      <c r="B1769">
        <v>2015</v>
      </c>
      <c r="C1769">
        <v>9.9000000000000008E-3</v>
      </c>
    </row>
    <row r="1770" spans="1:3" x14ac:dyDescent="0.35">
      <c r="A1770">
        <v>42</v>
      </c>
      <c r="B1770">
        <v>2016</v>
      </c>
      <c r="C1770">
        <v>8.0999999999999996E-3</v>
      </c>
    </row>
    <row r="1771" spans="1:3" x14ac:dyDescent="0.35">
      <c r="A1771">
        <v>42</v>
      </c>
      <c r="B1771">
        <v>2017</v>
      </c>
      <c r="C1771">
        <v>6.6E-3</v>
      </c>
    </row>
    <row r="1772" spans="1:3" x14ac:dyDescent="0.35">
      <c r="A1772">
        <v>42</v>
      </c>
      <c r="B1772">
        <v>2018</v>
      </c>
      <c r="C1772">
        <v>5.4999999999999997E-3</v>
      </c>
    </row>
    <row r="1773" spans="1:3" x14ac:dyDescent="0.35">
      <c r="A1773">
        <v>42</v>
      </c>
      <c r="B1773">
        <v>2019</v>
      </c>
      <c r="C1773">
        <v>4.8999999999999998E-3</v>
      </c>
    </row>
    <row r="1774" spans="1:3" x14ac:dyDescent="0.35">
      <c r="A1774">
        <v>42</v>
      </c>
      <c r="B1774">
        <v>2020</v>
      </c>
      <c r="C1774">
        <v>4.7000000000000002E-3</v>
      </c>
    </row>
    <row r="1775" spans="1:3" x14ac:dyDescent="0.35">
      <c r="A1775">
        <v>42</v>
      </c>
      <c r="B1775">
        <v>2021</v>
      </c>
      <c r="C1775">
        <v>5.0000000000000001E-3</v>
      </c>
    </row>
    <row r="1776" spans="1:3" x14ac:dyDescent="0.35">
      <c r="A1776">
        <v>42</v>
      </c>
      <c r="B1776">
        <v>2022</v>
      </c>
      <c r="C1776">
        <v>5.5999999999999999E-3</v>
      </c>
    </row>
    <row r="1777" spans="1:3" x14ac:dyDescent="0.35">
      <c r="A1777">
        <v>42</v>
      </c>
      <c r="B1777">
        <v>2023</v>
      </c>
      <c r="C1777">
        <v>6.4999999999999997E-3</v>
      </c>
    </row>
    <row r="1778" spans="1:3" x14ac:dyDescent="0.35">
      <c r="A1778">
        <v>42</v>
      </c>
      <c r="B1778">
        <v>2024</v>
      </c>
      <c r="C1778">
        <v>7.4000000000000003E-3</v>
      </c>
    </row>
    <row r="1779" spans="1:3" x14ac:dyDescent="0.35">
      <c r="A1779">
        <v>42</v>
      </c>
      <c r="B1779">
        <v>2025</v>
      </c>
      <c r="C1779">
        <v>8.3000000000000001E-3</v>
      </c>
    </row>
    <row r="1780" spans="1:3" x14ac:dyDescent="0.35">
      <c r="A1780">
        <v>42</v>
      </c>
      <c r="B1780">
        <v>2026</v>
      </c>
      <c r="C1780">
        <v>8.9999999999999993E-3</v>
      </c>
    </row>
    <row r="1781" spans="1:3" x14ac:dyDescent="0.35">
      <c r="A1781">
        <v>42</v>
      </c>
      <c r="B1781">
        <v>2027</v>
      </c>
      <c r="C1781">
        <v>9.5999999999999992E-3</v>
      </c>
    </row>
    <row r="1782" spans="1:3" x14ac:dyDescent="0.35">
      <c r="A1782">
        <v>42</v>
      </c>
      <c r="B1782">
        <v>2028</v>
      </c>
      <c r="C1782">
        <v>9.9000000000000008E-3</v>
      </c>
    </row>
    <row r="1783" spans="1:3" x14ac:dyDescent="0.35">
      <c r="A1783">
        <v>42</v>
      </c>
      <c r="B1783">
        <v>2029</v>
      </c>
      <c r="C1783">
        <v>1.01E-2</v>
      </c>
    </row>
    <row r="1784" spans="1:3" x14ac:dyDescent="0.35">
      <c r="A1784">
        <v>42</v>
      </c>
      <c r="B1784">
        <v>2030</v>
      </c>
      <c r="C1784">
        <v>1.01E-2</v>
      </c>
    </row>
    <row r="1785" spans="1:3" x14ac:dyDescent="0.35">
      <c r="A1785">
        <v>42</v>
      </c>
      <c r="B1785">
        <v>2031</v>
      </c>
      <c r="C1785">
        <v>0.01</v>
      </c>
    </row>
    <row r="1786" spans="1:3" x14ac:dyDescent="0.35">
      <c r="A1786">
        <v>43</v>
      </c>
      <c r="B1786">
        <v>1951</v>
      </c>
      <c r="C1786">
        <v>2.8500000000000001E-2</v>
      </c>
    </row>
    <row r="1787" spans="1:3" x14ac:dyDescent="0.35">
      <c r="A1787">
        <v>43</v>
      </c>
      <c r="B1787">
        <v>1952</v>
      </c>
      <c r="C1787">
        <v>2.6200000000000001E-2</v>
      </c>
    </row>
    <row r="1788" spans="1:3" x14ac:dyDescent="0.35">
      <c r="A1788">
        <v>43</v>
      </c>
      <c r="B1788">
        <v>1953</v>
      </c>
      <c r="C1788">
        <v>2.3800000000000002E-2</v>
      </c>
    </row>
    <row r="1789" spans="1:3" x14ac:dyDescent="0.35">
      <c r="A1789">
        <v>43</v>
      </c>
      <c r="B1789">
        <v>1954</v>
      </c>
      <c r="C1789">
        <v>2.1000000000000001E-2</v>
      </c>
    </row>
    <row r="1790" spans="1:3" x14ac:dyDescent="0.35">
      <c r="A1790">
        <v>43</v>
      </c>
      <c r="B1790">
        <v>1955</v>
      </c>
      <c r="C1790">
        <v>1.7600000000000001E-2</v>
      </c>
    </row>
    <row r="1791" spans="1:3" x14ac:dyDescent="0.35">
      <c r="A1791">
        <v>43</v>
      </c>
      <c r="B1791">
        <v>1956</v>
      </c>
      <c r="C1791">
        <v>1.41E-2</v>
      </c>
    </row>
    <row r="1792" spans="1:3" x14ac:dyDescent="0.35">
      <c r="A1792">
        <v>43</v>
      </c>
      <c r="B1792">
        <v>1957</v>
      </c>
      <c r="C1792">
        <v>1.06E-2</v>
      </c>
    </row>
    <row r="1793" spans="1:3" x14ac:dyDescent="0.35">
      <c r="A1793">
        <v>43</v>
      </c>
      <c r="B1793">
        <v>1958</v>
      </c>
      <c r="C1793">
        <v>7.3000000000000001E-3</v>
      </c>
    </row>
    <row r="1794" spans="1:3" x14ac:dyDescent="0.35">
      <c r="A1794">
        <v>43</v>
      </c>
      <c r="B1794">
        <v>1959</v>
      </c>
      <c r="C1794">
        <v>4.3E-3</v>
      </c>
    </row>
    <row r="1795" spans="1:3" x14ac:dyDescent="0.35">
      <c r="A1795">
        <v>43</v>
      </c>
      <c r="B1795">
        <v>1960</v>
      </c>
      <c r="C1795">
        <v>1.4E-3</v>
      </c>
    </row>
    <row r="1796" spans="1:3" x14ac:dyDescent="0.35">
      <c r="A1796">
        <v>43</v>
      </c>
      <c r="B1796">
        <v>1961</v>
      </c>
      <c r="C1796">
        <v>-1.4E-3</v>
      </c>
    </row>
    <row r="1797" spans="1:3" x14ac:dyDescent="0.35">
      <c r="A1797">
        <v>43</v>
      </c>
      <c r="B1797">
        <v>1962</v>
      </c>
      <c r="C1797">
        <v>-4.0000000000000001E-3</v>
      </c>
    </row>
    <row r="1798" spans="1:3" x14ac:dyDescent="0.35">
      <c r="A1798">
        <v>43</v>
      </c>
      <c r="B1798">
        <v>1963</v>
      </c>
      <c r="C1798">
        <v>-6.3E-3</v>
      </c>
    </row>
    <row r="1799" spans="1:3" x14ac:dyDescent="0.35">
      <c r="A1799">
        <v>43</v>
      </c>
      <c r="B1799">
        <v>1964</v>
      </c>
      <c r="C1799">
        <v>-7.9000000000000008E-3</v>
      </c>
    </row>
    <row r="1800" spans="1:3" x14ac:dyDescent="0.35">
      <c r="A1800">
        <v>43</v>
      </c>
      <c r="B1800">
        <v>1965</v>
      </c>
      <c r="C1800">
        <v>-8.6999999999999994E-3</v>
      </c>
    </row>
    <row r="1801" spans="1:3" x14ac:dyDescent="0.35">
      <c r="A1801">
        <v>43</v>
      </c>
      <c r="B1801">
        <v>1966</v>
      </c>
      <c r="C1801">
        <v>-8.3999999999999995E-3</v>
      </c>
    </row>
    <row r="1802" spans="1:3" x14ac:dyDescent="0.35">
      <c r="A1802">
        <v>43</v>
      </c>
      <c r="B1802">
        <v>1967</v>
      </c>
      <c r="C1802">
        <v>-6.7000000000000002E-3</v>
      </c>
    </row>
    <row r="1803" spans="1:3" x14ac:dyDescent="0.35">
      <c r="A1803">
        <v>43</v>
      </c>
      <c r="B1803">
        <v>1968</v>
      </c>
      <c r="C1803">
        <v>-3.5000000000000001E-3</v>
      </c>
    </row>
    <row r="1804" spans="1:3" x14ac:dyDescent="0.35">
      <c r="A1804">
        <v>43</v>
      </c>
      <c r="B1804">
        <v>1969</v>
      </c>
      <c r="C1804">
        <v>1.1999999999999999E-3</v>
      </c>
    </row>
    <row r="1805" spans="1:3" x14ac:dyDescent="0.35">
      <c r="A1805">
        <v>43</v>
      </c>
      <c r="B1805">
        <v>1970</v>
      </c>
      <c r="C1805">
        <v>7.0000000000000001E-3</v>
      </c>
    </row>
    <row r="1806" spans="1:3" x14ac:dyDescent="0.35">
      <c r="A1806">
        <v>43</v>
      </c>
      <c r="B1806">
        <v>1971</v>
      </c>
      <c r="C1806">
        <v>1.32E-2</v>
      </c>
    </row>
    <row r="1807" spans="1:3" x14ac:dyDescent="0.35">
      <c r="A1807">
        <v>43</v>
      </c>
      <c r="B1807">
        <v>1972</v>
      </c>
      <c r="C1807">
        <v>1.9300000000000001E-2</v>
      </c>
    </row>
    <row r="1808" spans="1:3" x14ac:dyDescent="0.35">
      <c r="A1808">
        <v>43</v>
      </c>
      <c r="B1808">
        <v>1973</v>
      </c>
      <c r="C1808">
        <v>2.47E-2</v>
      </c>
    </row>
    <row r="1809" spans="1:3" x14ac:dyDescent="0.35">
      <c r="A1809">
        <v>43</v>
      </c>
      <c r="B1809">
        <v>1974</v>
      </c>
      <c r="C1809">
        <v>2.92E-2</v>
      </c>
    </row>
    <row r="1810" spans="1:3" x14ac:dyDescent="0.35">
      <c r="A1810">
        <v>43</v>
      </c>
      <c r="B1810">
        <v>1975</v>
      </c>
      <c r="C1810">
        <v>3.2399999999999998E-2</v>
      </c>
    </row>
    <row r="1811" spans="1:3" x14ac:dyDescent="0.35">
      <c r="A1811">
        <v>43</v>
      </c>
      <c r="B1811">
        <v>1976</v>
      </c>
      <c r="C1811">
        <v>3.4299999999999997E-2</v>
      </c>
    </row>
    <row r="1812" spans="1:3" x14ac:dyDescent="0.35">
      <c r="A1812">
        <v>43</v>
      </c>
      <c r="B1812">
        <v>1977</v>
      </c>
      <c r="C1812">
        <v>3.5000000000000003E-2</v>
      </c>
    </row>
    <row r="1813" spans="1:3" x14ac:dyDescent="0.35">
      <c r="A1813">
        <v>43</v>
      </c>
      <c r="B1813">
        <v>1978</v>
      </c>
      <c r="C1813">
        <v>3.4599999999999999E-2</v>
      </c>
    </row>
    <row r="1814" spans="1:3" x14ac:dyDescent="0.35">
      <c r="A1814">
        <v>43</v>
      </c>
      <c r="B1814">
        <v>1979</v>
      </c>
      <c r="C1814">
        <v>3.32E-2</v>
      </c>
    </row>
    <row r="1815" spans="1:3" x14ac:dyDescent="0.35">
      <c r="A1815">
        <v>43</v>
      </c>
      <c r="B1815">
        <v>1980</v>
      </c>
      <c r="C1815">
        <v>3.09E-2</v>
      </c>
    </row>
    <row r="1816" spans="1:3" x14ac:dyDescent="0.35">
      <c r="A1816">
        <v>43</v>
      </c>
      <c r="B1816">
        <v>1981</v>
      </c>
      <c r="C1816">
        <v>2.75E-2</v>
      </c>
    </row>
    <row r="1817" spans="1:3" x14ac:dyDescent="0.35">
      <c r="A1817">
        <v>43</v>
      </c>
      <c r="B1817">
        <v>1982</v>
      </c>
      <c r="C1817">
        <v>2.3E-2</v>
      </c>
    </row>
    <row r="1818" spans="1:3" x14ac:dyDescent="0.35">
      <c r="A1818">
        <v>43</v>
      </c>
      <c r="B1818">
        <v>1983</v>
      </c>
      <c r="C1818">
        <v>1.7500000000000002E-2</v>
      </c>
    </row>
    <row r="1819" spans="1:3" x14ac:dyDescent="0.35">
      <c r="A1819">
        <v>43</v>
      </c>
      <c r="B1819">
        <v>1984</v>
      </c>
      <c r="C1819">
        <v>1.12E-2</v>
      </c>
    </row>
    <row r="1820" spans="1:3" x14ac:dyDescent="0.35">
      <c r="A1820">
        <v>43</v>
      </c>
      <c r="B1820">
        <v>1985</v>
      </c>
      <c r="C1820">
        <v>4.7999999999999996E-3</v>
      </c>
    </row>
    <row r="1821" spans="1:3" x14ac:dyDescent="0.35">
      <c r="A1821">
        <v>43</v>
      </c>
      <c r="B1821">
        <v>1986</v>
      </c>
      <c r="C1821">
        <v>-1.2999999999999999E-3</v>
      </c>
    </row>
    <row r="1822" spans="1:3" x14ac:dyDescent="0.35">
      <c r="A1822">
        <v>43</v>
      </c>
      <c r="B1822">
        <v>1987</v>
      </c>
      <c r="C1822">
        <v>-6.6E-3</v>
      </c>
    </row>
    <row r="1823" spans="1:3" x14ac:dyDescent="0.35">
      <c r="A1823">
        <v>43</v>
      </c>
      <c r="B1823">
        <v>1988</v>
      </c>
      <c r="C1823">
        <v>-1.0699999999999999E-2</v>
      </c>
    </row>
    <row r="1824" spans="1:3" x14ac:dyDescent="0.35">
      <c r="A1824">
        <v>43</v>
      </c>
      <c r="B1824">
        <v>1989</v>
      </c>
      <c r="C1824">
        <v>-1.32E-2</v>
      </c>
    </row>
    <row r="1825" spans="1:3" x14ac:dyDescent="0.35">
      <c r="A1825">
        <v>43</v>
      </c>
      <c r="B1825">
        <v>1990</v>
      </c>
      <c r="C1825">
        <v>-1.38E-2</v>
      </c>
    </row>
    <row r="1826" spans="1:3" x14ac:dyDescent="0.35">
      <c r="A1826">
        <v>43</v>
      </c>
      <c r="B1826">
        <v>1991</v>
      </c>
      <c r="C1826">
        <v>-1.21E-2</v>
      </c>
    </row>
    <row r="1827" spans="1:3" x14ac:dyDescent="0.35">
      <c r="A1827">
        <v>43</v>
      </c>
      <c r="B1827">
        <v>1992</v>
      </c>
      <c r="C1827">
        <v>-7.7000000000000002E-3</v>
      </c>
    </row>
    <row r="1828" spans="1:3" x14ac:dyDescent="0.35">
      <c r="A1828">
        <v>43</v>
      </c>
      <c r="B1828">
        <v>1993</v>
      </c>
      <c r="C1828">
        <v>-6.9999999999999999E-4</v>
      </c>
    </row>
    <row r="1829" spans="1:3" x14ac:dyDescent="0.35">
      <c r="A1829">
        <v>43</v>
      </c>
      <c r="B1829">
        <v>1994</v>
      </c>
      <c r="C1829">
        <v>8.0000000000000002E-3</v>
      </c>
    </row>
    <row r="1830" spans="1:3" x14ac:dyDescent="0.35">
      <c r="A1830">
        <v>43</v>
      </c>
      <c r="B1830">
        <v>1995</v>
      </c>
      <c r="C1830">
        <v>1.66E-2</v>
      </c>
    </row>
    <row r="1831" spans="1:3" x14ac:dyDescent="0.35">
      <c r="A1831">
        <v>43</v>
      </c>
      <c r="B1831">
        <v>1996</v>
      </c>
      <c r="C1831">
        <v>2.3E-2</v>
      </c>
    </row>
    <row r="1832" spans="1:3" x14ac:dyDescent="0.35">
      <c r="A1832">
        <v>43</v>
      </c>
      <c r="B1832">
        <v>1997</v>
      </c>
      <c r="C1832">
        <v>2.5499999999999998E-2</v>
      </c>
    </row>
    <row r="1833" spans="1:3" x14ac:dyDescent="0.35">
      <c r="A1833">
        <v>43</v>
      </c>
      <c r="B1833">
        <v>1998</v>
      </c>
      <c r="C1833">
        <v>2.3800000000000002E-2</v>
      </c>
    </row>
    <row r="1834" spans="1:3" x14ac:dyDescent="0.35">
      <c r="A1834">
        <v>43</v>
      </c>
      <c r="B1834">
        <v>1999</v>
      </c>
      <c r="C1834">
        <v>1.95E-2</v>
      </c>
    </row>
    <row r="1835" spans="1:3" x14ac:dyDescent="0.35">
      <c r="A1835">
        <v>43</v>
      </c>
      <c r="B1835">
        <v>2000</v>
      </c>
      <c r="C1835">
        <v>1.44E-2</v>
      </c>
    </row>
    <row r="1836" spans="1:3" x14ac:dyDescent="0.35">
      <c r="A1836">
        <v>43</v>
      </c>
      <c r="B1836">
        <v>2001</v>
      </c>
      <c r="C1836">
        <v>1.0500000000000001E-2</v>
      </c>
    </row>
    <row r="1837" spans="1:3" x14ac:dyDescent="0.35">
      <c r="A1837">
        <v>43</v>
      </c>
      <c r="B1837">
        <v>2002</v>
      </c>
      <c r="C1837">
        <v>8.8999999999999999E-3</v>
      </c>
    </row>
    <row r="1838" spans="1:3" x14ac:dyDescent="0.35">
      <c r="A1838">
        <v>43</v>
      </c>
      <c r="B1838">
        <v>2003</v>
      </c>
      <c r="C1838">
        <v>9.9000000000000008E-3</v>
      </c>
    </row>
    <row r="1839" spans="1:3" x14ac:dyDescent="0.35">
      <c r="A1839">
        <v>43</v>
      </c>
      <c r="B1839">
        <v>2004</v>
      </c>
      <c r="C1839">
        <v>1.29E-2</v>
      </c>
    </row>
    <row r="1840" spans="1:3" x14ac:dyDescent="0.35">
      <c r="A1840">
        <v>43</v>
      </c>
      <c r="B1840">
        <v>2005</v>
      </c>
      <c r="C1840">
        <v>1.7100000000000001E-2</v>
      </c>
    </row>
    <row r="1841" spans="1:3" x14ac:dyDescent="0.35">
      <c r="A1841">
        <v>43</v>
      </c>
      <c r="B1841">
        <v>2006</v>
      </c>
      <c r="C1841">
        <v>2.1499999999999998E-2</v>
      </c>
    </row>
    <row r="1842" spans="1:3" x14ac:dyDescent="0.35">
      <c r="A1842">
        <v>43</v>
      </c>
      <c r="B1842">
        <v>2007</v>
      </c>
      <c r="C1842">
        <v>2.52E-2</v>
      </c>
    </row>
    <row r="1843" spans="1:3" x14ac:dyDescent="0.35">
      <c r="A1843">
        <v>43</v>
      </c>
      <c r="B1843">
        <v>2008</v>
      </c>
      <c r="C1843">
        <v>2.7400000000000001E-2</v>
      </c>
    </row>
    <row r="1844" spans="1:3" x14ac:dyDescent="0.35">
      <c r="A1844">
        <v>43</v>
      </c>
      <c r="B1844">
        <v>2009</v>
      </c>
      <c r="C1844">
        <v>2.76E-2</v>
      </c>
    </row>
    <row r="1845" spans="1:3" x14ac:dyDescent="0.35">
      <c r="A1845">
        <v>43</v>
      </c>
      <c r="B1845">
        <v>2010</v>
      </c>
      <c r="C1845">
        <v>2.5700000000000001E-2</v>
      </c>
    </row>
    <row r="1846" spans="1:3" x14ac:dyDescent="0.35">
      <c r="A1846">
        <v>43</v>
      </c>
      <c r="B1846">
        <v>2011</v>
      </c>
      <c r="C1846">
        <v>2.2100000000000002E-2</v>
      </c>
    </row>
    <row r="1847" spans="1:3" x14ac:dyDescent="0.35">
      <c r="A1847">
        <v>43</v>
      </c>
      <c r="B1847">
        <v>2012</v>
      </c>
      <c r="C1847">
        <v>1.7100000000000001E-2</v>
      </c>
    </row>
    <row r="1848" spans="1:3" x14ac:dyDescent="0.35">
      <c r="A1848">
        <v>43</v>
      </c>
      <c r="B1848">
        <v>2013</v>
      </c>
      <c r="C1848">
        <v>1.5900000000000001E-2</v>
      </c>
    </row>
    <row r="1849" spans="1:3" x14ac:dyDescent="0.35">
      <c r="A1849">
        <v>43</v>
      </c>
      <c r="B1849">
        <v>2014</v>
      </c>
      <c r="C1849">
        <v>1.4200000000000001E-2</v>
      </c>
    </row>
    <row r="1850" spans="1:3" x14ac:dyDescent="0.35">
      <c r="A1850">
        <v>43</v>
      </c>
      <c r="B1850">
        <v>2015</v>
      </c>
      <c r="C1850">
        <v>1.23E-2</v>
      </c>
    </row>
    <row r="1851" spans="1:3" x14ac:dyDescent="0.35">
      <c r="A1851">
        <v>43</v>
      </c>
      <c r="B1851">
        <v>2016</v>
      </c>
      <c r="C1851">
        <v>1.03E-2</v>
      </c>
    </row>
    <row r="1852" spans="1:3" x14ac:dyDescent="0.35">
      <c r="A1852">
        <v>43</v>
      </c>
      <c r="B1852">
        <v>2017</v>
      </c>
      <c r="C1852">
        <v>8.5000000000000006E-3</v>
      </c>
    </row>
    <row r="1853" spans="1:3" x14ac:dyDescent="0.35">
      <c r="A1853">
        <v>43</v>
      </c>
      <c r="B1853">
        <v>2018</v>
      </c>
      <c r="C1853">
        <v>7.0000000000000001E-3</v>
      </c>
    </row>
    <row r="1854" spans="1:3" x14ac:dyDescent="0.35">
      <c r="A1854">
        <v>43</v>
      </c>
      <c r="B1854">
        <v>2019</v>
      </c>
      <c r="C1854">
        <v>5.8999999999999999E-3</v>
      </c>
    </row>
    <row r="1855" spans="1:3" x14ac:dyDescent="0.35">
      <c r="A1855">
        <v>43</v>
      </c>
      <c r="B1855">
        <v>2020</v>
      </c>
      <c r="C1855">
        <v>5.3E-3</v>
      </c>
    </row>
    <row r="1856" spans="1:3" x14ac:dyDescent="0.35">
      <c r="A1856">
        <v>43</v>
      </c>
      <c r="B1856">
        <v>2021</v>
      </c>
      <c r="C1856">
        <v>5.1999999999999998E-3</v>
      </c>
    </row>
    <row r="1857" spans="1:3" x14ac:dyDescent="0.35">
      <c r="A1857">
        <v>43</v>
      </c>
      <c r="B1857">
        <v>2022</v>
      </c>
      <c r="C1857">
        <v>5.5999999999999999E-3</v>
      </c>
    </row>
    <row r="1858" spans="1:3" x14ac:dyDescent="0.35">
      <c r="A1858">
        <v>43</v>
      </c>
      <c r="B1858">
        <v>2023</v>
      </c>
      <c r="C1858">
        <v>6.3E-3</v>
      </c>
    </row>
    <row r="1859" spans="1:3" x14ac:dyDescent="0.35">
      <c r="A1859">
        <v>43</v>
      </c>
      <c r="B1859">
        <v>2024</v>
      </c>
      <c r="C1859">
        <v>7.1000000000000004E-3</v>
      </c>
    </row>
    <row r="1860" spans="1:3" x14ac:dyDescent="0.35">
      <c r="A1860">
        <v>43</v>
      </c>
      <c r="B1860">
        <v>2025</v>
      </c>
      <c r="C1860">
        <v>8.0000000000000002E-3</v>
      </c>
    </row>
    <row r="1861" spans="1:3" x14ac:dyDescent="0.35">
      <c r="A1861">
        <v>43</v>
      </c>
      <c r="B1861">
        <v>2026</v>
      </c>
      <c r="C1861">
        <v>8.6999999999999994E-3</v>
      </c>
    </row>
    <row r="1862" spans="1:3" x14ac:dyDescent="0.35">
      <c r="A1862">
        <v>43</v>
      </c>
      <c r="B1862">
        <v>2027</v>
      </c>
      <c r="C1862">
        <v>9.2999999999999992E-3</v>
      </c>
    </row>
    <row r="1863" spans="1:3" x14ac:dyDescent="0.35">
      <c r="A1863">
        <v>43</v>
      </c>
      <c r="B1863">
        <v>2028</v>
      </c>
      <c r="C1863">
        <v>9.7000000000000003E-3</v>
      </c>
    </row>
    <row r="1864" spans="1:3" x14ac:dyDescent="0.35">
      <c r="A1864">
        <v>43</v>
      </c>
      <c r="B1864">
        <v>2029</v>
      </c>
      <c r="C1864">
        <v>0.01</v>
      </c>
    </row>
    <row r="1865" spans="1:3" x14ac:dyDescent="0.35">
      <c r="A1865">
        <v>43</v>
      </c>
      <c r="B1865">
        <v>2030</v>
      </c>
      <c r="C1865">
        <v>0.01</v>
      </c>
    </row>
    <row r="1866" spans="1:3" x14ac:dyDescent="0.35">
      <c r="A1866">
        <v>43</v>
      </c>
      <c r="B1866">
        <v>2031</v>
      </c>
      <c r="C1866">
        <v>0.01</v>
      </c>
    </row>
    <row r="1867" spans="1:3" x14ac:dyDescent="0.35">
      <c r="A1867">
        <v>44</v>
      </c>
      <c r="B1867">
        <v>1951</v>
      </c>
      <c r="C1867">
        <v>2.69E-2</v>
      </c>
    </row>
    <row r="1868" spans="1:3" x14ac:dyDescent="0.35">
      <c r="A1868">
        <v>44</v>
      </c>
      <c r="B1868">
        <v>1952</v>
      </c>
      <c r="C1868">
        <v>2.47E-2</v>
      </c>
    </row>
    <row r="1869" spans="1:3" x14ac:dyDescent="0.35">
      <c r="A1869">
        <v>44</v>
      </c>
      <c r="B1869">
        <v>1953</v>
      </c>
      <c r="C1869">
        <v>2.2499999999999999E-2</v>
      </c>
    </row>
    <row r="1870" spans="1:3" x14ac:dyDescent="0.35">
      <c r="A1870">
        <v>44</v>
      </c>
      <c r="B1870">
        <v>1954</v>
      </c>
      <c r="C1870">
        <v>1.9900000000000001E-2</v>
      </c>
    </row>
    <row r="1871" spans="1:3" x14ac:dyDescent="0.35">
      <c r="A1871">
        <v>44</v>
      </c>
      <c r="B1871">
        <v>1955</v>
      </c>
      <c r="C1871">
        <v>1.6899999999999998E-2</v>
      </c>
    </row>
    <row r="1872" spans="1:3" x14ac:dyDescent="0.35">
      <c r="A1872">
        <v>44</v>
      </c>
      <c r="B1872">
        <v>1956</v>
      </c>
      <c r="C1872">
        <v>1.3599999999999999E-2</v>
      </c>
    </row>
    <row r="1873" spans="1:3" x14ac:dyDescent="0.35">
      <c r="A1873">
        <v>44</v>
      </c>
      <c r="B1873">
        <v>1957</v>
      </c>
      <c r="C1873">
        <v>1.03E-2</v>
      </c>
    </row>
    <row r="1874" spans="1:3" x14ac:dyDescent="0.35">
      <c r="A1874">
        <v>44</v>
      </c>
      <c r="B1874">
        <v>1958</v>
      </c>
      <c r="C1874">
        <v>7.3000000000000001E-3</v>
      </c>
    </row>
    <row r="1875" spans="1:3" x14ac:dyDescent="0.35">
      <c r="A1875">
        <v>44</v>
      </c>
      <c r="B1875">
        <v>1959</v>
      </c>
      <c r="C1875">
        <v>4.4000000000000003E-3</v>
      </c>
    </row>
    <row r="1876" spans="1:3" x14ac:dyDescent="0.35">
      <c r="A1876">
        <v>44</v>
      </c>
      <c r="B1876">
        <v>1960</v>
      </c>
      <c r="C1876">
        <v>1.6999999999999999E-3</v>
      </c>
    </row>
    <row r="1877" spans="1:3" x14ac:dyDescent="0.35">
      <c r="A1877">
        <v>44</v>
      </c>
      <c r="B1877">
        <v>1961</v>
      </c>
      <c r="C1877">
        <v>-8.9999999999999998E-4</v>
      </c>
    </row>
    <row r="1878" spans="1:3" x14ac:dyDescent="0.35">
      <c r="A1878">
        <v>44</v>
      </c>
      <c r="B1878">
        <v>1962</v>
      </c>
      <c r="C1878">
        <v>-3.2000000000000002E-3</v>
      </c>
    </row>
    <row r="1879" spans="1:3" x14ac:dyDescent="0.35">
      <c r="A1879">
        <v>44</v>
      </c>
      <c r="B1879">
        <v>1963</v>
      </c>
      <c r="C1879">
        <v>-5.3E-3</v>
      </c>
    </row>
    <row r="1880" spans="1:3" x14ac:dyDescent="0.35">
      <c r="A1880">
        <v>44</v>
      </c>
      <c r="B1880">
        <v>1964</v>
      </c>
      <c r="C1880">
        <v>-6.7000000000000002E-3</v>
      </c>
    </row>
    <row r="1881" spans="1:3" x14ac:dyDescent="0.35">
      <c r="A1881">
        <v>44</v>
      </c>
      <c r="B1881">
        <v>1965</v>
      </c>
      <c r="C1881">
        <v>-7.4000000000000003E-3</v>
      </c>
    </row>
    <row r="1882" spans="1:3" x14ac:dyDescent="0.35">
      <c r="A1882">
        <v>44</v>
      </c>
      <c r="B1882">
        <v>1966</v>
      </c>
      <c r="C1882">
        <v>-7.0000000000000001E-3</v>
      </c>
    </row>
    <row r="1883" spans="1:3" x14ac:dyDescent="0.35">
      <c r="A1883">
        <v>44</v>
      </c>
      <c r="B1883">
        <v>1967</v>
      </c>
      <c r="C1883">
        <v>-5.4000000000000003E-3</v>
      </c>
    </row>
    <row r="1884" spans="1:3" x14ac:dyDescent="0.35">
      <c r="A1884">
        <v>44</v>
      </c>
      <c r="B1884">
        <v>1968</v>
      </c>
      <c r="C1884">
        <v>-2.3999999999999998E-3</v>
      </c>
    </row>
    <row r="1885" spans="1:3" x14ac:dyDescent="0.35">
      <c r="A1885">
        <v>44</v>
      </c>
      <c r="B1885">
        <v>1969</v>
      </c>
      <c r="C1885">
        <v>1.9E-3</v>
      </c>
    </row>
    <row r="1886" spans="1:3" x14ac:dyDescent="0.35">
      <c r="A1886">
        <v>44</v>
      </c>
      <c r="B1886">
        <v>1970</v>
      </c>
      <c r="C1886">
        <v>7.1999999999999998E-3</v>
      </c>
    </row>
    <row r="1887" spans="1:3" x14ac:dyDescent="0.35">
      <c r="A1887">
        <v>44</v>
      </c>
      <c r="B1887">
        <v>1971</v>
      </c>
      <c r="C1887">
        <v>1.2999999999999999E-2</v>
      </c>
    </row>
    <row r="1888" spans="1:3" x14ac:dyDescent="0.35">
      <c r="A1888">
        <v>44</v>
      </c>
      <c r="B1888">
        <v>1972</v>
      </c>
      <c r="C1888">
        <v>1.8700000000000001E-2</v>
      </c>
    </row>
    <row r="1889" spans="1:3" x14ac:dyDescent="0.35">
      <c r="A1889">
        <v>44</v>
      </c>
      <c r="B1889">
        <v>1973</v>
      </c>
      <c r="C1889">
        <v>2.4E-2</v>
      </c>
    </row>
    <row r="1890" spans="1:3" x14ac:dyDescent="0.35">
      <c r="A1890">
        <v>44</v>
      </c>
      <c r="B1890">
        <v>1974</v>
      </c>
      <c r="C1890">
        <v>2.8500000000000001E-2</v>
      </c>
    </row>
    <row r="1891" spans="1:3" x14ac:dyDescent="0.35">
      <c r="A1891">
        <v>44</v>
      </c>
      <c r="B1891">
        <v>1975</v>
      </c>
      <c r="C1891">
        <v>3.1800000000000002E-2</v>
      </c>
    </row>
    <row r="1892" spans="1:3" x14ac:dyDescent="0.35">
      <c r="A1892">
        <v>44</v>
      </c>
      <c r="B1892">
        <v>1976</v>
      </c>
      <c r="C1892">
        <v>3.3700000000000001E-2</v>
      </c>
    </row>
    <row r="1893" spans="1:3" x14ac:dyDescent="0.35">
      <c r="A1893">
        <v>44</v>
      </c>
      <c r="B1893">
        <v>1977</v>
      </c>
      <c r="C1893">
        <v>3.4500000000000003E-2</v>
      </c>
    </row>
    <row r="1894" spans="1:3" x14ac:dyDescent="0.35">
      <c r="A1894">
        <v>44</v>
      </c>
      <c r="B1894">
        <v>1978</v>
      </c>
      <c r="C1894">
        <v>3.4200000000000001E-2</v>
      </c>
    </row>
    <row r="1895" spans="1:3" x14ac:dyDescent="0.35">
      <c r="A1895">
        <v>44</v>
      </c>
      <c r="B1895">
        <v>1979</v>
      </c>
      <c r="C1895">
        <v>3.3000000000000002E-2</v>
      </c>
    </row>
    <row r="1896" spans="1:3" x14ac:dyDescent="0.35">
      <c r="A1896">
        <v>44</v>
      </c>
      <c r="B1896">
        <v>1980</v>
      </c>
      <c r="C1896">
        <v>3.1E-2</v>
      </c>
    </row>
    <row r="1897" spans="1:3" x14ac:dyDescent="0.35">
      <c r="A1897">
        <v>44</v>
      </c>
      <c r="B1897">
        <v>1981</v>
      </c>
      <c r="C1897">
        <v>2.8199999999999999E-2</v>
      </c>
    </row>
    <row r="1898" spans="1:3" x14ac:dyDescent="0.35">
      <c r="A1898">
        <v>44</v>
      </c>
      <c r="B1898">
        <v>1982</v>
      </c>
      <c r="C1898">
        <v>2.4500000000000001E-2</v>
      </c>
    </row>
    <row r="1899" spans="1:3" x14ac:dyDescent="0.35">
      <c r="A1899">
        <v>44</v>
      </c>
      <c r="B1899">
        <v>1983</v>
      </c>
      <c r="C1899">
        <v>1.9900000000000001E-2</v>
      </c>
    </row>
    <row r="1900" spans="1:3" x14ac:dyDescent="0.35">
      <c r="A1900">
        <v>44</v>
      </c>
      <c r="B1900">
        <v>1984</v>
      </c>
      <c r="C1900">
        <v>1.4500000000000001E-2</v>
      </c>
    </row>
    <row r="1901" spans="1:3" x14ac:dyDescent="0.35">
      <c r="A1901">
        <v>44</v>
      </c>
      <c r="B1901">
        <v>1985</v>
      </c>
      <c r="C1901">
        <v>8.8000000000000005E-3</v>
      </c>
    </row>
    <row r="1902" spans="1:3" x14ac:dyDescent="0.35">
      <c r="A1902">
        <v>44</v>
      </c>
      <c r="B1902">
        <v>1986</v>
      </c>
      <c r="C1902">
        <v>3.3E-3</v>
      </c>
    </row>
    <row r="1903" spans="1:3" x14ac:dyDescent="0.35">
      <c r="A1903">
        <v>44</v>
      </c>
      <c r="B1903">
        <v>1987</v>
      </c>
      <c r="C1903">
        <v>-1.6999999999999999E-3</v>
      </c>
    </row>
    <row r="1904" spans="1:3" x14ac:dyDescent="0.35">
      <c r="A1904">
        <v>44</v>
      </c>
      <c r="B1904">
        <v>1988</v>
      </c>
      <c r="C1904">
        <v>-5.8999999999999999E-3</v>
      </c>
    </row>
    <row r="1905" spans="1:3" x14ac:dyDescent="0.35">
      <c r="A1905">
        <v>44</v>
      </c>
      <c r="B1905">
        <v>1989</v>
      </c>
      <c r="C1905">
        <v>-8.6999999999999994E-3</v>
      </c>
    </row>
    <row r="1906" spans="1:3" x14ac:dyDescent="0.35">
      <c r="A1906">
        <v>44</v>
      </c>
      <c r="B1906">
        <v>1990</v>
      </c>
      <c r="C1906">
        <v>-9.7000000000000003E-3</v>
      </c>
    </row>
    <row r="1907" spans="1:3" x14ac:dyDescent="0.35">
      <c r="A1907">
        <v>44</v>
      </c>
      <c r="B1907">
        <v>1991</v>
      </c>
      <c r="C1907">
        <v>-8.6999999999999994E-3</v>
      </c>
    </row>
    <row r="1908" spans="1:3" x14ac:dyDescent="0.35">
      <c r="A1908">
        <v>44</v>
      </c>
      <c r="B1908">
        <v>1992</v>
      </c>
      <c r="C1908">
        <v>-5.4000000000000003E-3</v>
      </c>
    </row>
    <row r="1909" spans="1:3" x14ac:dyDescent="0.35">
      <c r="A1909">
        <v>44</v>
      </c>
      <c r="B1909">
        <v>1993</v>
      </c>
      <c r="C1909">
        <v>2.0000000000000001E-4</v>
      </c>
    </row>
    <row r="1910" spans="1:3" x14ac:dyDescent="0.35">
      <c r="A1910">
        <v>44</v>
      </c>
      <c r="B1910">
        <v>1994</v>
      </c>
      <c r="C1910">
        <v>7.1999999999999998E-3</v>
      </c>
    </row>
    <row r="1911" spans="1:3" x14ac:dyDescent="0.35">
      <c r="A1911">
        <v>44</v>
      </c>
      <c r="B1911">
        <v>1995</v>
      </c>
      <c r="C1911">
        <v>1.4200000000000001E-2</v>
      </c>
    </row>
    <row r="1912" spans="1:3" x14ac:dyDescent="0.35">
      <c r="A1912">
        <v>44</v>
      </c>
      <c r="B1912">
        <v>1996</v>
      </c>
      <c r="C1912">
        <v>1.9300000000000001E-2</v>
      </c>
    </row>
    <row r="1913" spans="1:3" x14ac:dyDescent="0.35">
      <c r="A1913">
        <v>44</v>
      </c>
      <c r="B1913">
        <v>1997</v>
      </c>
      <c r="C1913">
        <v>2.1100000000000001E-2</v>
      </c>
    </row>
    <row r="1914" spans="1:3" x14ac:dyDescent="0.35">
      <c r="A1914">
        <v>44</v>
      </c>
      <c r="B1914">
        <v>1998</v>
      </c>
      <c r="C1914">
        <v>1.9400000000000001E-2</v>
      </c>
    </row>
    <row r="1915" spans="1:3" x14ac:dyDescent="0.35">
      <c r="A1915">
        <v>44</v>
      </c>
      <c r="B1915">
        <v>1999</v>
      </c>
      <c r="C1915">
        <v>1.54E-2</v>
      </c>
    </row>
    <row r="1916" spans="1:3" x14ac:dyDescent="0.35">
      <c r="A1916">
        <v>44</v>
      </c>
      <c r="B1916">
        <v>2000</v>
      </c>
      <c r="C1916">
        <v>1.0999999999999999E-2</v>
      </c>
    </row>
    <row r="1917" spans="1:3" x14ac:dyDescent="0.35">
      <c r="A1917">
        <v>44</v>
      </c>
      <c r="B1917">
        <v>2001</v>
      </c>
      <c r="C1917">
        <v>7.9000000000000008E-3</v>
      </c>
    </row>
    <row r="1918" spans="1:3" x14ac:dyDescent="0.35">
      <c r="A1918">
        <v>44</v>
      </c>
      <c r="B1918">
        <v>2002</v>
      </c>
      <c r="C1918">
        <v>6.8999999999999999E-3</v>
      </c>
    </row>
    <row r="1919" spans="1:3" x14ac:dyDescent="0.35">
      <c r="A1919">
        <v>44</v>
      </c>
      <c r="B1919">
        <v>2003</v>
      </c>
      <c r="C1919">
        <v>8.3000000000000001E-3</v>
      </c>
    </row>
    <row r="1920" spans="1:3" x14ac:dyDescent="0.35">
      <c r="A1920">
        <v>44</v>
      </c>
      <c r="B1920">
        <v>2004</v>
      </c>
      <c r="C1920">
        <v>1.1599999999999999E-2</v>
      </c>
    </row>
    <row r="1921" spans="1:3" x14ac:dyDescent="0.35">
      <c r="A1921">
        <v>44</v>
      </c>
      <c r="B1921">
        <v>2005</v>
      </c>
      <c r="C1921">
        <v>1.5900000000000001E-2</v>
      </c>
    </row>
    <row r="1922" spans="1:3" x14ac:dyDescent="0.35">
      <c r="A1922">
        <v>44</v>
      </c>
      <c r="B1922">
        <v>2006</v>
      </c>
      <c r="C1922">
        <v>2.0400000000000001E-2</v>
      </c>
    </row>
    <row r="1923" spans="1:3" x14ac:dyDescent="0.35">
      <c r="A1923">
        <v>44</v>
      </c>
      <c r="B1923">
        <v>2007</v>
      </c>
      <c r="C1923">
        <v>2.4199999999999999E-2</v>
      </c>
    </row>
    <row r="1924" spans="1:3" x14ac:dyDescent="0.35">
      <c r="A1924">
        <v>44</v>
      </c>
      <c r="B1924">
        <v>2008</v>
      </c>
      <c r="C1924">
        <v>2.6599999999999999E-2</v>
      </c>
    </row>
    <row r="1925" spans="1:3" x14ac:dyDescent="0.35">
      <c r="A1925">
        <v>44</v>
      </c>
      <c r="B1925">
        <v>2009</v>
      </c>
      <c r="C1925">
        <v>2.7199999999999998E-2</v>
      </c>
    </row>
    <row r="1926" spans="1:3" x14ac:dyDescent="0.35">
      <c r="A1926">
        <v>44</v>
      </c>
      <c r="B1926">
        <v>2010</v>
      </c>
      <c r="C1926">
        <v>2.5899999999999999E-2</v>
      </c>
    </row>
    <row r="1927" spans="1:3" x14ac:dyDescent="0.35">
      <c r="A1927">
        <v>44</v>
      </c>
      <c r="B1927">
        <v>2011</v>
      </c>
      <c r="C1927">
        <v>2.29E-2</v>
      </c>
    </row>
    <row r="1928" spans="1:3" x14ac:dyDescent="0.35">
      <c r="A1928">
        <v>44</v>
      </c>
      <c r="B1928">
        <v>2012</v>
      </c>
      <c r="C1928">
        <v>1.8800000000000001E-2</v>
      </c>
    </row>
    <row r="1929" spans="1:3" x14ac:dyDescent="0.35">
      <c r="A1929">
        <v>44</v>
      </c>
      <c r="B1929">
        <v>2013</v>
      </c>
      <c r="C1929">
        <v>1.78E-2</v>
      </c>
    </row>
    <row r="1930" spans="1:3" x14ac:dyDescent="0.35">
      <c r="A1930">
        <v>44</v>
      </c>
      <c r="B1930">
        <v>2014</v>
      </c>
      <c r="C1930">
        <v>1.6299999999999999E-2</v>
      </c>
    </row>
    <row r="1931" spans="1:3" x14ac:dyDescent="0.35">
      <c r="A1931">
        <v>44</v>
      </c>
      <c r="B1931">
        <v>2015</v>
      </c>
      <c r="C1931">
        <v>1.44E-2</v>
      </c>
    </row>
    <row r="1932" spans="1:3" x14ac:dyDescent="0.35">
      <c r="A1932">
        <v>44</v>
      </c>
      <c r="B1932">
        <v>2016</v>
      </c>
      <c r="C1932">
        <v>1.24E-2</v>
      </c>
    </row>
    <row r="1933" spans="1:3" x14ac:dyDescent="0.35">
      <c r="A1933">
        <v>44</v>
      </c>
      <c r="B1933">
        <v>2017</v>
      </c>
      <c r="C1933">
        <v>1.03E-2</v>
      </c>
    </row>
    <row r="1934" spans="1:3" x14ac:dyDescent="0.35">
      <c r="A1934">
        <v>44</v>
      </c>
      <c r="B1934">
        <v>2018</v>
      </c>
      <c r="C1934">
        <v>8.5000000000000006E-3</v>
      </c>
    </row>
    <row r="1935" spans="1:3" x14ac:dyDescent="0.35">
      <c r="A1935">
        <v>44</v>
      </c>
      <c r="B1935">
        <v>2019</v>
      </c>
      <c r="C1935">
        <v>7.1000000000000004E-3</v>
      </c>
    </row>
    <row r="1936" spans="1:3" x14ac:dyDescent="0.35">
      <c r="A1936">
        <v>44</v>
      </c>
      <c r="B1936">
        <v>2020</v>
      </c>
      <c r="C1936">
        <v>6.1000000000000004E-3</v>
      </c>
    </row>
    <row r="1937" spans="1:3" x14ac:dyDescent="0.35">
      <c r="A1937">
        <v>44</v>
      </c>
      <c r="B1937">
        <v>2021</v>
      </c>
      <c r="C1937">
        <v>5.5999999999999999E-3</v>
      </c>
    </row>
    <row r="1938" spans="1:3" x14ac:dyDescent="0.35">
      <c r="A1938">
        <v>44</v>
      </c>
      <c r="B1938">
        <v>2022</v>
      </c>
      <c r="C1938">
        <v>5.7000000000000002E-3</v>
      </c>
    </row>
    <row r="1939" spans="1:3" x14ac:dyDescent="0.35">
      <c r="A1939">
        <v>44</v>
      </c>
      <c r="B1939">
        <v>2023</v>
      </c>
      <c r="C1939">
        <v>6.1999999999999998E-3</v>
      </c>
    </row>
    <row r="1940" spans="1:3" x14ac:dyDescent="0.35">
      <c r="A1940">
        <v>44</v>
      </c>
      <c r="B1940">
        <v>2024</v>
      </c>
      <c r="C1940">
        <v>6.8999999999999999E-3</v>
      </c>
    </row>
    <row r="1941" spans="1:3" x14ac:dyDescent="0.35">
      <c r="A1941">
        <v>44</v>
      </c>
      <c r="B1941">
        <v>2025</v>
      </c>
      <c r="C1941">
        <v>7.7000000000000002E-3</v>
      </c>
    </row>
    <row r="1942" spans="1:3" x14ac:dyDescent="0.35">
      <c r="A1942">
        <v>44</v>
      </c>
      <c r="B1942">
        <v>2026</v>
      </c>
      <c r="C1942">
        <v>8.3999999999999995E-3</v>
      </c>
    </row>
    <row r="1943" spans="1:3" x14ac:dyDescent="0.35">
      <c r="A1943">
        <v>44</v>
      </c>
      <c r="B1943">
        <v>2027</v>
      </c>
      <c r="C1943">
        <v>9.1000000000000004E-3</v>
      </c>
    </row>
    <row r="1944" spans="1:3" x14ac:dyDescent="0.35">
      <c r="A1944">
        <v>44</v>
      </c>
      <c r="B1944">
        <v>2028</v>
      </c>
      <c r="C1944">
        <v>9.4999999999999998E-3</v>
      </c>
    </row>
    <row r="1945" spans="1:3" x14ac:dyDescent="0.35">
      <c r="A1945">
        <v>44</v>
      </c>
      <c r="B1945">
        <v>2029</v>
      </c>
      <c r="C1945">
        <v>9.7999999999999997E-3</v>
      </c>
    </row>
    <row r="1946" spans="1:3" x14ac:dyDescent="0.35">
      <c r="A1946">
        <v>44</v>
      </c>
      <c r="B1946">
        <v>2030</v>
      </c>
      <c r="C1946">
        <v>0.01</v>
      </c>
    </row>
    <row r="1947" spans="1:3" x14ac:dyDescent="0.35">
      <c r="A1947">
        <v>44</v>
      </c>
      <c r="B1947">
        <v>2031</v>
      </c>
      <c r="C1947">
        <v>0.01</v>
      </c>
    </row>
    <row r="1948" spans="1:3" x14ac:dyDescent="0.35">
      <c r="A1948">
        <v>45</v>
      </c>
      <c r="B1948">
        <v>1951</v>
      </c>
      <c r="C1948">
        <v>2.5399999999999999E-2</v>
      </c>
    </row>
    <row r="1949" spans="1:3" x14ac:dyDescent="0.35">
      <c r="A1949">
        <v>45</v>
      </c>
      <c r="B1949">
        <v>1952</v>
      </c>
      <c r="C1949">
        <v>2.3300000000000001E-2</v>
      </c>
    </row>
    <row r="1950" spans="1:3" x14ac:dyDescent="0.35">
      <c r="A1950">
        <v>45</v>
      </c>
      <c r="B1950">
        <v>1953</v>
      </c>
      <c r="C1950">
        <v>2.12E-2</v>
      </c>
    </row>
    <row r="1951" spans="1:3" x14ac:dyDescent="0.35">
      <c r="A1951">
        <v>45</v>
      </c>
      <c r="B1951">
        <v>1954</v>
      </c>
      <c r="C1951">
        <v>1.8800000000000001E-2</v>
      </c>
    </row>
    <row r="1952" spans="1:3" x14ac:dyDescent="0.35">
      <c r="A1952">
        <v>45</v>
      </c>
      <c r="B1952">
        <v>1955</v>
      </c>
      <c r="C1952">
        <v>1.6E-2</v>
      </c>
    </row>
    <row r="1953" spans="1:3" x14ac:dyDescent="0.35">
      <c r="A1953">
        <v>45</v>
      </c>
      <c r="B1953">
        <v>1956</v>
      </c>
      <c r="C1953">
        <v>1.2999999999999999E-2</v>
      </c>
    </row>
    <row r="1954" spans="1:3" x14ac:dyDescent="0.35">
      <c r="A1954">
        <v>45</v>
      </c>
      <c r="B1954">
        <v>1957</v>
      </c>
      <c r="C1954">
        <v>0.01</v>
      </c>
    </row>
    <row r="1955" spans="1:3" x14ac:dyDescent="0.35">
      <c r="A1955">
        <v>45</v>
      </c>
      <c r="B1955">
        <v>1958</v>
      </c>
      <c r="C1955">
        <v>7.1000000000000004E-3</v>
      </c>
    </row>
    <row r="1956" spans="1:3" x14ac:dyDescent="0.35">
      <c r="A1956">
        <v>45</v>
      </c>
      <c r="B1956">
        <v>1959</v>
      </c>
      <c r="C1956">
        <v>4.4000000000000003E-3</v>
      </c>
    </row>
    <row r="1957" spans="1:3" x14ac:dyDescent="0.35">
      <c r="A1957">
        <v>45</v>
      </c>
      <c r="B1957">
        <v>1960</v>
      </c>
      <c r="C1957">
        <v>1.8E-3</v>
      </c>
    </row>
    <row r="1958" spans="1:3" x14ac:dyDescent="0.35">
      <c r="A1958">
        <v>45</v>
      </c>
      <c r="B1958">
        <v>1961</v>
      </c>
      <c r="C1958">
        <v>-5.0000000000000001E-4</v>
      </c>
    </row>
    <row r="1959" spans="1:3" x14ac:dyDescent="0.35">
      <c r="A1959">
        <v>45</v>
      </c>
      <c r="B1959">
        <v>1962</v>
      </c>
      <c r="C1959">
        <v>-2.5999999999999999E-3</v>
      </c>
    </row>
    <row r="1960" spans="1:3" x14ac:dyDescent="0.35">
      <c r="A1960">
        <v>45</v>
      </c>
      <c r="B1960">
        <v>1963</v>
      </c>
      <c r="C1960">
        <v>-4.4000000000000003E-3</v>
      </c>
    </row>
    <row r="1961" spans="1:3" x14ac:dyDescent="0.35">
      <c r="A1961">
        <v>45</v>
      </c>
      <c r="B1961">
        <v>1964</v>
      </c>
      <c r="C1961">
        <v>-5.5999999999999999E-3</v>
      </c>
    </row>
    <row r="1962" spans="1:3" x14ac:dyDescent="0.35">
      <c r="A1962">
        <v>45</v>
      </c>
      <c r="B1962">
        <v>1965</v>
      </c>
      <c r="C1962">
        <v>-6.1000000000000004E-3</v>
      </c>
    </row>
    <row r="1963" spans="1:3" x14ac:dyDescent="0.35">
      <c r="A1963">
        <v>45</v>
      </c>
      <c r="B1963">
        <v>1966</v>
      </c>
      <c r="C1963">
        <v>-5.5999999999999999E-3</v>
      </c>
    </row>
    <row r="1964" spans="1:3" x14ac:dyDescent="0.35">
      <c r="A1964">
        <v>45</v>
      </c>
      <c r="B1964">
        <v>1967</v>
      </c>
      <c r="C1964">
        <v>-4.1000000000000003E-3</v>
      </c>
    </row>
    <row r="1965" spans="1:3" x14ac:dyDescent="0.35">
      <c r="A1965">
        <v>45</v>
      </c>
      <c r="B1965">
        <v>1968</v>
      </c>
      <c r="C1965">
        <v>-1.2999999999999999E-3</v>
      </c>
    </row>
    <row r="1966" spans="1:3" x14ac:dyDescent="0.35">
      <c r="A1966">
        <v>45</v>
      </c>
      <c r="B1966">
        <v>1969</v>
      </c>
      <c r="C1966">
        <v>2.7000000000000001E-3</v>
      </c>
    </row>
    <row r="1967" spans="1:3" x14ac:dyDescent="0.35">
      <c r="A1967">
        <v>45</v>
      </c>
      <c r="B1967">
        <v>1970</v>
      </c>
      <c r="C1967">
        <v>7.6E-3</v>
      </c>
    </row>
    <row r="1968" spans="1:3" x14ac:dyDescent="0.35">
      <c r="A1968">
        <v>45</v>
      </c>
      <c r="B1968">
        <v>1971</v>
      </c>
      <c r="C1968">
        <v>1.29E-2</v>
      </c>
    </row>
    <row r="1969" spans="1:3" x14ac:dyDescent="0.35">
      <c r="A1969">
        <v>45</v>
      </c>
      <c r="B1969">
        <v>1972</v>
      </c>
      <c r="C1969">
        <v>1.83E-2</v>
      </c>
    </row>
    <row r="1970" spans="1:3" x14ac:dyDescent="0.35">
      <c r="A1970">
        <v>45</v>
      </c>
      <c r="B1970">
        <v>1973</v>
      </c>
      <c r="C1970">
        <v>2.3400000000000001E-2</v>
      </c>
    </row>
    <row r="1971" spans="1:3" x14ac:dyDescent="0.35">
      <c r="A1971">
        <v>45</v>
      </c>
      <c r="B1971">
        <v>1974</v>
      </c>
      <c r="C1971">
        <v>2.7699999999999999E-2</v>
      </c>
    </row>
    <row r="1972" spans="1:3" x14ac:dyDescent="0.35">
      <c r="A1972">
        <v>45</v>
      </c>
      <c r="B1972">
        <v>1975</v>
      </c>
      <c r="C1972">
        <v>3.1E-2</v>
      </c>
    </row>
    <row r="1973" spans="1:3" x14ac:dyDescent="0.35">
      <c r="A1973">
        <v>45</v>
      </c>
      <c r="B1973">
        <v>1976</v>
      </c>
      <c r="C1973">
        <v>3.3000000000000002E-2</v>
      </c>
    </row>
    <row r="1974" spans="1:3" x14ac:dyDescent="0.35">
      <c r="A1974">
        <v>45</v>
      </c>
      <c r="B1974">
        <v>1977</v>
      </c>
      <c r="C1974">
        <v>3.3700000000000001E-2</v>
      </c>
    </row>
    <row r="1975" spans="1:3" x14ac:dyDescent="0.35">
      <c r="A1975">
        <v>45</v>
      </c>
      <c r="B1975">
        <v>1978</v>
      </c>
      <c r="C1975">
        <v>3.3500000000000002E-2</v>
      </c>
    </row>
    <row r="1976" spans="1:3" x14ac:dyDescent="0.35">
      <c r="A1976">
        <v>45</v>
      </c>
      <c r="B1976">
        <v>1979</v>
      </c>
      <c r="C1976">
        <v>3.2399999999999998E-2</v>
      </c>
    </row>
    <row r="1977" spans="1:3" x14ac:dyDescent="0.35">
      <c r="A1977">
        <v>45</v>
      </c>
      <c r="B1977">
        <v>1980</v>
      </c>
      <c r="C1977">
        <v>3.0800000000000001E-2</v>
      </c>
    </row>
    <row r="1978" spans="1:3" x14ac:dyDescent="0.35">
      <c r="A1978">
        <v>45</v>
      </c>
      <c r="B1978">
        <v>1981</v>
      </c>
      <c r="C1978">
        <v>2.8500000000000001E-2</v>
      </c>
    </row>
    <row r="1979" spans="1:3" x14ac:dyDescent="0.35">
      <c r="A1979">
        <v>45</v>
      </c>
      <c r="B1979">
        <v>1982</v>
      </c>
      <c r="C1979">
        <v>2.5499999999999998E-2</v>
      </c>
    </row>
    <row r="1980" spans="1:3" x14ac:dyDescent="0.35">
      <c r="A1980">
        <v>45</v>
      </c>
      <c r="B1980">
        <v>1983</v>
      </c>
      <c r="C1980">
        <v>2.1700000000000001E-2</v>
      </c>
    </row>
    <row r="1981" spans="1:3" x14ac:dyDescent="0.35">
      <c r="A1981">
        <v>45</v>
      </c>
      <c r="B1981">
        <v>1984</v>
      </c>
      <c r="C1981">
        <v>1.7100000000000001E-2</v>
      </c>
    </row>
    <row r="1982" spans="1:3" x14ac:dyDescent="0.35">
      <c r="A1982">
        <v>45</v>
      </c>
      <c r="B1982">
        <v>1985</v>
      </c>
      <c r="C1982">
        <v>1.2200000000000001E-2</v>
      </c>
    </row>
    <row r="1983" spans="1:3" x14ac:dyDescent="0.35">
      <c r="A1983">
        <v>45</v>
      </c>
      <c r="B1983">
        <v>1986</v>
      </c>
      <c r="C1983">
        <v>7.1999999999999998E-3</v>
      </c>
    </row>
    <row r="1984" spans="1:3" x14ac:dyDescent="0.35">
      <c r="A1984">
        <v>45</v>
      </c>
      <c r="B1984">
        <v>1987</v>
      </c>
      <c r="C1984">
        <v>2.5000000000000001E-3</v>
      </c>
    </row>
    <row r="1985" spans="1:3" x14ac:dyDescent="0.35">
      <c r="A1985">
        <v>45</v>
      </c>
      <c r="B1985">
        <v>1988</v>
      </c>
      <c r="C1985">
        <v>-1.4E-3</v>
      </c>
    </row>
    <row r="1986" spans="1:3" x14ac:dyDescent="0.35">
      <c r="A1986">
        <v>45</v>
      </c>
      <c r="B1986">
        <v>1989</v>
      </c>
      <c r="C1986">
        <v>-4.1999999999999997E-3</v>
      </c>
    </row>
    <row r="1987" spans="1:3" x14ac:dyDescent="0.35">
      <c r="A1987">
        <v>45</v>
      </c>
      <c r="B1987">
        <v>1990</v>
      </c>
      <c r="C1987">
        <v>-5.4000000000000003E-3</v>
      </c>
    </row>
    <row r="1988" spans="1:3" x14ac:dyDescent="0.35">
      <c r="A1988">
        <v>45</v>
      </c>
      <c r="B1988">
        <v>1991</v>
      </c>
      <c r="C1988">
        <v>-4.8999999999999998E-3</v>
      </c>
    </row>
    <row r="1989" spans="1:3" x14ac:dyDescent="0.35">
      <c r="A1989">
        <v>45</v>
      </c>
      <c r="B1989">
        <v>1992</v>
      </c>
      <c r="C1989">
        <v>-2.3999999999999998E-3</v>
      </c>
    </row>
    <row r="1990" spans="1:3" x14ac:dyDescent="0.35">
      <c r="A1990">
        <v>45</v>
      </c>
      <c r="B1990">
        <v>1993</v>
      </c>
      <c r="C1990">
        <v>1.9E-3</v>
      </c>
    </row>
    <row r="1991" spans="1:3" x14ac:dyDescent="0.35">
      <c r="A1991">
        <v>45</v>
      </c>
      <c r="B1991">
        <v>1994</v>
      </c>
      <c r="C1991">
        <v>7.3000000000000001E-3</v>
      </c>
    </row>
    <row r="1992" spans="1:3" x14ac:dyDescent="0.35">
      <c r="A1992">
        <v>45</v>
      </c>
      <c r="B1992">
        <v>1995</v>
      </c>
      <c r="C1992">
        <v>1.2699999999999999E-2</v>
      </c>
    </row>
    <row r="1993" spans="1:3" x14ac:dyDescent="0.35">
      <c r="A1993">
        <v>45</v>
      </c>
      <c r="B1993">
        <v>1996</v>
      </c>
      <c r="C1993">
        <v>1.6500000000000001E-2</v>
      </c>
    </row>
    <row r="1994" spans="1:3" x14ac:dyDescent="0.35">
      <c r="A1994">
        <v>45</v>
      </c>
      <c r="B1994">
        <v>1997</v>
      </c>
      <c r="C1994">
        <v>1.7500000000000002E-2</v>
      </c>
    </row>
    <row r="1995" spans="1:3" x14ac:dyDescent="0.35">
      <c r="A1995">
        <v>45</v>
      </c>
      <c r="B1995">
        <v>1998</v>
      </c>
      <c r="C1995">
        <v>1.5599999999999999E-2</v>
      </c>
    </row>
    <row r="1996" spans="1:3" x14ac:dyDescent="0.35">
      <c r="A1996">
        <v>45</v>
      </c>
      <c r="B1996">
        <v>1999</v>
      </c>
      <c r="C1996">
        <v>1.1900000000000001E-2</v>
      </c>
    </row>
    <row r="1997" spans="1:3" x14ac:dyDescent="0.35">
      <c r="A1997">
        <v>45</v>
      </c>
      <c r="B1997">
        <v>2000</v>
      </c>
      <c r="C1997">
        <v>8.0000000000000002E-3</v>
      </c>
    </row>
    <row r="1998" spans="1:3" x14ac:dyDescent="0.35">
      <c r="A1998">
        <v>45</v>
      </c>
      <c r="B1998">
        <v>2001</v>
      </c>
      <c r="C1998">
        <v>5.4000000000000003E-3</v>
      </c>
    </row>
    <row r="1999" spans="1:3" x14ac:dyDescent="0.35">
      <c r="A1999">
        <v>45</v>
      </c>
      <c r="B1999">
        <v>2002</v>
      </c>
      <c r="C1999">
        <v>4.7999999999999996E-3</v>
      </c>
    </row>
    <row r="2000" spans="1:3" x14ac:dyDescent="0.35">
      <c r="A2000">
        <v>45</v>
      </c>
      <c r="B2000">
        <v>2003</v>
      </c>
      <c r="C2000">
        <v>6.4999999999999997E-3</v>
      </c>
    </row>
    <row r="2001" spans="1:3" x14ac:dyDescent="0.35">
      <c r="A2001">
        <v>45</v>
      </c>
      <c r="B2001">
        <v>2004</v>
      </c>
      <c r="C2001">
        <v>0.01</v>
      </c>
    </row>
    <row r="2002" spans="1:3" x14ac:dyDescent="0.35">
      <c r="A2002">
        <v>45</v>
      </c>
      <c r="B2002">
        <v>2005</v>
      </c>
      <c r="C2002">
        <v>1.44E-2</v>
      </c>
    </row>
    <row r="2003" spans="1:3" x14ac:dyDescent="0.35">
      <c r="A2003">
        <v>45</v>
      </c>
      <c r="B2003">
        <v>2006</v>
      </c>
      <c r="C2003">
        <v>1.89E-2</v>
      </c>
    </row>
    <row r="2004" spans="1:3" x14ac:dyDescent="0.35">
      <c r="A2004">
        <v>45</v>
      </c>
      <c r="B2004">
        <v>2007</v>
      </c>
      <c r="C2004">
        <v>2.2700000000000001E-2</v>
      </c>
    </row>
    <row r="2005" spans="1:3" x14ac:dyDescent="0.35">
      <c r="A2005">
        <v>45</v>
      </c>
      <c r="B2005">
        <v>2008</v>
      </c>
      <c r="C2005">
        <v>2.52E-2</v>
      </c>
    </row>
    <row r="2006" spans="1:3" x14ac:dyDescent="0.35">
      <c r="A2006">
        <v>45</v>
      </c>
      <c r="B2006">
        <v>2009</v>
      </c>
      <c r="C2006">
        <v>2.6100000000000002E-2</v>
      </c>
    </row>
    <row r="2007" spans="1:3" x14ac:dyDescent="0.35">
      <c r="A2007">
        <v>45</v>
      </c>
      <c r="B2007">
        <v>2010</v>
      </c>
      <c r="C2007">
        <v>2.53E-2</v>
      </c>
    </row>
    <row r="2008" spans="1:3" x14ac:dyDescent="0.35">
      <c r="A2008">
        <v>45</v>
      </c>
      <c r="B2008">
        <v>2011</v>
      </c>
      <c r="C2008">
        <v>2.3E-2</v>
      </c>
    </row>
    <row r="2009" spans="1:3" x14ac:dyDescent="0.35">
      <c r="A2009">
        <v>45</v>
      </c>
      <c r="B2009">
        <v>2012</v>
      </c>
      <c r="C2009">
        <v>1.9699999999999999E-2</v>
      </c>
    </row>
    <row r="2010" spans="1:3" x14ac:dyDescent="0.35">
      <c r="A2010">
        <v>45</v>
      </c>
      <c r="B2010">
        <v>2013</v>
      </c>
      <c r="C2010">
        <v>1.9099999999999999E-2</v>
      </c>
    </row>
    <row r="2011" spans="1:3" x14ac:dyDescent="0.35">
      <c r="A2011">
        <v>45</v>
      </c>
      <c r="B2011">
        <v>2014</v>
      </c>
      <c r="C2011">
        <v>1.78E-2</v>
      </c>
    </row>
    <row r="2012" spans="1:3" x14ac:dyDescent="0.35">
      <c r="A2012">
        <v>45</v>
      </c>
      <c r="B2012">
        <v>2015</v>
      </c>
      <c r="C2012">
        <v>1.61E-2</v>
      </c>
    </row>
    <row r="2013" spans="1:3" x14ac:dyDescent="0.35">
      <c r="A2013">
        <v>45</v>
      </c>
      <c r="B2013">
        <v>2016</v>
      </c>
      <c r="C2013">
        <v>1.41E-2</v>
      </c>
    </row>
    <row r="2014" spans="1:3" x14ac:dyDescent="0.35">
      <c r="A2014">
        <v>45</v>
      </c>
      <c r="B2014">
        <v>2017</v>
      </c>
      <c r="C2014">
        <v>1.2E-2</v>
      </c>
    </row>
    <row r="2015" spans="1:3" x14ac:dyDescent="0.35">
      <c r="A2015">
        <v>45</v>
      </c>
      <c r="B2015">
        <v>2018</v>
      </c>
      <c r="C2015">
        <v>0.01</v>
      </c>
    </row>
    <row r="2016" spans="1:3" x14ac:dyDescent="0.35">
      <c r="A2016">
        <v>45</v>
      </c>
      <c r="B2016">
        <v>2019</v>
      </c>
      <c r="C2016">
        <v>8.3000000000000001E-3</v>
      </c>
    </row>
    <row r="2017" spans="1:3" x14ac:dyDescent="0.35">
      <c r="A2017">
        <v>45</v>
      </c>
      <c r="B2017">
        <v>2020</v>
      </c>
      <c r="C2017">
        <v>7.0000000000000001E-3</v>
      </c>
    </row>
    <row r="2018" spans="1:3" x14ac:dyDescent="0.35">
      <c r="A2018">
        <v>45</v>
      </c>
      <c r="B2018">
        <v>2021</v>
      </c>
      <c r="C2018">
        <v>6.1999999999999998E-3</v>
      </c>
    </row>
    <row r="2019" spans="1:3" x14ac:dyDescent="0.35">
      <c r="A2019">
        <v>45</v>
      </c>
      <c r="B2019">
        <v>2022</v>
      </c>
      <c r="C2019">
        <v>6.1000000000000004E-3</v>
      </c>
    </row>
    <row r="2020" spans="1:3" x14ac:dyDescent="0.35">
      <c r="A2020">
        <v>45</v>
      </c>
      <c r="B2020">
        <v>2023</v>
      </c>
      <c r="C2020">
        <v>6.4000000000000003E-3</v>
      </c>
    </row>
    <row r="2021" spans="1:3" x14ac:dyDescent="0.35">
      <c r="A2021">
        <v>45</v>
      </c>
      <c r="B2021">
        <v>2024</v>
      </c>
      <c r="C2021">
        <v>6.8999999999999999E-3</v>
      </c>
    </row>
    <row r="2022" spans="1:3" x14ac:dyDescent="0.35">
      <c r="A2022">
        <v>45</v>
      </c>
      <c r="B2022">
        <v>2025</v>
      </c>
      <c r="C2022">
        <v>7.4999999999999997E-3</v>
      </c>
    </row>
    <row r="2023" spans="1:3" x14ac:dyDescent="0.35">
      <c r="A2023">
        <v>45</v>
      </c>
      <c r="B2023">
        <v>2026</v>
      </c>
      <c r="C2023">
        <v>8.2000000000000007E-3</v>
      </c>
    </row>
    <row r="2024" spans="1:3" x14ac:dyDescent="0.35">
      <c r="A2024">
        <v>45</v>
      </c>
      <c r="B2024">
        <v>2027</v>
      </c>
      <c r="C2024">
        <v>8.8999999999999999E-3</v>
      </c>
    </row>
    <row r="2025" spans="1:3" x14ac:dyDescent="0.35">
      <c r="A2025">
        <v>45</v>
      </c>
      <c r="B2025">
        <v>2028</v>
      </c>
      <c r="C2025">
        <v>9.4000000000000004E-3</v>
      </c>
    </row>
    <row r="2026" spans="1:3" x14ac:dyDescent="0.35">
      <c r="A2026">
        <v>45</v>
      </c>
      <c r="B2026">
        <v>2029</v>
      </c>
      <c r="C2026">
        <v>9.7000000000000003E-3</v>
      </c>
    </row>
    <row r="2027" spans="1:3" x14ac:dyDescent="0.35">
      <c r="A2027">
        <v>45</v>
      </c>
      <c r="B2027">
        <v>2030</v>
      </c>
      <c r="C2027">
        <v>9.9000000000000008E-3</v>
      </c>
    </row>
    <row r="2028" spans="1:3" x14ac:dyDescent="0.35">
      <c r="A2028">
        <v>45</v>
      </c>
      <c r="B2028">
        <v>2031</v>
      </c>
      <c r="C2028">
        <v>0.01</v>
      </c>
    </row>
    <row r="2029" spans="1:3" x14ac:dyDescent="0.35">
      <c r="A2029">
        <v>46</v>
      </c>
      <c r="B2029">
        <v>1951</v>
      </c>
      <c r="C2029">
        <v>2.3900000000000001E-2</v>
      </c>
    </row>
    <row r="2030" spans="1:3" x14ac:dyDescent="0.35">
      <c r="A2030">
        <v>46</v>
      </c>
      <c r="B2030">
        <v>1952</v>
      </c>
      <c r="C2030">
        <v>2.1999999999999999E-2</v>
      </c>
    </row>
    <row r="2031" spans="1:3" x14ac:dyDescent="0.35">
      <c r="A2031">
        <v>46</v>
      </c>
      <c r="B2031">
        <v>1953</v>
      </c>
      <c r="C2031">
        <v>0.02</v>
      </c>
    </row>
    <row r="2032" spans="1:3" x14ac:dyDescent="0.35">
      <c r="A2032">
        <v>46</v>
      </c>
      <c r="B2032">
        <v>1954</v>
      </c>
      <c r="C2032">
        <v>1.77E-2</v>
      </c>
    </row>
    <row r="2033" spans="1:3" x14ac:dyDescent="0.35">
      <c r="A2033">
        <v>46</v>
      </c>
      <c r="B2033">
        <v>1955</v>
      </c>
      <c r="C2033">
        <v>1.5100000000000001E-2</v>
      </c>
    </row>
    <row r="2034" spans="1:3" x14ac:dyDescent="0.35">
      <c r="A2034">
        <v>46</v>
      </c>
      <c r="B2034">
        <v>1956</v>
      </c>
      <c r="C2034">
        <v>1.23E-2</v>
      </c>
    </row>
    <row r="2035" spans="1:3" x14ac:dyDescent="0.35">
      <c r="A2035">
        <v>46</v>
      </c>
      <c r="B2035">
        <v>1957</v>
      </c>
      <c r="C2035">
        <v>9.4999999999999998E-3</v>
      </c>
    </row>
    <row r="2036" spans="1:3" x14ac:dyDescent="0.35">
      <c r="A2036">
        <v>46</v>
      </c>
      <c r="B2036">
        <v>1958</v>
      </c>
      <c r="C2036">
        <v>6.7000000000000002E-3</v>
      </c>
    </row>
    <row r="2037" spans="1:3" x14ac:dyDescent="0.35">
      <c r="A2037">
        <v>46</v>
      </c>
      <c r="B2037">
        <v>1959</v>
      </c>
      <c r="C2037">
        <v>4.1999999999999997E-3</v>
      </c>
    </row>
    <row r="2038" spans="1:3" x14ac:dyDescent="0.35">
      <c r="A2038">
        <v>46</v>
      </c>
      <c r="B2038">
        <v>1960</v>
      </c>
      <c r="C2038">
        <v>1.9E-3</v>
      </c>
    </row>
    <row r="2039" spans="1:3" x14ac:dyDescent="0.35">
      <c r="A2039">
        <v>46</v>
      </c>
      <c r="B2039">
        <v>1961</v>
      </c>
      <c r="C2039">
        <v>-2.0000000000000001E-4</v>
      </c>
    </row>
    <row r="2040" spans="1:3" x14ac:dyDescent="0.35">
      <c r="A2040">
        <v>46</v>
      </c>
      <c r="B2040">
        <v>1962</v>
      </c>
      <c r="C2040">
        <v>-2.0999999999999999E-3</v>
      </c>
    </row>
    <row r="2041" spans="1:3" x14ac:dyDescent="0.35">
      <c r="A2041">
        <v>46</v>
      </c>
      <c r="B2041">
        <v>1963</v>
      </c>
      <c r="C2041">
        <v>-3.5999999999999999E-3</v>
      </c>
    </row>
    <row r="2042" spans="1:3" x14ac:dyDescent="0.35">
      <c r="A2042">
        <v>46</v>
      </c>
      <c r="B2042">
        <v>1964</v>
      </c>
      <c r="C2042">
        <v>-4.4999999999999997E-3</v>
      </c>
    </row>
    <row r="2043" spans="1:3" x14ac:dyDescent="0.35">
      <c r="A2043">
        <v>46</v>
      </c>
      <c r="B2043">
        <v>1965</v>
      </c>
      <c r="C2043">
        <v>-4.7999999999999996E-3</v>
      </c>
    </row>
    <row r="2044" spans="1:3" x14ac:dyDescent="0.35">
      <c r="A2044">
        <v>46</v>
      </c>
      <c r="B2044">
        <v>1966</v>
      </c>
      <c r="C2044">
        <v>-4.1999999999999997E-3</v>
      </c>
    </row>
    <row r="2045" spans="1:3" x14ac:dyDescent="0.35">
      <c r="A2045">
        <v>46</v>
      </c>
      <c r="B2045">
        <v>1967</v>
      </c>
      <c r="C2045">
        <v>-2.7000000000000001E-3</v>
      </c>
    </row>
    <row r="2046" spans="1:3" x14ac:dyDescent="0.35">
      <c r="A2046">
        <v>46</v>
      </c>
      <c r="B2046">
        <v>1968</v>
      </c>
      <c r="C2046">
        <v>0</v>
      </c>
    </row>
    <row r="2047" spans="1:3" x14ac:dyDescent="0.35">
      <c r="A2047">
        <v>46</v>
      </c>
      <c r="B2047">
        <v>1969</v>
      </c>
      <c r="C2047">
        <v>3.7000000000000002E-3</v>
      </c>
    </row>
    <row r="2048" spans="1:3" x14ac:dyDescent="0.35">
      <c r="A2048">
        <v>46</v>
      </c>
      <c r="B2048">
        <v>1970</v>
      </c>
      <c r="C2048">
        <v>8.2000000000000007E-3</v>
      </c>
    </row>
    <row r="2049" spans="1:3" x14ac:dyDescent="0.35">
      <c r="A2049">
        <v>46</v>
      </c>
      <c r="B2049">
        <v>1971</v>
      </c>
      <c r="C2049">
        <v>1.2999999999999999E-2</v>
      </c>
    </row>
    <row r="2050" spans="1:3" x14ac:dyDescent="0.35">
      <c r="A2050">
        <v>46</v>
      </c>
      <c r="B2050">
        <v>1972</v>
      </c>
      <c r="C2050">
        <v>1.7999999999999999E-2</v>
      </c>
    </row>
    <row r="2051" spans="1:3" x14ac:dyDescent="0.35">
      <c r="A2051">
        <v>46</v>
      </c>
      <c r="B2051">
        <v>1973</v>
      </c>
      <c r="C2051">
        <v>2.2700000000000001E-2</v>
      </c>
    </row>
    <row r="2052" spans="1:3" x14ac:dyDescent="0.35">
      <c r="A2052">
        <v>46</v>
      </c>
      <c r="B2052">
        <v>1974</v>
      </c>
      <c r="C2052">
        <v>2.69E-2</v>
      </c>
    </row>
    <row r="2053" spans="1:3" x14ac:dyDescent="0.35">
      <c r="A2053">
        <v>46</v>
      </c>
      <c r="B2053">
        <v>1975</v>
      </c>
      <c r="C2053">
        <v>3.0099999999999998E-2</v>
      </c>
    </row>
    <row r="2054" spans="1:3" x14ac:dyDescent="0.35">
      <c r="A2054">
        <v>46</v>
      </c>
      <c r="B2054">
        <v>1976</v>
      </c>
      <c r="C2054">
        <v>3.2000000000000001E-2</v>
      </c>
    </row>
    <row r="2055" spans="1:3" x14ac:dyDescent="0.35">
      <c r="A2055">
        <v>46</v>
      </c>
      <c r="B2055">
        <v>1977</v>
      </c>
      <c r="C2055">
        <v>3.2800000000000003E-2</v>
      </c>
    </row>
    <row r="2056" spans="1:3" x14ac:dyDescent="0.35">
      <c r="A2056">
        <v>46</v>
      </c>
      <c r="B2056">
        <v>1978</v>
      </c>
      <c r="C2056">
        <v>3.2599999999999997E-2</v>
      </c>
    </row>
    <row r="2057" spans="1:3" x14ac:dyDescent="0.35">
      <c r="A2057">
        <v>46</v>
      </c>
      <c r="B2057">
        <v>1979</v>
      </c>
      <c r="C2057">
        <v>3.1699999999999999E-2</v>
      </c>
    </row>
    <row r="2058" spans="1:3" x14ac:dyDescent="0.35">
      <c r="A2058">
        <v>46</v>
      </c>
      <c r="B2058">
        <v>1980</v>
      </c>
      <c r="C2058">
        <v>3.0300000000000001E-2</v>
      </c>
    </row>
    <row r="2059" spans="1:3" x14ac:dyDescent="0.35">
      <c r="A2059">
        <v>46</v>
      </c>
      <c r="B2059">
        <v>1981</v>
      </c>
      <c r="C2059">
        <v>2.8500000000000001E-2</v>
      </c>
    </row>
    <row r="2060" spans="1:3" x14ac:dyDescent="0.35">
      <c r="A2060">
        <v>46</v>
      </c>
      <c r="B2060">
        <v>1982</v>
      </c>
      <c r="C2060">
        <v>2.6100000000000002E-2</v>
      </c>
    </row>
    <row r="2061" spans="1:3" x14ac:dyDescent="0.35">
      <c r="A2061">
        <v>46</v>
      </c>
      <c r="B2061">
        <v>1983</v>
      </c>
      <c r="C2061">
        <v>2.3E-2</v>
      </c>
    </row>
    <row r="2062" spans="1:3" x14ac:dyDescent="0.35">
      <c r="A2062">
        <v>46</v>
      </c>
      <c r="B2062">
        <v>1984</v>
      </c>
      <c r="C2062">
        <v>1.9099999999999999E-2</v>
      </c>
    </row>
    <row r="2063" spans="1:3" x14ac:dyDescent="0.35">
      <c r="A2063">
        <v>46</v>
      </c>
      <c r="B2063">
        <v>1985</v>
      </c>
      <c r="C2063">
        <v>1.4800000000000001E-2</v>
      </c>
    </row>
    <row r="2064" spans="1:3" x14ac:dyDescent="0.35">
      <c r="A2064">
        <v>46</v>
      </c>
      <c r="B2064">
        <v>1986</v>
      </c>
      <c r="C2064">
        <v>1.04E-2</v>
      </c>
    </row>
    <row r="2065" spans="1:3" x14ac:dyDescent="0.35">
      <c r="A2065">
        <v>46</v>
      </c>
      <c r="B2065">
        <v>1987</v>
      </c>
      <c r="C2065">
        <v>6.3E-3</v>
      </c>
    </row>
    <row r="2066" spans="1:3" x14ac:dyDescent="0.35">
      <c r="A2066">
        <v>46</v>
      </c>
      <c r="B2066">
        <v>1988</v>
      </c>
      <c r="C2066">
        <v>2.7000000000000001E-3</v>
      </c>
    </row>
    <row r="2067" spans="1:3" x14ac:dyDescent="0.35">
      <c r="A2067">
        <v>46</v>
      </c>
      <c r="B2067">
        <v>1989</v>
      </c>
      <c r="C2067">
        <v>1E-4</v>
      </c>
    </row>
    <row r="2068" spans="1:3" x14ac:dyDescent="0.35">
      <c r="A2068">
        <v>46</v>
      </c>
      <c r="B2068">
        <v>1990</v>
      </c>
      <c r="C2068">
        <v>-1.1999999999999999E-3</v>
      </c>
    </row>
    <row r="2069" spans="1:3" x14ac:dyDescent="0.35">
      <c r="A2069">
        <v>46</v>
      </c>
      <c r="B2069">
        <v>1991</v>
      </c>
      <c r="C2069">
        <v>-8.9999999999999998E-4</v>
      </c>
    </row>
    <row r="2070" spans="1:3" x14ac:dyDescent="0.35">
      <c r="A2070">
        <v>46</v>
      </c>
      <c r="B2070">
        <v>1992</v>
      </c>
      <c r="C2070">
        <v>8.9999999999999998E-4</v>
      </c>
    </row>
    <row r="2071" spans="1:3" x14ac:dyDescent="0.35">
      <c r="A2071">
        <v>46</v>
      </c>
      <c r="B2071">
        <v>1993</v>
      </c>
      <c r="C2071">
        <v>4.1000000000000003E-3</v>
      </c>
    </row>
    <row r="2072" spans="1:3" x14ac:dyDescent="0.35">
      <c r="A2072">
        <v>46</v>
      </c>
      <c r="B2072">
        <v>1994</v>
      </c>
      <c r="C2072">
        <v>8.0999999999999996E-3</v>
      </c>
    </row>
    <row r="2073" spans="1:3" x14ac:dyDescent="0.35">
      <c r="A2073">
        <v>46</v>
      </c>
      <c r="B2073">
        <v>1995</v>
      </c>
      <c r="C2073">
        <v>1.21E-2</v>
      </c>
    </row>
    <row r="2074" spans="1:3" x14ac:dyDescent="0.35">
      <c r="A2074">
        <v>46</v>
      </c>
      <c r="B2074">
        <v>1996</v>
      </c>
      <c r="C2074">
        <v>1.47E-2</v>
      </c>
    </row>
    <row r="2075" spans="1:3" x14ac:dyDescent="0.35">
      <c r="A2075">
        <v>46</v>
      </c>
      <c r="B2075">
        <v>1997</v>
      </c>
      <c r="C2075">
        <v>1.49E-2</v>
      </c>
    </row>
    <row r="2076" spans="1:3" x14ac:dyDescent="0.35">
      <c r="A2076">
        <v>46</v>
      </c>
      <c r="B2076">
        <v>1998</v>
      </c>
      <c r="C2076">
        <v>1.2699999999999999E-2</v>
      </c>
    </row>
    <row r="2077" spans="1:3" x14ac:dyDescent="0.35">
      <c r="A2077">
        <v>46</v>
      </c>
      <c r="B2077">
        <v>1999</v>
      </c>
      <c r="C2077">
        <v>9.1000000000000004E-3</v>
      </c>
    </row>
    <row r="2078" spans="1:3" x14ac:dyDescent="0.35">
      <c r="A2078">
        <v>46</v>
      </c>
      <c r="B2078">
        <v>2000</v>
      </c>
      <c r="C2078">
        <v>5.4000000000000003E-3</v>
      </c>
    </row>
    <row r="2079" spans="1:3" x14ac:dyDescent="0.35">
      <c r="A2079">
        <v>46</v>
      </c>
      <c r="B2079">
        <v>2001</v>
      </c>
      <c r="C2079">
        <v>3.0999999999999999E-3</v>
      </c>
    </row>
    <row r="2080" spans="1:3" x14ac:dyDescent="0.35">
      <c r="A2080">
        <v>46</v>
      </c>
      <c r="B2080">
        <v>2002</v>
      </c>
      <c r="C2080">
        <v>2.8E-3</v>
      </c>
    </row>
    <row r="2081" spans="1:3" x14ac:dyDescent="0.35">
      <c r="A2081">
        <v>46</v>
      </c>
      <c r="B2081">
        <v>2003</v>
      </c>
      <c r="C2081">
        <v>4.5999999999999999E-3</v>
      </c>
    </row>
    <row r="2082" spans="1:3" x14ac:dyDescent="0.35">
      <c r="A2082">
        <v>46</v>
      </c>
      <c r="B2082">
        <v>2004</v>
      </c>
      <c r="C2082">
        <v>8.0999999999999996E-3</v>
      </c>
    </row>
    <row r="2083" spans="1:3" x14ac:dyDescent="0.35">
      <c r="A2083">
        <v>46</v>
      </c>
      <c r="B2083">
        <v>2005</v>
      </c>
      <c r="C2083">
        <v>1.24E-2</v>
      </c>
    </row>
    <row r="2084" spans="1:3" x14ac:dyDescent="0.35">
      <c r="A2084">
        <v>46</v>
      </c>
      <c r="B2084">
        <v>2006</v>
      </c>
      <c r="C2084">
        <v>1.6899999999999998E-2</v>
      </c>
    </row>
    <row r="2085" spans="1:3" x14ac:dyDescent="0.35">
      <c r="A2085">
        <v>46</v>
      </c>
      <c r="B2085">
        <v>2007</v>
      </c>
      <c r="C2085">
        <v>2.0799999999999999E-2</v>
      </c>
    </row>
    <row r="2086" spans="1:3" x14ac:dyDescent="0.35">
      <c r="A2086">
        <v>46</v>
      </c>
      <c r="B2086">
        <v>2008</v>
      </c>
      <c r="C2086">
        <v>2.3400000000000001E-2</v>
      </c>
    </row>
    <row r="2087" spans="1:3" x14ac:dyDescent="0.35">
      <c r="A2087">
        <v>46</v>
      </c>
      <c r="B2087">
        <v>2009</v>
      </c>
      <c r="C2087">
        <v>2.4500000000000001E-2</v>
      </c>
    </row>
    <row r="2088" spans="1:3" x14ac:dyDescent="0.35">
      <c r="A2088">
        <v>46</v>
      </c>
      <c r="B2088">
        <v>2010</v>
      </c>
      <c r="C2088">
        <v>2.4199999999999999E-2</v>
      </c>
    </row>
    <row r="2089" spans="1:3" x14ac:dyDescent="0.35">
      <c r="A2089">
        <v>46</v>
      </c>
      <c r="B2089">
        <v>2011</v>
      </c>
      <c r="C2089">
        <v>2.2599999999999999E-2</v>
      </c>
    </row>
    <row r="2090" spans="1:3" x14ac:dyDescent="0.35">
      <c r="A2090">
        <v>46</v>
      </c>
      <c r="B2090">
        <v>2012</v>
      </c>
      <c r="C2090">
        <v>0.02</v>
      </c>
    </row>
    <row r="2091" spans="1:3" x14ac:dyDescent="0.35">
      <c r="A2091">
        <v>46</v>
      </c>
      <c r="B2091">
        <v>2013</v>
      </c>
      <c r="C2091">
        <v>1.9699999999999999E-2</v>
      </c>
    </row>
    <row r="2092" spans="1:3" x14ac:dyDescent="0.35">
      <c r="A2092">
        <v>46</v>
      </c>
      <c r="B2092">
        <v>2014</v>
      </c>
      <c r="C2092">
        <v>1.8700000000000001E-2</v>
      </c>
    </row>
    <row r="2093" spans="1:3" x14ac:dyDescent="0.35">
      <c r="A2093">
        <v>46</v>
      </c>
      <c r="B2093">
        <v>2015</v>
      </c>
      <c r="C2093">
        <v>1.7299999999999999E-2</v>
      </c>
    </row>
    <row r="2094" spans="1:3" x14ac:dyDescent="0.35">
      <c r="A2094">
        <v>46</v>
      </c>
      <c r="B2094">
        <v>2016</v>
      </c>
      <c r="C2094">
        <v>1.54E-2</v>
      </c>
    </row>
    <row r="2095" spans="1:3" x14ac:dyDescent="0.35">
      <c r="A2095">
        <v>46</v>
      </c>
      <c r="B2095">
        <v>2017</v>
      </c>
      <c r="C2095">
        <v>1.34E-2</v>
      </c>
    </row>
    <row r="2096" spans="1:3" x14ac:dyDescent="0.35">
      <c r="A2096">
        <v>46</v>
      </c>
      <c r="B2096">
        <v>2018</v>
      </c>
      <c r="C2096">
        <v>1.1299999999999999E-2</v>
      </c>
    </row>
    <row r="2097" spans="1:3" x14ac:dyDescent="0.35">
      <c r="A2097">
        <v>46</v>
      </c>
      <c r="B2097">
        <v>2019</v>
      </c>
      <c r="C2097">
        <v>9.4999999999999998E-3</v>
      </c>
    </row>
    <row r="2098" spans="1:3" x14ac:dyDescent="0.35">
      <c r="A2098">
        <v>46</v>
      </c>
      <c r="B2098">
        <v>2020</v>
      </c>
      <c r="C2098">
        <v>8.0000000000000002E-3</v>
      </c>
    </row>
    <row r="2099" spans="1:3" x14ac:dyDescent="0.35">
      <c r="A2099">
        <v>46</v>
      </c>
      <c r="B2099">
        <v>2021</v>
      </c>
      <c r="C2099">
        <v>7.0000000000000001E-3</v>
      </c>
    </row>
    <row r="2100" spans="1:3" x14ac:dyDescent="0.35">
      <c r="A2100">
        <v>46</v>
      </c>
      <c r="B2100">
        <v>2022</v>
      </c>
      <c r="C2100">
        <v>6.6E-3</v>
      </c>
    </row>
    <row r="2101" spans="1:3" x14ac:dyDescent="0.35">
      <c r="A2101">
        <v>46</v>
      </c>
      <c r="B2101">
        <v>2023</v>
      </c>
      <c r="C2101">
        <v>6.7000000000000002E-3</v>
      </c>
    </row>
    <row r="2102" spans="1:3" x14ac:dyDescent="0.35">
      <c r="A2102">
        <v>46</v>
      </c>
      <c r="B2102">
        <v>2024</v>
      </c>
      <c r="C2102">
        <v>7.0000000000000001E-3</v>
      </c>
    </row>
    <row r="2103" spans="1:3" x14ac:dyDescent="0.35">
      <c r="A2103">
        <v>46</v>
      </c>
      <c r="B2103">
        <v>2025</v>
      </c>
      <c r="C2103">
        <v>7.4999999999999997E-3</v>
      </c>
    </row>
    <row r="2104" spans="1:3" x14ac:dyDescent="0.35">
      <c r="A2104">
        <v>46</v>
      </c>
      <c r="B2104">
        <v>2026</v>
      </c>
      <c r="C2104">
        <v>8.0999999999999996E-3</v>
      </c>
    </row>
    <row r="2105" spans="1:3" x14ac:dyDescent="0.35">
      <c r="A2105">
        <v>46</v>
      </c>
      <c r="B2105">
        <v>2027</v>
      </c>
      <c r="C2105">
        <v>8.6999999999999994E-3</v>
      </c>
    </row>
    <row r="2106" spans="1:3" x14ac:dyDescent="0.35">
      <c r="A2106">
        <v>46</v>
      </c>
      <c r="B2106">
        <v>2028</v>
      </c>
      <c r="C2106">
        <v>9.1999999999999998E-3</v>
      </c>
    </row>
    <row r="2107" spans="1:3" x14ac:dyDescent="0.35">
      <c r="A2107">
        <v>46</v>
      </c>
      <c r="B2107">
        <v>2029</v>
      </c>
      <c r="C2107">
        <v>9.5999999999999992E-3</v>
      </c>
    </row>
    <row r="2108" spans="1:3" x14ac:dyDescent="0.35">
      <c r="A2108">
        <v>46</v>
      </c>
      <c r="B2108">
        <v>2030</v>
      </c>
      <c r="C2108">
        <v>9.9000000000000008E-3</v>
      </c>
    </row>
    <row r="2109" spans="1:3" x14ac:dyDescent="0.35">
      <c r="A2109">
        <v>46</v>
      </c>
      <c r="B2109">
        <v>2031</v>
      </c>
      <c r="C2109">
        <v>0.01</v>
      </c>
    </row>
    <row r="2110" spans="1:3" x14ac:dyDescent="0.35">
      <c r="A2110">
        <v>47</v>
      </c>
      <c r="B2110">
        <v>1951</v>
      </c>
      <c r="C2110">
        <v>2.2499999999999999E-2</v>
      </c>
    </row>
    <row r="2111" spans="1:3" x14ac:dyDescent="0.35">
      <c r="A2111">
        <v>47</v>
      </c>
      <c r="B2111">
        <v>1952</v>
      </c>
      <c r="C2111">
        <v>2.07E-2</v>
      </c>
    </row>
    <row r="2112" spans="1:3" x14ac:dyDescent="0.35">
      <c r="A2112">
        <v>47</v>
      </c>
      <c r="B2112">
        <v>1953</v>
      </c>
      <c r="C2112">
        <v>1.8800000000000001E-2</v>
      </c>
    </row>
    <row r="2113" spans="1:3" x14ac:dyDescent="0.35">
      <c r="A2113">
        <v>47</v>
      </c>
      <c r="B2113">
        <v>1954</v>
      </c>
      <c r="C2113">
        <v>1.67E-2</v>
      </c>
    </row>
    <row r="2114" spans="1:3" x14ac:dyDescent="0.35">
      <c r="A2114">
        <v>47</v>
      </c>
      <c r="B2114">
        <v>1955</v>
      </c>
      <c r="C2114">
        <v>1.43E-2</v>
      </c>
    </row>
    <row r="2115" spans="1:3" x14ac:dyDescent="0.35">
      <c r="A2115">
        <v>47</v>
      </c>
      <c r="B2115">
        <v>1956</v>
      </c>
      <c r="C2115">
        <v>1.1599999999999999E-2</v>
      </c>
    </row>
    <row r="2116" spans="1:3" x14ac:dyDescent="0.35">
      <c r="A2116">
        <v>47</v>
      </c>
      <c r="B2116">
        <v>1957</v>
      </c>
      <c r="C2116">
        <v>8.8999999999999999E-3</v>
      </c>
    </row>
    <row r="2117" spans="1:3" x14ac:dyDescent="0.35">
      <c r="A2117">
        <v>47</v>
      </c>
      <c r="B2117">
        <v>1958</v>
      </c>
      <c r="C2117">
        <v>6.3E-3</v>
      </c>
    </row>
    <row r="2118" spans="1:3" x14ac:dyDescent="0.35">
      <c r="A2118">
        <v>47</v>
      </c>
      <c r="B2118">
        <v>1959</v>
      </c>
      <c r="C2118">
        <v>3.8999999999999998E-3</v>
      </c>
    </row>
    <row r="2119" spans="1:3" x14ac:dyDescent="0.35">
      <c r="A2119">
        <v>47</v>
      </c>
      <c r="B2119">
        <v>1960</v>
      </c>
      <c r="C2119">
        <v>1.8E-3</v>
      </c>
    </row>
    <row r="2120" spans="1:3" x14ac:dyDescent="0.35">
      <c r="A2120">
        <v>47</v>
      </c>
      <c r="B2120">
        <v>1961</v>
      </c>
      <c r="C2120">
        <v>0</v>
      </c>
    </row>
    <row r="2121" spans="1:3" x14ac:dyDescent="0.35">
      <c r="A2121">
        <v>47</v>
      </c>
      <c r="B2121">
        <v>1962</v>
      </c>
      <c r="C2121">
        <v>-1.6000000000000001E-3</v>
      </c>
    </row>
    <row r="2122" spans="1:3" x14ac:dyDescent="0.35">
      <c r="A2122">
        <v>47</v>
      </c>
      <c r="B2122">
        <v>1963</v>
      </c>
      <c r="C2122">
        <v>-2.8E-3</v>
      </c>
    </row>
    <row r="2123" spans="1:3" x14ac:dyDescent="0.35">
      <c r="A2123">
        <v>47</v>
      </c>
      <c r="B2123">
        <v>1964</v>
      </c>
      <c r="C2123">
        <v>-3.5000000000000001E-3</v>
      </c>
    </row>
    <row r="2124" spans="1:3" x14ac:dyDescent="0.35">
      <c r="A2124">
        <v>47</v>
      </c>
      <c r="B2124">
        <v>1965</v>
      </c>
      <c r="C2124">
        <v>-3.5999999999999999E-3</v>
      </c>
    </row>
    <row r="2125" spans="1:3" x14ac:dyDescent="0.35">
      <c r="A2125">
        <v>47</v>
      </c>
      <c r="B2125">
        <v>1966</v>
      </c>
      <c r="C2125">
        <v>-2.8999999999999998E-3</v>
      </c>
    </row>
    <row r="2126" spans="1:3" x14ac:dyDescent="0.35">
      <c r="A2126">
        <v>47</v>
      </c>
      <c r="B2126">
        <v>1967</v>
      </c>
      <c r="C2126">
        <v>-1.2999999999999999E-3</v>
      </c>
    </row>
    <row r="2127" spans="1:3" x14ac:dyDescent="0.35">
      <c r="A2127">
        <v>47</v>
      </c>
      <c r="B2127">
        <v>1968</v>
      </c>
      <c r="C2127">
        <v>1.2999999999999999E-3</v>
      </c>
    </row>
    <row r="2128" spans="1:3" x14ac:dyDescent="0.35">
      <c r="A2128">
        <v>47</v>
      </c>
      <c r="B2128">
        <v>1969</v>
      </c>
      <c r="C2128">
        <v>4.7999999999999996E-3</v>
      </c>
    </row>
    <row r="2129" spans="1:3" x14ac:dyDescent="0.35">
      <c r="A2129">
        <v>47</v>
      </c>
      <c r="B2129">
        <v>1970</v>
      </c>
      <c r="C2129">
        <v>8.8999999999999999E-3</v>
      </c>
    </row>
    <row r="2130" spans="1:3" x14ac:dyDescent="0.35">
      <c r="A2130">
        <v>47</v>
      </c>
      <c r="B2130">
        <v>1971</v>
      </c>
      <c r="C2130">
        <v>1.3299999999999999E-2</v>
      </c>
    </row>
    <row r="2131" spans="1:3" x14ac:dyDescent="0.35">
      <c r="A2131">
        <v>47</v>
      </c>
      <c r="B2131">
        <v>1972</v>
      </c>
      <c r="C2131">
        <v>1.78E-2</v>
      </c>
    </row>
    <row r="2132" spans="1:3" x14ac:dyDescent="0.35">
      <c r="A2132">
        <v>47</v>
      </c>
      <c r="B2132">
        <v>1973</v>
      </c>
      <c r="C2132">
        <v>2.2200000000000001E-2</v>
      </c>
    </row>
    <row r="2133" spans="1:3" x14ac:dyDescent="0.35">
      <c r="A2133">
        <v>47</v>
      </c>
      <c r="B2133">
        <v>1974</v>
      </c>
      <c r="C2133">
        <v>2.6100000000000002E-2</v>
      </c>
    </row>
    <row r="2134" spans="1:3" x14ac:dyDescent="0.35">
      <c r="A2134">
        <v>47</v>
      </c>
      <c r="B2134">
        <v>1975</v>
      </c>
      <c r="C2134">
        <v>2.9100000000000001E-2</v>
      </c>
    </row>
    <row r="2135" spans="1:3" x14ac:dyDescent="0.35">
      <c r="A2135">
        <v>47</v>
      </c>
      <c r="B2135">
        <v>1976</v>
      </c>
      <c r="C2135">
        <v>3.09E-2</v>
      </c>
    </row>
    <row r="2136" spans="1:3" x14ac:dyDescent="0.35">
      <c r="A2136">
        <v>47</v>
      </c>
      <c r="B2136">
        <v>1977</v>
      </c>
      <c r="C2136">
        <v>3.1600000000000003E-2</v>
      </c>
    </row>
    <row r="2137" spans="1:3" x14ac:dyDescent="0.35">
      <c r="A2137">
        <v>47</v>
      </c>
      <c r="B2137">
        <v>1978</v>
      </c>
      <c r="C2137">
        <v>3.15E-2</v>
      </c>
    </row>
    <row r="2138" spans="1:3" x14ac:dyDescent="0.35">
      <c r="A2138">
        <v>47</v>
      </c>
      <c r="B2138">
        <v>1979</v>
      </c>
      <c r="C2138">
        <v>3.0800000000000001E-2</v>
      </c>
    </row>
    <row r="2139" spans="1:3" x14ac:dyDescent="0.35">
      <c r="A2139">
        <v>47</v>
      </c>
      <c r="B2139">
        <v>1980</v>
      </c>
      <c r="C2139">
        <v>2.9700000000000001E-2</v>
      </c>
    </row>
    <row r="2140" spans="1:3" x14ac:dyDescent="0.35">
      <c r="A2140">
        <v>47</v>
      </c>
      <c r="B2140">
        <v>1981</v>
      </c>
      <c r="C2140">
        <v>2.8299999999999999E-2</v>
      </c>
    </row>
    <row r="2141" spans="1:3" x14ac:dyDescent="0.35">
      <c r="A2141">
        <v>47</v>
      </c>
      <c r="B2141">
        <v>1982</v>
      </c>
      <c r="C2141">
        <v>2.63E-2</v>
      </c>
    </row>
    <row r="2142" spans="1:3" x14ac:dyDescent="0.35">
      <c r="A2142">
        <v>47</v>
      </c>
      <c r="B2142">
        <v>1983</v>
      </c>
      <c r="C2142">
        <v>2.3699999999999999E-2</v>
      </c>
    </row>
    <row r="2143" spans="1:3" x14ac:dyDescent="0.35">
      <c r="A2143">
        <v>47</v>
      </c>
      <c r="B2143">
        <v>1984</v>
      </c>
      <c r="C2143">
        <v>2.0500000000000001E-2</v>
      </c>
    </row>
    <row r="2144" spans="1:3" x14ac:dyDescent="0.35">
      <c r="A2144">
        <v>47</v>
      </c>
      <c r="B2144">
        <v>1985</v>
      </c>
      <c r="C2144">
        <v>1.6799999999999999E-2</v>
      </c>
    </row>
    <row r="2145" spans="1:3" x14ac:dyDescent="0.35">
      <c r="A2145">
        <v>47</v>
      </c>
      <c r="B2145">
        <v>1986</v>
      </c>
      <c r="C2145">
        <v>1.2999999999999999E-2</v>
      </c>
    </row>
    <row r="2146" spans="1:3" x14ac:dyDescent="0.35">
      <c r="A2146">
        <v>47</v>
      </c>
      <c r="B2146">
        <v>1987</v>
      </c>
      <c r="C2146">
        <v>9.4000000000000004E-3</v>
      </c>
    </row>
    <row r="2147" spans="1:3" x14ac:dyDescent="0.35">
      <c r="A2147">
        <v>47</v>
      </c>
      <c r="B2147">
        <v>1988</v>
      </c>
      <c r="C2147">
        <v>6.4000000000000003E-3</v>
      </c>
    </row>
    <row r="2148" spans="1:3" x14ac:dyDescent="0.35">
      <c r="A2148">
        <v>47</v>
      </c>
      <c r="B2148">
        <v>1989</v>
      </c>
      <c r="C2148">
        <v>4.1999999999999997E-3</v>
      </c>
    </row>
    <row r="2149" spans="1:3" x14ac:dyDescent="0.35">
      <c r="A2149">
        <v>47</v>
      </c>
      <c r="B2149">
        <v>1990</v>
      </c>
      <c r="C2149">
        <v>3.0000000000000001E-3</v>
      </c>
    </row>
    <row r="2150" spans="1:3" x14ac:dyDescent="0.35">
      <c r="A2150">
        <v>47</v>
      </c>
      <c r="B2150">
        <v>1991</v>
      </c>
      <c r="C2150">
        <v>3.0000000000000001E-3</v>
      </c>
    </row>
    <row r="2151" spans="1:3" x14ac:dyDescent="0.35">
      <c r="A2151">
        <v>47</v>
      </c>
      <c r="B2151">
        <v>1992</v>
      </c>
      <c r="C2151">
        <v>4.3E-3</v>
      </c>
    </row>
    <row r="2152" spans="1:3" x14ac:dyDescent="0.35">
      <c r="A2152">
        <v>47</v>
      </c>
      <c r="B2152">
        <v>1993</v>
      </c>
      <c r="C2152">
        <v>6.6E-3</v>
      </c>
    </row>
    <row r="2153" spans="1:3" x14ac:dyDescent="0.35">
      <c r="A2153">
        <v>47</v>
      </c>
      <c r="B2153">
        <v>1994</v>
      </c>
      <c r="C2153">
        <v>9.4999999999999998E-3</v>
      </c>
    </row>
    <row r="2154" spans="1:3" x14ac:dyDescent="0.35">
      <c r="A2154">
        <v>47</v>
      </c>
      <c r="B2154">
        <v>1995</v>
      </c>
      <c r="C2154">
        <v>1.2200000000000001E-2</v>
      </c>
    </row>
    <row r="2155" spans="1:3" x14ac:dyDescent="0.35">
      <c r="A2155">
        <v>47</v>
      </c>
      <c r="B2155">
        <v>1996</v>
      </c>
      <c r="C2155">
        <v>1.38E-2</v>
      </c>
    </row>
    <row r="2156" spans="1:3" x14ac:dyDescent="0.35">
      <c r="A2156">
        <v>47</v>
      </c>
      <c r="B2156">
        <v>1997</v>
      </c>
      <c r="C2156">
        <v>1.34E-2</v>
      </c>
    </row>
    <row r="2157" spans="1:3" x14ac:dyDescent="0.35">
      <c r="A2157">
        <v>47</v>
      </c>
      <c r="B2157">
        <v>1998</v>
      </c>
      <c r="C2157">
        <v>1.09E-2</v>
      </c>
    </row>
    <row r="2158" spans="1:3" x14ac:dyDescent="0.35">
      <c r="A2158">
        <v>47</v>
      </c>
      <c r="B2158">
        <v>1999</v>
      </c>
      <c r="C2158">
        <v>7.1000000000000004E-3</v>
      </c>
    </row>
    <row r="2159" spans="1:3" x14ac:dyDescent="0.35">
      <c r="A2159">
        <v>47</v>
      </c>
      <c r="B2159">
        <v>2000</v>
      </c>
      <c r="C2159">
        <v>3.5000000000000001E-3</v>
      </c>
    </row>
    <row r="2160" spans="1:3" x14ac:dyDescent="0.35">
      <c r="A2160">
        <v>47</v>
      </c>
      <c r="B2160">
        <v>2001</v>
      </c>
      <c r="C2160">
        <v>1.1000000000000001E-3</v>
      </c>
    </row>
    <row r="2161" spans="1:3" x14ac:dyDescent="0.35">
      <c r="A2161">
        <v>47</v>
      </c>
      <c r="B2161">
        <v>2002</v>
      </c>
      <c r="C2161">
        <v>8.0000000000000004E-4</v>
      </c>
    </row>
    <row r="2162" spans="1:3" x14ac:dyDescent="0.35">
      <c r="A2162">
        <v>47</v>
      </c>
      <c r="B2162">
        <v>2003</v>
      </c>
      <c r="C2162">
        <v>2.5000000000000001E-3</v>
      </c>
    </row>
    <row r="2163" spans="1:3" x14ac:dyDescent="0.35">
      <c r="A2163">
        <v>47</v>
      </c>
      <c r="B2163">
        <v>2004</v>
      </c>
      <c r="C2163">
        <v>5.8999999999999999E-3</v>
      </c>
    </row>
    <row r="2164" spans="1:3" x14ac:dyDescent="0.35">
      <c r="A2164">
        <v>47</v>
      </c>
      <c r="B2164">
        <v>2005</v>
      </c>
      <c r="C2164">
        <v>1.0200000000000001E-2</v>
      </c>
    </row>
    <row r="2165" spans="1:3" x14ac:dyDescent="0.35">
      <c r="A2165">
        <v>47</v>
      </c>
      <c r="B2165">
        <v>2006</v>
      </c>
      <c r="C2165">
        <v>1.47E-2</v>
      </c>
    </row>
    <row r="2166" spans="1:3" x14ac:dyDescent="0.35">
      <c r="A2166">
        <v>47</v>
      </c>
      <c r="B2166">
        <v>2007</v>
      </c>
      <c r="C2166">
        <v>1.8499999999999999E-2</v>
      </c>
    </row>
    <row r="2167" spans="1:3" x14ac:dyDescent="0.35">
      <c r="A2167">
        <v>47</v>
      </c>
      <c r="B2167">
        <v>2008</v>
      </c>
      <c r="C2167">
        <v>2.12E-2</v>
      </c>
    </row>
    <row r="2168" spans="1:3" x14ac:dyDescent="0.35">
      <c r="A2168">
        <v>47</v>
      </c>
      <c r="B2168">
        <v>2009</v>
      </c>
      <c r="C2168">
        <v>2.2599999999999999E-2</v>
      </c>
    </row>
    <row r="2169" spans="1:3" x14ac:dyDescent="0.35">
      <c r="A2169">
        <v>47</v>
      </c>
      <c r="B2169">
        <v>2010</v>
      </c>
      <c r="C2169">
        <v>2.2700000000000001E-2</v>
      </c>
    </row>
    <row r="2170" spans="1:3" x14ac:dyDescent="0.35">
      <c r="A2170">
        <v>47</v>
      </c>
      <c r="B2170">
        <v>2011</v>
      </c>
      <c r="C2170">
        <v>2.1499999999999998E-2</v>
      </c>
    </row>
    <row r="2171" spans="1:3" x14ac:dyDescent="0.35">
      <c r="A2171">
        <v>47</v>
      </c>
      <c r="B2171">
        <v>2012</v>
      </c>
      <c r="C2171">
        <v>1.95E-2</v>
      </c>
    </row>
    <row r="2172" spans="1:3" x14ac:dyDescent="0.35">
      <c r="A2172">
        <v>47</v>
      </c>
      <c r="B2172">
        <v>2013</v>
      </c>
      <c r="C2172">
        <v>1.9599999999999999E-2</v>
      </c>
    </row>
    <row r="2173" spans="1:3" x14ac:dyDescent="0.35">
      <c r="A2173">
        <v>47</v>
      </c>
      <c r="B2173">
        <v>2014</v>
      </c>
      <c r="C2173">
        <v>1.9E-2</v>
      </c>
    </row>
    <row r="2174" spans="1:3" x14ac:dyDescent="0.35">
      <c r="A2174">
        <v>47</v>
      </c>
      <c r="B2174">
        <v>2015</v>
      </c>
      <c r="C2174">
        <v>1.78E-2</v>
      </c>
    </row>
    <row r="2175" spans="1:3" x14ac:dyDescent="0.35">
      <c r="A2175">
        <v>47</v>
      </c>
      <c r="B2175">
        <v>2016</v>
      </c>
      <c r="C2175">
        <v>1.6299999999999999E-2</v>
      </c>
    </row>
    <row r="2176" spans="1:3" x14ac:dyDescent="0.35">
      <c r="A2176">
        <v>47</v>
      </c>
      <c r="B2176">
        <v>2017</v>
      </c>
      <c r="C2176">
        <v>1.44E-2</v>
      </c>
    </row>
    <row r="2177" spans="1:3" x14ac:dyDescent="0.35">
      <c r="A2177">
        <v>47</v>
      </c>
      <c r="B2177">
        <v>2018</v>
      </c>
      <c r="C2177">
        <v>1.2500000000000001E-2</v>
      </c>
    </row>
    <row r="2178" spans="1:3" x14ac:dyDescent="0.35">
      <c r="A2178">
        <v>47</v>
      </c>
      <c r="B2178">
        <v>2019</v>
      </c>
      <c r="C2178">
        <v>1.0699999999999999E-2</v>
      </c>
    </row>
    <row r="2179" spans="1:3" x14ac:dyDescent="0.35">
      <c r="A2179">
        <v>47</v>
      </c>
      <c r="B2179">
        <v>2020</v>
      </c>
      <c r="C2179">
        <v>9.1000000000000004E-3</v>
      </c>
    </row>
    <row r="2180" spans="1:3" x14ac:dyDescent="0.35">
      <c r="A2180">
        <v>47</v>
      </c>
      <c r="B2180">
        <v>2021</v>
      </c>
      <c r="C2180">
        <v>7.9000000000000008E-3</v>
      </c>
    </row>
    <row r="2181" spans="1:3" x14ac:dyDescent="0.35">
      <c r="A2181">
        <v>47</v>
      </c>
      <c r="B2181">
        <v>2022</v>
      </c>
      <c r="C2181">
        <v>7.3000000000000001E-3</v>
      </c>
    </row>
    <row r="2182" spans="1:3" x14ac:dyDescent="0.35">
      <c r="A2182">
        <v>47</v>
      </c>
      <c r="B2182">
        <v>2023</v>
      </c>
      <c r="C2182">
        <v>7.1000000000000004E-3</v>
      </c>
    </row>
    <row r="2183" spans="1:3" x14ac:dyDescent="0.35">
      <c r="A2183">
        <v>47</v>
      </c>
      <c r="B2183">
        <v>2024</v>
      </c>
      <c r="C2183">
        <v>7.1999999999999998E-3</v>
      </c>
    </row>
    <row r="2184" spans="1:3" x14ac:dyDescent="0.35">
      <c r="A2184">
        <v>47</v>
      </c>
      <c r="B2184">
        <v>2025</v>
      </c>
      <c r="C2184">
        <v>7.6E-3</v>
      </c>
    </row>
    <row r="2185" spans="1:3" x14ac:dyDescent="0.35">
      <c r="A2185">
        <v>47</v>
      </c>
      <c r="B2185">
        <v>2026</v>
      </c>
      <c r="C2185">
        <v>8.0999999999999996E-3</v>
      </c>
    </row>
    <row r="2186" spans="1:3" x14ac:dyDescent="0.35">
      <c r="A2186">
        <v>47</v>
      </c>
      <c r="B2186">
        <v>2027</v>
      </c>
      <c r="C2186">
        <v>8.6E-3</v>
      </c>
    </row>
    <row r="2187" spans="1:3" x14ac:dyDescent="0.35">
      <c r="A2187">
        <v>47</v>
      </c>
      <c r="B2187">
        <v>2028</v>
      </c>
      <c r="C2187">
        <v>9.1000000000000004E-3</v>
      </c>
    </row>
    <row r="2188" spans="1:3" x14ac:dyDescent="0.35">
      <c r="A2188">
        <v>47</v>
      </c>
      <c r="B2188">
        <v>2029</v>
      </c>
      <c r="C2188">
        <v>9.5999999999999992E-3</v>
      </c>
    </row>
    <row r="2189" spans="1:3" x14ac:dyDescent="0.35">
      <c r="A2189">
        <v>47</v>
      </c>
      <c r="B2189">
        <v>2030</v>
      </c>
      <c r="C2189">
        <v>9.7999999999999997E-3</v>
      </c>
    </row>
    <row r="2190" spans="1:3" x14ac:dyDescent="0.35">
      <c r="A2190">
        <v>47</v>
      </c>
      <c r="B2190">
        <v>2031</v>
      </c>
      <c r="C2190">
        <v>0.01</v>
      </c>
    </row>
    <row r="2191" spans="1:3" x14ac:dyDescent="0.35">
      <c r="A2191">
        <v>48</v>
      </c>
      <c r="B2191">
        <v>1951</v>
      </c>
      <c r="C2191">
        <v>2.12E-2</v>
      </c>
    </row>
    <row r="2192" spans="1:3" x14ac:dyDescent="0.35">
      <c r="A2192">
        <v>48</v>
      </c>
      <c r="B2192">
        <v>1952</v>
      </c>
      <c r="C2192">
        <v>1.95E-2</v>
      </c>
    </row>
    <row r="2193" spans="1:3" x14ac:dyDescent="0.35">
      <c r="A2193">
        <v>48</v>
      </c>
      <c r="B2193">
        <v>1953</v>
      </c>
      <c r="C2193">
        <v>1.78E-2</v>
      </c>
    </row>
    <row r="2194" spans="1:3" x14ac:dyDescent="0.35">
      <c r="A2194">
        <v>48</v>
      </c>
      <c r="B2194">
        <v>1954</v>
      </c>
      <c r="C2194">
        <v>1.5800000000000002E-2</v>
      </c>
    </row>
    <row r="2195" spans="1:3" x14ac:dyDescent="0.35">
      <c r="A2195">
        <v>48</v>
      </c>
      <c r="B2195">
        <v>1955</v>
      </c>
      <c r="C2195">
        <v>1.35E-2</v>
      </c>
    </row>
    <row r="2196" spans="1:3" x14ac:dyDescent="0.35">
      <c r="A2196">
        <v>48</v>
      </c>
      <c r="B2196">
        <v>1956</v>
      </c>
      <c r="C2196">
        <v>1.09E-2</v>
      </c>
    </row>
    <row r="2197" spans="1:3" x14ac:dyDescent="0.35">
      <c r="A2197">
        <v>48</v>
      </c>
      <c r="B2197">
        <v>1957</v>
      </c>
      <c r="C2197">
        <v>8.3000000000000001E-3</v>
      </c>
    </row>
    <row r="2198" spans="1:3" x14ac:dyDescent="0.35">
      <c r="A2198">
        <v>48</v>
      </c>
      <c r="B2198">
        <v>1958</v>
      </c>
      <c r="C2198">
        <v>5.7999999999999996E-3</v>
      </c>
    </row>
    <row r="2199" spans="1:3" x14ac:dyDescent="0.35">
      <c r="A2199">
        <v>48</v>
      </c>
      <c r="B2199">
        <v>1959</v>
      </c>
      <c r="C2199">
        <v>3.5999999999999999E-3</v>
      </c>
    </row>
    <row r="2200" spans="1:3" x14ac:dyDescent="0.35">
      <c r="A2200">
        <v>48</v>
      </c>
      <c r="B2200">
        <v>1960</v>
      </c>
      <c r="C2200">
        <v>1.6999999999999999E-3</v>
      </c>
    </row>
    <row r="2201" spans="1:3" x14ac:dyDescent="0.35">
      <c r="A2201">
        <v>48</v>
      </c>
      <c r="B2201">
        <v>1961</v>
      </c>
      <c r="C2201">
        <v>1E-4</v>
      </c>
    </row>
    <row r="2202" spans="1:3" x14ac:dyDescent="0.35">
      <c r="A2202">
        <v>48</v>
      </c>
      <c r="B2202">
        <v>1962</v>
      </c>
      <c r="C2202">
        <v>-1.2999999999999999E-3</v>
      </c>
    </row>
    <row r="2203" spans="1:3" x14ac:dyDescent="0.35">
      <c r="A2203">
        <v>48</v>
      </c>
      <c r="B2203">
        <v>1963</v>
      </c>
      <c r="C2203">
        <v>-2.2000000000000001E-3</v>
      </c>
    </row>
    <row r="2204" spans="1:3" x14ac:dyDescent="0.35">
      <c r="A2204">
        <v>48</v>
      </c>
      <c r="B2204">
        <v>1964</v>
      </c>
      <c r="C2204">
        <v>-2.7000000000000001E-3</v>
      </c>
    </row>
    <row r="2205" spans="1:3" x14ac:dyDescent="0.35">
      <c r="A2205">
        <v>48</v>
      </c>
      <c r="B2205">
        <v>1965</v>
      </c>
      <c r="C2205">
        <v>-2.5999999999999999E-3</v>
      </c>
    </row>
    <row r="2206" spans="1:3" x14ac:dyDescent="0.35">
      <c r="A2206">
        <v>48</v>
      </c>
      <c r="B2206">
        <v>1966</v>
      </c>
      <c r="C2206">
        <v>-1.6999999999999999E-3</v>
      </c>
    </row>
    <row r="2207" spans="1:3" x14ac:dyDescent="0.35">
      <c r="A2207">
        <v>48</v>
      </c>
      <c r="B2207">
        <v>1967</v>
      </c>
      <c r="C2207">
        <v>0</v>
      </c>
    </row>
    <row r="2208" spans="1:3" x14ac:dyDescent="0.35">
      <c r="A2208">
        <v>48</v>
      </c>
      <c r="B2208">
        <v>1968</v>
      </c>
      <c r="C2208">
        <v>2.5999999999999999E-3</v>
      </c>
    </row>
    <row r="2209" spans="1:3" x14ac:dyDescent="0.35">
      <c r="A2209">
        <v>48</v>
      </c>
      <c r="B2209">
        <v>1969</v>
      </c>
      <c r="C2209">
        <v>5.8999999999999999E-3</v>
      </c>
    </row>
    <row r="2210" spans="1:3" x14ac:dyDescent="0.35">
      <c r="A2210">
        <v>48</v>
      </c>
      <c r="B2210">
        <v>1970</v>
      </c>
      <c r="C2210">
        <v>9.7000000000000003E-3</v>
      </c>
    </row>
    <row r="2211" spans="1:3" x14ac:dyDescent="0.35">
      <c r="A2211">
        <v>48</v>
      </c>
      <c r="B2211">
        <v>1971</v>
      </c>
      <c r="C2211">
        <v>1.38E-2</v>
      </c>
    </row>
    <row r="2212" spans="1:3" x14ac:dyDescent="0.35">
      <c r="A2212">
        <v>48</v>
      </c>
      <c r="B2212">
        <v>1972</v>
      </c>
      <c r="C2212">
        <v>1.7899999999999999E-2</v>
      </c>
    </row>
    <row r="2213" spans="1:3" x14ac:dyDescent="0.35">
      <c r="A2213">
        <v>48</v>
      </c>
      <c r="B2213">
        <v>1973</v>
      </c>
      <c r="C2213">
        <v>2.1899999999999999E-2</v>
      </c>
    </row>
    <row r="2214" spans="1:3" x14ac:dyDescent="0.35">
      <c r="A2214">
        <v>48</v>
      </c>
      <c r="B2214">
        <v>1974</v>
      </c>
      <c r="C2214">
        <v>2.5399999999999999E-2</v>
      </c>
    </row>
    <row r="2215" spans="1:3" x14ac:dyDescent="0.35">
      <c r="A2215">
        <v>48</v>
      </c>
      <c r="B2215">
        <v>1975</v>
      </c>
      <c r="C2215">
        <v>2.81E-2</v>
      </c>
    </row>
    <row r="2216" spans="1:3" x14ac:dyDescent="0.35">
      <c r="A2216">
        <v>48</v>
      </c>
      <c r="B2216">
        <v>1976</v>
      </c>
      <c r="C2216">
        <v>2.9700000000000001E-2</v>
      </c>
    </row>
    <row r="2217" spans="1:3" x14ac:dyDescent="0.35">
      <c r="A2217">
        <v>48</v>
      </c>
      <c r="B2217">
        <v>1977</v>
      </c>
      <c r="C2217">
        <v>3.0300000000000001E-2</v>
      </c>
    </row>
    <row r="2218" spans="1:3" x14ac:dyDescent="0.35">
      <c r="A2218">
        <v>48</v>
      </c>
      <c r="B2218">
        <v>1978</v>
      </c>
      <c r="C2218">
        <v>3.0300000000000001E-2</v>
      </c>
    </row>
    <row r="2219" spans="1:3" x14ac:dyDescent="0.35">
      <c r="A2219">
        <v>48</v>
      </c>
      <c r="B2219">
        <v>1979</v>
      </c>
      <c r="C2219">
        <v>2.9700000000000001E-2</v>
      </c>
    </row>
    <row r="2220" spans="1:3" x14ac:dyDescent="0.35">
      <c r="A2220">
        <v>48</v>
      </c>
      <c r="B2220">
        <v>1980</v>
      </c>
      <c r="C2220">
        <v>2.8899999999999999E-2</v>
      </c>
    </row>
    <row r="2221" spans="1:3" x14ac:dyDescent="0.35">
      <c r="A2221">
        <v>48</v>
      </c>
      <c r="B2221">
        <v>1981</v>
      </c>
      <c r="C2221">
        <v>2.7699999999999999E-2</v>
      </c>
    </row>
    <row r="2222" spans="1:3" x14ac:dyDescent="0.35">
      <c r="A2222">
        <v>48</v>
      </c>
      <c r="B2222">
        <v>1982</v>
      </c>
      <c r="C2222">
        <v>2.6100000000000002E-2</v>
      </c>
    </row>
    <row r="2223" spans="1:3" x14ac:dyDescent="0.35">
      <c r="A2223">
        <v>48</v>
      </c>
      <c r="B2223">
        <v>1983</v>
      </c>
      <c r="C2223">
        <v>2.4E-2</v>
      </c>
    </row>
    <row r="2224" spans="1:3" x14ac:dyDescent="0.35">
      <c r="A2224">
        <v>48</v>
      </c>
      <c r="B2224">
        <v>1984</v>
      </c>
      <c r="C2224">
        <v>2.12E-2</v>
      </c>
    </row>
    <row r="2225" spans="1:3" x14ac:dyDescent="0.35">
      <c r="A2225">
        <v>48</v>
      </c>
      <c r="B2225">
        <v>1985</v>
      </c>
      <c r="C2225">
        <v>1.8100000000000002E-2</v>
      </c>
    </row>
    <row r="2226" spans="1:3" x14ac:dyDescent="0.35">
      <c r="A2226">
        <v>48</v>
      </c>
      <c r="B2226">
        <v>1986</v>
      </c>
      <c r="C2226">
        <v>1.4999999999999999E-2</v>
      </c>
    </row>
    <row r="2227" spans="1:3" x14ac:dyDescent="0.35">
      <c r="A2227">
        <v>48</v>
      </c>
      <c r="B2227">
        <v>1987</v>
      </c>
      <c r="C2227">
        <v>1.21E-2</v>
      </c>
    </row>
    <row r="2228" spans="1:3" x14ac:dyDescent="0.35">
      <c r="A2228">
        <v>48</v>
      </c>
      <c r="B2228">
        <v>1988</v>
      </c>
      <c r="C2228">
        <v>9.7000000000000003E-3</v>
      </c>
    </row>
    <row r="2229" spans="1:3" x14ac:dyDescent="0.35">
      <c r="A2229">
        <v>48</v>
      </c>
      <c r="B2229">
        <v>1989</v>
      </c>
      <c r="C2229">
        <v>7.9000000000000008E-3</v>
      </c>
    </row>
    <row r="2230" spans="1:3" x14ac:dyDescent="0.35">
      <c r="A2230">
        <v>48</v>
      </c>
      <c r="B2230">
        <v>1990</v>
      </c>
      <c r="C2230">
        <v>6.8999999999999999E-3</v>
      </c>
    </row>
    <row r="2231" spans="1:3" x14ac:dyDescent="0.35">
      <c r="A2231">
        <v>48</v>
      </c>
      <c r="B2231">
        <v>1991</v>
      </c>
      <c r="C2231">
        <v>6.7999999999999996E-3</v>
      </c>
    </row>
    <row r="2232" spans="1:3" x14ac:dyDescent="0.35">
      <c r="A2232">
        <v>48</v>
      </c>
      <c r="B2232">
        <v>1992</v>
      </c>
      <c r="C2232">
        <v>7.6E-3</v>
      </c>
    </row>
    <row r="2233" spans="1:3" x14ac:dyDescent="0.35">
      <c r="A2233">
        <v>48</v>
      </c>
      <c r="B2233">
        <v>1993</v>
      </c>
      <c r="C2233">
        <v>9.1000000000000004E-3</v>
      </c>
    </row>
    <row r="2234" spans="1:3" x14ac:dyDescent="0.35">
      <c r="A2234">
        <v>48</v>
      </c>
      <c r="B2234">
        <v>1994</v>
      </c>
      <c r="C2234">
        <v>1.12E-2</v>
      </c>
    </row>
    <row r="2235" spans="1:3" x14ac:dyDescent="0.35">
      <c r="A2235">
        <v>48</v>
      </c>
      <c r="B2235">
        <v>1995</v>
      </c>
      <c r="C2235">
        <v>1.2999999999999999E-2</v>
      </c>
    </row>
    <row r="2236" spans="1:3" x14ac:dyDescent="0.35">
      <c r="A2236">
        <v>48</v>
      </c>
      <c r="B2236">
        <v>1996</v>
      </c>
      <c r="C2236">
        <v>1.3899999999999999E-2</v>
      </c>
    </row>
    <row r="2237" spans="1:3" x14ac:dyDescent="0.35">
      <c r="A2237">
        <v>48</v>
      </c>
      <c r="B2237">
        <v>1997</v>
      </c>
      <c r="C2237">
        <v>1.29E-2</v>
      </c>
    </row>
    <row r="2238" spans="1:3" x14ac:dyDescent="0.35">
      <c r="A2238">
        <v>48</v>
      </c>
      <c r="B2238">
        <v>1998</v>
      </c>
      <c r="C2238">
        <v>1.01E-2</v>
      </c>
    </row>
    <row r="2239" spans="1:3" x14ac:dyDescent="0.35">
      <c r="A2239">
        <v>48</v>
      </c>
      <c r="B2239">
        <v>1999</v>
      </c>
      <c r="C2239">
        <v>6.1999999999999998E-3</v>
      </c>
    </row>
    <row r="2240" spans="1:3" x14ac:dyDescent="0.35">
      <c r="A2240">
        <v>48</v>
      </c>
      <c r="B2240">
        <v>2000</v>
      </c>
      <c r="C2240">
        <v>2.3E-3</v>
      </c>
    </row>
    <row r="2241" spans="1:3" x14ac:dyDescent="0.35">
      <c r="A2241">
        <v>48</v>
      </c>
      <c r="B2241">
        <v>2001</v>
      </c>
      <c r="C2241">
        <v>-2.9999999999999997E-4</v>
      </c>
    </row>
    <row r="2242" spans="1:3" x14ac:dyDescent="0.35">
      <c r="A2242">
        <v>48</v>
      </c>
      <c r="B2242">
        <v>2002</v>
      </c>
      <c r="C2242">
        <v>-1E-3</v>
      </c>
    </row>
    <row r="2243" spans="1:3" x14ac:dyDescent="0.35">
      <c r="A2243">
        <v>48</v>
      </c>
      <c r="B2243">
        <v>2003</v>
      </c>
      <c r="C2243">
        <v>5.0000000000000001E-4</v>
      </c>
    </row>
    <row r="2244" spans="1:3" x14ac:dyDescent="0.35">
      <c r="A2244">
        <v>48</v>
      </c>
      <c r="B2244">
        <v>2004</v>
      </c>
      <c r="C2244">
        <v>3.5999999999999999E-3</v>
      </c>
    </row>
    <row r="2245" spans="1:3" x14ac:dyDescent="0.35">
      <c r="A2245">
        <v>48</v>
      </c>
      <c r="B2245">
        <v>2005</v>
      </c>
      <c r="C2245">
        <v>7.7999999999999996E-3</v>
      </c>
    </row>
    <row r="2246" spans="1:3" x14ac:dyDescent="0.35">
      <c r="A2246">
        <v>48</v>
      </c>
      <c r="B2246">
        <v>2006</v>
      </c>
      <c r="C2246">
        <v>1.2200000000000001E-2</v>
      </c>
    </row>
    <row r="2247" spans="1:3" x14ac:dyDescent="0.35">
      <c r="A2247">
        <v>48</v>
      </c>
      <c r="B2247">
        <v>2007</v>
      </c>
      <c r="C2247">
        <v>1.61E-2</v>
      </c>
    </row>
    <row r="2248" spans="1:3" x14ac:dyDescent="0.35">
      <c r="A2248">
        <v>48</v>
      </c>
      <c r="B2248">
        <v>2008</v>
      </c>
      <c r="C2248">
        <v>1.89E-2</v>
      </c>
    </row>
    <row r="2249" spans="1:3" x14ac:dyDescent="0.35">
      <c r="A2249">
        <v>48</v>
      </c>
      <c r="B2249">
        <v>2009</v>
      </c>
      <c r="C2249">
        <v>2.0500000000000001E-2</v>
      </c>
    </row>
    <row r="2250" spans="1:3" x14ac:dyDescent="0.35">
      <c r="A2250">
        <v>48</v>
      </c>
      <c r="B2250">
        <v>2010</v>
      </c>
      <c r="C2250">
        <v>2.0799999999999999E-2</v>
      </c>
    </row>
    <row r="2251" spans="1:3" x14ac:dyDescent="0.35">
      <c r="A2251">
        <v>48</v>
      </c>
      <c r="B2251">
        <v>2011</v>
      </c>
      <c r="C2251">
        <v>0.02</v>
      </c>
    </row>
    <row r="2252" spans="1:3" x14ac:dyDescent="0.35">
      <c r="A2252">
        <v>48</v>
      </c>
      <c r="B2252">
        <v>2012</v>
      </c>
      <c r="C2252">
        <v>1.8499999999999999E-2</v>
      </c>
    </row>
    <row r="2253" spans="1:3" x14ac:dyDescent="0.35">
      <c r="A2253">
        <v>48</v>
      </c>
      <c r="B2253">
        <v>2013</v>
      </c>
      <c r="C2253">
        <v>1.8800000000000001E-2</v>
      </c>
    </row>
    <row r="2254" spans="1:3" x14ac:dyDescent="0.35">
      <c r="A2254">
        <v>48</v>
      </c>
      <c r="B2254">
        <v>2014</v>
      </c>
      <c r="C2254">
        <v>1.8599999999999998E-2</v>
      </c>
    </row>
    <row r="2255" spans="1:3" x14ac:dyDescent="0.35">
      <c r="A2255">
        <v>48</v>
      </c>
      <c r="B2255">
        <v>2015</v>
      </c>
      <c r="C2255">
        <v>1.7899999999999999E-2</v>
      </c>
    </row>
    <row r="2256" spans="1:3" x14ac:dyDescent="0.35">
      <c r="A2256">
        <v>48</v>
      </c>
      <c r="B2256">
        <v>2016</v>
      </c>
      <c r="C2256">
        <v>1.67E-2</v>
      </c>
    </row>
    <row r="2257" spans="1:3" x14ac:dyDescent="0.35">
      <c r="A2257">
        <v>48</v>
      </c>
      <c r="B2257">
        <v>2017</v>
      </c>
      <c r="C2257">
        <v>1.5100000000000001E-2</v>
      </c>
    </row>
    <row r="2258" spans="1:3" x14ac:dyDescent="0.35">
      <c r="A2258">
        <v>48</v>
      </c>
      <c r="B2258">
        <v>2018</v>
      </c>
      <c r="C2258">
        <v>1.34E-2</v>
      </c>
    </row>
    <row r="2259" spans="1:3" x14ac:dyDescent="0.35">
      <c r="A2259">
        <v>48</v>
      </c>
      <c r="B2259">
        <v>2019</v>
      </c>
      <c r="C2259">
        <v>1.17E-2</v>
      </c>
    </row>
    <row r="2260" spans="1:3" x14ac:dyDescent="0.35">
      <c r="A2260">
        <v>48</v>
      </c>
      <c r="B2260">
        <v>2020</v>
      </c>
      <c r="C2260">
        <v>1.01E-2</v>
      </c>
    </row>
    <row r="2261" spans="1:3" x14ac:dyDescent="0.35">
      <c r="A2261">
        <v>48</v>
      </c>
      <c r="B2261">
        <v>2021</v>
      </c>
      <c r="C2261">
        <v>8.8999999999999999E-3</v>
      </c>
    </row>
    <row r="2262" spans="1:3" x14ac:dyDescent="0.35">
      <c r="A2262">
        <v>48</v>
      </c>
      <c r="B2262">
        <v>2022</v>
      </c>
      <c r="C2262">
        <v>8.0999999999999996E-3</v>
      </c>
    </row>
    <row r="2263" spans="1:3" x14ac:dyDescent="0.35">
      <c r="A2263">
        <v>48</v>
      </c>
      <c r="B2263">
        <v>2023</v>
      </c>
      <c r="C2263">
        <v>7.7000000000000002E-3</v>
      </c>
    </row>
    <row r="2264" spans="1:3" x14ac:dyDescent="0.35">
      <c r="A2264">
        <v>48</v>
      </c>
      <c r="B2264">
        <v>2024</v>
      </c>
      <c r="C2264">
        <v>7.6E-3</v>
      </c>
    </row>
    <row r="2265" spans="1:3" x14ac:dyDescent="0.35">
      <c r="A2265">
        <v>48</v>
      </c>
      <c r="B2265">
        <v>2025</v>
      </c>
      <c r="C2265">
        <v>7.7999999999999996E-3</v>
      </c>
    </row>
    <row r="2266" spans="1:3" x14ac:dyDescent="0.35">
      <c r="A2266">
        <v>48</v>
      </c>
      <c r="B2266">
        <v>2026</v>
      </c>
      <c r="C2266">
        <v>8.2000000000000007E-3</v>
      </c>
    </row>
    <row r="2267" spans="1:3" x14ac:dyDescent="0.35">
      <c r="A2267">
        <v>48</v>
      </c>
      <c r="B2267">
        <v>2027</v>
      </c>
      <c r="C2267">
        <v>8.6E-3</v>
      </c>
    </row>
    <row r="2268" spans="1:3" x14ac:dyDescent="0.35">
      <c r="A2268">
        <v>48</v>
      </c>
      <c r="B2268">
        <v>2028</v>
      </c>
      <c r="C2268">
        <v>9.1000000000000004E-3</v>
      </c>
    </row>
    <row r="2269" spans="1:3" x14ac:dyDescent="0.35">
      <c r="A2269">
        <v>48</v>
      </c>
      <c r="B2269">
        <v>2029</v>
      </c>
      <c r="C2269">
        <v>9.4999999999999998E-3</v>
      </c>
    </row>
    <row r="2270" spans="1:3" x14ac:dyDescent="0.35">
      <c r="A2270">
        <v>48</v>
      </c>
      <c r="B2270">
        <v>2030</v>
      </c>
      <c r="C2270">
        <v>9.7999999999999997E-3</v>
      </c>
    </row>
    <row r="2271" spans="1:3" x14ac:dyDescent="0.35">
      <c r="A2271">
        <v>48</v>
      </c>
      <c r="B2271">
        <v>2031</v>
      </c>
      <c r="C2271">
        <v>0.01</v>
      </c>
    </row>
    <row r="2272" spans="1:3" x14ac:dyDescent="0.35">
      <c r="A2272">
        <v>49</v>
      </c>
      <c r="B2272">
        <v>1951</v>
      </c>
      <c r="C2272">
        <v>0.02</v>
      </c>
    </row>
    <row r="2273" spans="1:3" x14ac:dyDescent="0.35">
      <c r="A2273">
        <v>49</v>
      </c>
      <c r="B2273">
        <v>1952</v>
      </c>
      <c r="C2273">
        <v>1.8499999999999999E-2</v>
      </c>
    </row>
    <row r="2274" spans="1:3" x14ac:dyDescent="0.35">
      <c r="A2274">
        <v>49</v>
      </c>
      <c r="B2274">
        <v>1953</v>
      </c>
      <c r="C2274">
        <v>1.6899999999999998E-2</v>
      </c>
    </row>
    <row r="2275" spans="1:3" x14ac:dyDescent="0.35">
      <c r="A2275">
        <v>49</v>
      </c>
      <c r="B2275">
        <v>1954</v>
      </c>
      <c r="C2275">
        <v>1.4999999999999999E-2</v>
      </c>
    </row>
    <row r="2276" spans="1:3" x14ac:dyDescent="0.35">
      <c r="A2276">
        <v>49</v>
      </c>
      <c r="B2276">
        <v>1955</v>
      </c>
      <c r="C2276">
        <v>1.2800000000000001E-2</v>
      </c>
    </row>
    <row r="2277" spans="1:3" x14ac:dyDescent="0.35">
      <c r="A2277">
        <v>49</v>
      </c>
      <c r="B2277">
        <v>1956</v>
      </c>
      <c r="C2277">
        <v>1.03E-2</v>
      </c>
    </row>
    <row r="2278" spans="1:3" x14ac:dyDescent="0.35">
      <c r="A2278">
        <v>49</v>
      </c>
      <c r="B2278">
        <v>1957</v>
      </c>
      <c r="C2278">
        <v>7.7000000000000002E-3</v>
      </c>
    </row>
    <row r="2279" spans="1:3" x14ac:dyDescent="0.35">
      <c r="A2279">
        <v>49</v>
      </c>
      <c r="B2279">
        <v>1958</v>
      </c>
      <c r="C2279">
        <v>5.4000000000000003E-3</v>
      </c>
    </row>
    <row r="2280" spans="1:3" x14ac:dyDescent="0.35">
      <c r="A2280">
        <v>49</v>
      </c>
      <c r="B2280">
        <v>1959</v>
      </c>
      <c r="C2280">
        <v>3.3999999999999998E-3</v>
      </c>
    </row>
    <row r="2281" spans="1:3" x14ac:dyDescent="0.35">
      <c r="A2281">
        <v>49</v>
      </c>
      <c r="B2281">
        <v>1960</v>
      </c>
      <c r="C2281">
        <v>1.6000000000000001E-3</v>
      </c>
    </row>
    <row r="2282" spans="1:3" x14ac:dyDescent="0.35">
      <c r="A2282">
        <v>49</v>
      </c>
      <c r="B2282">
        <v>1961</v>
      </c>
      <c r="C2282">
        <v>2.0000000000000001E-4</v>
      </c>
    </row>
    <row r="2283" spans="1:3" x14ac:dyDescent="0.35">
      <c r="A2283">
        <v>49</v>
      </c>
      <c r="B2283">
        <v>1962</v>
      </c>
      <c r="C2283">
        <v>-1E-3</v>
      </c>
    </row>
    <row r="2284" spans="1:3" x14ac:dyDescent="0.35">
      <c r="A2284">
        <v>49</v>
      </c>
      <c r="B2284">
        <v>1963</v>
      </c>
      <c r="C2284">
        <v>-1.8E-3</v>
      </c>
    </row>
    <row r="2285" spans="1:3" x14ac:dyDescent="0.35">
      <c r="A2285">
        <v>49</v>
      </c>
      <c r="B2285">
        <v>1964</v>
      </c>
      <c r="C2285">
        <v>-2.0999999999999999E-3</v>
      </c>
    </row>
    <row r="2286" spans="1:3" x14ac:dyDescent="0.35">
      <c r="A2286">
        <v>49</v>
      </c>
      <c r="B2286">
        <v>1965</v>
      </c>
      <c r="C2286">
        <v>-1.6999999999999999E-3</v>
      </c>
    </row>
    <row r="2287" spans="1:3" x14ac:dyDescent="0.35">
      <c r="A2287">
        <v>49</v>
      </c>
      <c r="B2287">
        <v>1966</v>
      </c>
      <c r="C2287">
        <v>-6.9999999999999999E-4</v>
      </c>
    </row>
    <row r="2288" spans="1:3" x14ac:dyDescent="0.35">
      <c r="A2288">
        <v>49</v>
      </c>
      <c r="B2288">
        <v>1967</v>
      </c>
      <c r="C2288">
        <v>1.1000000000000001E-3</v>
      </c>
    </row>
    <row r="2289" spans="1:3" x14ac:dyDescent="0.35">
      <c r="A2289">
        <v>49</v>
      </c>
      <c r="B2289">
        <v>1968</v>
      </c>
      <c r="C2289">
        <v>3.7000000000000002E-3</v>
      </c>
    </row>
    <row r="2290" spans="1:3" x14ac:dyDescent="0.35">
      <c r="A2290">
        <v>49</v>
      </c>
      <c r="B2290">
        <v>1969</v>
      </c>
      <c r="C2290">
        <v>6.8999999999999999E-3</v>
      </c>
    </row>
    <row r="2291" spans="1:3" x14ac:dyDescent="0.35">
      <c r="A2291">
        <v>49</v>
      </c>
      <c r="B2291">
        <v>1970</v>
      </c>
      <c r="C2291">
        <v>1.06E-2</v>
      </c>
    </row>
    <row r="2292" spans="1:3" x14ac:dyDescent="0.35">
      <c r="A2292">
        <v>49</v>
      </c>
      <c r="B2292">
        <v>1971</v>
      </c>
      <c r="C2292">
        <v>1.44E-2</v>
      </c>
    </row>
    <row r="2293" spans="1:3" x14ac:dyDescent="0.35">
      <c r="A2293">
        <v>49</v>
      </c>
      <c r="B2293">
        <v>1972</v>
      </c>
      <c r="C2293">
        <v>1.8200000000000001E-2</v>
      </c>
    </row>
    <row r="2294" spans="1:3" x14ac:dyDescent="0.35">
      <c r="A2294">
        <v>49</v>
      </c>
      <c r="B2294">
        <v>1973</v>
      </c>
      <c r="C2294">
        <v>2.18E-2</v>
      </c>
    </row>
    <row r="2295" spans="1:3" x14ac:dyDescent="0.35">
      <c r="A2295">
        <v>49</v>
      </c>
      <c r="B2295">
        <v>1974</v>
      </c>
      <c r="C2295">
        <v>2.4899999999999999E-2</v>
      </c>
    </row>
    <row r="2296" spans="1:3" x14ac:dyDescent="0.35">
      <c r="A2296">
        <v>49</v>
      </c>
      <c r="B2296">
        <v>1975</v>
      </c>
      <c r="C2296">
        <v>2.7199999999999998E-2</v>
      </c>
    </row>
    <row r="2297" spans="1:3" x14ac:dyDescent="0.35">
      <c r="A2297">
        <v>49</v>
      </c>
      <c r="B2297">
        <v>1976</v>
      </c>
      <c r="C2297">
        <v>2.8500000000000001E-2</v>
      </c>
    </row>
    <row r="2298" spans="1:3" x14ac:dyDescent="0.35">
      <c r="A2298">
        <v>49</v>
      </c>
      <c r="B2298">
        <v>1977</v>
      </c>
      <c r="C2298">
        <v>2.9100000000000001E-2</v>
      </c>
    </row>
    <row r="2299" spans="1:3" x14ac:dyDescent="0.35">
      <c r="A2299">
        <v>49</v>
      </c>
      <c r="B2299">
        <v>1978</v>
      </c>
      <c r="C2299">
        <v>2.9000000000000001E-2</v>
      </c>
    </row>
    <row r="2300" spans="1:3" x14ac:dyDescent="0.35">
      <c r="A2300">
        <v>49</v>
      </c>
      <c r="B2300">
        <v>1979</v>
      </c>
      <c r="C2300">
        <v>2.86E-2</v>
      </c>
    </row>
    <row r="2301" spans="1:3" x14ac:dyDescent="0.35">
      <c r="A2301">
        <v>49</v>
      </c>
      <c r="B2301">
        <v>1980</v>
      </c>
      <c r="C2301">
        <v>2.7900000000000001E-2</v>
      </c>
    </row>
    <row r="2302" spans="1:3" x14ac:dyDescent="0.35">
      <c r="A2302">
        <v>49</v>
      </c>
      <c r="B2302">
        <v>1981</v>
      </c>
      <c r="C2302">
        <v>2.69E-2</v>
      </c>
    </row>
    <row r="2303" spans="1:3" x14ac:dyDescent="0.35">
      <c r="A2303">
        <v>49</v>
      </c>
      <c r="B2303">
        <v>1982</v>
      </c>
      <c r="C2303">
        <v>2.5600000000000001E-2</v>
      </c>
    </row>
    <row r="2304" spans="1:3" x14ac:dyDescent="0.35">
      <c r="A2304">
        <v>49</v>
      </c>
      <c r="B2304">
        <v>1983</v>
      </c>
      <c r="C2304">
        <v>2.3699999999999999E-2</v>
      </c>
    </row>
    <row r="2305" spans="1:3" x14ac:dyDescent="0.35">
      <c r="A2305">
        <v>49</v>
      </c>
      <c r="B2305">
        <v>1984</v>
      </c>
      <c r="C2305">
        <v>2.1399999999999999E-2</v>
      </c>
    </row>
    <row r="2306" spans="1:3" x14ac:dyDescent="0.35">
      <c r="A2306">
        <v>49</v>
      </c>
      <c r="B2306">
        <v>1985</v>
      </c>
      <c r="C2306">
        <v>1.89E-2</v>
      </c>
    </row>
    <row r="2307" spans="1:3" x14ac:dyDescent="0.35">
      <c r="A2307">
        <v>49</v>
      </c>
      <c r="B2307">
        <v>1986</v>
      </c>
      <c r="C2307">
        <v>1.6400000000000001E-2</v>
      </c>
    </row>
    <row r="2308" spans="1:3" x14ac:dyDescent="0.35">
      <c r="A2308">
        <v>49</v>
      </c>
      <c r="B2308">
        <v>1987</v>
      </c>
      <c r="C2308">
        <v>1.43E-2</v>
      </c>
    </row>
    <row r="2309" spans="1:3" x14ac:dyDescent="0.35">
      <c r="A2309">
        <v>49</v>
      </c>
      <c r="B2309">
        <v>1988</v>
      </c>
      <c r="C2309">
        <v>1.2500000000000001E-2</v>
      </c>
    </row>
    <row r="2310" spans="1:3" x14ac:dyDescent="0.35">
      <c r="A2310">
        <v>49</v>
      </c>
      <c r="B2310">
        <v>1989</v>
      </c>
      <c r="C2310">
        <v>1.12E-2</v>
      </c>
    </row>
    <row r="2311" spans="1:3" x14ac:dyDescent="0.35">
      <c r="A2311">
        <v>49</v>
      </c>
      <c r="B2311">
        <v>1990</v>
      </c>
      <c r="C2311">
        <v>1.04E-2</v>
      </c>
    </row>
    <row r="2312" spans="1:3" x14ac:dyDescent="0.35">
      <c r="A2312">
        <v>49</v>
      </c>
      <c r="B2312">
        <v>1991</v>
      </c>
      <c r="C2312">
        <v>1.0200000000000001E-2</v>
      </c>
    </row>
    <row r="2313" spans="1:3" x14ac:dyDescent="0.35">
      <c r="A2313">
        <v>49</v>
      </c>
      <c r="B2313">
        <v>1992</v>
      </c>
      <c r="C2313">
        <v>1.06E-2</v>
      </c>
    </row>
    <row r="2314" spans="1:3" x14ac:dyDescent="0.35">
      <c r="A2314">
        <v>49</v>
      </c>
      <c r="B2314">
        <v>1993</v>
      </c>
      <c r="C2314">
        <v>1.1599999999999999E-2</v>
      </c>
    </row>
    <row r="2315" spans="1:3" x14ac:dyDescent="0.35">
      <c r="A2315">
        <v>49</v>
      </c>
      <c r="B2315">
        <v>1994</v>
      </c>
      <c r="C2315">
        <v>1.2999999999999999E-2</v>
      </c>
    </row>
    <row r="2316" spans="1:3" x14ac:dyDescent="0.35">
      <c r="A2316">
        <v>49</v>
      </c>
      <c r="B2316">
        <v>1995</v>
      </c>
      <c r="C2316">
        <v>1.43E-2</v>
      </c>
    </row>
    <row r="2317" spans="1:3" x14ac:dyDescent="0.35">
      <c r="A2317">
        <v>49</v>
      </c>
      <c r="B2317">
        <v>1996</v>
      </c>
      <c r="C2317">
        <v>1.46E-2</v>
      </c>
    </row>
    <row r="2318" spans="1:3" x14ac:dyDescent="0.35">
      <c r="A2318">
        <v>49</v>
      </c>
      <c r="B2318">
        <v>1997</v>
      </c>
      <c r="C2318">
        <v>1.3299999999999999E-2</v>
      </c>
    </row>
    <row r="2319" spans="1:3" x14ac:dyDescent="0.35">
      <c r="A2319">
        <v>49</v>
      </c>
      <c r="B2319">
        <v>1998</v>
      </c>
      <c r="C2319">
        <v>1.0200000000000001E-2</v>
      </c>
    </row>
    <row r="2320" spans="1:3" x14ac:dyDescent="0.35">
      <c r="A2320">
        <v>49</v>
      </c>
      <c r="B2320">
        <v>1999</v>
      </c>
      <c r="C2320">
        <v>6.0000000000000001E-3</v>
      </c>
    </row>
    <row r="2321" spans="1:3" x14ac:dyDescent="0.35">
      <c r="A2321">
        <v>49</v>
      </c>
      <c r="B2321">
        <v>2000</v>
      </c>
      <c r="C2321">
        <v>1.9E-3</v>
      </c>
    </row>
    <row r="2322" spans="1:3" x14ac:dyDescent="0.35">
      <c r="A2322">
        <v>49</v>
      </c>
      <c r="B2322">
        <v>2001</v>
      </c>
      <c r="C2322">
        <v>-1.1000000000000001E-3</v>
      </c>
    </row>
    <row r="2323" spans="1:3" x14ac:dyDescent="0.35">
      <c r="A2323">
        <v>49</v>
      </c>
      <c r="B2323">
        <v>2002</v>
      </c>
      <c r="C2323">
        <v>-2.3E-3</v>
      </c>
    </row>
    <row r="2324" spans="1:3" x14ac:dyDescent="0.35">
      <c r="A2324">
        <v>49</v>
      </c>
      <c r="B2324">
        <v>2003</v>
      </c>
      <c r="C2324">
        <v>-1.2999999999999999E-3</v>
      </c>
    </row>
    <row r="2325" spans="1:3" x14ac:dyDescent="0.35">
      <c r="A2325">
        <v>49</v>
      </c>
      <c r="B2325">
        <v>2004</v>
      </c>
      <c r="C2325">
        <v>1.5E-3</v>
      </c>
    </row>
    <row r="2326" spans="1:3" x14ac:dyDescent="0.35">
      <c r="A2326">
        <v>49</v>
      </c>
      <c r="B2326">
        <v>2005</v>
      </c>
      <c r="C2326">
        <v>5.4999999999999997E-3</v>
      </c>
    </row>
    <row r="2327" spans="1:3" x14ac:dyDescent="0.35">
      <c r="A2327">
        <v>49</v>
      </c>
      <c r="B2327">
        <v>2006</v>
      </c>
      <c r="C2327">
        <v>9.7999999999999997E-3</v>
      </c>
    </row>
    <row r="2328" spans="1:3" x14ac:dyDescent="0.35">
      <c r="A2328">
        <v>49</v>
      </c>
      <c r="B2328">
        <v>2007</v>
      </c>
      <c r="C2328">
        <v>1.3599999999999999E-2</v>
      </c>
    </row>
    <row r="2329" spans="1:3" x14ac:dyDescent="0.35">
      <c r="A2329">
        <v>49</v>
      </c>
      <c r="B2329">
        <v>2008</v>
      </c>
      <c r="C2329">
        <v>1.6500000000000001E-2</v>
      </c>
    </row>
    <row r="2330" spans="1:3" x14ac:dyDescent="0.35">
      <c r="A2330">
        <v>49</v>
      </c>
      <c r="B2330">
        <v>2009</v>
      </c>
      <c r="C2330">
        <v>1.8200000000000001E-2</v>
      </c>
    </row>
    <row r="2331" spans="1:3" x14ac:dyDescent="0.35">
      <c r="A2331">
        <v>49</v>
      </c>
      <c r="B2331">
        <v>2010</v>
      </c>
      <c r="C2331">
        <v>1.8599999999999998E-2</v>
      </c>
    </row>
    <row r="2332" spans="1:3" x14ac:dyDescent="0.35">
      <c r="A2332">
        <v>49</v>
      </c>
      <c r="B2332">
        <v>2011</v>
      </c>
      <c r="C2332">
        <v>1.8100000000000002E-2</v>
      </c>
    </row>
    <row r="2333" spans="1:3" x14ac:dyDescent="0.35">
      <c r="A2333">
        <v>49</v>
      </c>
      <c r="B2333">
        <v>2012</v>
      </c>
      <c r="C2333">
        <v>1.6899999999999998E-2</v>
      </c>
    </row>
    <row r="2334" spans="1:3" x14ac:dyDescent="0.35">
      <c r="A2334">
        <v>49</v>
      </c>
      <c r="B2334">
        <v>2013</v>
      </c>
      <c r="C2334">
        <v>1.7500000000000002E-2</v>
      </c>
    </row>
    <row r="2335" spans="1:3" x14ac:dyDescent="0.35">
      <c r="A2335">
        <v>49</v>
      </c>
      <c r="B2335">
        <v>2014</v>
      </c>
      <c r="C2335">
        <v>1.77E-2</v>
      </c>
    </row>
    <row r="2336" spans="1:3" x14ac:dyDescent="0.35">
      <c r="A2336">
        <v>49</v>
      </c>
      <c r="B2336">
        <v>2015</v>
      </c>
      <c r="C2336">
        <v>1.7399999999999999E-2</v>
      </c>
    </row>
    <row r="2337" spans="1:3" x14ac:dyDescent="0.35">
      <c r="A2337">
        <v>49</v>
      </c>
      <c r="B2337">
        <v>2016</v>
      </c>
      <c r="C2337">
        <v>1.66E-2</v>
      </c>
    </row>
    <row r="2338" spans="1:3" x14ac:dyDescent="0.35">
      <c r="A2338">
        <v>49</v>
      </c>
      <c r="B2338">
        <v>2017</v>
      </c>
      <c r="C2338">
        <v>1.54E-2</v>
      </c>
    </row>
    <row r="2339" spans="1:3" x14ac:dyDescent="0.35">
      <c r="A2339">
        <v>49</v>
      </c>
      <c r="B2339">
        <v>2018</v>
      </c>
      <c r="C2339">
        <v>1.4E-2</v>
      </c>
    </row>
    <row r="2340" spans="1:3" x14ac:dyDescent="0.35">
      <c r="A2340">
        <v>49</v>
      </c>
      <c r="B2340">
        <v>2019</v>
      </c>
      <c r="C2340">
        <v>1.2500000000000001E-2</v>
      </c>
    </row>
    <row r="2341" spans="1:3" x14ac:dyDescent="0.35">
      <c r="A2341">
        <v>49</v>
      </c>
      <c r="B2341">
        <v>2020</v>
      </c>
      <c r="C2341">
        <v>1.0999999999999999E-2</v>
      </c>
    </row>
    <row r="2342" spans="1:3" x14ac:dyDescent="0.35">
      <c r="A2342">
        <v>49</v>
      </c>
      <c r="B2342">
        <v>2021</v>
      </c>
      <c r="C2342">
        <v>9.7999999999999997E-3</v>
      </c>
    </row>
    <row r="2343" spans="1:3" x14ac:dyDescent="0.35">
      <c r="A2343">
        <v>49</v>
      </c>
      <c r="B2343">
        <v>2022</v>
      </c>
      <c r="C2343">
        <v>8.8999999999999999E-3</v>
      </c>
    </row>
    <row r="2344" spans="1:3" x14ac:dyDescent="0.35">
      <c r="A2344">
        <v>49</v>
      </c>
      <c r="B2344">
        <v>2023</v>
      </c>
      <c r="C2344">
        <v>8.3999999999999995E-3</v>
      </c>
    </row>
    <row r="2345" spans="1:3" x14ac:dyDescent="0.35">
      <c r="A2345">
        <v>49</v>
      </c>
      <c r="B2345">
        <v>2024</v>
      </c>
      <c r="C2345">
        <v>8.0999999999999996E-3</v>
      </c>
    </row>
    <row r="2346" spans="1:3" x14ac:dyDescent="0.35">
      <c r="A2346">
        <v>49</v>
      </c>
      <c r="B2346">
        <v>2025</v>
      </c>
      <c r="C2346">
        <v>8.0999999999999996E-3</v>
      </c>
    </row>
    <row r="2347" spans="1:3" x14ac:dyDescent="0.35">
      <c r="A2347">
        <v>49</v>
      </c>
      <c r="B2347">
        <v>2026</v>
      </c>
      <c r="C2347">
        <v>8.3000000000000001E-3</v>
      </c>
    </row>
    <row r="2348" spans="1:3" x14ac:dyDescent="0.35">
      <c r="A2348">
        <v>49</v>
      </c>
      <c r="B2348">
        <v>2027</v>
      </c>
      <c r="C2348">
        <v>8.6999999999999994E-3</v>
      </c>
    </row>
    <row r="2349" spans="1:3" x14ac:dyDescent="0.35">
      <c r="A2349">
        <v>49</v>
      </c>
      <c r="B2349">
        <v>2028</v>
      </c>
      <c r="C2349">
        <v>9.1000000000000004E-3</v>
      </c>
    </row>
    <row r="2350" spans="1:3" x14ac:dyDescent="0.35">
      <c r="A2350">
        <v>49</v>
      </c>
      <c r="B2350">
        <v>2029</v>
      </c>
      <c r="C2350">
        <v>9.4999999999999998E-3</v>
      </c>
    </row>
    <row r="2351" spans="1:3" x14ac:dyDescent="0.35">
      <c r="A2351">
        <v>49</v>
      </c>
      <c r="B2351">
        <v>2030</v>
      </c>
      <c r="C2351">
        <v>9.7999999999999997E-3</v>
      </c>
    </row>
    <row r="2352" spans="1:3" x14ac:dyDescent="0.35">
      <c r="A2352">
        <v>49</v>
      </c>
      <c r="B2352">
        <v>2031</v>
      </c>
      <c r="C2352">
        <v>9.9000000000000008E-3</v>
      </c>
    </row>
    <row r="2353" spans="1:3" x14ac:dyDescent="0.35">
      <c r="A2353">
        <v>50</v>
      </c>
      <c r="B2353">
        <v>1951</v>
      </c>
      <c r="C2353">
        <v>1.89E-2</v>
      </c>
    </row>
    <row r="2354" spans="1:3" x14ac:dyDescent="0.35">
      <c r="A2354">
        <v>50</v>
      </c>
      <c r="B2354">
        <v>1952</v>
      </c>
      <c r="C2354">
        <v>1.7600000000000001E-2</v>
      </c>
    </row>
    <row r="2355" spans="1:3" x14ac:dyDescent="0.35">
      <c r="A2355">
        <v>50</v>
      </c>
      <c r="B2355">
        <v>1953</v>
      </c>
      <c r="C2355">
        <v>1.61E-2</v>
      </c>
    </row>
    <row r="2356" spans="1:3" x14ac:dyDescent="0.35">
      <c r="A2356">
        <v>50</v>
      </c>
      <c r="B2356">
        <v>1954</v>
      </c>
      <c r="C2356">
        <v>1.43E-2</v>
      </c>
    </row>
    <row r="2357" spans="1:3" x14ac:dyDescent="0.35">
      <c r="A2357">
        <v>50</v>
      </c>
      <c r="B2357">
        <v>1955</v>
      </c>
      <c r="C2357">
        <v>1.2200000000000001E-2</v>
      </c>
    </row>
    <row r="2358" spans="1:3" x14ac:dyDescent="0.35">
      <c r="A2358">
        <v>50</v>
      </c>
      <c r="B2358">
        <v>1956</v>
      </c>
      <c r="C2358">
        <v>9.7000000000000003E-3</v>
      </c>
    </row>
    <row r="2359" spans="1:3" x14ac:dyDescent="0.35">
      <c r="A2359">
        <v>50</v>
      </c>
      <c r="B2359">
        <v>1957</v>
      </c>
      <c r="C2359">
        <v>7.3000000000000001E-3</v>
      </c>
    </row>
    <row r="2360" spans="1:3" x14ac:dyDescent="0.35">
      <c r="A2360">
        <v>50</v>
      </c>
      <c r="B2360">
        <v>1958</v>
      </c>
      <c r="C2360">
        <v>5.0000000000000001E-3</v>
      </c>
    </row>
    <row r="2361" spans="1:3" x14ac:dyDescent="0.35">
      <c r="A2361">
        <v>50</v>
      </c>
      <c r="B2361">
        <v>1959</v>
      </c>
      <c r="C2361">
        <v>3.0999999999999999E-3</v>
      </c>
    </row>
    <row r="2362" spans="1:3" x14ac:dyDescent="0.35">
      <c r="A2362">
        <v>50</v>
      </c>
      <c r="B2362">
        <v>1960</v>
      </c>
      <c r="C2362">
        <v>1.6000000000000001E-3</v>
      </c>
    </row>
    <row r="2363" spans="1:3" x14ac:dyDescent="0.35">
      <c r="A2363">
        <v>50</v>
      </c>
      <c r="B2363">
        <v>1961</v>
      </c>
      <c r="C2363">
        <v>2.9999999999999997E-4</v>
      </c>
    </row>
    <row r="2364" spans="1:3" x14ac:dyDescent="0.35">
      <c r="A2364">
        <v>50</v>
      </c>
      <c r="B2364">
        <v>1962</v>
      </c>
      <c r="C2364">
        <v>-6.9999999999999999E-4</v>
      </c>
    </row>
    <row r="2365" spans="1:3" x14ac:dyDescent="0.35">
      <c r="A2365">
        <v>50</v>
      </c>
      <c r="B2365">
        <v>1963</v>
      </c>
      <c r="C2365">
        <v>-1.4E-3</v>
      </c>
    </row>
    <row r="2366" spans="1:3" x14ac:dyDescent="0.35">
      <c r="A2366">
        <v>50</v>
      </c>
      <c r="B2366">
        <v>1964</v>
      </c>
      <c r="C2366">
        <v>-1.6000000000000001E-3</v>
      </c>
    </row>
    <row r="2367" spans="1:3" x14ac:dyDescent="0.35">
      <c r="A2367">
        <v>50</v>
      </c>
      <c r="B2367">
        <v>1965</v>
      </c>
      <c r="C2367">
        <v>-1.1999999999999999E-3</v>
      </c>
    </row>
    <row r="2368" spans="1:3" x14ac:dyDescent="0.35">
      <c r="A2368">
        <v>50</v>
      </c>
      <c r="B2368">
        <v>1966</v>
      </c>
      <c r="C2368">
        <v>0</v>
      </c>
    </row>
    <row r="2369" spans="1:3" x14ac:dyDescent="0.35">
      <c r="A2369">
        <v>50</v>
      </c>
      <c r="B2369">
        <v>1967</v>
      </c>
      <c r="C2369">
        <v>1.9E-3</v>
      </c>
    </row>
    <row r="2370" spans="1:3" x14ac:dyDescent="0.35">
      <c r="A2370">
        <v>50</v>
      </c>
      <c r="B2370">
        <v>1968</v>
      </c>
      <c r="C2370">
        <v>4.4999999999999997E-3</v>
      </c>
    </row>
    <row r="2371" spans="1:3" x14ac:dyDescent="0.35">
      <c r="A2371">
        <v>50</v>
      </c>
      <c r="B2371">
        <v>1969</v>
      </c>
      <c r="C2371">
        <v>7.7999999999999996E-3</v>
      </c>
    </row>
    <row r="2372" spans="1:3" x14ac:dyDescent="0.35">
      <c r="A2372">
        <v>50</v>
      </c>
      <c r="B2372">
        <v>1970</v>
      </c>
      <c r="C2372">
        <v>1.1299999999999999E-2</v>
      </c>
    </row>
    <row r="2373" spans="1:3" x14ac:dyDescent="0.35">
      <c r="A2373">
        <v>50</v>
      </c>
      <c r="B2373">
        <v>1971</v>
      </c>
      <c r="C2373">
        <v>1.4999999999999999E-2</v>
      </c>
    </row>
    <row r="2374" spans="1:3" x14ac:dyDescent="0.35">
      <c r="A2374">
        <v>50</v>
      </c>
      <c r="B2374">
        <v>1972</v>
      </c>
      <c r="C2374">
        <v>1.8599999999999998E-2</v>
      </c>
    </row>
    <row r="2375" spans="1:3" x14ac:dyDescent="0.35">
      <c r="A2375">
        <v>50</v>
      </c>
      <c r="B2375">
        <v>1973</v>
      </c>
      <c r="C2375">
        <v>2.1899999999999999E-2</v>
      </c>
    </row>
    <row r="2376" spans="1:3" x14ac:dyDescent="0.35">
      <c r="A2376">
        <v>50</v>
      </c>
      <c r="B2376">
        <v>1974</v>
      </c>
      <c r="C2376">
        <v>2.46E-2</v>
      </c>
    </row>
    <row r="2377" spans="1:3" x14ac:dyDescent="0.35">
      <c r="A2377">
        <v>50</v>
      </c>
      <c r="B2377">
        <v>1975</v>
      </c>
      <c r="C2377">
        <v>2.6499999999999999E-2</v>
      </c>
    </row>
    <row r="2378" spans="1:3" x14ac:dyDescent="0.35">
      <c r="A2378">
        <v>50</v>
      </c>
      <c r="B2378">
        <v>1976</v>
      </c>
      <c r="C2378">
        <v>2.75E-2</v>
      </c>
    </row>
    <row r="2379" spans="1:3" x14ac:dyDescent="0.35">
      <c r="A2379">
        <v>50</v>
      </c>
      <c r="B2379">
        <v>1977</v>
      </c>
      <c r="C2379">
        <v>2.7900000000000001E-2</v>
      </c>
    </row>
    <row r="2380" spans="1:3" x14ac:dyDescent="0.35">
      <c r="A2380">
        <v>50</v>
      </c>
      <c r="B2380">
        <v>1978</v>
      </c>
      <c r="C2380">
        <v>2.7799999999999998E-2</v>
      </c>
    </row>
    <row r="2381" spans="1:3" x14ac:dyDescent="0.35">
      <c r="A2381">
        <v>50</v>
      </c>
      <c r="B2381">
        <v>1979</v>
      </c>
      <c r="C2381">
        <v>2.7400000000000001E-2</v>
      </c>
    </row>
    <row r="2382" spans="1:3" x14ac:dyDescent="0.35">
      <c r="A2382">
        <v>50</v>
      </c>
      <c r="B2382">
        <v>1980</v>
      </c>
      <c r="C2382">
        <v>2.6800000000000001E-2</v>
      </c>
    </row>
    <row r="2383" spans="1:3" x14ac:dyDescent="0.35">
      <c r="A2383">
        <v>50</v>
      </c>
      <c r="B2383">
        <v>1981</v>
      </c>
      <c r="C2383">
        <v>2.5899999999999999E-2</v>
      </c>
    </row>
    <row r="2384" spans="1:3" x14ac:dyDescent="0.35">
      <c r="A2384">
        <v>50</v>
      </c>
      <c r="B2384">
        <v>1982</v>
      </c>
      <c r="C2384">
        <v>2.47E-2</v>
      </c>
    </row>
    <row r="2385" spans="1:3" x14ac:dyDescent="0.35">
      <c r="A2385">
        <v>50</v>
      </c>
      <c r="B2385">
        <v>1983</v>
      </c>
      <c r="C2385">
        <v>2.3099999999999999E-2</v>
      </c>
    </row>
    <row r="2386" spans="1:3" x14ac:dyDescent="0.35">
      <c r="A2386">
        <v>50</v>
      </c>
      <c r="B2386">
        <v>1984</v>
      </c>
      <c r="C2386">
        <v>2.12E-2</v>
      </c>
    </row>
    <row r="2387" spans="1:3" x14ac:dyDescent="0.35">
      <c r="A2387">
        <v>50</v>
      </c>
      <c r="B2387">
        <v>1985</v>
      </c>
      <c r="C2387">
        <v>1.9199999999999998E-2</v>
      </c>
    </row>
    <row r="2388" spans="1:3" x14ac:dyDescent="0.35">
      <c r="A2388">
        <v>50</v>
      </c>
      <c r="B2388">
        <v>1986</v>
      </c>
      <c r="C2388">
        <v>1.7500000000000002E-2</v>
      </c>
    </row>
    <row r="2389" spans="1:3" x14ac:dyDescent="0.35">
      <c r="A2389">
        <v>50</v>
      </c>
      <c r="B2389">
        <v>1987</v>
      </c>
      <c r="C2389">
        <v>1.6E-2</v>
      </c>
    </row>
    <row r="2390" spans="1:3" x14ac:dyDescent="0.35">
      <c r="A2390">
        <v>50</v>
      </c>
      <c r="B2390">
        <v>1988</v>
      </c>
      <c r="C2390">
        <v>1.49E-2</v>
      </c>
    </row>
    <row r="2391" spans="1:3" x14ac:dyDescent="0.35">
      <c r="A2391">
        <v>50</v>
      </c>
      <c r="B2391">
        <v>1989</v>
      </c>
      <c r="C2391">
        <v>1.4E-2</v>
      </c>
    </row>
    <row r="2392" spans="1:3" x14ac:dyDescent="0.35">
      <c r="A2392">
        <v>50</v>
      </c>
      <c r="B2392">
        <v>1990</v>
      </c>
      <c r="C2392">
        <v>1.34E-2</v>
      </c>
    </row>
    <row r="2393" spans="1:3" x14ac:dyDescent="0.35">
      <c r="A2393">
        <v>50</v>
      </c>
      <c r="B2393">
        <v>1991</v>
      </c>
      <c r="C2393">
        <v>1.3100000000000001E-2</v>
      </c>
    </row>
    <row r="2394" spans="1:3" x14ac:dyDescent="0.35">
      <c r="A2394">
        <v>50</v>
      </c>
      <c r="B2394">
        <v>1992</v>
      </c>
      <c r="C2394">
        <v>1.3299999999999999E-2</v>
      </c>
    </row>
    <row r="2395" spans="1:3" x14ac:dyDescent="0.35">
      <c r="A2395">
        <v>50</v>
      </c>
      <c r="B2395">
        <v>1993</v>
      </c>
      <c r="C2395">
        <v>1.3899999999999999E-2</v>
      </c>
    </row>
    <row r="2396" spans="1:3" x14ac:dyDescent="0.35">
      <c r="A2396">
        <v>50</v>
      </c>
      <c r="B2396">
        <v>1994</v>
      </c>
      <c r="C2396">
        <v>1.49E-2</v>
      </c>
    </row>
    <row r="2397" spans="1:3" x14ac:dyDescent="0.35">
      <c r="A2397">
        <v>50</v>
      </c>
      <c r="B2397">
        <v>1995</v>
      </c>
      <c r="C2397">
        <v>1.5800000000000002E-2</v>
      </c>
    </row>
    <row r="2398" spans="1:3" x14ac:dyDescent="0.35">
      <c r="A2398">
        <v>50</v>
      </c>
      <c r="B2398">
        <v>1996</v>
      </c>
      <c r="C2398">
        <v>1.5800000000000002E-2</v>
      </c>
    </row>
    <row r="2399" spans="1:3" x14ac:dyDescent="0.35">
      <c r="A2399">
        <v>50</v>
      </c>
      <c r="B2399">
        <v>1997</v>
      </c>
      <c r="C2399">
        <v>1.43E-2</v>
      </c>
    </row>
    <row r="2400" spans="1:3" x14ac:dyDescent="0.35">
      <c r="A2400">
        <v>50</v>
      </c>
      <c r="B2400">
        <v>1998</v>
      </c>
      <c r="C2400">
        <v>1.0999999999999999E-2</v>
      </c>
    </row>
    <row r="2401" spans="1:3" x14ac:dyDescent="0.35">
      <c r="A2401">
        <v>50</v>
      </c>
      <c r="B2401">
        <v>1999</v>
      </c>
      <c r="C2401">
        <v>6.7000000000000002E-3</v>
      </c>
    </row>
    <row r="2402" spans="1:3" x14ac:dyDescent="0.35">
      <c r="A2402">
        <v>50</v>
      </c>
      <c r="B2402">
        <v>2000</v>
      </c>
      <c r="C2402">
        <v>2.3E-3</v>
      </c>
    </row>
    <row r="2403" spans="1:3" x14ac:dyDescent="0.35">
      <c r="A2403">
        <v>50</v>
      </c>
      <c r="B2403">
        <v>2001</v>
      </c>
      <c r="C2403">
        <v>-1.1999999999999999E-3</v>
      </c>
    </row>
    <row r="2404" spans="1:3" x14ac:dyDescent="0.35">
      <c r="A2404">
        <v>50</v>
      </c>
      <c r="B2404">
        <v>2002</v>
      </c>
      <c r="C2404">
        <v>-2.8999999999999998E-3</v>
      </c>
    </row>
    <row r="2405" spans="1:3" x14ac:dyDescent="0.35">
      <c r="A2405">
        <v>50</v>
      </c>
      <c r="B2405">
        <v>2003</v>
      </c>
      <c r="C2405">
        <v>-2.5000000000000001E-3</v>
      </c>
    </row>
    <row r="2406" spans="1:3" x14ac:dyDescent="0.35">
      <c r="A2406">
        <v>50</v>
      </c>
      <c r="B2406">
        <v>2004</v>
      </c>
      <c r="C2406">
        <v>-1E-4</v>
      </c>
    </row>
    <row r="2407" spans="1:3" x14ac:dyDescent="0.35">
      <c r="A2407">
        <v>50</v>
      </c>
      <c r="B2407">
        <v>2005</v>
      </c>
      <c r="C2407">
        <v>3.3999999999999998E-3</v>
      </c>
    </row>
    <row r="2408" spans="1:3" x14ac:dyDescent="0.35">
      <c r="A2408">
        <v>50</v>
      </c>
      <c r="B2408">
        <v>2006</v>
      </c>
      <c r="C2408">
        <v>7.4999999999999997E-3</v>
      </c>
    </row>
    <row r="2409" spans="1:3" x14ac:dyDescent="0.35">
      <c r="A2409">
        <v>50</v>
      </c>
      <c r="B2409">
        <v>2007</v>
      </c>
      <c r="C2409">
        <v>1.12E-2</v>
      </c>
    </row>
    <row r="2410" spans="1:3" x14ac:dyDescent="0.35">
      <c r="A2410">
        <v>50</v>
      </c>
      <c r="B2410">
        <v>2008</v>
      </c>
      <c r="C2410">
        <v>1.4E-2</v>
      </c>
    </row>
    <row r="2411" spans="1:3" x14ac:dyDescent="0.35">
      <c r="A2411">
        <v>50</v>
      </c>
      <c r="B2411">
        <v>2009</v>
      </c>
      <c r="C2411">
        <v>1.5699999999999999E-2</v>
      </c>
    </row>
    <row r="2412" spans="1:3" x14ac:dyDescent="0.35">
      <c r="A2412">
        <v>50</v>
      </c>
      <c r="B2412">
        <v>2010</v>
      </c>
      <c r="C2412">
        <v>1.6299999999999999E-2</v>
      </c>
    </row>
    <row r="2413" spans="1:3" x14ac:dyDescent="0.35">
      <c r="A2413">
        <v>50</v>
      </c>
      <c r="B2413">
        <v>2011</v>
      </c>
      <c r="C2413">
        <v>1.5800000000000002E-2</v>
      </c>
    </row>
    <row r="2414" spans="1:3" x14ac:dyDescent="0.35">
      <c r="A2414">
        <v>50</v>
      </c>
      <c r="B2414">
        <v>2012</v>
      </c>
      <c r="C2414">
        <v>1.4800000000000001E-2</v>
      </c>
    </row>
    <row r="2415" spans="1:3" x14ac:dyDescent="0.35">
      <c r="A2415">
        <v>50</v>
      </c>
      <c r="B2415">
        <v>2013</v>
      </c>
      <c r="C2415">
        <v>1.5699999999999999E-2</v>
      </c>
    </row>
    <row r="2416" spans="1:3" x14ac:dyDescent="0.35">
      <c r="A2416">
        <v>50</v>
      </c>
      <c r="B2416">
        <v>2014</v>
      </c>
      <c r="C2416">
        <v>1.6299999999999999E-2</v>
      </c>
    </row>
    <row r="2417" spans="1:3" x14ac:dyDescent="0.35">
      <c r="A2417">
        <v>50</v>
      </c>
      <c r="B2417">
        <v>2015</v>
      </c>
      <c r="C2417">
        <v>1.6400000000000001E-2</v>
      </c>
    </row>
    <row r="2418" spans="1:3" x14ac:dyDescent="0.35">
      <c r="A2418">
        <v>50</v>
      </c>
      <c r="B2418">
        <v>2016</v>
      </c>
      <c r="C2418">
        <v>1.6E-2</v>
      </c>
    </row>
    <row r="2419" spans="1:3" x14ac:dyDescent="0.35">
      <c r="A2419">
        <v>50</v>
      </c>
      <c r="B2419">
        <v>2017</v>
      </c>
      <c r="C2419">
        <v>1.5299999999999999E-2</v>
      </c>
    </row>
    <row r="2420" spans="1:3" x14ac:dyDescent="0.35">
      <c r="A2420">
        <v>50</v>
      </c>
      <c r="B2420">
        <v>2018</v>
      </c>
      <c r="C2420">
        <v>1.43E-2</v>
      </c>
    </row>
    <row r="2421" spans="1:3" x14ac:dyDescent="0.35">
      <c r="A2421">
        <v>50</v>
      </c>
      <c r="B2421">
        <v>2019</v>
      </c>
      <c r="C2421">
        <v>1.3100000000000001E-2</v>
      </c>
    </row>
    <row r="2422" spans="1:3" x14ac:dyDescent="0.35">
      <c r="A2422">
        <v>50</v>
      </c>
      <c r="B2422">
        <v>2020</v>
      </c>
      <c r="C2422">
        <v>1.18E-2</v>
      </c>
    </row>
    <row r="2423" spans="1:3" x14ac:dyDescent="0.35">
      <c r="A2423">
        <v>50</v>
      </c>
      <c r="B2423">
        <v>2021</v>
      </c>
      <c r="C2423">
        <v>1.0699999999999999E-2</v>
      </c>
    </row>
    <row r="2424" spans="1:3" x14ac:dyDescent="0.35">
      <c r="A2424">
        <v>50</v>
      </c>
      <c r="B2424">
        <v>2022</v>
      </c>
      <c r="C2424">
        <v>9.7000000000000003E-3</v>
      </c>
    </row>
    <row r="2425" spans="1:3" x14ac:dyDescent="0.35">
      <c r="A2425">
        <v>50</v>
      </c>
      <c r="B2425">
        <v>2023</v>
      </c>
      <c r="C2425">
        <v>9.1000000000000004E-3</v>
      </c>
    </row>
    <row r="2426" spans="1:3" x14ac:dyDescent="0.35">
      <c r="A2426">
        <v>50</v>
      </c>
      <c r="B2426">
        <v>2024</v>
      </c>
      <c r="C2426">
        <v>8.6E-3</v>
      </c>
    </row>
    <row r="2427" spans="1:3" x14ac:dyDescent="0.35">
      <c r="A2427">
        <v>50</v>
      </c>
      <c r="B2427">
        <v>2025</v>
      </c>
      <c r="C2427">
        <v>8.5000000000000006E-3</v>
      </c>
    </row>
    <row r="2428" spans="1:3" x14ac:dyDescent="0.35">
      <c r="A2428">
        <v>50</v>
      </c>
      <c r="B2428">
        <v>2026</v>
      </c>
      <c r="C2428">
        <v>8.5000000000000006E-3</v>
      </c>
    </row>
    <row r="2429" spans="1:3" x14ac:dyDescent="0.35">
      <c r="A2429">
        <v>50</v>
      </c>
      <c r="B2429">
        <v>2027</v>
      </c>
      <c r="C2429">
        <v>8.8000000000000005E-3</v>
      </c>
    </row>
    <row r="2430" spans="1:3" x14ac:dyDescent="0.35">
      <c r="A2430">
        <v>50</v>
      </c>
      <c r="B2430">
        <v>2028</v>
      </c>
      <c r="C2430">
        <v>9.1000000000000004E-3</v>
      </c>
    </row>
    <row r="2431" spans="1:3" x14ac:dyDescent="0.35">
      <c r="A2431">
        <v>50</v>
      </c>
      <c r="B2431">
        <v>2029</v>
      </c>
      <c r="C2431">
        <v>9.4999999999999998E-3</v>
      </c>
    </row>
    <row r="2432" spans="1:3" x14ac:dyDescent="0.35">
      <c r="A2432">
        <v>50</v>
      </c>
      <c r="B2432">
        <v>2030</v>
      </c>
      <c r="C2432">
        <v>9.7999999999999997E-3</v>
      </c>
    </row>
    <row r="2433" spans="1:3" x14ac:dyDescent="0.35">
      <c r="A2433">
        <v>50</v>
      </c>
      <c r="B2433">
        <v>2031</v>
      </c>
      <c r="C2433">
        <v>9.9000000000000008E-3</v>
      </c>
    </row>
    <row r="2434" spans="1:3" x14ac:dyDescent="0.35">
      <c r="A2434">
        <v>51</v>
      </c>
      <c r="B2434">
        <v>1951</v>
      </c>
      <c r="C2434">
        <v>1.8100000000000002E-2</v>
      </c>
    </row>
    <row r="2435" spans="1:3" x14ac:dyDescent="0.35">
      <c r="A2435">
        <v>51</v>
      </c>
      <c r="B2435">
        <v>1952</v>
      </c>
      <c r="C2435">
        <v>1.6799999999999999E-2</v>
      </c>
    </row>
    <row r="2436" spans="1:3" x14ac:dyDescent="0.35">
      <c r="A2436">
        <v>51</v>
      </c>
      <c r="B2436">
        <v>1953</v>
      </c>
      <c r="C2436">
        <v>1.54E-2</v>
      </c>
    </row>
    <row r="2437" spans="1:3" x14ac:dyDescent="0.35">
      <c r="A2437">
        <v>51</v>
      </c>
      <c r="B2437">
        <v>1954</v>
      </c>
      <c r="C2437">
        <v>1.37E-2</v>
      </c>
    </row>
    <row r="2438" spans="1:3" x14ac:dyDescent="0.35">
      <c r="A2438">
        <v>51</v>
      </c>
      <c r="B2438">
        <v>1955</v>
      </c>
      <c r="C2438">
        <v>1.1599999999999999E-2</v>
      </c>
    </row>
    <row r="2439" spans="1:3" x14ac:dyDescent="0.35">
      <c r="A2439">
        <v>51</v>
      </c>
      <c r="B2439">
        <v>1956</v>
      </c>
      <c r="C2439">
        <v>9.1999999999999998E-3</v>
      </c>
    </row>
    <row r="2440" spans="1:3" x14ac:dyDescent="0.35">
      <c r="A2440">
        <v>51</v>
      </c>
      <c r="B2440">
        <v>1957</v>
      </c>
      <c r="C2440">
        <v>6.8999999999999999E-3</v>
      </c>
    </row>
    <row r="2441" spans="1:3" x14ac:dyDescent="0.35">
      <c r="A2441">
        <v>51</v>
      </c>
      <c r="B2441">
        <v>1958</v>
      </c>
      <c r="C2441">
        <v>4.7999999999999996E-3</v>
      </c>
    </row>
    <row r="2442" spans="1:3" x14ac:dyDescent="0.35">
      <c r="A2442">
        <v>51</v>
      </c>
      <c r="B2442">
        <v>1959</v>
      </c>
      <c r="C2442">
        <v>3.0000000000000001E-3</v>
      </c>
    </row>
    <row r="2443" spans="1:3" x14ac:dyDescent="0.35">
      <c r="A2443">
        <v>51</v>
      </c>
      <c r="B2443">
        <v>1960</v>
      </c>
      <c r="C2443">
        <v>1.6000000000000001E-3</v>
      </c>
    </row>
    <row r="2444" spans="1:3" x14ac:dyDescent="0.35">
      <c r="A2444">
        <v>51</v>
      </c>
      <c r="B2444">
        <v>1961</v>
      </c>
      <c r="C2444">
        <v>4.0000000000000002E-4</v>
      </c>
    </row>
    <row r="2445" spans="1:3" x14ac:dyDescent="0.35">
      <c r="A2445">
        <v>51</v>
      </c>
      <c r="B2445">
        <v>1962</v>
      </c>
      <c r="C2445">
        <v>-5.9999999999999995E-4</v>
      </c>
    </row>
    <row r="2446" spans="1:3" x14ac:dyDescent="0.35">
      <c r="A2446">
        <v>51</v>
      </c>
      <c r="B2446">
        <v>1963</v>
      </c>
      <c r="C2446">
        <v>-1.1999999999999999E-3</v>
      </c>
    </row>
    <row r="2447" spans="1:3" x14ac:dyDescent="0.35">
      <c r="A2447">
        <v>51</v>
      </c>
      <c r="B2447">
        <v>1964</v>
      </c>
      <c r="C2447">
        <v>-1.2999999999999999E-3</v>
      </c>
    </row>
    <row r="2448" spans="1:3" x14ac:dyDescent="0.35">
      <c r="A2448">
        <v>51</v>
      </c>
      <c r="B2448">
        <v>1965</v>
      </c>
      <c r="C2448">
        <v>-8.0000000000000004E-4</v>
      </c>
    </row>
    <row r="2449" spans="1:3" x14ac:dyDescent="0.35">
      <c r="A2449">
        <v>51</v>
      </c>
      <c r="B2449">
        <v>1966</v>
      </c>
      <c r="C2449">
        <v>4.0000000000000002E-4</v>
      </c>
    </row>
    <row r="2450" spans="1:3" x14ac:dyDescent="0.35">
      <c r="A2450">
        <v>51</v>
      </c>
      <c r="B2450">
        <v>1967</v>
      </c>
      <c r="C2450">
        <v>2.3999999999999998E-3</v>
      </c>
    </row>
    <row r="2451" spans="1:3" x14ac:dyDescent="0.35">
      <c r="A2451">
        <v>51</v>
      </c>
      <c r="B2451">
        <v>1968</v>
      </c>
      <c r="C2451">
        <v>5.0000000000000001E-3</v>
      </c>
    </row>
    <row r="2452" spans="1:3" x14ac:dyDescent="0.35">
      <c r="A2452">
        <v>51</v>
      </c>
      <c r="B2452">
        <v>1969</v>
      </c>
      <c r="C2452">
        <v>8.3000000000000001E-3</v>
      </c>
    </row>
    <row r="2453" spans="1:3" x14ac:dyDescent="0.35">
      <c r="A2453">
        <v>51</v>
      </c>
      <c r="B2453">
        <v>1970</v>
      </c>
      <c r="C2453">
        <v>1.1900000000000001E-2</v>
      </c>
    </row>
    <row r="2454" spans="1:3" x14ac:dyDescent="0.35">
      <c r="A2454">
        <v>51</v>
      </c>
      <c r="B2454">
        <v>1971</v>
      </c>
      <c r="C2454">
        <v>1.5599999999999999E-2</v>
      </c>
    </row>
    <row r="2455" spans="1:3" x14ac:dyDescent="0.35">
      <c r="A2455">
        <v>51</v>
      </c>
      <c r="B2455">
        <v>1972</v>
      </c>
      <c r="C2455">
        <v>1.9099999999999999E-2</v>
      </c>
    </row>
    <row r="2456" spans="1:3" x14ac:dyDescent="0.35">
      <c r="A2456">
        <v>51</v>
      </c>
      <c r="B2456">
        <v>1973</v>
      </c>
      <c r="C2456">
        <v>2.2100000000000002E-2</v>
      </c>
    </row>
    <row r="2457" spans="1:3" x14ac:dyDescent="0.35">
      <c r="A2457">
        <v>51</v>
      </c>
      <c r="B2457">
        <v>1974</v>
      </c>
      <c r="C2457">
        <v>2.4500000000000001E-2</v>
      </c>
    </row>
    <row r="2458" spans="1:3" x14ac:dyDescent="0.35">
      <c r="A2458">
        <v>51</v>
      </c>
      <c r="B2458">
        <v>1975</v>
      </c>
      <c r="C2458">
        <v>2.6100000000000002E-2</v>
      </c>
    </row>
    <row r="2459" spans="1:3" x14ac:dyDescent="0.35">
      <c r="A2459">
        <v>51</v>
      </c>
      <c r="B2459">
        <v>1976</v>
      </c>
      <c r="C2459">
        <v>2.69E-2</v>
      </c>
    </row>
    <row r="2460" spans="1:3" x14ac:dyDescent="0.35">
      <c r="A2460">
        <v>51</v>
      </c>
      <c r="B2460">
        <v>1977</v>
      </c>
      <c r="C2460">
        <v>2.7E-2</v>
      </c>
    </row>
    <row r="2461" spans="1:3" x14ac:dyDescent="0.35">
      <c r="A2461">
        <v>51</v>
      </c>
      <c r="B2461">
        <v>1978</v>
      </c>
      <c r="C2461">
        <v>2.6700000000000002E-2</v>
      </c>
    </row>
    <row r="2462" spans="1:3" x14ac:dyDescent="0.35">
      <c r="A2462">
        <v>51</v>
      </c>
      <c r="B2462">
        <v>1979</v>
      </c>
      <c r="C2462">
        <v>2.6200000000000001E-2</v>
      </c>
    </row>
    <row r="2463" spans="1:3" x14ac:dyDescent="0.35">
      <c r="A2463">
        <v>51</v>
      </c>
      <c r="B2463">
        <v>1980</v>
      </c>
      <c r="C2463">
        <v>2.5499999999999998E-2</v>
      </c>
    </row>
    <row r="2464" spans="1:3" x14ac:dyDescent="0.35">
      <c r="A2464">
        <v>51</v>
      </c>
      <c r="B2464">
        <v>1981</v>
      </c>
      <c r="C2464">
        <v>2.46E-2</v>
      </c>
    </row>
    <row r="2465" spans="1:3" x14ac:dyDescent="0.35">
      <c r="A2465">
        <v>51</v>
      </c>
      <c r="B2465">
        <v>1982</v>
      </c>
      <c r="C2465">
        <v>2.35E-2</v>
      </c>
    </row>
    <row r="2466" spans="1:3" x14ac:dyDescent="0.35">
      <c r="A2466">
        <v>51</v>
      </c>
      <c r="B2466">
        <v>1983</v>
      </c>
      <c r="C2466">
        <v>2.2100000000000002E-2</v>
      </c>
    </row>
    <row r="2467" spans="1:3" x14ac:dyDescent="0.35">
      <c r="A2467">
        <v>51</v>
      </c>
      <c r="B2467">
        <v>1984</v>
      </c>
      <c r="C2467">
        <v>2.07E-2</v>
      </c>
    </row>
    <row r="2468" spans="1:3" x14ac:dyDescent="0.35">
      <c r="A2468">
        <v>51</v>
      </c>
      <c r="B2468">
        <v>1985</v>
      </c>
      <c r="C2468">
        <v>1.9300000000000001E-2</v>
      </c>
    </row>
    <row r="2469" spans="1:3" x14ac:dyDescent="0.35">
      <c r="A2469">
        <v>51</v>
      </c>
      <c r="B2469">
        <v>1986</v>
      </c>
      <c r="C2469">
        <v>1.8100000000000002E-2</v>
      </c>
    </row>
    <row r="2470" spans="1:3" x14ac:dyDescent="0.35">
      <c r="A2470">
        <v>51</v>
      </c>
      <c r="B2470">
        <v>1987</v>
      </c>
      <c r="C2470">
        <v>1.7299999999999999E-2</v>
      </c>
    </row>
    <row r="2471" spans="1:3" x14ac:dyDescent="0.35">
      <c r="A2471">
        <v>51</v>
      </c>
      <c r="B2471">
        <v>1988</v>
      </c>
      <c r="C2471">
        <v>1.67E-2</v>
      </c>
    </row>
    <row r="2472" spans="1:3" x14ac:dyDescent="0.35">
      <c r="A2472">
        <v>51</v>
      </c>
      <c r="B2472">
        <v>1989</v>
      </c>
      <c r="C2472">
        <v>1.6299999999999999E-2</v>
      </c>
    </row>
    <row r="2473" spans="1:3" x14ac:dyDescent="0.35">
      <c r="A2473">
        <v>51</v>
      </c>
      <c r="B2473">
        <v>1990</v>
      </c>
      <c r="C2473">
        <v>1.5900000000000001E-2</v>
      </c>
    </row>
    <row r="2474" spans="1:3" x14ac:dyDescent="0.35">
      <c r="A2474">
        <v>51</v>
      </c>
      <c r="B2474">
        <v>1991</v>
      </c>
      <c r="C2474">
        <v>1.5599999999999999E-2</v>
      </c>
    </row>
    <row r="2475" spans="1:3" x14ac:dyDescent="0.35">
      <c r="A2475">
        <v>51</v>
      </c>
      <c r="B2475">
        <v>1992</v>
      </c>
      <c r="C2475">
        <v>1.5599999999999999E-2</v>
      </c>
    </row>
    <row r="2476" spans="1:3" x14ac:dyDescent="0.35">
      <c r="A2476">
        <v>51</v>
      </c>
      <c r="B2476">
        <v>1993</v>
      </c>
      <c r="C2476">
        <v>1.6E-2</v>
      </c>
    </row>
    <row r="2477" spans="1:3" x14ac:dyDescent="0.35">
      <c r="A2477">
        <v>51</v>
      </c>
      <c r="B2477">
        <v>1994</v>
      </c>
      <c r="C2477">
        <v>1.67E-2</v>
      </c>
    </row>
    <row r="2478" spans="1:3" x14ac:dyDescent="0.35">
      <c r="A2478">
        <v>51</v>
      </c>
      <c r="B2478">
        <v>1995</v>
      </c>
      <c r="C2478">
        <v>1.7399999999999999E-2</v>
      </c>
    </row>
    <row r="2479" spans="1:3" x14ac:dyDescent="0.35">
      <c r="A2479">
        <v>51</v>
      </c>
      <c r="B2479">
        <v>1996</v>
      </c>
      <c r="C2479">
        <v>1.72E-2</v>
      </c>
    </row>
    <row r="2480" spans="1:3" x14ac:dyDescent="0.35">
      <c r="A2480">
        <v>51</v>
      </c>
      <c r="B2480">
        <v>1997</v>
      </c>
      <c r="C2480">
        <v>1.5599999999999999E-2</v>
      </c>
    </row>
    <row r="2481" spans="1:3" x14ac:dyDescent="0.35">
      <c r="A2481">
        <v>51</v>
      </c>
      <c r="B2481">
        <v>1998</v>
      </c>
      <c r="C2481">
        <v>1.23E-2</v>
      </c>
    </row>
    <row r="2482" spans="1:3" x14ac:dyDescent="0.35">
      <c r="A2482">
        <v>51</v>
      </c>
      <c r="B2482">
        <v>1999</v>
      </c>
      <c r="C2482">
        <v>7.9000000000000008E-3</v>
      </c>
    </row>
    <row r="2483" spans="1:3" x14ac:dyDescent="0.35">
      <c r="A2483">
        <v>51</v>
      </c>
      <c r="B2483">
        <v>2000</v>
      </c>
      <c r="C2483">
        <v>3.3E-3</v>
      </c>
    </row>
    <row r="2484" spans="1:3" x14ac:dyDescent="0.35">
      <c r="A2484">
        <v>51</v>
      </c>
      <c r="B2484">
        <v>2001</v>
      </c>
      <c r="C2484">
        <v>-5.0000000000000001E-4</v>
      </c>
    </row>
    <row r="2485" spans="1:3" x14ac:dyDescent="0.35">
      <c r="A2485">
        <v>51</v>
      </c>
      <c r="B2485">
        <v>2002</v>
      </c>
      <c r="C2485">
        <v>-2.7000000000000001E-3</v>
      </c>
    </row>
    <row r="2486" spans="1:3" x14ac:dyDescent="0.35">
      <c r="A2486">
        <v>51</v>
      </c>
      <c r="B2486">
        <v>2003</v>
      </c>
      <c r="C2486">
        <v>-2.8E-3</v>
      </c>
    </row>
    <row r="2487" spans="1:3" x14ac:dyDescent="0.35">
      <c r="A2487">
        <v>51</v>
      </c>
      <c r="B2487">
        <v>2004</v>
      </c>
      <c r="C2487">
        <v>-1.1000000000000001E-3</v>
      </c>
    </row>
    <row r="2488" spans="1:3" x14ac:dyDescent="0.35">
      <c r="A2488">
        <v>51</v>
      </c>
      <c r="B2488">
        <v>2005</v>
      </c>
      <c r="C2488">
        <v>1.9E-3</v>
      </c>
    </row>
    <row r="2489" spans="1:3" x14ac:dyDescent="0.35">
      <c r="A2489">
        <v>51</v>
      </c>
      <c r="B2489">
        <v>2006</v>
      </c>
      <c r="C2489">
        <v>5.4999999999999997E-3</v>
      </c>
    </row>
    <row r="2490" spans="1:3" x14ac:dyDescent="0.35">
      <c r="A2490">
        <v>51</v>
      </c>
      <c r="B2490">
        <v>2007</v>
      </c>
      <c r="C2490">
        <v>8.8999999999999999E-3</v>
      </c>
    </row>
    <row r="2491" spans="1:3" x14ac:dyDescent="0.35">
      <c r="A2491">
        <v>51</v>
      </c>
      <c r="B2491">
        <v>2008</v>
      </c>
      <c r="C2491">
        <v>1.1599999999999999E-2</v>
      </c>
    </row>
    <row r="2492" spans="1:3" x14ac:dyDescent="0.35">
      <c r="A2492">
        <v>51</v>
      </c>
      <c r="B2492">
        <v>2009</v>
      </c>
      <c r="C2492">
        <v>1.32E-2</v>
      </c>
    </row>
    <row r="2493" spans="1:3" x14ac:dyDescent="0.35">
      <c r="A2493">
        <v>51</v>
      </c>
      <c r="B2493">
        <v>2010</v>
      </c>
      <c r="C2493">
        <v>1.37E-2</v>
      </c>
    </row>
    <row r="2494" spans="1:3" x14ac:dyDescent="0.35">
      <c r="A2494">
        <v>51</v>
      </c>
      <c r="B2494">
        <v>2011</v>
      </c>
      <c r="C2494">
        <v>1.3299999999999999E-2</v>
      </c>
    </row>
    <row r="2495" spans="1:3" x14ac:dyDescent="0.35">
      <c r="A2495">
        <v>51</v>
      </c>
      <c r="B2495">
        <v>2012</v>
      </c>
      <c r="C2495">
        <v>1.2500000000000001E-2</v>
      </c>
    </row>
    <row r="2496" spans="1:3" x14ac:dyDescent="0.35">
      <c r="A2496">
        <v>51</v>
      </c>
      <c r="B2496">
        <v>2013</v>
      </c>
      <c r="C2496">
        <v>1.3599999999999999E-2</v>
      </c>
    </row>
    <row r="2497" spans="1:3" x14ac:dyDescent="0.35">
      <c r="A2497">
        <v>51</v>
      </c>
      <c r="B2497">
        <v>2014</v>
      </c>
      <c r="C2497">
        <v>1.44E-2</v>
      </c>
    </row>
    <row r="2498" spans="1:3" x14ac:dyDescent="0.35">
      <c r="A2498">
        <v>51</v>
      </c>
      <c r="B2498">
        <v>2015</v>
      </c>
      <c r="C2498">
        <v>1.49E-2</v>
      </c>
    </row>
    <row r="2499" spans="1:3" x14ac:dyDescent="0.35">
      <c r="A2499">
        <v>51</v>
      </c>
      <c r="B2499">
        <v>2016</v>
      </c>
      <c r="C2499">
        <v>1.5100000000000001E-2</v>
      </c>
    </row>
    <row r="2500" spans="1:3" x14ac:dyDescent="0.35">
      <c r="A2500">
        <v>51</v>
      </c>
      <c r="B2500">
        <v>2017</v>
      </c>
      <c r="C2500">
        <v>1.4800000000000001E-2</v>
      </c>
    </row>
    <row r="2501" spans="1:3" x14ac:dyDescent="0.35">
      <c r="A2501">
        <v>51</v>
      </c>
      <c r="B2501">
        <v>2018</v>
      </c>
      <c r="C2501">
        <v>1.4200000000000001E-2</v>
      </c>
    </row>
    <row r="2502" spans="1:3" x14ac:dyDescent="0.35">
      <c r="A2502">
        <v>51</v>
      </c>
      <c r="B2502">
        <v>2019</v>
      </c>
      <c r="C2502">
        <v>1.34E-2</v>
      </c>
    </row>
    <row r="2503" spans="1:3" x14ac:dyDescent="0.35">
      <c r="A2503">
        <v>51</v>
      </c>
      <c r="B2503">
        <v>2020</v>
      </c>
      <c r="C2503">
        <v>1.24E-2</v>
      </c>
    </row>
    <row r="2504" spans="1:3" x14ac:dyDescent="0.35">
      <c r="A2504">
        <v>51</v>
      </c>
      <c r="B2504">
        <v>2021</v>
      </c>
      <c r="C2504">
        <v>1.14E-2</v>
      </c>
    </row>
    <row r="2505" spans="1:3" x14ac:dyDescent="0.35">
      <c r="A2505">
        <v>51</v>
      </c>
      <c r="B2505">
        <v>2022</v>
      </c>
      <c r="C2505">
        <v>1.0500000000000001E-2</v>
      </c>
    </row>
    <row r="2506" spans="1:3" x14ac:dyDescent="0.35">
      <c r="A2506">
        <v>51</v>
      </c>
      <c r="B2506">
        <v>2023</v>
      </c>
      <c r="C2506">
        <v>9.7999999999999997E-3</v>
      </c>
    </row>
    <row r="2507" spans="1:3" x14ac:dyDescent="0.35">
      <c r="A2507">
        <v>51</v>
      </c>
      <c r="B2507">
        <v>2024</v>
      </c>
      <c r="C2507">
        <v>9.1999999999999998E-3</v>
      </c>
    </row>
    <row r="2508" spans="1:3" x14ac:dyDescent="0.35">
      <c r="A2508">
        <v>51</v>
      </c>
      <c r="B2508">
        <v>2025</v>
      </c>
      <c r="C2508">
        <v>8.8999999999999999E-3</v>
      </c>
    </row>
    <row r="2509" spans="1:3" x14ac:dyDescent="0.35">
      <c r="A2509">
        <v>51</v>
      </c>
      <c r="B2509">
        <v>2026</v>
      </c>
      <c r="C2509">
        <v>8.8000000000000005E-3</v>
      </c>
    </row>
    <row r="2510" spans="1:3" x14ac:dyDescent="0.35">
      <c r="A2510">
        <v>51</v>
      </c>
      <c r="B2510">
        <v>2027</v>
      </c>
      <c r="C2510">
        <v>8.8999999999999999E-3</v>
      </c>
    </row>
    <row r="2511" spans="1:3" x14ac:dyDescent="0.35">
      <c r="A2511">
        <v>51</v>
      </c>
      <c r="B2511">
        <v>2028</v>
      </c>
      <c r="C2511">
        <v>9.1999999999999998E-3</v>
      </c>
    </row>
    <row r="2512" spans="1:3" x14ac:dyDescent="0.35">
      <c r="A2512">
        <v>51</v>
      </c>
      <c r="B2512">
        <v>2029</v>
      </c>
      <c r="C2512">
        <v>9.4999999999999998E-3</v>
      </c>
    </row>
    <row r="2513" spans="1:3" x14ac:dyDescent="0.35">
      <c r="A2513">
        <v>51</v>
      </c>
      <c r="B2513">
        <v>2030</v>
      </c>
      <c r="C2513">
        <v>9.7999999999999997E-3</v>
      </c>
    </row>
    <row r="2514" spans="1:3" x14ac:dyDescent="0.35">
      <c r="A2514">
        <v>51</v>
      </c>
      <c r="B2514">
        <v>2031</v>
      </c>
      <c r="C2514">
        <v>9.9000000000000008E-3</v>
      </c>
    </row>
    <row r="2515" spans="1:3" x14ac:dyDescent="0.35">
      <c r="A2515">
        <v>52</v>
      </c>
      <c r="B2515">
        <v>1951</v>
      </c>
      <c r="C2515">
        <v>1.7399999999999999E-2</v>
      </c>
    </row>
    <row r="2516" spans="1:3" x14ac:dyDescent="0.35">
      <c r="A2516">
        <v>52</v>
      </c>
      <c r="B2516">
        <v>1952</v>
      </c>
      <c r="C2516">
        <v>1.6199999999999999E-2</v>
      </c>
    </row>
    <row r="2517" spans="1:3" x14ac:dyDescent="0.35">
      <c r="A2517">
        <v>52</v>
      </c>
      <c r="B2517">
        <v>1953</v>
      </c>
      <c r="C2517">
        <v>1.49E-2</v>
      </c>
    </row>
    <row r="2518" spans="1:3" x14ac:dyDescent="0.35">
      <c r="A2518">
        <v>52</v>
      </c>
      <c r="B2518">
        <v>1954</v>
      </c>
      <c r="C2518">
        <v>1.32E-2</v>
      </c>
    </row>
    <row r="2519" spans="1:3" x14ac:dyDescent="0.35">
      <c r="A2519">
        <v>52</v>
      </c>
      <c r="B2519">
        <v>1955</v>
      </c>
      <c r="C2519">
        <v>1.11E-2</v>
      </c>
    </row>
    <row r="2520" spans="1:3" x14ac:dyDescent="0.35">
      <c r="A2520">
        <v>52</v>
      </c>
      <c r="B2520">
        <v>1956</v>
      </c>
      <c r="C2520">
        <v>8.8000000000000005E-3</v>
      </c>
    </row>
    <row r="2521" spans="1:3" x14ac:dyDescent="0.35">
      <c r="A2521">
        <v>52</v>
      </c>
      <c r="B2521">
        <v>1957</v>
      </c>
      <c r="C2521">
        <v>6.4999999999999997E-3</v>
      </c>
    </row>
    <row r="2522" spans="1:3" x14ac:dyDescent="0.35">
      <c r="A2522">
        <v>52</v>
      </c>
      <c r="B2522">
        <v>1958</v>
      </c>
      <c r="C2522">
        <v>4.5999999999999999E-3</v>
      </c>
    </row>
    <row r="2523" spans="1:3" x14ac:dyDescent="0.35">
      <c r="A2523">
        <v>52</v>
      </c>
      <c r="B2523">
        <v>1959</v>
      </c>
      <c r="C2523">
        <v>2.8999999999999998E-3</v>
      </c>
    </row>
    <row r="2524" spans="1:3" x14ac:dyDescent="0.35">
      <c r="A2524">
        <v>52</v>
      </c>
      <c r="B2524">
        <v>1960</v>
      </c>
      <c r="C2524">
        <v>1.6000000000000001E-3</v>
      </c>
    </row>
    <row r="2525" spans="1:3" x14ac:dyDescent="0.35">
      <c r="A2525">
        <v>52</v>
      </c>
      <c r="B2525">
        <v>1961</v>
      </c>
      <c r="C2525">
        <v>5.0000000000000001E-4</v>
      </c>
    </row>
    <row r="2526" spans="1:3" x14ac:dyDescent="0.35">
      <c r="A2526">
        <v>52</v>
      </c>
      <c r="B2526">
        <v>1962</v>
      </c>
      <c r="C2526">
        <v>-5.0000000000000001E-4</v>
      </c>
    </row>
    <row r="2527" spans="1:3" x14ac:dyDescent="0.35">
      <c r="A2527">
        <v>52</v>
      </c>
      <c r="B2527">
        <v>1963</v>
      </c>
      <c r="C2527">
        <v>-1.1000000000000001E-3</v>
      </c>
    </row>
    <row r="2528" spans="1:3" x14ac:dyDescent="0.35">
      <c r="A2528">
        <v>52</v>
      </c>
      <c r="B2528">
        <v>1964</v>
      </c>
      <c r="C2528">
        <v>-1.1999999999999999E-3</v>
      </c>
    </row>
    <row r="2529" spans="1:3" x14ac:dyDescent="0.35">
      <c r="A2529">
        <v>52</v>
      </c>
      <c r="B2529">
        <v>1965</v>
      </c>
      <c r="C2529">
        <v>-8.0000000000000004E-4</v>
      </c>
    </row>
    <row r="2530" spans="1:3" x14ac:dyDescent="0.35">
      <c r="A2530">
        <v>52</v>
      </c>
      <c r="B2530">
        <v>1966</v>
      </c>
      <c r="C2530">
        <v>4.0000000000000002E-4</v>
      </c>
    </row>
    <row r="2531" spans="1:3" x14ac:dyDescent="0.35">
      <c r="A2531">
        <v>52</v>
      </c>
      <c r="B2531">
        <v>1967</v>
      </c>
      <c r="C2531">
        <v>2.5000000000000001E-3</v>
      </c>
    </row>
    <row r="2532" spans="1:3" x14ac:dyDescent="0.35">
      <c r="A2532">
        <v>52</v>
      </c>
      <c r="B2532">
        <v>1968</v>
      </c>
      <c r="C2532">
        <v>5.1999999999999998E-3</v>
      </c>
    </row>
    <row r="2533" spans="1:3" x14ac:dyDescent="0.35">
      <c r="A2533">
        <v>52</v>
      </c>
      <c r="B2533">
        <v>1969</v>
      </c>
      <c r="C2533">
        <v>8.6E-3</v>
      </c>
    </row>
    <row r="2534" spans="1:3" x14ac:dyDescent="0.35">
      <c r="A2534">
        <v>52</v>
      </c>
      <c r="B2534">
        <v>1970</v>
      </c>
      <c r="C2534">
        <v>1.2200000000000001E-2</v>
      </c>
    </row>
    <row r="2535" spans="1:3" x14ac:dyDescent="0.35">
      <c r="A2535">
        <v>52</v>
      </c>
      <c r="B2535">
        <v>1971</v>
      </c>
      <c r="C2535">
        <v>1.6E-2</v>
      </c>
    </row>
    <row r="2536" spans="1:3" x14ac:dyDescent="0.35">
      <c r="A2536">
        <v>52</v>
      </c>
      <c r="B2536">
        <v>1972</v>
      </c>
      <c r="C2536">
        <v>1.95E-2</v>
      </c>
    </row>
    <row r="2537" spans="1:3" x14ac:dyDescent="0.35">
      <c r="A2537">
        <v>52</v>
      </c>
      <c r="B2537">
        <v>1973</v>
      </c>
      <c r="C2537">
        <v>2.2499999999999999E-2</v>
      </c>
    </row>
    <row r="2538" spans="1:3" x14ac:dyDescent="0.35">
      <c r="A2538">
        <v>52</v>
      </c>
      <c r="B2538">
        <v>1974</v>
      </c>
      <c r="C2538">
        <v>2.47E-2</v>
      </c>
    </row>
    <row r="2539" spans="1:3" x14ac:dyDescent="0.35">
      <c r="A2539">
        <v>52</v>
      </c>
      <c r="B2539">
        <v>1975</v>
      </c>
      <c r="C2539">
        <v>2.6100000000000002E-2</v>
      </c>
    </row>
    <row r="2540" spans="1:3" x14ac:dyDescent="0.35">
      <c r="A2540">
        <v>52</v>
      </c>
      <c r="B2540">
        <v>1976</v>
      </c>
      <c r="C2540">
        <v>2.6599999999999999E-2</v>
      </c>
    </row>
    <row r="2541" spans="1:3" x14ac:dyDescent="0.35">
      <c r="A2541">
        <v>52</v>
      </c>
      <c r="B2541">
        <v>1977</v>
      </c>
      <c r="C2541">
        <v>2.64E-2</v>
      </c>
    </row>
    <row r="2542" spans="1:3" x14ac:dyDescent="0.35">
      <c r="A2542">
        <v>52</v>
      </c>
      <c r="B2542">
        <v>1978</v>
      </c>
      <c r="C2542">
        <v>2.5899999999999999E-2</v>
      </c>
    </row>
    <row r="2543" spans="1:3" x14ac:dyDescent="0.35">
      <c r="A2543">
        <v>52</v>
      </c>
      <c r="B2543">
        <v>1979</v>
      </c>
      <c r="C2543">
        <v>2.5100000000000001E-2</v>
      </c>
    </row>
    <row r="2544" spans="1:3" x14ac:dyDescent="0.35">
      <c r="A2544">
        <v>52</v>
      </c>
      <c r="B2544">
        <v>1980</v>
      </c>
      <c r="C2544">
        <v>2.4199999999999999E-2</v>
      </c>
    </row>
    <row r="2545" spans="1:3" x14ac:dyDescent="0.35">
      <c r="A2545">
        <v>52</v>
      </c>
      <c r="B2545">
        <v>1981</v>
      </c>
      <c r="C2545">
        <v>2.3199999999999998E-2</v>
      </c>
    </row>
    <row r="2546" spans="1:3" x14ac:dyDescent="0.35">
      <c r="A2546">
        <v>52</v>
      </c>
      <c r="B2546">
        <v>1982</v>
      </c>
      <c r="C2546">
        <v>2.2200000000000001E-2</v>
      </c>
    </row>
    <row r="2547" spans="1:3" x14ac:dyDescent="0.35">
      <c r="A2547">
        <v>52</v>
      </c>
      <c r="B2547">
        <v>1983</v>
      </c>
      <c r="C2547">
        <v>2.1000000000000001E-2</v>
      </c>
    </row>
    <row r="2548" spans="1:3" x14ac:dyDescent="0.35">
      <c r="A2548">
        <v>52</v>
      </c>
      <c r="B2548">
        <v>1984</v>
      </c>
      <c r="C2548">
        <v>1.9900000000000001E-2</v>
      </c>
    </row>
    <row r="2549" spans="1:3" x14ac:dyDescent="0.35">
      <c r="A2549">
        <v>52</v>
      </c>
      <c r="B2549">
        <v>1985</v>
      </c>
      <c r="C2549">
        <v>1.9E-2</v>
      </c>
    </row>
    <row r="2550" spans="1:3" x14ac:dyDescent="0.35">
      <c r="A2550">
        <v>52</v>
      </c>
      <c r="B2550">
        <v>1986</v>
      </c>
      <c r="C2550">
        <v>1.84E-2</v>
      </c>
    </row>
    <row r="2551" spans="1:3" x14ac:dyDescent="0.35">
      <c r="A2551">
        <v>52</v>
      </c>
      <c r="B2551">
        <v>1987</v>
      </c>
      <c r="C2551">
        <v>1.8100000000000002E-2</v>
      </c>
    </row>
    <row r="2552" spans="1:3" x14ac:dyDescent="0.35">
      <c r="A2552">
        <v>52</v>
      </c>
      <c r="B2552">
        <v>1988</v>
      </c>
      <c r="C2552">
        <v>1.7999999999999999E-2</v>
      </c>
    </row>
    <row r="2553" spans="1:3" x14ac:dyDescent="0.35">
      <c r="A2553">
        <v>52</v>
      </c>
      <c r="B2553">
        <v>1989</v>
      </c>
      <c r="C2553">
        <v>1.7899999999999999E-2</v>
      </c>
    </row>
    <row r="2554" spans="1:3" x14ac:dyDescent="0.35">
      <c r="A2554">
        <v>52</v>
      </c>
      <c r="B2554">
        <v>1990</v>
      </c>
      <c r="C2554">
        <v>1.78E-2</v>
      </c>
    </row>
    <row r="2555" spans="1:3" x14ac:dyDescent="0.35">
      <c r="A2555">
        <v>52</v>
      </c>
      <c r="B2555">
        <v>1991</v>
      </c>
      <c r="C2555">
        <v>1.7600000000000001E-2</v>
      </c>
    </row>
    <row r="2556" spans="1:3" x14ac:dyDescent="0.35">
      <c r="A2556">
        <v>52</v>
      </c>
      <c r="B2556">
        <v>1992</v>
      </c>
      <c r="C2556">
        <v>1.7600000000000001E-2</v>
      </c>
    </row>
    <row r="2557" spans="1:3" x14ac:dyDescent="0.35">
      <c r="A2557">
        <v>52</v>
      </c>
      <c r="B2557">
        <v>1993</v>
      </c>
      <c r="C2557">
        <v>1.78E-2</v>
      </c>
    </row>
    <row r="2558" spans="1:3" x14ac:dyDescent="0.35">
      <c r="A2558">
        <v>52</v>
      </c>
      <c r="B2558">
        <v>1994</v>
      </c>
      <c r="C2558">
        <v>1.84E-2</v>
      </c>
    </row>
    <row r="2559" spans="1:3" x14ac:dyDescent="0.35">
      <c r="A2559">
        <v>52</v>
      </c>
      <c r="B2559">
        <v>1995</v>
      </c>
      <c r="C2559">
        <v>1.89E-2</v>
      </c>
    </row>
    <row r="2560" spans="1:3" x14ac:dyDescent="0.35">
      <c r="A2560">
        <v>52</v>
      </c>
      <c r="B2560">
        <v>1996</v>
      </c>
      <c r="C2560">
        <v>1.8599999999999998E-2</v>
      </c>
    </row>
    <row r="2561" spans="1:3" x14ac:dyDescent="0.35">
      <c r="A2561">
        <v>52</v>
      </c>
      <c r="B2561">
        <v>1997</v>
      </c>
      <c r="C2561">
        <v>1.6899999999999998E-2</v>
      </c>
    </row>
    <row r="2562" spans="1:3" x14ac:dyDescent="0.35">
      <c r="A2562">
        <v>52</v>
      </c>
      <c r="B2562">
        <v>1998</v>
      </c>
      <c r="C2562">
        <v>1.37E-2</v>
      </c>
    </row>
    <row r="2563" spans="1:3" x14ac:dyDescent="0.35">
      <c r="A2563">
        <v>52</v>
      </c>
      <c r="B2563">
        <v>1999</v>
      </c>
      <c r="C2563">
        <v>9.4000000000000004E-3</v>
      </c>
    </row>
    <row r="2564" spans="1:3" x14ac:dyDescent="0.35">
      <c r="A2564">
        <v>52</v>
      </c>
      <c r="B2564">
        <v>2000</v>
      </c>
      <c r="C2564">
        <v>4.8999999999999998E-3</v>
      </c>
    </row>
    <row r="2565" spans="1:3" x14ac:dyDescent="0.35">
      <c r="A2565">
        <v>52</v>
      </c>
      <c r="B2565">
        <v>2001</v>
      </c>
      <c r="C2565">
        <v>1E-3</v>
      </c>
    </row>
    <row r="2566" spans="1:3" x14ac:dyDescent="0.35">
      <c r="A2566">
        <v>52</v>
      </c>
      <c r="B2566">
        <v>2002</v>
      </c>
      <c r="C2566">
        <v>-1.5E-3</v>
      </c>
    </row>
    <row r="2567" spans="1:3" x14ac:dyDescent="0.35">
      <c r="A2567">
        <v>52</v>
      </c>
      <c r="B2567">
        <v>2003</v>
      </c>
      <c r="C2567">
        <v>-2.2000000000000001E-3</v>
      </c>
    </row>
    <row r="2568" spans="1:3" x14ac:dyDescent="0.35">
      <c r="A2568">
        <v>52</v>
      </c>
      <c r="B2568">
        <v>2004</v>
      </c>
      <c r="C2568">
        <v>-1.1999999999999999E-3</v>
      </c>
    </row>
    <row r="2569" spans="1:3" x14ac:dyDescent="0.35">
      <c r="A2569">
        <v>52</v>
      </c>
      <c r="B2569">
        <v>2005</v>
      </c>
      <c r="C2569">
        <v>1.1000000000000001E-3</v>
      </c>
    </row>
    <row r="2570" spans="1:3" x14ac:dyDescent="0.35">
      <c r="A2570">
        <v>52</v>
      </c>
      <c r="B2570">
        <v>2006</v>
      </c>
      <c r="C2570">
        <v>4.0000000000000001E-3</v>
      </c>
    </row>
    <row r="2571" spans="1:3" x14ac:dyDescent="0.35">
      <c r="A2571">
        <v>52</v>
      </c>
      <c r="B2571">
        <v>2007</v>
      </c>
      <c r="C2571">
        <v>6.8999999999999999E-3</v>
      </c>
    </row>
    <row r="2572" spans="1:3" x14ac:dyDescent="0.35">
      <c r="A2572">
        <v>52</v>
      </c>
      <c r="B2572">
        <v>2008</v>
      </c>
      <c r="C2572">
        <v>9.1999999999999998E-3</v>
      </c>
    </row>
    <row r="2573" spans="1:3" x14ac:dyDescent="0.35">
      <c r="A2573">
        <v>52</v>
      </c>
      <c r="B2573">
        <v>2009</v>
      </c>
      <c r="C2573">
        <v>1.0500000000000001E-2</v>
      </c>
    </row>
    <row r="2574" spans="1:3" x14ac:dyDescent="0.35">
      <c r="A2574">
        <v>52</v>
      </c>
      <c r="B2574">
        <v>2010</v>
      </c>
      <c r="C2574">
        <v>1.0999999999999999E-2</v>
      </c>
    </row>
    <row r="2575" spans="1:3" x14ac:dyDescent="0.35">
      <c r="A2575">
        <v>52</v>
      </c>
      <c r="B2575">
        <v>2011</v>
      </c>
      <c r="C2575">
        <v>1.0699999999999999E-2</v>
      </c>
    </row>
    <row r="2576" spans="1:3" x14ac:dyDescent="0.35">
      <c r="A2576">
        <v>52</v>
      </c>
      <c r="B2576">
        <v>2012</v>
      </c>
      <c r="C2576">
        <v>9.9000000000000008E-3</v>
      </c>
    </row>
    <row r="2577" spans="1:3" x14ac:dyDescent="0.35">
      <c r="A2577">
        <v>52</v>
      </c>
      <c r="B2577">
        <v>2013</v>
      </c>
      <c r="C2577">
        <v>1.12E-2</v>
      </c>
    </row>
    <row r="2578" spans="1:3" x14ac:dyDescent="0.35">
      <c r="A2578">
        <v>52</v>
      </c>
      <c r="B2578">
        <v>2014</v>
      </c>
      <c r="C2578">
        <v>1.23E-2</v>
      </c>
    </row>
    <row r="2579" spans="1:3" x14ac:dyDescent="0.35">
      <c r="A2579">
        <v>52</v>
      </c>
      <c r="B2579">
        <v>2015</v>
      </c>
      <c r="C2579">
        <v>1.32E-2</v>
      </c>
    </row>
    <row r="2580" spans="1:3" x14ac:dyDescent="0.35">
      <c r="A2580">
        <v>52</v>
      </c>
      <c r="B2580">
        <v>2016</v>
      </c>
      <c r="C2580">
        <v>1.38E-2</v>
      </c>
    </row>
    <row r="2581" spans="1:3" x14ac:dyDescent="0.35">
      <c r="A2581">
        <v>52</v>
      </c>
      <c r="B2581">
        <v>2017</v>
      </c>
      <c r="C2581">
        <v>1.4E-2</v>
      </c>
    </row>
    <row r="2582" spans="1:3" x14ac:dyDescent="0.35">
      <c r="A2582">
        <v>52</v>
      </c>
      <c r="B2582">
        <v>2018</v>
      </c>
      <c r="C2582">
        <v>1.3899999999999999E-2</v>
      </c>
    </row>
    <row r="2583" spans="1:3" x14ac:dyDescent="0.35">
      <c r="A2583">
        <v>52</v>
      </c>
      <c r="B2583">
        <v>2019</v>
      </c>
      <c r="C2583">
        <v>1.35E-2</v>
      </c>
    </row>
    <row r="2584" spans="1:3" x14ac:dyDescent="0.35">
      <c r="A2584">
        <v>52</v>
      </c>
      <c r="B2584">
        <v>2020</v>
      </c>
      <c r="C2584">
        <v>1.2800000000000001E-2</v>
      </c>
    </row>
    <row r="2585" spans="1:3" x14ac:dyDescent="0.35">
      <c r="A2585">
        <v>52</v>
      </c>
      <c r="B2585">
        <v>2021</v>
      </c>
      <c r="C2585">
        <v>1.2E-2</v>
      </c>
    </row>
    <row r="2586" spans="1:3" x14ac:dyDescent="0.35">
      <c r="A2586">
        <v>52</v>
      </c>
      <c r="B2586">
        <v>2022</v>
      </c>
      <c r="C2586">
        <v>1.12E-2</v>
      </c>
    </row>
    <row r="2587" spans="1:3" x14ac:dyDescent="0.35">
      <c r="A2587">
        <v>52</v>
      </c>
      <c r="B2587">
        <v>2023</v>
      </c>
      <c r="C2587">
        <v>1.04E-2</v>
      </c>
    </row>
    <row r="2588" spans="1:3" x14ac:dyDescent="0.35">
      <c r="A2588">
        <v>52</v>
      </c>
      <c r="B2588">
        <v>2024</v>
      </c>
      <c r="C2588">
        <v>9.7999999999999997E-3</v>
      </c>
    </row>
    <row r="2589" spans="1:3" x14ac:dyDescent="0.35">
      <c r="A2589">
        <v>52</v>
      </c>
      <c r="B2589">
        <v>2025</v>
      </c>
      <c r="C2589">
        <v>9.4000000000000004E-3</v>
      </c>
    </row>
    <row r="2590" spans="1:3" x14ac:dyDescent="0.35">
      <c r="A2590">
        <v>52</v>
      </c>
      <c r="B2590">
        <v>2026</v>
      </c>
      <c r="C2590">
        <v>9.1999999999999998E-3</v>
      </c>
    </row>
    <row r="2591" spans="1:3" x14ac:dyDescent="0.35">
      <c r="A2591">
        <v>52</v>
      </c>
      <c r="B2591">
        <v>2027</v>
      </c>
      <c r="C2591">
        <v>9.1999999999999998E-3</v>
      </c>
    </row>
    <row r="2592" spans="1:3" x14ac:dyDescent="0.35">
      <c r="A2592">
        <v>52</v>
      </c>
      <c r="B2592">
        <v>2028</v>
      </c>
      <c r="C2592">
        <v>9.2999999999999992E-3</v>
      </c>
    </row>
    <row r="2593" spans="1:3" x14ac:dyDescent="0.35">
      <c r="A2593">
        <v>52</v>
      </c>
      <c r="B2593">
        <v>2029</v>
      </c>
      <c r="C2593">
        <v>9.4999999999999998E-3</v>
      </c>
    </row>
    <row r="2594" spans="1:3" x14ac:dyDescent="0.35">
      <c r="A2594">
        <v>52</v>
      </c>
      <c r="B2594">
        <v>2030</v>
      </c>
      <c r="C2594">
        <v>9.7999999999999997E-3</v>
      </c>
    </row>
    <row r="2595" spans="1:3" x14ac:dyDescent="0.35">
      <c r="A2595">
        <v>52</v>
      </c>
      <c r="B2595">
        <v>2031</v>
      </c>
      <c r="C2595">
        <v>9.9000000000000008E-3</v>
      </c>
    </row>
    <row r="2596" spans="1:3" x14ac:dyDescent="0.35">
      <c r="A2596">
        <v>53</v>
      </c>
      <c r="B2596">
        <v>1951</v>
      </c>
      <c r="C2596">
        <v>1.6799999999999999E-2</v>
      </c>
    </row>
    <row r="2597" spans="1:3" x14ac:dyDescent="0.35">
      <c r="A2597">
        <v>53</v>
      </c>
      <c r="B2597">
        <v>1952</v>
      </c>
      <c r="C2597">
        <v>1.5699999999999999E-2</v>
      </c>
    </row>
    <row r="2598" spans="1:3" x14ac:dyDescent="0.35">
      <c r="A2598">
        <v>53</v>
      </c>
      <c r="B2598">
        <v>1953</v>
      </c>
      <c r="C2598">
        <v>1.43E-2</v>
      </c>
    </row>
    <row r="2599" spans="1:3" x14ac:dyDescent="0.35">
      <c r="A2599">
        <v>53</v>
      </c>
      <c r="B2599">
        <v>1954</v>
      </c>
      <c r="C2599">
        <v>1.2699999999999999E-2</v>
      </c>
    </row>
    <row r="2600" spans="1:3" x14ac:dyDescent="0.35">
      <c r="A2600">
        <v>53</v>
      </c>
      <c r="B2600">
        <v>1955</v>
      </c>
      <c r="C2600">
        <v>1.0699999999999999E-2</v>
      </c>
    </row>
    <row r="2601" spans="1:3" x14ac:dyDescent="0.35">
      <c r="A2601">
        <v>53</v>
      </c>
      <c r="B2601">
        <v>1956</v>
      </c>
      <c r="C2601">
        <v>8.3999999999999995E-3</v>
      </c>
    </row>
    <row r="2602" spans="1:3" x14ac:dyDescent="0.35">
      <c r="A2602">
        <v>53</v>
      </c>
      <c r="B2602">
        <v>1957</v>
      </c>
      <c r="C2602">
        <v>6.3E-3</v>
      </c>
    </row>
    <row r="2603" spans="1:3" x14ac:dyDescent="0.35">
      <c r="A2603">
        <v>53</v>
      </c>
      <c r="B2603">
        <v>1958</v>
      </c>
      <c r="C2603">
        <v>4.4000000000000003E-3</v>
      </c>
    </row>
    <row r="2604" spans="1:3" x14ac:dyDescent="0.35">
      <c r="A2604">
        <v>53</v>
      </c>
      <c r="B2604">
        <v>1959</v>
      </c>
      <c r="C2604">
        <v>2.8999999999999998E-3</v>
      </c>
    </row>
    <row r="2605" spans="1:3" x14ac:dyDescent="0.35">
      <c r="A2605">
        <v>53</v>
      </c>
      <c r="B2605">
        <v>1960</v>
      </c>
      <c r="C2605">
        <v>1.6000000000000001E-3</v>
      </c>
    </row>
    <row r="2606" spans="1:3" x14ac:dyDescent="0.35">
      <c r="A2606">
        <v>53</v>
      </c>
      <c r="B2606">
        <v>1961</v>
      </c>
      <c r="C2606">
        <v>5.0000000000000001E-4</v>
      </c>
    </row>
    <row r="2607" spans="1:3" x14ac:dyDescent="0.35">
      <c r="A2607">
        <v>53</v>
      </c>
      <c r="B2607">
        <v>1962</v>
      </c>
      <c r="C2607">
        <v>-4.0000000000000002E-4</v>
      </c>
    </row>
    <row r="2608" spans="1:3" x14ac:dyDescent="0.35">
      <c r="A2608">
        <v>53</v>
      </c>
      <c r="B2608">
        <v>1963</v>
      </c>
      <c r="C2608">
        <v>-1.1000000000000001E-3</v>
      </c>
    </row>
    <row r="2609" spans="1:3" x14ac:dyDescent="0.35">
      <c r="A2609">
        <v>53</v>
      </c>
      <c r="B2609">
        <v>1964</v>
      </c>
      <c r="C2609">
        <v>-1.2999999999999999E-3</v>
      </c>
    </row>
    <row r="2610" spans="1:3" x14ac:dyDescent="0.35">
      <c r="A2610">
        <v>53</v>
      </c>
      <c r="B2610">
        <v>1965</v>
      </c>
      <c r="C2610">
        <v>-8.9999999999999998E-4</v>
      </c>
    </row>
    <row r="2611" spans="1:3" x14ac:dyDescent="0.35">
      <c r="A2611">
        <v>53</v>
      </c>
      <c r="B2611">
        <v>1966</v>
      </c>
      <c r="C2611">
        <v>2.9999999999999997E-4</v>
      </c>
    </row>
    <row r="2612" spans="1:3" x14ac:dyDescent="0.35">
      <c r="A2612">
        <v>53</v>
      </c>
      <c r="B2612">
        <v>1967</v>
      </c>
      <c r="C2612">
        <v>2.3E-3</v>
      </c>
    </row>
    <row r="2613" spans="1:3" x14ac:dyDescent="0.35">
      <c r="A2613">
        <v>53</v>
      </c>
      <c r="B2613">
        <v>1968</v>
      </c>
      <c r="C2613">
        <v>5.0000000000000001E-3</v>
      </c>
    </row>
    <row r="2614" spans="1:3" x14ac:dyDescent="0.35">
      <c r="A2614">
        <v>53</v>
      </c>
      <c r="B2614">
        <v>1969</v>
      </c>
      <c r="C2614">
        <v>8.5000000000000006E-3</v>
      </c>
    </row>
    <row r="2615" spans="1:3" x14ac:dyDescent="0.35">
      <c r="A2615">
        <v>53</v>
      </c>
      <c r="B2615">
        <v>1970</v>
      </c>
      <c r="C2615">
        <v>1.23E-2</v>
      </c>
    </row>
    <row r="2616" spans="1:3" x14ac:dyDescent="0.35">
      <c r="A2616">
        <v>53</v>
      </c>
      <c r="B2616">
        <v>1971</v>
      </c>
      <c r="C2616">
        <v>1.6299999999999999E-2</v>
      </c>
    </row>
    <row r="2617" spans="1:3" x14ac:dyDescent="0.35">
      <c r="A2617">
        <v>53</v>
      </c>
      <c r="B2617">
        <v>1972</v>
      </c>
      <c r="C2617">
        <v>1.9900000000000001E-2</v>
      </c>
    </row>
    <row r="2618" spans="1:3" x14ac:dyDescent="0.35">
      <c r="A2618">
        <v>53</v>
      </c>
      <c r="B2618">
        <v>1973</v>
      </c>
      <c r="C2618">
        <v>2.29E-2</v>
      </c>
    </row>
    <row r="2619" spans="1:3" x14ac:dyDescent="0.35">
      <c r="A2619">
        <v>53</v>
      </c>
      <c r="B2619">
        <v>1974</v>
      </c>
      <c r="C2619">
        <v>2.5100000000000001E-2</v>
      </c>
    </row>
    <row r="2620" spans="1:3" x14ac:dyDescent="0.35">
      <c r="A2620">
        <v>53</v>
      </c>
      <c r="B2620">
        <v>1975</v>
      </c>
      <c r="C2620">
        <v>2.64E-2</v>
      </c>
    </row>
    <row r="2621" spans="1:3" x14ac:dyDescent="0.35">
      <c r="A2621">
        <v>53</v>
      </c>
      <c r="B2621">
        <v>1976</v>
      </c>
      <c r="C2621">
        <v>2.6599999999999999E-2</v>
      </c>
    </row>
    <row r="2622" spans="1:3" x14ac:dyDescent="0.35">
      <c r="A2622">
        <v>53</v>
      </c>
      <c r="B2622">
        <v>1977</v>
      </c>
      <c r="C2622">
        <v>2.6200000000000001E-2</v>
      </c>
    </row>
    <row r="2623" spans="1:3" x14ac:dyDescent="0.35">
      <c r="A2623">
        <v>53</v>
      </c>
      <c r="B2623">
        <v>1978</v>
      </c>
      <c r="C2623">
        <v>2.52E-2</v>
      </c>
    </row>
    <row r="2624" spans="1:3" x14ac:dyDescent="0.35">
      <c r="A2624">
        <v>53</v>
      </c>
      <c r="B2624">
        <v>1979</v>
      </c>
      <c r="C2624">
        <v>2.41E-2</v>
      </c>
    </row>
    <row r="2625" spans="1:3" x14ac:dyDescent="0.35">
      <c r="A2625">
        <v>53</v>
      </c>
      <c r="B2625">
        <v>1980</v>
      </c>
      <c r="C2625">
        <v>2.29E-2</v>
      </c>
    </row>
    <row r="2626" spans="1:3" x14ac:dyDescent="0.35">
      <c r="A2626">
        <v>53</v>
      </c>
      <c r="B2626">
        <v>1981</v>
      </c>
      <c r="C2626">
        <v>2.1700000000000001E-2</v>
      </c>
    </row>
    <row r="2627" spans="1:3" x14ac:dyDescent="0.35">
      <c r="A2627">
        <v>53</v>
      </c>
      <c r="B2627">
        <v>1982</v>
      </c>
      <c r="C2627">
        <v>2.07E-2</v>
      </c>
    </row>
    <row r="2628" spans="1:3" x14ac:dyDescent="0.35">
      <c r="A2628">
        <v>53</v>
      </c>
      <c r="B2628">
        <v>1983</v>
      </c>
      <c r="C2628">
        <v>1.9800000000000002E-2</v>
      </c>
    </row>
    <row r="2629" spans="1:3" x14ac:dyDescent="0.35">
      <c r="A2629">
        <v>53</v>
      </c>
      <c r="B2629">
        <v>1984</v>
      </c>
      <c r="C2629">
        <v>1.9E-2</v>
      </c>
    </row>
    <row r="2630" spans="1:3" x14ac:dyDescent="0.35">
      <c r="A2630">
        <v>53</v>
      </c>
      <c r="B2630">
        <v>1985</v>
      </c>
      <c r="C2630">
        <v>1.8599999999999998E-2</v>
      </c>
    </row>
    <row r="2631" spans="1:3" x14ac:dyDescent="0.35">
      <c r="A2631">
        <v>53</v>
      </c>
      <c r="B2631">
        <v>1986</v>
      </c>
      <c r="C2631">
        <v>1.8499999999999999E-2</v>
      </c>
    </row>
    <row r="2632" spans="1:3" x14ac:dyDescent="0.35">
      <c r="A2632">
        <v>53</v>
      </c>
      <c r="B2632">
        <v>1987</v>
      </c>
      <c r="C2632">
        <v>1.8599999999999998E-2</v>
      </c>
    </row>
    <row r="2633" spans="1:3" x14ac:dyDescent="0.35">
      <c r="A2633">
        <v>53</v>
      </c>
      <c r="B2633">
        <v>1988</v>
      </c>
      <c r="C2633">
        <v>1.89E-2</v>
      </c>
    </row>
    <row r="2634" spans="1:3" x14ac:dyDescent="0.35">
      <c r="A2634">
        <v>53</v>
      </c>
      <c r="B2634">
        <v>1989</v>
      </c>
      <c r="C2634">
        <v>1.9099999999999999E-2</v>
      </c>
    </row>
    <row r="2635" spans="1:3" x14ac:dyDescent="0.35">
      <c r="A2635">
        <v>53</v>
      </c>
      <c r="B2635">
        <v>1990</v>
      </c>
      <c r="C2635">
        <v>1.9099999999999999E-2</v>
      </c>
    </row>
    <row r="2636" spans="1:3" x14ac:dyDescent="0.35">
      <c r="A2636">
        <v>53</v>
      </c>
      <c r="B2636">
        <v>1991</v>
      </c>
      <c r="C2636">
        <v>1.9099999999999999E-2</v>
      </c>
    </row>
    <row r="2637" spans="1:3" x14ac:dyDescent="0.35">
      <c r="A2637">
        <v>53</v>
      </c>
      <c r="B2637">
        <v>1992</v>
      </c>
      <c r="C2637">
        <v>1.9199999999999998E-2</v>
      </c>
    </row>
    <row r="2638" spans="1:3" x14ac:dyDescent="0.35">
      <c r="A2638">
        <v>53</v>
      </c>
      <c r="B2638">
        <v>1993</v>
      </c>
      <c r="C2638">
        <v>1.9400000000000001E-2</v>
      </c>
    </row>
    <row r="2639" spans="1:3" x14ac:dyDescent="0.35">
      <c r="A2639">
        <v>53</v>
      </c>
      <c r="B2639">
        <v>1994</v>
      </c>
      <c r="C2639">
        <v>1.9900000000000001E-2</v>
      </c>
    </row>
    <row r="2640" spans="1:3" x14ac:dyDescent="0.35">
      <c r="A2640">
        <v>53</v>
      </c>
      <c r="B2640">
        <v>1995</v>
      </c>
      <c r="C2640">
        <v>2.0199999999999999E-2</v>
      </c>
    </row>
    <row r="2641" spans="1:3" x14ac:dyDescent="0.35">
      <c r="A2641">
        <v>53</v>
      </c>
      <c r="B2641">
        <v>1996</v>
      </c>
      <c r="C2641">
        <v>1.9800000000000002E-2</v>
      </c>
    </row>
    <row r="2642" spans="1:3" x14ac:dyDescent="0.35">
      <c r="A2642">
        <v>53</v>
      </c>
      <c r="B2642">
        <v>1997</v>
      </c>
      <c r="C2642">
        <v>1.8200000000000001E-2</v>
      </c>
    </row>
    <row r="2643" spans="1:3" x14ac:dyDescent="0.35">
      <c r="A2643">
        <v>53</v>
      </c>
      <c r="B2643">
        <v>1998</v>
      </c>
      <c r="C2643">
        <v>1.52E-2</v>
      </c>
    </row>
    <row r="2644" spans="1:3" x14ac:dyDescent="0.35">
      <c r="A2644">
        <v>53</v>
      </c>
      <c r="B2644">
        <v>1999</v>
      </c>
      <c r="C2644">
        <v>1.12E-2</v>
      </c>
    </row>
    <row r="2645" spans="1:3" x14ac:dyDescent="0.35">
      <c r="A2645">
        <v>53</v>
      </c>
      <c r="B2645">
        <v>2000</v>
      </c>
      <c r="C2645">
        <v>6.8999999999999999E-3</v>
      </c>
    </row>
    <row r="2646" spans="1:3" x14ac:dyDescent="0.35">
      <c r="A2646">
        <v>53</v>
      </c>
      <c r="B2646">
        <v>2001</v>
      </c>
      <c r="C2646">
        <v>3.2000000000000002E-3</v>
      </c>
    </row>
    <row r="2647" spans="1:3" x14ac:dyDescent="0.35">
      <c r="A2647">
        <v>53</v>
      </c>
      <c r="B2647">
        <v>2002</v>
      </c>
      <c r="C2647">
        <v>5.0000000000000001E-4</v>
      </c>
    </row>
    <row r="2648" spans="1:3" x14ac:dyDescent="0.35">
      <c r="A2648">
        <v>53</v>
      </c>
      <c r="B2648">
        <v>2003</v>
      </c>
      <c r="C2648">
        <v>-5.9999999999999995E-4</v>
      </c>
    </row>
    <row r="2649" spans="1:3" x14ac:dyDescent="0.35">
      <c r="A2649">
        <v>53</v>
      </c>
      <c r="B2649">
        <v>2004</v>
      </c>
      <c r="C2649">
        <v>-2.9999999999999997E-4</v>
      </c>
    </row>
    <row r="2650" spans="1:3" x14ac:dyDescent="0.35">
      <c r="A2650">
        <v>53</v>
      </c>
      <c r="B2650">
        <v>2005</v>
      </c>
      <c r="C2650">
        <v>1.1000000000000001E-3</v>
      </c>
    </row>
    <row r="2651" spans="1:3" x14ac:dyDescent="0.35">
      <c r="A2651">
        <v>53</v>
      </c>
      <c r="B2651">
        <v>2006</v>
      </c>
      <c r="C2651">
        <v>3.2000000000000002E-3</v>
      </c>
    </row>
    <row r="2652" spans="1:3" x14ac:dyDescent="0.35">
      <c r="A2652">
        <v>53</v>
      </c>
      <c r="B2652">
        <v>2007</v>
      </c>
      <c r="C2652">
        <v>5.3E-3</v>
      </c>
    </row>
    <row r="2653" spans="1:3" x14ac:dyDescent="0.35">
      <c r="A2653">
        <v>53</v>
      </c>
      <c r="B2653">
        <v>2008</v>
      </c>
      <c r="C2653">
        <v>7.0000000000000001E-3</v>
      </c>
    </row>
    <row r="2654" spans="1:3" x14ac:dyDescent="0.35">
      <c r="A2654">
        <v>53</v>
      </c>
      <c r="B2654">
        <v>2009</v>
      </c>
      <c r="C2654">
        <v>8.0000000000000002E-3</v>
      </c>
    </row>
    <row r="2655" spans="1:3" x14ac:dyDescent="0.35">
      <c r="A2655">
        <v>53</v>
      </c>
      <c r="B2655">
        <v>2010</v>
      </c>
      <c r="C2655">
        <v>8.3999999999999995E-3</v>
      </c>
    </row>
    <row r="2656" spans="1:3" x14ac:dyDescent="0.35">
      <c r="A2656">
        <v>53</v>
      </c>
      <c r="B2656">
        <v>2011</v>
      </c>
      <c r="C2656">
        <v>8.0000000000000002E-3</v>
      </c>
    </row>
    <row r="2657" spans="1:3" x14ac:dyDescent="0.35">
      <c r="A2657">
        <v>53</v>
      </c>
      <c r="B2657">
        <v>2012</v>
      </c>
      <c r="C2657">
        <v>7.3000000000000001E-3</v>
      </c>
    </row>
    <row r="2658" spans="1:3" x14ac:dyDescent="0.35">
      <c r="A2658">
        <v>53</v>
      </c>
      <c r="B2658">
        <v>2013</v>
      </c>
      <c r="C2658">
        <v>8.6E-3</v>
      </c>
    </row>
    <row r="2659" spans="1:3" x14ac:dyDescent="0.35">
      <c r="A2659">
        <v>53</v>
      </c>
      <c r="B2659">
        <v>2014</v>
      </c>
      <c r="C2659">
        <v>0.01</v>
      </c>
    </row>
    <row r="2660" spans="1:3" x14ac:dyDescent="0.35">
      <c r="A2660">
        <v>53</v>
      </c>
      <c r="B2660">
        <v>2015</v>
      </c>
      <c r="C2660">
        <v>1.12E-2</v>
      </c>
    </row>
    <row r="2661" spans="1:3" x14ac:dyDescent="0.35">
      <c r="A2661">
        <v>53</v>
      </c>
      <c r="B2661">
        <v>2016</v>
      </c>
      <c r="C2661">
        <v>1.2200000000000001E-2</v>
      </c>
    </row>
    <row r="2662" spans="1:3" x14ac:dyDescent="0.35">
      <c r="A2662">
        <v>53</v>
      </c>
      <c r="B2662">
        <v>2017</v>
      </c>
      <c r="C2662">
        <v>1.29E-2</v>
      </c>
    </row>
    <row r="2663" spans="1:3" x14ac:dyDescent="0.35">
      <c r="A2663">
        <v>53</v>
      </c>
      <c r="B2663">
        <v>2018</v>
      </c>
      <c r="C2663">
        <v>1.3299999999999999E-2</v>
      </c>
    </row>
    <row r="2664" spans="1:3" x14ac:dyDescent="0.35">
      <c r="A2664">
        <v>53</v>
      </c>
      <c r="B2664">
        <v>2019</v>
      </c>
      <c r="C2664">
        <v>1.3299999999999999E-2</v>
      </c>
    </row>
    <row r="2665" spans="1:3" x14ac:dyDescent="0.35">
      <c r="A2665">
        <v>53</v>
      </c>
      <c r="B2665">
        <v>2020</v>
      </c>
      <c r="C2665">
        <v>1.2999999999999999E-2</v>
      </c>
    </row>
    <row r="2666" spans="1:3" x14ac:dyDescent="0.35">
      <c r="A2666">
        <v>53</v>
      </c>
      <c r="B2666">
        <v>2021</v>
      </c>
      <c r="C2666">
        <v>1.2500000000000001E-2</v>
      </c>
    </row>
    <row r="2667" spans="1:3" x14ac:dyDescent="0.35">
      <c r="A2667">
        <v>53</v>
      </c>
      <c r="B2667">
        <v>2022</v>
      </c>
      <c r="C2667">
        <v>1.18E-2</v>
      </c>
    </row>
    <row r="2668" spans="1:3" x14ac:dyDescent="0.35">
      <c r="A2668">
        <v>53</v>
      </c>
      <c r="B2668">
        <v>2023</v>
      </c>
      <c r="C2668">
        <v>1.0999999999999999E-2</v>
      </c>
    </row>
    <row r="2669" spans="1:3" x14ac:dyDescent="0.35">
      <c r="A2669">
        <v>53</v>
      </c>
      <c r="B2669">
        <v>2024</v>
      </c>
      <c r="C2669">
        <v>1.04E-2</v>
      </c>
    </row>
    <row r="2670" spans="1:3" x14ac:dyDescent="0.35">
      <c r="A2670">
        <v>53</v>
      </c>
      <c r="B2670">
        <v>2025</v>
      </c>
      <c r="C2670">
        <v>9.9000000000000008E-3</v>
      </c>
    </row>
    <row r="2671" spans="1:3" x14ac:dyDescent="0.35">
      <c r="A2671">
        <v>53</v>
      </c>
      <c r="B2671">
        <v>2026</v>
      </c>
      <c r="C2671">
        <v>9.4999999999999998E-3</v>
      </c>
    </row>
    <row r="2672" spans="1:3" x14ac:dyDescent="0.35">
      <c r="A2672">
        <v>53</v>
      </c>
      <c r="B2672">
        <v>2027</v>
      </c>
      <c r="C2672">
        <v>9.4000000000000004E-3</v>
      </c>
    </row>
    <row r="2673" spans="1:3" x14ac:dyDescent="0.35">
      <c r="A2673">
        <v>53</v>
      </c>
      <c r="B2673">
        <v>2028</v>
      </c>
      <c r="C2673">
        <v>9.4000000000000004E-3</v>
      </c>
    </row>
    <row r="2674" spans="1:3" x14ac:dyDescent="0.35">
      <c r="A2674">
        <v>53</v>
      </c>
      <c r="B2674">
        <v>2029</v>
      </c>
      <c r="C2674">
        <v>9.5999999999999992E-3</v>
      </c>
    </row>
    <row r="2675" spans="1:3" x14ac:dyDescent="0.35">
      <c r="A2675">
        <v>53</v>
      </c>
      <c r="B2675">
        <v>2030</v>
      </c>
      <c r="C2675">
        <v>9.7999999999999997E-3</v>
      </c>
    </row>
    <row r="2676" spans="1:3" x14ac:dyDescent="0.35">
      <c r="A2676">
        <v>53</v>
      </c>
      <c r="B2676">
        <v>2031</v>
      </c>
      <c r="C2676">
        <v>9.9000000000000008E-3</v>
      </c>
    </row>
    <row r="2677" spans="1:3" x14ac:dyDescent="0.35">
      <c r="A2677">
        <v>54</v>
      </c>
      <c r="B2677">
        <v>1951</v>
      </c>
      <c r="C2677">
        <v>1.6400000000000001E-2</v>
      </c>
    </row>
    <row r="2678" spans="1:3" x14ac:dyDescent="0.35">
      <c r="A2678">
        <v>54</v>
      </c>
      <c r="B2678">
        <v>1952</v>
      </c>
      <c r="C2678">
        <v>1.52E-2</v>
      </c>
    </row>
    <row r="2679" spans="1:3" x14ac:dyDescent="0.35">
      <c r="A2679">
        <v>54</v>
      </c>
      <c r="B2679">
        <v>1953</v>
      </c>
      <c r="C2679">
        <v>1.3899999999999999E-2</v>
      </c>
    </row>
    <row r="2680" spans="1:3" x14ac:dyDescent="0.35">
      <c r="A2680">
        <v>54</v>
      </c>
      <c r="B2680">
        <v>1954</v>
      </c>
      <c r="C2680">
        <v>1.2200000000000001E-2</v>
      </c>
    </row>
    <row r="2681" spans="1:3" x14ac:dyDescent="0.35">
      <c r="A2681">
        <v>54</v>
      </c>
      <c r="B2681">
        <v>1955</v>
      </c>
      <c r="C2681">
        <v>1.0200000000000001E-2</v>
      </c>
    </row>
    <row r="2682" spans="1:3" x14ac:dyDescent="0.35">
      <c r="A2682">
        <v>54</v>
      </c>
      <c r="B2682">
        <v>1956</v>
      </c>
      <c r="C2682">
        <v>8.0000000000000002E-3</v>
      </c>
    </row>
    <row r="2683" spans="1:3" x14ac:dyDescent="0.35">
      <c r="A2683">
        <v>54</v>
      </c>
      <c r="B2683">
        <v>1957</v>
      </c>
      <c r="C2683">
        <v>6.0000000000000001E-3</v>
      </c>
    </row>
    <row r="2684" spans="1:3" x14ac:dyDescent="0.35">
      <c r="A2684">
        <v>54</v>
      </c>
      <c r="B2684">
        <v>1958</v>
      </c>
      <c r="C2684">
        <v>4.1999999999999997E-3</v>
      </c>
    </row>
    <row r="2685" spans="1:3" x14ac:dyDescent="0.35">
      <c r="A2685">
        <v>54</v>
      </c>
      <c r="B2685">
        <v>1959</v>
      </c>
      <c r="C2685">
        <v>2.8E-3</v>
      </c>
    </row>
    <row r="2686" spans="1:3" x14ac:dyDescent="0.35">
      <c r="A2686">
        <v>54</v>
      </c>
      <c r="B2686">
        <v>1960</v>
      </c>
      <c r="C2686">
        <v>1.6000000000000001E-3</v>
      </c>
    </row>
    <row r="2687" spans="1:3" x14ac:dyDescent="0.35">
      <c r="A2687">
        <v>54</v>
      </c>
      <c r="B2687">
        <v>1961</v>
      </c>
      <c r="C2687">
        <v>5.0000000000000001E-4</v>
      </c>
    </row>
    <row r="2688" spans="1:3" x14ac:dyDescent="0.35">
      <c r="A2688">
        <v>54</v>
      </c>
      <c r="B2688">
        <v>1962</v>
      </c>
      <c r="C2688">
        <v>-5.0000000000000001E-4</v>
      </c>
    </row>
    <row r="2689" spans="1:3" x14ac:dyDescent="0.35">
      <c r="A2689">
        <v>54</v>
      </c>
      <c r="B2689">
        <v>1963</v>
      </c>
      <c r="C2689">
        <v>-1.2999999999999999E-3</v>
      </c>
    </row>
    <row r="2690" spans="1:3" x14ac:dyDescent="0.35">
      <c r="A2690">
        <v>54</v>
      </c>
      <c r="B2690">
        <v>1964</v>
      </c>
      <c r="C2690">
        <v>-1.5E-3</v>
      </c>
    </row>
    <row r="2691" spans="1:3" x14ac:dyDescent="0.35">
      <c r="A2691">
        <v>54</v>
      </c>
      <c r="B2691">
        <v>1965</v>
      </c>
      <c r="C2691">
        <v>-1.1999999999999999E-3</v>
      </c>
    </row>
    <row r="2692" spans="1:3" x14ac:dyDescent="0.35">
      <c r="A2692">
        <v>54</v>
      </c>
      <c r="B2692">
        <v>1966</v>
      </c>
      <c r="C2692">
        <v>-1E-4</v>
      </c>
    </row>
    <row r="2693" spans="1:3" x14ac:dyDescent="0.35">
      <c r="A2693">
        <v>54</v>
      </c>
      <c r="B2693">
        <v>1967</v>
      </c>
      <c r="C2693">
        <v>1.9E-3</v>
      </c>
    </row>
    <row r="2694" spans="1:3" x14ac:dyDescent="0.35">
      <c r="A2694">
        <v>54</v>
      </c>
      <c r="B2694">
        <v>1968</v>
      </c>
      <c r="C2694">
        <v>4.7000000000000002E-3</v>
      </c>
    </row>
    <row r="2695" spans="1:3" x14ac:dyDescent="0.35">
      <c r="A2695">
        <v>54</v>
      </c>
      <c r="B2695">
        <v>1969</v>
      </c>
      <c r="C2695">
        <v>8.2000000000000007E-3</v>
      </c>
    </row>
    <row r="2696" spans="1:3" x14ac:dyDescent="0.35">
      <c r="A2696">
        <v>54</v>
      </c>
      <c r="B2696">
        <v>1970</v>
      </c>
      <c r="C2696">
        <v>1.2200000000000001E-2</v>
      </c>
    </row>
    <row r="2697" spans="1:3" x14ac:dyDescent="0.35">
      <c r="A2697">
        <v>54</v>
      </c>
      <c r="B2697">
        <v>1971</v>
      </c>
      <c r="C2697">
        <v>1.6299999999999999E-2</v>
      </c>
    </row>
    <row r="2698" spans="1:3" x14ac:dyDescent="0.35">
      <c r="A2698">
        <v>54</v>
      </c>
      <c r="B2698">
        <v>1972</v>
      </c>
      <c r="C2698">
        <v>2.0199999999999999E-2</v>
      </c>
    </row>
    <row r="2699" spans="1:3" x14ac:dyDescent="0.35">
      <c r="A2699">
        <v>54</v>
      </c>
      <c r="B2699">
        <v>1973</v>
      </c>
      <c r="C2699">
        <v>2.3400000000000001E-2</v>
      </c>
    </row>
    <row r="2700" spans="1:3" x14ac:dyDescent="0.35">
      <c r="A2700">
        <v>54</v>
      </c>
      <c r="B2700">
        <v>1974</v>
      </c>
      <c r="C2700">
        <v>2.5700000000000001E-2</v>
      </c>
    </row>
    <row r="2701" spans="1:3" x14ac:dyDescent="0.35">
      <c r="A2701">
        <v>54</v>
      </c>
      <c r="B2701">
        <v>1975</v>
      </c>
      <c r="C2701">
        <v>2.69E-2</v>
      </c>
    </row>
    <row r="2702" spans="1:3" x14ac:dyDescent="0.35">
      <c r="A2702">
        <v>54</v>
      </c>
      <c r="B2702">
        <v>1976</v>
      </c>
      <c r="C2702">
        <v>2.7E-2</v>
      </c>
    </row>
    <row r="2703" spans="1:3" x14ac:dyDescent="0.35">
      <c r="A2703">
        <v>54</v>
      </c>
      <c r="B2703">
        <v>1977</v>
      </c>
      <c r="C2703">
        <v>2.6200000000000001E-2</v>
      </c>
    </row>
    <row r="2704" spans="1:3" x14ac:dyDescent="0.35">
      <c r="A2704">
        <v>54</v>
      </c>
      <c r="B2704">
        <v>1978</v>
      </c>
      <c r="C2704">
        <v>2.4799999999999999E-2</v>
      </c>
    </row>
    <row r="2705" spans="1:3" x14ac:dyDescent="0.35">
      <c r="A2705">
        <v>54</v>
      </c>
      <c r="B2705">
        <v>1979</v>
      </c>
      <c r="C2705">
        <v>2.3199999999999998E-2</v>
      </c>
    </row>
    <row r="2706" spans="1:3" x14ac:dyDescent="0.35">
      <c r="A2706">
        <v>54</v>
      </c>
      <c r="B2706">
        <v>1980</v>
      </c>
      <c r="C2706">
        <v>2.1600000000000001E-2</v>
      </c>
    </row>
    <row r="2707" spans="1:3" x14ac:dyDescent="0.35">
      <c r="A2707">
        <v>54</v>
      </c>
      <c r="B2707">
        <v>1981</v>
      </c>
      <c r="C2707">
        <v>2.0299999999999999E-2</v>
      </c>
    </row>
    <row r="2708" spans="1:3" x14ac:dyDescent="0.35">
      <c r="A2708">
        <v>54</v>
      </c>
      <c r="B2708">
        <v>1982</v>
      </c>
      <c r="C2708">
        <v>1.9300000000000001E-2</v>
      </c>
    </row>
    <row r="2709" spans="1:3" x14ac:dyDescent="0.35">
      <c r="A2709">
        <v>54</v>
      </c>
      <c r="B2709">
        <v>1983</v>
      </c>
      <c r="C2709">
        <v>1.8499999999999999E-2</v>
      </c>
    </row>
    <row r="2710" spans="1:3" x14ac:dyDescent="0.35">
      <c r="A2710">
        <v>54</v>
      </c>
      <c r="B2710">
        <v>1984</v>
      </c>
      <c r="C2710">
        <v>1.8100000000000002E-2</v>
      </c>
    </row>
    <row r="2711" spans="1:3" x14ac:dyDescent="0.35">
      <c r="A2711">
        <v>54</v>
      </c>
      <c r="B2711">
        <v>1985</v>
      </c>
      <c r="C2711">
        <v>1.7999999999999999E-2</v>
      </c>
    </row>
    <row r="2712" spans="1:3" x14ac:dyDescent="0.35">
      <c r="A2712">
        <v>54</v>
      </c>
      <c r="B2712">
        <v>1986</v>
      </c>
      <c r="C2712">
        <v>1.83E-2</v>
      </c>
    </row>
    <row r="2713" spans="1:3" x14ac:dyDescent="0.35">
      <c r="A2713">
        <v>54</v>
      </c>
      <c r="B2713">
        <v>1987</v>
      </c>
      <c r="C2713">
        <v>1.8700000000000001E-2</v>
      </c>
    </row>
    <row r="2714" spans="1:3" x14ac:dyDescent="0.35">
      <c r="A2714">
        <v>54</v>
      </c>
      <c r="B2714">
        <v>1988</v>
      </c>
      <c r="C2714">
        <v>1.9300000000000001E-2</v>
      </c>
    </row>
    <row r="2715" spans="1:3" x14ac:dyDescent="0.35">
      <c r="A2715">
        <v>54</v>
      </c>
      <c r="B2715">
        <v>1989</v>
      </c>
      <c r="C2715">
        <v>1.9699999999999999E-2</v>
      </c>
    </row>
    <row r="2716" spans="1:3" x14ac:dyDescent="0.35">
      <c r="A2716">
        <v>54</v>
      </c>
      <c r="B2716">
        <v>1990</v>
      </c>
      <c r="C2716">
        <v>0.02</v>
      </c>
    </row>
    <row r="2717" spans="1:3" x14ac:dyDescent="0.35">
      <c r="A2717">
        <v>54</v>
      </c>
      <c r="B2717">
        <v>1991</v>
      </c>
      <c r="C2717">
        <v>2.0199999999999999E-2</v>
      </c>
    </row>
    <row r="2718" spans="1:3" x14ac:dyDescent="0.35">
      <c r="A2718">
        <v>54</v>
      </c>
      <c r="B2718">
        <v>1992</v>
      </c>
      <c r="C2718">
        <v>2.0400000000000001E-2</v>
      </c>
    </row>
    <row r="2719" spans="1:3" x14ac:dyDescent="0.35">
      <c r="A2719">
        <v>54</v>
      </c>
      <c r="B2719">
        <v>1993</v>
      </c>
      <c r="C2719">
        <v>2.07E-2</v>
      </c>
    </row>
    <row r="2720" spans="1:3" x14ac:dyDescent="0.35">
      <c r="A2720">
        <v>54</v>
      </c>
      <c r="B2720">
        <v>1994</v>
      </c>
      <c r="C2720">
        <v>2.1100000000000001E-2</v>
      </c>
    </row>
    <row r="2721" spans="1:3" x14ac:dyDescent="0.35">
      <c r="A2721">
        <v>54</v>
      </c>
      <c r="B2721">
        <v>1995</v>
      </c>
      <c r="C2721">
        <v>2.12E-2</v>
      </c>
    </row>
    <row r="2722" spans="1:3" x14ac:dyDescent="0.35">
      <c r="A2722">
        <v>54</v>
      </c>
      <c r="B2722">
        <v>1996</v>
      </c>
      <c r="C2722">
        <v>2.0799999999999999E-2</v>
      </c>
    </row>
    <row r="2723" spans="1:3" x14ac:dyDescent="0.35">
      <c r="A2723">
        <v>54</v>
      </c>
      <c r="B2723">
        <v>1997</v>
      </c>
      <c r="C2723">
        <v>1.9199999999999998E-2</v>
      </c>
    </row>
    <row r="2724" spans="1:3" x14ac:dyDescent="0.35">
      <c r="A2724">
        <v>54</v>
      </c>
      <c r="B2724">
        <v>1998</v>
      </c>
      <c r="C2724">
        <v>1.6500000000000001E-2</v>
      </c>
    </row>
    <row r="2725" spans="1:3" x14ac:dyDescent="0.35">
      <c r="A2725">
        <v>54</v>
      </c>
      <c r="B2725">
        <v>1999</v>
      </c>
      <c r="C2725">
        <v>1.2999999999999999E-2</v>
      </c>
    </row>
    <row r="2726" spans="1:3" x14ac:dyDescent="0.35">
      <c r="A2726">
        <v>54</v>
      </c>
      <c r="B2726">
        <v>2000</v>
      </c>
      <c r="C2726">
        <v>9.1999999999999998E-3</v>
      </c>
    </row>
    <row r="2727" spans="1:3" x14ac:dyDescent="0.35">
      <c r="A2727">
        <v>54</v>
      </c>
      <c r="B2727">
        <v>2001</v>
      </c>
      <c r="C2727">
        <v>5.7999999999999996E-3</v>
      </c>
    </row>
    <row r="2728" spans="1:3" x14ac:dyDescent="0.35">
      <c r="A2728">
        <v>54</v>
      </c>
      <c r="B2728">
        <v>2002</v>
      </c>
      <c r="C2728">
        <v>3.2000000000000002E-3</v>
      </c>
    </row>
    <row r="2729" spans="1:3" x14ac:dyDescent="0.35">
      <c r="A2729">
        <v>54</v>
      </c>
      <c r="B2729">
        <v>2003</v>
      </c>
      <c r="C2729">
        <v>1.6999999999999999E-3</v>
      </c>
    </row>
    <row r="2730" spans="1:3" x14ac:dyDescent="0.35">
      <c r="A2730">
        <v>54</v>
      </c>
      <c r="B2730">
        <v>2004</v>
      </c>
      <c r="C2730">
        <v>1.4E-3</v>
      </c>
    </row>
    <row r="2731" spans="1:3" x14ac:dyDescent="0.35">
      <c r="A2731">
        <v>54</v>
      </c>
      <c r="B2731">
        <v>2005</v>
      </c>
      <c r="C2731">
        <v>1.9E-3</v>
      </c>
    </row>
    <row r="2732" spans="1:3" x14ac:dyDescent="0.35">
      <c r="A2732">
        <v>54</v>
      </c>
      <c r="B2732">
        <v>2006</v>
      </c>
      <c r="C2732">
        <v>3.0000000000000001E-3</v>
      </c>
    </row>
    <row r="2733" spans="1:3" x14ac:dyDescent="0.35">
      <c r="A2733">
        <v>54</v>
      </c>
      <c r="B2733">
        <v>2007</v>
      </c>
      <c r="C2733">
        <v>4.1999999999999997E-3</v>
      </c>
    </row>
    <row r="2734" spans="1:3" x14ac:dyDescent="0.35">
      <c r="A2734">
        <v>54</v>
      </c>
      <c r="B2734">
        <v>2008</v>
      </c>
      <c r="C2734">
        <v>5.1999999999999998E-3</v>
      </c>
    </row>
    <row r="2735" spans="1:3" x14ac:dyDescent="0.35">
      <c r="A2735">
        <v>54</v>
      </c>
      <c r="B2735">
        <v>2009</v>
      </c>
      <c r="C2735">
        <v>5.7999999999999996E-3</v>
      </c>
    </row>
    <row r="2736" spans="1:3" x14ac:dyDescent="0.35">
      <c r="A2736">
        <v>54</v>
      </c>
      <c r="B2736">
        <v>2010</v>
      </c>
      <c r="C2736">
        <v>5.8999999999999999E-3</v>
      </c>
    </row>
    <row r="2737" spans="1:3" x14ac:dyDescent="0.35">
      <c r="A2737">
        <v>54</v>
      </c>
      <c r="B2737">
        <v>2011</v>
      </c>
      <c r="C2737">
        <v>5.4000000000000003E-3</v>
      </c>
    </row>
    <row r="2738" spans="1:3" x14ac:dyDescent="0.35">
      <c r="A2738">
        <v>54</v>
      </c>
      <c r="B2738">
        <v>2012</v>
      </c>
      <c r="C2738">
        <v>4.7000000000000002E-3</v>
      </c>
    </row>
    <row r="2739" spans="1:3" x14ac:dyDescent="0.35">
      <c r="A2739">
        <v>54</v>
      </c>
      <c r="B2739">
        <v>2013</v>
      </c>
      <c r="C2739">
        <v>6.1000000000000004E-3</v>
      </c>
    </row>
    <row r="2740" spans="1:3" x14ac:dyDescent="0.35">
      <c r="A2740">
        <v>54</v>
      </c>
      <c r="B2740">
        <v>2014</v>
      </c>
      <c r="C2740">
        <v>7.6E-3</v>
      </c>
    </row>
    <row r="2741" spans="1:3" x14ac:dyDescent="0.35">
      <c r="A2741">
        <v>54</v>
      </c>
      <c r="B2741">
        <v>2015</v>
      </c>
      <c r="C2741">
        <v>9.1000000000000004E-3</v>
      </c>
    </row>
    <row r="2742" spans="1:3" x14ac:dyDescent="0.35">
      <c r="A2742">
        <v>54</v>
      </c>
      <c r="B2742">
        <v>2016</v>
      </c>
      <c r="C2742">
        <v>1.04E-2</v>
      </c>
    </row>
    <row r="2743" spans="1:3" x14ac:dyDescent="0.35">
      <c r="A2743">
        <v>54</v>
      </c>
      <c r="B2743">
        <v>2017</v>
      </c>
      <c r="C2743">
        <v>1.1599999999999999E-2</v>
      </c>
    </row>
    <row r="2744" spans="1:3" x14ac:dyDescent="0.35">
      <c r="A2744">
        <v>54</v>
      </c>
      <c r="B2744">
        <v>2018</v>
      </c>
      <c r="C2744">
        <v>1.24E-2</v>
      </c>
    </row>
    <row r="2745" spans="1:3" x14ac:dyDescent="0.35">
      <c r="A2745">
        <v>54</v>
      </c>
      <c r="B2745">
        <v>2019</v>
      </c>
      <c r="C2745">
        <v>1.2800000000000001E-2</v>
      </c>
    </row>
    <row r="2746" spans="1:3" x14ac:dyDescent="0.35">
      <c r="A2746">
        <v>54</v>
      </c>
      <c r="B2746">
        <v>2020</v>
      </c>
      <c r="C2746">
        <v>1.2999999999999999E-2</v>
      </c>
    </row>
    <row r="2747" spans="1:3" x14ac:dyDescent="0.35">
      <c r="A2747">
        <v>54</v>
      </c>
      <c r="B2747">
        <v>2021</v>
      </c>
      <c r="C2747">
        <v>1.2699999999999999E-2</v>
      </c>
    </row>
    <row r="2748" spans="1:3" x14ac:dyDescent="0.35">
      <c r="A2748">
        <v>54</v>
      </c>
      <c r="B2748">
        <v>2022</v>
      </c>
      <c r="C2748">
        <v>1.2200000000000001E-2</v>
      </c>
    </row>
    <row r="2749" spans="1:3" x14ac:dyDescent="0.35">
      <c r="A2749">
        <v>54</v>
      </c>
      <c r="B2749">
        <v>2023</v>
      </c>
      <c r="C2749">
        <v>1.15E-2</v>
      </c>
    </row>
    <row r="2750" spans="1:3" x14ac:dyDescent="0.35">
      <c r="A2750">
        <v>54</v>
      </c>
      <c r="B2750">
        <v>2024</v>
      </c>
      <c r="C2750">
        <v>1.09E-2</v>
      </c>
    </row>
    <row r="2751" spans="1:3" x14ac:dyDescent="0.35">
      <c r="A2751">
        <v>54</v>
      </c>
      <c r="B2751">
        <v>2025</v>
      </c>
      <c r="C2751">
        <v>1.03E-2</v>
      </c>
    </row>
    <row r="2752" spans="1:3" x14ac:dyDescent="0.35">
      <c r="A2752">
        <v>54</v>
      </c>
      <c r="B2752">
        <v>2026</v>
      </c>
      <c r="C2752">
        <v>9.9000000000000008E-3</v>
      </c>
    </row>
    <row r="2753" spans="1:3" x14ac:dyDescent="0.35">
      <c r="A2753">
        <v>54</v>
      </c>
      <c r="B2753">
        <v>2027</v>
      </c>
      <c r="C2753">
        <v>9.7000000000000003E-3</v>
      </c>
    </row>
    <row r="2754" spans="1:3" x14ac:dyDescent="0.35">
      <c r="A2754">
        <v>54</v>
      </c>
      <c r="B2754">
        <v>2028</v>
      </c>
      <c r="C2754">
        <v>9.5999999999999992E-3</v>
      </c>
    </row>
    <row r="2755" spans="1:3" x14ac:dyDescent="0.35">
      <c r="A2755">
        <v>54</v>
      </c>
      <c r="B2755">
        <v>2029</v>
      </c>
      <c r="C2755">
        <v>9.7000000000000003E-3</v>
      </c>
    </row>
    <row r="2756" spans="1:3" x14ac:dyDescent="0.35">
      <c r="A2756">
        <v>54</v>
      </c>
      <c r="B2756">
        <v>2030</v>
      </c>
      <c r="C2756">
        <v>9.7999999999999997E-3</v>
      </c>
    </row>
    <row r="2757" spans="1:3" x14ac:dyDescent="0.35">
      <c r="A2757">
        <v>54</v>
      </c>
      <c r="B2757">
        <v>2031</v>
      </c>
      <c r="C2757">
        <v>9.9000000000000008E-3</v>
      </c>
    </row>
    <row r="2758" spans="1:3" x14ac:dyDescent="0.35">
      <c r="A2758">
        <v>55</v>
      </c>
      <c r="B2758">
        <v>1951</v>
      </c>
      <c r="C2758">
        <v>1.61E-2</v>
      </c>
    </row>
    <row r="2759" spans="1:3" x14ac:dyDescent="0.35">
      <c r="A2759">
        <v>55</v>
      </c>
      <c r="B2759">
        <v>1952</v>
      </c>
      <c r="C2759">
        <v>1.4800000000000001E-2</v>
      </c>
    </row>
    <row r="2760" spans="1:3" x14ac:dyDescent="0.35">
      <c r="A2760">
        <v>55</v>
      </c>
      <c r="B2760">
        <v>1953</v>
      </c>
      <c r="C2760">
        <v>1.34E-2</v>
      </c>
    </row>
    <row r="2761" spans="1:3" x14ac:dyDescent="0.35">
      <c r="A2761">
        <v>55</v>
      </c>
      <c r="B2761">
        <v>1954</v>
      </c>
      <c r="C2761">
        <v>1.17E-2</v>
      </c>
    </row>
    <row r="2762" spans="1:3" x14ac:dyDescent="0.35">
      <c r="A2762">
        <v>55</v>
      </c>
      <c r="B2762">
        <v>1955</v>
      </c>
      <c r="C2762">
        <v>9.7000000000000003E-3</v>
      </c>
    </row>
    <row r="2763" spans="1:3" x14ac:dyDescent="0.35">
      <c r="A2763">
        <v>55</v>
      </c>
      <c r="B2763">
        <v>1956</v>
      </c>
      <c r="C2763">
        <v>7.4999999999999997E-3</v>
      </c>
    </row>
    <row r="2764" spans="1:3" x14ac:dyDescent="0.35">
      <c r="A2764">
        <v>55</v>
      </c>
      <c r="B2764">
        <v>1957</v>
      </c>
      <c r="C2764">
        <v>5.5999999999999999E-3</v>
      </c>
    </row>
    <row r="2765" spans="1:3" x14ac:dyDescent="0.35">
      <c r="A2765">
        <v>55</v>
      </c>
      <c r="B2765">
        <v>1958</v>
      </c>
      <c r="C2765">
        <v>4.0000000000000001E-3</v>
      </c>
    </row>
    <row r="2766" spans="1:3" x14ac:dyDescent="0.35">
      <c r="A2766">
        <v>55</v>
      </c>
      <c r="B2766">
        <v>1959</v>
      </c>
      <c r="C2766">
        <v>2.5999999999999999E-3</v>
      </c>
    </row>
    <row r="2767" spans="1:3" x14ac:dyDescent="0.35">
      <c r="A2767">
        <v>55</v>
      </c>
      <c r="B2767">
        <v>1960</v>
      </c>
      <c r="C2767">
        <v>1.4E-3</v>
      </c>
    </row>
    <row r="2768" spans="1:3" x14ac:dyDescent="0.35">
      <c r="A2768">
        <v>55</v>
      </c>
      <c r="B2768">
        <v>1961</v>
      </c>
      <c r="C2768">
        <v>2.9999999999999997E-4</v>
      </c>
    </row>
    <row r="2769" spans="1:3" x14ac:dyDescent="0.35">
      <c r="A2769">
        <v>55</v>
      </c>
      <c r="B2769">
        <v>1962</v>
      </c>
      <c r="C2769">
        <v>-8.0000000000000004E-4</v>
      </c>
    </row>
    <row r="2770" spans="1:3" x14ac:dyDescent="0.35">
      <c r="A2770">
        <v>55</v>
      </c>
      <c r="B2770">
        <v>1963</v>
      </c>
      <c r="C2770">
        <v>-1.5E-3</v>
      </c>
    </row>
    <row r="2771" spans="1:3" x14ac:dyDescent="0.35">
      <c r="A2771">
        <v>55</v>
      </c>
      <c r="B2771">
        <v>1964</v>
      </c>
      <c r="C2771">
        <v>-1.8E-3</v>
      </c>
    </row>
    <row r="2772" spans="1:3" x14ac:dyDescent="0.35">
      <c r="A2772">
        <v>55</v>
      </c>
      <c r="B2772">
        <v>1965</v>
      </c>
      <c r="C2772">
        <v>-1.6000000000000001E-3</v>
      </c>
    </row>
    <row r="2773" spans="1:3" x14ac:dyDescent="0.35">
      <c r="A2773">
        <v>55</v>
      </c>
      <c r="B2773">
        <v>1966</v>
      </c>
      <c r="C2773">
        <v>-5.9999999999999995E-4</v>
      </c>
    </row>
    <row r="2774" spans="1:3" x14ac:dyDescent="0.35">
      <c r="A2774">
        <v>55</v>
      </c>
      <c r="B2774">
        <v>1967</v>
      </c>
      <c r="C2774">
        <v>1.4E-3</v>
      </c>
    </row>
    <row r="2775" spans="1:3" x14ac:dyDescent="0.35">
      <c r="A2775">
        <v>55</v>
      </c>
      <c r="B2775">
        <v>1968</v>
      </c>
      <c r="C2775">
        <v>4.1999999999999997E-3</v>
      </c>
    </row>
    <row r="2776" spans="1:3" x14ac:dyDescent="0.35">
      <c r="A2776">
        <v>55</v>
      </c>
      <c r="B2776">
        <v>1969</v>
      </c>
      <c r="C2776">
        <v>7.9000000000000008E-3</v>
      </c>
    </row>
    <row r="2777" spans="1:3" x14ac:dyDescent="0.35">
      <c r="A2777">
        <v>55</v>
      </c>
      <c r="B2777">
        <v>1970</v>
      </c>
      <c r="C2777">
        <v>1.2E-2</v>
      </c>
    </row>
    <row r="2778" spans="1:3" x14ac:dyDescent="0.35">
      <c r="A2778">
        <v>55</v>
      </c>
      <c r="B2778">
        <v>1971</v>
      </c>
      <c r="C2778">
        <v>1.6299999999999999E-2</v>
      </c>
    </row>
    <row r="2779" spans="1:3" x14ac:dyDescent="0.35">
      <c r="A2779">
        <v>55</v>
      </c>
      <c r="B2779">
        <v>1972</v>
      </c>
      <c r="C2779">
        <v>2.0299999999999999E-2</v>
      </c>
    </row>
    <row r="2780" spans="1:3" x14ac:dyDescent="0.35">
      <c r="A2780">
        <v>55</v>
      </c>
      <c r="B2780">
        <v>1973</v>
      </c>
      <c r="C2780">
        <v>2.3699999999999999E-2</v>
      </c>
    </row>
    <row r="2781" spans="1:3" x14ac:dyDescent="0.35">
      <c r="A2781">
        <v>55</v>
      </c>
      <c r="B2781">
        <v>1974</v>
      </c>
      <c r="C2781">
        <v>2.6200000000000001E-2</v>
      </c>
    </row>
    <row r="2782" spans="1:3" x14ac:dyDescent="0.35">
      <c r="A2782">
        <v>55</v>
      </c>
      <c r="B2782">
        <v>1975</v>
      </c>
      <c r="C2782">
        <v>2.7400000000000001E-2</v>
      </c>
    </row>
    <row r="2783" spans="1:3" x14ac:dyDescent="0.35">
      <c r="A2783">
        <v>55</v>
      </c>
      <c r="B2783">
        <v>1976</v>
      </c>
      <c r="C2783">
        <v>2.7400000000000001E-2</v>
      </c>
    </row>
    <row r="2784" spans="1:3" x14ac:dyDescent="0.35">
      <c r="A2784">
        <v>55</v>
      </c>
      <c r="B2784">
        <v>1977</v>
      </c>
      <c r="C2784">
        <v>2.64E-2</v>
      </c>
    </row>
    <row r="2785" spans="1:3" x14ac:dyDescent="0.35">
      <c r="A2785">
        <v>55</v>
      </c>
      <c r="B2785">
        <v>1978</v>
      </c>
      <c r="C2785">
        <v>2.47E-2</v>
      </c>
    </row>
    <row r="2786" spans="1:3" x14ac:dyDescent="0.35">
      <c r="A2786">
        <v>55</v>
      </c>
      <c r="B2786">
        <v>1979</v>
      </c>
      <c r="C2786">
        <v>2.2599999999999999E-2</v>
      </c>
    </row>
    <row r="2787" spans="1:3" x14ac:dyDescent="0.35">
      <c r="A2787">
        <v>55</v>
      </c>
      <c r="B2787">
        <v>1980</v>
      </c>
      <c r="C2787">
        <v>2.06E-2</v>
      </c>
    </row>
    <row r="2788" spans="1:3" x14ac:dyDescent="0.35">
      <c r="A2788">
        <v>55</v>
      </c>
      <c r="B2788">
        <v>1981</v>
      </c>
      <c r="C2788">
        <v>1.9099999999999999E-2</v>
      </c>
    </row>
    <row r="2789" spans="1:3" x14ac:dyDescent="0.35">
      <c r="A2789">
        <v>55</v>
      </c>
      <c r="B2789">
        <v>1982</v>
      </c>
      <c r="C2789">
        <v>1.7899999999999999E-2</v>
      </c>
    </row>
    <row r="2790" spans="1:3" x14ac:dyDescent="0.35">
      <c r="A2790">
        <v>55</v>
      </c>
      <c r="B2790">
        <v>1983</v>
      </c>
      <c r="C2790">
        <v>1.7299999999999999E-2</v>
      </c>
    </row>
    <row r="2791" spans="1:3" x14ac:dyDescent="0.35">
      <c r="A2791">
        <v>55</v>
      </c>
      <c r="B2791">
        <v>1984</v>
      </c>
      <c r="C2791">
        <v>1.7100000000000001E-2</v>
      </c>
    </row>
    <row r="2792" spans="1:3" x14ac:dyDescent="0.35">
      <c r="A2792">
        <v>55</v>
      </c>
      <c r="B2792">
        <v>1985</v>
      </c>
      <c r="C2792">
        <v>1.7399999999999999E-2</v>
      </c>
    </row>
    <row r="2793" spans="1:3" x14ac:dyDescent="0.35">
      <c r="A2793">
        <v>55</v>
      </c>
      <c r="B2793">
        <v>1986</v>
      </c>
      <c r="C2793">
        <v>1.7899999999999999E-2</v>
      </c>
    </row>
    <row r="2794" spans="1:3" x14ac:dyDescent="0.35">
      <c r="A2794">
        <v>55</v>
      </c>
      <c r="B2794">
        <v>1987</v>
      </c>
      <c r="C2794">
        <v>1.8599999999999998E-2</v>
      </c>
    </row>
    <row r="2795" spans="1:3" x14ac:dyDescent="0.35">
      <c r="A2795">
        <v>55</v>
      </c>
      <c r="B2795">
        <v>1988</v>
      </c>
      <c r="C2795">
        <v>1.9300000000000001E-2</v>
      </c>
    </row>
    <row r="2796" spans="1:3" x14ac:dyDescent="0.35">
      <c r="A2796">
        <v>55</v>
      </c>
      <c r="B2796">
        <v>1989</v>
      </c>
      <c r="C2796">
        <v>1.9900000000000001E-2</v>
      </c>
    </row>
    <row r="2797" spans="1:3" x14ac:dyDescent="0.35">
      <c r="A2797">
        <v>55</v>
      </c>
      <c r="B2797">
        <v>1990</v>
      </c>
      <c r="C2797">
        <v>2.0500000000000001E-2</v>
      </c>
    </row>
    <row r="2798" spans="1:3" x14ac:dyDescent="0.35">
      <c r="A2798">
        <v>55</v>
      </c>
      <c r="B2798">
        <v>1991</v>
      </c>
      <c r="C2798">
        <v>2.0899999999999998E-2</v>
      </c>
    </row>
    <row r="2799" spans="1:3" x14ac:dyDescent="0.35">
      <c r="A2799">
        <v>55</v>
      </c>
      <c r="B2799">
        <v>1992</v>
      </c>
      <c r="C2799">
        <v>2.12E-2</v>
      </c>
    </row>
    <row r="2800" spans="1:3" x14ac:dyDescent="0.35">
      <c r="A2800">
        <v>55</v>
      </c>
      <c r="B2800">
        <v>1993</v>
      </c>
      <c r="C2800">
        <v>2.1600000000000001E-2</v>
      </c>
    </row>
    <row r="2801" spans="1:3" x14ac:dyDescent="0.35">
      <c r="A2801">
        <v>55</v>
      </c>
      <c r="B2801">
        <v>1994</v>
      </c>
      <c r="C2801">
        <v>2.1999999999999999E-2</v>
      </c>
    </row>
    <row r="2802" spans="1:3" x14ac:dyDescent="0.35">
      <c r="A2802">
        <v>55</v>
      </c>
      <c r="B2802">
        <v>1995</v>
      </c>
      <c r="C2802">
        <v>2.1999999999999999E-2</v>
      </c>
    </row>
    <row r="2803" spans="1:3" x14ac:dyDescent="0.35">
      <c r="A2803">
        <v>55</v>
      </c>
      <c r="B2803">
        <v>1996</v>
      </c>
      <c r="C2803">
        <v>2.1499999999999998E-2</v>
      </c>
    </row>
    <row r="2804" spans="1:3" x14ac:dyDescent="0.35">
      <c r="A2804">
        <v>55</v>
      </c>
      <c r="B2804">
        <v>1997</v>
      </c>
      <c r="C2804">
        <v>0.02</v>
      </c>
    </row>
    <row r="2805" spans="1:3" x14ac:dyDescent="0.35">
      <c r="A2805">
        <v>55</v>
      </c>
      <c r="B2805">
        <v>1998</v>
      </c>
      <c r="C2805">
        <v>1.77E-2</v>
      </c>
    </row>
    <row r="2806" spans="1:3" x14ac:dyDescent="0.35">
      <c r="A2806">
        <v>55</v>
      </c>
      <c r="B2806">
        <v>1999</v>
      </c>
      <c r="C2806">
        <v>1.47E-2</v>
      </c>
    </row>
    <row r="2807" spans="1:3" x14ac:dyDescent="0.35">
      <c r="A2807">
        <v>55</v>
      </c>
      <c r="B2807">
        <v>2000</v>
      </c>
      <c r="C2807">
        <v>1.1599999999999999E-2</v>
      </c>
    </row>
    <row r="2808" spans="1:3" x14ac:dyDescent="0.35">
      <c r="A2808">
        <v>55</v>
      </c>
      <c r="B2808">
        <v>2001</v>
      </c>
      <c r="C2808">
        <v>8.6E-3</v>
      </c>
    </row>
    <row r="2809" spans="1:3" x14ac:dyDescent="0.35">
      <c r="A2809">
        <v>55</v>
      </c>
      <c r="B2809">
        <v>2002</v>
      </c>
      <c r="C2809">
        <v>6.3E-3</v>
      </c>
    </row>
    <row r="2810" spans="1:3" x14ac:dyDescent="0.35">
      <c r="A2810">
        <v>55</v>
      </c>
      <c r="B2810">
        <v>2003</v>
      </c>
      <c r="C2810">
        <v>4.5999999999999999E-3</v>
      </c>
    </row>
    <row r="2811" spans="1:3" x14ac:dyDescent="0.35">
      <c r="A2811">
        <v>55</v>
      </c>
      <c r="B2811">
        <v>2004</v>
      </c>
      <c r="C2811">
        <v>3.8E-3</v>
      </c>
    </row>
    <row r="2812" spans="1:3" x14ac:dyDescent="0.35">
      <c r="A2812">
        <v>55</v>
      </c>
      <c r="B2812">
        <v>2005</v>
      </c>
      <c r="C2812">
        <v>3.3999999999999998E-3</v>
      </c>
    </row>
    <row r="2813" spans="1:3" x14ac:dyDescent="0.35">
      <c r="A2813">
        <v>55</v>
      </c>
      <c r="B2813">
        <v>2006</v>
      </c>
      <c r="C2813">
        <v>3.5999999999999999E-3</v>
      </c>
    </row>
    <row r="2814" spans="1:3" x14ac:dyDescent="0.35">
      <c r="A2814">
        <v>55</v>
      </c>
      <c r="B2814">
        <v>2007</v>
      </c>
      <c r="C2814">
        <v>3.8E-3</v>
      </c>
    </row>
    <row r="2815" spans="1:3" x14ac:dyDescent="0.35">
      <c r="A2815">
        <v>55</v>
      </c>
      <c r="B2815">
        <v>2008</v>
      </c>
      <c r="C2815">
        <v>4.1000000000000003E-3</v>
      </c>
    </row>
    <row r="2816" spans="1:3" x14ac:dyDescent="0.35">
      <c r="A2816">
        <v>55</v>
      </c>
      <c r="B2816">
        <v>2009</v>
      </c>
      <c r="C2816">
        <v>4.1000000000000003E-3</v>
      </c>
    </row>
    <row r="2817" spans="1:3" x14ac:dyDescent="0.35">
      <c r="A2817">
        <v>55</v>
      </c>
      <c r="B2817">
        <v>2010</v>
      </c>
      <c r="C2817">
        <v>3.8E-3</v>
      </c>
    </row>
    <row r="2818" spans="1:3" x14ac:dyDescent="0.35">
      <c r="A2818">
        <v>55</v>
      </c>
      <c r="B2818">
        <v>2011</v>
      </c>
      <c r="C2818">
        <v>3.0999999999999999E-3</v>
      </c>
    </row>
    <row r="2819" spans="1:3" x14ac:dyDescent="0.35">
      <c r="A2819">
        <v>55</v>
      </c>
      <c r="B2819">
        <v>2012</v>
      </c>
      <c r="C2819">
        <v>2.2000000000000001E-3</v>
      </c>
    </row>
    <row r="2820" spans="1:3" x14ac:dyDescent="0.35">
      <c r="A2820">
        <v>55</v>
      </c>
      <c r="B2820">
        <v>2013</v>
      </c>
      <c r="C2820">
        <v>3.5999999999999999E-3</v>
      </c>
    </row>
    <row r="2821" spans="1:3" x14ac:dyDescent="0.35">
      <c r="A2821">
        <v>55</v>
      </c>
      <c r="B2821">
        <v>2014</v>
      </c>
      <c r="C2821">
        <v>5.1999999999999998E-3</v>
      </c>
    </row>
    <row r="2822" spans="1:3" x14ac:dyDescent="0.35">
      <c r="A2822">
        <v>55</v>
      </c>
      <c r="B2822">
        <v>2015</v>
      </c>
      <c r="C2822">
        <v>6.8999999999999999E-3</v>
      </c>
    </row>
    <row r="2823" spans="1:3" x14ac:dyDescent="0.35">
      <c r="A2823">
        <v>55</v>
      </c>
      <c r="B2823">
        <v>2016</v>
      </c>
      <c r="C2823">
        <v>8.6E-3</v>
      </c>
    </row>
    <row r="2824" spans="1:3" x14ac:dyDescent="0.35">
      <c r="A2824">
        <v>55</v>
      </c>
      <c r="B2824">
        <v>2017</v>
      </c>
      <c r="C2824">
        <v>1.01E-2</v>
      </c>
    </row>
    <row r="2825" spans="1:3" x14ac:dyDescent="0.35">
      <c r="A2825">
        <v>55</v>
      </c>
      <c r="B2825">
        <v>2018</v>
      </c>
      <c r="C2825">
        <v>1.1299999999999999E-2</v>
      </c>
    </row>
    <row r="2826" spans="1:3" x14ac:dyDescent="0.35">
      <c r="A2826">
        <v>55</v>
      </c>
      <c r="B2826">
        <v>2019</v>
      </c>
      <c r="C2826">
        <v>1.2200000000000001E-2</v>
      </c>
    </row>
    <row r="2827" spans="1:3" x14ac:dyDescent="0.35">
      <c r="A2827">
        <v>55</v>
      </c>
      <c r="B2827">
        <v>2020</v>
      </c>
      <c r="C2827">
        <v>1.2699999999999999E-2</v>
      </c>
    </row>
    <row r="2828" spans="1:3" x14ac:dyDescent="0.35">
      <c r="A2828">
        <v>55</v>
      </c>
      <c r="B2828">
        <v>2021</v>
      </c>
      <c r="C2828">
        <v>1.2800000000000001E-2</v>
      </c>
    </row>
    <row r="2829" spans="1:3" x14ac:dyDescent="0.35">
      <c r="A2829">
        <v>55</v>
      </c>
      <c r="B2829">
        <v>2022</v>
      </c>
      <c r="C2829">
        <v>1.24E-2</v>
      </c>
    </row>
    <row r="2830" spans="1:3" x14ac:dyDescent="0.35">
      <c r="A2830">
        <v>55</v>
      </c>
      <c r="B2830">
        <v>2023</v>
      </c>
      <c r="C2830">
        <v>1.1900000000000001E-2</v>
      </c>
    </row>
    <row r="2831" spans="1:3" x14ac:dyDescent="0.35">
      <c r="A2831">
        <v>55</v>
      </c>
      <c r="B2831">
        <v>2024</v>
      </c>
      <c r="C2831">
        <v>1.1299999999999999E-2</v>
      </c>
    </row>
    <row r="2832" spans="1:3" x14ac:dyDescent="0.35">
      <c r="A2832">
        <v>55</v>
      </c>
      <c r="B2832">
        <v>2025</v>
      </c>
      <c r="C2832">
        <v>1.0699999999999999E-2</v>
      </c>
    </row>
    <row r="2833" spans="1:3" x14ac:dyDescent="0.35">
      <c r="A2833">
        <v>55</v>
      </c>
      <c r="B2833">
        <v>2026</v>
      </c>
      <c r="C2833">
        <v>1.0200000000000001E-2</v>
      </c>
    </row>
    <row r="2834" spans="1:3" x14ac:dyDescent="0.35">
      <c r="A2834">
        <v>55</v>
      </c>
      <c r="B2834">
        <v>2027</v>
      </c>
      <c r="C2834">
        <v>9.9000000000000008E-3</v>
      </c>
    </row>
    <row r="2835" spans="1:3" x14ac:dyDescent="0.35">
      <c r="A2835">
        <v>55</v>
      </c>
      <c r="B2835">
        <v>2028</v>
      </c>
      <c r="C2835">
        <v>9.7999999999999997E-3</v>
      </c>
    </row>
    <row r="2836" spans="1:3" x14ac:dyDescent="0.35">
      <c r="A2836">
        <v>55</v>
      </c>
      <c r="B2836">
        <v>2029</v>
      </c>
      <c r="C2836">
        <v>9.7999999999999997E-3</v>
      </c>
    </row>
    <row r="2837" spans="1:3" x14ac:dyDescent="0.35">
      <c r="A2837">
        <v>55</v>
      </c>
      <c r="B2837">
        <v>2030</v>
      </c>
      <c r="C2837">
        <v>9.7999999999999997E-3</v>
      </c>
    </row>
    <row r="2838" spans="1:3" x14ac:dyDescent="0.35">
      <c r="A2838">
        <v>55</v>
      </c>
      <c r="B2838">
        <v>2031</v>
      </c>
      <c r="C2838">
        <v>0.01</v>
      </c>
    </row>
    <row r="2839" spans="1:3" x14ac:dyDescent="0.35">
      <c r="A2839">
        <v>56</v>
      </c>
      <c r="B2839">
        <v>1951</v>
      </c>
      <c r="C2839">
        <v>1.5699999999999999E-2</v>
      </c>
    </row>
    <row r="2840" spans="1:3" x14ac:dyDescent="0.35">
      <c r="A2840">
        <v>56</v>
      </c>
      <c r="B2840">
        <v>1952</v>
      </c>
      <c r="C2840">
        <v>1.43E-2</v>
      </c>
    </row>
    <row r="2841" spans="1:3" x14ac:dyDescent="0.35">
      <c r="A2841">
        <v>56</v>
      </c>
      <c r="B2841">
        <v>1953</v>
      </c>
      <c r="C2841">
        <v>1.2800000000000001E-2</v>
      </c>
    </row>
    <row r="2842" spans="1:3" x14ac:dyDescent="0.35">
      <c r="A2842">
        <v>56</v>
      </c>
      <c r="B2842">
        <v>1954</v>
      </c>
      <c r="C2842">
        <v>1.0999999999999999E-2</v>
      </c>
    </row>
    <row r="2843" spans="1:3" x14ac:dyDescent="0.35">
      <c r="A2843">
        <v>56</v>
      </c>
      <c r="B2843">
        <v>1955</v>
      </c>
      <c r="C2843">
        <v>8.9999999999999993E-3</v>
      </c>
    </row>
    <row r="2844" spans="1:3" x14ac:dyDescent="0.35">
      <c r="A2844">
        <v>56</v>
      </c>
      <c r="B2844">
        <v>1956</v>
      </c>
      <c r="C2844">
        <v>7.0000000000000001E-3</v>
      </c>
    </row>
    <row r="2845" spans="1:3" x14ac:dyDescent="0.35">
      <c r="A2845">
        <v>56</v>
      </c>
      <c r="B2845">
        <v>1957</v>
      </c>
      <c r="C2845">
        <v>5.1000000000000004E-3</v>
      </c>
    </row>
    <row r="2846" spans="1:3" x14ac:dyDescent="0.35">
      <c r="A2846">
        <v>56</v>
      </c>
      <c r="B2846">
        <v>1958</v>
      </c>
      <c r="C2846">
        <v>3.5999999999999999E-3</v>
      </c>
    </row>
    <row r="2847" spans="1:3" x14ac:dyDescent="0.35">
      <c r="A2847">
        <v>56</v>
      </c>
      <c r="B2847">
        <v>1959</v>
      </c>
      <c r="C2847">
        <v>2.2000000000000001E-3</v>
      </c>
    </row>
    <row r="2848" spans="1:3" x14ac:dyDescent="0.35">
      <c r="A2848">
        <v>56</v>
      </c>
      <c r="B2848">
        <v>1960</v>
      </c>
      <c r="C2848">
        <v>1.1000000000000001E-3</v>
      </c>
    </row>
    <row r="2849" spans="1:3" x14ac:dyDescent="0.35">
      <c r="A2849">
        <v>56</v>
      </c>
      <c r="B2849">
        <v>1961</v>
      </c>
      <c r="C2849">
        <v>-1E-4</v>
      </c>
    </row>
    <row r="2850" spans="1:3" x14ac:dyDescent="0.35">
      <c r="A2850">
        <v>56</v>
      </c>
      <c r="B2850">
        <v>1962</v>
      </c>
      <c r="C2850">
        <v>-1.1000000000000001E-3</v>
      </c>
    </row>
    <row r="2851" spans="1:3" x14ac:dyDescent="0.35">
      <c r="A2851">
        <v>56</v>
      </c>
      <c r="B2851">
        <v>1963</v>
      </c>
      <c r="C2851">
        <v>-1.9E-3</v>
      </c>
    </row>
    <row r="2852" spans="1:3" x14ac:dyDescent="0.35">
      <c r="A2852">
        <v>56</v>
      </c>
      <c r="B2852">
        <v>1964</v>
      </c>
      <c r="C2852">
        <v>-2.2000000000000001E-3</v>
      </c>
    </row>
    <row r="2853" spans="1:3" x14ac:dyDescent="0.35">
      <c r="A2853">
        <v>56</v>
      </c>
      <c r="B2853">
        <v>1965</v>
      </c>
      <c r="C2853">
        <v>-2E-3</v>
      </c>
    </row>
    <row r="2854" spans="1:3" x14ac:dyDescent="0.35">
      <c r="A2854">
        <v>56</v>
      </c>
      <c r="B2854">
        <v>1966</v>
      </c>
      <c r="C2854">
        <v>-1E-3</v>
      </c>
    </row>
    <row r="2855" spans="1:3" x14ac:dyDescent="0.35">
      <c r="A2855">
        <v>56</v>
      </c>
      <c r="B2855">
        <v>1967</v>
      </c>
      <c r="C2855">
        <v>1E-3</v>
      </c>
    </row>
    <row r="2856" spans="1:3" x14ac:dyDescent="0.35">
      <c r="A2856">
        <v>56</v>
      </c>
      <c r="B2856">
        <v>1968</v>
      </c>
      <c r="C2856">
        <v>3.8E-3</v>
      </c>
    </row>
    <row r="2857" spans="1:3" x14ac:dyDescent="0.35">
      <c r="A2857">
        <v>56</v>
      </c>
      <c r="B2857">
        <v>1969</v>
      </c>
      <c r="C2857">
        <v>7.4999999999999997E-3</v>
      </c>
    </row>
    <row r="2858" spans="1:3" x14ac:dyDescent="0.35">
      <c r="A2858">
        <v>56</v>
      </c>
      <c r="B2858">
        <v>1970</v>
      </c>
      <c r="C2858">
        <v>1.18E-2</v>
      </c>
    </row>
    <row r="2859" spans="1:3" x14ac:dyDescent="0.35">
      <c r="A2859">
        <v>56</v>
      </c>
      <c r="B2859">
        <v>1971</v>
      </c>
      <c r="C2859">
        <v>1.6199999999999999E-2</v>
      </c>
    </row>
    <row r="2860" spans="1:3" x14ac:dyDescent="0.35">
      <c r="A2860">
        <v>56</v>
      </c>
      <c r="B2860">
        <v>1972</v>
      </c>
      <c r="C2860">
        <v>2.0299999999999999E-2</v>
      </c>
    </row>
    <row r="2861" spans="1:3" x14ac:dyDescent="0.35">
      <c r="A2861">
        <v>56</v>
      </c>
      <c r="B2861">
        <v>1973</v>
      </c>
      <c r="C2861">
        <v>2.3900000000000001E-2</v>
      </c>
    </row>
    <row r="2862" spans="1:3" x14ac:dyDescent="0.35">
      <c r="A2862">
        <v>56</v>
      </c>
      <c r="B2862">
        <v>1974</v>
      </c>
      <c r="C2862">
        <v>2.6499999999999999E-2</v>
      </c>
    </row>
    <row r="2863" spans="1:3" x14ac:dyDescent="0.35">
      <c r="A2863">
        <v>56</v>
      </c>
      <c r="B2863">
        <v>1975</v>
      </c>
      <c r="C2863">
        <v>2.7799999999999998E-2</v>
      </c>
    </row>
    <row r="2864" spans="1:3" x14ac:dyDescent="0.35">
      <c r="A2864">
        <v>56</v>
      </c>
      <c r="B2864">
        <v>1976</v>
      </c>
      <c r="C2864">
        <v>2.7799999999999998E-2</v>
      </c>
    </row>
    <row r="2865" spans="1:3" x14ac:dyDescent="0.35">
      <c r="A2865">
        <v>56</v>
      </c>
      <c r="B2865">
        <v>1977</v>
      </c>
      <c r="C2865">
        <v>2.6599999999999999E-2</v>
      </c>
    </row>
    <row r="2866" spans="1:3" x14ac:dyDescent="0.35">
      <c r="A2866">
        <v>56</v>
      </c>
      <c r="B2866">
        <v>1978</v>
      </c>
      <c r="C2866">
        <v>2.46E-2</v>
      </c>
    </row>
    <row r="2867" spans="1:3" x14ac:dyDescent="0.35">
      <c r="A2867">
        <v>56</v>
      </c>
      <c r="B2867">
        <v>1979</v>
      </c>
      <c r="C2867">
        <v>2.2200000000000001E-2</v>
      </c>
    </row>
    <row r="2868" spans="1:3" x14ac:dyDescent="0.35">
      <c r="A2868">
        <v>56</v>
      </c>
      <c r="B2868">
        <v>1980</v>
      </c>
      <c r="C2868">
        <v>1.9900000000000001E-2</v>
      </c>
    </row>
    <row r="2869" spans="1:3" x14ac:dyDescent="0.35">
      <c r="A2869">
        <v>56</v>
      </c>
      <c r="B2869">
        <v>1981</v>
      </c>
      <c r="C2869">
        <v>1.8100000000000002E-2</v>
      </c>
    </row>
    <row r="2870" spans="1:3" x14ac:dyDescent="0.35">
      <c r="A2870">
        <v>56</v>
      </c>
      <c r="B2870">
        <v>1982</v>
      </c>
      <c r="C2870">
        <v>1.6899999999999998E-2</v>
      </c>
    </row>
    <row r="2871" spans="1:3" x14ac:dyDescent="0.35">
      <c r="A2871">
        <v>56</v>
      </c>
      <c r="B2871">
        <v>1983</v>
      </c>
      <c r="C2871">
        <v>1.6199999999999999E-2</v>
      </c>
    </row>
    <row r="2872" spans="1:3" x14ac:dyDescent="0.35">
      <c r="A2872">
        <v>56</v>
      </c>
      <c r="B2872">
        <v>1984</v>
      </c>
      <c r="C2872">
        <v>1.6199999999999999E-2</v>
      </c>
    </row>
    <row r="2873" spans="1:3" x14ac:dyDescent="0.35">
      <c r="A2873">
        <v>56</v>
      </c>
      <c r="B2873">
        <v>1985</v>
      </c>
      <c r="C2873">
        <v>1.66E-2</v>
      </c>
    </row>
    <row r="2874" spans="1:3" x14ac:dyDescent="0.35">
      <c r="A2874">
        <v>56</v>
      </c>
      <c r="B2874">
        <v>1986</v>
      </c>
      <c r="C2874">
        <v>1.7399999999999999E-2</v>
      </c>
    </row>
    <row r="2875" spans="1:3" x14ac:dyDescent="0.35">
      <c r="A2875">
        <v>56</v>
      </c>
      <c r="B2875">
        <v>1987</v>
      </c>
      <c r="C2875">
        <v>1.8200000000000001E-2</v>
      </c>
    </row>
    <row r="2876" spans="1:3" x14ac:dyDescent="0.35">
      <c r="A2876">
        <v>56</v>
      </c>
      <c r="B2876">
        <v>1988</v>
      </c>
      <c r="C2876">
        <v>1.9099999999999999E-2</v>
      </c>
    </row>
    <row r="2877" spans="1:3" x14ac:dyDescent="0.35">
      <c r="A2877">
        <v>56</v>
      </c>
      <c r="B2877">
        <v>1989</v>
      </c>
      <c r="C2877">
        <v>1.9900000000000001E-2</v>
      </c>
    </row>
    <row r="2878" spans="1:3" x14ac:dyDescent="0.35">
      <c r="A2878">
        <v>56</v>
      </c>
      <c r="B2878">
        <v>1990</v>
      </c>
      <c r="C2878">
        <v>2.06E-2</v>
      </c>
    </row>
    <row r="2879" spans="1:3" x14ac:dyDescent="0.35">
      <c r="A2879">
        <v>56</v>
      </c>
      <c r="B2879">
        <v>1991</v>
      </c>
      <c r="C2879">
        <v>2.12E-2</v>
      </c>
    </row>
    <row r="2880" spans="1:3" x14ac:dyDescent="0.35">
      <c r="A2880">
        <v>56</v>
      </c>
      <c r="B2880">
        <v>1992</v>
      </c>
      <c r="C2880">
        <v>2.1700000000000001E-2</v>
      </c>
    </row>
    <row r="2881" spans="1:3" x14ac:dyDescent="0.35">
      <c r="A2881">
        <v>56</v>
      </c>
      <c r="B2881">
        <v>1993</v>
      </c>
      <c r="C2881">
        <v>2.2200000000000001E-2</v>
      </c>
    </row>
    <row r="2882" spans="1:3" x14ac:dyDescent="0.35">
      <c r="A2882">
        <v>56</v>
      </c>
      <c r="B2882">
        <v>1994</v>
      </c>
      <c r="C2882">
        <v>2.2499999999999999E-2</v>
      </c>
    </row>
    <row r="2883" spans="1:3" x14ac:dyDescent="0.35">
      <c r="A2883">
        <v>56</v>
      </c>
      <c r="B2883">
        <v>1995</v>
      </c>
      <c r="C2883">
        <v>2.2499999999999999E-2</v>
      </c>
    </row>
    <row r="2884" spans="1:3" x14ac:dyDescent="0.35">
      <c r="A2884">
        <v>56</v>
      </c>
      <c r="B2884">
        <v>1996</v>
      </c>
      <c r="C2884">
        <v>2.1899999999999999E-2</v>
      </c>
    </row>
    <row r="2885" spans="1:3" x14ac:dyDescent="0.35">
      <c r="A2885">
        <v>56</v>
      </c>
      <c r="B2885">
        <v>1997</v>
      </c>
      <c r="C2885">
        <v>2.07E-2</v>
      </c>
    </row>
    <row r="2886" spans="1:3" x14ac:dyDescent="0.35">
      <c r="A2886">
        <v>56</v>
      </c>
      <c r="B2886">
        <v>1998</v>
      </c>
      <c r="C2886">
        <v>1.8800000000000001E-2</v>
      </c>
    </row>
    <row r="2887" spans="1:3" x14ac:dyDescent="0.35">
      <c r="A2887">
        <v>56</v>
      </c>
      <c r="B2887">
        <v>1999</v>
      </c>
      <c r="C2887">
        <v>1.6400000000000001E-2</v>
      </c>
    </row>
    <row r="2888" spans="1:3" x14ac:dyDescent="0.35">
      <c r="A2888">
        <v>56</v>
      </c>
      <c r="B2888">
        <v>2000</v>
      </c>
      <c r="C2888">
        <v>1.3899999999999999E-2</v>
      </c>
    </row>
    <row r="2889" spans="1:3" x14ac:dyDescent="0.35">
      <c r="A2889">
        <v>56</v>
      </c>
      <c r="B2889">
        <v>2001</v>
      </c>
      <c r="C2889">
        <v>1.15E-2</v>
      </c>
    </row>
    <row r="2890" spans="1:3" x14ac:dyDescent="0.35">
      <c r="A2890">
        <v>56</v>
      </c>
      <c r="B2890">
        <v>2002</v>
      </c>
      <c r="C2890">
        <v>9.4999999999999998E-3</v>
      </c>
    </row>
    <row r="2891" spans="1:3" x14ac:dyDescent="0.35">
      <c r="A2891">
        <v>56</v>
      </c>
      <c r="B2891">
        <v>2003</v>
      </c>
      <c r="C2891">
        <v>7.7999999999999996E-3</v>
      </c>
    </row>
    <row r="2892" spans="1:3" x14ac:dyDescent="0.35">
      <c r="A2892">
        <v>56</v>
      </c>
      <c r="B2892">
        <v>2004</v>
      </c>
      <c r="C2892">
        <v>6.4999999999999997E-3</v>
      </c>
    </row>
    <row r="2893" spans="1:3" x14ac:dyDescent="0.35">
      <c r="A2893">
        <v>56</v>
      </c>
      <c r="B2893">
        <v>2005</v>
      </c>
      <c r="C2893">
        <v>5.4999999999999997E-3</v>
      </c>
    </row>
    <row r="2894" spans="1:3" x14ac:dyDescent="0.35">
      <c r="A2894">
        <v>56</v>
      </c>
      <c r="B2894">
        <v>2006</v>
      </c>
      <c r="C2894">
        <v>4.7999999999999996E-3</v>
      </c>
    </row>
    <row r="2895" spans="1:3" x14ac:dyDescent="0.35">
      <c r="A2895">
        <v>56</v>
      </c>
      <c r="B2895">
        <v>2007</v>
      </c>
      <c r="C2895">
        <v>4.1999999999999997E-3</v>
      </c>
    </row>
    <row r="2896" spans="1:3" x14ac:dyDescent="0.35">
      <c r="A2896">
        <v>56</v>
      </c>
      <c r="B2896">
        <v>2008</v>
      </c>
      <c r="C2896">
        <v>3.7000000000000002E-3</v>
      </c>
    </row>
    <row r="2897" spans="1:3" x14ac:dyDescent="0.35">
      <c r="A2897">
        <v>56</v>
      </c>
      <c r="B2897">
        <v>2009</v>
      </c>
      <c r="C2897">
        <v>3.0999999999999999E-3</v>
      </c>
    </row>
    <row r="2898" spans="1:3" x14ac:dyDescent="0.35">
      <c r="A2898">
        <v>56</v>
      </c>
      <c r="B2898">
        <v>2010</v>
      </c>
      <c r="C2898">
        <v>2.3E-3</v>
      </c>
    </row>
    <row r="2899" spans="1:3" x14ac:dyDescent="0.35">
      <c r="A2899">
        <v>56</v>
      </c>
      <c r="B2899">
        <v>2011</v>
      </c>
      <c r="C2899">
        <v>1.2999999999999999E-3</v>
      </c>
    </row>
    <row r="2900" spans="1:3" x14ac:dyDescent="0.35">
      <c r="A2900">
        <v>56</v>
      </c>
      <c r="B2900">
        <v>2012</v>
      </c>
      <c r="C2900">
        <v>0</v>
      </c>
    </row>
    <row r="2901" spans="1:3" x14ac:dyDescent="0.35">
      <c r="A2901">
        <v>56</v>
      </c>
      <c r="B2901">
        <v>2013</v>
      </c>
      <c r="C2901">
        <v>1.1999999999999999E-3</v>
      </c>
    </row>
    <row r="2902" spans="1:3" x14ac:dyDescent="0.35">
      <c r="A2902">
        <v>56</v>
      </c>
      <c r="B2902">
        <v>2014</v>
      </c>
      <c r="C2902">
        <v>2.8999999999999998E-3</v>
      </c>
    </row>
    <row r="2903" spans="1:3" x14ac:dyDescent="0.35">
      <c r="A2903">
        <v>56</v>
      </c>
      <c r="B2903">
        <v>2015</v>
      </c>
      <c r="C2903">
        <v>4.7999999999999996E-3</v>
      </c>
    </row>
    <row r="2904" spans="1:3" x14ac:dyDescent="0.35">
      <c r="A2904">
        <v>56</v>
      </c>
      <c r="B2904">
        <v>2016</v>
      </c>
      <c r="C2904">
        <v>6.7000000000000002E-3</v>
      </c>
    </row>
    <row r="2905" spans="1:3" x14ac:dyDescent="0.35">
      <c r="A2905">
        <v>56</v>
      </c>
      <c r="B2905">
        <v>2017</v>
      </c>
      <c r="C2905">
        <v>8.5000000000000006E-3</v>
      </c>
    </row>
    <row r="2906" spans="1:3" x14ac:dyDescent="0.35">
      <c r="A2906">
        <v>56</v>
      </c>
      <c r="B2906">
        <v>2018</v>
      </c>
      <c r="C2906">
        <v>1.01E-2</v>
      </c>
    </row>
    <row r="2907" spans="1:3" x14ac:dyDescent="0.35">
      <c r="A2907">
        <v>56</v>
      </c>
      <c r="B2907">
        <v>2019</v>
      </c>
      <c r="C2907">
        <v>1.14E-2</v>
      </c>
    </row>
    <row r="2908" spans="1:3" x14ac:dyDescent="0.35">
      <c r="A2908">
        <v>56</v>
      </c>
      <c r="B2908">
        <v>2020</v>
      </c>
      <c r="C2908">
        <v>1.2200000000000001E-2</v>
      </c>
    </row>
    <row r="2909" spans="1:3" x14ac:dyDescent="0.35">
      <c r="A2909">
        <v>56</v>
      </c>
      <c r="B2909">
        <v>2021</v>
      </c>
      <c r="C2909">
        <v>1.26E-2</v>
      </c>
    </row>
    <row r="2910" spans="1:3" x14ac:dyDescent="0.35">
      <c r="A2910">
        <v>56</v>
      </c>
      <c r="B2910">
        <v>2022</v>
      </c>
      <c r="C2910">
        <v>1.2500000000000001E-2</v>
      </c>
    </row>
    <row r="2911" spans="1:3" x14ac:dyDescent="0.35">
      <c r="A2911">
        <v>56</v>
      </c>
      <c r="B2911">
        <v>2023</v>
      </c>
      <c r="C2911">
        <v>1.21E-2</v>
      </c>
    </row>
    <row r="2912" spans="1:3" x14ac:dyDescent="0.35">
      <c r="A2912">
        <v>56</v>
      </c>
      <c r="B2912">
        <v>2024</v>
      </c>
      <c r="C2912">
        <v>1.15E-2</v>
      </c>
    </row>
    <row r="2913" spans="1:3" x14ac:dyDescent="0.35">
      <c r="A2913">
        <v>56</v>
      </c>
      <c r="B2913">
        <v>2025</v>
      </c>
      <c r="C2913">
        <v>1.0999999999999999E-2</v>
      </c>
    </row>
    <row r="2914" spans="1:3" x14ac:dyDescent="0.35">
      <c r="A2914">
        <v>56</v>
      </c>
      <c r="B2914">
        <v>2026</v>
      </c>
      <c r="C2914">
        <v>1.0500000000000001E-2</v>
      </c>
    </row>
    <row r="2915" spans="1:3" x14ac:dyDescent="0.35">
      <c r="A2915">
        <v>56</v>
      </c>
      <c r="B2915">
        <v>2027</v>
      </c>
      <c r="C2915">
        <v>1.0200000000000001E-2</v>
      </c>
    </row>
    <row r="2916" spans="1:3" x14ac:dyDescent="0.35">
      <c r="A2916">
        <v>56</v>
      </c>
      <c r="B2916">
        <v>2028</v>
      </c>
      <c r="C2916">
        <v>9.9000000000000008E-3</v>
      </c>
    </row>
    <row r="2917" spans="1:3" x14ac:dyDescent="0.35">
      <c r="A2917">
        <v>56</v>
      </c>
      <c r="B2917">
        <v>2029</v>
      </c>
      <c r="C2917">
        <v>9.9000000000000008E-3</v>
      </c>
    </row>
    <row r="2918" spans="1:3" x14ac:dyDescent="0.35">
      <c r="A2918">
        <v>56</v>
      </c>
      <c r="B2918">
        <v>2030</v>
      </c>
      <c r="C2918">
        <v>9.9000000000000008E-3</v>
      </c>
    </row>
    <row r="2919" spans="1:3" x14ac:dyDescent="0.35">
      <c r="A2919">
        <v>56</v>
      </c>
      <c r="B2919">
        <v>2031</v>
      </c>
      <c r="C2919">
        <v>0.01</v>
      </c>
    </row>
    <row r="2920" spans="1:3" x14ac:dyDescent="0.35">
      <c r="A2920">
        <v>57</v>
      </c>
      <c r="B2920">
        <v>1951</v>
      </c>
      <c r="C2920">
        <v>1.52E-2</v>
      </c>
    </row>
    <row r="2921" spans="1:3" x14ac:dyDescent="0.35">
      <c r="A2921">
        <v>57</v>
      </c>
      <c r="B2921">
        <v>1952</v>
      </c>
      <c r="C2921">
        <v>1.37E-2</v>
      </c>
    </row>
    <row r="2922" spans="1:3" x14ac:dyDescent="0.35">
      <c r="A2922">
        <v>57</v>
      </c>
      <c r="B2922">
        <v>1953</v>
      </c>
      <c r="C2922">
        <v>1.21E-2</v>
      </c>
    </row>
    <row r="2923" spans="1:3" x14ac:dyDescent="0.35">
      <c r="A2923">
        <v>57</v>
      </c>
      <c r="B2923">
        <v>1954</v>
      </c>
      <c r="C2923">
        <v>1.03E-2</v>
      </c>
    </row>
    <row r="2924" spans="1:3" x14ac:dyDescent="0.35">
      <c r="A2924">
        <v>57</v>
      </c>
      <c r="B2924">
        <v>1955</v>
      </c>
      <c r="C2924">
        <v>8.3000000000000001E-3</v>
      </c>
    </row>
    <row r="2925" spans="1:3" x14ac:dyDescent="0.35">
      <c r="A2925">
        <v>57</v>
      </c>
      <c r="B2925">
        <v>1956</v>
      </c>
      <c r="C2925">
        <v>6.3E-3</v>
      </c>
    </row>
    <row r="2926" spans="1:3" x14ac:dyDescent="0.35">
      <c r="A2926">
        <v>57</v>
      </c>
      <c r="B2926">
        <v>1957</v>
      </c>
      <c r="C2926">
        <v>4.4999999999999997E-3</v>
      </c>
    </row>
    <row r="2927" spans="1:3" x14ac:dyDescent="0.35">
      <c r="A2927">
        <v>57</v>
      </c>
      <c r="B2927">
        <v>1958</v>
      </c>
      <c r="C2927">
        <v>3.0000000000000001E-3</v>
      </c>
    </row>
    <row r="2928" spans="1:3" x14ac:dyDescent="0.35">
      <c r="A2928">
        <v>57</v>
      </c>
      <c r="B2928">
        <v>1959</v>
      </c>
      <c r="C2928">
        <v>1.6999999999999999E-3</v>
      </c>
    </row>
    <row r="2929" spans="1:3" x14ac:dyDescent="0.35">
      <c r="A2929">
        <v>57</v>
      </c>
      <c r="B2929">
        <v>1960</v>
      </c>
      <c r="C2929">
        <v>5.9999999999999995E-4</v>
      </c>
    </row>
    <row r="2930" spans="1:3" x14ac:dyDescent="0.35">
      <c r="A2930">
        <v>57</v>
      </c>
      <c r="B2930">
        <v>1961</v>
      </c>
      <c r="C2930">
        <v>-5.0000000000000001E-4</v>
      </c>
    </row>
    <row r="2931" spans="1:3" x14ac:dyDescent="0.35">
      <c r="A2931">
        <v>57</v>
      </c>
      <c r="B2931">
        <v>1962</v>
      </c>
      <c r="C2931">
        <v>-1.6000000000000001E-3</v>
      </c>
    </row>
    <row r="2932" spans="1:3" x14ac:dyDescent="0.35">
      <c r="A2932">
        <v>57</v>
      </c>
      <c r="B2932">
        <v>1963</v>
      </c>
      <c r="C2932">
        <v>-2.3E-3</v>
      </c>
    </row>
    <row r="2933" spans="1:3" x14ac:dyDescent="0.35">
      <c r="A2933">
        <v>57</v>
      </c>
      <c r="B2933">
        <v>1964</v>
      </c>
      <c r="C2933">
        <v>-2.5999999999999999E-3</v>
      </c>
    </row>
    <row r="2934" spans="1:3" x14ac:dyDescent="0.35">
      <c r="A2934">
        <v>57</v>
      </c>
      <c r="B2934">
        <v>1965</v>
      </c>
      <c r="C2934">
        <v>-2.3E-3</v>
      </c>
    </row>
    <row r="2935" spans="1:3" x14ac:dyDescent="0.35">
      <c r="A2935">
        <v>57</v>
      </c>
      <c r="B2935">
        <v>1966</v>
      </c>
      <c r="C2935">
        <v>-1.1999999999999999E-3</v>
      </c>
    </row>
    <row r="2936" spans="1:3" x14ac:dyDescent="0.35">
      <c r="A2936">
        <v>57</v>
      </c>
      <c r="B2936">
        <v>1967</v>
      </c>
      <c r="C2936">
        <v>8.0000000000000004E-4</v>
      </c>
    </row>
    <row r="2937" spans="1:3" x14ac:dyDescent="0.35">
      <c r="A2937">
        <v>57</v>
      </c>
      <c r="B2937">
        <v>1968</v>
      </c>
      <c r="C2937">
        <v>3.5999999999999999E-3</v>
      </c>
    </row>
    <row r="2938" spans="1:3" x14ac:dyDescent="0.35">
      <c r="A2938">
        <v>57</v>
      </c>
      <c r="B2938">
        <v>1969</v>
      </c>
      <c r="C2938">
        <v>7.4000000000000003E-3</v>
      </c>
    </row>
    <row r="2939" spans="1:3" x14ac:dyDescent="0.35">
      <c r="A2939">
        <v>57</v>
      </c>
      <c r="B2939">
        <v>1970</v>
      </c>
      <c r="C2939">
        <v>1.1599999999999999E-2</v>
      </c>
    </row>
    <row r="2940" spans="1:3" x14ac:dyDescent="0.35">
      <c r="A2940">
        <v>57</v>
      </c>
      <c r="B2940">
        <v>1971</v>
      </c>
      <c r="C2940">
        <v>1.6E-2</v>
      </c>
    </row>
    <row r="2941" spans="1:3" x14ac:dyDescent="0.35">
      <c r="A2941">
        <v>57</v>
      </c>
      <c r="B2941">
        <v>1972</v>
      </c>
      <c r="C2941">
        <v>2.0299999999999999E-2</v>
      </c>
    </row>
    <row r="2942" spans="1:3" x14ac:dyDescent="0.35">
      <c r="A2942">
        <v>57</v>
      </c>
      <c r="B2942">
        <v>1973</v>
      </c>
      <c r="C2942">
        <v>2.3900000000000001E-2</v>
      </c>
    </row>
    <row r="2943" spans="1:3" x14ac:dyDescent="0.35">
      <c r="A2943">
        <v>57</v>
      </c>
      <c r="B2943">
        <v>1974</v>
      </c>
      <c r="C2943">
        <v>2.6599999999999999E-2</v>
      </c>
    </row>
    <row r="2944" spans="1:3" x14ac:dyDescent="0.35">
      <c r="A2944">
        <v>57</v>
      </c>
      <c r="B2944">
        <v>1975</v>
      </c>
      <c r="C2944">
        <v>2.8000000000000001E-2</v>
      </c>
    </row>
    <row r="2945" spans="1:3" x14ac:dyDescent="0.35">
      <c r="A2945">
        <v>57</v>
      </c>
      <c r="B2945">
        <v>1976</v>
      </c>
      <c r="C2945">
        <v>2.8000000000000001E-2</v>
      </c>
    </row>
    <row r="2946" spans="1:3" x14ac:dyDescent="0.35">
      <c r="A2946">
        <v>57</v>
      </c>
      <c r="B2946">
        <v>1977</v>
      </c>
      <c r="C2946">
        <v>2.6800000000000001E-2</v>
      </c>
    </row>
    <row r="2947" spans="1:3" x14ac:dyDescent="0.35">
      <c r="A2947">
        <v>57</v>
      </c>
      <c r="B2947">
        <v>1978</v>
      </c>
      <c r="C2947">
        <v>2.47E-2</v>
      </c>
    </row>
    <row r="2948" spans="1:3" x14ac:dyDescent="0.35">
      <c r="A2948">
        <v>57</v>
      </c>
      <c r="B2948">
        <v>1979</v>
      </c>
      <c r="C2948">
        <v>2.2100000000000002E-2</v>
      </c>
    </row>
    <row r="2949" spans="1:3" x14ac:dyDescent="0.35">
      <c r="A2949">
        <v>57</v>
      </c>
      <c r="B2949">
        <v>1980</v>
      </c>
      <c r="C2949">
        <v>1.95E-2</v>
      </c>
    </row>
    <row r="2950" spans="1:3" x14ac:dyDescent="0.35">
      <c r="A2950">
        <v>57</v>
      </c>
      <c r="B2950">
        <v>1981</v>
      </c>
      <c r="C2950">
        <v>1.7500000000000002E-2</v>
      </c>
    </row>
    <row r="2951" spans="1:3" x14ac:dyDescent="0.35">
      <c r="A2951">
        <v>57</v>
      </c>
      <c r="B2951">
        <v>1982</v>
      </c>
      <c r="C2951">
        <v>1.61E-2</v>
      </c>
    </row>
    <row r="2952" spans="1:3" x14ac:dyDescent="0.35">
      <c r="A2952">
        <v>57</v>
      </c>
      <c r="B2952">
        <v>1983</v>
      </c>
      <c r="C2952">
        <v>1.54E-2</v>
      </c>
    </row>
    <row r="2953" spans="1:3" x14ac:dyDescent="0.35">
      <c r="A2953">
        <v>57</v>
      </c>
      <c r="B2953">
        <v>1984</v>
      </c>
      <c r="C2953">
        <v>1.5299999999999999E-2</v>
      </c>
    </row>
    <row r="2954" spans="1:3" x14ac:dyDescent="0.35">
      <c r="A2954">
        <v>57</v>
      </c>
      <c r="B2954">
        <v>1985</v>
      </c>
      <c r="C2954">
        <v>1.5800000000000002E-2</v>
      </c>
    </row>
    <row r="2955" spans="1:3" x14ac:dyDescent="0.35">
      <c r="A2955">
        <v>57</v>
      </c>
      <c r="B2955">
        <v>1986</v>
      </c>
      <c r="C2955">
        <v>1.67E-2</v>
      </c>
    </row>
    <row r="2956" spans="1:3" x14ac:dyDescent="0.35">
      <c r="A2956">
        <v>57</v>
      </c>
      <c r="B2956">
        <v>1987</v>
      </c>
      <c r="C2956">
        <v>1.77E-2</v>
      </c>
    </row>
    <row r="2957" spans="1:3" x14ac:dyDescent="0.35">
      <c r="A2957">
        <v>57</v>
      </c>
      <c r="B2957">
        <v>1988</v>
      </c>
      <c r="C2957">
        <v>1.8599999999999998E-2</v>
      </c>
    </row>
    <row r="2958" spans="1:3" x14ac:dyDescent="0.35">
      <c r="A2958">
        <v>57</v>
      </c>
      <c r="B2958">
        <v>1989</v>
      </c>
      <c r="C2958">
        <v>1.9599999999999999E-2</v>
      </c>
    </row>
    <row r="2959" spans="1:3" x14ac:dyDescent="0.35">
      <c r="A2959">
        <v>57</v>
      </c>
      <c r="B2959">
        <v>1990</v>
      </c>
      <c r="C2959">
        <v>2.0500000000000001E-2</v>
      </c>
    </row>
    <row r="2960" spans="1:3" x14ac:dyDescent="0.35">
      <c r="A2960">
        <v>57</v>
      </c>
      <c r="B2960">
        <v>1991</v>
      </c>
      <c r="C2960">
        <v>2.12E-2</v>
      </c>
    </row>
    <row r="2961" spans="1:3" x14ac:dyDescent="0.35">
      <c r="A2961">
        <v>57</v>
      </c>
      <c r="B2961">
        <v>1992</v>
      </c>
      <c r="C2961">
        <v>2.18E-2</v>
      </c>
    </row>
    <row r="2962" spans="1:3" x14ac:dyDescent="0.35">
      <c r="A2962">
        <v>57</v>
      </c>
      <c r="B2962">
        <v>1993</v>
      </c>
      <c r="C2962">
        <v>2.23E-2</v>
      </c>
    </row>
    <row r="2963" spans="1:3" x14ac:dyDescent="0.35">
      <c r="A2963">
        <v>57</v>
      </c>
      <c r="B2963">
        <v>1994</v>
      </c>
      <c r="C2963">
        <v>2.2599999999999999E-2</v>
      </c>
    </row>
    <row r="2964" spans="1:3" x14ac:dyDescent="0.35">
      <c r="A2964">
        <v>57</v>
      </c>
      <c r="B2964">
        <v>1995</v>
      </c>
      <c r="C2964">
        <v>2.2599999999999999E-2</v>
      </c>
    </row>
    <row r="2965" spans="1:3" x14ac:dyDescent="0.35">
      <c r="A2965">
        <v>57</v>
      </c>
      <c r="B2965">
        <v>1996</v>
      </c>
      <c r="C2965">
        <v>2.2200000000000001E-2</v>
      </c>
    </row>
    <row r="2966" spans="1:3" x14ac:dyDescent="0.35">
      <c r="A2966">
        <v>57</v>
      </c>
      <c r="B2966">
        <v>1997</v>
      </c>
      <c r="C2966">
        <v>2.1299999999999999E-2</v>
      </c>
    </row>
    <row r="2967" spans="1:3" x14ac:dyDescent="0.35">
      <c r="A2967">
        <v>57</v>
      </c>
      <c r="B2967">
        <v>1998</v>
      </c>
      <c r="C2967">
        <v>1.9800000000000002E-2</v>
      </c>
    </row>
    <row r="2968" spans="1:3" x14ac:dyDescent="0.35">
      <c r="A2968">
        <v>57</v>
      </c>
      <c r="B2968">
        <v>1999</v>
      </c>
      <c r="C2968">
        <v>1.7999999999999999E-2</v>
      </c>
    </row>
    <row r="2969" spans="1:3" x14ac:dyDescent="0.35">
      <c r="A2969">
        <v>57</v>
      </c>
      <c r="B2969">
        <v>2000</v>
      </c>
      <c r="C2969">
        <v>1.61E-2</v>
      </c>
    </row>
    <row r="2970" spans="1:3" x14ac:dyDescent="0.35">
      <c r="A2970">
        <v>57</v>
      </c>
      <c r="B2970">
        <v>2001</v>
      </c>
      <c r="C2970">
        <v>1.43E-2</v>
      </c>
    </row>
    <row r="2971" spans="1:3" x14ac:dyDescent="0.35">
      <c r="A2971">
        <v>57</v>
      </c>
      <c r="B2971">
        <v>2002</v>
      </c>
      <c r="C2971">
        <v>1.2500000000000001E-2</v>
      </c>
    </row>
    <row r="2972" spans="1:3" x14ac:dyDescent="0.35">
      <c r="A2972">
        <v>57</v>
      </c>
      <c r="B2972">
        <v>2003</v>
      </c>
      <c r="C2972">
        <v>1.09E-2</v>
      </c>
    </row>
    <row r="2973" spans="1:3" x14ac:dyDescent="0.35">
      <c r="A2973">
        <v>57</v>
      </c>
      <c r="B2973">
        <v>2004</v>
      </c>
      <c r="C2973">
        <v>9.4999999999999998E-3</v>
      </c>
    </row>
    <row r="2974" spans="1:3" x14ac:dyDescent="0.35">
      <c r="A2974">
        <v>57</v>
      </c>
      <c r="B2974">
        <v>2005</v>
      </c>
      <c r="C2974">
        <v>8.0000000000000002E-3</v>
      </c>
    </row>
    <row r="2975" spans="1:3" x14ac:dyDescent="0.35">
      <c r="A2975">
        <v>57</v>
      </c>
      <c r="B2975">
        <v>2006</v>
      </c>
      <c r="C2975">
        <v>6.7000000000000002E-3</v>
      </c>
    </row>
    <row r="2976" spans="1:3" x14ac:dyDescent="0.35">
      <c r="A2976">
        <v>57</v>
      </c>
      <c r="B2976">
        <v>2007</v>
      </c>
      <c r="C2976">
        <v>5.4000000000000003E-3</v>
      </c>
    </row>
    <row r="2977" spans="1:3" x14ac:dyDescent="0.35">
      <c r="A2977">
        <v>57</v>
      </c>
      <c r="B2977">
        <v>2008</v>
      </c>
      <c r="C2977">
        <v>4.1999999999999997E-3</v>
      </c>
    </row>
    <row r="2978" spans="1:3" x14ac:dyDescent="0.35">
      <c r="A2978">
        <v>57</v>
      </c>
      <c r="B2978">
        <v>2009</v>
      </c>
      <c r="C2978">
        <v>2.8999999999999998E-3</v>
      </c>
    </row>
    <row r="2979" spans="1:3" x14ac:dyDescent="0.35">
      <c r="A2979">
        <v>57</v>
      </c>
      <c r="B2979">
        <v>2010</v>
      </c>
      <c r="C2979">
        <v>1.6000000000000001E-3</v>
      </c>
    </row>
    <row r="2980" spans="1:3" x14ac:dyDescent="0.35">
      <c r="A2980">
        <v>57</v>
      </c>
      <c r="B2980">
        <v>2011</v>
      </c>
      <c r="C2980">
        <v>-1E-4</v>
      </c>
    </row>
    <row r="2981" spans="1:3" x14ac:dyDescent="0.35">
      <c r="A2981">
        <v>57</v>
      </c>
      <c r="B2981">
        <v>2012</v>
      </c>
      <c r="C2981">
        <v>-1.9E-3</v>
      </c>
    </row>
    <row r="2982" spans="1:3" x14ac:dyDescent="0.35">
      <c r="A2982">
        <v>57</v>
      </c>
      <c r="B2982">
        <v>2013</v>
      </c>
      <c r="C2982">
        <v>-8.0000000000000004E-4</v>
      </c>
    </row>
    <row r="2983" spans="1:3" x14ac:dyDescent="0.35">
      <c r="A2983">
        <v>57</v>
      </c>
      <c r="B2983">
        <v>2014</v>
      </c>
      <c r="C2983">
        <v>8.9999999999999998E-4</v>
      </c>
    </row>
    <row r="2984" spans="1:3" x14ac:dyDescent="0.35">
      <c r="A2984">
        <v>57</v>
      </c>
      <c r="B2984">
        <v>2015</v>
      </c>
      <c r="C2984">
        <v>2.8E-3</v>
      </c>
    </row>
    <row r="2985" spans="1:3" x14ac:dyDescent="0.35">
      <c r="A2985">
        <v>57</v>
      </c>
      <c r="B2985">
        <v>2016</v>
      </c>
      <c r="C2985">
        <v>4.8999999999999998E-3</v>
      </c>
    </row>
    <row r="2986" spans="1:3" x14ac:dyDescent="0.35">
      <c r="A2986">
        <v>57</v>
      </c>
      <c r="B2986">
        <v>2017</v>
      </c>
      <c r="C2986">
        <v>7.0000000000000001E-3</v>
      </c>
    </row>
    <row r="2987" spans="1:3" x14ac:dyDescent="0.35">
      <c r="A2987">
        <v>57</v>
      </c>
      <c r="B2987">
        <v>2018</v>
      </c>
      <c r="C2987">
        <v>8.8999999999999999E-3</v>
      </c>
    </row>
    <row r="2988" spans="1:3" x14ac:dyDescent="0.35">
      <c r="A2988">
        <v>57</v>
      </c>
      <c r="B2988">
        <v>2019</v>
      </c>
      <c r="C2988">
        <v>1.04E-2</v>
      </c>
    </row>
    <row r="2989" spans="1:3" x14ac:dyDescent="0.35">
      <c r="A2989">
        <v>57</v>
      </c>
      <c r="B2989">
        <v>2020</v>
      </c>
      <c r="C2989">
        <v>1.1599999999999999E-2</v>
      </c>
    </row>
    <row r="2990" spans="1:3" x14ac:dyDescent="0.35">
      <c r="A2990">
        <v>57</v>
      </c>
      <c r="B2990">
        <v>2021</v>
      </c>
      <c r="C2990">
        <v>1.23E-2</v>
      </c>
    </row>
    <row r="2991" spans="1:3" x14ac:dyDescent="0.35">
      <c r="A2991">
        <v>57</v>
      </c>
      <c r="B2991">
        <v>2022</v>
      </c>
      <c r="C2991">
        <v>1.24E-2</v>
      </c>
    </row>
    <row r="2992" spans="1:3" x14ac:dyDescent="0.35">
      <c r="A2992">
        <v>57</v>
      </c>
      <c r="B2992">
        <v>2023</v>
      </c>
      <c r="C2992">
        <v>1.21E-2</v>
      </c>
    </row>
    <row r="2993" spans="1:3" x14ac:dyDescent="0.35">
      <c r="A2993">
        <v>57</v>
      </c>
      <c r="B2993">
        <v>2024</v>
      </c>
      <c r="C2993">
        <v>1.17E-2</v>
      </c>
    </row>
    <row r="2994" spans="1:3" x14ac:dyDescent="0.35">
      <c r="A2994">
        <v>57</v>
      </c>
      <c r="B2994">
        <v>2025</v>
      </c>
      <c r="C2994">
        <v>1.12E-2</v>
      </c>
    </row>
    <row r="2995" spans="1:3" x14ac:dyDescent="0.35">
      <c r="A2995">
        <v>57</v>
      </c>
      <c r="B2995">
        <v>2026</v>
      </c>
      <c r="C2995">
        <v>1.0800000000000001E-2</v>
      </c>
    </row>
    <row r="2996" spans="1:3" x14ac:dyDescent="0.35">
      <c r="A2996">
        <v>57</v>
      </c>
      <c r="B2996">
        <v>2027</v>
      </c>
      <c r="C2996">
        <v>1.04E-2</v>
      </c>
    </row>
    <row r="2997" spans="1:3" x14ac:dyDescent="0.35">
      <c r="A2997">
        <v>57</v>
      </c>
      <c r="B2997">
        <v>2028</v>
      </c>
      <c r="C2997">
        <v>1.01E-2</v>
      </c>
    </row>
    <row r="2998" spans="1:3" x14ac:dyDescent="0.35">
      <c r="A2998">
        <v>57</v>
      </c>
      <c r="B2998">
        <v>2029</v>
      </c>
      <c r="C2998">
        <v>0.01</v>
      </c>
    </row>
    <row r="2999" spans="1:3" x14ac:dyDescent="0.35">
      <c r="A2999">
        <v>57</v>
      </c>
      <c r="B2999">
        <v>2030</v>
      </c>
      <c r="C2999">
        <v>9.9000000000000008E-3</v>
      </c>
    </row>
    <row r="3000" spans="1:3" x14ac:dyDescent="0.35">
      <c r="A3000">
        <v>57</v>
      </c>
      <c r="B3000">
        <v>2031</v>
      </c>
      <c r="C3000">
        <v>0.01</v>
      </c>
    </row>
    <row r="3001" spans="1:3" x14ac:dyDescent="0.35">
      <c r="A3001">
        <v>58</v>
      </c>
      <c r="B3001">
        <v>1951</v>
      </c>
      <c r="C3001">
        <v>1.46E-2</v>
      </c>
    </row>
    <row r="3002" spans="1:3" x14ac:dyDescent="0.35">
      <c r="A3002">
        <v>58</v>
      </c>
      <c r="B3002">
        <v>1952</v>
      </c>
      <c r="C3002">
        <v>1.2999999999999999E-2</v>
      </c>
    </row>
    <row r="3003" spans="1:3" x14ac:dyDescent="0.35">
      <c r="A3003">
        <v>58</v>
      </c>
      <c r="B3003">
        <v>1953</v>
      </c>
      <c r="C3003">
        <v>1.1299999999999999E-2</v>
      </c>
    </row>
    <row r="3004" spans="1:3" x14ac:dyDescent="0.35">
      <c r="A3004">
        <v>58</v>
      </c>
      <c r="B3004">
        <v>1954</v>
      </c>
      <c r="C3004">
        <v>9.4999999999999998E-3</v>
      </c>
    </row>
    <row r="3005" spans="1:3" x14ac:dyDescent="0.35">
      <c r="A3005">
        <v>58</v>
      </c>
      <c r="B3005">
        <v>1955</v>
      </c>
      <c r="C3005">
        <v>7.4000000000000003E-3</v>
      </c>
    </row>
    <row r="3006" spans="1:3" x14ac:dyDescent="0.35">
      <c r="A3006">
        <v>58</v>
      </c>
      <c r="B3006">
        <v>1956</v>
      </c>
      <c r="C3006">
        <v>5.4000000000000003E-3</v>
      </c>
    </row>
    <row r="3007" spans="1:3" x14ac:dyDescent="0.35">
      <c r="A3007">
        <v>58</v>
      </c>
      <c r="B3007">
        <v>1957</v>
      </c>
      <c r="C3007">
        <v>3.7000000000000002E-3</v>
      </c>
    </row>
    <row r="3008" spans="1:3" x14ac:dyDescent="0.35">
      <c r="A3008">
        <v>58</v>
      </c>
      <c r="B3008">
        <v>1958</v>
      </c>
      <c r="C3008">
        <v>2.3E-3</v>
      </c>
    </row>
    <row r="3009" spans="1:3" x14ac:dyDescent="0.35">
      <c r="A3009">
        <v>58</v>
      </c>
      <c r="B3009">
        <v>1959</v>
      </c>
      <c r="C3009">
        <v>1E-3</v>
      </c>
    </row>
    <row r="3010" spans="1:3" x14ac:dyDescent="0.35">
      <c r="A3010">
        <v>58</v>
      </c>
      <c r="B3010">
        <v>1960</v>
      </c>
      <c r="C3010">
        <v>-1E-4</v>
      </c>
    </row>
    <row r="3011" spans="1:3" x14ac:dyDescent="0.35">
      <c r="A3011">
        <v>58</v>
      </c>
      <c r="B3011">
        <v>1961</v>
      </c>
      <c r="C3011">
        <v>-1.1999999999999999E-3</v>
      </c>
    </row>
    <row r="3012" spans="1:3" x14ac:dyDescent="0.35">
      <c r="A3012">
        <v>58</v>
      </c>
      <c r="B3012">
        <v>1962</v>
      </c>
      <c r="C3012">
        <v>-2.0999999999999999E-3</v>
      </c>
    </row>
    <row r="3013" spans="1:3" x14ac:dyDescent="0.35">
      <c r="A3013">
        <v>58</v>
      </c>
      <c r="B3013">
        <v>1963</v>
      </c>
      <c r="C3013">
        <v>-2.8E-3</v>
      </c>
    </row>
    <row r="3014" spans="1:3" x14ac:dyDescent="0.35">
      <c r="A3014">
        <v>58</v>
      </c>
      <c r="B3014">
        <v>1964</v>
      </c>
      <c r="C3014">
        <v>-2.8999999999999998E-3</v>
      </c>
    </row>
    <row r="3015" spans="1:3" x14ac:dyDescent="0.35">
      <c r="A3015">
        <v>58</v>
      </c>
      <c r="B3015">
        <v>1965</v>
      </c>
      <c r="C3015">
        <v>-2.5000000000000001E-3</v>
      </c>
    </row>
    <row r="3016" spans="1:3" x14ac:dyDescent="0.35">
      <c r="A3016">
        <v>58</v>
      </c>
      <c r="B3016">
        <v>1966</v>
      </c>
      <c r="C3016">
        <v>-1.2999999999999999E-3</v>
      </c>
    </row>
    <row r="3017" spans="1:3" x14ac:dyDescent="0.35">
      <c r="A3017">
        <v>58</v>
      </c>
      <c r="B3017">
        <v>1967</v>
      </c>
      <c r="C3017">
        <v>8.0000000000000004E-4</v>
      </c>
    </row>
    <row r="3018" spans="1:3" x14ac:dyDescent="0.35">
      <c r="A3018">
        <v>58</v>
      </c>
      <c r="B3018">
        <v>1968</v>
      </c>
      <c r="C3018">
        <v>3.7000000000000002E-3</v>
      </c>
    </row>
    <row r="3019" spans="1:3" x14ac:dyDescent="0.35">
      <c r="A3019">
        <v>58</v>
      </c>
      <c r="B3019">
        <v>1969</v>
      </c>
      <c r="C3019">
        <v>7.3000000000000001E-3</v>
      </c>
    </row>
    <row r="3020" spans="1:3" x14ac:dyDescent="0.35">
      <c r="A3020">
        <v>58</v>
      </c>
      <c r="B3020">
        <v>1970</v>
      </c>
      <c r="C3020">
        <v>1.15E-2</v>
      </c>
    </row>
    <row r="3021" spans="1:3" x14ac:dyDescent="0.35">
      <c r="A3021">
        <v>58</v>
      </c>
      <c r="B3021">
        <v>1971</v>
      </c>
      <c r="C3021">
        <v>1.5900000000000001E-2</v>
      </c>
    </row>
    <row r="3022" spans="1:3" x14ac:dyDescent="0.35">
      <c r="A3022">
        <v>58</v>
      </c>
      <c r="B3022">
        <v>1972</v>
      </c>
      <c r="C3022">
        <v>0.02</v>
      </c>
    </row>
    <row r="3023" spans="1:3" x14ac:dyDescent="0.35">
      <c r="A3023">
        <v>58</v>
      </c>
      <c r="B3023">
        <v>1973</v>
      </c>
      <c r="C3023">
        <v>2.3699999999999999E-2</v>
      </c>
    </row>
    <row r="3024" spans="1:3" x14ac:dyDescent="0.35">
      <c r="A3024">
        <v>58</v>
      </c>
      <c r="B3024">
        <v>1974</v>
      </c>
      <c r="C3024">
        <v>2.64E-2</v>
      </c>
    </row>
    <row r="3025" spans="1:3" x14ac:dyDescent="0.35">
      <c r="A3025">
        <v>58</v>
      </c>
      <c r="B3025">
        <v>1975</v>
      </c>
      <c r="C3025">
        <v>2.7900000000000001E-2</v>
      </c>
    </row>
    <row r="3026" spans="1:3" x14ac:dyDescent="0.35">
      <c r="A3026">
        <v>58</v>
      </c>
      <c r="B3026">
        <v>1976</v>
      </c>
      <c r="C3026">
        <v>2.7900000000000001E-2</v>
      </c>
    </row>
    <row r="3027" spans="1:3" x14ac:dyDescent="0.35">
      <c r="A3027">
        <v>58</v>
      </c>
      <c r="B3027">
        <v>1977</v>
      </c>
      <c r="C3027">
        <v>2.6800000000000001E-2</v>
      </c>
    </row>
    <row r="3028" spans="1:3" x14ac:dyDescent="0.35">
      <c r="A3028">
        <v>58</v>
      </c>
      <c r="B3028">
        <v>1978</v>
      </c>
      <c r="C3028">
        <v>2.47E-2</v>
      </c>
    </row>
    <row r="3029" spans="1:3" x14ac:dyDescent="0.35">
      <c r="A3029">
        <v>58</v>
      </c>
      <c r="B3029">
        <v>1979</v>
      </c>
      <c r="C3029">
        <v>2.2100000000000002E-2</v>
      </c>
    </row>
    <row r="3030" spans="1:3" x14ac:dyDescent="0.35">
      <c r="A3030">
        <v>58</v>
      </c>
      <c r="B3030">
        <v>1980</v>
      </c>
      <c r="C3030">
        <v>1.9400000000000001E-2</v>
      </c>
    </row>
    <row r="3031" spans="1:3" x14ac:dyDescent="0.35">
      <c r="A3031">
        <v>58</v>
      </c>
      <c r="B3031">
        <v>1981</v>
      </c>
      <c r="C3031">
        <v>1.72E-2</v>
      </c>
    </row>
    <row r="3032" spans="1:3" x14ac:dyDescent="0.35">
      <c r="A3032">
        <v>58</v>
      </c>
      <c r="B3032">
        <v>1982</v>
      </c>
      <c r="C3032">
        <v>1.5599999999999999E-2</v>
      </c>
    </row>
    <row r="3033" spans="1:3" x14ac:dyDescent="0.35">
      <c r="A3033">
        <v>58</v>
      </c>
      <c r="B3033">
        <v>1983</v>
      </c>
      <c r="C3033">
        <v>1.47E-2</v>
      </c>
    </row>
    <row r="3034" spans="1:3" x14ac:dyDescent="0.35">
      <c r="A3034">
        <v>58</v>
      </c>
      <c r="B3034">
        <v>1984</v>
      </c>
      <c r="C3034">
        <v>1.46E-2</v>
      </c>
    </row>
    <row r="3035" spans="1:3" x14ac:dyDescent="0.35">
      <c r="A3035">
        <v>58</v>
      </c>
      <c r="B3035">
        <v>1985</v>
      </c>
      <c r="C3035">
        <v>1.5100000000000001E-2</v>
      </c>
    </row>
    <row r="3036" spans="1:3" x14ac:dyDescent="0.35">
      <c r="A3036">
        <v>58</v>
      </c>
      <c r="B3036">
        <v>1986</v>
      </c>
      <c r="C3036">
        <v>1.6E-2</v>
      </c>
    </row>
    <row r="3037" spans="1:3" x14ac:dyDescent="0.35">
      <c r="A3037">
        <v>58</v>
      </c>
      <c r="B3037">
        <v>1987</v>
      </c>
      <c r="C3037">
        <v>1.7000000000000001E-2</v>
      </c>
    </row>
    <row r="3038" spans="1:3" x14ac:dyDescent="0.35">
      <c r="A3038">
        <v>58</v>
      </c>
      <c r="B3038">
        <v>1988</v>
      </c>
      <c r="C3038">
        <v>1.8100000000000002E-2</v>
      </c>
    </row>
    <row r="3039" spans="1:3" x14ac:dyDescent="0.35">
      <c r="A3039">
        <v>58</v>
      </c>
      <c r="B3039">
        <v>1989</v>
      </c>
      <c r="C3039">
        <v>1.9199999999999998E-2</v>
      </c>
    </row>
    <row r="3040" spans="1:3" x14ac:dyDescent="0.35">
      <c r="A3040">
        <v>58</v>
      </c>
      <c r="B3040">
        <v>1990</v>
      </c>
      <c r="C3040">
        <v>2.0199999999999999E-2</v>
      </c>
    </row>
    <row r="3041" spans="1:3" x14ac:dyDescent="0.35">
      <c r="A3041">
        <v>58</v>
      </c>
      <c r="B3041">
        <v>1991</v>
      </c>
      <c r="C3041">
        <v>2.1000000000000001E-2</v>
      </c>
    </row>
    <row r="3042" spans="1:3" x14ac:dyDescent="0.35">
      <c r="A3042">
        <v>58</v>
      </c>
      <c r="B3042">
        <v>1992</v>
      </c>
      <c r="C3042">
        <v>2.1600000000000001E-2</v>
      </c>
    </row>
    <row r="3043" spans="1:3" x14ac:dyDescent="0.35">
      <c r="A3043">
        <v>58</v>
      </c>
      <c r="B3043">
        <v>1993</v>
      </c>
      <c r="C3043">
        <v>2.2100000000000002E-2</v>
      </c>
    </row>
    <row r="3044" spans="1:3" x14ac:dyDescent="0.35">
      <c r="A3044">
        <v>58</v>
      </c>
      <c r="B3044">
        <v>1994</v>
      </c>
      <c r="C3044">
        <v>2.24E-2</v>
      </c>
    </row>
    <row r="3045" spans="1:3" x14ac:dyDescent="0.35">
      <c r="A3045">
        <v>58</v>
      </c>
      <c r="B3045">
        <v>1995</v>
      </c>
      <c r="C3045">
        <v>2.2499999999999999E-2</v>
      </c>
    </row>
    <row r="3046" spans="1:3" x14ac:dyDescent="0.35">
      <c r="A3046">
        <v>58</v>
      </c>
      <c r="B3046">
        <v>1996</v>
      </c>
      <c r="C3046">
        <v>2.23E-2</v>
      </c>
    </row>
    <row r="3047" spans="1:3" x14ac:dyDescent="0.35">
      <c r="A3047">
        <v>58</v>
      </c>
      <c r="B3047">
        <v>1997</v>
      </c>
      <c r="C3047">
        <v>2.1700000000000001E-2</v>
      </c>
    </row>
    <row r="3048" spans="1:3" x14ac:dyDescent="0.35">
      <c r="A3048">
        <v>58</v>
      </c>
      <c r="B3048">
        <v>1998</v>
      </c>
      <c r="C3048">
        <v>2.07E-2</v>
      </c>
    </row>
    <row r="3049" spans="1:3" x14ac:dyDescent="0.35">
      <c r="A3049">
        <v>58</v>
      </c>
      <c r="B3049">
        <v>1999</v>
      </c>
      <c r="C3049">
        <v>1.95E-2</v>
      </c>
    </row>
    <row r="3050" spans="1:3" x14ac:dyDescent="0.35">
      <c r="A3050">
        <v>58</v>
      </c>
      <c r="B3050">
        <v>2000</v>
      </c>
      <c r="C3050">
        <v>1.8100000000000002E-2</v>
      </c>
    </row>
    <row r="3051" spans="1:3" x14ac:dyDescent="0.35">
      <c r="A3051">
        <v>58</v>
      </c>
      <c r="B3051">
        <v>2001</v>
      </c>
      <c r="C3051">
        <v>1.67E-2</v>
      </c>
    </row>
    <row r="3052" spans="1:3" x14ac:dyDescent="0.35">
      <c r="A3052">
        <v>58</v>
      </c>
      <c r="B3052">
        <v>2002</v>
      </c>
      <c r="C3052">
        <v>1.5299999999999999E-2</v>
      </c>
    </row>
    <row r="3053" spans="1:3" x14ac:dyDescent="0.35">
      <c r="A3053">
        <v>58</v>
      </c>
      <c r="B3053">
        <v>2003</v>
      </c>
      <c r="C3053">
        <v>1.3899999999999999E-2</v>
      </c>
    </row>
    <row r="3054" spans="1:3" x14ac:dyDescent="0.35">
      <c r="A3054">
        <v>58</v>
      </c>
      <c r="B3054">
        <v>2004</v>
      </c>
      <c r="C3054">
        <v>1.24E-2</v>
      </c>
    </row>
    <row r="3055" spans="1:3" x14ac:dyDescent="0.35">
      <c r="A3055">
        <v>58</v>
      </c>
      <c r="B3055">
        <v>2005</v>
      </c>
      <c r="C3055">
        <v>1.0699999999999999E-2</v>
      </c>
    </row>
    <row r="3056" spans="1:3" x14ac:dyDescent="0.35">
      <c r="A3056">
        <v>58</v>
      </c>
      <c r="B3056">
        <v>2006</v>
      </c>
      <c r="C3056">
        <v>8.9999999999999993E-3</v>
      </c>
    </row>
    <row r="3057" spans="1:3" x14ac:dyDescent="0.35">
      <c r="A3057">
        <v>58</v>
      </c>
      <c r="B3057">
        <v>2007</v>
      </c>
      <c r="C3057">
        <v>7.1999999999999998E-3</v>
      </c>
    </row>
    <row r="3058" spans="1:3" x14ac:dyDescent="0.35">
      <c r="A3058">
        <v>58</v>
      </c>
      <c r="B3058">
        <v>2008</v>
      </c>
      <c r="C3058">
        <v>5.4000000000000003E-3</v>
      </c>
    </row>
    <row r="3059" spans="1:3" x14ac:dyDescent="0.35">
      <c r="A3059">
        <v>58</v>
      </c>
      <c r="B3059">
        <v>2009</v>
      </c>
      <c r="C3059">
        <v>3.5999999999999999E-3</v>
      </c>
    </row>
    <row r="3060" spans="1:3" x14ac:dyDescent="0.35">
      <c r="A3060">
        <v>58</v>
      </c>
      <c r="B3060">
        <v>2010</v>
      </c>
      <c r="C3060">
        <v>1.5E-3</v>
      </c>
    </row>
    <row r="3061" spans="1:3" x14ac:dyDescent="0.35">
      <c r="A3061">
        <v>58</v>
      </c>
      <c r="B3061">
        <v>2011</v>
      </c>
      <c r="C3061">
        <v>-8.0000000000000004E-4</v>
      </c>
    </row>
    <row r="3062" spans="1:3" x14ac:dyDescent="0.35">
      <c r="A3062">
        <v>58</v>
      </c>
      <c r="B3062">
        <v>2012</v>
      </c>
      <c r="C3062">
        <v>-3.3E-3</v>
      </c>
    </row>
    <row r="3063" spans="1:3" x14ac:dyDescent="0.35">
      <c r="A3063">
        <v>58</v>
      </c>
      <c r="B3063">
        <v>2013</v>
      </c>
      <c r="C3063">
        <v>-2.3999999999999998E-3</v>
      </c>
    </row>
    <row r="3064" spans="1:3" x14ac:dyDescent="0.35">
      <c r="A3064">
        <v>58</v>
      </c>
      <c r="B3064">
        <v>2014</v>
      </c>
      <c r="C3064">
        <v>-8.9999999999999998E-4</v>
      </c>
    </row>
    <row r="3065" spans="1:3" x14ac:dyDescent="0.35">
      <c r="A3065">
        <v>58</v>
      </c>
      <c r="B3065">
        <v>2015</v>
      </c>
      <c r="C3065">
        <v>1.1000000000000001E-3</v>
      </c>
    </row>
    <row r="3066" spans="1:3" x14ac:dyDescent="0.35">
      <c r="A3066">
        <v>58</v>
      </c>
      <c r="B3066">
        <v>2016</v>
      </c>
      <c r="C3066">
        <v>3.3E-3</v>
      </c>
    </row>
    <row r="3067" spans="1:3" x14ac:dyDescent="0.35">
      <c r="A3067">
        <v>58</v>
      </c>
      <c r="B3067">
        <v>2017</v>
      </c>
      <c r="C3067">
        <v>5.4999999999999997E-3</v>
      </c>
    </row>
    <row r="3068" spans="1:3" x14ac:dyDescent="0.35">
      <c r="A3068">
        <v>58</v>
      </c>
      <c r="B3068">
        <v>2018</v>
      </c>
      <c r="C3068">
        <v>7.6E-3</v>
      </c>
    </row>
    <row r="3069" spans="1:3" x14ac:dyDescent="0.35">
      <c r="A3069">
        <v>58</v>
      </c>
      <c r="B3069">
        <v>2019</v>
      </c>
      <c r="C3069">
        <v>9.4999999999999998E-3</v>
      </c>
    </row>
    <row r="3070" spans="1:3" x14ac:dyDescent="0.35">
      <c r="A3070">
        <v>58</v>
      </c>
      <c r="B3070">
        <v>2020</v>
      </c>
      <c r="C3070">
        <v>1.09E-2</v>
      </c>
    </row>
    <row r="3071" spans="1:3" x14ac:dyDescent="0.35">
      <c r="A3071">
        <v>58</v>
      </c>
      <c r="B3071">
        <v>2021</v>
      </c>
      <c r="C3071">
        <v>1.18E-2</v>
      </c>
    </row>
    <row r="3072" spans="1:3" x14ac:dyDescent="0.35">
      <c r="A3072">
        <v>58</v>
      </c>
      <c r="B3072">
        <v>2022</v>
      </c>
      <c r="C3072">
        <v>1.21E-2</v>
      </c>
    </row>
    <row r="3073" spans="1:3" x14ac:dyDescent="0.35">
      <c r="A3073">
        <v>58</v>
      </c>
      <c r="B3073">
        <v>2023</v>
      </c>
      <c r="C3073">
        <v>1.2E-2</v>
      </c>
    </row>
    <row r="3074" spans="1:3" x14ac:dyDescent="0.35">
      <c r="A3074">
        <v>58</v>
      </c>
      <c r="B3074">
        <v>2024</v>
      </c>
      <c r="C3074">
        <v>1.18E-2</v>
      </c>
    </row>
    <row r="3075" spans="1:3" x14ac:dyDescent="0.35">
      <c r="A3075">
        <v>58</v>
      </c>
      <c r="B3075">
        <v>2025</v>
      </c>
      <c r="C3075">
        <v>1.14E-2</v>
      </c>
    </row>
    <row r="3076" spans="1:3" x14ac:dyDescent="0.35">
      <c r="A3076">
        <v>58</v>
      </c>
      <c r="B3076">
        <v>2026</v>
      </c>
      <c r="C3076">
        <v>1.09E-2</v>
      </c>
    </row>
    <row r="3077" spans="1:3" x14ac:dyDescent="0.35">
      <c r="A3077">
        <v>58</v>
      </c>
      <c r="B3077">
        <v>2027</v>
      </c>
      <c r="C3077">
        <v>1.06E-2</v>
      </c>
    </row>
    <row r="3078" spans="1:3" x14ac:dyDescent="0.35">
      <c r="A3078">
        <v>58</v>
      </c>
      <c r="B3078">
        <v>2028</v>
      </c>
      <c r="C3078">
        <v>1.03E-2</v>
      </c>
    </row>
    <row r="3079" spans="1:3" x14ac:dyDescent="0.35">
      <c r="A3079">
        <v>58</v>
      </c>
      <c r="B3079">
        <v>2029</v>
      </c>
      <c r="C3079">
        <v>1.01E-2</v>
      </c>
    </row>
    <row r="3080" spans="1:3" x14ac:dyDescent="0.35">
      <c r="A3080">
        <v>58</v>
      </c>
      <c r="B3080">
        <v>2030</v>
      </c>
      <c r="C3080">
        <v>0.01</v>
      </c>
    </row>
    <row r="3081" spans="1:3" x14ac:dyDescent="0.35">
      <c r="A3081">
        <v>58</v>
      </c>
      <c r="B3081">
        <v>2031</v>
      </c>
      <c r="C3081">
        <v>0.01</v>
      </c>
    </row>
    <row r="3082" spans="1:3" x14ac:dyDescent="0.35">
      <c r="A3082">
        <v>59</v>
      </c>
      <c r="B3082">
        <v>1951</v>
      </c>
      <c r="C3082">
        <v>1.3899999999999999E-2</v>
      </c>
    </row>
    <row r="3083" spans="1:3" x14ac:dyDescent="0.35">
      <c r="A3083">
        <v>59</v>
      </c>
      <c r="B3083">
        <v>1952</v>
      </c>
      <c r="C3083">
        <v>1.2200000000000001E-2</v>
      </c>
    </row>
    <row r="3084" spans="1:3" x14ac:dyDescent="0.35">
      <c r="A3084">
        <v>59</v>
      </c>
      <c r="B3084">
        <v>1953</v>
      </c>
      <c r="C3084">
        <v>1.04E-2</v>
      </c>
    </row>
    <row r="3085" spans="1:3" x14ac:dyDescent="0.35">
      <c r="A3085">
        <v>59</v>
      </c>
      <c r="B3085">
        <v>1954</v>
      </c>
      <c r="C3085">
        <v>8.5000000000000006E-3</v>
      </c>
    </row>
    <row r="3086" spans="1:3" x14ac:dyDescent="0.35">
      <c r="A3086">
        <v>59</v>
      </c>
      <c r="B3086">
        <v>1955</v>
      </c>
      <c r="C3086">
        <v>6.4999999999999997E-3</v>
      </c>
    </row>
    <row r="3087" spans="1:3" x14ac:dyDescent="0.35">
      <c r="A3087">
        <v>59</v>
      </c>
      <c r="B3087">
        <v>1956</v>
      </c>
      <c r="C3087">
        <v>4.4999999999999997E-3</v>
      </c>
    </row>
    <row r="3088" spans="1:3" x14ac:dyDescent="0.35">
      <c r="A3088">
        <v>59</v>
      </c>
      <c r="B3088">
        <v>1957</v>
      </c>
      <c r="C3088">
        <v>2.8E-3</v>
      </c>
    </row>
    <row r="3089" spans="1:3" x14ac:dyDescent="0.35">
      <c r="A3089">
        <v>59</v>
      </c>
      <c r="B3089">
        <v>1958</v>
      </c>
      <c r="C3089">
        <v>1.4E-3</v>
      </c>
    </row>
    <row r="3090" spans="1:3" x14ac:dyDescent="0.35">
      <c r="A3090">
        <v>59</v>
      </c>
      <c r="B3090">
        <v>1959</v>
      </c>
      <c r="C3090">
        <v>2.0000000000000001E-4</v>
      </c>
    </row>
    <row r="3091" spans="1:3" x14ac:dyDescent="0.35">
      <c r="A3091">
        <v>59</v>
      </c>
      <c r="B3091">
        <v>1960</v>
      </c>
      <c r="C3091">
        <v>-8.9999999999999998E-4</v>
      </c>
    </row>
    <row r="3092" spans="1:3" x14ac:dyDescent="0.35">
      <c r="A3092">
        <v>59</v>
      </c>
      <c r="B3092">
        <v>1961</v>
      </c>
      <c r="C3092">
        <v>-1.9E-3</v>
      </c>
    </row>
    <row r="3093" spans="1:3" x14ac:dyDescent="0.35">
      <c r="A3093">
        <v>59</v>
      </c>
      <c r="B3093">
        <v>1962</v>
      </c>
      <c r="C3093">
        <v>-2.7000000000000001E-3</v>
      </c>
    </row>
    <row r="3094" spans="1:3" x14ac:dyDescent="0.35">
      <c r="A3094">
        <v>59</v>
      </c>
      <c r="B3094">
        <v>1963</v>
      </c>
      <c r="C3094">
        <v>-3.2000000000000002E-3</v>
      </c>
    </row>
    <row r="3095" spans="1:3" x14ac:dyDescent="0.35">
      <c r="A3095">
        <v>59</v>
      </c>
      <c r="B3095">
        <v>1964</v>
      </c>
      <c r="C3095">
        <v>-3.2000000000000002E-3</v>
      </c>
    </row>
    <row r="3096" spans="1:3" x14ac:dyDescent="0.35">
      <c r="A3096">
        <v>59</v>
      </c>
      <c r="B3096">
        <v>1965</v>
      </c>
      <c r="C3096">
        <v>-2.5000000000000001E-3</v>
      </c>
    </row>
    <row r="3097" spans="1:3" x14ac:dyDescent="0.35">
      <c r="A3097">
        <v>59</v>
      </c>
      <c r="B3097">
        <v>1966</v>
      </c>
      <c r="C3097">
        <v>-1.1999999999999999E-3</v>
      </c>
    </row>
    <row r="3098" spans="1:3" x14ac:dyDescent="0.35">
      <c r="A3098">
        <v>59</v>
      </c>
      <c r="B3098">
        <v>1967</v>
      </c>
      <c r="C3098">
        <v>1E-3</v>
      </c>
    </row>
    <row r="3099" spans="1:3" x14ac:dyDescent="0.35">
      <c r="A3099">
        <v>59</v>
      </c>
      <c r="B3099">
        <v>1968</v>
      </c>
      <c r="C3099">
        <v>3.8999999999999998E-3</v>
      </c>
    </row>
    <row r="3100" spans="1:3" x14ac:dyDescent="0.35">
      <c r="A3100">
        <v>59</v>
      </c>
      <c r="B3100">
        <v>1969</v>
      </c>
      <c r="C3100">
        <v>7.4999999999999997E-3</v>
      </c>
    </row>
    <row r="3101" spans="1:3" x14ac:dyDescent="0.35">
      <c r="A3101">
        <v>59</v>
      </c>
      <c r="B3101">
        <v>1970</v>
      </c>
      <c r="C3101">
        <v>1.15E-2</v>
      </c>
    </row>
    <row r="3102" spans="1:3" x14ac:dyDescent="0.35">
      <c r="A3102">
        <v>59</v>
      </c>
      <c r="B3102">
        <v>1971</v>
      </c>
      <c r="C3102">
        <v>1.5699999999999999E-2</v>
      </c>
    </row>
    <row r="3103" spans="1:3" x14ac:dyDescent="0.35">
      <c r="A3103">
        <v>59</v>
      </c>
      <c r="B3103">
        <v>1972</v>
      </c>
      <c r="C3103">
        <v>1.9699999999999999E-2</v>
      </c>
    </row>
    <row r="3104" spans="1:3" x14ac:dyDescent="0.35">
      <c r="A3104">
        <v>59</v>
      </c>
      <c r="B3104">
        <v>1973</v>
      </c>
      <c r="C3104">
        <v>2.3199999999999998E-2</v>
      </c>
    </row>
    <row r="3105" spans="1:3" x14ac:dyDescent="0.35">
      <c r="A3105">
        <v>59</v>
      </c>
      <c r="B3105">
        <v>1974</v>
      </c>
      <c r="C3105">
        <v>2.5899999999999999E-2</v>
      </c>
    </row>
    <row r="3106" spans="1:3" x14ac:dyDescent="0.35">
      <c r="A3106">
        <v>59</v>
      </c>
      <c r="B3106">
        <v>1975</v>
      </c>
      <c r="C3106">
        <v>2.7400000000000001E-2</v>
      </c>
    </row>
    <row r="3107" spans="1:3" x14ac:dyDescent="0.35">
      <c r="A3107">
        <v>59</v>
      </c>
      <c r="B3107">
        <v>1976</v>
      </c>
      <c r="C3107">
        <v>2.76E-2</v>
      </c>
    </row>
    <row r="3108" spans="1:3" x14ac:dyDescent="0.35">
      <c r="A3108">
        <v>59</v>
      </c>
      <c r="B3108">
        <v>1977</v>
      </c>
      <c r="C3108">
        <v>2.6599999999999999E-2</v>
      </c>
    </row>
    <row r="3109" spans="1:3" x14ac:dyDescent="0.35">
      <c r="A3109">
        <v>59</v>
      </c>
      <c r="B3109">
        <v>1978</v>
      </c>
      <c r="C3109">
        <v>2.46E-2</v>
      </c>
    </row>
    <row r="3110" spans="1:3" x14ac:dyDescent="0.35">
      <c r="A3110">
        <v>59</v>
      </c>
      <c r="B3110">
        <v>1979</v>
      </c>
      <c r="C3110">
        <v>2.2200000000000001E-2</v>
      </c>
    </row>
    <row r="3111" spans="1:3" x14ac:dyDescent="0.35">
      <c r="A3111">
        <v>59</v>
      </c>
      <c r="B3111">
        <v>1980</v>
      </c>
      <c r="C3111">
        <v>1.95E-2</v>
      </c>
    </row>
    <row r="3112" spans="1:3" x14ac:dyDescent="0.35">
      <c r="A3112">
        <v>59</v>
      </c>
      <c r="B3112">
        <v>1981</v>
      </c>
      <c r="C3112">
        <v>1.72E-2</v>
      </c>
    </row>
    <row r="3113" spans="1:3" x14ac:dyDescent="0.35">
      <c r="A3113">
        <v>59</v>
      </c>
      <c r="B3113">
        <v>1982</v>
      </c>
      <c r="C3113">
        <v>1.54E-2</v>
      </c>
    </row>
    <row r="3114" spans="1:3" x14ac:dyDescent="0.35">
      <c r="A3114">
        <v>59</v>
      </c>
      <c r="B3114">
        <v>1983</v>
      </c>
      <c r="C3114">
        <v>1.44E-2</v>
      </c>
    </row>
    <row r="3115" spans="1:3" x14ac:dyDescent="0.35">
      <c r="A3115">
        <v>59</v>
      </c>
      <c r="B3115">
        <v>1984</v>
      </c>
      <c r="C3115">
        <v>1.41E-2</v>
      </c>
    </row>
    <row r="3116" spans="1:3" x14ac:dyDescent="0.35">
      <c r="A3116">
        <v>59</v>
      </c>
      <c r="B3116">
        <v>1985</v>
      </c>
      <c r="C3116">
        <v>1.4500000000000001E-2</v>
      </c>
    </row>
    <row r="3117" spans="1:3" x14ac:dyDescent="0.35">
      <c r="A3117">
        <v>59</v>
      </c>
      <c r="B3117">
        <v>1986</v>
      </c>
      <c r="C3117">
        <v>1.5299999999999999E-2</v>
      </c>
    </row>
    <row r="3118" spans="1:3" x14ac:dyDescent="0.35">
      <c r="A3118">
        <v>59</v>
      </c>
      <c r="B3118">
        <v>1987</v>
      </c>
      <c r="C3118">
        <v>1.6400000000000001E-2</v>
      </c>
    </row>
    <row r="3119" spans="1:3" x14ac:dyDescent="0.35">
      <c r="A3119">
        <v>59</v>
      </c>
      <c r="B3119">
        <v>1988</v>
      </c>
      <c r="C3119">
        <v>1.7600000000000001E-2</v>
      </c>
    </row>
    <row r="3120" spans="1:3" x14ac:dyDescent="0.35">
      <c r="A3120">
        <v>59</v>
      </c>
      <c r="B3120">
        <v>1989</v>
      </c>
      <c r="C3120">
        <v>1.8800000000000001E-2</v>
      </c>
    </row>
    <row r="3121" spans="1:3" x14ac:dyDescent="0.35">
      <c r="A3121">
        <v>59</v>
      </c>
      <c r="B3121">
        <v>1990</v>
      </c>
      <c r="C3121">
        <v>1.9800000000000002E-2</v>
      </c>
    </row>
    <row r="3122" spans="1:3" x14ac:dyDescent="0.35">
      <c r="A3122">
        <v>59</v>
      </c>
      <c r="B3122">
        <v>1991</v>
      </c>
      <c r="C3122">
        <v>2.06E-2</v>
      </c>
    </row>
    <row r="3123" spans="1:3" x14ac:dyDescent="0.35">
      <c r="A3123">
        <v>59</v>
      </c>
      <c r="B3123">
        <v>1992</v>
      </c>
      <c r="C3123">
        <v>2.12E-2</v>
      </c>
    </row>
    <row r="3124" spans="1:3" x14ac:dyDescent="0.35">
      <c r="A3124">
        <v>59</v>
      </c>
      <c r="B3124">
        <v>1993</v>
      </c>
      <c r="C3124">
        <v>2.1600000000000001E-2</v>
      </c>
    </row>
    <row r="3125" spans="1:3" x14ac:dyDescent="0.35">
      <c r="A3125">
        <v>59</v>
      </c>
      <c r="B3125">
        <v>1994</v>
      </c>
      <c r="C3125">
        <v>2.1899999999999999E-2</v>
      </c>
    </row>
    <row r="3126" spans="1:3" x14ac:dyDescent="0.35">
      <c r="A3126">
        <v>59</v>
      </c>
      <c r="B3126">
        <v>1995</v>
      </c>
      <c r="C3126">
        <v>2.2100000000000002E-2</v>
      </c>
    </row>
    <row r="3127" spans="1:3" x14ac:dyDescent="0.35">
      <c r="A3127">
        <v>59</v>
      </c>
      <c r="B3127">
        <v>1996</v>
      </c>
      <c r="C3127">
        <v>2.2200000000000001E-2</v>
      </c>
    </row>
    <row r="3128" spans="1:3" x14ac:dyDescent="0.35">
      <c r="A3128">
        <v>59</v>
      </c>
      <c r="B3128">
        <v>1997</v>
      </c>
      <c r="C3128">
        <v>2.1999999999999999E-2</v>
      </c>
    </row>
    <row r="3129" spans="1:3" x14ac:dyDescent="0.35">
      <c r="A3129">
        <v>59</v>
      </c>
      <c r="B3129">
        <v>1998</v>
      </c>
      <c r="C3129">
        <v>2.1499999999999998E-2</v>
      </c>
    </row>
    <row r="3130" spans="1:3" x14ac:dyDescent="0.35">
      <c r="A3130">
        <v>59</v>
      </c>
      <c r="B3130">
        <v>1999</v>
      </c>
      <c r="C3130">
        <v>2.0799999999999999E-2</v>
      </c>
    </row>
    <row r="3131" spans="1:3" x14ac:dyDescent="0.35">
      <c r="A3131">
        <v>59</v>
      </c>
      <c r="B3131">
        <v>2000</v>
      </c>
      <c r="C3131">
        <v>1.9900000000000001E-2</v>
      </c>
    </row>
    <row r="3132" spans="1:3" x14ac:dyDescent="0.35">
      <c r="A3132">
        <v>59</v>
      </c>
      <c r="B3132">
        <v>2001</v>
      </c>
      <c r="C3132">
        <v>1.8800000000000001E-2</v>
      </c>
    </row>
    <row r="3133" spans="1:3" x14ac:dyDescent="0.35">
      <c r="A3133">
        <v>59</v>
      </c>
      <c r="B3133">
        <v>2002</v>
      </c>
      <c r="C3133">
        <v>1.77E-2</v>
      </c>
    </row>
    <row r="3134" spans="1:3" x14ac:dyDescent="0.35">
      <c r="A3134">
        <v>59</v>
      </c>
      <c r="B3134">
        <v>2003</v>
      </c>
      <c r="C3134">
        <v>1.6500000000000001E-2</v>
      </c>
    </row>
    <row r="3135" spans="1:3" x14ac:dyDescent="0.35">
      <c r="A3135">
        <v>59</v>
      </c>
      <c r="B3135">
        <v>2004</v>
      </c>
      <c r="C3135">
        <v>1.5100000000000001E-2</v>
      </c>
    </row>
    <row r="3136" spans="1:3" x14ac:dyDescent="0.35">
      <c r="A3136">
        <v>59</v>
      </c>
      <c r="B3136">
        <v>2005</v>
      </c>
      <c r="C3136">
        <v>1.35E-2</v>
      </c>
    </row>
    <row r="3137" spans="1:3" x14ac:dyDescent="0.35">
      <c r="A3137">
        <v>59</v>
      </c>
      <c r="B3137">
        <v>2006</v>
      </c>
      <c r="C3137">
        <v>1.1599999999999999E-2</v>
      </c>
    </row>
    <row r="3138" spans="1:3" x14ac:dyDescent="0.35">
      <c r="A3138">
        <v>59</v>
      </c>
      <c r="B3138">
        <v>2007</v>
      </c>
      <c r="C3138">
        <v>9.4999999999999998E-3</v>
      </c>
    </row>
    <row r="3139" spans="1:3" x14ac:dyDescent="0.35">
      <c r="A3139">
        <v>59</v>
      </c>
      <c r="B3139">
        <v>2008</v>
      </c>
      <c r="C3139">
        <v>7.3000000000000001E-3</v>
      </c>
    </row>
    <row r="3140" spans="1:3" x14ac:dyDescent="0.35">
      <c r="A3140">
        <v>59</v>
      </c>
      <c r="B3140">
        <v>2009</v>
      </c>
      <c r="C3140">
        <v>4.8999999999999998E-3</v>
      </c>
    </row>
    <row r="3141" spans="1:3" x14ac:dyDescent="0.35">
      <c r="A3141">
        <v>59</v>
      </c>
      <c r="B3141">
        <v>2010</v>
      </c>
      <c r="C3141">
        <v>2.2000000000000001E-3</v>
      </c>
    </row>
    <row r="3142" spans="1:3" x14ac:dyDescent="0.35">
      <c r="A3142">
        <v>59</v>
      </c>
      <c r="B3142">
        <v>2011</v>
      </c>
      <c r="C3142">
        <v>-8.0000000000000004E-4</v>
      </c>
    </row>
    <row r="3143" spans="1:3" x14ac:dyDescent="0.35">
      <c r="A3143">
        <v>59</v>
      </c>
      <c r="B3143">
        <v>2012</v>
      </c>
      <c r="C3143">
        <v>-4.1000000000000003E-3</v>
      </c>
    </row>
    <row r="3144" spans="1:3" x14ac:dyDescent="0.35">
      <c r="A3144">
        <v>59</v>
      </c>
      <c r="B3144">
        <v>2013</v>
      </c>
      <c r="C3144">
        <v>-3.5000000000000001E-3</v>
      </c>
    </row>
    <row r="3145" spans="1:3" x14ac:dyDescent="0.35">
      <c r="A3145">
        <v>59</v>
      </c>
      <c r="B3145">
        <v>2014</v>
      </c>
      <c r="C3145">
        <v>-2.0999999999999999E-3</v>
      </c>
    </row>
    <row r="3146" spans="1:3" x14ac:dyDescent="0.35">
      <c r="A3146">
        <v>59</v>
      </c>
      <c r="B3146">
        <v>2015</v>
      </c>
      <c r="C3146">
        <v>-2.9999999999999997E-4</v>
      </c>
    </row>
    <row r="3147" spans="1:3" x14ac:dyDescent="0.35">
      <c r="A3147">
        <v>59</v>
      </c>
      <c r="B3147">
        <v>2016</v>
      </c>
      <c r="C3147">
        <v>1.9E-3</v>
      </c>
    </row>
    <row r="3148" spans="1:3" x14ac:dyDescent="0.35">
      <c r="A3148">
        <v>59</v>
      </c>
      <c r="B3148">
        <v>2017</v>
      </c>
      <c r="C3148">
        <v>4.1999999999999997E-3</v>
      </c>
    </row>
    <row r="3149" spans="1:3" x14ac:dyDescent="0.35">
      <c r="A3149">
        <v>59</v>
      </c>
      <c r="B3149">
        <v>2018</v>
      </c>
      <c r="C3149">
        <v>6.4000000000000003E-3</v>
      </c>
    </row>
    <row r="3150" spans="1:3" x14ac:dyDescent="0.35">
      <c r="A3150">
        <v>59</v>
      </c>
      <c r="B3150">
        <v>2019</v>
      </c>
      <c r="C3150">
        <v>8.3999999999999995E-3</v>
      </c>
    </row>
    <row r="3151" spans="1:3" x14ac:dyDescent="0.35">
      <c r="A3151">
        <v>59</v>
      </c>
      <c r="B3151">
        <v>2020</v>
      </c>
      <c r="C3151">
        <v>1.01E-2</v>
      </c>
    </row>
    <row r="3152" spans="1:3" x14ac:dyDescent="0.35">
      <c r="A3152">
        <v>59</v>
      </c>
      <c r="B3152">
        <v>2021</v>
      </c>
      <c r="C3152">
        <v>1.12E-2</v>
      </c>
    </row>
    <row r="3153" spans="1:3" x14ac:dyDescent="0.35">
      <c r="A3153">
        <v>59</v>
      </c>
      <c r="B3153">
        <v>2022</v>
      </c>
      <c r="C3153">
        <v>1.17E-2</v>
      </c>
    </row>
    <row r="3154" spans="1:3" x14ac:dyDescent="0.35">
      <c r="A3154">
        <v>59</v>
      </c>
      <c r="B3154">
        <v>2023</v>
      </c>
      <c r="C3154">
        <v>1.18E-2</v>
      </c>
    </row>
    <row r="3155" spans="1:3" x14ac:dyDescent="0.35">
      <c r="A3155">
        <v>59</v>
      </c>
      <c r="B3155">
        <v>2024</v>
      </c>
      <c r="C3155">
        <v>1.17E-2</v>
      </c>
    </row>
    <row r="3156" spans="1:3" x14ac:dyDescent="0.35">
      <c r="A3156">
        <v>59</v>
      </c>
      <c r="B3156">
        <v>2025</v>
      </c>
      <c r="C3156">
        <v>1.14E-2</v>
      </c>
    </row>
    <row r="3157" spans="1:3" x14ac:dyDescent="0.35">
      <c r="A3157">
        <v>59</v>
      </c>
      <c r="B3157">
        <v>2026</v>
      </c>
      <c r="C3157">
        <v>1.0999999999999999E-2</v>
      </c>
    </row>
    <row r="3158" spans="1:3" x14ac:dyDescent="0.35">
      <c r="A3158">
        <v>59</v>
      </c>
      <c r="B3158">
        <v>2027</v>
      </c>
      <c r="C3158">
        <v>1.0699999999999999E-2</v>
      </c>
    </row>
    <row r="3159" spans="1:3" x14ac:dyDescent="0.35">
      <c r="A3159">
        <v>59</v>
      </c>
      <c r="B3159">
        <v>2028</v>
      </c>
      <c r="C3159">
        <v>1.04E-2</v>
      </c>
    </row>
    <row r="3160" spans="1:3" x14ac:dyDescent="0.35">
      <c r="A3160">
        <v>59</v>
      </c>
      <c r="B3160">
        <v>2029</v>
      </c>
      <c r="C3160">
        <v>1.01E-2</v>
      </c>
    </row>
    <row r="3161" spans="1:3" x14ac:dyDescent="0.35">
      <c r="A3161">
        <v>59</v>
      </c>
      <c r="B3161">
        <v>2030</v>
      </c>
      <c r="C3161">
        <v>0.01</v>
      </c>
    </row>
    <row r="3162" spans="1:3" x14ac:dyDescent="0.35">
      <c r="A3162">
        <v>59</v>
      </c>
      <c r="B3162">
        <v>2031</v>
      </c>
      <c r="C3162">
        <v>0.01</v>
      </c>
    </row>
    <row r="3163" spans="1:3" x14ac:dyDescent="0.35">
      <c r="A3163">
        <v>60</v>
      </c>
      <c r="B3163">
        <v>1951</v>
      </c>
      <c r="C3163">
        <v>1.2999999999999999E-2</v>
      </c>
    </row>
    <row r="3164" spans="1:3" x14ac:dyDescent="0.35">
      <c r="A3164">
        <v>60</v>
      </c>
      <c r="B3164">
        <v>1952</v>
      </c>
      <c r="C3164">
        <v>1.12E-2</v>
      </c>
    </row>
    <row r="3165" spans="1:3" x14ac:dyDescent="0.35">
      <c r="A3165">
        <v>60</v>
      </c>
      <c r="B3165">
        <v>1953</v>
      </c>
      <c r="C3165">
        <v>9.4000000000000004E-3</v>
      </c>
    </row>
    <row r="3166" spans="1:3" x14ac:dyDescent="0.35">
      <c r="A3166">
        <v>60</v>
      </c>
      <c r="B3166">
        <v>1954</v>
      </c>
      <c r="C3166">
        <v>7.4999999999999997E-3</v>
      </c>
    </row>
    <row r="3167" spans="1:3" x14ac:dyDescent="0.35">
      <c r="A3167">
        <v>60</v>
      </c>
      <c r="B3167">
        <v>1955</v>
      </c>
      <c r="C3167">
        <v>5.4000000000000003E-3</v>
      </c>
    </row>
    <row r="3168" spans="1:3" x14ac:dyDescent="0.35">
      <c r="A3168">
        <v>60</v>
      </c>
      <c r="B3168">
        <v>1956</v>
      </c>
      <c r="C3168">
        <v>3.5000000000000001E-3</v>
      </c>
    </row>
    <row r="3169" spans="1:3" x14ac:dyDescent="0.35">
      <c r="A3169">
        <v>60</v>
      </c>
      <c r="B3169">
        <v>1957</v>
      </c>
      <c r="C3169">
        <v>1.8E-3</v>
      </c>
    </row>
    <row r="3170" spans="1:3" x14ac:dyDescent="0.35">
      <c r="A3170">
        <v>60</v>
      </c>
      <c r="B3170">
        <v>1958</v>
      </c>
      <c r="C3170">
        <v>5.0000000000000001E-4</v>
      </c>
    </row>
    <row r="3171" spans="1:3" x14ac:dyDescent="0.35">
      <c r="A3171">
        <v>60</v>
      </c>
      <c r="B3171">
        <v>1959</v>
      </c>
      <c r="C3171">
        <v>-6.9999999999999999E-4</v>
      </c>
    </row>
    <row r="3172" spans="1:3" x14ac:dyDescent="0.35">
      <c r="A3172">
        <v>60</v>
      </c>
      <c r="B3172">
        <v>1960</v>
      </c>
      <c r="C3172">
        <v>-1.6999999999999999E-3</v>
      </c>
    </row>
    <row r="3173" spans="1:3" x14ac:dyDescent="0.35">
      <c r="A3173">
        <v>60</v>
      </c>
      <c r="B3173">
        <v>1961</v>
      </c>
      <c r="C3173">
        <v>-2.5999999999999999E-3</v>
      </c>
    </row>
    <row r="3174" spans="1:3" x14ac:dyDescent="0.35">
      <c r="A3174">
        <v>60</v>
      </c>
      <c r="B3174">
        <v>1962</v>
      </c>
      <c r="C3174">
        <v>-3.2000000000000002E-3</v>
      </c>
    </row>
    <row r="3175" spans="1:3" x14ac:dyDescent="0.35">
      <c r="A3175">
        <v>60</v>
      </c>
      <c r="B3175">
        <v>1963</v>
      </c>
      <c r="C3175">
        <v>-3.5000000000000001E-3</v>
      </c>
    </row>
    <row r="3176" spans="1:3" x14ac:dyDescent="0.35">
      <c r="A3176">
        <v>60</v>
      </c>
      <c r="B3176">
        <v>1964</v>
      </c>
      <c r="C3176">
        <v>-3.3E-3</v>
      </c>
    </row>
    <row r="3177" spans="1:3" x14ac:dyDescent="0.35">
      <c r="A3177">
        <v>60</v>
      </c>
      <c r="B3177">
        <v>1965</v>
      </c>
      <c r="C3177">
        <v>-2.3999999999999998E-3</v>
      </c>
    </row>
    <row r="3178" spans="1:3" x14ac:dyDescent="0.35">
      <c r="A3178">
        <v>60</v>
      </c>
      <c r="B3178">
        <v>1966</v>
      </c>
      <c r="C3178">
        <v>-8.9999999999999998E-4</v>
      </c>
    </row>
    <row r="3179" spans="1:3" x14ac:dyDescent="0.35">
      <c r="A3179">
        <v>60</v>
      </c>
      <c r="B3179">
        <v>1967</v>
      </c>
      <c r="C3179">
        <v>1.4E-3</v>
      </c>
    </row>
    <row r="3180" spans="1:3" x14ac:dyDescent="0.35">
      <c r="A3180">
        <v>60</v>
      </c>
      <c r="B3180">
        <v>1968</v>
      </c>
      <c r="C3180">
        <v>4.3E-3</v>
      </c>
    </row>
    <row r="3181" spans="1:3" x14ac:dyDescent="0.35">
      <c r="A3181">
        <v>60</v>
      </c>
      <c r="B3181">
        <v>1969</v>
      </c>
      <c r="C3181">
        <v>7.7999999999999996E-3</v>
      </c>
    </row>
    <row r="3182" spans="1:3" x14ac:dyDescent="0.35">
      <c r="A3182">
        <v>60</v>
      </c>
      <c r="B3182">
        <v>1970</v>
      </c>
      <c r="C3182">
        <v>1.1599999999999999E-2</v>
      </c>
    </row>
    <row r="3183" spans="1:3" x14ac:dyDescent="0.35">
      <c r="A3183">
        <v>60</v>
      </c>
      <c r="B3183">
        <v>1971</v>
      </c>
      <c r="C3183">
        <v>1.55E-2</v>
      </c>
    </row>
    <row r="3184" spans="1:3" x14ac:dyDescent="0.35">
      <c r="A3184">
        <v>60</v>
      </c>
      <c r="B3184">
        <v>1972</v>
      </c>
      <c r="C3184">
        <v>1.9199999999999998E-2</v>
      </c>
    </row>
    <row r="3185" spans="1:3" x14ac:dyDescent="0.35">
      <c r="A3185">
        <v>60</v>
      </c>
      <c r="B3185">
        <v>1973</v>
      </c>
      <c r="C3185">
        <v>2.2599999999999999E-2</v>
      </c>
    </row>
    <row r="3186" spans="1:3" x14ac:dyDescent="0.35">
      <c r="A3186">
        <v>60</v>
      </c>
      <c r="B3186">
        <v>1974</v>
      </c>
      <c r="C3186">
        <v>2.5100000000000001E-2</v>
      </c>
    </row>
    <row r="3187" spans="1:3" x14ac:dyDescent="0.35">
      <c r="A3187">
        <v>60</v>
      </c>
      <c r="B3187">
        <v>1975</v>
      </c>
      <c r="C3187">
        <v>2.6599999999999999E-2</v>
      </c>
    </row>
    <row r="3188" spans="1:3" x14ac:dyDescent="0.35">
      <c r="A3188">
        <v>60</v>
      </c>
      <c r="B3188">
        <v>1976</v>
      </c>
      <c r="C3188">
        <v>2.69E-2</v>
      </c>
    </row>
    <row r="3189" spans="1:3" x14ac:dyDescent="0.35">
      <c r="A3189">
        <v>60</v>
      </c>
      <c r="B3189">
        <v>1977</v>
      </c>
      <c r="C3189">
        <v>2.6100000000000002E-2</v>
      </c>
    </row>
    <row r="3190" spans="1:3" x14ac:dyDescent="0.35">
      <c r="A3190">
        <v>60</v>
      </c>
      <c r="B3190">
        <v>1978</v>
      </c>
      <c r="C3190">
        <v>2.4400000000000002E-2</v>
      </c>
    </row>
    <row r="3191" spans="1:3" x14ac:dyDescent="0.35">
      <c r="A3191">
        <v>60</v>
      </c>
      <c r="B3191">
        <v>1979</v>
      </c>
      <c r="C3191">
        <v>2.2200000000000001E-2</v>
      </c>
    </row>
    <row r="3192" spans="1:3" x14ac:dyDescent="0.35">
      <c r="A3192">
        <v>60</v>
      </c>
      <c r="B3192">
        <v>1980</v>
      </c>
      <c r="C3192">
        <v>1.9699999999999999E-2</v>
      </c>
    </row>
    <row r="3193" spans="1:3" x14ac:dyDescent="0.35">
      <c r="A3193">
        <v>60</v>
      </c>
      <c r="B3193">
        <v>1981</v>
      </c>
      <c r="C3193">
        <v>1.7399999999999999E-2</v>
      </c>
    </row>
    <row r="3194" spans="1:3" x14ac:dyDescent="0.35">
      <c r="A3194">
        <v>60</v>
      </c>
      <c r="B3194">
        <v>1982</v>
      </c>
      <c r="C3194">
        <v>1.54E-2</v>
      </c>
    </row>
    <row r="3195" spans="1:3" x14ac:dyDescent="0.35">
      <c r="A3195">
        <v>60</v>
      </c>
      <c r="B3195">
        <v>1983</v>
      </c>
      <c r="C3195">
        <v>1.4200000000000001E-2</v>
      </c>
    </row>
    <row r="3196" spans="1:3" x14ac:dyDescent="0.35">
      <c r="A3196">
        <v>60</v>
      </c>
      <c r="B3196">
        <v>1984</v>
      </c>
      <c r="C3196">
        <v>1.37E-2</v>
      </c>
    </row>
    <row r="3197" spans="1:3" x14ac:dyDescent="0.35">
      <c r="A3197">
        <v>60</v>
      </c>
      <c r="B3197">
        <v>1985</v>
      </c>
      <c r="C3197">
        <v>1.4E-2</v>
      </c>
    </row>
    <row r="3198" spans="1:3" x14ac:dyDescent="0.35">
      <c r="A3198">
        <v>60</v>
      </c>
      <c r="B3198">
        <v>1986</v>
      </c>
      <c r="C3198">
        <v>1.4800000000000001E-2</v>
      </c>
    </row>
    <row r="3199" spans="1:3" x14ac:dyDescent="0.35">
      <c r="A3199">
        <v>60</v>
      </c>
      <c r="B3199">
        <v>1987</v>
      </c>
      <c r="C3199">
        <v>1.5900000000000001E-2</v>
      </c>
    </row>
    <row r="3200" spans="1:3" x14ac:dyDescent="0.35">
      <c r="A3200">
        <v>60</v>
      </c>
      <c r="B3200">
        <v>1988</v>
      </c>
      <c r="C3200">
        <v>1.72E-2</v>
      </c>
    </row>
    <row r="3201" spans="1:3" x14ac:dyDescent="0.35">
      <c r="A3201">
        <v>60</v>
      </c>
      <c r="B3201">
        <v>1989</v>
      </c>
      <c r="C3201">
        <v>1.84E-2</v>
      </c>
    </row>
    <row r="3202" spans="1:3" x14ac:dyDescent="0.35">
      <c r="A3202">
        <v>60</v>
      </c>
      <c r="B3202">
        <v>1990</v>
      </c>
      <c r="C3202">
        <v>1.9400000000000001E-2</v>
      </c>
    </row>
    <row r="3203" spans="1:3" x14ac:dyDescent="0.35">
      <c r="A3203">
        <v>60</v>
      </c>
      <c r="B3203">
        <v>1991</v>
      </c>
      <c r="C3203">
        <v>2.01E-2</v>
      </c>
    </row>
    <row r="3204" spans="1:3" x14ac:dyDescent="0.35">
      <c r="A3204">
        <v>60</v>
      </c>
      <c r="B3204">
        <v>1992</v>
      </c>
      <c r="C3204">
        <v>2.0500000000000001E-2</v>
      </c>
    </row>
    <row r="3205" spans="1:3" x14ac:dyDescent="0.35">
      <c r="A3205">
        <v>60</v>
      </c>
      <c r="B3205">
        <v>1993</v>
      </c>
      <c r="C3205">
        <v>2.0799999999999999E-2</v>
      </c>
    </row>
    <row r="3206" spans="1:3" x14ac:dyDescent="0.35">
      <c r="A3206">
        <v>60</v>
      </c>
      <c r="B3206">
        <v>1994</v>
      </c>
      <c r="C3206">
        <v>2.12E-2</v>
      </c>
    </row>
    <row r="3207" spans="1:3" x14ac:dyDescent="0.35">
      <c r="A3207">
        <v>60</v>
      </c>
      <c r="B3207">
        <v>1995</v>
      </c>
      <c r="C3207">
        <v>2.1499999999999998E-2</v>
      </c>
    </row>
    <row r="3208" spans="1:3" x14ac:dyDescent="0.35">
      <c r="A3208">
        <v>60</v>
      </c>
      <c r="B3208">
        <v>1996</v>
      </c>
      <c r="C3208">
        <v>2.1899999999999999E-2</v>
      </c>
    </row>
    <row r="3209" spans="1:3" x14ac:dyDescent="0.35">
      <c r="A3209">
        <v>60</v>
      </c>
      <c r="B3209">
        <v>1997</v>
      </c>
      <c r="C3209">
        <v>2.2100000000000002E-2</v>
      </c>
    </row>
    <row r="3210" spans="1:3" x14ac:dyDescent="0.35">
      <c r="A3210">
        <v>60</v>
      </c>
      <c r="B3210">
        <v>1998</v>
      </c>
      <c r="C3210">
        <v>2.2100000000000002E-2</v>
      </c>
    </row>
    <row r="3211" spans="1:3" x14ac:dyDescent="0.35">
      <c r="A3211">
        <v>60</v>
      </c>
      <c r="B3211">
        <v>1999</v>
      </c>
      <c r="C3211">
        <v>2.18E-2</v>
      </c>
    </row>
    <row r="3212" spans="1:3" x14ac:dyDescent="0.35">
      <c r="A3212">
        <v>60</v>
      </c>
      <c r="B3212">
        <v>2000</v>
      </c>
      <c r="C3212">
        <v>2.1299999999999999E-2</v>
      </c>
    </row>
    <row r="3213" spans="1:3" x14ac:dyDescent="0.35">
      <c r="A3213">
        <v>60</v>
      </c>
      <c r="B3213">
        <v>2001</v>
      </c>
      <c r="C3213">
        <v>2.06E-2</v>
      </c>
    </row>
    <row r="3214" spans="1:3" x14ac:dyDescent="0.35">
      <c r="A3214">
        <v>60</v>
      </c>
      <c r="B3214">
        <v>2002</v>
      </c>
      <c r="C3214">
        <v>1.9800000000000002E-2</v>
      </c>
    </row>
    <row r="3215" spans="1:3" x14ac:dyDescent="0.35">
      <c r="A3215">
        <v>60</v>
      </c>
      <c r="B3215">
        <v>2003</v>
      </c>
      <c r="C3215">
        <v>1.8800000000000001E-2</v>
      </c>
    </row>
    <row r="3216" spans="1:3" x14ac:dyDescent="0.35">
      <c r="A3216">
        <v>60</v>
      </c>
      <c r="B3216">
        <v>2004</v>
      </c>
      <c r="C3216">
        <v>1.7600000000000001E-2</v>
      </c>
    </row>
    <row r="3217" spans="1:3" x14ac:dyDescent="0.35">
      <c r="A3217">
        <v>60</v>
      </c>
      <c r="B3217">
        <v>2005</v>
      </c>
      <c r="C3217">
        <v>1.61E-2</v>
      </c>
    </row>
    <row r="3218" spans="1:3" x14ac:dyDescent="0.35">
      <c r="A3218">
        <v>60</v>
      </c>
      <c r="B3218">
        <v>2006</v>
      </c>
      <c r="C3218">
        <v>1.43E-2</v>
      </c>
    </row>
    <row r="3219" spans="1:3" x14ac:dyDescent="0.35">
      <c r="A3219">
        <v>60</v>
      </c>
      <c r="B3219">
        <v>2007</v>
      </c>
      <c r="C3219">
        <v>1.21E-2</v>
      </c>
    </row>
    <row r="3220" spans="1:3" x14ac:dyDescent="0.35">
      <c r="A3220">
        <v>60</v>
      </c>
      <c r="B3220">
        <v>2008</v>
      </c>
      <c r="C3220">
        <v>9.5999999999999992E-3</v>
      </c>
    </row>
    <row r="3221" spans="1:3" x14ac:dyDescent="0.35">
      <c r="A3221">
        <v>60</v>
      </c>
      <c r="B3221">
        <v>2009</v>
      </c>
      <c r="C3221">
        <v>6.7000000000000002E-3</v>
      </c>
    </row>
    <row r="3222" spans="1:3" x14ac:dyDescent="0.35">
      <c r="A3222">
        <v>60</v>
      </c>
      <c r="B3222">
        <v>2010</v>
      </c>
      <c r="C3222">
        <v>3.3999999999999998E-3</v>
      </c>
    </row>
    <row r="3223" spans="1:3" x14ac:dyDescent="0.35">
      <c r="A3223">
        <v>60</v>
      </c>
      <c r="B3223">
        <v>2011</v>
      </c>
      <c r="C3223">
        <v>-2.9999999999999997E-4</v>
      </c>
    </row>
    <row r="3224" spans="1:3" x14ac:dyDescent="0.35">
      <c r="A3224">
        <v>60</v>
      </c>
      <c r="B3224">
        <v>2012</v>
      </c>
      <c r="C3224">
        <v>-4.3E-3</v>
      </c>
    </row>
    <row r="3225" spans="1:3" x14ac:dyDescent="0.35">
      <c r="A3225">
        <v>60</v>
      </c>
      <c r="B3225">
        <v>2013</v>
      </c>
      <c r="C3225">
        <v>-4.0000000000000001E-3</v>
      </c>
    </row>
    <row r="3226" spans="1:3" x14ac:dyDescent="0.35">
      <c r="A3226">
        <v>60</v>
      </c>
      <c r="B3226">
        <v>2014</v>
      </c>
      <c r="C3226">
        <v>-2.8999999999999998E-3</v>
      </c>
    </row>
    <row r="3227" spans="1:3" x14ac:dyDescent="0.35">
      <c r="A3227">
        <v>60</v>
      </c>
      <c r="B3227">
        <v>2015</v>
      </c>
      <c r="C3227">
        <v>-1.1999999999999999E-3</v>
      </c>
    </row>
    <row r="3228" spans="1:3" x14ac:dyDescent="0.35">
      <c r="A3228">
        <v>60</v>
      </c>
      <c r="B3228">
        <v>2016</v>
      </c>
      <c r="C3228">
        <v>8.9999999999999998E-4</v>
      </c>
    </row>
    <row r="3229" spans="1:3" x14ac:dyDescent="0.35">
      <c r="A3229">
        <v>60</v>
      </c>
      <c r="B3229">
        <v>2017</v>
      </c>
      <c r="C3229">
        <v>3.0999999999999999E-3</v>
      </c>
    </row>
    <row r="3230" spans="1:3" x14ac:dyDescent="0.35">
      <c r="A3230">
        <v>60</v>
      </c>
      <c r="B3230">
        <v>2018</v>
      </c>
      <c r="C3230">
        <v>5.4000000000000003E-3</v>
      </c>
    </row>
    <row r="3231" spans="1:3" x14ac:dyDescent="0.35">
      <c r="A3231">
        <v>60</v>
      </c>
      <c r="B3231">
        <v>2019</v>
      </c>
      <c r="C3231">
        <v>7.4999999999999997E-3</v>
      </c>
    </row>
    <row r="3232" spans="1:3" x14ac:dyDescent="0.35">
      <c r="A3232">
        <v>60</v>
      </c>
      <c r="B3232">
        <v>2020</v>
      </c>
      <c r="C3232">
        <v>9.1999999999999998E-3</v>
      </c>
    </row>
    <row r="3233" spans="1:3" x14ac:dyDescent="0.35">
      <c r="A3233">
        <v>60</v>
      </c>
      <c r="B3233">
        <v>2021</v>
      </c>
      <c r="C3233">
        <v>1.0500000000000001E-2</v>
      </c>
    </row>
    <row r="3234" spans="1:3" x14ac:dyDescent="0.35">
      <c r="A3234">
        <v>60</v>
      </c>
      <c r="B3234">
        <v>2022</v>
      </c>
      <c r="C3234">
        <v>1.12E-2</v>
      </c>
    </row>
    <row r="3235" spans="1:3" x14ac:dyDescent="0.35">
      <c r="A3235">
        <v>60</v>
      </c>
      <c r="B3235">
        <v>2023</v>
      </c>
      <c r="C3235">
        <v>1.15E-2</v>
      </c>
    </row>
    <row r="3236" spans="1:3" x14ac:dyDescent="0.35">
      <c r="A3236">
        <v>60</v>
      </c>
      <c r="B3236">
        <v>2024</v>
      </c>
      <c r="C3236">
        <v>1.15E-2</v>
      </c>
    </row>
    <row r="3237" spans="1:3" x14ac:dyDescent="0.35">
      <c r="A3237">
        <v>60</v>
      </c>
      <c r="B3237">
        <v>2025</v>
      </c>
      <c r="C3237">
        <v>1.1299999999999999E-2</v>
      </c>
    </row>
    <row r="3238" spans="1:3" x14ac:dyDescent="0.35">
      <c r="A3238">
        <v>60</v>
      </c>
      <c r="B3238">
        <v>2026</v>
      </c>
      <c r="C3238">
        <v>1.11E-2</v>
      </c>
    </row>
    <row r="3239" spans="1:3" x14ac:dyDescent="0.35">
      <c r="A3239">
        <v>60</v>
      </c>
      <c r="B3239">
        <v>2027</v>
      </c>
      <c r="C3239">
        <v>1.0800000000000001E-2</v>
      </c>
    </row>
    <row r="3240" spans="1:3" x14ac:dyDescent="0.35">
      <c r="A3240">
        <v>60</v>
      </c>
      <c r="B3240">
        <v>2028</v>
      </c>
      <c r="C3240">
        <v>1.0500000000000001E-2</v>
      </c>
    </row>
    <row r="3241" spans="1:3" x14ac:dyDescent="0.35">
      <c r="A3241">
        <v>60</v>
      </c>
      <c r="B3241">
        <v>2029</v>
      </c>
      <c r="C3241">
        <v>1.0200000000000001E-2</v>
      </c>
    </row>
    <row r="3242" spans="1:3" x14ac:dyDescent="0.35">
      <c r="A3242">
        <v>60</v>
      </c>
      <c r="B3242">
        <v>2030</v>
      </c>
      <c r="C3242">
        <v>1.01E-2</v>
      </c>
    </row>
    <row r="3243" spans="1:3" x14ac:dyDescent="0.35">
      <c r="A3243">
        <v>60</v>
      </c>
      <c r="B3243">
        <v>2031</v>
      </c>
      <c r="C3243">
        <v>0.01</v>
      </c>
    </row>
    <row r="3244" spans="1:3" x14ac:dyDescent="0.35">
      <c r="A3244">
        <v>61</v>
      </c>
      <c r="B3244">
        <v>1951</v>
      </c>
      <c r="C3244">
        <v>1.2E-2</v>
      </c>
    </row>
    <row r="3245" spans="1:3" x14ac:dyDescent="0.35">
      <c r="A3245">
        <v>61</v>
      </c>
      <c r="B3245">
        <v>1952</v>
      </c>
      <c r="C3245">
        <v>1.01E-2</v>
      </c>
    </row>
    <row r="3246" spans="1:3" x14ac:dyDescent="0.35">
      <c r="A3246">
        <v>61</v>
      </c>
      <c r="B3246">
        <v>1953</v>
      </c>
      <c r="C3246">
        <v>8.3000000000000001E-3</v>
      </c>
    </row>
    <row r="3247" spans="1:3" x14ac:dyDescent="0.35">
      <c r="A3247">
        <v>61</v>
      </c>
      <c r="B3247">
        <v>1954</v>
      </c>
      <c r="C3247">
        <v>6.4000000000000003E-3</v>
      </c>
    </row>
    <row r="3248" spans="1:3" x14ac:dyDescent="0.35">
      <c r="A3248">
        <v>61</v>
      </c>
      <c r="B3248">
        <v>1955</v>
      </c>
      <c r="C3248">
        <v>4.4000000000000003E-3</v>
      </c>
    </row>
    <row r="3249" spans="1:3" x14ac:dyDescent="0.35">
      <c r="A3249">
        <v>61</v>
      </c>
      <c r="B3249">
        <v>1956</v>
      </c>
      <c r="C3249">
        <v>2.5000000000000001E-3</v>
      </c>
    </row>
    <row r="3250" spans="1:3" x14ac:dyDescent="0.35">
      <c r="A3250">
        <v>61</v>
      </c>
      <c r="B3250">
        <v>1957</v>
      </c>
      <c r="C3250">
        <v>8.0000000000000004E-4</v>
      </c>
    </row>
    <row r="3251" spans="1:3" x14ac:dyDescent="0.35">
      <c r="A3251">
        <v>61</v>
      </c>
      <c r="B3251">
        <v>1958</v>
      </c>
      <c r="C3251">
        <v>-5.0000000000000001E-4</v>
      </c>
    </row>
    <row r="3252" spans="1:3" x14ac:dyDescent="0.35">
      <c r="A3252">
        <v>61</v>
      </c>
      <c r="B3252">
        <v>1959</v>
      </c>
      <c r="C3252">
        <v>-1.6000000000000001E-3</v>
      </c>
    </row>
    <row r="3253" spans="1:3" x14ac:dyDescent="0.35">
      <c r="A3253">
        <v>61</v>
      </c>
      <c r="B3253">
        <v>1960</v>
      </c>
      <c r="C3253">
        <v>-2.5000000000000001E-3</v>
      </c>
    </row>
    <row r="3254" spans="1:3" x14ac:dyDescent="0.35">
      <c r="A3254">
        <v>61</v>
      </c>
      <c r="B3254">
        <v>1961</v>
      </c>
      <c r="C3254">
        <v>-3.2000000000000002E-3</v>
      </c>
    </row>
    <row r="3255" spans="1:3" x14ac:dyDescent="0.35">
      <c r="A3255">
        <v>61</v>
      </c>
      <c r="B3255">
        <v>1962</v>
      </c>
      <c r="C3255">
        <v>-3.7000000000000002E-3</v>
      </c>
    </row>
    <row r="3256" spans="1:3" x14ac:dyDescent="0.35">
      <c r="A3256">
        <v>61</v>
      </c>
      <c r="B3256">
        <v>1963</v>
      </c>
      <c r="C3256">
        <v>-3.7000000000000002E-3</v>
      </c>
    </row>
    <row r="3257" spans="1:3" x14ac:dyDescent="0.35">
      <c r="A3257">
        <v>61</v>
      </c>
      <c r="B3257">
        <v>1964</v>
      </c>
      <c r="C3257">
        <v>-3.2000000000000002E-3</v>
      </c>
    </row>
    <row r="3258" spans="1:3" x14ac:dyDescent="0.35">
      <c r="A3258">
        <v>61</v>
      </c>
      <c r="B3258">
        <v>1965</v>
      </c>
      <c r="C3258">
        <v>-2.0999999999999999E-3</v>
      </c>
    </row>
    <row r="3259" spans="1:3" x14ac:dyDescent="0.35">
      <c r="A3259">
        <v>61</v>
      </c>
      <c r="B3259">
        <v>1966</v>
      </c>
      <c r="C3259">
        <v>-4.0000000000000002E-4</v>
      </c>
    </row>
    <row r="3260" spans="1:3" x14ac:dyDescent="0.35">
      <c r="A3260">
        <v>61</v>
      </c>
      <c r="B3260">
        <v>1967</v>
      </c>
      <c r="C3260">
        <v>1.9E-3</v>
      </c>
    </row>
    <row r="3261" spans="1:3" x14ac:dyDescent="0.35">
      <c r="A3261">
        <v>61</v>
      </c>
      <c r="B3261">
        <v>1968</v>
      </c>
      <c r="C3261">
        <v>4.7000000000000002E-3</v>
      </c>
    </row>
    <row r="3262" spans="1:3" x14ac:dyDescent="0.35">
      <c r="A3262">
        <v>61</v>
      </c>
      <c r="B3262">
        <v>1969</v>
      </c>
      <c r="C3262">
        <v>8.0000000000000002E-3</v>
      </c>
    </row>
    <row r="3263" spans="1:3" x14ac:dyDescent="0.35">
      <c r="A3263">
        <v>61</v>
      </c>
      <c r="B3263">
        <v>1970</v>
      </c>
      <c r="C3263">
        <v>1.1599999999999999E-2</v>
      </c>
    </row>
    <row r="3264" spans="1:3" x14ac:dyDescent="0.35">
      <c r="A3264">
        <v>61</v>
      </c>
      <c r="B3264">
        <v>1971</v>
      </c>
      <c r="C3264">
        <v>1.52E-2</v>
      </c>
    </row>
    <row r="3265" spans="1:3" x14ac:dyDescent="0.35">
      <c r="A3265">
        <v>61</v>
      </c>
      <c r="B3265">
        <v>1972</v>
      </c>
      <c r="C3265">
        <v>1.8599999999999998E-2</v>
      </c>
    </row>
    <row r="3266" spans="1:3" x14ac:dyDescent="0.35">
      <c r="A3266">
        <v>61</v>
      </c>
      <c r="B3266">
        <v>1973</v>
      </c>
      <c r="C3266">
        <v>2.1700000000000001E-2</v>
      </c>
    </row>
    <row r="3267" spans="1:3" x14ac:dyDescent="0.35">
      <c r="A3267">
        <v>61</v>
      </c>
      <c r="B3267">
        <v>1974</v>
      </c>
      <c r="C3267">
        <v>2.41E-2</v>
      </c>
    </row>
    <row r="3268" spans="1:3" x14ac:dyDescent="0.35">
      <c r="A3268">
        <v>61</v>
      </c>
      <c r="B3268">
        <v>1975</v>
      </c>
      <c r="C3268">
        <v>2.5600000000000001E-2</v>
      </c>
    </row>
    <row r="3269" spans="1:3" x14ac:dyDescent="0.35">
      <c r="A3269">
        <v>61</v>
      </c>
      <c r="B3269">
        <v>1976</v>
      </c>
      <c r="C3269">
        <v>2.5999999999999999E-2</v>
      </c>
    </row>
    <row r="3270" spans="1:3" x14ac:dyDescent="0.35">
      <c r="A3270">
        <v>61</v>
      </c>
      <c r="B3270">
        <v>1977</v>
      </c>
      <c r="C3270">
        <v>2.5399999999999999E-2</v>
      </c>
    </row>
    <row r="3271" spans="1:3" x14ac:dyDescent="0.35">
      <c r="A3271">
        <v>61</v>
      </c>
      <c r="B3271">
        <v>1978</v>
      </c>
      <c r="C3271">
        <v>2.41E-2</v>
      </c>
    </row>
    <row r="3272" spans="1:3" x14ac:dyDescent="0.35">
      <c r="A3272">
        <v>61</v>
      </c>
      <c r="B3272">
        <v>1979</v>
      </c>
      <c r="C3272">
        <v>2.2100000000000002E-2</v>
      </c>
    </row>
    <row r="3273" spans="1:3" x14ac:dyDescent="0.35">
      <c r="A3273">
        <v>61</v>
      </c>
      <c r="B3273">
        <v>1980</v>
      </c>
      <c r="C3273">
        <v>1.9800000000000002E-2</v>
      </c>
    </row>
    <row r="3274" spans="1:3" x14ac:dyDescent="0.35">
      <c r="A3274">
        <v>61</v>
      </c>
      <c r="B3274">
        <v>1981</v>
      </c>
      <c r="C3274">
        <v>1.7600000000000001E-2</v>
      </c>
    </row>
    <row r="3275" spans="1:3" x14ac:dyDescent="0.35">
      <c r="A3275">
        <v>61</v>
      </c>
      <c r="B3275">
        <v>1982</v>
      </c>
      <c r="C3275">
        <v>1.5599999999999999E-2</v>
      </c>
    </row>
    <row r="3276" spans="1:3" x14ac:dyDescent="0.35">
      <c r="A3276">
        <v>61</v>
      </c>
      <c r="B3276">
        <v>1983</v>
      </c>
      <c r="C3276">
        <v>1.4200000000000001E-2</v>
      </c>
    </row>
    <row r="3277" spans="1:3" x14ac:dyDescent="0.35">
      <c r="A3277">
        <v>61</v>
      </c>
      <c r="B3277">
        <v>1984</v>
      </c>
      <c r="C3277">
        <v>1.3599999999999999E-2</v>
      </c>
    </row>
    <row r="3278" spans="1:3" x14ac:dyDescent="0.35">
      <c r="A3278">
        <v>61</v>
      </c>
      <c r="B3278">
        <v>1985</v>
      </c>
      <c r="C3278">
        <v>1.37E-2</v>
      </c>
    </row>
    <row r="3279" spans="1:3" x14ac:dyDescent="0.35">
      <c r="A3279">
        <v>61</v>
      </c>
      <c r="B3279">
        <v>1986</v>
      </c>
      <c r="C3279">
        <v>1.4500000000000001E-2</v>
      </c>
    </row>
    <row r="3280" spans="1:3" x14ac:dyDescent="0.35">
      <c r="A3280">
        <v>61</v>
      </c>
      <c r="B3280">
        <v>1987</v>
      </c>
      <c r="C3280">
        <v>1.5599999999999999E-2</v>
      </c>
    </row>
    <row r="3281" spans="1:3" x14ac:dyDescent="0.35">
      <c r="A3281">
        <v>61</v>
      </c>
      <c r="B3281">
        <v>1988</v>
      </c>
      <c r="C3281">
        <v>1.6899999999999998E-2</v>
      </c>
    </row>
    <row r="3282" spans="1:3" x14ac:dyDescent="0.35">
      <c r="A3282">
        <v>61</v>
      </c>
      <c r="B3282">
        <v>1989</v>
      </c>
      <c r="C3282">
        <v>1.7999999999999999E-2</v>
      </c>
    </row>
    <row r="3283" spans="1:3" x14ac:dyDescent="0.35">
      <c r="A3283">
        <v>61</v>
      </c>
      <c r="B3283">
        <v>1990</v>
      </c>
      <c r="C3283">
        <v>1.89E-2</v>
      </c>
    </row>
    <row r="3284" spans="1:3" x14ac:dyDescent="0.35">
      <c r="A3284">
        <v>61</v>
      </c>
      <c r="B3284">
        <v>1991</v>
      </c>
      <c r="C3284">
        <v>1.9400000000000001E-2</v>
      </c>
    </row>
    <row r="3285" spans="1:3" x14ac:dyDescent="0.35">
      <c r="A3285">
        <v>61</v>
      </c>
      <c r="B3285">
        <v>1992</v>
      </c>
      <c r="C3285">
        <v>1.9699999999999999E-2</v>
      </c>
    </row>
    <row r="3286" spans="1:3" x14ac:dyDescent="0.35">
      <c r="A3286">
        <v>61</v>
      </c>
      <c r="B3286">
        <v>1993</v>
      </c>
      <c r="C3286">
        <v>1.9900000000000001E-2</v>
      </c>
    </row>
    <row r="3287" spans="1:3" x14ac:dyDescent="0.35">
      <c r="A3287">
        <v>61</v>
      </c>
      <c r="B3287">
        <v>1994</v>
      </c>
      <c r="C3287">
        <v>2.0299999999999999E-2</v>
      </c>
    </row>
    <row r="3288" spans="1:3" x14ac:dyDescent="0.35">
      <c r="A3288">
        <v>61</v>
      </c>
      <c r="B3288">
        <v>1995</v>
      </c>
      <c r="C3288">
        <v>2.0799999999999999E-2</v>
      </c>
    </row>
    <row r="3289" spans="1:3" x14ac:dyDescent="0.35">
      <c r="A3289">
        <v>61</v>
      </c>
      <c r="B3289">
        <v>1996</v>
      </c>
      <c r="C3289">
        <v>2.1499999999999998E-2</v>
      </c>
    </row>
    <row r="3290" spans="1:3" x14ac:dyDescent="0.35">
      <c r="A3290">
        <v>61</v>
      </c>
      <c r="B3290">
        <v>1997</v>
      </c>
      <c r="C3290">
        <v>2.2100000000000002E-2</v>
      </c>
    </row>
    <row r="3291" spans="1:3" x14ac:dyDescent="0.35">
      <c r="A3291">
        <v>61</v>
      </c>
      <c r="B3291">
        <v>1998</v>
      </c>
      <c r="C3291">
        <v>2.2499999999999999E-2</v>
      </c>
    </row>
    <row r="3292" spans="1:3" x14ac:dyDescent="0.35">
      <c r="A3292">
        <v>61</v>
      </c>
      <c r="B3292">
        <v>1999</v>
      </c>
      <c r="C3292">
        <v>2.2599999999999999E-2</v>
      </c>
    </row>
    <row r="3293" spans="1:3" x14ac:dyDescent="0.35">
      <c r="A3293">
        <v>61</v>
      </c>
      <c r="B3293">
        <v>2000</v>
      </c>
      <c r="C3293">
        <v>2.24E-2</v>
      </c>
    </row>
    <row r="3294" spans="1:3" x14ac:dyDescent="0.35">
      <c r="A3294">
        <v>61</v>
      </c>
      <c r="B3294">
        <v>2001</v>
      </c>
      <c r="C3294">
        <v>2.1999999999999999E-2</v>
      </c>
    </row>
    <row r="3295" spans="1:3" x14ac:dyDescent="0.35">
      <c r="A3295">
        <v>61</v>
      </c>
      <c r="B3295">
        <v>2002</v>
      </c>
      <c r="C3295">
        <v>2.1499999999999998E-2</v>
      </c>
    </row>
    <row r="3296" spans="1:3" x14ac:dyDescent="0.35">
      <c r="A3296">
        <v>61</v>
      </c>
      <c r="B3296">
        <v>2003</v>
      </c>
      <c r="C3296">
        <v>2.0799999999999999E-2</v>
      </c>
    </row>
    <row r="3297" spans="1:3" x14ac:dyDescent="0.35">
      <c r="A3297">
        <v>61</v>
      </c>
      <c r="B3297">
        <v>2004</v>
      </c>
      <c r="C3297">
        <v>1.9800000000000002E-2</v>
      </c>
    </row>
    <row r="3298" spans="1:3" x14ac:dyDescent="0.35">
      <c r="A3298">
        <v>61</v>
      </c>
      <c r="B3298">
        <v>2005</v>
      </c>
      <c r="C3298">
        <v>1.8599999999999998E-2</v>
      </c>
    </row>
    <row r="3299" spans="1:3" x14ac:dyDescent="0.35">
      <c r="A3299">
        <v>61</v>
      </c>
      <c r="B3299">
        <v>2006</v>
      </c>
      <c r="C3299">
        <v>1.6899999999999998E-2</v>
      </c>
    </row>
    <row r="3300" spans="1:3" x14ac:dyDescent="0.35">
      <c r="A3300">
        <v>61</v>
      </c>
      <c r="B3300">
        <v>2007</v>
      </c>
      <c r="C3300">
        <v>1.47E-2</v>
      </c>
    </row>
    <row r="3301" spans="1:3" x14ac:dyDescent="0.35">
      <c r="A3301">
        <v>61</v>
      </c>
      <c r="B3301">
        <v>2008</v>
      </c>
      <c r="C3301">
        <v>1.2E-2</v>
      </c>
    </row>
    <row r="3302" spans="1:3" x14ac:dyDescent="0.35">
      <c r="A3302">
        <v>61</v>
      </c>
      <c r="B3302">
        <v>2009</v>
      </c>
      <c r="C3302">
        <v>8.8999999999999999E-3</v>
      </c>
    </row>
    <row r="3303" spans="1:3" x14ac:dyDescent="0.35">
      <c r="A3303">
        <v>61</v>
      </c>
      <c r="B3303">
        <v>2010</v>
      </c>
      <c r="C3303">
        <v>5.1000000000000004E-3</v>
      </c>
    </row>
    <row r="3304" spans="1:3" x14ac:dyDescent="0.35">
      <c r="A3304">
        <v>61</v>
      </c>
      <c r="B3304">
        <v>2011</v>
      </c>
      <c r="C3304">
        <v>8.0000000000000004E-4</v>
      </c>
    </row>
    <row r="3305" spans="1:3" x14ac:dyDescent="0.35">
      <c r="A3305">
        <v>61</v>
      </c>
      <c r="B3305">
        <v>2012</v>
      </c>
      <c r="C3305">
        <v>-3.8E-3</v>
      </c>
    </row>
    <row r="3306" spans="1:3" x14ac:dyDescent="0.35">
      <c r="A3306">
        <v>61</v>
      </c>
      <c r="B3306">
        <v>2013</v>
      </c>
      <c r="C3306">
        <v>-3.8E-3</v>
      </c>
    </row>
    <row r="3307" spans="1:3" x14ac:dyDescent="0.35">
      <c r="A3307">
        <v>61</v>
      </c>
      <c r="B3307">
        <v>2014</v>
      </c>
      <c r="C3307">
        <v>-3.0999999999999999E-3</v>
      </c>
    </row>
    <row r="3308" spans="1:3" x14ac:dyDescent="0.35">
      <c r="A3308">
        <v>61</v>
      </c>
      <c r="B3308">
        <v>2015</v>
      </c>
      <c r="C3308">
        <v>-1.6999999999999999E-3</v>
      </c>
    </row>
    <row r="3309" spans="1:3" x14ac:dyDescent="0.35">
      <c r="A3309">
        <v>61</v>
      </c>
      <c r="B3309">
        <v>2016</v>
      </c>
      <c r="C3309">
        <v>2.0000000000000001E-4</v>
      </c>
    </row>
    <row r="3310" spans="1:3" x14ac:dyDescent="0.35">
      <c r="A3310">
        <v>61</v>
      </c>
      <c r="B3310">
        <v>2017</v>
      </c>
      <c r="C3310">
        <v>2.3E-3</v>
      </c>
    </row>
    <row r="3311" spans="1:3" x14ac:dyDescent="0.35">
      <c r="A3311">
        <v>61</v>
      </c>
      <c r="B3311">
        <v>2018</v>
      </c>
      <c r="C3311">
        <v>4.4999999999999997E-3</v>
      </c>
    </row>
    <row r="3312" spans="1:3" x14ac:dyDescent="0.35">
      <c r="A3312">
        <v>61</v>
      </c>
      <c r="B3312">
        <v>2019</v>
      </c>
      <c r="C3312">
        <v>6.6E-3</v>
      </c>
    </row>
    <row r="3313" spans="1:3" x14ac:dyDescent="0.35">
      <c r="A3313">
        <v>61</v>
      </c>
      <c r="B3313">
        <v>2020</v>
      </c>
      <c r="C3313">
        <v>8.3999999999999995E-3</v>
      </c>
    </row>
    <row r="3314" spans="1:3" x14ac:dyDescent="0.35">
      <c r="A3314">
        <v>61</v>
      </c>
      <c r="B3314">
        <v>2021</v>
      </c>
      <c r="C3314">
        <v>9.7999999999999997E-3</v>
      </c>
    </row>
    <row r="3315" spans="1:3" x14ac:dyDescent="0.35">
      <c r="A3315">
        <v>61</v>
      </c>
      <c r="B3315">
        <v>2022</v>
      </c>
      <c r="C3315">
        <v>1.06E-2</v>
      </c>
    </row>
    <row r="3316" spans="1:3" x14ac:dyDescent="0.35">
      <c r="A3316">
        <v>61</v>
      </c>
      <c r="B3316">
        <v>2023</v>
      </c>
      <c r="C3316">
        <v>1.0999999999999999E-2</v>
      </c>
    </row>
    <row r="3317" spans="1:3" x14ac:dyDescent="0.35">
      <c r="A3317">
        <v>61</v>
      </c>
      <c r="B3317">
        <v>2024</v>
      </c>
      <c r="C3317">
        <v>1.12E-2</v>
      </c>
    </row>
    <row r="3318" spans="1:3" x14ac:dyDescent="0.35">
      <c r="A3318">
        <v>61</v>
      </c>
      <c r="B3318">
        <v>2025</v>
      </c>
      <c r="C3318">
        <v>1.12E-2</v>
      </c>
    </row>
    <row r="3319" spans="1:3" x14ac:dyDescent="0.35">
      <c r="A3319">
        <v>61</v>
      </c>
      <c r="B3319">
        <v>2026</v>
      </c>
      <c r="C3319">
        <v>1.0999999999999999E-2</v>
      </c>
    </row>
    <row r="3320" spans="1:3" x14ac:dyDescent="0.35">
      <c r="A3320">
        <v>61</v>
      </c>
      <c r="B3320">
        <v>2027</v>
      </c>
      <c r="C3320">
        <v>1.0800000000000001E-2</v>
      </c>
    </row>
    <row r="3321" spans="1:3" x14ac:dyDescent="0.35">
      <c r="A3321">
        <v>61</v>
      </c>
      <c r="B3321">
        <v>2028</v>
      </c>
      <c r="C3321">
        <v>1.0500000000000001E-2</v>
      </c>
    </row>
    <row r="3322" spans="1:3" x14ac:dyDescent="0.35">
      <c r="A3322">
        <v>61</v>
      </c>
      <c r="B3322">
        <v>2029</v>
      </c>
      <c r="C3322">
        <v>1.03E-2</v>
      </c>
    </row>
    <row r="3323" spans="1:3" x14ac:dyDescent="0.35">
      <c r="A3323">
        <v>61</v>
      </c>
      <c r="B3323">
        <v>2030</v>
      </c>
      <c r="C3323">
        <v>1.01E-2</v>
      </c>
    </row>
    <row r="3324" spans="1:3" x14ac:dyDescent="0.35">
      <c r="A3324">
        <v>61</v>
      </c>
      <c r="B3324">
        <v>2031</v>
      </c>
      <c r="C3324">
        <v>0.01</v>
      </c>
    </row>
    <row r="3325" spans="1:3" x14ac:dyDescent="0.35">
      <c r="A3325">
        <v>62</v>
      </c>
      <c r="B3325">
        <v>1951</v>
      </c>
      <c r="C3325">
        <v>1.09E-2</v>
      </c>
    </row>
    <row r="3326" spans="1:3" x14ac:dyDescent="0.35">
      <c r="A3326">
        <v>62</v>
      </c>
      <c r="B3326">
        <v>1952</v>
      </c>
      <c r="C3326">
        <v>9.1000000000000004E-3</v>
      </c>
    </row>
    <row r="3327" spans="1:3" x14ac:dyDescent="0.35">
      <c r="A3327">
        <v>62</v>
      </c>
      <c r="B3327">
        <v>1953</v>
      </c>
      <c r="C3327">
        <v>7.1999999999999998E-3</v>
      </c>
    </row>
    <row r="3328" spans="1:3" x14ac:dyDescent="0.35">
      <c r="A3328">
        <v>62</v>
      </c>
      <c r="B3328">
        <v>1954</v>
      </c>
      <c r="C3328">
        <v>5.3E-3</v>
      </c>
    </row>
    <row r="3329" spans="1:3" x14ac:dyDescent="0.35">
      <c r="A3329">
        <v>62</v>
      </c>
      <c r="B3329">
        <v>1955</v>
      </c>
      <c r="C3329">
        <v>3.3E-3</v>
      </c>
    </row>
    <row r="3330" spans="1:3" x14ac:dyDescent="0.35">
      <c r="A3330">
        <v>62</v>
      </c>
      <c r="B3330">
        <v>1956</v>
      </c>
      <c r="C3330">
        <v>1.5E-3</v>
      </c>
    </row>
    <row r="3331" spans="1:3" x14ac:dyDescent="0.35">
      <c r="A3331">
        <v>62</v>
      </c>
      <c r="B3331">
        <v>1957</v>
      </c>
      <c r="C3331">
        <v>-1E-4</v>
      </c>
    </row>
    <row r="3332" spans="1:3" x14ac:dyDescent="0.35">
      <c r="A3332">
        <v>62</v>
      </c>
      <c r="B3332">
        <v>1958</v>
      </c>
      <c r="C3332">
        <v>-1.2999999999999999E-3</v>
      </c>
    </row>
    <row r="3333" spans="1:3" x14ac:dyDescent="0.35">
      <c r="A3333">
        <v>62</v>
      </c>
      <c r="B3333">
        <v>1959</v>
      </c>
      <c r="C3333">
        <v>-2.3E-3</v>
      </c>
    </row>
    <row r="3334" spans="1:3" x14ac:dyDescent="0.35">
      <c r="A3334">
        <v>62</v>
      </c>
      <c r="B3334">
        <v>1960</v>
      </c>
      <c r="C3334">
        <v>-3.0999999999999999E-3</v>
      </c>
    </row>
    <row r="3335" spans="1:3" x14ac:dyDescent="0.35">
      <c r="A3335">
        <v>62</v>
      </c>
      <c r="B3335">
        <v>1961</v>
      </c>
      <c r="C3335">
        <v>-3.7000000000000002E-3</v>
      </c>
    </row>
    <row r="3336" spans="1:3" x14ac:dyDescent="0.35">
      <c r="A3336">
        <v>62</v>
      </c>
      <c r="B3336">
        <v>1962</v>
      </c>
      <c r="C3336">
        <v>-4.0000000000000001E-3</v>
      </c>
    </row>
    <row r="3337" spans="1:3" x14ac:dyDescent="0.35">
      <c r="A3337">
        <v>62</v>
      </c>
      <c r="B3337">
        <v>1963</v>
      </c>
      <c r="C3337">
        <v>-3.8E-3</v>
      </c>
    </row>
    <row r="3338" spans="1:3" x14ac:dyDescent="0.35">
      <c r="A3338">
        <v>62</v>
      </c>
      <c r="B3338">
        <v>1964</v>
      </c>
      <c r="C3338">
        <v>-3.0999999999999999E-3</v>
      </c>
    </row>
    <row r="3339" spans="1:3" x14ac:dyDescent="0.35">
      <c r="A3339">
        <v>62</v>
      </c>
      <c r="B3339">
        <v>1965</v>
      </c>
      <c r="C3339">
        <v>-1.8E-3</v>
      </c>
    </row>
    <row r="3340" spans="1:3" x14ac:dyDescent="0.35">
      <c r="A3340">
        <v>62</v>
      </c>
      <c r="B3340">
        <v>1966</v>
      </c>
      <c r="C3340">
        <v>0</v>
      </c>
    </row>
    <row r="3341" spans="1:3" x14ac:dyDescent="0.35">
      <c r="A3341">
        <v>62</v>
      </c>
      <c r="B3341">
        <v>1967</v>
      </c>
      <c r="C3341">
        <v>2.3999999999999998E-3</v>
      </c>
    </row>
    <row r="3342" spans="1:3" x14ac:dyDescent="0.35">
      <c r="A3342">
        <v>62</v>
      </c>
      <c r="B3342">
        <v>1968</v>
      </c>
      <c r="C3342">
        <v>5.1999999999999998E-3</v>
      </c>
    </row>
    <row r="3343" spans="1:3" x14ac:dyDescent="0.35">
      <c r="A3343">
        <v>62</v>
      </c>
      <c r="B3343">
        <v>1969</v>
      </c>
      <c r="C3343">
        <v>8.3000000000000001E-3</v>
      </c>
    </row>
    <row r="3344" spans="1:3" x14ac:dyDescent="0.35">
      <c r="A3344">
        <v>62</v>
      </c>
      <c r="B3344">
        <v>1970</v>
      </c>
      <c r="C3344">
        <v>1.15E-2</v>
      </c>
    </row>
    <row r="3345" spans="1:3" x14ac:dyDescent="0.35">
      <c r="A3345">
        <v>62</v>
      </c>
      <c r="B3345">
        <v>1971</v>
      </c>
      <c r="C3345">
        <v>1.4800000000000001E-2</v>
      </c>
    </row>
    <row r="3346" spans="1:3" x14ac:dyDescent="0.35">
      <c r="A3346">
        <v>62</v>
      </c>
      <c r="B3346">
        <v>1972</v>
      </c>
      <c r="C3346">
        <v>1.7899999999999999E-2</v>
      </c>
    </row>
    <row r="3347" spans="1:3" x14ac:dyDescent="0.35">
      <c r="A3347">
        <v>62</v>
      </c>
      <c r="B3347">
        <v>1973</v>
      </c>
      <c r="C3347">
        <v>2.0799999999999999E-2</v>
      </c>
    </row>
    <row r="3348" spans="1:3" x14ac:dyDescent="0.35">
      <c r="A3348">
        <v>62</v>
      </c>
      <c r="B3348">
        <v>1974</v>
      </c>
      <c r="C3348">
        <v>2.3E-2</v>
      </c>
    </row>
    <row r="3349" spans="1:3" x14ac:dyDescent="0.35">
      <c r="A3349">
        <v>62</v>
      </c>
      <c r="B3349">
        <v>1975</v>
      </c>
      <c r="C3349">
        <v>2.4400000000000002E-2</v>
      </c>
    </row>
    <row r="3350" spans="1:3" x14ac:dyDescent="0.35">
      <c r="A3350">
        <v>62</v>
      </c>
      <c r="B3350">
        <v>1976</v>
      </c>
      <c r="C3350">
        <v>2.4899999999999999E-2</v>
      </c>
    </row>
    <row r="3351" spans="1:3" x14ac:dyDescent="0.35">
      <c r="A3351">
        <v>62</v>
      </c>
      <c r="B3351">
        <v>1977</v>
      </c>
      <c r="C3351">
        <v>2.4500000000000001E-2</v>
      </c>
    </row>
    <row r="3352" spans="1:3" x14ac:dyDescent="0.35">
      <c r="A3352">
        <v>62</v>
      </c>
      <c r="B3352">
        <v>1978</v>
      </c>
      <c r="C3352">
        <v>2.35E-2</v>
      </c>
    </row>
    <row r="3353" spans="1:3" x14ac:dyDescent="0.35">
      <c r="A3353">
        <v>62</v>
      </c>
      <c r="B3353">
        <v>1979</v>
      </c>
      <c r="C3353">
        <v>2.18E-2</v>
      </c>
    </row>
    <row r="3354" spans="1:3" x14ac:dyDescent="0.35">
      <c r="A3354">
        <v>62</v>
      </c>
      <c r="B3354">
        <v>1980</v>
      </c>
      <c r="C3354">
        <v>1.9800000000000002E-2</v>
      </c>
    </row>
    <row r="3355" spans="1:3" x14ac:dyDescent="0.35">
      <c r="A3355">
        <v>62</v>
      </c>
      <c r="B3355">
        <v>1981</v>
      </c>
      <c r="C3355">
        <v>1.77E-2</v>
      </c>
    </row>
    <row r="3356" spans="1:3" x14ac:dyDescent="0.35">
      <c r="A3356">
        <v>62</v>
      </c>
      <c r="B3356">
        <v>1982</v>
      </c>
      <c r="C3356">
        <v>1.5699999999999999E-2</v>
      </c>
    </row>
    <row r="3357" spans="1:3" x14ac:dyDescent="0.35">
      <c r="A3357">
        <v>62</v>
      </c>
      <c r="B3357">
        <v>1983</v>
      </c>
      <c r="C3357">
        <v>1.43E-2</v>
      </c>
    </row>
    <row r="3358" spans="1:3" x14ac:dyDescent="0.35">
      <c r="A3358">
        <v>62</v>
      </c>
      <c r="B3358">
        <v>1984</v>
      </c>
      <c r="C3358">
        <v>1.3599999999999999E-2</v>
      </c>
    </row>
    <row r="3359" spans="1:3" x14ac:dyDescent="0.35">
      <c r="A3359">
        <v>62</v>
      </c>
      <c r="B3359">
        <v>1985</v>
      </c>
      <c r="C3359">
        <v>1.37E-2</v>
      </c>
    </row>
    <row r="3360" spans="1:3" x14ac:dyDescent="0.35">
      <c r="A3360">
        <v>62</v>
      </c>
      <c r="B3360">
        <v>1986</v>
      </c>
      <c r="C3360">
        <v>1.44E-2</v>
      </c>
    </row>
    <row r="3361" spans="1:3" x14ac:dyDescent="0.35">
      <c r="A3361">
        <v>62</v>
      </c>
      <c r="B3361">
        <v>1987</v>
      </c>
      <c r="C3361">
        <v>1.55E-2</v>
      </c>
    </row>
    <row r="3362" spans="1:3" x14ac:dyDescent="0.35">
      <c r="A3362">
        <v>62</v>
      </c>
      <c r="B3362">
        <v>1988</v>
      </c>
      <c r="C3362">
        <v>1.67E-2</v>
      </c>
    </row>
    <row r="3363" spans="1:3" x14ac:dyDescent="0.35">
      <c r="A3363">
        <v>62</v>
      </c>
      <c r="B3363">
        <v>1989</v>
      </c>
      <c r="C3363">
        <v>1.77E-2</v>
      </c>
    </row>
    <row r="3364" spans="1:3" x14ac:dyDescent="0.35">
      <c r="A3364">
        <v>62</v>
      </c>
      <c r="B3364">
        <v>1990</v>
      </c>
      <c r="C3364">
        <v>1.84E-2</v>
      </c>
    </row>
    <row r="3365" spans="1:3" x14ac:dyDescent="0.35">
      <c r="A3365">
        <v>62</v>
      </c>
      <c r="B3365">
        <v>1991</v>
      </c>
      <c r="C3365">
        <v>1.8700000000000001E-2</v>
      </c>
    </row>
    <row r="3366" spans="1:3" x14ac:dyDescent="0.35">
      <c r="A3366">
        <v>62</v>
      </c>
      <c r="B3366">
        <v>1992</v>
      </c>
      <c r="C3366">
        <v>1.8800000000000001E-2</v>
      </c>
    </row>
    <row r="3367" spans="1:3" x14ac:dyDescent="0.35">
      <c r="A3367">
        <v>62</v>
      </c>
      <c r="B3367">
        <v>1993</v>
      </c>
      <c r="C3367">
        <v>1.89E-2</v>
      </c>
    </row>
    <row r="3368" spans="1:3" x14ac:dyDescent="0.35">
      <c r="A3368">
        <v>62</v>
      </c>
      <c r="B3368">
        <v>1994</v>
      </c>
      <c r="C3368">
        <v>1.9300000000000001E-2</v>
      </c>
    </row>
    <row r="3369" spans="1:3" x14ac:dyDescent="0.35">
      <c r="A3369">
        <v>62</v>
      </c>
      <c r="B3369">
        <v>1995</v>
      </c>
      <c r="C3369">
        <v>0.02</v>
      </c>
    </row>
    <row r="3370" spans="1:3" x14ac:dyDescent="0.35">
      <c r="A3370">
        <v>62</v>
      </c>
      <c r="B3370">
        <v>1996</v>
      </c>
      <c r="C3370">
        <v>2.0899999999999998E-2</v>
      </c>
    </row>
    <row r="3371" spans="1:3" x14ac:dyDescent="0.35">
      <c r="A3371">
        <v>62</v>
      </c>
      <c r="B3371">
        <v>1997</v>
      </c>
      <c r="C3371">
        <v>2.1899999999999999E-2</v>
      </c>
    </row>
    <row r="3372" spans="1:3" x14ac:dyDescent="0.35">
      <c r="A3372">
        <v>62</v>
      </c>
      <c r="B3372">
        <v>1998</v>
      </c>
      <c r="C3372">
        <v>2.2700000000000001E-2</v>
      </c>
    </row>
    <row r="3373" spans="1:3" x14ac:dyDescent="0.35">
      <c r="A3373">
        <v>62</v>
      </c>
      <c r="B3373">
        <v>1999</v>
      </c>
      <c r="C3373">
        <v>2.3099999999999999E-2</v>
      </c>
    </row>
    <row r="3374" spans="1:3" x14ac:dyDescent="0.35">
      <c r="A3374">
        <v>62</v>
      </c>
      <c r="B3374">
        <v>2000</v>
      </c>
      <c r="C3374">
        <v>2.3300000000000001E-2</v>
      </c>
    </row>
    <row r="3375" spans="1:3" x14ac:dyDescent="0.35">
      <c r="A3375">
        <v>62</v>
      </c>
      <c r="B3375">
        <v>2001</v>
      </c>
      <c r="C3375">
        <v>2.3199999999999998E-2</v>
      </c>
    </row>
    <row r="3376" spans="1:3" x14ac:dyDescent="0.35">
      <c r="A3376">
        <v>62</v>
      </c>
      <c r="B3376">
        <v>2002</v>
      </c>
      <c r="C3376">
        <v>2.29E-2</v>
      </c>
    </row>
    <row r="3377" spans="1:3" x14ac:dyDescent="0.35">
      <c r="A3377">
        <v>62</v>
      </c>
      <c r="B3377">
        <v>2003</v>
      </c>
      <c r="C3377">
        <v>2.2499999999999999E-2</v>
      </c>
    </row>
    <row r="3378" spans="1:3" x14ac:dyDescent="0.35">
      <c r="A3378">
        <v>62</v>
      </c>
      <c r="B3378">
        <v>2004</v>
      </c>
      <c r="C3378">
        <v>2.18E-2</v>
      </c>
    </row>
    <row r="3379" spans="1:3" x14ac:dyDescent="0.35">
      <c r="A3379">
        <v>62</v>
      </c>
      <c r="B3379">
        <v>2005</v>
      </c>
      <c r="C3379">
        <v>2.0799999999999999E-2</v>
      </c>
    </row>
    <row r="3380" spans="1:3" x14ac:dyDescent="0.35">
      <c r="A3380">
        <v>62</v>
      </c>
      <c r="B3380">
        <v>2006</v>
      </c>
      <c r="C3380">
        <v>1.9300000000000001E-2</v>
      </c>
    </row>
    <row r="3381" spans="1:3" x14ac:dyDescent="0.35">
      <c r="A3381">
        <v>62</v>
      </c>
      <c r="B3381">
        <v>2007</v>
      </c>
      <c r="C3381">
        <v>1.72E-2</v>
      </c>
    </row>
    <row r="3382" spans="1:3" x14ac:dyDescent="0.35">
      <c r="A3382">
        <v>62</v>
      </c>
      <c r="B3382">
        <v>2008</v>
      </c>
      <c r="C3382">
        <v>1.44E-2</v>
      </c>
    </row>
    <row r="3383" spans="1:3" x14ac:dyDescent="0.35">
      <c r="A3383">
        <v>62</v>
      </c>
      <c r="B3383">
        <v>2009</v>
      </c>
      <c r="C3383">
        <v>1.11E-2</v>
      </c>
    </row>
    <row r="3384" spans="1:3" x14ac:dyDescent="0.35">
      <c r="A3384">
        <v>62</v>
      </c>
      <c r="B3384">
        <v>2010</v>
      </c>
      <c r="C3384">
        <v>7.0000000000000001E-3</v>
      </c>
    </row>
    <row r="3385" spans="1:3" x14ac:dyDescent="0.35">
      <c r="A3385">
        <v>62</v>
      </c>
      <c r="B3385">
        <v>2011</v>
      </c>
      <c r="C3385">
        <v>2.3E-3</v>
      </c>
    </row>
    <row r="3386" spans="1:3" x14ac:dyDescent="0.35">
      <c r="A3386">
        <v>62</v>
      </c>
      <c r="B3386">
        <v>2012</v>
      </c>
      <c r="C3386">
        <v>-2.7000000000000001E-3</v>
      </c>
    </row>
    <row r="3387" spans="1:3" x14ac:dyDescent="0.35">
      <c r="A3387">
        <v>62</v>
      </c>
      <c r="B3387">
        <v>2013</v>
      </c>
      <c r="C3387">
        <v>-3.0000000000000001E-3</v>
      </c>
    </row>
    <row r="3388" spans="1:3" x14ac:dyDescent="0.35">
      <c r="A3388">
        <v>62</v>
      </c>
      <c r="B3388">
        <v>2014</v>
      </c>
      <c r="C3388">
        <v>-2.5999999999999999E-3</v>
      </c>
    </row>
    <row r="3389" spans="1:3" x14ac:dyDescent="0.35">
      <c r="A3389">
        <v>62</v>
      </c>
      <c r="B3389">
        <v>2015</v>
      </c>
      <c r="C3389">
        <v>-1.6000000000000001E-3</v>
      </c>
    </row>
    <row r="3390" spans="1:3" x14ac:dyDescent="0.35">
      <c r="A3390">
        <v>62</v>
      </c>
      <c r="B3390">
        <v>2016</v>
      </c>
      <c r="C3390">
        <v>-1E-4</v>
      </c>
    </row>
    <row r="3391" spans="1:3" x14ac:dyDescent="0.35">
      <c r="A3391">
        <v>62</v>
      </c>
      <c r="B3391">
        <v>2017</v>
      </c>
      <c r="C3391">
        <v>1.8E-3</v>
      </c>
    </row>
    <row r="3392" spans="1:3" x14ac:dyDescent="0.35">
      <c r="A3392">
        <v>62</v>
      </c>
      <c r="B3392">
        <v>2018</v>
      </c>
      <c r="C3392">
        <v>3.8E-3</v>
      </c>
    </row>
    <row r="3393" spans="1:3" x14ac:dyDescent="0.35">
      <c r="A3393">
        <v>62</v>
      </c>
      <c r="B3393">
        <v>2019</v>
      </c>
      <c r="C3393">
        <v>5.7999999999999996E-3</v>
      </c>
    </row>
    <row r="3394" spans="1:3" x14ac:dyDescent="0.35">
      <c r="A3394">
        <v>62</v>
      </c>
      <c r="B3394">
        <v>2020</v>
      </c>
      <c r="C3394">
        <v>7.6E-3</v>
      </c>
    </row>
    <row r="3395" spans="1:3" x14ac:dyDescent="0.35">
      <c r="A3395">
        <v>62</v>
      </c>
      <c r="B3395">
        <v>2021</v>
      </c>
      <c r="C3395">
        <v>8.9999999999999993E-3</v>
      </c>
    </row>
    <row r="3396" spans="1:3" x14ac:dyDescent="0.35">
      <c r="A3396">
        <v>62</v>
      </c>
      <c r="B3396">
        <v>2022</v>
      </c>
      <c r="C3396">
        <v>0.01</v>
      </c>
    </row>
    <row r="3397" spans="1:3" x14ac:dyDescent="0.35">
      <c r="A3397">
        <v>62</v>
      </c>
      <c r="B3397">
        <v>2023</v>
      </c>
      <c r="C3397">
        <v>1.0500000000000001E-2</v>
      </c>
    </row>
    <row r="3398" spans="1:3" x14ac:dyDescent="0.35">
      <c r="A3398">
        <v>62</v>
      </c>
      <c r="B3398">
        <v>2024</v>
      </c>
      <c r="C3398">
        <v>1.0800000000000001E-2</v>
      </c>
    </row>
    <row r="3399" spans="1:3" x14ac:dyDescent="0.35">
      <c r="A3399">
        <v>62</v>
      </c>
      <c r="B3399">
        <v>2025</v>
      </c>
      <c r="C3399">
        <v>1.0999999999999999E-2</v>
      </c>
    </row>
    <row r="3400" spans="1:3" x14ac:dyDescent="0.35">
      <c r="A3400">
        <v>62</v>
      </c>
      <c r="B3400">
        <v>2026</v>
      </c>
      <c r="C3400">
        <v>1.09E-2</v>
      </c>
    </row>
    <row r="3401" spans="1:3" x14ac:dyDescent="0.35">
      <c r="A3401">
        <v>62</v>
      </c>
      <c r="B3401">
        <v>2027</v>
      </c>
      <c r="C3401">
        <v>1.0699999999999999E-2</v>
      </c>
    </row>
    <row r="3402" spans="1:3" x14ac:dyDescent="0.35">
      <c r="A3402">
        <v>62</v>
      </c>
      <c r="B3402">
        <v>2028</v>
      </c>
      <c r="C3402">
        <v>1.0500000000000001E-2</v>
      </c>
    </row>
    <row r="3403" spans="1:3" x14ac:dyDescent="0.35">
      <c r="A3403">
        <v>62</v>
      </c>
      <c r="B3403">
        <v>2029</v>
      </c>
      <c r="C3403">
        <v>1.03E-2</v>
      </c>
    </row>
    <row r="3404" spans="1:3" x14ac:dyDescent="0.35">
      <c r="A3404">
        <v>62</v>
      </c>
      <c r="B3404">
        <v>2030</v>
      </c>
      <c r="C3404">
        <v>1.01E-2</v>
      </c>
    </row>
    <row r="3405" spans="1:3" x14ac:dyDescent="0.35">
      <c r="A3405">
        <v>62</v>
      </c>
      <c r="B3405">
        <v>2031</v>
      </c>
      <c r="C3405">
        <v>0.01</v>
      </c>
    </row>
    <row r="3406" spans="1:3" x14ac:dyDescent="0.35">
      <c r="A3406">
        <v>63</v>
      </c>
      <c r="B3406">
        <v>1951</v>
      </c>
      <c r="C3406">
        <v>9.9000000000000008E-3</v>
      </c>
    </row>
    <row r="3407" spans="1:3" x14ac:dyDescent="0.35">
      <c r="A3407">
        <v>63</v>
      </c>
      <c r="B3407">
        <v>1952</v>
      </c>
      <c r="C3407">
        <v>8.0000000000000002E-3</v>
      </c>
    </row>
    <row r="3408" spans="1:3" x14ac:dyDescent="0.35">
      <c r="A3408">
        <v>63</v>
      </c>
      <c r="B3408">
        <v>1953</v>
      </c>
      <c r="C3408">
        <v>6.1999999999999998E-3</v>
      </c>
    </row>
    <row r="3409" spans="1:3" x14ac:dyDescent="0.35">
      <c r="A3409">
        <v>63</v>
      </c>
      <c r="B3409">
        <v>1954</v>
      </c>
      <c r="C3409">
        <v>4.3E-3</v>
      </c>
    </row>
    <row r="3410" spans="1:3" x14ac:dyDescent="0.35">
      <c r="A3410">
        <v>63</v>
      </c>
      <c r="B3410">
        <v>1955</v>
      </c>
      <c r="C3410">
        <v>2.3999999999999998E-3</v>
      </c>
    </row>
    <row r="3411" spans="1:3" x14ac:dyDescent="0.35">
      <c r="A3411">
        <v>63</v>
      </c>
      <c r="B3411">
        <v>1956</v>
      </c>
      <c r="C3411">
        <v>5.9999999999999995E-4</v>
      </c>
    </row>
    <row r="3412" spans="1:3" x14ac:dyDescent="0.35">
      <c r="A3412">
        <v>63</v>
      </c>
      <c r="B3412">
        <v>1957</v>
      </c>
      <c r="C3412">
        <v>-8.9999999999999998E-4</v>
      </c>
    </row>
    <row r="3413" spans="1:3" x14ac:dyDescent="0.35">
      <c r="A3413">
        <v>63</v>
      </c>
      <c r="B3413">
        <v>1958</v>
      </c>
      <c r="C3413">
        <v>-2.0999999999999999E-3</v>
      </c>
    </row>
    <row r="3414" spans="1:3" x14ac:dyDescent="0.35">
      <c r="A3414">
        <v>63</v>
      </c>
      <c r="B3414">
        <v>1959</v>
      </c>
      <c r="C3414">
        <v>-3.0000000000000001E-3</v>
      </c>
    </row>
    <row r="3415" spans="1:3" x14ac:dyDescent="0.35">
      <c r="A3415">
        <v>63</v>
      </c>
      <c r="B3415">
        <v>1960</v>
      </c>
      <c r="C3415">
        <v>-3.5999999999999999E-3</v>
      </c>
    </row>
    <row r="3416" spans="1:3" x14ac:dyDescent="0.35">
      <c r="A3416">
        <v>63</v>
      </c>
      <c r="B3416">
        <v>1961</v>
      </c>
      <c r="C3416">
        <v>-4.1000000000000003E-3</v>
      </c>
    </row>
    <row r="3417" spans="1:3" x14ac:dyDescent="0.35">
      <c r="A3417">
        <v>63</v>
      </c>
      <c r="B3417">
        <v>1962</v>
      </c>
      <c r="C3417">
        <v>-4.1000000000000003E-3</v>
      </c>
    </row>
    <row r="3418" spans="1:3" x14ac:dyDescent="0.35">
      <c r="A3418">
        <v>63</v>
      </c>
      <c r="B3418">
        <v>1963</v>
      </c>
      <c r="C3418">
        <v>-3.7000000000000002E-3</v>
      </c>
    </row>
    <row r="3419" spans="1:3" x14ac:dyDescent="0.35">
      <c r="A3419">
        <v>63</v>
      </c>
      <c r="B3419">
        <v>1964</v>
      </c>
      <c r="C3419">
        <v>-2.8E-3</v>
      </c>
    </row>
    <row r="3420" spans="1:3" x14ac:dyDescent="0.35">
      <c r="A3420">
        <v>63</v>
      </c>
      <c r="B3420">
        <v>1965</v>
      </c>
      <c r="C3420">
        <v>-1.4E-3</v>
      </c>
    </row>
    <row r="3421" spans="1:3" x14ac:dyDescent="0.35">
      <c r="A3421">
        <v>63</v>
      </c>
      <c r="B3421">
        <v>1966</v>
      </c>
      <c r="C3421">
        <v>5.0000000000000001E-4</v>
      </c>
    </row>
    <row r="3422" spans="1:3" x14ac:dyDescent="0.35">
      <c r="A3422">
        <v>63</v>
      </c>
      <c r="B3422">
        <v>1967</v>
      </c>
      <c r="C3422">
        <v>2.8E-3</v>
      </c>
    </row>
    <row r="3423" spans="1:3" x14ac:dyDescent="0.35">
      <c r="A3423">
        <v>63</v>
      </c>
      <c r="B3423">
        <v>1968</v>
      </c>
      <c r="C3423">
        <v>5.4999999999999997E-3</v>
      </c>
    </row>
    <row r="3424" spans="1:3" x14ac:dyDescent="0.35">
      <c r="A3424">
        <v>63</v>
      </c>
      <c r="B3424">
        <v>1969</v>
      </c>
      <c r="C3424">
        <v>8.3999999999999995E-3</v>
      </c>
    </row>
    <row r="3425" spans="1:3" x14ac:dyDescent="0.35">
      <c r="A3425">
        <v>63</v>
      </c>
      <c r="B3425">
        <v>1970</v>
      </c>
      <c r="C3425">
        <v>1.1299999999999999E-2</v>
      </c>
    </row>
    <row r="3426" spans="1:3" x14ac:dyDescent="0.35">
      <c r="A3426">
        <v>63</v>
      </c>
      <c r="B3426">
        <v>1971</v>
      </c>
      <c r="C3426">
        <v>1.43E-2</v>
      </c>
    </row>
    <row r="3427" spans="1:3" x14ac:dyDescent="0.35">
      <c r="A3427">
        <v>63</v>
      </c>
      <c r="B3427">
        <v>1972</v>
      </c>
      <c r="C3427">
        <v>1.72E-2</v>
      </c>
    </row>
    <row r="3428" spans="1:3" x14ac:dyDescent="0.35">
      <c r="A3428">
        <v>63</v>
      </c>
      <c r="B3428">
        <v>1973</v>
      </c>
      <c r="C3428">
        <v>1.9699999999999999E-2</v>
      </c>
    </row>
    <row r="3429" spans="1:3" x14ac:dyDescent="0.35">
      <c r="A3429">
        <v>63</v>
      </c>
      <c r="B3429">
        <v>1974</v>
      </c>
      <c r="C3429">
        <v>2.18E-2</v>
      </c>
    </row>
    <row r="3430" spans="1:3" x14ac:dyDescent="0.35">
      <c r="A3430">
        <v>63</v>
      </c>
      <c r="B3430">
        <v>1975</v>
      </c>
      <c r="C3430">
        <v>2.3099999999999999E-2</v>
      </c>
    </row>
    <row r="3431" spans="1:3" x14ac:dyDescent="0.35">
      <c r="A3431">
        <v>63</v>
      </c>
      <c r="B3431">
        <v>1976</v>
      </c>
      <c r="C3431">
        <v>2.3699999999999999E-2</v>
      </c>
    </row>
    <row r="3432" spans="1:3" x14ac:dyDescent="0.35">
      <c r="A3432">
        <v>63</v>
      </c>
      <c r="B3432">
        <v>1977</v>
      </c>
      <c r="C3432">
        <v>2.35E-2</v>
      </c>
    </row>
    <row r="3433" spans="1:3" x14ac:dyDescent="0.35">
      <c r="A3433">
        <v>63</v>
      </c>
      <c r="B3433">
        <v>1978</v>
      </c>
      <c r="C3433">
        <v>2.2700000000000001E-2</v>
      </c>
    </row>
    <row r="3434" spans="1:3" x14ac:dyDescent="0.35">
      <c r="A3434">
        <v>63</v>
      </c>
      <c r="B3434">
        <v>1979</v>
      </c>
      <c r="C3434">
        <v>2.1299999999999999E-2</v>
      </c>
    </row>
    <row r="3435" spans="1:3" x14ac:dyDescent="0.35">
      <c r="A3435">
        <v>63</v>
      </c>
      <c r="B3435">
        <v>1980</v>
      </c>
      <c r="C3435">
        <v>1.9599999999999999E-2</v>
      </c>
    </row>
    <row r="3436" spans="1:3" x14ac:dyDescent="0.35">
      <c r="A3436">
        <v>63</v>
      </c>
      <c r="B3436">
        <v>1981</v>
      </c>
      <c r="C3436">
        <v>1.77E-2</v>
      </c>
    </row>
    <row r="3437" spans="1:3" x14ac:dyDescent="0.35">
      <c r="A3437">
        <v>63</v>
      </c>
      <c r="B3437">
        <v>1982</v>
      </c>
      <c r="C3437">
        <v>1.5900000000000001E-2</v>
      </c>
    </row>
    <row r="3438" spans="1:3" x14ac:dyDescent="0.35">
      <c r="A3438">
        <v>63</v>
      </c>
      <c r="B3438">
        <v>1983</v>
      </c>
      <c r="C3438">
        <v>1.4500000000000001E-2</v>
      </c>
    </row>
    <row r="3439" spans="1:3" x14ac:dyDescent="0.35">
      <c r="A3439">
        <v>63</v>
      </c>
      <c r="B3439">
        <v>1984</v>
      </c>
      <c r="C3439">
        <v>1.3899999999999999E-2</v>
      </c>
    </row>
    <row r="3440" spans="1:3" x14ac:dyDescent="0.35">
      <c r="A3440">
        <v>63</v>
      </c>
      <c r="B3440">
        <v>1985</v>
      </c>
      <c r="C3440">
        <v>1.3899999999999999E-2</v>
      </c>
    </row>
    <row r="3441" spans="1:3" x14ac:dyDescent="0.35">
      <c r="A3441">
        <v>63</v>
      </c>
      <c r="B3441">
        <v>1986</v>
      </c>
      <c r="C3441">
        <v>1.4500000000000001E-2</v>
      </c>
    </row>
    <row r="3442" spans="1:3" x14ac:dyDescent="0.35">
      <c r="A3442">
        <v>63</v>
      </c>
      <c r="B3442">
        <v>1987</v>
      </c>
      <c r="C3442">
        <v>1.55E-2</v>
      </c>
    </row>
    <row r="3443" spans="1:3" x14ac:dyDescent="0.35">
      <c r="A3443">
        <v>63</v>
      </c>
      <c r="B3443">
        <v>1988</v>
      </c>
      <c r="C3443">
        <v>1.66E-2</v>
      </c>
    </row>
    <row r="3444" spans="1:3" x14ac:dyDescent="0.35">
      <c r="A3444">
        <v>63</v>
      </c>
      <c r="B3444">
        <v>1989</v>
      </c>
      <c r="C3444">
        <v>1.7500000000000002E-2</v>
      </c>
    </row>
    <row r="3445" spans="1:3" x14ac:dyDescent="0.35">
      <c r="A3445">
        <v>63</v>
      </c>
      <c r="B3445">
        <v>1990</v>
      </c>
      <c r="C3445">
        <v>1.7899999999999999E-2</v>
      </c>
    </row>
    <row r="3446" spans="1:3" x14ac:dyDescent="0.35">
      <c r="A3446">
        <v>63</v>
      </c>
      <c r="B3446">
        <v>1991</v>
      </c>
      <c r="C3446">
        <v>1.7999999999999999E-2</v>
      </c>
    </row>
    <row r="3447" spans="1:3" x14ac:dyDescent="0.35">
      <c r="A3447">
        <v>63</v>
      </c>
      <c r="B3447">
        <v>1992</v>
      </c>
      <c r="C3447">
        <v>1.7899999999999999E-2</v>
      </c>
    </row>
    <row r="3448" spans="1:3" x14ac:dyDescent="0.35">
      <c r="A3448">
        <v>63</v>
      </c>
      <c r="B3448">
        <v>1993</v>
      </c>
      <c r="C3448">
        <v>1.7899999999999999E-2</v>
      </c>
    </row>
    <row r="3449" spans="1:3" x14ac:dyDescent="0.35">
      <c r="A3449">
        <v>63</v>
      </c>
      <c r="B3449">
        <v>1994</v>
      </c>
      <c r="C3449">
        <v>1.83E-2</v>
      </c>
    </row>
    <row r="3450" spans="1:3" x14ac:dyDescent="0.35">
      <c r="A3450">
        <v>63</v>
      </c>
      <c r="B3450">
        <v>1995</v>
      </c>
      <c r="C3450">
        <v>1.9099999999999999E-2</v>
      </c>
    </row>
    <row r="3451" spans="1:3" x14ac:dyDescent="0.35">
      <c r="A3451">
        <v>63</v>
      </c>
      <c r="B3451">
        <v>1996</v>
      </c>
      <c r="C3451">
        <v>2.0199999999999999E-2</v>
      </c>
    </row>
    <row r="3452" spans="1:3" x14ac:dyDescent="0.35">
      <c r="A3452">
        <v>63</v>
      </c>
      <c r="B3452">
        <v>1997</v>
      </c>
      <c r="C3452">
        <v>2.1499999999999998E-2</v>
      </c>
    </row>
    <row r="3453" spans="1:3" x14ac:dyDescent="0.35">
      <c r="A3453">
        <v>63</v>
      </c>
      <c r="B3453">
        <v>1998</v>
      </c>
      <c r="C3453">
        <v>2.2499999999999999E-2</v>
      </c>
    </row>
    <row r="3454" spans="1:3" x14ac:dyDescent="0.35">
      <c r="A3454">
        <v>63</v>
      </c>
      <c r="B3454">
        <v>1999</v>
      </c>
      <c r="C3454">
        <v>2.3400000000000001E-2</v>
      </c>
    </row>
    <row r="3455" spans="1:3" x14ac:dyDescent="0.35">
      <c r="A3455">
        <v>63</v>
      </c>
      <c r="B3455">
        <v>2000</v>
      </c>
      <c r="C3455">
        <v>2.3800000000000002E-2</v>
      </c>
    </row>
    <row r="3456" spans="1:3" x14ac:dyDescent="0.35">
      <c r="A3456">
        <v>63</v>
      </c>
      <c r="B3456">
        <v>2001</v>
      </c>
      <c r="C3456">
        <v>2.4E-2</v>
      </c>
    </row>
    <row r="3457" spans="1:3" x14ac:dyDescent="0.35">
      <c r="A3457">
        <v>63</v>
      </c>
      <c r="B3457">
        <v>2002</v>
      </c>
      <c r="C3457">
        <v>2.41E-2</v>
      </c>
    </row>
    <row r="3458" spans="1:3" x14ac:dyDescent="0.35">
      <c r="A3458">
        <v>63</v>
      </c>
      <c r="B3458">
        <v>2003</v>
      </c>
      <c r="C3458">
        <v>2.3900000000000001E-2</v>
      </c>
    </row>
    <row r="3459" spans="1:3" x14ac:dyDescent="0.35">
      <c r="A3459">
        <v>63</v>
      </c>
      <c r="B3459">
        <v>2004</v>
      </c>
      <c r="C3459">
        <v>2.35E-2</v>
      </c>
    </row>
    <row r="3460" spans="1:3" x14ac:dyDescent="0.35">
      <c r="A3460">
        <v>63</v>
      </c>
      <c r="B3460">
        <v>2005</v>
      </c>
      <c r="C3460">
        <v>2.2700000000000001E-2</v>
      </c>
    </row>
    <row r="3461" spans="1:3" x14ac:dyDescent="0.35">
      <c r="A3461">
        <v>63</v>
      </c>
      <c r="B3461">
        <v>2006</v>
      </c>
      <c r="C3461">
        <v>2.1399999999999999E-2</v>
      </c>
    </row>
    <row r="3462" spans="1:3" x14ac:dyDescent="0.35">
      <c r="A3462">
        <v>63</v>
      </c>
      <c r="B3462">
        <v>2007</v>
      </c>
      <c r="C3462">
        <v>1.9300000000000001E-2</v>
      </c>
    </row>
    <row r="3463" spans="1:3" x14ac:dyDescent="0.35">
      <c r="A3463">
        <v>63</v>
      </c>
      <c r="B3463">
        <v>2008</v>
      </c>
      <c r="C3463">
        <v>1.66E-2</v>
      </c>
    </row>
    <row r="3464" spans="1:3" x14ac:dyDescent="0.35">
      <c r="A3464">
        <v>63</v>
      </c>
      <c r="B3464">
        <v>2009</v>
      </c>
      <c r="C3464">
        <v>1.3100000000000001E-2</v>
      </c>
    </row>
    <row r="3465" spans="1:3" x14ac:dyDescent="0.35">
      <c r="A3465">
        <v>63</v>
      </c>
      <c r="B3465">
        <v>2010</v>
      </c>
      <c r="C3465">
        <v>8.9999999999999993E-3</v>
      </c>
    </row>
    <row r="3466" spans="1:3" x14ac:dyDescent="0.35">
      <c r="A3466">
        <v>63</v>
      </c>
      <c r="B3466">
        <v>2011</v>
      </c>
      <c r="C3466">
        <v>4.1999999999999997E-3</v>
      </c>
    </row>
    <row r="3467" spans="1:3" x14ac:dyDescent="0.35">
      <c r="A3467">
        <v>63</v>
      </c>
      <c r="B3467">
        <v>2012</v>
      </c>
      <c r="C3467">
        <v>-1E-3</v>
      </c>
    </row>
    <row r="3468" spans="1:3" x14ac:dyDescent="0.35">
      <c r="A3468">
        <v>63</v>
      </c>
      <c r="B3468">
        <v>2013</v>
      </c>
      <c r="C3468">
        <v>-1.6000000000000001E-3</v>
      </c>
    </row>
    <row r="3469" spans="1:3" x14ac:dyDescent="0.35">
      <c r="A3469">
        <v>63</v>
      </c>
      <c r="B3469">
        <v>2014</v>
      </c>
      <c r="C3469">
        <v>-1.6000000000000001E-3</v>
      </c>
    </row>
    <row r="3470" spans="1:3" x14ac:dyDescent="0.35">
      <c r="A3470">
        <v>63</v>
      </c>
      <c r="B3470">
        <v>2015</v>
      </c>
      <c r="C3470">
        <v>-1E-3</v>
      </c>
    </row>
    <row r="3471" spans="1:3" x14ac:dyDescent="0.35">
      <c r="A3471">
        <v>63</v>
      </c>
      <c r="B3471">
        <v>2016</v>
      </c>
      <c r="C3471">
        <v>1E-4</v>
      </c>
    </row>
    <row r="3472" spans="1:3" x14ac:dyDescent="0.35">
      <c r="A3472">
        <v>63</v>
      </c>
      <c r="B3472">
        <v>2017</v>
      </c>
      <c r="C3472">
        <v>1.6000000000000001E-3</v>
      </c>
    </row>
    <row r="3473" spans="1:3" x14ac:dyDescent="0.35">
      <c r="A3473">
        <v>63</v>
      </c>
      <c r="B3473">
        <v>2018</v>
      </c>
      <c r="C3473">
        <v>3.3999999999999998E-3</v>
      </c>
    </row>
    <row r="3474" spans="1:3" x14ac:dyDescent="0.35">
      <c r="A3474">
        <v>63</v>
      </c>
      <c r="B3474">
        <v>2019</v>
      </c>
      <c r="C3474">
        <v>5.1999999999999998E-3</v>
      </c>
    </row>
    <row r="3475" spans="1:3" x14ac:dyDescent="0.35">
      <c r="A3475">
        <v>63</v>
      </c>
      <c r="B3475">
        <v>2020</v>
      </c>
      <c r="C3475">
        <v>6.8999999999999999E-3</v>
      </c>
    </row>
    <row r="3476" spans="1:3" x14ac:dyDescent="0.35">
      <c r="A3476">
        <v>63</v>
      </c>
      <c r="B3476">
        <v>2021</v>
      </c>
      <c r="C3476">
        <v>8.3000000000000001E-3</v>
      </c>
    </row>
    <row r="3477" spans="1:3" x14ac:dyDescent="0.35">
      <c r="A3477">
        <v>63</v>
      </c>
      <c r="B3477">
        <v>2022</v>
      </c>
      <c r="C3477">
        <v>9.2999999999999992E-3</v>
      </c>
    </row>
    <row r="3478" spans="1:3" x14ac:dyDescent="0.35">
      <c r="A3478">
        <v>63</v>
      </c>
      <c r="B3478">
        <v>2023</v>
      </c>
      <c r="C3478">
        <v>0.01</v>
      </c>
    </row>
    <row r="3479" spans="1:3" x14ac:dyDescent="0.35">
      <c r="A3479">
        <v>63</v>
      </c>
      <c r="B3479">
        <v>2024</v>
      </c>
      <c r="C3479">
        <v>1.04E-2</v>
      </c>
    </row>
    <row r="3480" spans="1:3" x14ac:dyDescent="0.35">
      <c r="A3480">
        <v>63</v>
      </c>
      <c r="B3480">
        <v>2025</v>
      </c>
      <c r="C3480">
        <v>1.0699999999999999E-2</v>
      </c>
    </row>
    <row r="3481" spans="1:3" x14ac:dyDescent="0.35">
      <c r="A3481">
        <v>63</v>
      </c>
      <c r="B3481">
        <v>2026</v>
      </c>
      <c r="C3481">
        <v>1.0699999999999999E-2</v>
      </c>
    </row>
    <row r="3482" spans="1:3" x14ac:dyDescent="0.35">
      <c r="A3482">
        <v>63</v>
      </c>
      <c r="B3482">
        <v>2027</v>
      </c>
      <c r="C3482">
        <v>1.0699999999999999E-2</v>
      </c>
    </row>
    <row r="3483" spans="1:3" x14ac:dyDescent="0.35">
      <c r="A3483">
        <v>63</v>
      </c>
      <c r="B3483">
        <v>2028</v>
      </c>
      <c r="C3483">
        <v>1.0500000000000001E-2</v>
      </c>
    </row>
    <row r="3484" spans="1:3" x14ac:dyDescent="0.35">
      <c r="A3484">
        <v>63</v>
      </c>
      <c r="B3484">
        <v>2029</v>
      </c>
      <c r="C3484">
        <v>1.03E-2</v>
      </c>
    </row>
    <row r="3485" spans="1:3" x14ac:dyDescent="0.35">
      <c r="A3485">
        <v>63</v>
      </c>
      <c r="B3485">
        <v>2030</v>
      </c>
      <c r="C3485">
        <v>1.01E-2</v>
      </c>
    </row>
    <row r="3486" spans="1:3" x14ac:dyDescent="0.35">
      <c r="A3486">
        <v>63</v>
      </c>
      <c r="B3486">
        <v>2031</v>
      </c>
      <c r="C3486">
        <v>0.01</v>
      </c>
    </row>
    <row r="3487" spans="1:3" x14ac:dyDescent="0.35">
      <c r="A3487">
        <v>64</v>
      </c>
      <c r="B3487">
        <v>1951</v>
      </c>
      <c r="C3487">
        <v>8.8999999999999999E-3</v>
      </c>
    </row>
    <row r="3488" spans="1:3" x14ac:dyDescent="0.35">
      <c r="A3488">
        <v>64</v>
      </c>
      <c r="B3488">
        <v>1952</v>
      </c>
      <c r="C3488">
        <v>7.1000000000000004E-3</v>
      </c>
    </row>
    <row r="3489" spans="1:3" x14ac:dyDescent="0.35">
      <c r="A3489">
        <v>64</v>
      </c>
      <c r="B3489">
        <v>1953</v>
      </c>
      <c r="C3489">
        <v>5.3E-3</v>
      </c>
    </row>
    <row r="3490" spans="1:3" x14ac:dyDescent="0.35">
      <c r="A3490">
        <v>64</v>
      </c>
      <c r="B3490">
        <v>1954</v>
      </c>
      <c r="C3490">
        <v>3.3999999999999998E-3</v>
      </c>
    </row>
    <row r="3491" spans="1:3" x14ac:dyDescent="0.35">
      <c r="A3491">
        <v>64</v>
      </c>
      <c r="B3491">
        <v>1955</v>
      </c>
      <c r="C3491">
        <v>1.6000000000000001E-3</v>
      </c>
    </row>
    <row r="3492" spans="1:3" x14ac:dyDescent="0.35">
      <c r="A3492">
        <v>64</v>
      </c>
      <c r="B3492">
        <v>1956</v>
      </c>
      <c r="C3492">
        <v>-2.0000000000000001E-4</v>
      </c>
    </row>
    <row r="3493" spans="1:3" x14ac:dyDescent="0.35">
      <c r="A3493">
        <v>64</v>
      </c>
      <c r="B3493">
        <v>1957</v>
      </c>
      <c r="C3493">
        <v>-1.6000000000000001E-3</v>
      </c>
    </row>
    <row r="3494" spans="1:3" x14ac:dyDescent="0.35">
      <c r="A3494">
        <v>64</v>
      </c>
      <c r="B3494">
        <v>1958</v>
      </c>
      <c r="C3494">
        <v>-2.5999999999999999E-3</v>
      </c>
    </row>
    <row r="3495" spans="1:3" x14ac:dyDescent="0.35">
      <c r="A3495">
        <v>64</v>
      </c>
      <c r="B3495">
        <v>1959</v>
      </c>
      <c r="C3495">
        <v>-3.3999999999999998E-3</v>
      </c>
    </row>
    <row r="3496" spans="1:3" x14ac:dyDescent="0.35">
      <c r="A3496">
        <v>64</v>
      </c>
      <c r="B3496">
        <v>1960</v>
      </c>
      <c r="C3496">
        <v>-4.0000000000000001E-3</v>
      </c>
    </row>
    <row r="3497" spans="1:3" x14ac:dyDescent="0.35">
      <c r="A3497">
        <v>64</v>
      </c>
      <c r="B3497">
        <v>1961</v>
      </c>
      <c r="C3497">
        <v>-4.1999999999999997E-3</v>
      </c>
    </row>
    <row r="3498" spans="1:3" x14ac:dyDescent="0.35">
      <c r="A3498">
        <v>64</v>
      </c>
      <c r="B3498">
        <v>1962</v>
      </c>
      <c r="C3498">
        <v>-4.1000000000000003E-3</v>
      </c>
    </row>
    <row r="3499" spans="1:3" x14ac:dyDescent="0.35">
      <c r="A3499">
        <v>64</v>
      </c>
      <c r="B3499">
        <v>1963</v>
      </c>
      <c r="C3499">
        <v>-3.5999999999999999E-3</v>
      </c>
    </row>
    <row r="3500" spans="1:3" x14ac:dyDescent="0.35">
      <c r="A3500">
        <v>64</v>
      </c>
      <c r="B3500">
        <v>1964</v>
      </c>
      <c r="C3500">
        <v>-2.5000000000000001E-3</v>
      </c>
    </row>
    <row r="3501" spans="1:3" x14ac:dyDescent="0.35">
      <c r="A3501">
        <v>64</v>
      </c>
      <c r="B3501">
        <v>1965</v>
      </c>
      <c r="C3501">
        <v>-1E-3</v>
      </c>
    </row>
    <row r="3502" spans="1:3" x14ac:dyDescent="0.35">
      <c r="A3502">
        <v>64</v>
      </c>
      <c r="B3502">
        <v>1966</v>
      </c>
      <c r="C3502">
        <v>8.9999999999999998E-4</v>
      </c>
    </row>
    <row r="3503" spans="1:3" x14ac:dyDescent="0.35">
      <c r="A3503">
        <v>64</v>
      </c>
      <c r="B3503">
        <v>1967</v>
      </c>
      <c r="C3503">
        <v>3.0999999999999999E-3</v>
      </c>
    </row>
    <row r="3504" spans="1:3" x14ac:dyDescent="0.35">
      <c r="A3504">
        <v>64</v>
      </c>
      <c r="B3504">
        <v>1968</v>
      </c>
      <c r="C3504">
        <v>5.5999999999999999E-3</v>
      </c>
    </row>
    <row r="3505" spans="1:3" x14ac:dyDescent="0.35">
      <c r="A3505">
        <v>64</v>
      </c>
      <c r="B3505">
        <v>1969</v>
      </c>
      <c r="C3505">
        <v>8.3000000000000001E-3</v>
      </c>
    </row>
    <row r="3506" spans="1:3" x14ac:dyDescent="0.35">
      <c r="A3506">
        <v>64</v>
      </c>
      <c r="B3506">
        <v>1970</v>
      </c>
      <c r="C3506">
        <v>1.0999999999999999E-2</v>
      </c>
    </row>
    <row r="3507" spans="1:3" x14ac:dyDescent="0.35">
      <c r="A3507">
        <v>64</v>
      </c>
      <c r="B3507">
        <v>1971</v>
      </c>
      <c r="C3507">
        <v>1.37E-2</v>
      </c>
    </row>
    <row r="3508" spans="1:3" x14ac:dyDescent="0.35">
      <c r="A3508">
        <v>64</v>
      </c>
      <c r="B3508">
        <v>1972</v>
      </c>
      <c r="C3508">
        <v>1.6299999999999999E-2</v>
      </c>
    </row>
    <row r="3509" spans="1:3" x14ac:dyDescent="0.35">
      <c r="A3509">
        <v>64</v>
      </c>
      <c r="B3509">
        <v>1973</v>
      </c>
      <c r="C3509">
        <v>1.8700000000000001E-2</v>
      </c>
    </row>
    <row r="3510" spans="1:3" x14ac:dyDescent="0.35">
      <c r="A3510">
        <v>64</v>
      </c>
      <c r="B3510">
        <v>1974</v>
      </c>
      <c r="C3510">
        <v>2.06E-2</v>
      </c>
    </row>
    <row r="3511" spans="1:3" x14ac:dyDescent="0.35">
      <c r="A3511">
        <v>64</v>
      </c>
      <c r="B3511">
        <v>1975</v>
      </c>
      <c r="C3511">
        <v>2.1899999999999999E-2</v>
      </c>
    </row>
    <row r="3512" spans="1:3" x14ac:dyDescent="0.35">
      <c r="A3512">
        <v>64</v>
      </c>
      <c r="B3512">
        <v>1976</v>
      </c>
      <c r="C3512">
        <v>2.24E-2</v>
      </c>
    </row>
    <row r="3513" spans="1:3" x14ac:dyDescent="0.35">
      <c r="A3513">
        <v>64</v>
      </c>
      <c r="B3513">
        <v>1977</v>
      </c>
      <c r="C3513">
        <v>2.24E-2</v>
      </c>
    </row>
    <row r="3514" spans="1:3" x14ac:dyDescent="0.35">
      <c r="A3514">
        <v>64</v>
      </c>
      <c r="B3514">
        <v>1978</v>
      </c>
      <c r="C3514">
        <v>2.1700000000000001E-2</v>
      </c>
    </row>
    <row r="3515" spans="1:3" x14ac:dyDescent="0.35">
      <c r="A3515">
        <v>64</v>
      </c>
      <c r="B3515">
        <v>1979</v>
      </c>
      <c r="C3515">
        <v>2.0500000000000001E-2</v>
      </c>
    </row>
    <row r="3516" spans="1:3" x14ac:dyDescent="0.35">
      <c r="A3516">
        <v>64</v>
      </c>
      <c r="B3516">
        <v>1980</v>
      </c>
      <c r="C3516">
        <v>1.9099999999999999E-2</v>
      </c>
    </row>
    <row r="3517" spans="1:3" x14ac:dyDescent="0.35">
      <c r="A3517">
        <v>64</v>
      </c>
      <c r="B3517">
        <v>1981</v>
      </c>
      <c r="C3517">
        <v>1.7399999999999999E-2</v>
      </c>
    </row>
    <row r="3518" spans="1:3" x14ac:dyDescent="0.35">
      <c r="A3518">
        <v>64</v>
      </c>
      <c r="B3518">
        <v>1982</v>
      </c>
      <c r="C3518">
        <v>1.5900000000000001E-2</v>
      </c>
    </row>
    <row r="3519" spans="1:3" x14ac:dyDescent="0.35">
      <c r="A3519">
        <v>64</v>
      </c>
      <c r="B3519">
        <v>1983</v>
      </c>
      <c r="C3519">
        <v>1.47E-2</v>
      </c>
    </row>
    <row r="3520" spans="1:3" x14ac:dyDescent="0.35">
      <c r="A3520">
        <v>64</v>
      </c>
      <c r="B3520">
        <v>1984</v>
      </c>
      <c r="C3520">
        <v>1.41E-2</v>
      </c>
    </row>
    <row r="3521" spans="1:3" x14ac:dyDescent="0.35">
      <c r="A3521">
        <v>64</v>
      </c>
      <c r="B3521">
        <v>1985</v>
      </c>
      <c r="C3521">
        <v>1.4200000000000001E-2</v>
      </c>
    </row>
    <row r="3522" spans="1:3" x14ac:dyDescent="0.35">
      <c r="A3522">
        <v>64</v>
      </c>
      <c r="B3522">
        <v>1986</v>
      </c>
      <c r="C3522">
        <v>1.4800000000000001E-2</v>
      </c>
    </row>
    <row r="3523" spans="1:3" x14ac:dyDescent="0.35">
      <c r="A3523">
        <v>64</v>
      </c>
      <c r="B3523">
        <v>1987</v>
      </c>
      <c r="C3523">
        <v>1.5699999999999999E-2</v>
      </c>
    </row>
    <row r="3524" spans="1:3" x14ac:dyDescent="0.35">
      <c r="A3524">
        <v>64</v>
      </c>
      <c r="B3524">
        <v>1988</v>
      </c>
      <c r="C3524">
        <v>1.67E-2</v>
      </c>
    </row>
    <row r="3525" spans="1:3" x14ac:dyDescent="0.35">
      <c r="A3525">
        <v>64</v>
      </c>
      <c r="B3525">
        <v>1989</v>
      </c>
      <c r="C3525">
        <v>1.7399999999999999E-2</v>
      </c>
    </row>
    <row r="3526" spans="1:3" x14ac:dyDescent="0.35">
      <c r="A3526">
        <v>64</v>
      </c>
      <c r="B3526">
        <v>1990</v>
      </c>
      <c r="C3526">
        <v>1.7600000000000001E-2</v>
      </c>
    </row>
    <row r="3527" spans="1:3" x14ac:dyDescent="0.35">
      <c r="A3527">
        <v>64</v>
      </c>
      <c r="B3527">
        <v>1991</v>
      </c>
      <c r="C3527">
        <v>1.7399999999999999E-2</v>
      </c>
    </row>
    <row r="3528" spans="1:3" x14ac:dyDescent="0.35">
      <c r="A3528">
        <v>64</v>
      </c>
      <c r="B3528">
        <v>1992</v>
      </c>
      <c r="C3528">
        <v>1.7100000000000001E-2</v>
      </c>
    </row>
    <row r="3529" spans="1:3" x14ac:dyDescent="0.35">
      <c r="A3529">
        <v>64</v>
      </c>
      <c r="B3529">
        <v>1993</v>
      </c>
      <c r="C3529">
        <v>1.7000000000000001E-2</v>
      </c>
    </row>
    <row r="3530" spans="1:3" x14ac:dyDescent="0.35">
      <c r="A3530">
        <v>64</v>
      </c>
      <c r="B3530">
        <v>1994</v>
      </c>
      <c r="C3530">
        <v>1.7299999999999999E-2</v>
      </c>
    </row>
    <row r="3531" spans="1:3" x14ac:dyDescent="0.35">
      <c r="A3531">
        <v>64</v>
      </c>
      <c r="B3531">
        <v>1995</v>
      </c>
      <c r="C3531">
        <v>1.8100000000000002E-2</v>
      </c>
    </row>
    <row r="3532" spans="1:3" x14ac:dyDescent="0.35">
      <c r="A3532">
        <v>64</v>
      </c>
      <c r="B3532">
        <v>1996</v>
      </c>
      <c r="C3532">
        <v>1.9400000000000001E-2</v>
      </c>
    </row>
    <row r="3533" spans="1:3" x14ac:dyDescent="0.35">
      <c r="A3533">
        <v>64</v>
      </c>
      <c r="B3533">
        <v>1997</v>
      </c>
      <c r="C3533">
        <v>2.0799999999999999E-2</v>
      </c>
    </row>
    <row r="3534" spans="1:3" x14ac:dyDescent="0.35">
      <c r="A3534">
        <v>64</v>
      </c>
      <c r="B3534">
        <v>1998</v>
      </c>
      <c r="C3534">
        <v>2.2200000000000001E-2</v>
      </c>
    </row>
    <row r="3535" spans="1:3" x14ac:dyDescent="0.35">
      <c r="A3535">
        <v>64</v>
      </c>
      <c r="B3535">
        <v>1999</v>
      </c>
      <c r="C3535">
        <v>2.3300000000000001E-2</v>
      </c>
    </row>
    <row r="3536" spans="1:3" x14ac:dyDescent="0.35">
      <c r="A3536">
        <v>64</v>
      </c>
      <c r="B3536">
        <v>2000</v>
      </c>
      <c r="C3536">
        <v>2.41E-2</v>
      </c>
    </row>
    <row r="3537" spans="1:3" x14ac:dyDescent="0.35">
      <c r="A3537">
        <v>64</v>
      </c>
      <c r="B3537">
        <v>2001</v>
      </c>
      <c r="C3537">
        <v>2.47E-2</v>
      </c>
    </row>
    <row r="3538" spans="1:3" x14ac:dyDescent="0.35">
      <c r="A3538">
        <v>64</v>
      </c>
      <c r="B3538">
        <v>2002</v>
      </c>
      <c r="C3538">
        <v>2.5000000000000001E-2</v>
      </c>
    </row>
    <row r="3539" spans="1:3" x14ac:dyDescent="0.35">
      <c r="A3539">
        <v>64</v>
      </c>
      <c r="B3539">
        <v>2003</v>
      </c>
      <c r="C3539">
        <v>2.52E-2</v>
      </c>
    </row>
    <row r="3540" spans="1:3" x14ac:dyDescent="0.35">
      <c r="A3540">
        <v>64</v>
      </c>
      <c r="B3540">
        <v>2004</v>
      </c>
      <c r="C3540">
        <v>2.5000000000000001E-2</v>
      </c>
    </row>
    <row r="3541" spans="1:3" x14ac:dyDescent="0.35">
      <c r="A3541">
        <v>64</v>
      </c>
      <c r="B3541">
        <v>2005</v>
      </c>
      <c r="C3541">
        <v>2.4299999999999999E-2</v>
      </c>
    </row>
    <row r="3542" spans="1:3" x14ac:dyDescent="0.35">
      <c r="A3542">
        <v>64</v>
      </c>
      <c r="B3542">
        <v>2006</v>
      </c>
      <c r="C3542">
        <v>2.3099999999999999E-2</v>
      </c>
    </row>
    <row r="3543" spans="1:3" x14ac:dyDescent="0.35">
      <c r="A3543">
        <v>64</v>
      </c>
      <c r="B3543">
        <v>2007</v>
      </c>
      <c r="C3543">
        <v>2.1100000000000001E-2</v>
      </c>
    </row>
    <row r="3544" spans="1:3" x14ac:dyDescent="0.35">
      <c r="A3544">
        <v>64</v>
      </c>
      <c r="B3544">
        <v>2008</v>
      </c>
      <c r="C3544">
        <v>1.84E-2</v>
      </c>
    </row>
    <row r="3545" spans="1:3" x14ac:dyDescent="0.35">
      <c r="A3545">
        <v>64</v>
      </c>
      <c r="B3545">
        <v>2009</v>
      </c>
      <c r="C3545">
        <v>1.4999999999999999E-2</v>
      </c>
    </row>
    <row r="3546" spans="1:3" x14ac:dyDescent="0.35">
      <c r="A3546">
        <v>64</v>
      </c>
      <c r="B3546">
        <v>2010</v>
      </c>
      <c r="C3546">
        <v>1.09E-2</v>
      </c>
    </row>
    <row r="3547" spans="1:3" x14ac:dyDescent="0.35">
      <c r="A3547">
        <v>64</v>
      </c>
      <c r="B3547">
        <v>2011</v>
      </c>
      <c r="C3547">
        <v>6.1000000000000004E-3</v>
      </c>
    </row>
    <row r="3548" spans="1:3" x14ac:dyDescent="0.35">
      <c r="A3548">
        <v>64</v>
      </c>
      <c r="B3548">
        <v>2012</v>
      </c>
      <c r="C3548">
        <v>1E-3</v>
      </c>
    </row>
    <row r="3549" spans="1:3" x14ac:dyDescent="0.35">
      <c r="A3549">
        <v>64</v>
      </c>
      <c r="B3549">
        <v>2013</v>
      </c>
      <c r="C3549">
        <v>1E-4</v>
      </c>
    </row>
    <row r="3550" spans="1:3" x14ac:dyDescent="0.35">
      <c r="A3550">
        <v>64</v>
      </c>
      <c r="B3550">
        <v>2014</v>
      </c>
      <c r="C3550">
        <v>-2.0000000000000001E-4</v>
      </c>
    </row>
    <row r="3551" spans="1:3" x14ac:dyDescent="0.35">
      <c r="A3551">
        <v>64</v>
      </c>
      <c r="B3551">
        <v>2015</v>
      </c>
      <c r="C3551">
        <v>0</v>
      </c>
    </row>
    <row r="3552" spans="1:3" x14ac:dyDescent="0.35">
      <c r="A3552">
        <v>64</v>
      </c>
      <c r="B3552">
        <v>2016</v>
      </c>
      <c r="C3552">
        <v>6.9999999999999999E-4</v>
      </c>
    </row>
    <row r="3553" spans="1:3" x14ac:dyDescent="0.35">
      <c r="A3553">
        <v>64</v>
      </c>
      <c r="B3553">
        <v>2017</v>
      </c>
      <c r="C3553">
        <v>1.8E-3</v>
      </c>
    </row>
    <row r="3554" spans="1:3" x14ac:dyDescent="0.35">
      <c r="A3554">
        <v>64</v>
      </c>
      <c r="B3554">
        <v>2018</v>
      </c>
      <c r="C3554">
        <v>3.2000000000000002E-3</v>
      </c>
    </row>
    <row r="3555" spans="1:3" x14ac:dyDescent="0.35">
      <c r="A3555">
        <v>64</v>
      </c>
      <c r="B3555">
        <v>2019</v>
      </c>
      <c r="C3555">
        <v>4.7000000000000002E-3</v>
      </c>
    </row>
    <row r="3556" spans="1:3" x14ac:dyDescent="0.35">
      <c r="A3556">
        <v>64</v>
      </c>
      <c r="B3556">
        <v>2020</v>
      </c>
      <c r="C3556">
        <v>6.3E-3</v>
      </c>
    </row>
    <row r="3557" spans="1:3" x14ac:dyDescent="0.35">
      <c r="A3557">
        <v>64</v>
      </c>
      <c r="B3557">
        <v>2021</v>
      </c>
      <c r="C3557">
        <v>7.6E-3</v>
      </c>
    </row>
    <row r="3558" spans="1:3" x14ac:dyDescent="0.35">
      <c r="A3558">
        <v>64</v>
      </c>
      <c r="B3558">
        <v>2022</v>
      </c>
      <c r="C3558">
        <v>8.6999999999999994E-3</v>
      </c>
    </row>
    <row r="3559" spans="1:3" x14ac:dyDescent="0.35">
      <c r="A3559">
        <v>64</v>
      </c>
      <c r="B3559">
        <v>2023</v>
      </c>
      <c r="C3559">
        <v>9.4000000000000004E-3</v>
      </c>
    </row>
    <row r="3560" spans="1:3" x14ac:dyDescent="0.35">
      <c r="A3560">
        <v>64</v>
      </c>
      <c r="B3560">
        <v>2024</v>
      </c>
      <c r="C3560">
        <v>0.01</v>
      </c>
    </row>
    <row r="3561" spans="1:3" x14ac:dyDescent="0.35">
      <c r="A3561">
        <v>64</v>
      </c>
      <c r="B3561">
        <v>2025</v>
      </c>
      <c r="C3561">
        <v>1.03E-2</v>
      </c>
    </row>
    <row r="3562" spans="1:3" x14ac:dyDescent="0.35">
      <c r="A3562">
        <v>64</v>
      </c>
      <c r="B3562">
        <v>2026</v>
      </c>
      <c r="C3562">
        <v>1.0500000000000001E-2</v>
      </c>
    </row>
    <row r="3563" spans="1:3" x14ac:dyDescent="0.35">
      <c r="A3563">
        <v>64</v>
      </c>
      <c r="B3563">
        <v>2027</v>
      </c>
      <c r="C3563">
        <v>1.0500000000000001E-2</v>
      </c>
    </row>
    <row r="3564" spans="1:3" x14ac:dyDescent="0.35">
      <c r="A3564">
        <v>64</v>
      </c>
      <c r="B3564">
        <v>2028</v>
      </c>
      <c r="C3564">
        <v>1.04E-2</v>
      </c>
    </row>
    <row r="3565" spans="1:3" x14ac:dyDescent="0.35">
      <c r="A3565">
        <v>64</v>
      </c>
      <c r="B3565">
        <v>2029</v>
      </c>
      <c r="C3565">
        <v>1.03E-2</v>
      </c>
    </row>
    <row r="3566" spans="1:3" x14ac:dyDescent="0.35">
      <c r="A3566">
        <v>64</v>
      </c>
      <c r="B3566">
        <v>2030</v>
      </c>
      <c r="C3566">
        <v>1.01E-2</v>
      </c>
    </row>
    <row r="3567" spans="1:3" x14ac:dyDescent="0.35">
      <c r="A3567">
        <v>64</v>
      </c>
      <c r="B3567">
        <v>2031</v>
      </c>
      <c r="C3567">
        <v>0.01</v>
      </c>
    </row>
    <row r="3568" spans="1:3" x14ac:dyDescent="0.35">
      <c r="A3568">
        <v>65</v>
      </c>
      <c r="B3568">
        <v>1951</v>
      </c>
      <c r="C3568">
        <v>8.2000000000000007E-3</v>
      </c>
    </row>
    <row r="3569" spans="1:3" x14ac:dyDescent="0.35">
      <c r="A3569">
        <v>65</v>
      </c>
      <c r="B3569">
        <v>1952</v>
      </c>
      <c r="C3569">
        <v>6.4000000000000003E-3</v>
      </c>
    </row>
    <row r="3570" spans="1:3" x14ac:dyDescent="0.35">
      <c r="A3570">
        <v>65</v>
      </c>
      <c r="B3570">
        <v>1953</v>
      </c>
      <c r="C3570">
        <v>4.5999999999999999E-3</v>
      </c>
    </row>
    <row r="3571" spans="1:3" x14ac:dyDescent="0.35">
      <c r="A3571">
        <v>65</v>
      </c>
      <c r="B3571">
        <v>1954</v>
      </c>
      <c r="C3571">
        <v>2.7000000000000001E-3</v>
      </c>
    </row>
    <row r="3572" spans="1:3" x14ac:dyDescent="0.35">
      <c r="A3572">
        <v>65</v>
      </c>
      <c r="B3572">
        <v>1955</v>
      </c>
      <c r="C3572">
        <v>8.9999999999999998E-4</v>
      </c>
    </row>
    <row r="3573" spans="1:3" x14ac:dyDescent="0.35">
      <c r="A3573">
        <v>65</v>
      </c>
      <c r="B3573">
        <v>1956</v>
      </c>
      <c r="C3573">
        <v>-6.9999999999999999E-4</v>
      </c>
    </row>
    <row r="3574" spans="1:3" x14ac:dyDescent="0.35">
      <c r="A3574">
        <v>65</v>
      </c>
      <c r="B3574">
        <v>1957</v>
      </c>
      <c r="C3574">
        <v>-2E-3</v>
      </c>
    </row>
    <row r="3575" spans="1:3" x14ac:dyDescent="0.35">
      <c r="A3575">
        <v>65</v>
      </c>
      <c r="B3575">
        <v>1958</v>
      </c>
      <c r="C3575">
        <v>-3.0000000000000001E-3</v>
      </c>
    </row>
    <row r="3576" spans="1:3" x14ac:dyDescent="0.35">
      <c r="A3576">
        <v>65</v>
      </c>
      <c r="B3576">
        <v>1959</v>
      </c>
      <c r="C3576">
        <v>-3.7000000000000002E-3</v>
      </c>
    </row>
    <row r="3577" spans="1:3" x14ac:dyDescent="0.35">
      <c r="A3577">
        <v>65</v>
      </c>
      <c r="B3577">
        <v>1960</v>
      </c>
      <c r="C3577">
        <v>-4.1000000000000003E-3</v>
      </c>
    </row>
    <row r="3578" spans="1:3" x14ac:dyDescent="0.35">
      <c r="A3578">
        <v>65</v>
      </c>
      <c r="B3578">
        <v>1961</v>
      </c>
      <c r="C3578">
        <v>-4.1999999999999997E-3</v>
      </c>
    </row>
    <row r="3579" spans="1:3" x14ac:dyDescent="0.35">
      <c r="A3579">
        <v>65</v>
      </c>
      <c r="B3579">
        <v>1962</v>
      </c>
      <c r="C3579">
        <v>-4.0000000000000001E-3</v>
      </c>
    </row>
    <row r="3580" spans="1:3" x14ac:dyDescent="0.35">
      <c r="A3580">
        <v>65</v>
      </c>
      <c r="B3580">
        <v>1963</v>
      </c>
      <c r="C3580">
        <v>-3.3999999999999998E-3</v>
      </c>
    </row>
    <row r="3581" spans="1:3" x14ac:dyDescent="0.35">
      <c r="A3581">
        <v>65</v>
      </c>
      <c r="B3581">
        <v>1964</v>
      </c>
      <c r="C3581">
        <v>-2.2000000000000001E-3</v>
      </c>
    </row>
    <row r="3582" spans="1:3" x14ac:dyDescent="0.35">
      <c r="A3582">
        <v>65</v>
      </c>
      <c r="B3582">
        <v>1965</v>
      </c>
      <c r="C3582">
        <v>-6.9999999999999999E-4</v>
      </c>
    </row>
    <row r="3583" spans="1:3" x14ac:dyDescent="0.35">
      <c r="A3583">
        <v>65</v>
      </c>
      <c r="B3583">
        <v>1966</v>
      </c>
      <c r="C3583">
        <v>1.1000000000000001E-3</v>
      </c>
    </row>
    <row r="3584" spans="1:3" x14ac:dyDescent="0.35">
      <c r="A3584">
        <v>65</v>
      </c>
      <c r="B3584">
        <v>1967</v>
      </c>
      <c r="C3584">
        <v>3.2000000000000002E-3</v>
      </c>
    </row>
    <row r="3585" spans="1:3" x14ac:dyDescent="0.35">
      <c r="A3585">
        <v>65</v>
      </c>
      <c r="B3585">
        <v>1968</v>
      </c>
      <c r="C3585">
        <v>5.5999999999999999E-3</v>
      </c>
    </row>
    <row r="3586" spans="1:3" x14ac:dyDescent="0.35">
      <c r="A3586">
        <v>65</v>
      </c>
      <c r="B3586">
        <v>1969</v>
      </c>
      <c r="C3586">
        <v>8.0999999999999996E-3</v>
      </c>
    </row>
    <row r="3587" spans="1:3" x14ac:dyDescent="0.35">
      <c r="A3587">
        <v>65</v>
      </c>
      <c r="B3587">
        <v>1970</v>
      </c>
      <c r="C3587">
        <v>1.06E-2</v>
      </c>
    </row>
    <row r="3588" spans="1:3" x14ac:dyDescent="0.35">
      <c r="A3588">
        <v>65</v>
      </c>
      <c r="B3588">
        <v>1971</v>
      </c>
      <c r="C3588">
        <v>1.3100000000000001E-2</v>
      </c>
    </row>
    <row r="3589" spans="1:3" x14ac:dyDescent="0.35">
      <c r="A3589">
        <v>65</v>
      </c>
      <c r="B3589">
        <v>1972</v>
      </c>
      <c r="C3589">
        <v>1.55E-2</v>
      </c>
    </row>
    <row r="3590" spans="1:3" x14ac:dyDescent="0.35">
      <c r="A3590">
        <v>65</v>
      </c>
      <c r="B3590">
        <v>1973</v>
      </c>
      <c r="C3590">
        <v>1.77E-2</v>
      </c>
    </row>
    <row r="3591" spans="1:3" x14ac:dyDescent="0.35">
      <c r="A3591">
        <v>65</v>
      </c>
      <c r="B3591">
        <v>1974</v>
      </c>
      <c r="C3591">
        <v>1.95E-2</v>
      </c>
    </row>
    <row r="3592" spans="1:3" x14ac:dyDescent="0.35">
      <c r="A3592">
        <v>65</v>
      </c>
      <c r="B3592">
        <v>1975</v>
      </c>
      <c r="C3592">
        <v>2.07E-2</v>
      </c>
    </row>
    <row r="3593" spans="1:3" x14ac:dyDescent="0.35">
      <c r="A3593">
        <v>65</v>
      </c>
      <c r="B3593">
        <v>1976</v>
      </c>
      <c r="C3593">
        <v>2.12E-2</v>
      </c>
    </row>
    <row r="3594" spans="1:3" x14ac:dyDescent="0.35">
      <c r="A3594">
        <v>65</v>
      </c>
      <c r="B3594">
        <v>1977</v>
      </c>
      <c r="C3594">
        <v>2.12E-2</v>
      </c>
    </row>
    <row r="3595" spans="1:3" x14ac:dyDescent="0.35">
      <c r="A3595">
        <v>65</v>
      </c>
      <c r="B3595">
        <v>1978</v>
      </c>
      <c r="C3595">
        <v>2.06E-2</v>
      </c>
    </row>
    <row r="3596" spans="1:3" x14ac:dyDescent="0.35">
      <c r="A3596">
        <v>65</v>
      </c>
      <c r="B3596">
        <v>1979</v>
      </c>
      <c r="C3596">
        <v>1.9599999999999999E-2</v>
      </c>
    </row>
    <row r="3597" spans="1:3" x14ac:dyDescent="0.35">
      <c r="A3597">
        <v>65</v>
      </c>
      <c r="B3597">
        <v>1980</v>
      </c>
      <c r="C3597">
        <v>1.84E-2</v>
      </c>
    </row>
    <row r="3598" spans="1:3" x14ac:dyDescent="0.35">
      <c r="A3598">
        <v>65</v>
      </c>
      <c r="B3598">
        <v>1981</v>
      </c>
      <c r="C3598">
        <v>1.7000000000000001E-2</v>
      </c>
    </row>
    <row r="3599" spans="1:3" x14ac:dyDescent="0.35">
      <c r="A3599">
        <v>65</v>
      </c>
      <c r="B3599">
        <v>1982</v>
      </c>
      <c r="C3599">
        <v>1.5800000000000002E-2</v>
      </c>
    </row>
    <row r="3600" spans="1:3" x14ac:dyDescent="0.35">
      <c r="A3600">
        <v>65</v>
      </c>
      <c r="B3600">
        <v>1983</v>
      </c>
      <c r="C3600">
        <v>1.4800000000000001E-2</v>
      </c>
    </row>
    <row r="3601" spans="1:3" x14ac:dyDescent="0.35">
      <c r="A3601">
        <v>65</v>
      </c>
      <c r="B3601">
        <v>1984</v>
      </c>
      <c r="C3601">
        <v>1.44E-2</v>
      </c>
    </row>
    <row r="3602" spans="1:3" x14ac:dyDescent="0.35">
      <c r="A3602">
        <v>65</v>
      </c>
      <c r="B3602">
        <v>1985</v>
      </c>
      <c r="C3602">
        <v>1.46E-2</v>
      </c>
    </row>
    <row r="3603" spans="1:3" x14ac:dyDescent="0.35">
      <c r="A3603">
        <v>65</v>
      </c>
      <c r="B3603">
        <v>1986</v>
      </c>
      <c r="C3603">
        <v>1.52E-2</v>
      </c>
    </row>
    <row r="3604" spans="1:3" x14ac:dyDescent="0.35">
      <c r="A3604">
        <v>65</v>
      </c>
      <c r="B3604">
        <v>1987</v>
      </c>
      <c r="C3604">
        <v>1.61E-2</v>
      </c>
    </row>
    <row r="3605" spans="1:3" x14ac:dyDescent="0.35">
      <c r="A3605">
        <v>65</v>
      </c>
      <c r="B3605">
        <v>1988</v>
      </c>
      <c r="C3605">
        <v>1.6899999999999998E-2</v>
      </c>
    </row>
    <row r="3606" spans="1:3" x14ac:dyDescent="0.35">
      <c r="A3606">
        <v>65</v>
      </c>
      <c r="B3606">
        <v>1989</v>
      </c>
      <c r="C3606">
        <v>1.7299999999999999E-2</v>
      </c>
    </row>
    <row r="3607" spans="1:3" x14ac:dyDescent="0.35">
      <c r="A3607">
        <v>65</v>
      </c>
      <c r="B3607">
        <v>1990</v>
      </c>
      <c r="C3607">
        <v>1.7299999999999999E-2</v>
      </c>
    </row>
    <row r="3608" spans="1:3" x14ac:dyDescent="0.35">
      <c r="A3608">
        <v>65</v>
      </c>
      <c r="B3608">
        <v>1991</v>
      </c>
      <c r="C3608">
        <v>1.6899999999999998E-2</v>
      </c>
    </row>
    <row r="3609" spans="1:3" x14ac:dyDescent="0.35">
      <c r="A3609">
        <v>65</v>
      </c>
      <c r="B3609">
        <v>1992</v>
      </c>
      <c r="C3609">
        <v>1.6400000000000001E-2</v>
      </c>
    </row>
    <row r="3610" spans="1:3" x14ac:dyDescent="0.35">
      <c r="A3610">
        <v>65</v>
      </c>
      <c r="B3610">
        <v>1993</v>
      </c>
      <c r="C3610">
        <v>1.6199999999999999E-2</v>
      </c>
    </row>
    <row r="3611" spans="1:3" x14ac:dyDescent="0.35">
      <c r="A3611">
        <v>65</v>
      </c>
      <c r="B3611">
        <v>1994</v>
      </c>
      <c r="C3611">
        <v>1.6400000000000001E-2</v>
      </c>
    </row>
    <row r="3612" spans="1:3" x14ac:dyDescent="0.35">
      <c r="A3612">
        <v>65</v>
      </c>
      <c r="B3612">
        <v>1995</v>
      </c>
      <c r="C3612">
        <v>1.72E-2</v>
      </c>
    </row>
    <row r="3613" spans="1:3" x14ac:dyDescent="0.35">
      <c r="A3613">
        <v>65</v>
      </c>
      <c r="B3613">
        <v>1996</v>
      </c>
      <c r="C3613">
        <v>1.8499999999999999E-2</v>
      </c>
    </row>
    <row r="3614" spans="1:3" x14ac:dyDescent="0.35">
      <c r="A3614">
        <v>65</v>
      </c>
      <c r="B3614">
        <v>1997</v>
      </c>
      <c r="C3614">
        <v>0.02</v>
      </c>
    </row>
    <row r="3615" spans="1:3" x14ac:dyDescent="0.35">
      <c r="A3615">
        <v>65</v>
      </c>
      <c r="B3615">
        <v>1998</v>
      </c>
      <c r="C3615">
        <v>2.1600000000000001E-2</v>
      </c>
    </row>
    <row r="3616" spans="1:3" x14ac:dyDescent="0.35">
      <c r="A3616">
        <v>65</v>
      </c>
      <c r="B3616">
        <v>1999</v>
      </c>
      <c r="C3616">
        <v>2.3E-2</v>
      </c>
    </row>
    <row r="3617" spans="1:3" x14ac:dyDescent="0.35">
      <c r="A3617">
        <v>65</v>
      </c>
      <c r="B3617">
        <v>2000</v>
      </c>
      <c r="C3617">
        <v>2.4199999999999999E-2</v>
      </c>
    </row>
    <row r="3618" spans="1:3" x14ac:dyDescent="0.35">
      <c r="A3618">
        <v>65</v>
      </c>
      <c r="B3618">
        <v>2001</v>
      </c>
      <c r="C3618">
        <v>2.5100000000000001E-2</v>
      </c>
    </row>
    <row r="3619" spans="1:3" x14ac:dyDescent="0.35">
      <c r="A3619">
        <v>65</v>
      </c>
      <c r="B3619">
        <v>2002</v>
      </c>
      <c r="C3619">
        <v>2.58E-2</v>
      </c>
    </row>
    <row r="3620" spans="1:3" x14ac:dyDescent="0.35">
      <c r="A3620">
        <v>65</v>
      </c>
      <c r="B3620">
        <v>2003</v>
      </c>
      <c r="C3620">
        <v>2.6200000000000001E-2</v>
      </c>
    </row>
    <row r="3621" spans="1:3" x14ac:dyDescent="0.35">
      <c r="A3621">
        <v>65</v>
      </c>
      <c r="B3621">
        <v>2004</v>
      </c>
      <c r="C3621">
        <v>2.6200000000000001E-2</v>
      </c>
    </row>
    <row r="3622" spans="1:3" x14ac:dyDescent="0.35">
      <c r="A3622">
        <v>65</v>
      </c>
      <c r="B3622">
        <v>2005</v>
      </c>
      <c r="C3622">
        <v>2.5700000000000001E-2</v>
      </c>
    </row>
    <row r="3623" spans="1:3" x14ac:dyDescent="0.35">
      <c r="A3623">
        <v>65</v>
      </c>
      <c r="B3623">
        <v>2006</v>
      </c>
      <c r="C3623">
        <v>2.4500000000000001E-2</v>
      </c>
    </row>
    <row r="3624" spans="1:3" x14ac:dyDescent="0.35">
      <c r="A3624">
        <v>65</v>
      </c>
      <c r="B3624">
        <v>2007</v>
      </c>
      <c r="C3624">
        <v>2.2599999999999999E-2</v>
      </c>
    </row>
    <row r="3625" spans="1:3" x14ac:dyDescent="0.35">
      <c r="A3625">
        <v>65</v>
      </c>
      <c r="B3625">
        <v>2008</v>
      </c>
      <c r="C3625">
        <v>1.9900000000000001E-2</v>
      </c>
    </row>
    <row r="3626" spans="1:3" x14ac:dyDescent="0.35">
      <c r="A3626">
        <v>65</v>
      </c>
      <c r="B3626">
        <v>2009</v>
      </c>
      <c r="C3626">
        <v>1.66E-2</v>
      </c>
    </row>
    <row r="3627" spans="1:3" x14ac:dyDescent="0.35">
      <c r="A3627">
        <v>65</v>
      </c>
      <c r="B3627">
        <v>2010</v>
      </c>
      <c r="C3627">
        <v>1.2699999999999999E-2</v>
      </c>
    </row>
    <row r="3628" spans="1:3" x14ac:dyDescent="0.35">
      <c r="A3628">
        <v>65</v>
      </c>
      <c r="B3628">
        <v>2011</v>
      </c>
      <c r="C3628">
        <v>8.0999999999999996E-3</v>
      </c>
    </row>
    <row r="3629" spans="1:3" x14ac:dyDescent="0.35">
      <c r="A3629">
        <v>65</v>
      </c>
      <c r="B3629">
        <v>2012</v>
      </c>
      <c r="C3629">
        <v>3.2000000000000002E-3</v>
      </c>
    </row>
    <row r="3630" spans="1:3" x14ac:dyDescent="0.35">
      <c r="A3630">
        <v>65</v>
      </c>
      <c r="B3630">
        <v>2013</v>
      </c>
      <c r="C3630">
        <v>2.2000000000000001E-3</v>
      </c>
    </row>
    <row r="3631" spans="1:3" x14ac:dyDescent="0.35">
      <c r="A3631">
        <v>65</v>
      </c>
      <c r="B3631">
        <v>2014</v>
      </c>
      <c r="C3631">
        <v>1.6000000000000001E-3</v>
      </c>
    </row>
    <row r="3632" spans="1:3" x14ac:dyDescent="0.35">
      <c r="A3632">
        <v>65</v>
      </c>
      <c r="B3632">
        <v>2015</v>
      </c>
      <c r="C3632">
        <v>1.4E-3</v>
      </c>
    </row>
    <row r="3633" spans="1:3" x14ac:dyDescent="0.35">
      <c r="A3633">
        <v>65</v>
      </c>
      <c r="B3633">
        <v>2016</v>
      </c>
      <c r="C3633">
        <v>1.6000000000000001E-3</v>
      </c>
    </row>
    <row r="3634" spans="1:3" x14ac:dyDescent="0.35">
      <c r="A3634">
        <v>65</v>
      </c>
      <c r="B3634">
        <v>2017</v>
      </c>
      <c r="C3634">
        <v>2.3E-3</v>
      </c>
    </row>
    <row r="3635" spans="1:3" x14ac:dyDescent="0.35">
      <c r="A3635">
        <v>65</v>
      </c>
      <c r="B3635">
        <v>2018</v>
      </c>
      <c r="C3635">
        <v>3.3E-3</v>
      </c>
    </row>
    <row r="3636" spans="1:3" x14ac:dyDescent="0.35">
      <c r="A3636">
        <v>65</v>
      </c>
      <c r="B3636">
        <v>2019</v>
      </c>
      <c r="C3636">
        <v>4.4999999999999997E-3</v>
      </c>
    </row>
    <row r="3637" spans="1:3" x14ac:dyDescent="0.35">
      <c r="A3637">
        <v>65</v>
      </c>
      <c r="B3637">
        <v>2020</v>
      </c>
      <c r="C3637">
        <v>5.7999999999999996E-3</v>
      </c>
    </row>
    <row r="3638" spans="1:3" x14ac:dyDescent="0.35">
      <c r="A3638">
        <v>65</v>
      </c>
      <c r="B3638">
        <v>2021</v>
      </c>
      <c r="C3638">
        <v>7.0000000000000001E-3</v>
      </c>
    </row>
    <row r="3639" spans="1:3" x14ac:dyDescent="0.35">
      <c r="A3639">
        <v>65</v>
      </c>
      <c r="B3639">
        <v>2022</v>
      </c>
      <c r="C3639">
        <v>8.0000000000000002E-3</v>
      </c>
    </row>
    <row r="3640" spans="1:3" x14ac:dyDescent="0.35">
      <c r="A3640">
        <v>65</v>
      </c>
      <c r="B3640">
        <v>2023</v>
      </c>
      <c r="C3640">
        <v>8.8999999999999999E-3</v>
      </c>
    </row>
    <row r="3641" spans="1:3" x14ac:dyDescent="0.35">
      <c r="A3641">
        <v>65</v>
      </c>
      <c r="B3641">
        <v>2024</v>
      </c>
      <c r="C3641">
        <v>9.4999999999999998E-3</v>
      </c>
    </row>
    <row r="3642" spans="1:3" x14ac:dyDescent="0.35">
      <c r="A3642">
        <v>65</v>
      </c>
      <c r="B3642">
        <v>2025</v>
      </c>
      <c r="C3642">
        <v>0.01</v>
      </c>
    </row>
    <row r="3643" spans="1:3" x14ac:dyDescent="0.35">
      <c r="A3643">
        <v>65</v>
      </c>
      <c r="B3643">
        <v>2026</v>
      </c>
      <c r="C3643">
        <v>1.03E-2</v>
      </c>
    </row>
    <row r="3644" spans="1:3" x14ac:dyDescent="0.35">
      <c r="A3644">
        <v>65</v>
      </c>
      <c r="B3644">
        <v>2027</v>
      </c>
      <c r="C3644">
        <v>1.04E-2</v>
      </c>
    </row>
    <row r="3645" spans="1:3" x14ac:dyDescent="0.35">
      <c r="A3645">
        <v>65</v>
      </c>
      <c r="B3645">
        <v>2028</v>
      </c>
      <c r="C3645">
        <v>1.04E-2</v>
      </c>
    </row>
    <row r="3646" spans="1:3" x14ac:dyDescent="0.35">
      <c r="A3646">
        <v>65</v>
      </c>
      <c r="B3646">
        <v>2029</v>
      </c>
      <c r="C3646">
        <v>1.03E-2</v>
      </c>
    </row>
    <row r="3647" spans="1:3" x14ac:dyDescent="0.35">
      <c r="A3647">
        <v>65</v>
      </c>
      <c r="B3647">
        <v>2030</v>
      </c>
      <c r="C3647">
        <v>1.01E-2</v>
      </c>
    </row>
    <row r="3648" spans="1:3" x14ac:dyDescent="0.35">
      <c r="A3648">
        <v>65</v>
      </c>
      <c r="B3648">
        <v>2031</v>
      </c>
      <c r="C3648">
        <v>0.01</v>
      </c>
    </row>
    <row r="3649" spans="1:3" x14ac:dyDescent="0.35">
      <c r="A3649">
        <v>66</v>
      </c>
      <c r="B3649">
        <v>1951</v>
      </c>
      <c r="C3649">
        <v>7.7000000000000002E-3</v>
      </c>
    </row>
    <row r="3650" spans="1:3" x14ac:dyDescent="0.35">
      <c r="A3650">
        <v>66</v>
      </c>
      <c r="B3650">
        <v>1952</v>
      </c>
      <c r="C3650">
        <v>5.8999999999999999E-3</v>
      </c>
    </row>
    <row r="3651" spans="1:3" x14ac:dyDescent="0.35">
      <c r="A3651">
        <v>66</v>
      </c>
      <c r="B3651">
        <v>1953</v>
      </c>
      <c r="C3651">
        <v>4.1000000000000003E-3</v>
      </c>
    </row>
    <row r="3652" spans="1:3" x14ac:dyDescent="0.35">
      <c r="A3652">
        <v>66</v>
      </c>
      <c r="B3652">
        <v>1954</v>
      </c>
      <c r="C3652">
        <v>2.3E-3</v>
      </c>
    </row>
    <row r="3653" spans="1:3" x14ac:dyDescent="0.35">
      <c r="A3653">
        <v>66</v>
      </c>
      <c r="B3653">
        <v>1955</v>
      </c>
      <c r="C3653">
        <v>5.0000000000000001E-4</v>
      </c>
    </row>
    <row r="3654" spans="1:3" x14ac:dyDescent="0.35">
      <c r="A3654">
        <v>66</v>
      </c>
      <c r="B3654">
        <v>1956</v>
      </c>
      <c r="C3654">
        <v>-1E-3</v>
      </c>
    </row>
    <row r="3655" spans="1:3" x14ac:dyDescent="0.35">
      <c r="A3655">
        <v>66</v>
      </c>
      <c r="B3655">
        <v>1957</v>
      </c>
      <c r="C3655">
        <v>-2.3E-3</v>
      </c>
    </row>
    <row r="3656" spans="1:3" x14ac:dyDescent="0.35">
      <c r="A3656">
        <v>66</v>
      </c>
      <c r="B3656">
        <v>1958</v>
      </c>
      <c r="C3656">
        <v>-3.0999999999999999E-3</v>
      </c>
    </row>
    <row r="3657" spans="1:3" x14ac:dyDescent="0.35">
      <c r="A3657">
        <v>66</v>
      </c>
      <c r="B3657">
        <v>1959</v>
      </c>
      <c r="C3657">
        <v>-3.7000000000000002E-3</v>
      </c>
    </row>
    <row r="3658" spans="1:3" x14ac:dyDescent="0.35">
      <c r="A3658">
        <v>66</v>
      </c>
      <c r="B3658">
        <v>1960</v>
      </c>
      <c r="C3658">
        <v>-4.1000000000000003E-3</v>
      </c>
    </row>
    <row r="3659" spans="1:3" x14ac:dyDescent="0.35">
      <c r="A3659">
        <v>66</v>
      </c>
      <c r="B3659">
        <v>1961</v>
      </c>
      <c r="C3659">
        <v>-4.1000000000000003E-3</v>
      </c>
    </row>
    <row r="3660" spans="1:3" x14ac:dyDescent="0.35">
      <c r="A3660">
        <v>66</v>
      </c>
      <c r="B3660">
        <v>1962</v>
      </c>
      <c r="C3660">
        <v>-3.8E-3</v>
      </c>
    </row>
    <row r="3661" spans="1:3" x14ac:dyDescent="0.35">
      <c r="A3661">
        <v>66</v>
      </c>
      <c r="B3661">
        <v>1963</v>
      </c>
      <c r="C3661">
        <v>-3.0999999999999999E-3</v>
      </c>
    </row>
    <row r="3662" spans="1:3" x14ac:dyDescent="0.35">
      <c r="A3662">
        <v>66</v>
      </c>
      <c r="B3662">
        <v>1964</v>
      </c>
      <c r="C3662">
        <v>-2E-3</v>
      </c>
    </row>
    <row r="3663" spans="1:3" x14ac:dyDescent="0.35">
      <c r="A3663">
        <v>66</v>
      </c>
      <c r="B3663">
        <v>1965</v>
      </c>
      <c r="C3663">
        <v>-5.9999999999999995E-4</v>
      </c>
    </row>
    <row r="3664" spans="1:3" x14ac:dyDescent="0.35">
      <c r="A3664">
        <v>66</v>
      </c>
      <c r="B3664">
        <v>1966</v>
      </c>
      <c r="C3664">
        <v>1.1999999999999999E-3</v>
      </c>
    </row>
    <row r="3665" spans="1:3" x14ac:dyDescent="0.35">
      <c r="A3665">
        <v>66</v>
      </c>
      <c r="B3665">
        <v>1967</v>
      </c>
      <c r="C3665">
        <v>3.2000000000000002E-3</v>
      </c>
    </row>
    <row r="3666" spans="1:3" x14ac:dyDescent="0.35">
      <c r="A3666">
        <v>66</v>
      </c>
      <c r="B3666">
        <v>1968</v>
      </c>
      <c r="C3666">
        <v>5.4000000000000003E-3</v>
      </c>
    </row>
    <row r="3667" spans="1:3" x14ac:dyDescent="0.35">
      <c r="A3667">
        <v>66</v>
      </c>
      <c r="B3667">
        <v>1969</v>
      </c>
      <c r="C3667">
        <v>7.7000000000000002E-3</v>
      </c>
    </row>
    <row r="3668" spans="1:3" x14ac:dyDescent="0.35">
      <c r="A3668">
        <v>66</v>
      </c>
      <c r="B3668">
        <v>1970</v>
      </c>
      <c r="C3668">
        <v>0.01</v>
      </c>
    </row>
    <row r="3669" spans="1:3" x14ac:dyDescent="0.35">
      <c r="A3669">
        <v>66</v>
      </c>
      <c r="B3669">
        <v>1971</v>
      </c>
      <c r="C3669">
        <v>1.24E-2</v>
      </c>
    </row>
    <row r="3670" spans="1:3" x14ac:dyDescent="0.35">
      <c r="A3670">
        <v>66</v>
      </c>
      <c r="B3670">
        <v>1972</v>
      </c>
      <c r="C3670">
        <v>1.47E-2</v>
      </c>
    </row>
    <row r="3671" spans="1:3" x14ac:dyDescent="0.35">
      <c r="A3671">
        <v>66</v>
      </c>
      <c r="B3671">
        <v>1973</v>
      </c>
      <c r="C3671">
        <v>1.6799999999999999E-2</v>
      </c>
    </row>
    <row r="3672" spans="1:3" x14ac:dyDescent="0.35">
      <c r="A3672">
        <v>66</v>
      </c>
      <c r="B3672">
        <v>1974</v>
      </c>
      <c r="C3672">
        <v>1.84E-2</v>
      </c>
    </row>
    <row r="3673" spans="1:3" x14ac:dyDescent="0.35">
      <c r="A3673">
        <v>66</v>
      </c>
      <c r="B3673">
        <v>1975</v>
      </c>
      <c r="C3673">
        <v>1.95E-2</v>
      </c>
    </row>
    <row r="3674" spans="1:3" x14ac:dyDescent="0.35">
      <c r="A3674">
        <v>66</v>
      </c>
      <c r="B3674">
        <v>1976</v>
      </c>
      <c r="C3674">
        <v>0.02</v>
      </c>
    </row>
    <row r="3675" spans="1:3" x14ac:dyDescent="0.35">
      <c r="A3675">
        <v>66</v>
      </c>
      <c r="B3675">
        <v>1977</v>
      </c>
      <c r="C3675">
        <v>0.02</v>
      </c>
    </row>
    <row r="3676" spans="1:3" x14ac:dyDescent="0.35">
      <c r="A3676">
        <v>66</v>
      </c>
      <c r="B3676">
        <v>1978</v>
      </c>
      <c r="C3676">
        <v>1.9400000000000001E-2</v>
      </c>
    </row>
    <row r="3677" spans="1:3" x14ac:dyDescent="0.35">
      <c r="A3677">
        <v>66</v>
      </c>
      <c r="B3677">
        <v>1979</v>
      </c>
      <c r="C3677">
        <v>1.8499999999999999E-2</v>
      </c>
    </row>
    <row r="3678" spans="1:3" x14ac:dyDescent="0.35">
      <c r="A3678">
        <v>66</v>
      </c>
      <c r="B3678">
        <v>1980</v>
      </c>
      <c r="C3678">
        <v>1.7500000000000002E-2</v>
      </c>
    </row>
    <row r="3679" spans="1:3" x14ac:dyDescent="0.35">
      <c r="A3679">
        <v>66</v>
      </c>
      <c r="B3679">
        <v>1981</v>
      </c>
      <c r="C3679">
        <v>1.6400000000000001E-2</v>
      </c>
    </row>
    <row r="3680" spans="1:3" x14ac:dyDescent="0.35">
      <c r="A3680">
        <v>66</v>
      </c>
      <c r="B3680">
        <v>1982</v>
      </c>
      <c r="C3680">
        <v>1.54E-2</v>
      </c>
    </row>
    <row r="3681" spans="1:3" x14ac:dyDescent="0.35">
      <c r="A3681">
        <v>66</v>
      </c>
      <c r="B3681">
        <v>1983</v>
      </c>
      <c r="C3681">
        <v>1.4800000000000001E-2</v>
      </c>
    </row>
    <row r="3682" spans="1:3" x14ac:dyDescent="0.35">
      <c r="A3682">
        <v>66</v>
      </c>
      <c r="B3682">
        <v>1984</v>
      </c>
      <c r="C3682">
        <v>1.46E-2</v>
      </c>
    </row>
    <row r="3683" spans="1:3" x14ac:dyDescent="0.35">
      <c r="A3683">
        <v>66</v>
      </c>
      <c r="B3683">
        <v>1985</v>
      </c>
      <c r="C3683">
        <v>1.49E-2</v>
      </c>
    </row>
    <row r="3684" spans="1:3" x14ac:dyDescent="0.35">
      <c r="A3684">
        <v>66</v>
      </c>
      <c r="B3684">
        <v>1986</v>
      </c>
      <c r="C3684">
        <v>1.5599999999999999E-2</v>
      </c>
    </row>
    <row r="3685" spans="1:3" x14ac:dyDescent="0.35">
      <c r="A3685">
        <v>66</v>
      </c>
      <c r="B3685">
        <v>1987</v>
      </c>
      <c r="C3685">
        <v>1.6400000000000001E-2</v>
      </c>
    </row>
    <row r="3686" spans="1:3" x14ac:dyDescent="0.35">
      <c r="A3686">
        <v>66</v>
      </c>
      <c r="B3686">
        <v>1988</v>
      </c>
      <c r="C3686">
        <v>1.7100000000000001E-2</v>
      </c>
    </row>
    <row r="3687" spans="1:3" x14ac:dyDescent="0.35">
      <c r="A3687">
        <v>66</v>
      </c>
      <c r="B3687">
        <v>1989</v>
      </c>
      <c r="C3687">
        <v>1.7399999999999999E-2</v>
      </c>
    </row>
    <row r="3688" spans="1:3" x14ac:dyDescent="0.35">
      <c r="A3688">
        <v>66</v>
      </c>
      <c r="B3688">
        <v>1990</v>
      </c>
      <c r="C3688">
        <v>1.72E-2</v>
      </c>
    </row>
    <row r="3689" spans="1:3" x14ac:dyDescent="0.35">
      <c r="A3689">
        <v>66</v>
      </c>
      <c r="B3689">
        <v>1991</v>
      </c>
      <c r="C3689">
        <v>1.66E-2</v>
      </c>
    </row>
    <row r="3690" spans="1:3" x14ac:dyDescent="0.35">
      <c r="A3690">
        <v>66</v>
      </c>
      <c r="B3690">
        <v>1992</v>
      </c>
      <c r="C3690">
        <v>1.5900000000000001E-2</v>
      </c>
    </row>
    <row r="3691" spans="1:3" x14ac:dyDescent="0.35">
      <c r="A3691">
        <v>66</v>
      </c>
      <c r="B3691">
        <v>1993</v>
      </c>
      <c r="C3691">
        <v>1.55E-2</v>
      </c>
    </row>
    <row r="3692" spans="1:3" x14ac:dyDescent="0.35">
      <c r="A3692">
        <v>66</v>
      </c>
      <c r="B3692">
        <v>1994</v>
      </c>
      <c r="C3692">
        <v>1.5599999999999999E-2</v>
      </c>
    </row>
    <row r="3693" spans="1:3" x14ac:dyDescent="0.35">
      <c r="A3693">
        <v>66</v>
      </c>
      <c r="B3693">
        <v>1995</v>
      </c>
      <c r="C3693">
        <v>1.6299999999999999E-2</v>
      </c>
    </row>
    <row r="3694" spans="1:3" x14ac:dyDescent="0.35">
      <c r="A3694">
        <v>66</v>
      </c>
      <c r="B3694">
        <v>1996</v>
      </c>
      <c r="C3694">
        <v>1.7500000000000002E-2</v>
      </c>
    </row>
    <row r="3695" spans="1:3" x14ac:dyDescent="0.35">
      <c r="A3695">
        <v>66</v>
      </c>
      <c r="B3695">
        <v>1997</v>
      </c>
      <c r="C3695">
        <v>1.9099999999999999E-2</v>
      </c>
    </row>
    <row r="3696" spans="1:3" x14ac:dyDescent="0.35">
      <c r="A3696">
        <v>66</v>
      </c>
      <c r="B3696">
        <v>1998</v>
      </c>
      <c r="C3696">
        <v>2.0899999999999998E-2</v>
      </c>
    </row>
    <row r="3697" spans="1:3" x14ac:dyDescent="0.35">
      <c r="A3697">
        <v>66</v>
      </c>
      <c r="B3697">
        <v>1999</v>
      </c>
      <c r="C3697">
        <v>2.2599999999999999E-2</v>
      </c>
    </row>
    <row r="3698" spans="1:3" x14ac:dyDescent="0.35">
      <c r="A3698">
        <v>66</v>
      </c>
      <c r="B3698">
        <v>2000</v>
      </c>
      <c r="C3698">
        <v>2.4E-2</v>
      </c>
    </row>
    <row r="3699" spans="1:3" x14ac:dyDescent="0.35">
      <c r="A3699">
        <v>66</v>
      </c>
      <c r="B3699">
        <v>2001</v>
      </c>
      <c r="C3699">
        <v>2.53E-2</v>
      </c>
    </row>
    <row r="3700" spans="1:3" x14ac:dyDescent="0.35">
      <c r="A3700">
        <v>66</v>
      </c>
      <c r="B3700">
        <v>2002</v>
      </c>
      <c r="C3700">
        <v>2.63E-2</v>
      </c>
    </row>
    <row r="3701" spans="1:3" x14ac:dyDescent="0.35">
      <c r="A3701">
        <v>66</v>
      </c>
      <c r="B3701">
        <v>2003</v>
      </c>
      <c r="C3701">
        <v>2.69E-2</v>
      </c>
    </row>
    <row r="3702" spans="1:3" x14ac:dyDescent="0.35">
      <c r="A3702">
        <v>66</v>
      </c>
      <c r="B3702">
        <v>2004</v>
      </c>
      <c r="C3702">
        <v>2.7099999999999999E-2</v>
      </c>
    </row>
    <row r="3703" spans="1:3" x14ac:dyDescent="0.35">
      <c r="A3703">
        <v>66</v>
      </c>
      <c r="B3703">
        <v>2005</v>
      </c>
      <c r="C3703">
        <v>2.6700000000000002E-2</v>
      </c>
    </row>
    <row r="3704" spans="1:3" x14ac:dyDescent="0.35">
      <c r="A3704">
        <v>66</v>
      </c>
      <c r="B3704">
        <v>2006</v>
      </c>
      <c r="C3704">
        <v>2.5499999999999998E-2</v>
      </c>
    </row>
    <row r="3705" spans="1:3" x14ac:dyDescent="0.35">
      <c r="A3705">
        <v>66</v>
      </c>
      <c r="B3705">
        <v>2007</v>
      </c>
      <c r="C3705">
        <v>2.3699999999999999E-2</v>
      </c>
    </row>
    <row r="3706" spans="1:3" x14ac:dyDescent="0.35">
      <c r="A3706">
        <v>66</v>
      </c>
      <c r="B3706">
        <v>2008</v>
      </c>
      <c r="C3706">
        <v>2.1100000000000001E-2</v>
      </c>
    </row>
    <row r="3707" spans="1:3" x14ac:dyDescent="0.35">
      <c r="A3707">
        <v>66</v>
      </c>
      <c r="B3707">
        <v>2009</v>
      </c>
      <c r="C3707">
        <v>1.7999999999999999E-2</v>
      </c>
    </row>
    <row r="3708" spans="1:3" x14ac:dyDescent="0.35">
      <c r="A3708">
        <v>66</v>
      </c>
      <c r="B3708">
        <v>2010</v>
      </c>
      <c r="C3708">
        <v>1.4200000000000001E-2</v>
      </c>
    </row>
    <row r="3709" spans="1:3" x14ac:dyDescent="0.35">
      <c r="A3709">
        <v>66</v>
      </c>
      <c r="B3709">
        <v>2011</v>
      </c>
      <c r="C3709">
        <v>9.9000000000000008E-3</v>
      </c>
    </row>
    <row r="3710" spans="1:3" x14ac:dyDescent="0.35">
      <c r="A3710">
        <v>66</v>
      </c>
      <c r="B3710">
        <v>2012</v>
      </c>
      <c r="C3710">
        <v>5.3E-3</v>
      </c>
    </row>
    <row r="3711" spans="1:3" x14ac:dyDescent="0.35">
      <c r="A3711">
        <v>66</v>
      </c>
      <c r="B3711">
        <v>2013</v>
      </c>
      <c r="C3711">
        <v>4.3E-3</v>
      </c>
    </row>
    <row r="3712" spans="1:3" x14ac:dyDescent="0.35">
      <c r="A3712">
        <v>66</v>
      </c>
      <c r="B3712">
        <v>2014</v>
      </c>
      <c r="C3712">
        <v>3.5000000000000001E-3</v>
      </c>
    </row>
    <row r="3713" spans="1:3" x14ac:dyDescent="0.35">
      <c r="A3713">
        <v>66</v>
      </c>
      <c r="B3713">
        <v>2015</v>
      </c>
      <c r="C3713">
        <v>3.0000000000000001E-3</v>
      </c>
    </row>
    <row r="3714" spans="1:3" x14ac:dyDescent="0.35">
      <c r="A3714">
        <v>66</v>
      </c>
      <c r="B3714">
        <v>2016</v>
      </c>
      <c r="C3714">
        <v>2.8E-3</v>
      </c>
    </row>
    <row r="3715" spans="1:3" x14ac:dyDescent="0.35">
      <c r="A3715">
        <v>66</v>
      </c>
      <c r="B3715">
        <v>2017</v>
      </c>
      <c r="C3715">
        <v>3.0000000000000001E-3</v>
      </c>
    </row>
    <row r="3716" spans="1:3" x14ac:dyDescent="0.35">
      <c r="A3716">
        <v>66</v>
      </c>
      <c r="B3716">
        <v>2018</v>
      </c>
      <c r="C3716">
        <v>3.5999999999999999E-3</v>
      </c>
    </row>
    <row r="3717" spans="1:3" x14ac:dyDescent="0.35">
      <c r="A3717">
        <v>66</v>
      </c>
      <c r="B3717">
        <v>2019</v>
      </c>
      <c r="C3717">
        <v>4.4000000000000003E-3</v>
      </c>
    </row>
    <row r="3718" spans="1:3" x14ac:dyDescent="0.35">
      <c r="A3718">
        <v>66</v>
      </c>
      <c r="B3718">
        <v>2020</v>
      </c>
      <c r="C3718">
        <v>5.4000000000000003E-3</v>
      </c>
    </row>
    <row r="3719" spans="1:3" x14ac:dyDescent="0.35">
      <c r="A3719">
        <v>66</v>
      </c>
      <c r="B3719">
        <v>2021</v>
      </c>
      <c r="C3719">
        <v>6.4999999999999997E-3</v>
      </c>
    </row>
    <row r="3720" spans="1:3" x14ac:dyDescent="0.35">
      <c r="A3720">
        <v>66</v>
      </c>
      <c r="B3720">
        <v>2022</v>
      </c>
      <c r="C3720">
        <v>7.4999999999999997E-3</v>
      </c>
    </row>
    <row r="3721" spans="1:3" x14ac:dyDescent="0.35">
      <c r="A3721">
        <v>66</v>
      </c>
      <c r="B3721">
        <v>2023</v>
      </c>
      <c r="C3721">
        <v>8.3000000000000001E-3</v>
      </c>
    </row>
    <row r="3722" spans="1:3" x14ac:dyDescent="0.35">
      <c r="A3722">
        <v>66</v>
      </c>
      <c r="B3722">
        <v>2024</v>
      </c>
      <c r="C3722">
        <v>9.1000000000000004E-3</v>
      </c>
    </row>
    <row r="3723" spans="1:3" x14ac:dyDescent="0.35">
      <c r="A3723">
        <v>66</v>
      </c>
      <c r="B3723">
        <v>2025</v>
      </c>
      <c r="C3723">
        <v>9.5999999999999992E-3</v>
      </c>
    </row>
    <row r="3724" spans="1:3" x14ac:dyDescent="0.35">
      <c r="A3724">
        <v>66</v>
      </c>
      <c r="B3724">
        <v>2026</v>
      </c>
      <c r="C3724">
        <v>0.01</v>
      </c>
    </row>
    <row r="3725" spans="1:3" x14ac:dyDescent="0.35">
      <c r="A3725">
        <v>66</v>
      </c>
      <c r="B3725">
        <v>2027</v>
      </c>
      <c r="C3725">
        <v>1.0200000000000001E-2</v>
      </c>
    </row>
    <row r="3726" spans="1:3" x14ac:dyDescent="0.35">
      <c r="A3726">
        <v>66</v>
      </c>
      <c r="B3726">
        <v>2028</v>
      </c>
      <c r="C3726">
        <v>1.03E-2</v>
      </c>
    </row>
    <row r="3727" spans="1:3" x14ac:dyDescent="0.35">
      <c r="A3727">
        <v>66</v>
      </c>
      <c r="B3727">
        <v>2029</v>
      </c>
      <c r="C3727">
        <v>1.0200000000000001E-2</v>
      </c>
    </row>
    <row r="3728" spans="1:3" x14ac:dyDescent="0.35">
      <c r="A3728">
        <v>66</v>
      </c>
      <c r="B3728">
        <v>2030</v>
      </c>
      <c r="C3728">
        <v>1.01E-2</v>
      </c>
    </row>
    <row r="3729" spans="1:3" x14ac:dyDescent="0.35">
      <c r="A3729">
        <v>66</v>
      </c>
      <c r="B3729">
        <v>2031</v>
      </c>
      <c r="C3729">
        <v>0.01</v>
      </c>
    </row>
    <row r="3730" spans="1:3" x14ac:dyDescent="0.35">
      <c r="A3730">
        <v>67</v>
      </c>
      <c r="B3730">
        <v>1951</v>
      </c>
      <c r="C3730">
        <v>7.4999999999999997E-3</v>
      </c>
    </row>
    <row r="3731" spans="1:3" x14ac:dyDescent="0.35">
      <c r="A3731">
        <v>67</v>
      </c>
      <c r="B3731">
        <v>1952</v>
      </c>
      <c r="C3731">
        <v>5.7000000000000002E-3</v>
      </c>
    </row>
    <row r="3732" spans="1:3" x14ac:dyDescent="0.35">
      <c r="A3732">
        <v>67</v>
      </c>
      <c r="B3732">
        <v>1953</v>
      </c>
      <c r="C3732">
        <v>3.8999999999999998E-3</v>
      </c>
    </row>
    <row r="3733" spans="1:3" x14ac:dyDescent="0.35">
      <c r="A3733">
        <v>67</v>
      </c>
      <c r="B3733">
        <v>1954</v>
      </c>
      <c r="C3733">
        <v>2.0999999999999999E-3</v>
      </c>
    </row>
    <row r="3734" spans="1:3" x14ac:dyDescent="0.35">
      <c r="A3734">
        <v>67</v>
      </c>
      <c r="B3734">
        <v>1955</v>
      </c>
      <c r="C3734">
        <v>4.0000000000000002E-4</v>
      </c>
    </row>
    <row r="3735" spans="1:3" x14ac:dyDescent="0.35">
      <c r="A3735">
        <v>67</v>
      </c>
      <c r="B3735">
        <v>1956</v>
      </c>
      <c r="C3735">
        <v>-1.1000000000000001E-3</v>
      </c>
    </row>
    <row r="3736" spans="1:3" x14ac:dyDescent="0.35">
      <c r="A3736">
        <v>67</v>
      </c>
      <c r="B3736">
        <v>1957</v>
      </c>
      <c r="C3736">
        <v>-2.3E-3</v>
      </c>
    </row>
    <row r="3737" spans="1:3" x14ac:dyDescent="0.35">
      <c r="A3737">
        <v>67</v>
      </c>
      <c r="B3737">
        <v>1958</v>
      </c>
      <c r="C3737">
        <v>-3.0999999999999999E-3</v>
      </c>
    </row>
    <row r="3738" spans="1:3" x14ac:dyDescent="0.35">
      <c r="A3738">
        <v>67</v>
      </c>
      <c r="B3738">
        <v>1959</v>
      </c>
      <c r="C3738">
        <v>-3.5999999999999999E-3</v>
      </c>
    </row>
    <row r="3739" spans="1:3" x14ac:dyDescent="0.35">
      <c r="A3739">
        <v>67</v>
      </c>
      <c r="B3739">
        <v>1960</v>
      </c>
      <c r="C3739">
        <v>-3.8999999999999998E-3</v>
      </c>
    </row>
    <row r="3740" spans="1:3" x14ac:dyDescent="0.35">
      <c r="A3740">
        <v>67</v>
      </c>
      <c r="B3740">
        <v>1961</v>
      </c>
      <c r="C3740">
        <v>-3.8999999999999998E-3</v>
      </c>
    </row>
    <row r="3741" spans="1:3" x14ac:dyDescent="0.35">
      <c r="A3741">
        <v>67</v>
      </c>
      <c r="B3741">
        <v>1962</v>
      </c>
      <c r="C3741">
        <v>-3.5000000000000001E-3</v>
      </c>
    </row>
    <row r="3742" spans="1:3" x14ac:dyDescent="0.35">
      <c r="A3742">
        <v>67</v>
      </c>
      <c r="B3742">
        <v>1963</v>
      </c>
      <c r="C3742">
        <v>-2.8999999999999998E-3</v>
      </c>
    </row>
    <row r="3743" spans="1:3" x14ac:dyDescent="0.35">
      <c r="A3743">
        <v>67</v>
      </c>
      <c r="B3743">
        <v>1964</v>
      </c>
      <c r="C3743">
        <v>-1.8E-3</v>
      </c>
    </row>
    <row r="3744" spans="1:3" x14ac:dyDescent="0.35">
      <c r="A3744">
        <v>67</v>
      </c>
      <c r="B3744">
        <v>1965</v>
      </c>
      <c r="C3744">
        <v>-5.0000000000000001E-4</v>
      </c>
    </row>
    <row r="3745" spans="1:3" x14ac:dyDescent="0.35">
      <c r="A3745">
        <v>67</v>
      </c>
      <c r="B3745">
        <v>1966</v>
      </c>
      <c r="C3745">
        <v>1.1000000000000001E-3</v>
      </c>
    </row>
    <row r="3746" spans="1:3" x14ac:dyDescent="0.35">
      <c r="A3746">
        <v>67</v>
      </c>
      <c r="B3746">
        <v>1967</v>
      </c>
      <c r="C3746">
        <v>2.8999999999999998E-3</v>
      </c>
    </row>
    <row r="3747" spans="1:3" x14ac:dyDescent="0.35">
      <c r="A3747">
        <v>67</v>
      </c>
      <c r="B3747">
        <v>1968</v>
      </c>
      <c r="C3747">
        <v>5.0000000000000001E-3</v>
      </c>
    </row>
    <row r="3748" spans="1:3" x14ac:dyDescent="0.35">
      <c r="A3748">
        <v>67</v>
      </c>
      <c r="B3748">
        <v>1969</v>
      </c>
      <c r="C3748">
        <v>7.1999999999999998E-3</v>
      </c>
    </row>
    <row r="3749" spans="1:3" x14ac:dyDescent="0.35">
      <c r="A3749">
        <v>67</v>
      </c>
      <c r="B3749">
        <v>1970</v>
      </c>
      <c r="C3749">
        <v>9.4000000000000004E-3</v>
      </c>
    </row>
    <row r="3750" spans="1:3" x14ac:dyDescent="0.35">
      <c r="A3750">
        <v>67</v>
      </c>
      <c r="B3750">
        <v>1971</v>
      </c>
      <c r="C3750">
        <v>1.17E-2</v>
      </c>
    </row>
    <row r="3751" spans="1:3" x14ac:dyDescent="0.35">
      <c r="A3751">
        <v>67</v>
      </c>
      <c r="B3751">
        <v>1972</v>
      </c>
      <c r="C3751">
        <v>1.3899999999999999E-2</v>
      </c>
    </row>
    <row r="3752" spans="1:3" x14ac:dyDescent="0.35">
      <c r="A3752">
        <v>67</v>
      </c>
      <c r="B3752">
        <v>1973</v>
      </c>
      <c r="C3752">
        <v>1.5900000000000001E-2</v>
      </c>
    </row>
    <row r="3753" spans="1:3" x14ac:dyDescent="0.35">
      <c r="A3753">
        <v>67</v>
      </c>
      <c r="B3753">
        <v>1974</v>
      </c>
      <c r="C3753">
        <v>1.7500000000000002E-2</v>
      </c>
    </row>
    <row r="3754" spans="1:3" x14ac:dyDescent="0.35">
      <c r="A3754">
        <v>67</v>
      </c>
      <c r="B3754">
        <v>1975</v>
      </c>
      <c r="C3754">
        <v>1.8499999999999999E-2</v>
      </c>
    </row>
    <row r="3755" spans="1:3" x14ac:dyDescent="0.35">
      <c r="A3755">
        <v>67</v>
      </c>
      <c r="B3755">
        <v>1976</v>
      </c>
      <c r="C3755">
        <v>1.89E-2</v>
      </c>
    </row>
    <row r="3756" spans="1:3" x14ac:dyDescent="0.35">
      <c r="A3756">
        <v>67</v>
      </c>
      <c r="B3756">
        <v>1977</v>
      </c>
      <c r="C3756">
        <v>1.8800000000000001E-2</v>
      </c>
    </row>
    <row r="3757" spans="1:3" x14ac:dyDescent="0.35">
      <c r="A3757">
        <v>67</v>
      </c>
      <c r="B3757">
        <v>1978</v>
      </c>
      <c r="C3757">
        <v>1.83E-2</v>
      </c>
    </row>
    <row r="3758" spans="1:3" x14ac:dyDescent="0.35">
      <c r="A3758">
        <v>67</v>
      </c>
      <c r="B3758">
        <v>1979</v>
      </c>
      <c r="C3758">
        <v>1.7399999999999999E-2</v>
      </c>
    </row>
    <row r="3759" spans="1:3" x14ac:dyDescent="0.35">
      <c r="A3759">
        <v>67</v>
      </c>
      <c r="B3759">
        <v>1980</v>
      </c>
      <c r="C3759">
        <v>1.6500000000000001E-2</v>
      </c>
    </row>
    <row r="3760" spans="1:3" x14ac:dyDescent="0.35">
      <c r="A3760">
        <v>67</v>
      </c>
      <c r="B3760">
        <v>1981</v>
      </c>
      <c r="C3760">
        <v>1.5599999999999999E-2</v>
      </c>
    </row>
    <row r="3761" spans="1:3" x14ac:dyDescent="0.35">
      <c r="A3761">
        <v>67</v>
      </c>
      <c r="B3761">
        <v>1982</v>
      </c>
      <c r="C3761">
        <v>1.49E-2</v>
      </c>
    </row>
    <row r="3762" spans="1:3" x14ac:dyDescent="0.35">
      <c r="A3762">
        <v>67</v>
      </c>
      <c r="B3762">
        <v>1983</v>
      </c>
      <c r="C3762">
        <v>1.46E-2</v>
      </c>
    </row>
    <row r="3763" spans="1:3" x14ac:dyDescent="0.35">
      <c r="A3763">
        <v>67</v>
      </c>
      <c r="B3763">
        <v>1984</v>
      </c>
      <c r="C3763">
        <v>1.46E-2</v>
      </c>
    </row>
    <row r="3764" spans="1:3" x14ac:dyDescent="0.35">
      <c r="A3764">
        <v>67</v>
      </c>
      <c r="B3764">
        <v>1985</v>
      </c>
      <c r="C3764">
        <v>1.5100000000000001E-2</v>
      </c>
    </row>
    <row r="3765" spans="1:3" x14ac:dyDescent="0.35">
      <c r="A3765">
        <v>67</v>
      </c>
      <c r="B3765">
        <v>1986</v>
      </c>
      <c r="C3765">
        <v>1.5900000000000001E-2</v>
      </c>
    </row>
    <row r="3766" spans="1:3" x14ac:dyDescent="0.35">
      <c r="A3766">
        <v>67</v>
      </c>
      <c r="B3766">
        <v>1987</v>
      </c>
      <c r="C3766">
        <v>1.67E-2</v>
      </c>
    </row>
    <row r="3767" spans="1:3" x14ac:dyDescent="0.35">
      <c r="A3767">
        <v>67</v>
      </c>
      <c r="B3767">
        <v>1988</v>
      </c>
      <c r="C3767">
        <v>1.7399999999999999E-2</v>
      </c>
    </row>
    <row r="3768" spans="1:3" x14ac:dyDescent="0.35">
      <c r="A3768">
        <v>67</v>
      </c>
      <c r="B3768">
        <v>1989</v>
      </c>
      <c r="C3768">
        <v>1.7600000000000001E-2</v>
      </c>
    </row>
    <row r="3769" spans="1:3" x14ac:dyDescent="0.35">
      <c r="A3769">
        <v>67</v>
      </c>
      <c r="B3769">
        <v>1990</v>
      </c>
      <c r="C3769">
        <v>1.72E-2</v>
      </c>
    </row>
    <row r="3770" spans="1:3" x14ac:dyDescent="0.35">
      <c r="A3770">
        <v>67</v>
      </c>
      <c r="B3770">
        <v>1991</v>
      </c>
      <c r="C3770">
        <v>1.6500000000000001E-2</v>
      </c>
    </row>
    <row r="3771" spans="1:3" x14ac:dyDescent="0.35">
      <c r="A3771">
        <v>67</v>
      </c>
      <c r="B3771">
        <v>1992</v>
      </c>
      <c r="C3771">
        <v>1.5599999999999999E-2</v>
      </c>
    </row>
    <row r="3772" spans="1:3" x14ac:dyDescent="0.35">
      <c r="A3772">
        <v>67</v>
      </c>
      <c r="B3772">
        <v>1993</v>
      </c>
      <c r="C3772">
        <v>1.4999999999999999E-2</v>
      </c>
    </row>
    <row r="3773" spans="1:3" x14ac:dyDescent="0.35">
      <c r="A3773">
        <v>67</v>
      </c>
      <c r="B3773">
        <v>1994</v>
      </c>
      <c r="C3773">
        <v>1.4999999999999999E-2</v>
      </c>
    </row>
    <row r="3774" spans="1:3" x14ac:dyDescent="0.35">
      <c r="A3774">
        <v>67</v>
      </c>
      <c r="B3774">
        <v>1995</v>
      </c>
      <c r="C3774">
        <v>1.55E-2</v>
      </c>
    </row>
    <row r="3775" spans="1:3" x14ac:dyDescent="0.35">
      <c r="A3775">
        <v>67</v>
      </c>
      <c r="B3775">
        <v>1996</v>
      </c>
      <c r="C3775">
        <v>1.66E-2</v>
      </c>
    </row>
    <row r="3776" spans="1:3" x14ac:dyDescent="0.35">
      <c r="A3776">
        <v>67</v>
      </c>
      <c r="B3776">
        <v>1997</v>
      </c>
      <c r="C3776">
        <v>1.8100000000000002E-2</v>
      </c>
    </row>
    <row r="3777" spans="1:3" x14ac:dyDescent="0.35">
      <c r="A3777">
        <v>67</v>
      </c>
      <c r="B3777">
        <v>1998</v>
      </c>
      <c r="C3777">
        <v>0.02</v>
      </c>
    </row>
    <row r="3778" spans="1:3" x14ac:dyDescent="0.35">
      <c r="A3778">
        <v>67</v>
      </c>
      <c r="B3778">
        <v>1999</v>
      </c>
      <c r="C3778">
        <v>2.1899999999999999E-2</v>
      </c>
    </row>
    <row r="3779" spans="1:3" x14ac:dyDescent="0.35">
      <c r="A3779">
        <v>67</v>
      </c>
      <c r="B3779">
        <v>2000</v>
      </c>
      <c r="C3779">
        <v>2.3699999999999999E-2</v>
      </c>
    </row>
    <row r="3780" spans="1:3" x14ac:dyDescent="0.35">
      <c r="A3780">
        <v>67</v>
      </c>
      <c r="B3780">
        <v>2001</v>
      </c>
      <c r="C3780">
        <v>2.53E-2</v>
      </c>
    </row>
    <row r="3781" spans="1:3" x14ac:dyDescent="0.35">
      <c r="A3781">
        <v>67</v>
      </c>
      <c r="B3781">
        <v>2002</v>
      </c>
      <c r="C3781">
        <v>2.6599999999999999E-2</v>
      </c>
    </row>
    <row r="3782" spans="1:3" x14ac:dyDescent="0.35">
      <c r="A3782">
        <v>67</v>
      </c>
      <c r="B3782">
        <v>2003</v>
      </c>
      <c r="C3782">
        <v>2.75E-2</v>
      </c>
    </row>
    <row r="3783" spans="1:3" x14ac:dyDescent="0.35">
      <c r="A3783">
        <v>67</v>
      </c>
      <c r="B3783">
        <v>2004</v>
      </c>
      <c r="C3783">
        <v>2.7799999999999998E-2</v>
      </c>
    </row>
    <row r="3784" spans="1:3" x14ac:dyDescent="0.35">
      <c r="A3784">
        <v>67</v>
      </c>
      <c r="B3784">
        <v>2005</v>
      </c>
      <c r="C3784">
        <v>2.7400000000000001E-2</v>
      </c>
    </row>
    <row r="3785" spans="1:3" x14ac:dyDescent="0.35">
      <c r="A3785">
        <v>67</v>
      </c>
      <c r="B3785">
        <v>2006</v>
      </c>
      <c r="C3785">
        <v>2.63E-2</v>
      </c>
    </row>
    <row r="3786" spans="1:3" x14ac:dyDescent="0.35">
      <c r="A3786">
        <v>67</v>
      </c>
      <c r="B3786">
        <v>2007</v>
      </c>
      <c r="C3786">
        <v>2.4500000000000001E-2</v>
      </c>
    </row>
    <row r="3787" spans="1:3" x14ac:dyDescent="0.35">
      <c r="A3787">
        <v>67</v>
      </c>
      <c r="B3787">
        <v>2008</v>
      </c>
      <c r="C3787">
        <v>2.2100000000000002E-2</v>
      </c>
    </row>
    <row r="3788" spans="1:3" x14ac:dyDescent="0.35">
      <c r="A3788">
        <v>67</v>
      </c>
      <c r="B3788">
        <v>2009</v>
      </c>
      <c r="C3788">
        <v>1.9099999999999999E-2</v>
      </c>
    </row>
    <row r="3789" spans="1:3" x14ac:dyDescent="0.35">
      <c r="A3789">
        <v>67</v>
      </c>
      <c r="B3789">
        <v>2010</v>
      </c>
      <c r="C3789">
        <v>1.5599999999999999E-2</v>
      </c>
    </row>
    <row r="3790" spans="1:3" x14ac:dyDescent="0.35">
      <c r="A3790">
        <v>67</v>
      </c>
      <c r="B3790">
        <v>2011</v>
      </c>
      <c r="C3790">
        <v>1.1599999999999999E-2</v>
      </c>
    </row>
    <row r="3791" spans="1:3" x14ac:dyDescent="0.35">
      <c r="A3791">
        <v>67</v>
      </c>
      <c r="B3791">
        <v>2012</v>
      </c>
      <c r="C3791">
        <v>7.3000000000000001E-3</v>
      </c>
    </row>
    <row r="3792" spans="1:3" x14ac:dyDescent="0.35">
      <c r="A3792">
        <v>67</v>
      </c>
      <c r="B3792">
        <v>2013</v>
      </c>
      <c r="C3792">
        <v>6.4000000000000003E-3</v>
      </c>
    </row>
    <row r="3793" spans="1:3" x14ac:dyDescent="0.35">
      <c r="A3793">
        <v>67</v>
      </c>
      <c r="B3793">
        <v>2014</v>
      </c>
      <c r="C3793">
        <v>5.4999999999999997E-3</v>
      </c>
    </row>
    <row r="3794" spans="1:3" x14ac:dyDescent="0.35">
      <c r="A3794">
        <v>67</v>
      </c>
      <c r="B3794">
        <v>2015</v>
      </c>
      <c r="C3794">
        <v>4.7000000000000002E-3</v>
      </c>
    </row>
    <row r="3795" spans="1:3" x14ac:dyDescent="0.35">
      <c r="A3795">
        <v>67</v>
      </c>
      <c r="B3795">
        <v>2016</v>
      </c>
      <c r="C3795">
        <v>4.1999999999999997E-3</v>
      </c>
    </row>
    <row r="3796" spans="1:3" x14ac:dyDescent="0.35">
      <c r="A3796">
        <v>67</v>
      </c>
      <c r="B3796">
        <v>2017</v>
      </c>
      <c r="C3796">
        <v>4.0000000000000001E-3</v>
      </c>
    </row>
    <row r="3797" spans="1:3" x14ac:dyDescent="0.35">
      <c r="A3797">
        <v>67</v>
      </c>
      <c r="B3797">
        <v>2018</v>
      </c>
      <c r="C3797">
        <v>4.1000000000000003E-3</v>
      </c>
    </row>
    <row r="3798" spans="1:3" x14ac:dyDescent="0.35">
      <c r="A3798">
        <v>67</v>
      </c>
      <c r="B3798">
        <v>2019</v>
      </c>
      <c r="C3798">
        <v>4.5999999999999999E-3</v>
      </c>
    </row>
    <row r="3799" spans="1:3" x14ac:dyDescent="0.35">
      <c r="A3799">
        <v>67</v>
      </c>
      <c r="B3799">
        <v>2020</v>
      </c>
      <c r="C3799">
        <v>5.3E-3</v>
      </c>
    </row>
    <row r="3800" spans="1:3" x14ac:dyDescent="0.35">
      <c r="A3800">
        <v>67</v>
      </c>
      <c r="B3800">
        <v>2021</v>
      </c>
      <c r="C3800">
        <v>6.1000000000000004E-3</v>
      </c>
    </row>
    <row r="3801" spans="1:3" x14ac:dyDescent="0.35">
      <c r="A3801">
        <v>67</v>
      </c>
      <c r="B3801">
        <v>2022</v>
      </c>
      <c r="C3801">
        <v>7.0000000000000001E-3</v>
      </c>
    </row>
    <row r="3802" spans="1:3" x14ac:dyDescent="0.35">
      <c r="A3802">
        <v>67</v>
      </c>
      <c r="B3802">
        <v>2023</v>
      </c>
      <c r="C3802">
        <v>7.9000000000000008E-3</v>
      </c>
    </row>
    <row r="3803" spans="1:3" x14ac:dyDescent="0.35">
      <c r="A3803">
        <v>67</v>
      </c>
      <c r="B3803">
        <v>2024</v>
      </c>
      <c r="C3803">
        <v>8.6E-3</v>
      </c>
    </row>
    <row r="3804" spans="1:3" x14ac:dyDescent="0.35">
      <c r="A3804">
        <v>67</v>
      </c>
      <c r="B3804">
        <v>2025</v>
      </c>
      <c r="C3804">
        <v>9.1999999999999998E-3</v>
      </c>
    </row>
    <row r="3805" spans="1:3" x14ac:dyDescent="0.35">
      <c r="A3805">
        <v>67</v>
      </c>
      <c r="B3805">
        <v>2026</v>
      </c>
      <c r="C3805">
        <v>9.7000000000000003E-3</v>
      </c>
    </row>
    <row r="3806" spans="1:3" x14ac:dyDescent="0.35">
      <c r="A3806">
        <v>67</v>
      </c>
      <c r="B3806">
        <v>2027</v>
      </c>
      <c r="C3806">
        <v>0.01</v>
      </c>
    </row>
    <row r="3807" spans="1:3" x14ac:dyDescent="0.35">
      <c r="A3807">
        <v>67</v>
      </c>
      <c r="B3807">
        <v>2028</v>
      </c>
      <c r="C3807">
        <v>1.01E-2</v>
      </c>
    </row>
    <row r="3808" spans="1:3" x14ac:dyDescent="0.35">
      <c r="A3808">
        <v>67</v>
      </c>
      <c r="B3808">
        <v>2029</v>
      </c>
      <c r="C3808">
        <v>1.01E-2</v>
      </c>
    </row>
    <row r="3809" spans="1:3" x14ac:dyDescent="0.35">
      <c r="A3809">
        <v>67</v>
      </c>
      <c r="B3809">
        <v>2030</v>
      </c>
      <c r="C3809">
        <v>1.01E-2</v>
      </c>
    </row>
    <row r="3810" spans="1:3" x14ac:dyDescent="0.35">
      <c r="A3810">
        <v>67</v>
      </c>
      <c r="B3810">
        <v>2031</v>
      </c>
      <c r="C3810">
        <v>0.01</v>
      </c>
    </row>
    <row r="3811" spans="1:3" x14ac:dyDescent="0.35">
      <c r="A3811">
        <v>68</v>
      </c>
      <c r="B3811">
        <v>1951</v>
      </c>
      <c r="C3811">
        <v>7.6E-3</v>
      </c>
    </row>
    <row r="3812" spans="1:3" x14ac:dyDescent="0.35">
      <c r="A3812">
        <v>68</v>
      </c>
      <c r="B3812">
        <v>1952</v>
      </c>
      <c r="C3812">
        <v>5.7999999999999996E-3</v>
      </c>
    </row>
    <row r="3813" spans="1:3" x14ac:dyDescent="0.35">
      <c r="A3813">
        <v>68</v>
      </c>
      <c r="B3813">
        <v>1953</v>
      </c>
      <c r="C3813">
        <v>4.0000000000000001E-3</v>
      </c>
    </row>
    <row r="3814" spans="1:3" x14ac:dyDescent="0.35">
      <c r="A3814">
        <v>68</v>
      </c>
      <c r="B3814">
        <v>1954</v>
      </c>
      <c r="C3814">
        <v>2.2000000000000001E-3</v>
      </c>
    </row>
    <row r="3815" spans="1:3" x14ac:dyDescent="0.35">
      <c r="A3815">
        <v>68</v>
      </c>
      <c r="B3815">
        <v>1955</v>
      </c>
      <c r="C3815">
        <v>4.0000000000000002E-4</v>
      </c>
    </row>
    <row r="3816" spans="1:3" x14ac:dyDescent="0.35">
      <c r="A3816">
        <v>68</v>
      </c>
      <c r="B3816">
        <v>1956</v>
      </c>
      <c r="C3816">
        <v>-1E-3</v>
      </c>
    </row>
    <row r="3817" spans="1:3" x14ac:dyDescent="0.35">
      <c r="A3817">
        <v>68</v>
      </c>
      <c r="B3817">
        <v>1957</v>
      </c>
      <c r="C3817">
        <v>-2.2000000000000001E-3</v>
      </c>
    </row>
    <row r="3818" spans="1:3" x14ac:dyDescent="0.35">
      <c r="A3818">
        <v>68</v>
      </c>
      <c r="B3818">
        <v>1958</v>
      </c>
      <c r="C3818">
        <v>-2.8999999999999998E-3</v>
      </c>
    </row>
    <row r="3819" spans="1:3" x14ac:dyDescent="0.35">
      <c r="A3819">
        <v>68</v>
      </c>
      <c r="B3819">
        <v>1959</v>
      </c>
      <c r="C3819">
        <v>-3.3999999999999998E-3</v>
      </c>
    </row>
    <row r="3820" spans="1:3" x14ac:dyDescent="0.35">
      <c r="A3820">
        <v>68</v>
      </c>
      <c r="B3820">
        <v>1960</v>
      </c>
      <c r="C3820">
        <v>-3.5999999999999999E-3</v>
      </c>
    </row>
    <row r="3821" spans="1:3" x14ac:dyDescent="0.35">
      <c r="A3821">
        <v>68</v>
      </c>
      <c r="B3821">
        <v>1961</v>
      </c>
      <c r="C3821">
        <v>-3.5999999999999999E-3</v>
      </c>
    </row>
    <row r="3822" spans="1:3" x14ac:dyDescent="0.35">
      <c r="A3822">
        <v>68</v>
      </c>
      <c r="B3822">
        <v>1962</v>
      </c>
      <c r="C3822">
        <v>-3.3E-3</v>
      </c>
    </row>
    <row r="3823" spans="1:3" x14ac:dyDescent="0.35">
      <c r="A3823">
        <v>68</v>
      </c>
      <c r="B3823">
        <v>1963</v>
      </c>
      <c r="C3823">
        <v>-2.7000000000000001E-3</v>
      </c>
    </row>
    <row r="3824" spans="1:3" x14ac:dyDescent="0.35">
      <c r="A3824">
        <v>68</v>
      </c>
      <c r="B3824">
        <v>1964</v>
      </c>
      <c r="C3824">
        <v>-1.8E-3</v>
      </c>
    </row>
    <row r="3825" spans="1:3" x14ac:dyDescent="0.35">
      <c r="A3825">
        <v>68</v>
      </c>
      <c r="B3825">
        <v>1965</v>
      </c>
      <c r="C3825">
        <v>-5.9999999999999995E-4</v>
      </c>
    </row>
    <row r="3826" spans="1:3" x14ac:dyDescent="0.35">
      <c r="A3826">
        <v>68</v>
      </c>
      <c r="B3826">
        <v>1966</v>
      </c>
      <c r="C3826">
        <v>8.9999999999999998E-4</v>
      </c>
    </row>
    <row r="3827" spans="1:3" x14ac:dyDescent="0.35">
      <c r="A3827">
        <v>68</v>
      </c>
      <c r="B3827">
        <v>1967</v>
      </c>
      <c r="C3827">
        <v>2.5999999999999999E-3</v>
      </c>
    </row>
    <row r="3828" spans="1:3" x14ac:dyDescent="0.35">
      <c r="A3828">
        <v>68</v>
      </c>
      <c r="B3828">
        <v>1968</v>
      </c>
      <c r="C3828">
        <v>4.4999999999999997E-3</v>
      </c>
    </row>
    <row r="3829" spans="1:3" x14ac:dyDescent="0.35">
      <c r="A3829">
        <v>68</v>
      </c>
      <c r="B3829">
        <v>1969</v>
      </c>
      <c r="C3829">
        <v>6.6E-3</v>
      </c>
    </row>
    <row r="3830" spans="1:3" x14ac:dyDescent="0.35">
      <c r="A3830">
        <v>68</v>
      </c>
      <c r="B3830">
        <v>1970</v>
      </c>
      <c r="C3830">
        <v>8.8999999999999999E-3</v>
      </c>
    </row>
    <row r="3831" spans="1:3" x14ac:dyDescent="0.35">
      <c r="A3831">
        <v>68</v>
      </c>
      <c r="B3831">
        <v>1971</v>
      </c>
      <c r="C3831">
        <v>1.11E-2</v>
      </c>
    </row>
    <row r="3832" spans="1:3" x14ac:dyDescent="0.35">
      <c r="A3832">
        <v>68</v>
      </c>
      <c r="B3832">
        <v>1972</v>
      </c>
      <c r="C3832">
        <v>1.32E-2</v>
      </c>
    </row>
    <row r="3833" spans="1:3" x14ac:dyDescent="0.35">
      <c r="A3833">
        <v>68</v>
      </c>
      <c r="B3833">
        <v>1973</v>
      </c>
      <c r="C3833">
        <v>1.52E-2</v>
      </c>
    </row>
    <row r="3834" spans="1:3" x14ac:dyDescent="0.35">
      <c r="A3834">
        <v>68</v>
      </c>
      <c r="B3834">
        <v>1974</v>
      </c>
      <c r="C3834">
        <v>1.67E-2</v>
      </c>
    </row>
    <row r="3835" spans="1:3" x14ac:dyDescent="0.35">
      <c r="A3835">
        <v>68</v>
      </c>
      <c r="B3835">
        <v>1975</v>
      </c>
      <c r="C3835">
        <v>1.7600000000000001E-2</v>
      </c>
    </row>
    <row r="3836" spans="1:3" x14ac:dyDescent="0.35">
      <c r="A3836">
        <v>68</v>
      </c>
      <c r="B3836">
        <v>1976</v>
      </c>
      <c r="C3836">
        <v>1.7999999999999999E-2</v>
      </c>
    </row>
    <row r="3837" spans="1:3" x14ac:dyDescent="0.35">
      <c r="A3837">
        <v>68</v>
      </c>
      <c r="B3837">
        <v>1977</v>
      </c>
      <c r="C3837">
        <v>1.77E-2</v>
      </c>
    </row>
    <row r="3838" spans="1:3" x14ac:dyDescent="0.35">
      <c r="A3838">
        <v>68</v>
      </c>
      <c r="B3838">
        <v>1978</v>
      </c>
      <c r="C3838">
        <v>1.7100000000000001E-2</v>
      </c>
    </row>
    <row r="3839" spans="1:3" x14ac:dyDescent="0.35">
      <c r="A3839">
        <v>68</v>
      </c>
      <c r="B3839">
        <v>1979</v>
      </c>
      <c r="C3839">
        <v>1.6299999999999999E-2</v>
      </c>
    </row>
    <row r="3840" spans="1:3" x14ac:dyDescent="0.35">
      <c r="A3840">
        <v>68</v>
      </c>
      <c r="B3840">
        <v>1980</v>
      </c>
      <c r="C3840">
        <v>1.55E-2</v>
      </c>
    </row>
    <row r="3841" spans="1:3" x14ac:dyDescent="0.35">
      <c r="A3841">
        <v>68</v>
      </c>
      <c r="B3841">
        <v>1981</v>
      </c>
      <c r="C3841">
        <v>1.4800000000000001E-2</v>
      </c>
    </row>
    <row r="3842" spans="1:3" x14ac:dyDescent="0.35">
      <c r="A3842">
        <v>68</v>
      </c>
      <c r="B3842">
        <v>1982</v>
      </c>
      <c r="C3842">
        <v>1.43E-2</v>
      </c>
    </row>
    <row r="3843" spans="1:3" x14ac:dyDescent="0.35">
      <c r="A3843">
        <v>68</v>
      </c>
      <c r="B3843">
        <v>1983</v>
      </c>
      <c r="C3843">
        <v>1.41E-2</v>
      </c>
    </row>
    <row r="3844" spans="1:3" x14ac:dyDescent="0.35">
      <c r="A3844">
        <v>68</v>
      </c>
      <c r="B3844">
        <v>1984</v>
      </c>
      <c r="C3844">
        <v>1.44E-2</v>
      </c>
    </row>
    <row r="3845" spans="1:3" x14ac:dyDescent="0.35">
      <c r="A3845">
        <v>68</v>
      </c>
      <c r="B3845">
        <v>1985</v>
      </c>
      <c r="C3845">
        <v>1.5100000000000001E-2</v>
      </c>
    </row>
    <row r="3846" spans="1:3" x14ac:dyDescent="0.35">
      <c r="A3846">
        <v>68</v>
      </c>
      <c r="B3846">
        <v>1986</v>
      </c>
      <c r="C3846">
        <v>1.6E-2</v>
      </c>
    </row>
    <row r="3847" spans="1:3" x14ac:dyDescent="0.35">
      <c r="A3847">
        <v>68</v>
      </c>
      <c r="B3847">
        <v>1987</v>
      </c>
      <c r="C3847">
        <v>1.6899999999999998E-2</v>
      </c>
    </row>
    <row r="3848" spans="1:3" x14ac:dyDescent="0.35">
      <c r="A3848">
        <v>68</v>
      </c>
      <c r="B3848">
        <v>1988</v>
      </c>
      <c r="C3848">
        <v>1.7600000000000001E-2</v>
      </c>
    </row>
    <row r="3849" spans="1:3" x14ac:dyDescent="0.35">
      <c r="A3849">
        <v>68</v>
      </c>
      <c r="B3849">
        <v>1989</v>
      </c>
      <c r="C3849">
        <v>1.78E-2</v>
      </c>
    </row>
    <row r="3850" spans="1:3" x14ac:dyDescent="0.35">
      <c r="A3850">
        <v>68</v>
      </c>
      <c r="B3850">
        <v>1990</v>
      </c>
      <c r="C3850">
        <v>1.7299999999999999E-2</v>
      </c>
    </row>
    <row r="3851" spans="1:3" x14ac:dyDescent="0.35">
      <c r="A3851">
        <v>68</v>
      </c>
      <c r="B3851">
        <v>1991</v>
      </c>
      <c r="C3851">
        <v>1.6500000000000001E-2</v>
      </c>
    </row>
    <row r="3852" spans="1:3" x14ac:dyDescent="0.35">
      <c r="A3852">
        <v>68</v>
      </c>
      <c r="B3852">
        <v>1992</v>
      </c>
      <c r="C3852">
        <v>1.55E-2</v>
      </c>
    </row>
    <row r="3853" spans="1:3" x14ac:dyDescent="0.35">
      <c r="A3853">
        <v>68</v>
      </c>
      <c r="B3853">
        <v>1993</v>
      </c>
      <c r="C3853">
        <v>1.47E-2</v>
      </c>
    </row>
    <row r="3854" spans="1:3" x14ac:dyDescent="0.35">
      <c r="A3854">
        <v>68</v>
      </c>
      <c r="B3854">
        <v>1994</v>
      </c>
      <c r="C3854">
        <v>1.4500000000000001E-2</v>
      </c>
    </row>
    <row r="3855" spans="1:3" x14ac:dyDescent="0.35">
      <c r="A3855">
        <v>68</v>
      </c>
      <c r="B3855">
        <v>1995</v>
      </c>
      <c r="C3855">
        <v>1.4800000000000001E-2</v>
      </c>
    </row>
    <row r="3856" spans="1:3" x14ac:dyDescent="0.35">
      <c r="A3856">
        <v>68</v>
      </c>
      <c r="B3856">
        <v>1996</v>
      </c>
      <c r="C3856">
        <v>1.5699999999999999E-2</v>
      </c>
    </row>
    <row r="3857" spans="1:3" x14ac:dyDescent="0.35">
      <c r="A3857">
        <v>68</v>
      </c>
      <c r="B3857">
        <v>1997</v>
      </c>
      <c r="C3857">
        <v>1.72E-2</v>
      </c>
    </row>
    <row r="3858" spans="1:3" x14ac:dyDescent="0.35">
      <c r="A3858">
        <v>68</v>
      </c>
      <c r="B3858">
        <v>1998</v>
      </c>
      <c r="C3858">
        <v>1.9099999999999999E-2</v>
      </c>
    </row>
    <row r="3859" spans="1:3" x14ac:dyDescent="0.35">
      <c r="A3859">
        <v>68</v>
      </c>
      <c r="B3859">
        <v>1999</v>
      </c>
      <c r="C3859">
        <v>2.1100000000000001E-2</v>
      </c>
    </row>
    <row r="3860" spans="1:3" x14ac:dyDescent="0.35">
      <c r="A3860">
        <v>68</v>
      </c>
      <c r="B3860">
        <v>2000</v>
      </c>
      <c r="C3860">
        <v>2.3199999999999998E-2</v>
      </c>
    </row>
    <row r="3861" spans="1:3" x14ac:dyDescent="0.35">
      <c r="A3861">
        <v>68</v>
      </c>
      <c r="B3861">
        <v>2001</v>
      </c>
      <c r="C3861">
        <v>2.5100000000000001E-2</v>
      </c>
    </row>
    <row r="3862" spans="1:3" x14ac:dyDescent="0.35">
      <c r="A3862">
        <v>68</v>
      </c>
      <c r="B3862">
        <v>2002</v>
      </c>
      <c r="C3862">
        <v>2.6599999999999999E-2</v>
      </c>
    </row>
    <row r="3863" spans="1:3" x14ac:dyDescent="0.35">
      <c r="A3863">
        <v>68</v>
      </c>
      <c r="B3863">
        <v>2003</v>
      </c>
      <c r="C3863">
        <v>2.7699999999999999E-2</v>
      </c>
    </row>
    <row r="3864" spans="1:3" x14ac:dyDescent="0.35">
      <c r="A3864">
        <v>68</v>
      </c>
      <c r="B3864">
        <v>2004</v>
      </c>
      <c r="C3864">
        <v>2.8199999999999999E-2</v>
      </c>
    </row>
    <row r="3865" spans="1:3" x14ac:dyDescent="0.35">
      <c r="A3865">
        <v>68</v>
      </c>
      <c r="B3865">
        <v>2005</v>
      </c>
      <c r="C3865">
        <v>2.7900000000000001E-2</v>
      </c>
    </row>
    <row r="3866" spans="1:3" x14ac:dyDescent="0.35">
      <c r="A3866">
        <v>68</v>
      </c>
      <c r="B3866">
        <v>2006</v>
      </c>
      <c r="C3866">
        <v>2.69E-2</v>
      </c>
    </row>
    <row r="3867" spans="1:3" x14ac:dyDescent="0.35">
      <c r="A3867">
        <v>68</v>
      </c>
      <c r="B3867">
        <v>2007</v>
      </c>
      <c r="C3867">
        <v>2.52E-2</v>
      </c>
    </row>
    <row r="3868" spans="1:3" x14ac:dyDescent="0.35">
      <c r="A3868">
        <v>68</v>
      </c>
      <c r="B3868">
        <v>2008</v>
      </c>
      <c r="C3868">
        <v>2.2800000000000001E-2</v>
      </c>
    </row>
    <row r="3869" spans="1:3" x14ac:dyDescent="0.35">
      <c r="A3869">
        <v>68</v>
      </c>
      <c r="B3869">
        <v>2009</v>
      </c>
      <c r="C3869">
        <v>0.02</v>
      </c>
    </row>
    <row r="3870" spans="1:3" x14ac:dyDescent="0.35">
      <c r="A3870">
        <v>68</v>
      </c>
      <c r="B3870">
        <v>2010</v>
      </c>
      <c r="C3870">
        <v>1.67E-2</v>
      </c>
    </row>
    <row r="3871" spans="1:3" x14ac:dyDescent="0.35">
      <c r="A3871">
        <v>68</v>
      </c>
      <c r="B3871">
        <v>2011</v>
      </c>
      <c r="C3871">
        <v>1.2999999999999999E-2</v>
      </c>
    </row>
    <row r="3872" spans="1:3" x14ac:dyDescent="0.35">
      <c r="A3872">
        <v>68</v>
      </c>
      <c r="B3872">
        <v>2012</v>
      </c>
      <c r="C3872">
        <v>9.1000000000000004E-3</v>
      </c>
    </row>
    <row r="3873" spans="1:3" x14ac:dyDescent="0.35">
      <c r="A3873">
        <v>68</v>
      </c>
      <c r="B3873">
        <v>2013</v>
      </c>
      <c r="C3873">
        <v>8.2000000000000007E-3</v>
      </c>
    </row>
    <row r="3874" spans="1:3" x14ac:dyDescent="0.35">
      <c r="A3874">
        <v>68</v>
      </c>
      <c r="B3874">
        <v>2014</v>
      </c>
      <c r="C3874">
        <v>7.3000000000000001E-3</v>
      </c>
    </row>
    <row r="3875" spans="1:3" x14ac:dyDescent="0.35">
      <c r="A3875">
        <v>68</v>
      </c>
      <c r="B3875">
        <v>2015</v>
      </c>
      <c r="C3875">
        <v>6.4000000000000003E-3</v>
      </c>
    </row>
    <row r="3876" spans="1:3" x14ac:dyDescent="0.35">
      <c r="A3876">
        <v>68</v>
      </c>
      <c r="B3876">
        <v>2016</v>
      </c>
      <c r="C3876">
        <v>5.7000000000000002E-3</v>
      </c>
    </row>
    <row r="3877" spans="1:3" x14ac:dyDescent="0.35">
      <c r="A3877">
        <v>68</v>
      </c>
      <c r="B3877">
        <v>2017</v>
      </c>
      <c r="C3877">
        <v>5.1000000000000004E-3</v>
      </c>
    </row>
    <row r="3878" spans="1:3" x14ac:dyDescent="0.35">
      <c r="A3878">
        <v>68</v>
      </c>
      <c r="B3878">
        <v>2018</v>
      </c>
      <c r="C3878">
        <v>4.8999999999999998E-3</v>
      </c>
    </row>
    <row r="3879" spans="1:3" x14ac:dyDescent="0.35">
      <c r="A3879">
        <v>68</v>
      </c>
      <c r="B3879">
        <v>2019</v>
      </c>
      <c r="C3879">
        <v>4.8999999999999998E-3</v>
      </c>
    </row>
    <row r="3880" spans="1:3" x14ac:dyDescent="0.35">
      <c r="A3880">
        <v>68</v>
      </c>
      <c r="B3880">
        <v>2020</v>
      </c>
      <c r="C3880">
        <v>5.3E-3</v>
      </c>
    </row>
    <row r="3881" spans="1:3" x14ac:dyDescent="0.35">
      <c r="A3881">
        <v>68</v>
      </c>
      <c r="B3881">
        <v>2021</v>
      </c>
      <c r="C3881">
        <v>5.8999999999999999E-3</v>
      </c>
    </row>
    <row r="3882" spans="1:3" x14ac:dyDescent="0.35">
      <c r="A3882">
        <v>68</v>
      </c>
      <c r="B3882">
        <v>2022</v>
      </c>
      <c r="C3882">
        <v>6.7000000000000002E-3</v>
      </c>
    </row>
    <row r="3883" spans="1:3" x14ac:dyDescent="0.35">
      <c r="A3883">
        <v>68</v>
      </c>
      <c r="B3883">
        <v>2023</v>
      </c>
      <c r="C3883">
        <v>7.4999999999999997E-3</v>
      </c>
    </row>
    <row r="3884" spans="1:3" x14ac:dyDescent="0.35">
      <c r="A3884">
        <v>68</v>
      </c>
      <c r="B3884">
        <v>2024</v>
      </c>
      <c r="C3884">
        <v>8.2000000000000007E-3</v>
      </c>
    </row>
    <row r="3885" spans="1:3" x14ac:dyDescent="0.35">
      <c r="A3885">
        <v>68</v>
      </c>
      <c r="B3885">
        <v>2025</v>
      </c>
      <c r="C3885">
        <v>8.8999999999999999E-3</v>
      </c>
    </row>
    <row r="3886" spans="1:3" x14ac:dyDescent="0.35">
      <c r="A3886">
        <v>68</v>
      </c>
      <c r="B3886">
        <v>2026</v>
      </c>
      <c r="C3886">
        <v>9.4000000000000004E-3</v>
      </c>
    </row>
    <row r="3887" spans="1:3" x14ac:dyDescent="0.35">
      <c r="A3887">
        <v>68</v>
      </c>
      <c r="B3887">
        <v>2027</v>
      </c>
      <c r="C3887">
        <v>9.7999999999999997E-3</v>
      </c>
    </row>
    <row r="3888" spans="1:3" x14ac:dyDescent="0.35">
      <c r="A3888">
        <v>68</v>
      </c>
      <c r="B3888">
        <v>2028</v>
      </c>
      <c r="C3888">
        <v>0.01</v>
      </c>
    </row>
    <row r="3889" spans="1:3" x14ac:dyDescent="0.35">
      <c r="A3889">
        <v>68</v>
      </c>
      <c r="B3889">
        <v>2029</v>
      </c>
      <c r="C3889">
        <v>1.01E-2</v>
      </c>
    </row>
    <row r="3890" spans="1:3" x14ac:dyDescent="0.35">
      <c r="A3890">
        <v>68</v>
      </c>
      <c r="B3890">
        <v>2030</v>
      </c>
      <c r="C3890">
        <v>1.01E-2</v>
      </c>
    </row>
    <row r="3891" spans="1:3" x14ac:dyDescent="0.35">
      <c r="A3891">
        <v>68</v>
      </c>
      <c r="B3891">
        <v>2031</v>
      </c>
      <c r="C3891">
        <v>0.01</v>
      </c>
    </row>
    <row r="3892" spans="1:3" x14ac:dyDescent="0.35">
      <c r="A3892">
        <v>69</v>
      </c>
      <c r="B3892">
        <v>1951</v>
      </c>
      <c r="C3892">
        <v>8.0000000000000002E-3</v>
      </c>
    </row>
    <row r="3893" spans="1:3" x14ac:dyDescent="0.35">
      <c r="A3893">
        <v>69</v>
      </c>
      <c r="B3893">
        <v>1952</v>
      </c>
      <c r="C3893">
        <v>6.1000000000000004E-3</v>
      </c>
    </row>
    <row r="3894" spans="1:3" x14ac:dyDescent="0.35">
      <c r="A3894">
        <v>69</v>
      </c>
      <c r="B3894">
        <v>1953</v>
      </c>
      <c r="C3894">
        <v>4.1999999999999997E-3</v>
      </c>
    </row>
    <row r="3895" spans="1:3" x14ac:dyDescent="0.35">
      <c r="A3895">
        <v>69</v>
      </c>
      <c r="B3895">
        <v>1954</v>
      </c>
      <c r="C3895">
        <v>2.3999999999999998E-3</v>
      </c>
    </row>
    <row r="3896" spans="1:3" x14ac:dyDescent="0.35">
      <c r="A3896">
        <v>69</v>
      </c>
      <c r="B3896">
        <v>1955</v>
      </c>
      <c r="C3896">
        <v>6.9999999999999999E-4</v>
      </c>
    </row>
    <row r="3897" spans="1:3" x14ac:dyDescent="0.35">
      <c r="A3897">
        <v>69</v>
      </c>
      <c r="B3897">
        <v>1956</v>
      </c>
      <c r="C3897">
        <v>-6.9999999999999999E-4</v>
      </c>
    </row>
    <row r="3898" spans="1:3" x14ac:dyDescent="0.35">
      <c r="A3898">
        <v>69</v>
      </c>
      <c r="B3898">
        <v>1957</v>
      </c>
      <c r="C3898">
        <v>-1.9E-3</v>
      </c>
    </row>
    <row r="3899" spans="1:3" x14ac:dyDescent="0.35">
      <c r="A3899">
        <v>69</v>
      </c>
      <c r="B3899">
        <v>1958</v>
      </c>
      <c r="C3899">
        <v>-2.5999999999999999E-3</v>
      </c>
    </row>
    <row r="3900" spans="1:3" x14ac:dyDescent="0.35">
      <c r="A3900">
        <v>69</v>
      </c>
      <c r="B3900">
        <v>1959</v>
      </c>
      <c r="C3900">
        <v>-3.0999999999999999E-3</v>
      </c>
    </row>
    <row r="3901" spans="1:3" x14ac:dyDescent="0.35">
      <c r="A3901">
        <v>69</v>
      </c>
      <c r="B3901">
        <v>1960</v>
      </c>
      <c r="C3901">
        <v>-3.3E-3</v>
      </c>
    </row>
    <row r="3902" spans="1:3" x14ac:dyDescent="0.35">
      <c r="A3902">
        <v>69</v>
      </c>
      <c r="B3902">
        <v>1961</v>
      </c>
      <c r="C3902">
        <v>-3.3E-3</v>
      </c>
    </row>
    <row r="3903" spans="1:3" x14ac:dyDescent="0.35">
      <c r="A3903">
        <v>69</v>
      </c>
      <c r="B3903">
        <v>1962</v>
      </c>
      <c r="C3903">
        <v>-3.0999999999999999E-3</v>
      </c>
    </row>
    <row r="3904" spans="1:3" x14ac:dyDescent="0.35">
      <c r="A3904">
        <v>69</v>
      </c>
      <c r="B3904">
        <v>1963</v>
      </c>
      <c r="C3904">
        <v>-2.5999999999999999E-3</v>
      </c>
    </row>
    <row r="3905" spans="1:3" x14ac:dyDescent="0.35">
      <c r="A3905">
        <v>69</v>
      </c>
      <c r="B3905">
        <v>1964</v>
      </c>
      <c r="C3905">
        <v>-1.8E-3</v>
      </c>
    </row>
    <row r="3906" spans="1:3" x14ac:dyDescent="0.35">
      <c r="A3906">
        <v>69</v>
      </c>
      <c r="B3906">
        <v>1965</v>
      </c>
      <c r="C3906">
        <v>-8.0000000000000004E-4</v>
      </c>
    </row>
    <row r="3907" spans="1:3" x14ac:dyDescent="0.35">
      <c r="A3907">
        <v>69</v>
      </c>
      <c r="B3907">
        <v>1966</v>
      </c>
      <c r="C3907">
        <v>5.0000000000000001E-4</v>
      </c>
    </row>
    <row r="3908" spans="1:3" x14ac:dyDescent="0.35">
      <c r="A3908">
        <v>69</v>
      </c>
      <c r="B3908">
        <v>1967</v>
      </c>
      <c r="C3908">
        <v>2.0999999999999999E-3</v>
      </c>
    </row>
    <row r="3909" spans="1:3" x14ac:dyDescent="0.35">
      <c r="A3909">
        <v>69</v>
      </c>
      <c r="B3909">
        <v>1968</v>
      </c>
      <c r="C3909">
        <v>4.0000000000000001E-3</v>
      </c>
    </row>
    <row r="3910" spans="1:3" x14ac:dyDescent="0.35">
      <c r="A3910">
        <v>69</v>
      </c>
      <c r="B3910">
        <v>1969</v>
      </c>
      <c r="C3910">
        <v>6.1000000000000004E-3</v>
      </c>
    </row>
    <row r="3911" spans="1:3" x14ac:dyDescent="0.35">
      <c r="A3911">
        <v>69</v>
      </c>
      <c r="B3911">
        <v>1970</v>
      </c>
      <c r="C3911">
        <v>8.3000000000000001E-3</v>
      </c>
    </row>
    <row r="3912" spans="1:3" x14ac:dyDescent="0.35">
      <c r="A3912">
        <v>69</v>
      </c>
      <c r="B3912">
        <v>1971</v>
      </c>
      <c r="C3912">
        <v>1.0500000000000001E-2</v>
      </c>
    </row>
    <row r="3913" spans="1:3" x14ac:dyDescent="0.35">
      <c r="A3913">
        <v>69</v>
      </c>
      <c r="B3913">
        <v>1972</v>
      </c>
      <c r="C3913">
        <v>1.26E-2</v>
      </c>
    </row>
    <row r="3914" spans="1:3" x14ac:dyDescent="0.35">
      <c r="A3914">
        <v>69</v>
      </c>
      <c r="B3914">
        <v>1973</v>
      </c>
      <c r="C3914">
        <v>1.4500000000000001E-2</v>
      </c>
    </row>
    <row r="3915" spans="1:3" x14ac:dyDescent="0.35">
      <c r="A3915">
        <v>69</v>
      </c>
      <c r="B3915">
        <v>1974</v>
      </c>
      <c r="C3915">
        <v>1.6E-2</v>
      </c>
    </row>
    <row r="3916" spans="1:3" x14ac:dyDescent="0.35">
      <c r="A3916">
        <v>69</v>
      </c>
      <c r="B3916">
        <v>1975</v>
      </c>
      <c r="C3916">
        <v>1.6799999999999999E-2</v>
      </c>
    </row>
    <row r="3917" spans="1:3" x14ac:dyDescent="0.35">
      <c r="A3917">
        <v>69</v>
      </c>
      <c r="B3917">
        <v>1976</v>
      </c>
      <c r="C3917">
        <v>1.7100000000000001E-2</v>
      </c>
    </row>
    <row r="3918" spans="1:3" x14ac:dyDescent="0.35">
      <c r="A3918">
        <v>69</v>
      </c>
      <c r="B3918">
        <v>1977</v>
      </c>
      <c r="C3918">
        <v>1.6799999999999999E-2</v>
      </c>
    </row>
    <row r="3919" spans="1:3" x14ac:dyDescent="0.35">
      <c r="A3919">
        <v>69</v>
      </c>
      <c r="B3919">
        <v>1978</v>
      </c>
      <c r="C3919">
        <v>1.61E-2</v>
      </c>
    </row>
    <row r="3920" spans="1:3" x14ac:dyDescent="0.35">
      <c r="A3920">
        <v>69</v>
      </c>
      <c r="B3920">
        <v>1979</v>
      </c>
      <c r="C3920">
        <v>1.52E-2</v>
      </c>
    </row>
    <row r="3921" spans="1:3" x14ac:dyDescent="0.35">
      <c r="A3921">
        <v>69</v>
      </c>
      <c r="B3921">
        <v>1980</v>
      </c>
      <c r="C3921">
        <v>1.44E-2</v>
      </c>
    </row>
    <row r="3922" spans="1:3" x14ac:dyDescent="0.35">
      <c r="A3922">
        <v>69</v>
      </c>
      <c r="B3922">
        <v>1981</v>
      </c>
      <c r="C3922">
        <v>1.38E-2</v>
      </c>
    </row>
    <row r="3923" spans="1:3" x14ac:dyDescent="0.35">
      <c r="A3923">
        <v>69</v>
      </c>
      <c r="B3923">
        <v>1982</v>
      </c>
      <c r="C3923">
        <v>1.35E-2</v>
      </c>
    </row>
    <row r="3924" spans="1:3" x14ac:dyDescent="0.35">
      <c r="A3924">
        <v>69</v>
      </c>
      <c r="B3924">
        <v>1983</v>
      </c>
      <c r="C3924">
        <v>1.35E-2</v>
      </c>
    </row>
    <row r="3925" spans="1:3" x14ac:dyDescent="0.35">
      <c r="A3925">
        <v>69</v>
      </c>
      <c r="B3925">
        <v>1984</v>
      </c>
      <c r="C3925">
        <v>1.4E-2</v>
      </c>
    </row>
    <row r="3926" spans="1:3" x14ac:dyDescent="0.35">
      <c r="A3926">
        <v>69</v>
      </c>
      <c r="B3926">
        <v>1985</v>
      </c>
      <c r="C3926">
        <v>1.49E-2</v>
      </c>
    </row>
    <row r="3927" spans="1:3" x14ac:dyDescent="0.35">
      <c r="A3927">
        <v>69</v>
      </c>
      <c r="B3927">
        <v>1986</v>
      </c>
      <c r="C3927">
        <v>1.6E-2</v>
      </c>
    </row>
    <row r="3928" spans="1:3" x14ac:dyDescent="0.35">
      <c r="A3928">
        <v>69</v>
      </c>
      <c r="B3928">
        <v>1987</v>
      </c>
      <c r="C3928">
        <v>1.7000000000000001E-2</v>
      </c>
    </row>
    <row r="3929" spans="1:3" x14ac:dyDescent="0.35">
      <c r="A3929">
        <v>69</v>
      </c>
      <c r="B3929">
        <v>1988</v>
      </c>
      <c r="C3929">
        <v>1.77E-2</v>
      </c>
    </row>
    <row r="3930" spans="1:3" x14ac:dyDescent="0.35">
      <c r="A3930">
        <v>69</v>
      </c>
      <c r="B3930">
        <v>1989</v>
      </c>
      <c r="C3930">
        <v>1.7899999999999999E-2</v>
      </c>
    </row>
    <row r="3931" spans="1:3" x14ac:dyDescent="0.35">
      <c r="A3931">
        <v>69</v>
      </c>
      <c r="B3931">
        <v>1990</v>
      </c>
      <c r="C3931">
        <v>1.7500000000000002E-2</v>
      </c>
    </row>
    <row r="3932" spans="1:3" x14ac:dyDescent="0.35">
      <c r="A3932">
        <v>69</v>
      </c>
      <c r="B3932">
        <v>1991</v>
      </c>
      <c r="C3932">
        <v>1.66E-2</v>
      </c>
    </row>
    <row r="3933" spans="1:3" x14ac:dyDescent="0.35">
      <c r="A3933">
        <v>69</v>
      </c>
      <c r="B3933">
        <v>1992</v>
      </c>
      <c r="C3933">
        <v>1.55E-2</v>
      </c>
    </row>
    <row r="3934" spans="1:3" x14ac:dyDescent="0.35">
      <c r="A3934">
        <v>69</v>
      </c>
      <c r="B3934">
        <v>1993</v>
      </c>
      <c r="C3934">
        <v>1.46E-2</v>
      </c>
    </row>
    <row r="3935" spans="1:3" x14ac:dyDescent="0.35">
      <c r="A3935">
        <v>69</v>
      </c>
      <c r="B3935">
        <v>1994</v>
      </c>
      <c r="C3935">
        <v>1.41E-2</v>
      </c>
    </row>
    <row r="3936" spans="1:3" x14ac:dyDescent="0.35">
      <c r="A3936">
        <v>69</v>
      </c>
      <c r="B3936">
        <v>1995</v>
      </c>
      <c r="C3936">
        <v>1.4200000000000001E-2</v>
      </c>
    </row>
    <row r="3937" spans="1:3" x14ac:dyDescent="0.35">
      <c r="A3937">
        <v>69</v>
      </c>
      <c r="B3937">
        <v>1996</v>
      </c>
      <c r="C3937">
        <v>1.4999999999999999E-2</v>
      </c>
    </row>
    <row r="3938" spans="1:3" x14ac:dyDescent="0.35">
      <c r="A3938">
        <v>69</v>
      </c>
      <c r="B3938">
        <v>1997</v>
      </c>
      <c r="C3938">
        <v>1.6299999999999999E-2</v>
      </c>
    </row>
    <row r="3939" spans="1:3" x14ac:dyDescent="0.35">
      <c r="A3939">
        <v>69</v>
      </c>
      <c r="B3939">
        <v>1998</v>
      </c>
      <c r="C3939">
        <v>1.8100000000000002E-2</v>
      </c>
    </row>
    <row r="3940" spans="1:3" x14ac:dyDescent="0.35">
      <c r="A3940">
        <v>69</v>
      </c>
      <c r="B3940">
        <v>1999</v>
      </c>
      <c r="C3940">
        <v>2.0299999999999999E-2</v>
      </c>
    </row>
    <row r="3941" spans="1:3" x14ac:dyDescent="0.35">
      <c r="A3941">
        <v>69</v>
      </c>
      <c r="B3941">
        <v>2000</v>
      </c>
      <c r="C3941">
        <v>2.2499999999999999E-2</v>
      </c>
    </row>
    <row r="3942" spans="1:3" x14ac:dyDescent="0.35">
      <c r="A3942">
        <v>69</v>
      </c>
      <c r="B3942">
        <v>2001</v>
      </c>
      <c r="C3942">
        <v>2.47E-2</v>
      </c>
    </row>
    <row r="3943" spans="1:3" x14ac:dyDescent="0.35">
      <c r="A3943">
        <v>69</v>
      </c>
      <c r="B3943">
        <v>2002</v>
      </c>
      <c r="C3943">
        <v>2.6499999999999999E-2</v>
      </c>
    </row>
    <row r="3944" spans="1:3" x14ac:dyDescent="0.35">
      <c r="A3944">
        <v>69</v>
      </c>
      <c r="B3944">
        <v>2003</v>
      </c>
      <c r="C3944">
        <v>2.7799999999999998E-2</v>
      </c>
    </row>
    <row r="3945" spans="1:3" x14ac:dyDescent="0.35">
      <c r="A3945">
        <v>69</v>
      </c>
      <c r="B3945">
        <v>2004</v>
      </c>
      <c r="C3945">
        <v>2.8400000000000002E-2</v>
      </c>
    </row>
    <row r="3946" spans="1:3" x14ac:dyDescent="0.35">
      <c r="A3946">
        <v>69</v>
      </c>
      <c r="B3946">
        <v>2005</v>
      </c>
      <c r="C3946">
        <v>2.8199999999999999E-2</v>
      </c>
    </row>
    <row r="3947" spans="1:3" x14ac:dyDescent="0.35">
      <c r="A3947">
        <v>69</v>
      </c>
      <c r="B3947">
        <v>2006</v>
      </c>
      <c r="C3947">
        <v>2.7300000000000001E-2</v>
      </c>
    </row>
    <row r="3948" spans="1:3" x14ac:dyDescent="0.35">
      <c r="A3948">
        <v>69</v>
      </c>
      <c r="B3948">
        <v>2007</v>
      </c>
      <c r="C3948">
        <v>2.5600000000000001E-2</v>
      </c>
    </row>
    <row r="3949" spans="1:3" x14ac:dyDescent="0.35">
      <c r="A3949">
        <v>69</v>
      </c>
      <c r="B3949">
        <v>2008</v>
      </c>
      <c r="C3949">
        <v>2.3400000000000001E-2</v>
      </c>
    </row>
    <row r="3950" spans="1:3" x14ac:dyDescent="0.35">
      <c r="A3950">
        <v>69</v>
      </c>
      <c r="B3950">
        <v>2009</v>
      </c>
      <c r="C3950">
        <v>2.07E-2</v>
      </c>
    </row>
    <row r="3951" spans="1:3" x14ac:dyDescent="0.35">
      <c r="A3951">
        <v>69</v>
      </c>
      <c r="B3951">
        <v>2010</v>
      </c>
      <c r="C3951">
        <v>1.7500000000000002E-2</v>
      </c>
    </row>
    <row r="3952" spans="1:3" x14ac:dyDescent="0.35">
      <c r="A3952">
        <v>69</v>
      </c>
      <c r="B3952">
        <v>2011</v>
      </c>
      <c r="C3952">
        <v>1.41E-2</v>
      </c>
    </row>
    <row r="3953" spans="1:3" x14ac:dyDescent="0.35">
      <c r="A3953">
        <v>69</v>
      </c>
      <c r="B3953">
        <v>2012</v>
      </c>
      <c r="C3953">
        <v>1.0500000000000001E-2</v>
      </c>
    </row>
    <row r="3954" spans="1:3" x14ac:dyDescent="0.35">
      <c r="A3954">
        <v>69</v>
      </c>
      <c r="B3954">
        <v>2013</v>
      </c>
      <c r="C3954">
        <v>9.7000000000000003E-3</v>
      </c>
    </row>
    <row r="3955" spans="1:3" x14ac:dyDescent="0.35">
      <c r="A3955">
        <v>69</v>
      </c>
      <c r="B3955">
        <v>2014</v>
      </c>
      <c r="C3955">
        <v>8.8999999999999999E-3</v>
      </c>
    </row>
    <row r="3956" spans="1:3" x14ac:dyDescent="0.35">
      <c r="A3956">
        <v>69</v>
      </c>
      <c r="B3956">
        <v>2015</v>
      </c>
      <c r="C3956">
        <v>8.0000000000000002E-3</v>
      </c>
    </row>
    <row r="3957" spans="1:3" x14ac:dyDescent="0.35">
      <c r="A3957">
        <v>69</v>
      </c>
      <c r="B3957">
        <v>2016</v>
      </c>
      <c r="C3957">
        <v>7.1000000000000004E-3</v>
      </c>
    </row>
    <row r="3958" spans="1:3" x14ac:dyDescent="0.35">
      <c r="A3958">
        <v>69</v>
      </c>
      <c r="B3958">
        <v>2017</v>
      </c>
      <c r="C3958">
        <v>6.3E-3</v>
      </c>
    </row>
    <row r="3959" spans="1:3" x14ac:dyDescent="0.35">
      <c r="A3959">
        <v>69</v>
      </c>
      <c r="B3959">
        <v>2018</v>
      </c>
      <c r="C3959">
        <v>5.7999999999999996E-3</v>
      </c>
    </row>
    <row r="3960" spans="1:3" x14ac:dyDescent="0.35">
      <c r="A3960">
        <v>69</v>
      </c>
      <c r="B3960">
        <v>2019</v>
      </c>
      <c r="C3960">
        <v>5.4999999999999997E-3</v>
      </c>
    </row>
    <row r="3961" spans="1:3" x14ac:dyDescent="0.35">
      <c r="A3961">
        <v>69</v>
      </c>
      <c r="B3961">
        <v>2020</v>
      </c>
      <c r="C3961">
        <v>5.5999999999999999E-3</v>
      </c>
    </row>
    <row r="3962" spans="1:3" x14ac:dyDescent="0.35">
      <c r="A3962">
        <v>69</v>
      </c>
      <c r="B3962">
        <v>2021</v>
      </c>
      <c r="C3962">
        <v>5.8999999999999999E-3</v>
      </c>
    </row>
    <row r="3963" spans="1:3" x14ac:dyDescent="0.35">
      <c r="A3963">
        <v>69</v>
      </c>
      <c r="B3963">
        <v>2022</v>
      </c>
      <c r="C3963">
        <v>6.4999999999999997E-3</v>
      </c>
    </row>
    <row r="3964" spans="1:3" x14ac:dyDescent="0.35">
      <c r="A3964">
        <v>69</v>
      </c>
      <c r="B3964">
        <v>2023</v>
      </c>
      <c r="C3964">
        <v>7.1999999999999998E-3</v>
      </c>
    </row>
    <row r="3965" spans="1:3" x14ac:dyDescent="0.35">
      <c r="A3965">
        <v>69</v>
      </c>
      <c r="B3965">
        <v>2024</v>
      </c>
      <c r="C3965">
        <v>7.9000000000000008E-3</v>
      </c>
    </row>
    <row r="3966" spans="1:3" x14ac:dyDescent="0.35">
      <c r="A3966">
        <v>69</v>
      </c>
      <c r="B3966">
        <v>2025</v>
      </c>
      <c r="C3966">
        <v>8.6E-3</v>
      </c>
    </row>
    <row r="3967" spans="1:3" x14ac:dyDescent="0.35">
      <c r="A3967">
        <v>69</v>
      </c>
      <c r="B3967">
        <v>2026</v>
      </c>
      <c r="C3967">
        <v>9.1999999999999998E-3</v>
      </c>
    </row>
    <row r="3968" spans="1:3" x14ac:dyDescent="0.35">
      <c r="A3968">
        <v>69</v>
      </c>
      <c r="B3968">
        <v>2027</v>
      </c>
      <c r="C3968">
        <v>9.5999999999999992E-3</v>
      </c>
    </row>
    <row r="3969" spans="1:3" x14ac:dyDescent="0.35">
      <c r="A3969">
        <v>69</v>
      </c>
      <c r="B3969">
        <v>2028</v>
      </c>
      <c r="C3969">
        <v>9.9000000000000008E-3</v>
      </c>
    </row>
    <row r="3970" spans="1:3" x14ac:dyDescent="0.35">
      <c r="A3970">
        <v>69</v>
      </c>
      <c r="B3970">
        <v>2029</v>
      </c>
      <c r="C3970">
        <v>0.01</v>
      </c>
    </row>
    <row r="3971" spans="1:3" x14ac:dyDescent="0.35">
      <c r="A3971">
        <v>69</v>
      </c>
      <c r="B3971">
        <v>2030</v>
      </c>
      <c r="C3971">
        <v>0.01</v>
      </c>
    </row>
    <row r="3972" spans="1:3" x14ac:dyDescent="0.35">
      <c r="A3972">
        <v>69</v>
      </c>
      <c r="B3972">
        <v>2031</v>
      </c>
      <c r="C3972">
        <v>0.01</v>
      </c>
    </row>
    <row r="3973" spans="1:3" x14ac:dyDescent="0.35">
      <c r="A3973">
        <v>70</v>
      </c>
      <c r="B3973">
        <v>1951</v>
      </c>
      <c r="C3973">
        <v>8.5000000000000006E-3</v>
      </c>
    </row>
    <row r="3974" spans="1:3" x14ac:dyDescent="0.35">
      <c r="A3974">
        <v>70</v>
      </c>
      <c r="B3974">
        <v>1952</v>
      </c>
      <c r="C3974">
        <v>6.6E-3</v>
      </c>
    </row>
    <row r="3975" spans="1:3" x14ac:dyDescent="0.35">
      <c r="A3975">
        <v>70</v>
      </c>
      <c r="B3975">
        <v>1953</v>
      </c>
      <c r="C3975">
        <v>4.7000000000000002E-3</v>
      </c>
    </row>
    <row r="3976" spans="1:3" x14ac:dyDescent="0.35">
      <c r="A3976">
        <v>70</v>
      </c>
      <c r="B3976">
        <v>1954</v>
      </c>
      <c r="C3976">
        <v>2.8999999999999998E-3</v>
      </c>
    </row>
    <row r="3977" spans="1:3" x14ac:dyDescent="0.35">
      <c r="A3977">
        <v>70</v>
      </c>
      <c r="B3977">
        <v>1955</v>
      </c>
      <c r="C3977">
        <v>1.1999999999999999E-3</v>
      </c>
    </row>
    <row r="3978" spans="1:3" x14ac:dyDescent="0.35">
      <c r="A3978">
        <v>70</v>
      </c>
      <c r="B3978">
        <v>1956</v>
      </c>
      <c r="C3978">
        <v>-2.9999999999999997E-4</v>
      </c>
    </row>
    <row r="3979" spans="1:3" x14ac:dyDescent="0.35">
      <c r="A3979">
        <v>70</v>
      </c>
      <c r="B3979">
        <v>1957</v>
      </c>
      <c r="C3979">
        <v>-1.4E-3</v>
      </c>
    </row>
    <row r="3980" spans="1:3" x14ac:dyDescent="0.35">
      <c r="A3980">
        <v>70</v>
      </c>
      <c r="B3980">
        <v>1958</v>
      </c>
      <c r="C3980">
        <v>-2.2000000000000001E-3</v>
      </c>
    </row>
    <row r="3981" spans="1:3" x14ac:dyDescent="0.35">
      <c r="A3981">
        <v>70</v>
      </c>
      <c r="B3981">
        <v>1959</v>
      </c>
      <c r="C3981">
        <v>-2.7000000000000001E-3</v>
      </c>
    </row>
    <row r="3982" spans="1:3" x14ac:dyDescent="0.35">
      <c r="A3982">
        <v>70</v>
      </c>
      <c r="B3982">
        <v>1960</v>
      </c>
      <c r="C3982">
        <v>-2.8999999999999998E-3</v>
      </c>
    </row>
    <row r="3983" spans="1:3" x14ac:dyDescent="0.35">
      <c r="A3983">
        <v>70</v>
      </c>
      <c r="B3983">
        <v>1961</v>
      </c>
      <c r="C3983">
        <v>-3.0000000000000001E-3</v>
      </c>
    </row>
    <row r="3984" spans="1:3" x14ac:dyDescent="0.35">
      <c r="A3984">
        <v>70</v>
      </c>
      <c r="B3984">
        <v>1962</v>
      </c>
      <c r="C3984">
        <v>-2.8999999999999998E-3</v>
      </c>
    </row>
    <row r="3985" spans="1:3" x14ac:dyDescent="0.35">
      <c r="A3985">
        <v>70</v>
      </c>
      <c r="B3985">
        <v>1963</v>
      </c>
      <c r="C3985">
        <v>-2.5000000000000001E-3</v>
      </c>
    </row>
    <row r="3986" spans="1:3" x14ac:dyDescent="0.35">
      <c r="A3986">
        <v>70</v>
      </c>
      <c r="B3986">
        <v>1964</v>
      </c>
      <c r="C3986">
        <v>-1.9E-3</v>
      </c>
    </row>
    <row r="3987" spans="1:3" x14ac:dyDescent="0.35">
      <c r="A3987">
        <v>70</v>
      </c>
      <c r="B3987">
        <v>1965</v>
      </c>
      <c r="C3987">
        <v>-1E-3</v>
      </c>
    </row>
    <row r="3988" spans="1:3" x14ac:dyDescent="0.35">
      <c r="A3988">
        <v>70</v>
      </c>
      <c r="B3988">
        <v>1966</v>
      </c>
      <c r="C3988">
        <v>1E-4</v>
      </c>
    </row>
    <row r="3989" spans="1:3" x14ac:dyDescent="0.35">
      <c r="A3989">
        <v>70</v>
      </c>
      <c r="B3989">
        <v>1967</v>
      </c>
      <c r="C3989">
        <v>1.6999999999999999E-3</v>
      </c>
    </row>
    <row r="3990" spans="1:3" x14ac:dyDescent="0.35">
      <c r="A3990">
        <v>70</v>
      </c>
      <c r="B3990">
        <v>1968</v>
      </c>
      <c r="C3990">
        <v>3.5000000000000001E-3</v>
      </c>
    </row>
    <row r="3991" spans="1:3" x14ac:dyDescent="0.35">
      <c r="A3991">
        <v>70</v>
      </c>
      <c r="B3991">
        <v>1969</v>
      </c>
      <c r="C3991">
        <v>5.5999999999999999E-3</v>
      </c>
    </row>
    <row r="3992" spans="1:3" x14ac:dyDescent="0.35">
      <c r="A3992">
        <v>70</v>
      </c>
      <c r="B3992">
        <v>1970</v>
      </c>
      <c r="C3992">
        <v>7.7999999999999996E-3</v>
      </c>
    </row>
    <row r="3993" spans="1:3" x14ac:dyDescent="0.35">
      <c r="A3993">
        <v>70</v>
      </c>
      <c r="B3993">
        <v>1971</v>
      </c>
      <c r="C3993">
        <v>0.01</v>
      </c>
    </row>
    <row r="3994" spans="1:3" x14ac:dyDescent="0.35">
      <c r="A3994">
        <v>70</v>
      </c>
      <c r="B3994">
        <v>1972</v>
      </c>
      <c r="C3994">
        <v>1.2200000000000001E-2</v>
      </c>
    </row>
    <row r="3995" spans="1:3" x14ac:dyDescent="0.35">
      <c r="A3995">
        <v>70</v>
      </c>
      <c r="B3995">
        <v>1973</v>
      </c>
      <c r="C3995">
        <v>1.4E-2</v>
      </c>
    </row>
    <row r="3996" spans="1:3" x14ac:dyDescent="0.35">
      <c r="A3996">
        <v>70</v>
      </c>
      <c r="B3996">
        <v>1974</v>
      </c>
      <c r="C3996">
        <v>1.54E-2</v>
      </c>
    </row>
    <row r="3997" spans="1:3" x14ac:dyDescent="0.35">
      <c r="A3997">
        <v>70</v>
      </c>
      <c r="B3997">
        <v>1975</v>
      </c>
      <c r="C3997">
        <v>1.6199999999999999E-2</v>
      </c>
    </row>
    <row r="3998" spans="1:3" x14ac:dyDescent="0.35">
      <c r="A3998">
        <v>70</v>
      </c>
      <c r="B3998">
        <v>1976</v>
      </c>
      <c r="C3998">
        <v>1.6299999999999999E-2</v>
      </c>
    </row>
    <row r="3999" spans="1:3" x14ac:dyDescent="0.35">
      <c r="A3999">
        <v>70</v>
      </c>
      <c r="B3999">
        <v>1977</v>
      </c>
      <c r="C3999">
        <v>1.5900000000000001E-2</v>
      </c>
    </row>
    <row r="4000" spans="1:3" x14ac:dyDescent="0.35">
      <c r="A4000">
        <v>70</v>
      </c>
      <c r="B4000">
        <v>1978</v>
      </c>
      <c r="C4000">
        <v>1.5100000000000001E-2</v>
      </c>
    </row>
    <row r="4001" spans="1:3" x14ac:dyDescent="0.35">
      <c r="A4001">
        <v>70</v>
      </c>
      <c r="B4001">
        <v>1979</v>
      </c>
      <c r="C4001">
        <v>1.4200000000000001E-2</v>
      </c>
    </row>
    <row r="4002" spans="1:3" x14ac:dyDescent="0.35">
      <c r="A4002">
        <v>70</v>
      </c>
      <c r="B4002">
        <v>1980</v>
      </c>
      <c r="C4002">
        <v>1.34E-2</v>
      </c>
    </row>
    <row r="4003" spans="1:3" x14ac:dyDescent="0.35">
      <c r="A4003">
        <v>70</v>
      </c>
      <c r="B4003">
        <v>1981</v>
      </c>
      <c r="C4003">
        <v>1.29E-2</v>
      </c>
    </row>
    <row r="4004" spans="1:3" x14ac:dyDescent="0.35">
      <c r="A4004">
        <v>70</v>
      </c>
      <c r="B4004">
        <v>1982</v>
      </c>
      <c r="C4004">
        <v>1.26E-2</v>
      </c>
    </row>
    <row r="4005" spans="1:3" x14ac:dyDescent="0.35">
      <c r="A4005">
        <v>70</v>
      </c>
      <c r="B4005">
        <v>1983</v>
      </c>
      <c r="C4005">
        <v>1.2800000000000001E-2</v>
      </c>
    </row>
    <row r="4006" spans="1:3" x14ac:dyDescent="0.35">
      <c r="A4006">
        <v>70</v>
      </c>
      <c r="B4006">
        <v>1984</v>
      </c>
      <c r="C4006">
        <v>1.35E-2</v>
      </c>
    </row>
    <row r="4007" spans="1:3" x14ac:dyDescent="0.35">
      <c r="A4007">
        <v>70</v>
      </c>
      <c r="B4007">
        <v>1985</v>
      </c>
      <c r="C4007">
        <v>1.4500000000000001E-2</v>
      </c>
    </row>
    <row r="4008" spans="1:3" x14ac:dyDescent="0.35">
      <c r="A4008">
        <v>70</v>
      </c>
      <c r="B4008">
        <v>1986</v>
      </c>
      <c r="C4008">
        <v>1.5699999999999999E-2</v>
      </c>
    </row>
    <row r="4009" spans="1:3" x14ac:dyDescent="0.35">
      <c r="A4009">
        <v>70</v>
      </c>
      <c r="B4009">
        <v>1987</v>
      </c>
      <c r="C4009">
        <v>1.6899999999999998E-2</v>
      </c>
    </row>
    <row r="4010" spans="1:3" x14ac:dyDescent="0.35">
      <c r="A4010">
        <v>70</v>
      </c>
      <c r="B4010">
        <v>1988</v>
      </c>
      <c r="C4010">
        <v>1.77E-2</v>
      </c>
    </row>
    <row r="4011" spans="1:3" x14ac:dyDescent="0.35">
      <c r="A4011">
        <v>70</v>
      </c>
      <c r="B4011">
        <v>1989</v>
      </c>
      <c r="C4011">
        <v>1.7999999999999999E-2</v>
      </c>
    </row>
    <row r="4012" spans="1:3" x14ac:dyDescent="0.35">
      <c r="A4012">
        <v>70</v>
      </c>
      <c r="B4012">
        <v>1990</v>
      </c>
      <c r="C4012">
        <v>1.7600000000000001E-2</v>
      </c>
    </row>
    <row r="4013" spans="1:3" x14ac:dyDescent="0.35">
      <c r="A4013">
        <v>70</v>
      </c>
      <c r="B4013">
        <v>1991</v>
      </c>
      <c r="C4013">
        <v>1.67E-2</v>
      </c>
    </row>
    <row r="4014" spans="1:3" x14ac:dyDescent="0.35">
      <c r="A4014">
        <v>70</v>
      </c>
      <c r="B4014">
        <v>1992</v>
      </c>
      <c r="C4014">
        <v>1.5599999999999999E-2</v>
      </c>
    </row>
    <row r="4015" spans="1:3" x14ac:dyDescent="0.35">
      <c r="A4015">
        <v>70</v>
      </c>
      <c r="B4015">
        <v>1993</v>
      </c>
      <c r="C4015">
        <v>1.4500000000000001E-2</v>
      </c>
    </row>
    <row r="4016" spans="1:3" x14ac:dyDescent="0.35">
      <c r="A4016">
        <v>70</v>
      </c>
      <c r="B4016">
        <v>1994</v>
      </c>
      <c r="C4016">
        <v>1.3899999999999999E-2</v>
      </c>
    </row>
    <row r="4017" spans="1:3" x14ac:dyDescent="0.35">
      <c r="A4017">
        <v>70</v>
      </c>
      <c r="B4017">
        <v>1995</v>
      </c>
      <c r="C4017">
        <v>1.38E-2</v>
      </c>
    </row>
    <row r="4018" spans="1:3" x14ac:dyDescent="0.35">
      <c r="A4018">
        <v>70</v>
      </c>
      <c r="B4018">
        <v>1996</v>
      </c>
      <c r="C4018">
        <v>1.43E-2</v>
      </c>
    </row>
    <row r="4019" spans="1:3" x14ac:dyDescent="0.35">
      <c r="A4019">
        <v>70</v>
      </c>
      <c r="B4019">
        <v>1997</v>
      </c>
      <c r="C4019">
        <v>1.55E-2</v>
      </c>
    </row>
    <row r="4020" spans="1:3" x14ac:dyDescent="0.35">
      <c r="A4020">
        <v>70</v>
      </c>
      <c r="B4020">
        <v>1998</v>
      </c>
      <c r="C4020">
        <v>1.72E-2</v>
      </c>
    </row>
    <row r="4021" spans="1:3" x14ac:dyDescent="0.35">
      <c r="A4021">
        <v>70</v>
      </c>
      <c r="B4021">
        <v>1999</v>
      </c>
      <c r="C4021">
        <v>1.9400000000000001E-2</v>
      </c>
    </row>
    <row r="4022" spans="1:3" x14ac:dyDescent="0.35">
      <c r="A4022">
        <v>70</v>
      </c>
      <c r="B4022">
        <v>2000</v>
      </c>
      <c r="C4022">
        <v>2.18E-2</v>
      </c>
    </row>
    <row r="4023" spans="1:3" x14ac:dyDescent="0.35">
      <c r="A4023">
        <v>70</v>
      </c>
      <c r="B4023">
        <v>2001</v>
      </c>
      <c r="C4023">
        <v>2.41E-2</v>
      </c>
    </row>
    <row r="4024" spans="1:3" x14ac:dyDescent="0.35">
      <c r="A4024">
        <v>70</v>
      </c>
      <c r="B4024">
        <v>2002</v>
      </c>
      <c r="C4024">
        <v>2.6100000000000002E-2</v>
      </c>
    </row>
    <row r="4025" spans="1:3" x14ac:dyDescent="0.35">
      <c r="A4025">
        <v>70</v>
      </c>
      <c r="B4025">
        <v>2003</v>
      </c>
      <c r="C4025">
        <v>2.76E-2</v>
      </c>
    </row>
    <row r="4026" spans="1:3" x14ac:dyDescent="0.35">
      <c r="A4026">
        <v>70</v>
      </c>
      <c r="B4026">
        <v>2004</v>
      </c>
      <c r="C4026">
        <v>2.8299999999999999E-2</v>
      </c>
    </row>
    <row r="4027" spans="1:3" x14ac:dyDescent="0.35">
      <c r="A4027">
        <v>70</v>
      </c>
      <c r="B4027">
        <v>2005</v>
      </c>
      <c r="C4027">
        <v>2.8299999999999999E-2</v>
      </c>
    </row>
    <row r="4028" spans="1:3" x14ac:dyDescent="0.35">
      <c r="A4028">
        <v>70</v>
      </c>
      <c r="B4028">
        <v>2006</v>
      </c>
      <c r="C4028">
        <v>2.75E-2</v>
      </c>
    </row>
    <row r="4029" spans="1:3" x14ac:dyDescent="0.35">
      <c r="A4029">
        <v>70</v>
      </c>
      <c r="B4029">
        <v>2007</v>
      </c>
      <c r="C4029">
        <v>2.5899999999999999E-2</v>
      </c>
    </row>
    <row r="4030" spans="1:3" x14ac:dyDescent="0.35">
      <c r="A4030">
        <v>70</v>
      </c>
      <c r="B4030">
        <v>2008</v>
      </c>
      <c r="C4030">
        <v>2.3800000000000002E-2</v>
      </c>
    </row>
    <row r="4031" spans="1:3" x14ac:dyDescent="0.35">
      <c r="A4031">
        <v>70</v>
      </c>
      <c r="B4031">
        <v>2009</v>
      </c>
      <c r="C4031">
        <v>2.12E-2</v>
      </c>
    </row>
    <row r="4032" spans="1:3" x14ac:dyDescent="0.35">
      <c r="A4032">
        <v>70</v>
      </c>
      <c r="B4032">
        <v>2010</v>
      </c>
      <c r="C4032">
        <v>1.8200000000000001E-2</v>
      </c>
    </row>
    <row r="4033" spans="1:3" x14ac:dyDescent="0.35">
      <c r="A4033">
        <v>70</v>
      </c>
      <c r="B4033">
        <v>2011</v>
      </c>
      <c r="C4033">
        <v>1.4999999999999999E-2</v>
      </c>
    </row>
    <row r="4034" spans="1:3" x14ac:dyDescent="0.35">
      <c r="A4034">
        <v>70</v>
      </c>
      <c r="B4034">
        <v>2012</v>
      </c>
      <c r="C4034">
        <v>1.15E-2</v>
      </c>
    </row>
    <row r="4035" spans="1:3" x14ac:dyDescent="0.35">
      <c r="A4035">
        <v>70</v>
      </c>
      <c r="B4035">
        <v>2013</v>
      </c>
      <c r="C4035">
        <v>1.0999999999999999E-2</v>
      </c>
    </row>
    <row r="4036" spans="1:3" x14ac:dyDescent="0.35">
      <c r="A4036">
        <v>70</v>
      </c>
      <c r="B4036">
        <v>2014</v>
      </c>
      <c r="C4036">
        <v>1.0200000000000001E-2</v>
      </c>
    </row>
    <row r="4037" spans="1:3" x14ac:dyDescent="0.35">
      <c r="A4037">
        <v>70</v>
      </c>
      <c r="B4037">
        <v>2015</v>
      </c>
      <c r="C4037">
        <v>9.2999999999999992E-3</v>
      </c>
    </row>
    <row r="4038" spans="1:3" x14ac:dyDescent="0.35">
      <c r="A4038">
        <v>70</v>
      </c>
      <c r="B4038">
        <v>2016</v>
      </c>
      <c r="C4038">
        <v>8.3999999999999995E-3</v>
      </c>
    </row>
    <row r="4039" spans="1:3" x14ac:dyDescent="0.35">
      <c r="A4039">
        <v>70</v>
      </c>
      <c r="B4039">
        <v>2017</v>
      </c>
      <c r="C4039">
        <v>7.4999999999999997E-3</v>
      </c>
    </row>
    <row r="4040" spans="1:3" x14ac:dyDescent="0.35">
      <c r="A4040">
        <v>70</v>
      </c>
      <c r="B4040">
        <v>2018</v>
      </c>
      <c r="C4040">
        <v>6.7000000000000002E-3</v>
      </c>
    </row>
    <row r="4041" spans="1:3" x14ac:dyDescent="0.35">
      <c r="A4041">
        <v>70</v>
      </c>
      <c r="B4041">
        <v>2019</v>
      </c>
      <c r="C4041">
        <v>6.1999999999999998E-3</v>
      </c>
    </row>
    <row r="4042" spans="1:3" x14ac:dyDescent="0.35">
      <c r="A4042">
        <v>70</v>
      </c>
      <c r="B4042">
        <v>2020</v>
      </c>
      <c r="C4042">
        <v>6.0000000000000001E-3</v>
      </c>
    </row>
    <row r="4043" spans="1:3" x14ac:dyDescent="0.35">
      <c r="A4043">
        <v>70</v>
      </c>
      <c r="B4043">
        <v>2021</v>
      </c>
      <c r="C4043">
        <v>6.1000000000000004E-3</v>
      </c>
    </row>
    <row r="4044" spans="1:3" x14ac:dyDescent="0.35">
      <c r="A4044">
        <v>70</v>
      </c>
      <c r="B4044">
        <v>2022</v>
      </c>
      <c r="C4044">
        <v>6.4000000000000003E-3</v>
      </c>
    </row>
    <row r="4045" spans="1:3" x14ac:dyDescent="0.35">
      <c r="A4045">
        <v>70</v>
      </c>
      <c r="B4045">
        <v>2023</v>
      </c>
      <c r="C4045">
        <v>7.0000000000000001E-3</v>
      </c>
    </row>
    <row r="4046" spans="1:3" x14ac:dyDescent="0.35">
      <c r="A4046">
        <v>70</v>
      </c>
      <c r="B4046">
        <v>2024</v>
      </c>
      <c r="C4046">
        <v>7.7000000000000002E-3</v>
      </c>
    </row>
    <row r="4047" spans="1:3" x14ac:dyDescent="0.35">
      <c r="A4047">
        <v>70</v>
      </c>
      <c r="B4047">
        <v>2025</v>
      </c>
      <c r="C4047">
        <v>8.3000000000000001E-3</v>
      </c>
    </row>
    <row r="4048" spans="1:3" x14ac:dyDescent="0.35">
      <c r="A4048">
        <v>70</v>
      </c>
      <c r="B4048">
        <v>2026</v>
      </c>
      <c r="C4048">
        <v>8.8999999999999999E-3</v>
      </c>
    </row>
    <row r="4049" spans="1:3" x14ac:dyDescent="0.35">
      <c r="A4049">
        <v>70</v>
      </c>
      <c r="B4049">
        <v>2027</v>
      </c>
      <c r="C4049">
        <v>9.4000000000000004E-3</v>
      </c>
    </row>
    <row r="4050" spans="1:3" x14ac:dyDescent="0.35">
      <c r="A4050">
        <v>70</v>
      </c>
      <c r="B4050">
        <v>2028</v>
      </c>
      <c r="C4050">
        <v>9.7000000000000003E-3</v>
      </c>
    </row>
    <row r="4051" spans="1:3" x14ac:dyDescent="0.35">
      <c r="A4051">
        <v>70</v>
      </c>
      <c r="B4051">
        <v>2029</v>
      </c>
      <c r="C4051">
        <v>9.9000000000000008E-3</v>
      </c>
    </row>
    <row r="4052" spans="1:3" x14ac:dyDescent="0.35">
      <c r="A4052">
        <v>70</v>
      </c>
      <c r="B4052">
        <v>2030</v>
      </c>
      <c r="C4052">
        <v>0.01</v>
      </c>
    </row>
    <row r="4053" spans="1:3" x14ac:dyDescent="0.35">
      <c r="A4053">
        <v>70</v>
      </c>
      <c r="B4053">
        <v>2031</v>
      </c>
      <c r="C4053">
        <v>0.01</v>
      </c>
    </row>
    <row r="4054" spans="1:3" x14ac:dyDescent="0.35">
      <c r="A4054">
        <v>71</v>
      </c>
      <c r="B4054">
        <v>1951</v>
      </c>
      <c r="C4054">
        <v>9.1000000000000004E-3</v>
      </c>
    </row>
    <row r="4055" spans="1:3" x14ac:dyDescent="0.35">
      <c r="A4055">
        <v>71</v>
      </c>
      <c r="B4055">
        <v>1952</v>
      </c>
      <c r="C4055">
        <v>7.1000000000000004E-3</v>
      </c>
    </row>
    <row r="4056" spans="1:3" x14ac:dyDescent="0.35">
      <c r="A4056">
        <v>71</v>
      </c>
      <c r="B4056">
        <v>1953</v>
      </c>
      <c r="C4056">
        <v>5.3E-3</v>
      </c>
    </row>
    <row r="4057" spans="1:3" x14ac:dyDescent="0.35">
      <c r="A4057">
        <v>71</v>
      </c>
      <c r="B4057">
        <v>1954</v>
      </c>
      <c r="C4057">
        <v>3.3999999999999998E-3</v>
      </c>
    </row>
    <row r="4058" spans="1:3" x14ac:dyDescent="0.35">
      <c r="A4058">
        <v>71</v>
      </c>
      <c r="B4058">
        <v>1955</v>
      </c>
      <c r="C4058">
        <v>1.6999999999999999E-3</v>
      </c>
    </row>
    <row r="4059" spans="1:3" x14ac:dyDescent="0.35">
      <c r="A4059">
        <v>71</v>
      </c>
      <c r="B4059">
        <v>1956</v>
      </c>
      <c r="C4059">
        <v>2.0000000000000001E-4</v>
      </c>
    </row>
    <row r="4060" spans="1:3" x14ac:dyDescent="0.35">
      <c r="A4060">
        <v>71</v>
      </c>
      <c r="B4060">
        <v>1957</v>
      </c>
      <c r="C4060">
        <v>-8.9999999999999998E-4</v>
      </c>
    </row>
    <row r="4061" spans="1:3" x14ac:dyDescent="0.35">
      <c r="A4061">
        <v>71</v>
      </c>
      <c r="B4061">
        <v>1958</v>
      </c>
      <c r="C4061">
        <v>-1.6999999999999999E-3</v>
      </c>
    </row>
    <row r="4062" spans="1:3" x14ac:dyDescent="0.35">
      <c r="A4062">
        <v>71</v>
      </c>
      <c r="B4062">
        <v>1959</v>
      </c>
      <c r="C4062">
        <v>-2.2000000000000001E-3</v>
      </c>
    </row>
    <row r="4063" spans="1:3" x14ac:dyDescent="0.35">
      <c r="A4063">
        <v>71</v>
      </c>
      <c r="B4063">
        <v>1960</v>
      </c>
      <c r="C4063">
        <v>-2.5999999999999999E-3</v>
      </c>
    </row>
    <row r="4064" spans="1:3" x14ac:dyDescent="0.35">
      <c r="A4064">
        <v>71</v>
      </c>
      <c r="B4064">
        <v>1961</v>
      </c>
      <c r="C4064">
        <v>-2.7000000000000001E-3</v>
      </c>
    </row>
    <row r="4065" spans="1:3" x14ac:dyDescent="0.35">
      <c r="A4065">
        <v>71</v>
      </c>
      <c r="B4065">
        <v>1962</v>
      </c>
      <c r="C4065">
        <v>-2.8E-3</v>
      </c>
    </row>
    <row r="4066" spans="1:3" x14ac:dyDescent="0.35">
      <c r="A4066">
        <v>71</v>
      </c>
      <c r="B4066">
        <v>1963</v>
      </c>
      <c r="C4066">
        <v>-2.5999999999999999E-3</v>
      </c>
    </row>
    <row r="4067" spans="1:3" x14ac:dyDescent="0.35">
      <c r="A4067">
        <v>71</v>
      </c>
      <c r="B4067">
        <v>1964</v>
      </c>
      <c r="C4067">
        <v>-2.0999999999999999E-3</v>
      </c>
    </row>
    <row r="4068" spans="1:3" x14ac:dyDescent="0.35">
      <c r="A4068">
        <v>71</v>
      </c>
      <c r="B4068">
        <v>1965</v>
      </c>
      <c r="C4068">
        <v>-1.2999999999999999E-3</v>
      </c>
    </row>
    <row r="4069" spans="1:3" x14ac:dyDescent="0.35">
      <c r="A4069">
        <v>71</v>
      </c>
      <c r="B4069">
        <v>1966</v>
      </c>
      <c r="C4069">
        <v>-2.0000000000000001E-4</v>
      </c>
    </row>
    <row r="4070" spans="1:3" x14ac:dyDescent="0.35">
      <c r="A4070">
        <v>71</v>
      </c>
      <c r="B4070">
        <v>1967</v>
      </c>
      <c r="C4070">
        <v>1.2999999999999999E-3</v>
      </c>
    </row>
    <row r="4071" spans="1:3" x14ac:dyDescent="0.35">
      <c r="A4071">
        <v>71</v>
      </c>
      <c r="B4071">
        <v>1968</v>
      </c>
      <c r="C4071">
        <v>3.0999999999999999E-3</v>
      </c>
    </row>
    <row r="4072" spans="1:3" x14ac:dyDescent="0.35">
      <c r="A4072">
        <v>71</v>
      </c>
      <c r="B4072">
        <v>1969</v>
      </c>
      <c r="C4072">
        <v>5.1999999999999998E-3</v>
      </c>
    </row>
    <row r="4073" spans="1:3" x14ac:dyDescent="0.35">
      <c r="A4073">
        <v>71</v>
      </c>
      <c r="B4073">
        <v>1970</v>
      </c>
      <c r="C4073">
        <v>7.4000000000000003E-3</v>
      </c>
    </row>
    <row r="4074" spans="1:3" x14ac:dyDescent="0.35">
      <c r="A4074">
        <v>71</v>
      </c>
      <c r="B4074">
        <v>1971</v>
      </c>
      <c r="C4074">
        <v>9.7000000000000003E-3</v>
      </c>
    </row>
    <row r="4075" spans="1:3" x14ac:dyDescent="0.35">
      <c r="A4075">
        <v>71</v>
      </c>
      <c r="B4075">
        <v>1972</v>
      </c>
      <c r="C4075">
        <v>1.18E-2</v>
      </c>
    </row>
    <row r="4076" spans="1:3" x14ac:dyDescent="0.35">
      <c r="A4076">
        <v>71</v>
      </c>
      <c r="B4076">
        <v>1973</v>
      </c>
      <c r="C4076">
        <v>1.3599999999999999E-2</v>
      </c>
    </row>
    <row r="4077" spans="1:3" x14ac:dyDescent="0.35">
      <c r="A4077">
        <v>71</v>
      </c>
      <c r="B4077">
        <v>1974</v>
      </c>
      <c r="C4077">
        <v>1.49E-2</v>
      </c>
    </row>
    <row r="4078" spans="1:3" x14ac:dyDescent="0.35">
      <c r="A4078">
        <v>71</v>
      </c>
      <c r="B4078">
        <v>1975</v>
      </c>
      <c r="C4078">
        <v>1.5599999999999999E-2</v>
      </c>
    </row>
    <row r="4079" spans="1:3" x14ac:dyDescent="0.35">
      <c r="A4079">
        <v>71</v>
      </c>
      <c r="B4079">
        <v>1976</v>
      </c>
      <c r="C4079">
        <v>1.5599999999999999E-2</v>
      </c>
    </row>
    <row r="4080" spans="1:3" x14ac:dyDescent="0.35">
      <c r="A4080">
        <v>71</v>
      </c>
      <c r="B4080">
        <v>1977</v>
      </c>
      <c r="C4080">
        <v>1.5100000000000001E-2</v>
      </c>
    </row>
    <row r="4081" spans="1:3" x14ac:dyDescent="0.35">
      <c r="A4081">
        <v>71</v>
      </c>
      <c r="B4081">
        <v>1978</v>
      </c>
      <c r="C4081">
        <v>1.43E-2</v>
      </c>
    </row>
    <row r="4082" spans="1:3" x14ac:dyDescent="0.35">
      <c r="A4082">
        <v>71</v>
      </c>
      <c r="B4082">
        <v>1979</v>
      </c>
      <c r="C4082">
        <v>1.3299999999999999E-2</v>
      </c>
    </row>
    <row r="4083" spans="1:3" x14ac:dyDescent="0.35">
      <c r="A4083">
        <v>71</v>
      </c>
      <c r="B4083">
        <v>1980</v>
      </c>
      <c r="C4083">
        <v>1.2500000000000001E-2</v>
      </c>
    </row>
    <row r="4084" spans="1:3" x14ac:dyDescent="0.35">
      <c r="A4084">
        <v>71</v>
      </c>
      <c r="B4084">
        <v>1981</v>
      </c>
      <c r="C4084">
        <v>1.1900000000000001E-2</v>
      </c>
    </row>
    <row r="4085" spans="1:3" x14ac:dyDescent="0.35">
      <c r="A4085">
        <v>71</v>
      </c>
      <c r="B4085">
        <v>1982</v>
      </c>
      <c r="C4085">
        <v>1.17E-2</v>
      </c>
    </row>
    <row r="4086" spans="1:3" x14ac:dyDescent="0.35">
      <c r="A4086">
        <v>71</v>
      </c>
      <c r="B4086">
        <v>1983</v>
      </c>
      <c r="C4086">
        <v>1.1900000000000001E-2</v>
      </c>
    </row>
    <row r="4087" spans="1:3" x14ac:dyDescent="0.35">
      <c r="A4087">
        <v>71</v>
      </c>
      <c r="B4087">
        <v>1984</v>
      </c>
      <c r="C4087">
        <v>1.2699999999999999E-2</v>
      </c>
    </row>
    <row r="4088" spans="1:3" x14ac:dyDescent="0.35">
      <c r="A4088">
        <v>71</v>
      </c>
      <c r="B4088">
        <v>1985</v>
      </c>
      <c r="C4088">
        <v>1.3899999999999999E-2</v>
      </c>
    </row>
    <row r="4089" spans="1:3" x14ac:dyDescent="0.35">
      <c r="A4089">
        <v>71</v>
      </c>
      <c r="B4089">
        <v>1986</v>
      </c>
      <c r="C4089">
        <v>1.5299999999999999E-2</v>
      </c>
    </row>
    <row r="4090" spans="1:3" x14ac:dyDescent="0.35">
      <c r="A4090">
        <v>71</v>
      </c>
      <c r="B4090">
        <v>1987</v>
      </c>
      <c r="C4090">
        <v>1.66E-2</v>
      </c>
    </row>
    <row r="4091" spans="1:3" x14ac:dyDescent="0.35">
      <c r="A4091">
        <v>71</v>
      </c>
      <c r="B4091">
        <v>1988</v>
      </c>
      <c r="C4091">
        <v>1.7500000000000002E-2</v>
      </c>
    </row>
    <row r="4092" spans="1:3" x14ac:dyDescent="0.35">
      <c r="A4092">
        <v>71</v>
      </c>
      <c r="B4092">
        <v>1989</v>
      </c>
      <c r="C4092">
        <v>1.7899999999999999E-2</v>
      </c>
    </row>
    <row r="4093" spans="1:3" x14ac:dyDescent="0.35">
      <c r="A4093">
        <v>71</v>
      </c>
      <c r="B4093">
        <v>1990</v>
      </c>
      <c r="C4093">
        <v>1.77E-2</v>
      </c>
    </row>
    <row r="4094" spans="1:3" x14ac:dyDescent="0.35">
      <c r="A4094">
        <v>71</v>
      </c>
      <c r="B4094">
        <v>1991</v>
      </c>
      <c r="C4094">
        <v>1.6799999999999999E-2</v>
      </c>
    </row>
    <row r="4095" spans="1:3" x14ac:dyDescent="0.35">
      <c r="A4095">
        <v>71</v>
      </c>
      <c r="B4095">
        <v>1992</v>
      </c>
      <c r="C4095">
        <v>1.5699999999999999E-2</v>
      </c>
    </row>
    <row r="4096" spans="1:3" x14ac:dyDescent="0.35">
      <c r="A4096">
        <v>71</v>
      </c>
      <c r="B4096">
        <v>1993</v>
      </c>
      <c r="C4096">
        <v>1.46E-2</v>
      </c>
    </row>
    <row r="4097" spans="1:3" x14ac:dyDescent="0.35">
      <c r="A4097">
        <v>71</v>
      </c>
      <c r="B4097">
        <v>1994</v>
      </c>
      <c r="C4097">
        <v>1.37E-2</v>
      </c>
    </row>
    <row r="4098" spans="1:3" x14ac:dyDescent="0.35">
      <c r="A4098">
        <v>71</v>
      </c>
      <c r="B4098">
        <v>1995</v>
      </c>
      <c r="C4098">
        <v>1.35E-2</v>
      </c>
    </row>
    <row r="4099" spans="1:3" x14ac:dyDescent="0.35">
      <c r="A4099">
        <v>71</v>
      </c>
      <c r="B4099">
        <v>1996</v>
      </c>
      <c r="C4099">
        <v>1.38E-2</v>
      </c>
    </row>
    <row r="4100" spans="1:3" x14ac:dyDescent="0.35">
      <c r="A4100">
        <v>71</v>
      </c>
      <c r="B4100">
        <v>1997</v>
      </c>
      <c r="C4100">
        <v>1.4800000000000001E-2</v>
      </c>
    </row>
    <row r="4101" spans="1:3" x14ac:dyDescent="0.35">
      <c r="A4101">
        <v>71</v>
      </c>
      <c r="B4101">
        <v>1998</v>
      </c>
      <c r="C4101">
        <v>1.6400000000000001E-2</v>
      </c>
    </row>
    <row r="4102" spans="1:3" x14ac:dyDescent="0.35">
      <c r="A4102">
        <v>71</v>
      </c>
      <c r="B4102">
        <v>1999</v>
      </c>
      <c r="C4102">
        <v>1.8599999999999998E-2</v>
      </c>
    </row>
    <row r="4103" spans="1:3" x14ac:dyDescent="0.35">
      <c r="A4103">
        <v>71</v>
      </c>
      <c r="B4103">
        <v>2000</v>
      </c>
      <c r="C4103">
        <v>2.1000000000000001E-2</v>
      </c>
    </row>
    <row r="4104" spans="1:3" x14ac:dyDescent="0.35">
      <c r="A4104">
        <v>71</v>
      </c>
      <c r="B4104">
        <v>2001</v>
      </c>
      <c r="C4104">
        <v>2.3400000000000001E-2</v>
      </c>
    </row>
    <row r="4105" spans="1:3" x14ac:dyDescent="0.35">
      <c r="A4105">
        <v>71</v>
      </c>
      <c r="B4105">
        <v>2002</v>
      </c>
      <c r="C4105">
        <v>2.5600000000000001E-2</v>
      </c>
    </row>
    <row r="4106" spans="1:3" x14ac:dyDescent="0.35">
      <c r="A4106">
        <v>71</v>
      </c>
      <c r="B4106">
        <v>2003</v>
      </c>
      <c r="C4106">
        <v>2.7199999999999998E-2</v>
      </c>
    </row>
    <row r="4107" spans="1:3" x14ac:dyDescent="0.35">
      <c r="A4107">
        <v>71</v>
      </c>
      <c r="B4107">
        <v>2004</v>
      </c>
      <c r="C4107">
        <v>2.81E-2</v>
      </c>
    </row>
    <row r="4108" spans="1:3" x14ac:dyDescent="0.35">
      <c r="A4108">
        <v>71</v>
      </c>
      <c r="B4108">
        <v>2005</v>
      </c>
      <c r="C4108">
        <v>2.8199999999999999E-2</v>
      </c>
    </row>
    <row r="4109" spans="1:3" x14ac:dyDescent="0.35">
      <c r="A4109">
        <v>71</v>
      </c>
      <c r="B4109">
        <v>2006</v>
      </c>
      <c r="C4109">
        <v>2.75E-2</v>
      </c>
    </row>
    <row r="4110" spans="1:3" x14ac:dyDescent="0.35">
      <c r="A4110">
        <v>71</v>
      </c>
      <c r="B4110">
        <v>2007</v>
      </c>
      <c r="C4110">
        <v>2.6100000000000002E-2</v>
      </c>
    </row>
    <row r="4111" spans="1:3" x14ac:dyDescent="0.35">
      <c r="A4111">
        <v>71</v>
      </c>
      <c r="B4111">
        <v>2008</v>
      </c>
      <c r="C4111">
        <v>2.41E-2</v>
      </c>
    </row>
    <row r="4112" spans="1:3" x14ac:dyDescent="0.35">
      <c r="A4112">
        <v>71</v>
      </c>
      <c r="B4112">
        <v>2009</v>
      </c>
      <c r="C4112">
        <v>2.1600000000000001E-2</v>
      </c>
    </row>
    <row r="4113" spans="1:3" x14ac:dyDescent="0.35">
      <c r="A4113">
        <v>71</v>
      </c>
      <c r="B4113">
        <v>2010</v>
      </c>
      <c r="C4113">
        <v>1.8700000000000001E-2</v>
      </c>
    </row>
    <row r="4114" spans="1:3" x14ac:dyDescent="0.35">
      <c r="A4114">
        <v>71</v>
      </c>
      <c r="B4114">
        <v>2011</v>
      </c>
      <c r="C4114">
        <v>1.5599999999999999E-2</v>
      </c>
    </row>
    <row r="4115" spans="1:3" x14ac:dyDescent="0.35">
      <c r="A4115">
        <v>71</v>
      </c>
      <c r="B4115">
        <v>2012</v>
      </c>
      <c r="C4115">
        <v>1.23E-2</v>
      </c>
    </row>
    <row r="4116" spans="1:3" x14ac:dyDescent="0.35">
      <c r="A4116">
        <v>71</v>
      </c>
      <c r="B4116">
        <v>2013</v>
      </c>
      <c r="C4116">
        <v>1.1900000000000001E-2</v>
      </c>
    </row>
    <row r="4117" spans="1:3" x14ac:dyDescent="0.35">
      <c r="A4117">
        <v>71</v>
      </c>
      <c r="B4117">
        <v>2014</v>
      </c>
      <c r="C4117">
        <v>1.1299999999999999E-2</v>
      </c>
    </row>
    <row r="4118" spans="1:3" x14ac:dyDescent="0.35">
      <c r="A4118">
        <v>71</v>
      </c>
      <c r="B4118">
        <v>2015</v>
      </c>
      <c r="C4118">
        <v>1.04E-2</v>
      </c>
    </row>
    <row r="4119" spans="1:3" x14ac:dyDescent="0.35">
      <c r="A4119">
        <v>71</v>
      </c>
      <c r="B4119">
        <v>2016</v>
      </c>
      <c r="C4119">
        <v>9.4999999999999998E-3</v>
      </c>
    </row>
    <row r="4120" spans="1:3" x14ac:dyDescent="0.35">
      <c r="A4120">
        <v>71</v>
      </c>
      <c r="B4120">
        <v>2017</v>
      </c>
      <c r="C4120">
        <v>8.6E-3</v>
      </c>
    </row>
    <row r="4121" spans="1:3" x14ac:dyDescent="0.35">
      <c r="A4121">
        <v>71</v>
      </c>
      <c r="B4121">
        <v>2018</v>
      </c>
      <c r="C4121">
        <v>7.7000000000000002E-3</v>
      </c>
    </row>
    <row r="4122" spans="1:3" x14ac:dyDescent="0.35">
      <c r="A4122">
        <v>71</v>
      </c>
      <c r="B4122">
        <v>2019</v>
      </c>
      <c r="C4122">
        <v>7.0000000000000001E-3</v>
      </c>
    </row>
    <row r="4123" spans="1:3" x14ac:dyDescent="0.35">
      <c r="A4123">
        <v>71</v>
      </c>
      <c r="B4123">
        <v>2020</v>
      </c>
      <c r="C4123">
        <v>6.4999999999999997E-3</v>
      </c>
    </row>
    <row r="4124" spans="1:3" x14ac:dyDescent="0.35">
      <c r="A4124">
        <v>71</v>
      </c>
      <c r="B4124">
        <v>2021</v>
      </c>
      <c r="C4124">
        <v>6.4000000000000003E-3</v>
      </c>
    </row>
    <row r="4125" spans="1:3" x14ac:dyDescent="0.35">
      <c r="A4125">
        <v>71</v>
      </c>
      <c r="B4125">
        <v>2022</v>
      </c>
      <c r="C4125">
        <v>6.4999999999999997E-3</v>
      </c>
    </row>
    <row r="4126" spans="1:3" x14ac:dyDescent="0.35">
      <c r="A4126">
        <v>71</v>
      </c>
      <c r="B4126">
        <v>2023</v>
      </c>
      <c r="C4126">
        <v>7.0000000000000001E-3</v>
      </c>
    </row>
    <row r="4127" spans="1:3" x14ac:dyDescent="0.35">
      <c r="A4127">
        <v>71</v>
      </c>
      <c r="B4127">
        <v>2024</v>
      </c>
      <c r="C4127">
        <v>7.4999999999999997E-3</v>
      </c>
    </row>
    <row r="4128" spans="1:3" x14ac:dyDescent="0.35">
      <c r="A4128">
        <v>71</v>
      </c>
      <c r="B4128">
        <v>2025</v>
      </c>
      <c r="C4128">
        <v>8.0999999999999996E-3</v>
      </c>
    </row>
    <row r="4129" spans="1:3" x14ac:dyDescent="0.35">
      <c r="A4129">
        <v>71</v>
      </c>
      <c r="B4129">
        <v>2026</v>
      </c>
      <c r="C4129">
        <v>8.6999999999999994E-3</v>
      </c>
    </row>
    <row r="4130" spans="1:3" x14ac:dyDescent="0.35">
      <c r="A4130">
        <v>71</v>
      </c>
      <c r="B4130">
        <v>2027</v>
      </c>
      <c r="C4130">
        <v>9.1999999999999998E-3</v>
      </c>
    </row>
    <row r="4131" spans="1:3" x14ac:dyDescent="0.35">
      <c r="A4131">
        <v>71</v>
      </c>
      <c r="B4131">
        <v>2028</v>
      </c>
      <c r="C4131">
        <v>9.5999999999999992E-3</v>
      </c>
    </row>
    <row r="4132" spans="1:3" x14ac:dyDescent="0.35">
      <c r="A4132">
        <v>71</v>
      </c>
      <c r="B4132">
        <v>2029</v>
      </c>
      <c r="C4132">
        <v>9.7999999999999997E-3</v>
      </c>
    </row>
    <row r="4133" spans="1:3" x14ac:dyDescent="0.35">
      <c r="A4133">
        <v>71</v>
      </c>
      <c r="B4133">
        <v>2030</v>
      </c>
      <c r="C4133">
        <v>0.01</v>
      </c>
    </row>
    <row r="4134" spans="1:3" x14ac:dyDescent="0.35">
      <c r="A4134">
        <v>71</v>
      </c>
      <c r="B4134">
        <v>2031</v>
      </c>
      <c r="C4134">
        <v>0.01</v>
      </c>
    </row>
    <row r="4135" spans="1:3" x14ac:dyDescent="0.35">
      <c r="A4135">
        <v>72</v>
      </c>
      <c r="B4135">
        <v>1951</v>
      </c>
      <c r="C4135">
        <v>9.5999999999999992E-3</v>
      </c>
    </row>
    <row r="4136" spans="1:3" x14ac:dyDescent="0.35">
      <c r="A4136">
        <v>72</v>
      </c>
      <c r="B4136">
        <v>1952</v>
      </c>
      <c r="C4136">
        <v>7.7000000000000002E-3</v>
      </c>
    </row>
    <row r="4137" spans="1:3" x14ac:dyDescent="0.35">
      <c r="A4137">
        <v>72</v>
      </c>
      <c r="B4137">
        <v>1953</v>
      </c>
      <c r="C4137">
        <v>5.7999999999999996E-3</v>
      </c>
    </row>
    <row r="4138" spans="1:3" x14ac:dyDescent="0.35">
      <c r="A4138">
        <v>72</v>
      </c>
      <c r="B4138">
        <v>1954</v>
      </c>
      <c r="C4138">
        <v>4.0000000000000001E-3</v>
      </c>
    </row>
    <row r="4139" spans="1:3" x14ac:dyDescent="0.35">
      <c r="A4139">
        <v>72</v>
      </c>
      <c r="B4139">
        <v>1955</v>
      </c>
      <c r="C4139">
        <v>2.3E-3</v>
      </c>
    </row>
    <row r="4140" spans="1:3" x14ac:dyDescent="0.35">
      <c r="A4140">
        <v>72</v>
      </c>
      <c r="B4140">
        <v>1956</v>
      </c>
      <c r="C4140">
        <v>8.0000000000000004E-4</v>
      </c>
    </row>
    <row r="4141" spans="1:3" x14ac:dyDescent="0.35">
      <c r="A4141">
        <v>72</v>
      </c>
      <c r="B4141">
        <v>1957</v>
      </c>
      <c r="C4141">
        <v>-2.9999999999999997E-4</v>
      </c>
    </row>
    <row r="4142" spans="1:3" x14ac:dyDescent="0.35">
      <c r="A4142">
        <v>72</v>
      </c>
      <c r="B4142">
        <v>1958</v>
      </c>
      <c r="C4142">
        <v>-1.1999999999999999E-3</v>
      </c>
    </row>
    <row r="4143" spans="1:3" x14ac:dyDescent="0.35">
      <c r="A4143">
        <v>72</v>
      </c>
      <c r="B4143">
        <v>1959</v>
      </c>
      <c r="C4143">
        <v>-1.8E-3</v>
      </c>
    </row>
    <row r="4144" spans="1:3" x14ac:dyDescent="0.35">
      <c r="A4144">
        <v>72</v>
      </c>
      <c r="B4144">
        <v>1960</v>
      </c>
      <c r="C4144">
        <v>-2.3E-3</v>
      </c>
    </row>
    <row r="4145" spans="1:3" x14ac:dyDescent="0.35">
      <c r="A4145">
        <v>72</v>
      </c>
      <c r="B4145">
        <v>1961</v>
      </c>
      <c r="C4145">
        <v>-2.5000000000000001E-3</v>
      </c>
    </row>
    <row r="4146" spans="1:3" x14ac:dyDescent="0.35">
      <c r="A4146">
        <v>72</v>
      </c>
      <c r="B4146">
        <v>1962</v>
      </c>
      <c r="C4146">
        <v>-2.7000000000000001E-3</v>
      </c>
    </row>
    <row r="4147" spans="1:3" x14ac:dyDescent="0.35">
      <c r="A4147">
        <v>72</v>
      </c>
      <c r="B4147">
        <v>1963</v>
      </c>
      <c r="C4147">
        <v>-2.5999999999999999E-3</v>
      </c>
    </row>
    <row r="4148" spans="1:3" x14ac:dyDescent="0.35">
      <c r="A4148">
        <v>72</v>
      </c>
      <c r="B4148">
        <v>1964</v>
      </c>
      <c r="C4148">
        <v>-2.2000000000000001E-3</v>
      </c>
    </row>
    <row r="4149" spans="1:3" x14ac:dyDescent="0.35">
      <c r="A4149">
        <v>72</v>
      </c>
      <c r="B4149">
        <v>1965</v>
      </c>
      <c r="C4149">
        <v>-1.6000000000000001E-3</v>
      </c>
    </row>
    <row r="4150" spans="1:3" x14ac:dyDescent="0.35">
      <c r="A4150">
        <v>72</v>
      </c>
      <c r="B4150">
        <v>1966</v>
      </c>
      <c r="C4150">
        <v>-5.0000000000000001E-4</v>
      </c>
    </row>
    <row r="4151" spans="1:3" x14ac:dyDescent="0.35">
      <c r="A4151">
        <v>72</v>
      </c>
      <c r="B4151">
        <v>1967</v>
      </c>
      <c r="C4151">
        <v>8.9999999999999998E-4</v>
      </c>
    </row>
    <row r="4152" spans="1:3" x14ac:dyDescent="0.35">
      <c r="A4152">
        <v>72</v>
      </c>
      <c r="B4152">
        <v>1968</v>
      </c>
      <c r="C4152">
        <v>2.8E-3</v>
      </c>
    </row>
    <row r="4153" spans="1:3" x14ac:dyDescent="0.35">
      <c r="A4153">
        <v>72</v>
      </c>
      <c r="B4153">
        <v>1969</v>
      </c>
      <c r="C4153">
        <v>4.8999999999999998E-3</v>
      </c>
    </row>
    <row r="4154" spans="1:3" x14ac:dyDescent="0.35">
      <c r="A4154">
        <v>72</v>
      </c>
      <c r="B4154">
        <v>1970</v>
      </c>
      <c r="C4154">
        <v>7.1000000000000004E-3</v>
      </c>
    </row>
    <row r="4155" spans="1:3" x14ac:dyDescent="0.35">
      <c r="A4155">
        <v>72</v>
      </c>
      <c r="B4155">
        <v>1971</v>
      </c>
      <c r="C4155">
        <v>9.4000000000000004E-3</v>
      </c>
    </row>
    <row r="4156" spans="1:3" x14ac:dyDescent="0.35">
      <c r="A4156">
        <v>72</v>
      </c>
      <c r="B4156">
        <v>1972</v>
      </c>
      <c r="C4156">
        <v>1.15E-2</v>
      </c>
    </row>
    <row r="4157" spans="1:3" x14ac:dyDescent="0.35">
      <c r="A4157">
        <v>72</v>
      </c>
      <c r="B4157">
        <v>1973</v>
      </c>
      <c r="C4157">
        <v>1.3299999999999999E-2</v>
      </c>
    </row>
    <row r="4158" spans="1:3" x14ac:dyDescent="0.35">
      <c r="A4158">
        <v>72</v>
      </c>
      <c r="B4158">
        <v>1974</v>
      </c>
      <c r="C4158">
        <v>1.46E-2</v>
      </c>
    </row>
    <row r="4159" spans="1:3" x14ac:dyDescent="0.35">
      <c r="A4159">
        <v>72</v>
      </c>
      <c r="B4159">
        <v>1975</v>
      </c>
      <c r="C4159">
        <v>1.52E-2</v>
      </c>
    </row>
    <row r="4160" spans="1:3" x14ac:dyDescent="0.35">
      <c r="A4160">
        <v>72</v>
      </c>
      <c r="B4160">
        <v>1976</v>
      </c>
      <c r="C4160">
        <v>1.5100000000000001E-2</v>
      </c>
    </row>
    <row r="4161" spans="1:3" x14ac:dyDescent="0.35">
      <c r="A4161">
        <v>72</v>
      </c>
      <c r="B4161">
        <v>1977</v>
      </c>
      <c r="C4161">
        <v>1.4500000000000001E-2</v>
      </c>
    </row>
    <row r="4162" spans="1:3" x14ac:dyDescent="0.35">
      <c r="A4162">
        <v>72</v>
      </c>
      <c r="B4162">
        <v>1978</v>
      </c>
      <c r="C4162">
        <v>1.3599999999999999E-2</v>
      </c>
    </row>
    <row r="4163" spans="1:3" x14ac:dyDescent="0.35">
      <c r="A4163">
        <v>72</v>
      </c>
      <c r="B4163">
        <v>1979</v>
      </c>
      <c r="C4163">
        <v>1.2500000000000001E-2</v>
      </c>
    </row>
    <row r="4164" spans="1:3" x14ac:dyDescent="0.35">
      <c r="A4164">
        <v>72</v>
      </c>
      <c r="B4164">
        <v>1980</v>
      </c>
      <c r="C4164">
        <v>1.1599999999999999E-2</v>
      </c>
    </row>
    <row r="4165" spans="1:3" x14ac:dyDescent="0.35">
      <c r="A4165">
        <v>72</v>
      </c>
      <c r="B4165">
        <v>1981</v>
      </c>
      <c r="C4165">
        <v>1.0999999999999999E-2</v>
      </c>
    </row>
    <row r="4166" spans="1:3" x14ac:dyDescent="0.35">
      <c r="A4166">
        <v>72</v>
      </c>
      <c r="B4166">
        <v>1982</v>
      </c>
      <c r="C4166">
        <v>1.0699999999999999E-2</v>
      </c>
    </row>
    <row r="4167" spans="1:3" x14ac:dyDescent="0.35">
      <c r="A4167">
        <v>72</v>
      </c>
      <c r="B4167">
        <v>1983</v>
      </c>
      <c r="C4167">
        <v>1.0999999999999999E-2</v>
      </c>
    </row>
    <row r="4168" spans="1:3" x14ac:dyDescent="0.35">
      <c r="A4168">
        <v>72</v>
      </c>
      <c r="B4168">
        <v>1984</v>
      </c>
      <c r="C4168">
        <v>1.1900000000000001E-2</v>
      </c>
    </row>
    <row r="4169" spans="1:3" x14ac:dyDescent="0.35">
      <c r="A4169">
        <v>72</v>
      </c>
      <c r="B4169">
        <v>1985</v>
      </c>
      <c r="C4169">
        <v>1.3100000000000001E-2</v>
      </c>
    </row>
    <row r="4170" spans="1:3" x14ac:dyDescent="0.35">
      <c r="A4170">
        <v>72</v>
      </c>
      <c r="B4170">
        <v>1986</v>
      </c>
      <c r="C4170">
        <v>1.46E-2</v>
      </c>
    </row>
    <row r="4171" spans="1:3" x14ac:dyDescent="0.35">
      <c r="A4171">
        <v>72</v>
      </c>
      <c r="B4171">
        <v>1987</v>
      </c>
      <c r="C4171">
        <v>1.61E-2</v>
      </c>
    </row>
    <row r="4172" spans="1:3" x14ac:dyDescent="0.35">
      <c r="A4172">
        <v>72</v>
      </c>
      <c r="B4172">
        <v>1988</v>
      </c>
      <c r="C4172">
        <v>1.72E-2</v>
      </c>
    </row>
    <row r="4173" spans="1:3" x14ac:dyDescent="0.35">
      <c r="A4173">
        <v>72</v>
      </c>
      <c r="B4173">
        <v>1989</v>
      </c>
      <c r="C4173">
        <v>1.78E-2</v>
      </c>
    </row>
    <row r="4174" spans="1:3" x14ac:dyDescent="0.35">
      <c r="A4174">
        <v>72</v>
      </c>
      <c r="B4174">
        <v>1990</v>
      </c>
      <c r="C4174">
        <v>1.7600000000000001E-2</v>
      </c>
    </row>
    <row r="4175" spans="1:3" x14ac:dyDescent="0.35">
      <c r="A4175">
        <v>72</v>
      </c>
      <c r="B4175">
        <v>1991</v>
      </c>
      <c r="C4175">
        <v>1.6899999999999998E-2</v>
      </c>
    </row>
    <row r="4176" spans="1:3" x14ac:dyDescent="0.35">
      <c r="A4176">
        <v>72</v>
      </c>
      <c r="B4176">
        <v>1992</v>
      </c>
      <c r="C4176">
        <v>1.5800000000000002E-2</v>
      </c>
    </row>
    <row r="4177" spans="1:3" x14ac:dyDescent="0.35">
      <c r="A4177">
        <v>72</v>
      </c>
      <c r="B4177">
        <v>1993</v>
      </c>
      <c r="C4177">
        <v>1.46E-2</v>
      </c>
    </row>
    <row r="4178" spans="1:3" x14ac:dyDescent="0.35">
      <c r="A4178">
        <v>72</v>
      </c>
      <c r="B4178">
        <v>1994</v>
      </c>
      <c r="C4178">
        <v>1.37E-2</v>
      </c>
    </row>
    <row r="4179" spans="1:3" x14ac:dyDescent="0.35">
      <c r="A4179">
        <v>72</v>
      </c>
      <c r="B4179">
        <v>1995</v>
      </c>
      <c r="C4179">
        <v>1.3299999999999999E-2</v>
      </c>
    </row>
    <row r="4180" spans="1:3" x14ac:dyDescent="0.35">
      <c r="A4180">
        <v>72</v>
      </c>
      <c r="B4180">
        <v>1996</v>
      </c>
      <c r="C4180">
        <v>1.34E-2</v>
      </c>
    </row>
    <row r="4181" spans="1:3" x14ac:dyDescent="0.35">
      <c r="A4181">
        <v>72</v>
      </c>
      <c r="B4181">
        <v>1997</v>
      </c>
      <c r="C4181">
        <v>1.43E-2</v>
      </c>
    </row>
    <row r="4182" spans="1:3" x14ac:dyDescent="0.35">
      <c r="A4182">
        <v>72</v>
      </c>
      <c r="B4182">
        <v>1998</v>
      </c>
      <c r="C4182">
        <v>1.5800000000000002E-2</v>
      </c>
    </row>
    <row r="4183" spans="1:3" x14ac:dyDescent="0.35">
      <c r="A4183">
        <v>72</v>
      </c>
      <c r="B4183">
        <v>1999</v>
      </c>
      <c r="C4183">
        <v>1.78E-2</v>
      </c>
    </row>
    <row r="4184" spans="1:3" x14ac:dyDescent="0.35">
      <c r="A4184">
        <v>72</v>
      </c>
      <c r="B4184">
        <v>2000</v>
      </c>
      <c r="C4184">
        <v>2.0199999999999999E-2</v>
      </c>
    </row>
    <row r="4185" spans="1:3" x14ac:dyDescent="0.35">
      <c r="A4185">
        <v>72</v>
      </c>
      <c r="B4185">
        <v>2001</v>
      </c>
      <c r="C4185">
        <v>2.2700000000000001E-2</v>
      </c>
    </row>
    <row r="4186" spans="1:3" x14ac:dyDescent="0.35">
      <c r="A4186">
        <v>72</v>
      </c>
      <c r="B4186">
        <v>2002</v>
      </c>
      <c r="C4186">
        <v>2.4899999999999999E-2</v>
      </c>
    </row>
    <row r="4187" spans="1:3" x14ac:dyDescent="0.35">
      <c r="A4187">
        <v>72</v>
      </c>
      <c r="B4187">
        <v>2003</v>
      </c>
      <c r="C4187">
        <v>2.6700000000000002E-2</v>
      </c>
    </row>
    <row r="4188" spans="1:3" x14ac:dyDescent="0.35">
      <c r="A4188">
        <v>72</v>
      </c>
      <c r="B4188">
        <v>2004</v>
      </c>
      <c r="C4188">
        <v>2.7699999999999999E-2</v>
      </c>
    </row>
    <row r="4189" spans="1:3" x14ac:dyDescent="0.35">
      <c r="A4189">
        <v>72</v>
      </c>
      <c r="B4189">
        <v>2005</v>
      </c>
      <c r="C4189">
        <v>2.7900000000000001E-2</v>
      </c>
    </row>
    <row r="4190" spans="1:3" x14ac:dyDescent="0.35">
      <c r="A4190">
        <v>72</v>
      </c>
      <c r="B4190">
        <v>2006</v>
      </c>
      <c r="C4190">
        <v>2.7400000000000001E-2</v>
      </c>
    </row>
    <row r="4191" spans="1:3" x14ac:dyDescent="0.35">
      <c r="A4191">
        <v>72</v>
      </c>
      <c r="B4191">
        <v>2007</v>
      </c>
      <c r="C4191">
        <v>2.6100000000000002E-2</v>
      </c>
    </row>
    <row r="4192" spans="1:3" x14ac:dyDescent="0.35">
      <c r="A4192">
        <v>72</v>
      </c>
      <c r="B4192">
        <v>2008</v>
      </c>
      <c r="C4192">
        <v>2.4199999999999999E-2</v>
      </c>
    </row>
    <row r="4193" spans="1:3" x14ac:dyDescent="0.35">
      <c r="A4193">
        <v>72</v>
      </c>
      <c r="B4193">
        <v>2009</v>
      </c>
      <c r="C4193">
        <v>2.18E-2</v>
      </c>
    </row>
    <row r="4194" spans="1:3" x14ac:dyDescent="0.35">
      <c r="A4194">
        <v>72</v>
      </c>
      <c r="B4194">
        <v>2010</v>
      </c>
      <c r="C4194">
        <v>1.9099999999999999E-2</v>
      </c>
    </row>
    <row r="4195" spans="1:3" x14ac:dyDescent="0.35">
      <c r="A4195">
        <v>72</v>
      </c>
      <c r="B4195">
        <v>2011</v>
      </c>
      <c r="C4195">
        <v>1.6E-2</v>
      </c>
    </row>
    <row r="4196" spans="1:3" x14ac:dyDescent="0.35">
      <c r="A4196">
        <v>72</v>
      </c>
      <c r="B4196">
        <v>2012</v>
      </c>
      <c r="C4196">
        <v>1.2800000000000001E-2</v>
      </c>
    </row>
    <row r="4197" spans="1:3" x14ac:dyDescent="0.35">
      <c r="A4197">
        <v>72</v>
      </c>
      <c r="B4197">
        <v>2013</v>
      </c>
      <c r="C4197">
        <v>1.2500000000000001E-2</v>
      </c>
    </row>
    <row r="4198" spans="1:3" x14ac:dyDescent="0.35">
      <c r="A4198">
        <v>72</v>
      </c>
      <c r="B4198">
        <v>2014</v>
      </c>
      <c r="C4198">
        <v>1.2E-2</v>
      </c>
    </row>
    <row r="4199" spans="1:3" x14ac:dyDescent="0.35">
      <c r="A4199">
        <v>72</v>
      </c>
      <c r="B4199">
        <v>2015</v>
      </c>
      <c r="C4199">
        <v>1.1299999999999999E-2</v>
      </c>
    </row>
    <row r="4200" spans="1:3" x14ac:dyDescent="0.35">
      <c r="A4200">
        <v>72</v>
      </c>
      <c r="B4200">
        <v>2016</v>
      </c>
      <c r="C4200">
        <v>1.0500000000000001E-2</v>
      </c>
    </row>
    <row r="4201" spans="1:3" x14ac:dyDescent="0.35">
      <c r="A4201">
        <v>72</v>
      </c>
      <c r="B4201">
        <v>2017</v>
      </c>
      <c r="C4201">
        <v>9.5999999999999992E-3</v>
      </c>
    </row>
    <row r="4202" spans="1:3" x14ac:dyDescent="0.35">
      <c r="A4202">
        <v>72</v>
      </c>
      <c r="B4202">
        <v>2018</v>
      </c>
      <c r="C4202">
        <v>8.6999999999999994E-3</v>
      </c>
    </row>
    <row r="4203" spans="1:3" x14ac:dyDescent="0.35">
      <c r="A4203">
        <v>72</v>
      </c>
      <c r="B4203">
        <v>2019</v>
      </c>
      <c r="C4203">
        <v>7.9000000000000008E-3</v>
      </c>
    </row>
    <row r="4204" spans="1:3" x14ac:dyDescent="0.35">
      <c r="A4204">
        <v>72</v>
      </c>
      <c r="B4204">
        <v>2020</v>
      </c>
      <c r="C4204">
        <v>7.1999999999999998E-3</v>
      </c>
    </row>
    <row r="4205" spans="1:3" x14ac:dyDescent="0.35">
      <c r="A4205">
        <v>72</v>
      </c>
      <c r="B4205">
        <v>2021</v>
      </c>
      <c r="C4205">
        <v>6.8999999999999999E-3</v>
      </c>
    </row>
    <row r="4206" spans="1:3" x14ac:dyDescent="0.35">
      <c r="A4206">
        <v>72</v>
      </c>
      <c r="B4206">
        <v>2022</v>
      </c>
      <c r="C4206">
        <v>6.7999999999999996E-3</v>
      </c>
    </row>
    <row r="4207" spans="1:3" x14ac:dyDescent="0.35">
      <c r="A4207">
        <v>72</v>
      </c>
      <c r="B4207">
        <v>2023</v>
      </c>
      <c r="C4207">
        <v>7.1000000000000004E-3</v>
      </c>
    </row>
    <row r="4208" spans="1:3" x14ac:dyDescent="0.35">
      <c r="A4208">
        <v>72</v>
      </c>
      <c r="B4208">
        <v>2024</v>
      </c>
      <c r="C4208">
        <v>7.4999999999999997E-3</v>
      </c>
    </row>
    <row r="4209" spans="1:3" x14ac:dyDescent="0.35">
      <c r="A4209">
        <v>72</v>
      </c>
      <c r="B4209">
        <v>2025</v>
      </c>
      <c r="C4209">
        <v>8.0000000000000002E-3</v>
      </c>
    </row>
    <row r="4210" spans="1:3" x14ac:dyDescent="0.35">
      <c r="A4210">
        <v>72</v>
      </c>
      <c r="B4210">
        <v>2026</v>
      </c>
      <c r="C4210">
        <v>8.6E-3</v>
      </c>
    </row>
    <row r="4211" spans="1:3" x14ac:dyDescent="0.35">
      <c r="A4211">
        <v>72</v>
      </c>
      <c r="B4211">
        <v>2027</v>
      </c>
      <c r="C4211">
        <v>9.1000000000000004E-3</v>
      </c>
    </row>
    <row r="4212" spans="1:3" x14ac:dyDescent="0.35">
      <c r="A4212">
        <v>72</v>
      </c>
      <c r="B4212">
        <v>2028</v>
      </c>
      <c r="C4212">
        <v>9.4999999999999998E-3</v>
      </c>
    </row>
    <row r="4213" spans="1:3" x14ac:dyDescent="0.35">
      <c r="A4213">
        <v>72</v>
      </c>
      <c r="B4213">
        <v>2029</v>
      </c>
      <c r="C4213">
        <v>9.7999999999999997E-3</v>
      </c>
    </row>
    <row r="4214" spans="1:3" x14ac:dyDescent="0.35">
      <c r="A4214">
        <v>72</v>
      </c>
      <c r="B4214">
        <v>2030</v>
      </c>
      <c r="C4214">
        <v>9.9000000000000008E-3</v>
      </c>
    </row>
    <row r="4215" spans="1:3" x14ac:dyDescent="0.35">
      <c r="A4215">
        <v>72</v>
      </c>
      <c r="B4215">
        <v>2031</v>
      </c>
      <c r="C4215">
        <v>0.01</v>
      </c>
    </row>
    <row r="4216" spans="1:3" x14ac:dyDescent="0.35">
      <c r="A4216">
        <v>73</v>
      </c>
      <c r="B4216">
        <v>1951</v>
      </c>
      <c r="C4216">
        <v>1.01E-2</v>
      </c>
    </row>
    <row r="4217" spans="1:3" x14ac:dyDescent="0.35">
      <c r="A4217">
        <v>73</v>
      </c>
      <c r="B4217">
        <v>1952</v>
      </c>
      <c r="C4217">
        <v>8.3000000000000001E-3</v>
      </c>
    </row>
    <row r="4218" spans="1:3" x14ac:dyDescent="0.35">
      <c r="A4218">
        <v>73</v>
      </c>
      <c r="B4218">
        <v>1953</v>
      </c>
      <c r="C4218">
        <v>6.4000000000000003E-3</v>
      </c>
    </row>
    <row r="4219" spans="1:3" x14ac:dyDescent="0.35">
      <c r="A4219">
        <v>73</v>
      </c>
      <c r="B4219">
        <v>1954</v>
      </c>
      <c r="C4219">
        <v>4.5999999999999999E-3</v>
      </c>
    </row>
    <row r="4220" spans="1:3" x14ac:dyDescent="0.35">
      <c r="A4220">
        <v>73</v>
      </c>
      <c r="B4220">
        <v>1955</v>
      </c>
      <c r="C4220">
        <v>2.8999999999999998E-3</v>
      </c>
    </row>
    <row r="4221" spans="1:3" x14ac:dyDescent="0.35">
      <c r="A4221">
        <v>73</v>
      </c>
      <c r="B4221">
        <v>1956</v>
      </c>
      <c r="C4221">
        <v>1.4E-3</v>
      </c>
    </row>
    <row r="4222" spans="1:3" x14ac:dyDescent="0.35">
      <c r="A4222">
        <v>73</v>
      </c>
      <c r="B4222">
        <v>1957</v>
      </c>
      <c r="C4222">
        <v>2.0000000000000001E-4</v>
      </c>
    </row>
    <row r="4223" spans="1:3" x14ac:dyDescent="0.35">
      <c r="A4223">
        <v>73</v>
      </c>
      <c r="B4223">
        <v>1958</v>
      </c>
      <c r="C4223">
        <v>-6.9999999999999999E-4</v>
      </c>
    </row>
    <row r="4224" spans="1:3" x14ac:dyDescent="0.35">
      <c r="A4224">
        <v>73</v>
      </c>
      <c r="B4224">
        <v>1959</v>
      </c>
      <c r="C4224">
        <v>-1.4E-3</v>
      </c>
    </row>
    <row r="4225" spans="1:3" x14ac:dyDescent="0.35">
      <c r="A4225">
        <v>73</v>
      </c>
      <c r="B4225">
        <v>1960</v>
      </c>
      <c r="C4225">
        <v>-2E-3</v>
      </c>
    </row>
    <row r="4226" spans="1:3" x14ac:dyDescent="0.35">
      <c r="A4226">
        <v>73</v>
      </c>
      <c r="B4226">
        <v>1961</v>
      </c>
      <c r="C4226">
        <v>-2.3999999999999998E-3</v>
      </c>
    </row>
    <row r="4227" spans="1:3" x14ac:dyDescent="0.35">
      <c r="A4227">
        <v>73</v>
      </c>
      <c r="B4227">
        <v>1962</v>
      </c>
      <c r="C4227">
        <v>-2.5999999999999999E-3</v>
      </c>
    </row>
    <row r="4228" spans="1:3" x14ac:dyDescent="0.35">
      <c r="A4228">
        <v>73</v>
      </c>
      <c r="B4228">
        <v>1963</v>
      </c>
      <c r="C4228">
        <v>-2.7000000000000001E-3</v>
      </c>
    </row>
    <row r="4229" spans="1:3" x14ac:dyDescent="0.35">
      <c r="A4229">
        <v>73</v>
      </c>
      <c r="B4229">
        <v>1964</v>
      </c>
      <c r="C4229">
        <v>-2.3999999999999998E-3</v>
      </c>
    </row>
    <row r="4230" spans="1:3" x14ac:dyDescent="0.35">
      <c r="A4230">
        <v>73</v>
      </c>
      <c r="B4230">
        <v>1965</v>
      </c>
      <c r="C4230">
        <v>-1.8E-3</v>
      </c>
    </row>
    <row r="4231" spans="1:3" x14ac:dyDescent="0.35">
      <c r="A4231">
        <v>73</v>
      </c>
      <c r="B4231">
        <v>1966</v>
      </c>
      <c r="C4231">
        <v>-6.9999999999999999E-4</v>
      </c>
    </row>
    <row r="4232" spans="1:3" x14ac:dyDescent="0.35">
      <c r="A4232">
        <v>73</v>
      </c>
      <c r="B4232">
        <v>1967</v>
      </c>
      <c r="C4232">
        <v>6.9999999999999999E-4</v>
      </c>
    </row>
    <row r="4233" spans="1:3" x14ac:dyDescent="0.35">
      <c r="A4233">
        <v>73</v>
      </c>
      <c r="B4233">
        <v>1968</v>
      </c>
      <c r="C4233">
        <v>2.5999999999999999E-3</v>
      </c>
    </row>
    <row r="4234" spans="1:3" x14ac:dyDescent="0.35">
      <c r="A4234">
        <v>73</v>
      </c>
      <c r="B4234">
        <v>1969</v>
      </c>
      <c r="C4234">
        <v>4.7000000000000002E-3</v>
      </c>
    </row>
    <row r="4235" spans="1:3" x14ac:dyDescent="0.35">
      <c r="A4235">
        <v>73</v>
      </c>
      <c r="B4235">
        <v>1970</v>
      </c>
      <c r="C4235">
        <v>7.0000000000000001E-3</v>
      </c>
    </row>
    <row r="4236" spans="1:3" x14ac:dyDescent="0.35">
      <c r="A4236">
        <v>73</v>
      </c>
      <c r="B4236">
        <v>1971</v>
      </c>
      <c r="C4236">
        <v>9.1999999999999998E-3</v>
      </c>
    </row>
    <row r="4237" spans="1:3" x14ac:dyDescent="0.35">
      <c r="A4237">
        <v>73</v>
      </c>
      <c r="B4237">
        <v>1972</v>
      </c>
      <c r="C4237">
        <v>1.1299999999999999E-2</v>
      </c>
    </row>
    <row r="4238" spans="1:3" x14ac:dyDescent="0.35">
      <c r="A4238">
        <v>73</v>
      </c>
      <c r="B4238">
        <v>1973</v>
      </c>
      <c r="C4238">
        <v>1.2999999999999999E-2</v>
      </c>
    </row>
    <row r="4239" spans="1:3" x14ac:dyDescent="0.35">
      <c r="A4239">
        <v>73</v>
      </c>
      <c r="B4239">
        <v>1974</v>
      </c>
      <c r="C4239">
        <v>1.43E-2</v>
      </c>
    </row>
    <row r="4240" spans="1:3" x14ac:dyDescent="0.35">
      <c r="A4240">
        <v>73</v>
      </c>
      <c r="B4240">
        <v>1975</v>
      </c>
      <c r="C4240">
        <v>1.4800000000000001E-2</v>
      </c>
    </row>
    <row r="4241" spans="1:3" x14ac:dyDescent="0.35">
      <c r="A4241">
        <v>73</v>
      </c>
      <c r="B4241">
        <v>1976</v>
      </c>
      <c r="C4241">
        <v>1.47E-2</v>
      </c>
    </row>
    <row r="4242" spans="1:3" x14ac:dyDescent="0.35">
      <c r="A4242">
        <v>73</v>
      </c>
      <c r="B4242">
        <v>1977</v>
      </c>
      <c r="C4242">
        <v>1.4E-2</v>
      </c>
    </row>
    <row r="4243" spans="1:3" x14ac:dyDescent="0.35">
      <c r="A4243">
        <v>73</v>
      </c>
      <c r="B4243">
        <v>1978</v>
      </c>
      <c r="C4243">
        <v>1.2999999999999999E-2</v>
      </c>
    </row>
    <row r="4244" spans="1:3" x14ac:dyDescent="0.35">
      <c r="A4244">
        <v>73</v>
      </c>
      <c r="B4244">
        <v>1979</v>
      </c>
      <c r="C4244">
        <v>1.18E-2</v>
      </c>
    </row>
    <row r="4245" spans="1:3" x14ac:dyDescent="0.35">
      <c r="A4245">
        <v>73</v>
      </c>
      <c r="B4245">
        <v>1980</v>
      </c>
      <c r="C4245">
        <v>1.0800000000000001E-2</v>
      </c>
    </row>
    <row r="4246" spans="1:3" x14ac:dyDescent="0.35">
      <c r="A4246">
        <v>73</v>
      </c>
      <c r="B4246">
        <v>1981</v>
      </c>
      <c r="C4246">
        <v>1.01E-2</v>
      </c>
    </row>
    <row r="4247" spans="1:3" x14ac:dyDescent="0.35">
      <c r="A4247">
        <v>73</v>
      </c>
      <c r="B4247">
        <v>1982</v>
      </c>
      <c r="C4247">
        <v>9.7999999999999997E-3</v>
      </c>
    </row>
    <row r="4248" spans="1:3" x14ac:dyDescent="0.35">
      <c r="A4248">
        <v>73</v>
      </c>
      <c r="B4248">
        <v>1983</v>
      </c>
      <c r="C4248">
        <v>1.01E-2</v>
      </c>
    </row>
    <row r="4249" spans="1:3" x14ac:dyDescent="0.35">
      <c r="A4249">
        <v>73</v>
      </c>
      <c r="B4249">
        <v>1984</v>
      </c>
      <c r="C4249">
        <v>1.09E-2</v>
      </c>
    </row>
    <row r="4250" spans="1:3" x14ac:dyDescent="0.35">
      <c r="A4250">
        <v>73</v>
      </c>
      <c r="B4250">
        <v>1985</v>
      </c>
      <c r="C4250">
        <v>1.23E-2</v>
      </c>
    </row>
    <row r="4251" spans="1:3" x14ac:dyDescent="0.35">
      <c r="A4251">
        <v>73</v>
      </c>
      <c r="B4251">
        <v>1986</v>
      </c>
      <c r="C4251">
        <v>1.3899999999999999E-2</v>
      </c>
    </row>
    <row r="4252" spans="1:3" x14ac:dyDescent="0.35">
      <c r="A4252">
        <v>73</v>
      </c>
      <c r="B4252">
        <v>1987</v>
      </c>
      <c r="C4252">
        <v>1.54E-2</v>
      </c>
    </row>
    <row r="4253" spans="1:3" x14ac:dyDescent="0.35">
      <c r="A4253">
        <v>73</v>
      </c>
      <c r="B4253">
        <v>1988</v>
      </c>
      <c r="C4253">
        <v>1.67E-2</v>
      </c>
    </row>
    <row r="4254" spans="1:3" x14ac:dyDescent="0.35">
      <c r="A4254">
        <v>73</v>
      </c>
      <c r="B4254">
        <v>1989</v>
      </c>
      <c r="C4254">
        <v>1.7399999999999999E-2</v>
      </c>
    </row>
    <row r="4255" spans="1:3" x14ac:dyDescent="0.35">
      <c r="A4255">
        <v>73</v>
      </c>
      <c r="B4255">
        <v>1990</v>
      </c>
      <c r="C4255">
        <v>1.7399999999999999E-2</v>
      </c>
    </row>
    <row r="4256" spans="1:3" x14ac:dyDescent="0.35">
      <c r="A4256">
        <v>73</v>
      </c>
      <c r="B4256">
        <v>1991</v>
      </c>
      <c r="C4256">
        <v>1.6799999999999999E-2</v>
      </c>
    </row>
    <row r="4257" spans="1:3" x14ac:dyDescent="0.35">
      <c r="A4257">
        <v>73</v>
      </c>
      <c r="B4257">
        <v>1992</v>
      </c>
      <c r="C4257">
        <v>1.5800000000000002E-2</v>
      </c>
    </row>
    <row r="4258" spans="1:3" x14ac:dyDescent="0.35">
      <c r="A4258">
        <v>73</v>
      </c>
      <c r="B4258">
        <v>1993</v>
      </c>
      <c r="C4258">
        <v>1.46E-2</v>
      </c>
    </row>
    <row r="4259" spans="1:3" x14ac:dyDescent="0.35">
      <c r="A4259">
        <v>73</v>
      </c>
      <c r="B4259">
        <v>1994</v>
      </c>
      <c r="C4259">
        <v>1.37E-2</v>
      </c>
    </row>
    <row r="4260" spans="1:3" x14ac:dyDescent="0.35">
      <c r="A4260">
        <v>73</v>
      </c>
      <c r="B4260">
        <v>1995</v>
      </c>
      <c r="C4260">
        <v>1.3100000000000001E-2</v>
      </c>
    </row>
    <row r="4261" spans="1:3" x14ac:dyDescent="0.35">
      <c r="A4261">
        <v>73</v>
      </c>
      <c r="B4261">
        <v>1996</v>
      </c>
      <c r="C4261">
        <v>1.32E-2</v>
      </c>
    </row>
    <row r="4262" spans="1:3" x14ac:dyDescent="0.35">
      <c r="A4262">
        <v>73</v>
      </c>
      <c r="B4262">
        <v>1997</v>
      </c>
      <c r="C4262">
        <v>1.3899999999999999E-2</v>
      </c>
    </row>
    <row r="4263" spans="1:3" x14ac:dyDescent="0.35">
      <c r="A4263">
        <v>73</v>
      </c>
      <c r="B4263">
        <v>1998</v>
      </c>
      <c r="C4263">
        <v>1.52E-2</v>
      </c>
    </row>
    <row r="4264" spans="1:3" x14ac:dyDescent="0.35">
      <c r="A4264">
        <v>73</v>
      </c>
      <c r="B4264">
        <v>1999</v>
      </c>
      <c r="C4264">
        <v>1.7100000000000001E-2</v>
      </c>
    </row>
    <row r="4265" spans="1:3" x14ac:dyDescent="0.35">
      <c r="A4265">
        <v>73</v>
      </c>
      <c r="B4265">
        <v>2000</v>
      </c>
      <c r="C4265">
        <v>1.95E-2</v>
      </c>
    </row>
    <row r="4266" spans="1:3" x14ac:dyDescent="0.35">
      <c r="A4266">
        <v>73</v>
      </c>
      <c r="B4266">
        <v>2001</v>
      </c>
      <c r="C4266">
        <v>2.1899999999999999E-2</v>
      </c>
    </row>
    <row r="4267" spans="1:3" x14ac:dyDescent="0.35">
      <c r="A4267">
        <v>73</v>
      </c>
      <c r="B4267">
        <v>2002</v>
      </c>
      <c r="C4267">
        <v>2.4199999999999999E-2</v>
      </c>
    </row>
    <row r="4268" spans="1:3" x14ac:dyDescent="0.35">
      <c r="A4268">
        <v>73</v>
      </c>
      <c r="B4268">
        <v>2003</v>
      </c>
      <c r="C4268">
        <v>2.5999999999999999E-2</v>
      </c>
    </row>
    <row r="4269" spans="1:3" x14ac:dyDescent="0.35">
      <c r="A4269">
        <v>73</v>
      </c>
      <c r="B4269">
        <v>2004</v>
      </c>
      <c r="C4269">
        <v>2.7199999999999998E-2</v>
      </c>
    </row>
    <row r="4270" spans="1:3" x14ac:dyDescent="0.35">
      <c r="A4270">
        <v>73</v>
      </c>
      <c r="B4270">
        <v>2005</v>
      </c>
      <c r="C4270">
        <v>2.76E-2</v>
      </c>
    </row>
    <row r="4271" spans="1:3" x14ac:dyDescent="0.35">
      <c r="A4271">
        <v>73</v>
      </c>
      <c r="B4271">
        <v>2006</v>
      </c>
      <c r="C4271">
        <v>2.7199999999999998E-2</v>
      </c>
    </row>
    <row r="4272" spans="1:3" x14ac:dyDescent="0.35">
      <c r="A4272">
        <v>73</v>
      </c>
      <c r="B4272">
        <v>2007</v>
      </c>
      <c r="C4272">
        <v>2.5999999999999999E-2</v>
      </c>
    </row>
    <row r="4273" spans="1:3" x14ac:dyDescent="0.35">
      <c r="A4273">
        <v>73</v>
      </c>
      <c r="B4273">
        <v>2008</v>
      </c>
      <c r="C4273">
        <v>2.4199999999999999E-2</v>
      </c>
    </row>
    <row r="4274" spans="1:3" x14ac:dyDescent="0.35">
      <c r="A4274">
        <v>73</v>
      </c>
      <c r="B4274">
        <v>2009</v>
      </c>
      <c r="C4274">
        <v>2.1899999999999999E-2</v>
      </c>
    </row>
    <row r="4275" spans="1:3" x14ac:dyDescent="0.35">
      <c r="A4275">
        <v>73</v>
      </c>
      <c r="B4275">
        <v>2010</v>
      </c>
      <c r="C4275">
        <v>1.9199999999999998E-2</v>
      </c>
    </row>
    <row r="4276" spans="1:3" x14ac:dyDescent="0.35">
      <c r="A4276">
        <v>73</v>
      </c>
      <c r="B4276">
        <v>2011</v>
      </c>
      <c r="C4276">
        <v>1.6299999999999999E-2</v>
      </c>
    </row>
    <row r="4277" spans="1:3" x14ac:dyDescent="0.35">
      <c r="A4277">
        <v>73</v>
      </c>
      <c r="B4277">
        <v>2012</v>
      </c>
      <c r="C4277">
        <v>1.32E-2</v>
      </c>
    </row>
    <row r="4278" spans="1:3" x14ac:dyDescent="0.35">
      <c r="A4278">
        <v>73</v>
      </c>
      <c r="B4278">
        <v>2013</v>
      </c>
      <c r="C4278">
        <v>1.29E-2</v>
      </c>
    </row>
    <row r="4279" spans="1:3" x14ac:dyDescent="0.35">
      <c r="A4279">
        <v>73</v>
      </c>
      <c r="B4279">
        <v>2014</v>
      </c>
      <c r="C4279">
        <v>1.2500000000000001E-2</v>
      </c>
    </row>
    <row r="4280" spans="1:3" x14ac:dyDescent="0.35">
      <c r="A4280">
        <v>73</v>
      </c>
      <c r="B4280">
        <v>2015</v>
      </c>
      <c r="C4280">
        <v>1.1900000000000001E-2</v>
      </c>
    </row>
    <row r="4281" spans="1:3" x14ac:dyDescent="0.35">
      <c r="A4281">
        <v>73</v>
      </c>
      <c r="B4281">
        <v>2016</v>
      </c>
      <c r="C4281">
        <v>1.12E-2</v>
      </c>
    </row>
    <row r="4282" spans="1:3" x14ac:dyDescent="0.35">
      <c r="A4282">
        <v>73</v>
      </c>
      <c r="B4282">
        <v>2017</v>
      </c>
      <c r="C4282">
        <v>1.04E-2</v>
      </c>
    </row>
    <row r="4283" spans="1:3" x14ac:dyDescent="0.35">
      <c r="A4283">
        <v>73</v>
      </c>
      <c r="B4283">
        <v>2018</v>
      </c>
      <c r="C4283">
        <v>9.4999999999999998E-3</v>
      </c>
    </row>
    <row r="4284" spans="1:3" x14ac:dyDescent="0.35">
      <c r="A4284">
        <v>73</v>
      </c>
      <c r="B4284">
        <v>2019</v>
      </c>
      <c r="C4284">
        <v>8.6E-3</v>
      </c>
    </row>
    <row r="4285" spans="1:3" x14ac:dyDescent="0.35">
      <c r="A4285">
        <v>73</v>
      </c>
      <c r="B4285">
        <v>2020</v>
      </c>
      <c r="C4285">
        <v>7.9000000000000008E-3</v>
      </c>
    </row>
    <row r="4286" spans="1:3" x14ac:dyDescent="0.35">
      <c r="A4286">
        <v>73</v>
      </c>
      <c r="B4286">
        <v>2021</v>
      </c>
      <c r="C4286">
        <v>7.4999999999999997E-3</v>
      </c>
    </row>
    <row r="4287" spans="1:3" x14ac:dyDescent="0.35">
      <c r="A4287">
        <v>73</v>
      </c>
      <c r="B4287">
        <v>2022</v>
      </c>
      <c r="C4287">
        <v>7.1999999999999998E-3</v>
      </c>
    </row>
    <row r="4288" spans="1:3" x14ac:dyDescent="0.35">
      <c r="A4288">
        <v>73</v>
      </c>
      <c r="B4288">
        <v>2023</v>
      </c>
      <c r="C4288">
        <v>7.3000000000000001E-3</v>
      </c>
    </row>
    <row r="4289" spans="1:3" x14ac:dyDescent="0.35">
      <c r="A4289">
        <v>73</v>
      </c>
      <c r="B4289">
        <v>2024</v>
      </c>
      <c r="C4289">
        <v>7.6E-3</v>
      </c>
    </row>
    <row r="4290" spans="1:3" x14ac:dyDescent="0.35">
      <c r="A4290">
        <v>73</v>
      </c>
      <c r="B4290">
        <v>2025</v>
      </c>
      <c r="C4290">
        <v>8.0000000000000002E-3</v>
      </c>
    </row>
    <row r="4291" spans="1:3" x14ac:dyDescent="0.35">
      <c r="A4291">
        <v>73</v>
      </c>
      <c r="B4291">
        <v>2026</v>
      </c>
      <c r="C4291">
        <v>8.5000000000000006E-3</v>
      </c>
    </row>
    <row r="4292" spans="1:3" x14ac:dyDescent="0.35">
      <c r="A4292">
        <v>73</v>
      </c>
      <c r="B4292">
        <v>2027</v>
      </c>
      <c r="C4292">
        <v>8.9999999999999993E-3</v>
      </c>
    </row>
    <row r="4293" spans="1:3" x14ac:dyDescent="0.35">
      <c r="A4293">
        <v>73</v>
      </c>
      <c r="B4293">
        <v>2028</v>
      </c>
      <c r="C4293">
        <v>9.4000000000000004E-3</v>
      </c>
    </row>
    <row r="4294" spans="1:3" x14ac:dyDescent="0.35">
      <c r="A4294">
        <v>73</v>
      </c>
      <c r="B4294">
        <v>2029</v>
      </c>
      <c r="C4294">
        <v>9.7000000000000003E-3</v>
      </c>
    </row>
    <row r="4295" spans="1:3" x14ac:dyDescent="0.35">
      <c r="A4295">
        <v>73</v>
      </c>
      <c r="B4295">
        <v>2030</v>
      </c>
      <c r="C4295">
        <v>9.9000000000000008E-3</v>
      </c>
    </row>
    <row r="4296" spans="1:3" x14ac:dyDescent="0.35">
      <c r="A4296">
        <v>73</v>
      </c>
      <c r="B4296">
        <v>2031</v>
      </c>
      <c r="C4296">
        <v>0.01</v>
      </c>
    </row>
    <row r="4297" spans="1:3" x14ac:dyDescent="0.35">
      <c r="A4297">
        <v>74</v>
      </c>
      <c r="B4297">
        <v>1951</v>
      </c>
      <c r="C4297">
        <v>1.0500000000000001E-2</v>
      </c>
    </row>
    <row r="4298" spans="1:3" x14ac:dyDescent="0.35">
      <c r="A4298">
        <v>74</v>
      </c>
      <c r="B4298">
        <v>1952</v>
      </c>
      <c r="C4298">
        <v>8.6E-3</v>
      </c>
    </row>
    <row r="4299" spans="1:3" x14ac:dyDescent="0.35">
      <c r="A4299">
        <v>74</v>
      </c>
      <c r="B4299">
        <v>1953</v>
      </c>
      <c r="C4299">
        <v>6.7999999999999996E-3</v>
      </c>
    </row>
    <row r="4300" spans="1:3" x14ac:dyDescent="0.35">
      <c r="A4300">
        <v>74</v>
      </c>
      <c r="B4300">
        <v>1954</v>
      </c>
      <c r="C4300">
        <v>5.1000000000000004E-3</v>
      </c>
    </row>
    <row r="4301" spans="1:3" x14ac:dyDescent="0.35">
      <c r="A4301">
        <v>74</v>
      </c>
      <c r="B4301">
        <v>1955</v>
      </c>
      <c r="C4301">
        <v>3.3999999999999998E-3</v>
      </c>
    </row>
    <row r="4302" spans="1:3" x14ac:dyDescent="0.35">
      <c r="A4302">
        <v>74</v>
      </c>
      <c r="B4302">
        <v>1956</v>
      </c>
      <c r="C4302">
        <v>2E-3</v>
      </c>
    </row>
    <row r="4303" spans="1:3" x14ac:dyDescent="0.35">
      <c r="A4303">
        <v>74</v>
      </c>
      <c r="B4303">
        <v>1957</v>
      </c>
      <c r="C4303">
        <v>8.0000000000000004E-4</v>
      </c>
    </row>
    <row r="4304" spans="1:3" x14ac:dyDescent="0.35">
      <c r="A4304">
        <v>74</v>
      </c>
      <c r="B4304">
        <v>1958</v>
      </c>
      <c r="C4304">
        <v>-2.0000000000000001E-4</v>
      </c>
    </row>
    <row r="4305" spans="1:3" x14ac:dyDescent="0.35">
      <c r="A4305">
        <v>74</v>
      </c>
      <c r="B4305">
        <v>1959</v>
      </c>
      <c r="C4305">
        <v>-1.1000000000000001E-3</v>
      </c>
    </row>
    <row r="4306" spans="1:3" x14ac:dyDescent="0.35">
      <c r="A4306">
        <v>74</v>
      </c>
      <c r="B4306">
        <v>1960</v>
      </c>
      <c r="C4306">
        <v>-1.6999999999999999E-3</v>
      </c>
    </row>
    <row r="4307" spans="1:3" x14ac:dyDescent="0.35">
      <c r="A4307">
        <v>74</v>
      </c>
      <c r="B4307">
        <v>1961</v>
      </c>
      <c r="C4307">
        <v>-2.2000000000000001E-3</v>
      </c>
    </row>
    <row r="4308" spans="1:3" x14ac:dyDescent="0.35">
      <c r="A4308">
        <v>74</v>
      </c>
      <c r="B4308">
        <v>1962</v>
      </c>
      <c r="C4308">
        <v>-2.5999999999999999E-3</v>
      </c>
    </row>
    <row r="4309" spans="1:3" x14ac:dyDescent="0.35">
      <c r="A4309">
        <v>74</v>
      </c>
      <c r="B4309">
        <v>1963</v>
      </c>
      <c r="C4309">
        <v>-2.7000000000000001E-3</v>
      </c>
    </row>
    <row r="4310" spans="1:3" x14ac:dyDescent="0.35">
      <c r="A4310">
        <v>74</v>
      </c>
      <c r="B4310">
        <v>1964</v>
      </c>
      <c r="C4310">
        <v>-2.5000000000000001E-3</v>
      </c>
    </row>
    <row r="4311" spans="1:3" x14ac:dyDescent="0.35">
      <c r="A4311">
        <v>74</v>
      </c>
      <c r="B4311">
        <v>1965</v>
      </c>
      <c r="C4311">
        <v>-1.8E-3</v>
      </c>
    </row>
    <row r="4312" spans="1:3" x14ac:dyDescent="0.35">
      <c r="A4312">
        <v>74</v>
      </c>
      <c r="B4312">
        <v>1966</v>
      </c>
      <c r="C4312">
        <v>-8.0000000000000004E-4</v>
      </c>
    </row>
    <row r="4313" spans="1:3" x14ac:dyDescent="0.35">
      <c r="A4313">
        <v>74</v>
      </c>
      <c r="B4313">
        <v>1967</v>
      </c>
      <c r="C4313">
        <v>6.9999999999999999E-4</v>
      </c>
    </row>
    <row r="4314" spans="1:3" x14ac:dyDescent="0.35">
      <c r="A4314">
        <v>74</v>
      </c>
      <c r="B4314">
        <v>1968</v>
      </c>
      <c r="C4314">
        <v>2.5000000000000001E-3</v>
      </c>
    </row>
    <row r="4315" spans="1:3" x14ac:dyDescent="0.35">
      <c r="A4315">
        <v>74</v>
      </c>
      <c r="B4315">
        <v>1969</v>
      </c>
      <c r="C4315">
        <v>4.5999999999999999E-3</v>
      </c>
    </row>
    <row r="4316" spans="1:3" x14ac:dyDescent="0.35">
      <c r="A4316">
        <v>74</v>
      </c>
      <c r="B4316">
        <v>1970</v>
      </c>
      <c r="C4316">
        <v>6.8999999999999999E-3</v>
      </c>
    </row>
    <row r="4317" spans="1:3" x14ac:dyDescent="0.35">
      <c r="A4317">
        <v>74</v>
      </c>
      <c r="B4317">
        <v>1971</v>
      </c>
      <c r="C4317">
        <v>9.1000000000000004E-3</v>
      </c>
    </row>
    <row r="4318" spans="1:3" x14ac:dyDescent="0.35">
      <c r="A4318">
        <v>74</v>
      </c>
      <c r="B4318">
        <v>1972</v>
      </c>
      <c r="C4318">
        <v>1.12E-2</v>
      </c>
    </row>
    <row r="4319" spans="1:3" x14ac:dyDescent="0.35">
      <c r="A4319">
        <v>74</v>
      </c>
      <c r="B4319">
        <v>1973</v>
      </c>
      <c r="C4319">
        <v>1.29E-2</v>
      </c>
    </row>
    <row r="4320" spans="1:3" x14ac:dyDescent="0.35">
      <c r="A4320">
        <v>74</v>
      </c>
      <c r="B4320">
        <v>1974</v>
      </c>
      <c r="C4320">
        <v>1.4E-2</v>
      </c>
    </row>
    <row r="4321" spans="1:3" x14ac:dyDescent="0.35">
      <c r="A4321">
        <v>74</v>
      </c>
      <c r="B4321">
        <v>1975</v>
      </c>
      <c r="C4321">
        <v>1.4500000000000001E-2</v>
      </c>
    </row>
    <row r="4322" spans="1:3" x14ac:dyDescent="0.35">
      <c r="A4322">
        <v>74</v>
      </c>
      <c r="B4322">
        <v>1976</v>
      </c>
      <c r="C4322">
        <v>1.43E-2</v>
      </c>
    </row>
    <row r="4323" spans="1:3" x14ac:dyDescent="0.35">
      <c r="A4323">
        <v>74</v>
      </c>
      <c r="B4323">
        <v>1977</v>
      </c>
      <c r="C4323">
        <v>1.3599999999999999E-2</v>
      </c>
    </row>
    <row r="4324" spans="1:3" x14ac:dyDescent="0.35">
      <c r="A4324">
        <v>74</v>
      </c>
      <c r="B4324">
        <v>1978</v>
      </c>
      <c r="C4324">
        <v>1.2500000000000001E-2</v>
      </c>
    </row>
    <row r="4325" spans="1:3" x14ac:dyDescent="0.35">
      <c r="A4325">
        <v>74</v>
      </c>
      <c r="B4325">
        <v>1979</v>
      </c>
      <c r="C4325">
        <v>1.12E-2</v>
      </c>
    </row>
    <row r="4326" spans="1:3" x14ac:dyDescent="0.35">
      <c r="A4326">
        <v>74</v>
      </c>
      <c r="B4326">
        <v>1980</v>
      </c>
      <c r="C4326">
        <v>1.01E-2</v>
      </c>
    </row>
    <row r="4327" spans="1:3" x14ac:dyDescent="0.35">
      <c r="A4327">
        <v>74</v>
      </c>
      <c r="B4327">
        <v>1981</v>
      </c>
      <c r="C4327">
        <v>9.2999999999999992E-3</v>
      </c>
    </row>
    <row r="4328" spans="1:3" x14ac:dyDescent="0.35">
      <c r="A4328">
        <v>74</v>
      </c>
      <c r="B4328">
        <v>1982</v>
      </c>
      <c r="C4328">
        <v>8.8999999999999999E-3</v>
      </c>
    </row>
    <row r="4329" spans="1:3" x14ac:dyDescent="0.35">
      <c r="A4329">
        <v>74</v>
      </c>
      <c r="B4329">
        <v>1983</v>
      </c>
      <c r="C4329">
        <v>9.1000000000000004E-3</v>
      </c>
    </row>
    <row r="4330" spans="1:3" x14ac:dyDescent="0.35">
      <c r="A4330">
        <v>74</v>
      </c>
      <c r="B4330">
        <v>1984</v>
      </c>
      <c r="C4330">
        <v>0.01</v>
      </c>
    </row>
    <row r="4331" spans="1:3" x14ac:dyDescent="0.35">
      <c r="A4331">
        <v>74</v>
      </c>
      <c r="B4331">
        <v>1985</v>
      </c>
      <c r="C4331">
        <v>1.1299999999999999E-2</v>
      </c>
    </row>
    <row r="4332" spans="1:3" x14ac:dyDescent="0.35">
      <c r="A4332">
        <v>74</v>
      </c>
      <c r="B4332">
        <v>1986</v>
      </c>
      <c r="C4332">
        <v>1.2999999999999999E-2</v>
      </c>
    </row>
    <row r="4333" spans="1:3" x14ac:dyDescent="0.35">
      <c r="A4333">
        <v>74</v>
      </c>
      <c r="B4333">
        <v>1987</v>
      </c>
      <c r="C4333">
        <v>1.46E-2</v>
      </c>
    </row>
    <row r="4334" spans="1:3" x14ac:dyDescent="0.35">
      <c r="A4334">
        <v>74</v>
      </c>
      <c r="B4334">
        <v>1988</v>
      </c>
      <c r="C4334">
        <v>1.6E-2</v>
      </c>
    </row>
    <row r="4335" spans="1:3" x14ac:dyDescent="0.35">
      <c r="A4335">
        <v>74</v>
      </c>
      <c r="B4335">
        <v>1989</v>
      </c>
      <c r="C4335">
        <v>1.6899999999999998E-2</v>
      </c>
    </row>
    <row r="4336" spans="1:3" x14ac:dyDescent="0.35">
      <c r="A4336">
        <v>74</v>
      </c>
      <c r="B4336">
        <v>1990</v>
      </c>
      <c r="C4336">
        <v>1.7000000000000001E-2</v>
      </c>
    </row>
    <row r="4337" spans="1:3" x14ac:dyDescent="0.35">
      <c r="A4337">
        <v>74</v>
      </c>
      <c r="B4337">
        <v>1991</v>
      </c>
      <c r="C4337">
        <v>1.66E-2</v>
      </c>
    </row>
    <row r="4338" spans="1:3" x14ac:dyDescent="0.35">
      <c r="A4338">
        <v>74</v>
      </c>
      <c r="B4338">
        <v>1992</v>
      </c>
      <c r="C4338">
        <v>1.5599999999999999E-2</v>
      </c>
    </row>
    <row r="4339" spans="1:3" x14ac:dyDescent="0.35">
      <c r="A4339">
        <v>74</v>
      </c>
      <c r="B4339">
        <v>1993</v>
      </c>
      <c r="C4339">
        <v>1.4500000000000001E-2</v>
      </c>
    </row>
    <row r="4340" spans="1:3" x14ac:dyDescent="0.35">
      <c r="A4340">
        <v>74</v>
      </c>
      <c r="B4340">
        <v>1994</v>
      </c>
      <c r="C4340">
        <v>1.3599999999999999E-2</v>
      </c>
    </row>
    <row r="4341" spans="1:3" x14ac:dyDescent="0.35">
      <c r="A4341">
        <v>74</v>
      </c>
      <c r="B4341">
        <v>1995</v>
      </c>
      <c r="C4341">
        <v>1.2999999999999999E-2</v>
      </c>
    </row>
    <row r="4342" spans="1:3" x14ac:dyDescent="0.35">
      <c r="A4342">
        <v>74</v>
      </c>
      <c r="B4342">
        <v>1996</v>
      </c>
      <c r="C4342">
        <v>1.2999999999999999E-2</v>
      </c>
    </row>
    <row r="4343" spans="1:3" x14ac:dyDescent="0.35">
      <c r="A4343">
        <v>74</v>
      </c>
      <c r="B4343">
        <v>1997</v>
      </c>
      <c r="C4343">
        <v>1.35E-2</v>
      </c>
    </row>
    <row r="4344" spans="1:3" x14ac:dyDescent="0.35">
      <c r="A4344">
        <v>74</v>
      </c>
      <c r="B4344">
        <v>1998</v>
      </c>
      <c r="C4344">
        <v>1.47E-2</v>
      </c>
    </row>
    <row r="4345" spans="1:3" x14ac:dyDescent="0.35">
      <c r="A4345">
        <v>74</v>
      </c>
      <c r="B4345">
        <v>1999</v>
      </c>
      <c r="C4345">
        <v>1.6500000000000001E-2</v>
      </c>
    </row>
    <row r="4346" spans="1:3" x14ac:dyDescent="0.35">
      <c r="A4346">
        <v>74</v>
      </c>
      <c r="B4346">
        <v>2000</v>
      </c>
      <c r="C4346">
        <v>1.8700000000000001E-2</v>
      </c>
    </row>
    <row r="4347" spans="1:3" x14ac:dyDescent="0.35">
      <c r="A4347">
        <v>74</v>
      </c>
      <c r="B4347">
        <v>2001</v>
      </c>
      <c r="C4347">
        <v>2.1100000000000001E-2</v>
      </c>
    </row>
    <row r="4348" spans="1:3" x14ac:dyDescent="0.35">
      <c r="A4348">
        <v>74</v>
      </c>
      <c r="B4348">
        <v>2002</v>
      </c>
      <c r="C4348">
        <v>2.3400000000000001E-2</v>
      </c>
    </row>
    <row r="4349" spans="1:3" x14ac:dyDescent="0.35">
      <c r="A4349">
        <v>74</v>
      </c>
      <c r="B4349">
        <v>2003</v>
      </c>
      <c r="C4349">
        <v>2.53E-2</v>
      </c>
    </row>
    <row r="4350" spans="1:3" x14ac:dyDescent="0.35">
      <c r="A4350">
        <v>74</v>
      </c>
      <c r="B4350">
        <v>2004</v>
      </c>
      <c r="C4350">
        <v>2.6599999999999999E-2</v>
      </c>
    </row>
    <row r="4351" spans="1:3" x14ac:dyDescent="0.35">
      <c r="A4351">
        <v>74</v>
      </c>
      <c r="B4351">
        <v>2005</v>
      </c>
      <c r="C4351">
        <v>2.7099999999999999E-2</v>
      </c>
    </row>
    <row r="4352" spans="1:3" x14ac:dyDescent="0.35">
      <c r="A4352">
        <v>74</v>
      </c>
      <c r="B4352">
        <v>2006</v>
      </c>
      <c r="C4352">
        <v>2.6800000000000001E-2</v>
      </c>
    </row>
    <row r="4353" spans="1:3" x14ac:dyDescent="0.35">
      <c r="A4353">
        <v>74</v>
      </c>
      <c r="B4353">
        <v>2007</v>
      </c>
      <c r="C4353">
        <v>2.58E-2</v>
      </c>
    </row>
    <row r="4354" spans="1:3" x14ac:dyDescent="0.35">
      <c r="A4354">
        <v>74</v>
      </c>
      <c r="B4354">
        <v>2008</v>
      </c>
      <c r="C4354">
        <v>2.41E-2</v>
      </c>
    </row>
    <row r="4355" spans="1:3" x14ac:dyDescent="0.35">
      <c r="A4355">
        <v>74</v>
      </c>
      <c r="B4355">
        <v>2009</v>
      </c>
      <c r="C4355">
        <v>2.1899999999999999E-2</v>
      </c>
    </row>
    <row r="4356" spans="1:3" x14ac:dyDescent="0.35">
      <c r="A4356">
        <v>74</v>
      </c>
      <c r="B4356">
        <v>2010</v>
      </c>
      <c r="C4356">
        <v>1.9300000000000001E-2</v>
      </c>
    </row>
    <row r="4357" spans="1:3" x14ac:dyDescent="0.35">
      <c r="A4357">
        <v>74</v>
      </c>
      <c r="B4357">
        <v>2011</v>
      </c>
      <c r="C4357">
        <v>1.6400000000000001E-2</v>
      </c>
    </row>
    <row r="4358" spans="1:3" x14ac:dyDescent="0.35">
      <c r="A4358">
        <v>74</v>
      </c>
      <c r="B4358">
        <v>2012</v>
      </c>
      <c r="C4358">
        <v>1.3299999999999999E-2</v>
      </c>
    </row>
    <row r="4359" spans="1:3" x14ac:dyDescent="0.35">
      <c r="A4359">
        <v>74</v>
      </c>
      <c r="B4359">
        <v>2013</v>
      </c>
      <c r="C4359">
        <v>1.32E-2</v>
      </c>
    </row>
    <row r="4360" spans="1:3" x14ac:dyDescent="0.35">
      <c r="A4360">
        <v>74</v>
      </c>
      <c r="B4360">
        <v>2014</v>
      </c>
      <c r="C4360">
        <v>1.2800000000000001E-2</v>
      </c>
    </row>
    <row r="4361" spans="1:3" x14ac:dyDescent="0.35">
      <c r="A4361">
        <v>74</v>
      </c>
      <c r="B4361">
        <v>2015</v>
      </c>
      <c r="C4361">
        <v>1.24E-2</v>
      </c>
    </row>
    <row r="4362" spans="1:3" x14ac:dyDescent="0.35">
      <c r="A4362">
        <v>74</v>
      </c>
      <c r="B4362">
        <v>2016</v>
      </c>
      <c r="C4362">
        <v>1.17E-2</v>
      </c>
    </row>
    <row r="4363" spans="1:3" x14ac:dyDescent="0.35">
      <c r="A4363">
        <v>74</v>
      </c>
      <c r="B4363">
        <v>2017</v>
      </c>
      <c r="C4363">
        <v>1.0999999999999999E-2</v>
      </c>
    </row>
    <row r="4364" spans="1:3" x14ac:dyDescent="0.35">
      <c r="A4364">
        <v>74</v>
      </c>
      <c r="B4364">
        <v>2018</v>
      </c>
      <c r="C4364">
        <v>1.0200000000000001E-2</v>
      </c>
    </row>
    <row r="4365" spans="1:3" x14ac:dyDescent="0.35">
      <c r="A4365">
        <v>74</v>
      </c>
      <c r="B4365">
        <v>2019</v>
      </c>
      <c r="C4365">
        <v>9.4000000000000004E-3</v>
      </c>
    </row>
    <row r="4366" spans="1:3" x14ac:dyDescent="0.35">
      <c r="A4366">
        <v>74</v>
      </c>
      <c r="B4366">
        <v>2020</v>
      </c>
      <c r="C4366">
        <v>8.6E-3</v>
      </c>
    </row>
    <row r="4367" spans="1:3" x14ac:dyDescent="0.35">
      <c r="A4367">
        <v>74</v>
      </c>
      <c r="B4367">
        <v>2021</v>
      </c>
      <c r="C4367">
        <v>8.0999999999999996E-3</v>
      </c>
    </row>
    <row r="4368" spans="1:3" x14ac:dyDescent="0.35">
      <c r="A4368">
        <v>74</v>
      </c>
      <c r="B4368">
        <v>2022</v>
      </c>
      <c r="C4368">
        <v>7.7000000000000002E-3</v>
      </c>
    </row>
    <row r="4369" spans="1:3" x14ac:dyDescent="0.35">
      <c r="A4369">
        <v>74</v>
      </c>
      <c r="B4369">
        <v>2023</v>
      </c>
      <c r="C4369">
        <v>7.7000000000000002E-3</v>
      </c>
    </row>
    <row r="4370" spans="1:3" x14ac:dyDescent="0.35">
      <c r="A4370">
        <v>74</v>
      </c>
      <c r="B4370">
        <v>2024</v>
      </c>
      <c r="C4370">
        <v>7.7999999999999996E-3</v>
      </c>
    </row>
    <row r="4371" spans="1:3" x14ac:dyDescent="0.35">
      <c r="A4371">
        <v>74</v>
      </c>
      <c r="B4371">
        <v>2025</v>
      </c>
      <c r="C4371">
        <v>8.0999999999999996E-3</v>
      </c>
    </row>
    <row r="4372" spans="1:3" x14ac:dyDescent="0.35">
      <c r="A4372">
        <v>74</v>
      </c>
      <c r="B4372">
        <v>2026</v>
      </c>
      <c r="C4372">
        <v>8.5000000000000006E-3</v>
      </c>
    </row>
    <row r="4373" spans="1:3" x14ac:dyDescent="0.35">
      <c r="A4373">
        <v>74</v>
      </c>
      <c r="B4373">
        <v>2027</v>
      </c>
      <c r="C4373">
        <v>8.8999999999999999E-3</v>
      </c>
    </row>
    <row r="4374" spans="1:3" x14ac:dyDescent="0.35">
      <c r="A4374">
        <v>74</v>
      </c>
      <c r="B4374">
        <v>2028</v>
      </c>
      <c r="C4374">
        <v>9.2999999999999992E-3</v>
      </c>
    </row>
    <row r="4375" spans="1:3" x14ac:dyDescent="0.35">
      <c r="A4375">
        <v>74</v>
      </c>
      <c r="B4375">
        <v>2029</v>
      </c>
      <c r="C4375">
        <v>9.5999999999999992E-3</v>
      </c>
    </row>
    <row r="4376" spans="1:3" x14ac:dyDescent="0.35">
      <c r="A4376">
        <v>74</v>
      </c>
      <c r="B4376">
        <v>2030</v>
      </c>
      <c r="C4376">
        <v>9.9000000000000008E-3</v>
      </c>
    </row>
    <row r="4377" spans="1:3" x14ac:dyDescent="0.35">
      <c r="A4377">
        <v>74</v>
      </c>
      <c r="B4377">
        <v>2031</v>
      </c>
      <c r="C4377">
        <v>0.01</v>
      </c>
    </row>
    <row r="4378" spans="1:3" x14ac:dyDescent="0.35">
      <c r="A4378">
        <v>75</v>
      </c>
      <c r="B4378">
        <v>1951</v>
      </c>
      <c r="C4378">
        <v>1.06E-2</v>
      </c>
    </row>
    <row r="4379" spans="1:3" x14ac:dyDescent="0.35">
      <c r="A4379">
        <v>75</v>
      </c>
      <c r="B4379">
        <v>1952</v>
      </c>
      <c r="C4379">
        <v>8.8999999999999999E-3</v>
      </c>
    </row>
    <row r="4380" spans="1:3" x14ac:dyDescent="0.35">
      <c r="A4380">
        <v>75</v>
      </c>
      <c r="B4380">
        <v>1953</v>
      </c>
      <c r="C4380">
        <v>7.1000000000000004E-3</v>
      </c>
    </row>
    <row r="4381" spans="1:3" x14ac:dyDescent="0.35">
      <c r="A4381">
        <v>75</v>
      </c>
      <c r="B4381">
        <v>1954</v>
      </c>
      <c r="C4381">
        <v>5.4999999999999997E-3</v>
      </c>
    </row>
    <row r="4382" spans="1:3" x14ac:dyDescent="0.35">
      <c r="A4382">
        <v>75</v>
      </c>
      <c r="B4382">
        <v>1955</v>
      </c>
      <c r="C4382">
        <v>3.8E-3</v>
      </c>
    </row>
    <row r="4383" spans="1:3" x14ac:dyDescent="0.35">
      <c r="A4383">
        <v>75</v>
      </c>
      <c r="B4383">
        <v>1956</v>
      </c>
      <c r="C4383">
        <v>2.3999999999999998E-3</v>
      </c>
    </row>
    <row r="4384" spans="1:3" x14ac:dyDescent="0.35">
      <c r="A4384">
        <v>75</v>
      </c>
      <c r="B4384">
        <v>1957</v>
      </c>
      <c r="C4384">
        <v>1.1999999999999999E-3</v>
      </c>
    </row>
    <row r="4385" spans="1:3" x14ac:dyDescent="0.35">
      <c r="A4385">
        <v>75</v>
      </c>
      <c r="B4385">
        <v>1958</v>
      </c>
      <c r="C4385">
        <v>1E-4</v>
      </c>
    </row>
    <row r="4386" spans="1:3" x14ac:dyDescent="0.35">
      <c r="A4386">
        <v>75</v>
      </c>
      <c r="B4386">
        <v>1959</v>
      </c>
      <c r="C4386">
        <v>-8.0000000000000004E-4</v>
      </c>
    </row>
    <row r="4387" spans="1:3" x14ac:dyDescent="0.35">
      <c r="A4387">
        <v>75</v>
      </c>
      <c r="B4387">
        <v>1960</v>
      </c>
      <c r="C4387">
        <v>-1.5E-3</v>
      </c>
    </row>
    <row r="4388" spans="1:3" x14ac:dyDescent="0.35">
      <c r="A4388">
        <v>75</v>
      </c>
      <c r="B4388">
        <v>1961</v>
      </c>
      <c r="C4388">
        <v>-2.0999999999999999E-3</v>
      </c>
    </row>
    <row r="4389" spans="1:3" x14ac:dyDescent="0.35">
      <c r="A4389">
        <v>75</v>
      </c>
      <c r="B4389">
        <v>1962</v>
      </c>
      <c r="C4389">
        <v>-2.5000000000000001E-3</v>
      </c>
    </row>
    <row r="4390" spans="1:3" x14ac:dyDescent="0.35">
      <c r="A4390">
        <v>75</v>
      </c>
      <c r="B4390">
        <v>1963</v>
      </c>
      <c r="C4390">
        <v>-2.7000000000000001E-3</v>
      </c>
    </row>
    <row r="4391" spans="1:3" x14ac:dyDescent="0.35">
      <c r="A4391">
        <v>75</v>
      </c>
      <c r="B4391">
        <v>1964</v>
      </c>
      <c r="C4391">
        <v>-2.3999999999999998E-3</v>
      </c>
    </row>
    <row r="4392" spans="1:3" x14ac:dyDescent="0.35">
      <c r="A4392">
        <v>75</v>
      </c>
      <c r="B4392">
        <v>1965</v>
      </c>
      <c r="C4392">
        <v>-1.8E-3</v>
      </c>
    </row>
    <row r="4393" spans="1:3" x14ac:dyDescent="0.35">
      <c r="A4393">
        <v>75</v>
      </c>
      <c r="B4393">
        <v>1966</v>
      </c>
      <c r="C4393">
        <v>-8.0000000000000004E-4</v>
      </c>
    </row>
    <row r="4394" spans="1:3" x14ac:dyDescent="0.35">
      <c r="A4394">
        <v>75</v>
      </c>
      <c r="B4394">
        <v>1967</v>
      </c>
      <c r="C4394">
        <v>6.9999999999999999E-4</v>
      </c>
    </row>
    <row r="4395" spans="1:3" x14ac:dyDescent="0.35">
      <c r="A4395">
        <v>75</v>
      </c>
      <c r="B4395">
        <v>1968</v>
      </c>
      <c r="C4395">
        <v>2.5999999999999999E-3</v>
      </c>
    </row>
    <row r="4396" spans="1:3" x14ac:dyDescent="0.35">
      <c r="A4396">
        <v>75</v>
      </c>
      <c r="B4396">
        <v>1969</v>
      </c>
      <c r="C4396">
        <v>4.7000000000000002E-3</v>
      </c>
    </row>
    <row r="4397" spans="1:3" x14ac:dyDescent="0.35">
      <c r="A4397">
        <v>75</v>
      </c>
      <c r="B4397">
        <v>1970</v>
      </c>
      <c r="C4397">
        <v>6.8999999999999999E-3</v>
      </c>
    </row>
    <row r="4398" spans="1:3" x14ac:dyDescent="0.35">
      <c r="A4398">
        <v>75</v>
      </c>
      <c r="B4398">
        <v>1971</v>
      </c>
      <c r="C4398">
        <v>9.1000000000000004E-3</v>
      </c>
    </row>
    <row r="4399" spans="1:3" x14ac:dyDescent="0.35">
      <c r="A4399">
        <v>75</v>
      </c>
      <c r="B4399">
        <v>1972</v>
      </c>
      <c r="C4399">
        <v>1.11E-2</v>
      </c>
    </row>
    <row r="4400" spans="1:3" x14ac:dyDescent="0.35">
      <c r="A4400">
        <v>75</v>
      </c>
      <c r="B4400">
        <v>1973</v>
      </c>
      <c r="C4400">
        <v>1.2800000000000001E-2</v>
      </c>
    </row>
    <row r="4401" spans="1:3" x14ac:dyDescent="0.35">
      <c r="A4401">
        <v>75</v>
      </c>
      <c r="B4401">
        <v>1974</v>
      </c>
      <c r="C4401">
        <v>1.3899999999999999E-2</v>
      </c>
    </row>
    <row r="4402" spans="1:3" x14ac:dyDescent="0.35">
      <c r="A4402">
        <v>75</v>
      </c>
      <c r="B4402">
        <v>1975</v>
      </c>
      <c r="C4402">
        <v>1.43E-2</v>
      </c>
    </row>
    <row r="4403" spans="1:3" x14ac:dyDescent="0.35">
      <c r="A4403">
        <v>75</v>
      </c>
      <c r="B4403">
        <v>1976</v>
      </c>
      <c r="C4403">
        <v>1.41E-2</v>
      </c>
    </row>
    <row r="4404" spans="1:3" x14ac:dyDescent="0.35">
      <c r="A4404">
        <v>75</v>
      </c>
      <c r="B4404">
        <v>1977</v>
      </c>
      <c r="C4404">
        <v>1.3299999999999999E-2</v>
      </c>
    </row>
    <row r="4405" spans="1:3" x14ac:dyDescent="0.35">
      <c r="A4405">
        <v>75</v>
      </c>
      <c r="B4405">
        <v>1978</v>
      </c>
      <c r="C4405">
        <v>1.21E-2</v>
      </c>
    </row>
    <row r="4406" spans="1:3" x14ac:dyDescent="0.35">
      <c r="A4406">
        <v>75</v>
      </c>
      <c r="B4406">
        <v>1979</v>
      </c>
      <c r="C4406">
        <v>1.0800000000000001E-2</v>
      </c>
    </row>
    <row r="4407" spans="1:3" x14ac:dyDescent="0.35">
      <c r="A4407">
        <v>75</v>
      </c>
      <c r="B4407">
        <v>1980</v>
      </c>
      <c r="C4407">
        <v>9.4999999999999998E-3</v>
      </c>
    </row>
    <row r="4408" spans="1:3" x14ac:dyDescent="0.35">
      <c r="A4408">
        <v>75</v>
      </c>
      <c r="B4408">
        <v>1981</v>
      </c>
      <c r="C4408">
        <v>8.6E-3</v>
      </c>
    </row>
    <row r="4409" spans="1:3" x14ac:dyDescent="0.35">
      <c r="A4409">
        <v>75</v>
      </c>
      <c r="B4409">
        <v>1982</v>
      </c>
      <c r="C4409">
        <v>8.0999999999999996E-3</v>
      </c>
    </row>
    <row r="4410" spans="1:3" x14ac:dyDescent="0.35">
      <c r="A4410">
        <v>75</v>
      </c>
      <c r="B4410">
        <v>1983</v>
      </c>
      <c r="C4410">
        <v>8.3000000000000001E-3</v>
      </c>
    </row>
    <row r="4411" spans="1:3" x14ac:dyDescent="0.35">
      <c r="A4411">
        <v>75</v>
      </c>
      <c r="B4411">
        <v>1984</v>
      </c>
      <c r="C4411">
        <v>8.9999999999999993E-3</v>
      </c>
    </row>
    <row r="4412" spans="1:3" x14ac:dyDescent="0.35">
      <c r="A4412">
        <v>75</v>
      </c>
      <c r="B4412">
        <v>1985</v>
      </c>
      <c r="C4412">
        <v>1.03E-2</v>
      </c>
    </row>
    <row r="4413" spans="1:3" x14ac:dyDescent="0.35">
      <c r="A4413">
        <v>75</v>
      </c>
      <c r="B4413">
        <v>1986</v>
      </c>
      <c r="C4413">
        <v>1.2E-2</v>
      </c>
    </row>
    <row r="4414" spans="1:3" x14ac:dyDescent="0.35">
      <c r="A4414">
        <v>75</v>
      </c>
      <c r="B4414">
        <v>1987</v>
      </c>
      <c r="C4414">
        <v>1.37E-2</v>
      </c>
    </row>
    <row r="4415" spans="1:3" x14ac:dyDescent="0.35">
      <c r="A4415">
        <v>75</v>
      </c>
      <c r="B4415">
        <v>1988</v>
      </c>
      <c r="C4415">
        <v>1.52E-2</v>
      </c>
    </row>
    <row r="4416" spans="1:3" x14ac:dyDescent="0.35">
      <c r="A4416">
        <v>75</v>
      </c>
      <c r="B4416">
        <v>1989</v>
      </c>
      <c r="C4416">
        <v>1.61E-2</v>
      </c>
    </row>
    <row r="4417" spans="1:3" x14ac:dyDescent="0.35">
      <c r="A4417">
        <v>75</v>
      </c>
      <c r="B4417">
        <v>1990</v>
      </c>
      <c r="C4417">
        <v>1.6400000000000001E-2</v>
      </c>
    </row>
    <row r="4418" spans="1:3" x14ac:dyDescent="0.35">
      <c r="A4418">
        <v>75</v>
      </c>
      <c r="B4418">
        <v>1991</v>
      </c>
      <c r="C4418">
        <v>1.61E-2</v>
      </c>
    </row>
    <row r="4419" spans="1:3" x14ac:dyDescent="0.35">
      <c r="A4419">
        <v>75</v>
      </c>
      <c r="B4419">
        <v>1992</v>
      </c>
      <c r="C4419">
        <v>1.5299999999999999E-2</v>
      </c>
    </row>
    <row r="4420" spans="1:3" x14ac:dyDescent="0.35">
      <c r="A4420">
        <v>75</v>
      </c>
      <c r="B4420">
        <v>1993</v>
      </c>
      <c r="C4420">
        <v>1.43E-2</v>
      </c>
    </row>
    <row r="4421" spans="1:3" x14ac:dyDescent="0.35">
      <c r="A4421">
        <v>75</v>
      </c>
      <c r="B4421">
        <v>1994</v>
      </c>
      <c r="C4421">
        <v>1.34E-2</v>
      </c>
    </row>
    <row r="4422" spans="1:3" x14ac:dyDescent="0.35">
      <c r="A4422">
        <v>75</v>
      </c>
      <c r="B4422">
        <v>1995</v>
      </c>
      <c r="C4422">
        <v>1.2800000000000001E-2</v>
      </c>
    </row>
    <row r="4423" spans="1:3" x14ac:dyDescent="0.35">
      <c r="A4423">
        <v>75</v>
      </c>
      <c r="B4423">
        <v>1996</v>
      </c>
      <c r="C4423">
        <v>1.2699999999999999E-2</v>
      </c>
    </row>
    <row r="4424" spans="1:3" x14ac:dyDescent="0.35">
      <c r="A4424">
        <v>75</v>
      </c>
      <c r="B4424">
        <v>1997</v>
      </c>
      <c r="C4424">
        <v>1.32E-2</v>
      </c>
    </row>
    <row r="4425" spans="1:3" x14ac:dyDescent="0.35">
      <c r="A4425">
        <v>75</v>
      </c>
      <c r="B4425">
        <v>1998</v>
      </c>
      <c r="C4425">
        <v>1.43E-2</v>
      </c>
    </row>
    <row r="4426" spans="1:3" x14ac:dyDescent="0.35">
      <c r="A4426">
        <v>75</v>
      </c>
      <c r="B4426">
        <v>1999</v>
      </c>
      <c r="C4426">
        <v>1.6E-2</v>
      </c>
    </row>
    <row r="4427" spans="1:3" x14ac:dyDescent="0.35">
      <c r="A4427">
        <v>75</v>
      </c>
      <c r="B4427">
        <v>2000</v>
      </c>
      <c r="C4427">
        <v>1.8100000000000002E-2</v>
      </c>
    </row>
    <row r="4428" spans="1:3" x14ac:dyDescent="0.35">
      <c r="A4428">
        <v>75</v>
      </c>
      <c r="B4428">
        <v>2001</v>
      </c>
      <c r="C4428">
        <v>2.0400000000000001E-2</v>
      </c>
    </row>
    <row r="4429" spans="1:3" x14ac:dyDescent="0.35">
      <c r="A4429">
        <v>75</v>
      </c>
      <c r="B4429">
        <v>2002</v>
      </c>
      <c r="C4429">
        <v>2.2599999999999999E-2</v>
      </c>
    </row>
    <row r="4430" spans="1:3" x14ac:dyDescent="0.35">
      <c r="A4430">
        <v>75</v>
      </c>
      <c r="B4430">
        <v>2003</v>
      </c>
      <c r="C4430">
        <v>2.4500000000000001E-2</v>
      </c>
    </row>
    <row r="4431" spans="1:3" x14ac:dyDescent="0.35">
      <c r="A4431">
        <v>75</v>
      </c>
      <c r="B4431">
        <v>2004</v>
      </c>
      <c r="C4431">
        <v>2.5899999999999999E-2</v>
      </c>
    </row>
    <row r="4432" spans="1:3" x14ac:dyDescent="0.35">
      <c r="A4432">
        <v>75</v>
      </c>
      <c r="B4432">
        <v>2005</v>
      </c>
      <c r="C4432">
        <v>2.6499999999999999E-2</v>
      </c>
    </row>
    <row r="4433" spans="1:3" x14ac:dyDescent="0.35">
      <c r="A4433">
        <v>75</v>
      </c>
      <c r="B4433">
        <v>2006</v>
      </c>
      <c r="C4433">
        <v>2.64E-2</v>
      </c>
    </row>
    <row r="4434" spans="1:3" x14ac:dyDescent="0.35">
      <c r="A4434">
        <v>75</v>
      </c>
      <c r="B4434">
        <v>2007</v>
      </c>
      <c r="C4434">
        <v>2.5499999999999998E-2</v>
      </c>
    </row>
    <row r="4435" spans="1:3" x14ac:dyDescent="0.35">
      <c r="A4435">
        <v>75</v>
      </c>
      <c r="B4435">
        <v>2008</v>
      </c>
      <c r="C4435">
        <v>2.3900000000000001E-2</v>
      </c>
    </row>
    <row r="4436" spans="1:3" x14ac:dyDescent="0.35">
      <c r="A4436">
        <v>75</v>
      </c>
      <c r="B4436">
        <v>2009</v>
      </c>
      <c r="C4436">
        <v>2.18E-2</v>
      </c>
    </row>
    <row r="4437" spans="1:3" x14ac:dyDescent="0.35">
      <c r="A4437">
        <v>75</v>
      </c>
      <c r="B4437">
        <v>2010</v>
      </c>
      <c r="C4437">
        <v>1.9199999999999998E-2</v>
      </c>
    </row>
    <row r="4438" spans="1:3" x14ac:dyDescent="0.35">
      <c r="A4438">
        <v>75</v>
      </c>
      <c r="B4438">
        <v>2011</v>
      </c>
      <c r="C4438">
        <v>1.6299999999999999E-2</v>
      </c>
    </row>
    <row r="4439" spans="1:3" x14ac:dyDescent="0.35">
      <c r="A4439">
        <v>75</v>
      </c>
      <c r="B4439">
        <v>2012</v>
      </c>
      <c r="C4439">
        <v>1.3299999999999999E-2</v>
      </c>
    </row>
    <row r="4440" spans="1:3" x14ac:dyDescent="0.35">
      <c r="A4440">
        <v>75</v>
      </c>
      <c r="B4440">
        <v>2013</v>
      </c>
      <c r="C4440">
        <v>1.32E-2</v>
      </c>
    </row>
    <row r="4441" spans="1:3" x14ac:dyDescent="0.35">
      <c r="A4441">
        <v>75</v>
      </c>
      <c r="B4441">
        <v>2014</v>
      </c>
      <c r="C4441">
        <v>1.2999999999999999E-2</v>
      </c>
    </row>
    <row r="4442" spans="1:3" x14ac:dyDescent="0.35">
      <c r="A4442">
        <v>75</v>
      </c>
      <c r="B4442">
        <v>2015</v>
      </c>
      <c r="C4442">
        <v>1.26E-2</v>
      </c>
    </row>
    <row r="4443" spans="1:3" x14ac:dyDescent="0.35">
      <c r="A4443">
        <v>75</v>
      </c>
      <c r="B4443">
        <v>2016</v>
      </c>
      <c r="C4443">
        <v>1.21E-2</v>
      </c>
    </row>
    <row r="4444" spans="1:3" x14ac:dyDescent="0.35">
      <c r="A4444">
        <v>75</v>
      </c>
      <c r="B4444">
        <v>2017</v>
      </c>
      <c r="C4444">
        <v>1.14E-2</v>
      </c>
    </row>
    <row r="4445" spans="1:3" x14ac:dyDescent="0.35">
      <c r="A4445">
        <v>75</v>
      </c>
      <c r="B4445">
        <v>2018</v>
      </c>
      <c r="C4445">
        <v>1.0699999999999999E-2</v>
      </c>
    </row>
    <row r="4446" spans="1:3" x14ac:dyDescent="0.35">
      <c r="A4446">
        <v>75</v>
      </c>
      <c r="B4446">
        <v>2019</v>
      </c>
      <c r="C4446">
        <v>0.01</v>
      </c>
    </row>
    <row r="4447" spans="1:3" x14ac:dyDescent="0.35">
      <c r="A4447">
        <v>75</v>
      </c>
      <c r="B4447">
        <v>2020</v>
      </c>
      <c r="C4447">
        <v>9.2999999999999992E-3</v>
      </c>
    </row>
    <row r="4448" spans="1:3" x14ac:dyDescent="0.35">
      <c r="A4448">
        <v>75</v>
      </c>
      <c r="B4448">
        <v>2021</v>
      </c>
      <c r="C4448">
        <v>8.6999999999999994E-3</v>
      </c>
    </row>
    <row r="4449" spans="1:3" x14ac:dyDescent="0.35">
      <c r="A4449">
        <v>75</v>
      </c>
      <c r="B4449">
        <v>2022</v>
      </c>
      <c r="C4449">
        <v>8.3000000000000001E-3</v>
      </c>
    </row>
    <row r="4450" spans="1:3" x14ac:dyDescent="0.35">
      <c r="A4450">
        <v>75</v>
      </c>
      <c r="B4450">
        <v>2023</v>
      </c>
      <c r="C4450">
        <v>8.0999999999999996E-3</v>
      </c>
    </row>
    <row r="4451" spans="1:3" x14ac:dyDescent="0.35">
      <c r="A4451">
        <v>75</v>
      </c>
      <c r="B4451">
        <v>2024</v>
      </c>
      <c r="C4451">
        <v>8.0999999999999996E-3</v>
      </c>
    </row>
    <row r="4452" spans="1:3" x14ac:dyDescent="0.35">
      <c r="A4452">
        <v>75</v>
      </c>
      <c r="B4452">
        <v>2025</v>
      </c>
      <c r="C4452">
        <v>8.2000000000000007E-3</v>
      </c>
    </row>
    <row r="4453" spans="1:3" x14ac:dyDescent="0.35">
      <c r="A4453">
        <v>75</v>
      </c>
      <c r="B4453">
        <v>2026</v>
      </c>
      <c r="C4453">
        <v>8.5000000000000006E-3</v>
      </c>
    </row>
    <row r="4454" spans="1:3" x14ac:dyDescent="0.35">
      <c r="A4454">
        <v>75</v>
      </c>
      <c r="B4454">
        <v>2027</v>
      </c>
      <c r="C4454">
        <v>8.8999999999999999E-3</v>
      </c>
    </row>
    <row r="4455" spans="1:3" x14ac:dyDescent="0.35">
      <c r="A4455">
        <v>75</v>
      </c>
      <c r="B4455">
        <v>2028</v>
      </c>
      <c r="C4455">
        <v>9.2999999999999992E-3</v>
      </c>
    </row>
    <row r="4456" spans="1:3" x14ac:dyDescent="0.35">
      <c r="A4456">
        <v>75</v>
      </c>
      <c r="B4456">
        <v>2029</v>
      </c>
      <c r="C4456">
        <v>9.5999999999999992E-3</v>
      </c>
    </row>
    <row r="4457" spans="1:3" x14ac:dyDescent="0.35">
      <c r="A4457">
        <v>75</v>
      </c>
      <c r="B4457">
        <v>2030</v>
      </c>
      <c r="C4457">
        <v>9.7999999999999997E-3</v>
      </c>
    </row>
    <row r="4458" spans="1:3" x14ac:dyDescent="0.35">
      <c r="A4458">
        <v>75</v>
      </c>
      <c r="B4458">
        <v>2031</v>
      </c>
      <c r="C4458">
        <v>0.01</v>
      </c>
    </row>
    <row r="4459" spans="1:3" x14ac:dyDescent="0.35">
      <c r="A4459">
        <v>76</v>
      </c>
      <c r="B4459">
        <v>1951</v>
      </c>
      <c r="C4459">
        <v>1.0500000000000001E-2</v>
      </c>
    </row>
    <row r="4460" spans="1:3" x14ac:dyDescent="0.35">
      <c r="A4460">
        <v>76</v>
      </c>
      <c r="B4460">
        <v>1952</v>
      </c>
      <c r="C4460">
        <v>8.8999999999999999E-3</v>
      </c>
    </row>
    <row r="4461" spans="1:3" x14ac:dyDescent="0.35">
      <c r="A4461">
        <v>76</v>
      </c>
      <c r="B4461">
        <v>1953</v>
      </c>
      <c r="C4461">
        <v>7.3000000000000001E-3</v>
      </c>
    </row>
    <row r="4462" spans="1:3" x14ac:dyDescent="0.35">
      <c r="A4462">
        <v>76</v>
      </c>
      <c r="B4462">
        <v>1954</v>
      </c>
      <c r="C4462">
        <v>5.7000000000000002E-3</v>
      </c>
    </row>
    <row r="4463" spans="1:3" x14ac:dyDescent="0.35">
      <c r="A4463">
        <v>76</v>
      </c>
      <c r="B4463">
        <v>1955</v>
      </c>
      <c r="C4463">
        <v>4.1000000000000003E-3</v>
      </c>
    </row>
    <row r="4464" spans="1:3" x14ac:dyDescent="0.35">
      <c r="A4464">
        <v>76</v>
      </c>
      <c r="B4464">
        <v>1956</v>
      </c>
      <c r="C4464">
        <v>2.7000000000000001E-3</v>
      </c>
    </row>
    <row r="4465" spans="1:3" x14ac:dyDescent="0.35">
      <c r="A4465">
        <v>76</v>
      </c>
      <c r="B4465">
        <v>1957</v>
      </c>
      <c r="C4465">
        <v>1.5E-3</v>
      </c>
    </row>
    <row r="4466" spans="1:3" x14ac:dyDescent="0.35">
      <c r="A4466">
        <v>76</v>
      </c>
      <c r="B4466">
        <v>1958</v>
      </c>
      <c r="C4466">
        <v>4.0000000000000002E-4</v>
      </c>
    </row>
    <row r="4467" spans="1:3" x14ac:dyDescent="0.35">
      <c r="A4467">
        <v>76</v>
      </c>
      <c r="B4467">
        <v>1959</v>
      </c>
      <c r="C4467">
        <v>-5.0000000000000001E-4</v>
      </c>
    </row>
    <row r="4468" spans="1:3" x14ac:dyDescent="0.35">
      <c r="A4468">
        <v>76</v>
      </c>
      <c r="B4468">
        <v>1960</v>
      </c>
      <c r="C4468">
        <v>-1.4E-3</v>
      </c>
    </row>
    <row r="4469" spans="1:3" x14ac:dyDescent="0.35">
      <c r="A4469">
        <v>76</v>
      </c>
      <c r="B4469">
        <v>1961</v>
      </c>
      <c r="C4469">
        <v>-2E-3</v>
      </c>
    </row>
    <row r="4470" spans="1:3" x14ac:dyDescent="0.35">
      <c r="A4470">
        <v>76</v>
      </c>
      <c r="B4470">
        <v>1962</v>
      </c>
      <c r="C4470">
        <v>-2.5000000000000001E-3</v>
      </c>
    </row>
    <row r="4471" spans="1:3" x14ac:dyDescent="0.35">
      <c r="A4471">
        <v>76</v>
      </c>
      <c r="B4471">
        <v>1963</v>
      </c>
      <c r="C4471">
        <v>-2.5999999999999999E-3</v>
      </c>
    </row>
    <row r="4472" spans="1:3" x14ac:dyDescent="0.35">
      <c r="A4472">
        <v>76</v>
      </c>
      <c r="B4472">
        <v>1964</v>
      </c>
      <c r="C4472">
        <v>-2.3E-3</v>
      </c>
    </row>
    <row r="4473" spans="1:3" x14ac:dyDescent="0.35">
      <c r="A4473">
        <v>76</v>
      </c>
      <c r="B4473">
        <v>1965</v>
      </c>
      <c r="C4473">
        <v>-1.6999999999999999E-3</v>
      </c>
    </row>
    <row r="4474" spans="1:3" x14ac:dyDescent="0.35">
      <c r="A4474">
        <v>76</v>
      </c>
      <c r="B4474">
        <v>1966</v>
      </c>
      <c r="C4474">
        <v>-5.9999999999999995E-4</v>
      </c>
    </row>
    <row r="4475" spans="1:3" x14ac:dyDescent="0.35">
      <c r="A4475">
        <v>76</v>
      </c>
      <c r="B4475">
        <v>1967</v>
      </c>
      <c r="C4475">
        <v>8.9999999999999998E-4</v>
      </c>
    </row>
    <row r="4476" spans="1:3" x14ac:dyDescent="0.35">
      <c r="A4476">
        <v>76</v>
      </c>
      <c r="B4476">
        <v>1968</v>
      </c>
      <c r="C4476">
        <v>2.7000000000000001E-3</v>
      </c>
    </row>
    <row r="4477" spans="1:3" x14ac:dyDescent="0.35">
      <c r="A4477">
        <v>76</v>
      </c>
      <c r="B4477">
        <v>1969</v>
      </c>
      <c r="C4477">
        <v>4.7999999999999996E-3</v>
      </c>
    </row>
    <row r="4478" spans="1:3" x14ac:dyDescent="0.35">
      <c r="A4478">
        <v>76</v>
      </c>
      <c r="B4478">
        <v>1970</v>
      </c>
      <c r="C4478">
        <v>7.0000000000000001E-3</v>
      </c>
    </row>
    <row r="4479" spans="1:3" x14ac:dyDescent="0.35">
      <c r="A4479">
        <v>76</v>
      </c>
      <c r="B4479">
        <v>1971</v>
      </c>
      <c r="C4479">
        <v>9.1999999999999998E-3</v>
      </c>
    </row>
    <row r="4480" spans="1:3" x14ac:dyDescent="0.35">
      <c r="A4480">
        <v>76</v>
      </c>
      <c r="B4480">
        <v>1972</v>
      </c>
      <c r="C4480">
        <v>1.12E-2</v>
      </c>
    </row>
    <row r="4481" spans="1:3" x14ac:dyDescent="0.35">
      <c r="A4481">
        <v>76</v>
      </c>
      <c r="B4481">
        <v>1973</v>
      </c>
      <c r="C4481">
        <v>1.2800000000000001E-2</v>
      </c>
    </row>
    <row r="4482" spans="1:3" x14ac:dyDescent="0.35">
      <c r="A4482">
        <v>76</v>
      </c>
      <c r="B4482">
        <v>1974</v>
      </c>
      <c r="C4482">
        <v>1.38E-2</v>
      </c>
    </row>
    <row r="4483" spans="1:3" x14ac:dyDescent="0.35">
      <c r="A4483">
        <v>76</v>
      </c>
      <c r="B4483">
        <v>1975</v>
      </c>
      <c r="C4483">
        <v>1.4200000000000001E-2</v>
      </c>
    </row>
    <row r="4484" spans="1:3" x14ac:dyDescent="0.35">
      <c r="A4484">
        <v>76</v>
      </c>
      <c r="B4484">
        <v>1976</v>
      </c>
      <c r="C4484">
        <v>1.3899999999999999E-2</v>
      </c>
    </row>
    <row r="4485" spans="1:3" x14ac:dyDescent="0.35">
      <c r="A4485">
        <v>76</v>
      </c>
      <c r="B4485">
        <v>1977</v>
      </c>
      <c r="C4485">
        <v>1.2999999999999999E-2</v>
      </c>
    </row>
    <row r="4486" spans="1:3" x14ac:dyDescent="0.35">
      <c r="A4486">
        <v>76</v>
      </c>
      <c r="B4486">
        <v>1978</v>
      </c>
      <c r="C4486">
        <v>1.18E-2</v>
      </c>
    </row>
    <row r="4487" spans="1:3" x14ac:dyDescent="0.35">
      <c r="A4487">
        <v>76</v>
      </c>
      <c r="B4487">
        <v>1979</v>
      </c>
      <c r="C4487">
        <v>1.04E-2</v>
      </c>
    </row>
    <row r="4488" spans="1:3" x14ac:dyDescent="0.35">
      <c r="A4488">
        <v>76</v>
      </c>
      <c r="B4488">
        <v>1980</v>
      </c>
      <c r="C4488">
        <v>8.9999999999999993E-3</v>
      </c>
    </row>
    <row r="4489" spans="1:3" x14ac:dyDescent="0.35">
      <c r="A4489">
        <v>76</v>
      </c>
      <c r="B4489">
        <v>1981</v>
      </c>
      <c r="C4489">
        <v>8.0000000000000002E-3</v>
      </c>
    </row>
    <row r="4490" spans="1:3" x14ac:dyDescent="0.35">
      <c r="A4490">
        <v>76</v>
      </c>
      <c r="B4490">
        <v>1982</v>
      </c>
      <c r="C4490">
        <v>7.4000000000000003E-3</v>
      </c>
    </row>
    <row r="4491" spans="1:3" x14ac:dyDescent="0.35">
      <c r="A4491">
        <v>76</v>
      </c>
      <c r="B4491">
        <v>1983</v>
      </c>
      <c r="C4491">
        <v>7.4000000000000003E-3</v>
      </c>
    </row>
    <row r="4492" spans="1:3" x14ac:dyDescent="0.35">
      <c r="A4492">
        <v>76</v>
      </c>
      <c r="B4492">
        <v>1984</v>
      </c>
      <c r="C4492">
        <v>8.0999999999999996E-3</v>
      </c>
    </row>
    <row r="4493" spans="1:3" x14ac:dyDescent="0.35">
      <c r="A4493">
        <v>76</v>
      </c>
      <c r="B4493">
        <v>1985</v>
      </c>
      <c r="C4493">
        <v>9.4000000000000004E-3</v>
      </c>
    </row>
    <row r="4494" spans="1:3" x14ac:dyDescent="0.35">
      <c r="A4494">
        <v>76</v>
      </c>
      <c r="B4494">
        <v>1986</v>
      </c>
      <c r="C4494">
        <v>1.0999999999999999E-2</v>
      </c>
    </row>
    <row r="4495" spans="1:3" x14ac:dyDescent="0.35">
      <c r="A4495">
        <v>76</v>
      </c>
      <c r="B4495">
        <v>1987</v>
      </c>
      <c r="C4495">
        <v>1.2699999999999999E-2</v>
      </c>
    </row>
    <row r="4496" spans="1:3" x14ac:dyDescent="0.35">
      <c r="A4496">
        <v>76</v>
      </c>
      <c r="B4496">
        <v>1988</v>
      </c>
      <c r="C4496">
        <v>1.4200000000000001E-2</v>
      </c>
    </row>
    <row r="4497" spans="1:3" x14ac:dyDescent="0.35">
      <c r="A4497">
        <v>76</v>
      </c>
      <c r="B4497">
        <v>1989</v>
      </c>
      <c r="C4497">
        <v>1.52E-2</v>
      </c>
    </row>
    <row r="4498" spans="1:3" x14ac:dyDescent="0.35">
      <c r="A4498">
        <v>76</v>
      </c>
      <c r="B4498">
        <v>1990</v>
      </c>
      <c r="C4498">
        <v>1.5699999999999999E-2</v>
      </c>
    </row>
    <row r="4499" spans="1:3" x14ac:dyDescent="0.35">
      <c r="A4499">
        <v>76</v>
      </c>
      <c r="B4499">
        <v>1991</v>
      </c>
      <c r="C4499">
        <v>1.55E-2</v>
      </c>
    </row>
    <row r="4500" spans="1:3" x14ac:dyDescent="0.35">
      <c r="A4500">
        <v>76</v>
      </c>
      <c r="B4500">
        <v>1992</v>
      </c>
      <c r="C4500">
        <v>1.4800000000000001E-2</v>
      </c>
    </row>
    <row r="4501" spans="1:3" x14ac:dyDescent="0.35">
      <c r="A4501">
        <v>76</v>
      </c>
      <c r="B4501">
        <v>1993</v>
      </c>
      <c r="C4501">
        <v>1.3899999999999999E-2</v>
      </c>
    </row>
    <row r="4502" spans="1:3" x14ac:dyDescent="0.35">
      <c r="A4502">
        <v>76</v>
      </c>
      <c r="B4502">
        <v>1994</v>
      </c>
      <c r="C4502">
        <v>1.3100000000000001E-2</v>
      </c>
    </row>
    <row r="4503" spans="1:3" x14ac:dyDescent="0.35">
      <c r="A4503">
        <v>76</v>
      </c>
      <c r="B4503">
        <v>1995</v>
      </c>
      <c r="C4503">
        <v>1.26E-2</v>
      </c>
    </row>
    <row r="4504" spans="1:3" x14ac:dyDescent="0.35">
      <c r="A4504">
        <v>76</v>
      </c>
      <c r="B4504">
        <v>1996</v>
      </c>
      <c r="C4504">
        <v>1.2500000000000001E-2</v>
      </c>
    </row>
    <row r="4505" spans="1:3" x14ac:dyDescent="0.35">
      <c r="A4505">
        <v>76</v>
      </c>
      <c r="B4505">
        <v>1997</v>
      </c>
      <c r="C4505">
        <v>1.2999999999999999E-2</v>
      </c>
    </row>
    <row r="4506" spans="1:3" x14ac:dyDescent="0.35">
      <c r="A4506">
        <v>76</v>
      </c>
      <c r="B4506">
        <v>1998</v>
      </c>
      <c r="C4506">
        <v>1.4E-2</v>
      </c>
    </row>
    <row r="4507" spans="1:3" x14ac:dyDescent="0.35">
      <c r="A4507">
        <v>76</v>
      </c>
      <c r="B4507">
        <v>1999</v>
      </c>
      <c r="C4507">
        <v>1.55E-2</v>
      </c>
    </row>
    <row r="4508" spans="1:3" x14ac:dyDescent="0.35">
      <c r="A4508">
        <v>76</v>
      </c>
      <c r="B4508">
        <v>2000</v>
      </c>
      <c r="C4508">
        <v>1.7500000000000002E-2</v>
      </c>
    </row>
    <row r="4509" spans="1:3" x14ac:dyDescent="0.35">
      <c r="A4509">
        <v>76</v>
      </c>
      <c r="B4509">
        <v>2001</v>
      </c>
      <c r="C4509">
        <v>1.9699999999999999E-2</v>
      </c>
    </row>
    <row r="4510" spans="1:3" x14ac:dyDescent="0.35">
      <c r="A4510">
        <v>76</v>
      </c>
      <c r="B4510">
        <v>2002</v>
      </c>
      <c r="C4510">
        <v>2.18E-2</v>
      </c>
    </row>
    <row r="4511" spans="1:3" x14ac:dyDescent="0.35">
      <c r="A4511">
        <v>76</v>
      </c>
      <c r="B4511">
        <v>2003</v>
      </c>
      <c r="C4511">
        <v>2.3800000000000002E-2</v>
      </c>
    </row>
    <row r="4512" spans="1:3" x14ac:dyDescent="0.35">
      <c r="A4512">
        <v>76</v>
      </c>
      <c r="B4512">
        <v>2004</v>
      </c>
      <c r="C4512">
        <v>2.52E-2</v>
      </c>
    </row>
    <row r="4513" spans="1:3" x14ac:dyDescent="0.35">
      <c r="A4513">
        <v>76</v>
      </c>
      <c r="B4513">
        <v>2005</v>
      </c>
      <c r="C4513">
        <v>2.5899999999999999E-2</v>
      </c>
    </row>
    <row r="4514" spans="1:3" x14ac:dyDescent="0.35">
      <c r="A4514">
        <v>76</v>
      </c>
      <c r="B4514">
        <v>2006</v>
      </c>
      <c r="C4514">
        <v>2.58E-2</v>
      </c>
    </row>
    <row r="4515" spans="1:3" x14ac:dyDescent="0.35">
      <c r="A4515">
        <v>76</v>
      </c>
      <c r="B4515">
        <v>2007</v>
      </c>
      <c r="C4515">
        <v>2.5000000000000001E-2</v>
      </c>
    </row>
    <row r="4516" spans="1:3" x14ac:dyDescent="0.35">
      <c r="A4516">
        <v>76</v>
      </c>
      <c r="B4516">
        <v>2008</v>
      </c>
      <c r="C4516">
        <v>2.35E-2</v>
      </c>
    </row>
    <row r="4517" spans="1:3" x14ac:dyDescent="0.35">
      <c r="A4517">
        <v>76</v>
      </c>
      <c r="B4517">
        <v>2009</v>
      </c>
      <c r="C4517">
        <v>2.1499999999999998E-2</v>
      </c>
    </row>
    <row r="4518" spans="1:3" x14ac:dyDescent="0.35">
      <c r="A4518">
        <v>76</v>
      </c>
      <c r="B4518">
        <v>2010</v>
      </c>
      <c r="C4518">
        <v>1.9E-2</v>
      </c>
    </row>
    <row r="4519" spans="1:3" x14ac:dyDescent="0.35">
      <c r="A4519">
        <v>76</v>
      </c>
      <c r="B4519">
        <v>2011</v>
      </c>
      <c r="C4519">
        <v>1.6199999999999999E-2</v>
      </c>
    </row>
    <row r="4520" spans="1:3" x14ac:dyDescent="0.35">
      <c r="A4520">
        <v>76</v>
      </c>
      <c r="B4520">
        <v>2012</v>
      </c>
      <c r="C4520">
        <v>1.32E-2</v>
      </c>
    </row>
    <row r="4521" spans="1:3" x14ac:dyDescent="0.35">
      <c r="A4521">
        <v>76</v>
      </c>
      <c r="B4521">
        <v>2013</v>
      </c>
      <c r="C4521">
        <v>1.32E-2</v>
      </c>
    </row>
    <row r="4522" spans="1:3" x14ac:dyDescent="0.35">
      <c r="A4522">
        <v>76</v>
      </c>
      <c r="B4522">
        <v>2014</v>
      </c>
      <c r="C4522">
        <v>1.2999999999999999E-2</v>
      </c>
    </row>
    <row r="4523" spans="1:3" x14ac:dyDescent="0.35">
      <c r="A4523">
        <v>76</v>
      </c>
      <c r="B4523">
        <v>2015</v>
      </c>
      <c r="C4523">
        <v>1.2699999999999999E-2</v>
      </c>
    </row>
    <row r="4524" spans="1:3" x14ac:dyDescent="0.35">
      <c r="A4524">
        <v>76</v>
      </c>
      <c r="B4524">
        <v>2016</v>
      </c>
      <c r="C4524">
        <v>1.23E-2</v>
      </c>
    </row>
    <row r="4525" spans="1:3" x14ac:dyDescent="0.35">
      <c r="A4525">
        <v>76</v>
      </c>
      <c r="B4525">
        <v>2017</v>
      </c>
      <c r="C4525">
        <v>1.17E-2</v>
      </c>
    </row>
    <row r="4526" spans="1:3" x14ac:dyDescent="0.35">
      <c r="A4526">
        <v>76</v>
      </c>
      <c r="B4526">
        <v>2018</v>
      </c>
      <c r="C4526">
        <v>1.11E-2</v>
      </c>
    </row>
    <row r="4527" spans="1:3" x14ac:dyDescent="0.35">
      <c r="A4527">
        <v>76</v>
      </c>
      <c r="B4527">
        <v>2019</v>
      </c>
      <c r="C4527">
        <v>1.04E-2</v>
      </c>
    </row>
    <row r="4528" spans="1:3" x14ac:dyDescent="0.35">
      <c r="A4528">
        <v>76</v>
      </c>
      <c r="B4528">
        <v>2020</v>
      </c>
      <c r="C4528">
        <v>9.7999999999999997E-3</v>
      </c>
    </row>
    <row r="4529" spans="1:3" x14ac:dyDescent="0.35">
      <c r="A4529">
        <v>76</v>
      </c>
      <c r="B4529">
        <v>2021</v>
      </c>
      <c r="C4529">
        <v>9.1999999999999998E-3</v>
      </c>
    </row>
    <row r="4530" spans="1:3" x14ac:dyDescent="0.35">
      <c r="A4530">
        <v>76</v>
      </c>
      <c r="B4530">
        <v>2022</v>
      </c>
      <c r="C4530">
        <v>8.8000000000000005E-3</v>
      </c>
    </row>
    <row r="4531" spans="1:3" x14ac:dyDescent="0.35">
      <c r="A4531">
        <v>76</v>
      </c>
      <c r="B4531">
        <v>2023</v>
      </c>
      <c r="C4531">
        <v>8.5000000000000006E-3</v>
      </c>
    </row>
    <row r="4532" spans="1:3" x14ac:dyDescent="0.35">
      <c r="A4532">
        <v>76</v>
      </c>
      <c r="B4532">
        <v>2024</v>
      </c>
      <c r="C4532">
        <v>8.3999999999999995E-3</v>
      </c>
    </row>
    <row r="4533" spans="1:3" x14ac:dyDescent="0.35">
      <c r="A4533">
        <v>76</v>
      </c>
      <c r="B4533">
        <v>2025</v>
      </c>
      <c r="C4533">
        <v>8.3999999999999995E-3</v>
      </c>
    </row>
    <row r="4534" spans="1:3" x14ac:dyDescent="0.35">
      <c r="A4534">
        <v>76</v>
      </c>
      <c r="B4534">
        <v>2026</v>
      </c>
      <c r="C4534">
        <v>8.6E-3</v>
      </c>
    </row>
    <row r="4535" spans="1:3" x14ac:dyDescent="0.35">
      <c r="A4535">
        <v>76</v>
      </c>
      <c r="B4535">
        <v>2027</v>
      </c>
      <c r="C4535">
        <v>8.8999999999999999E-3</v>
      </c>
    </row>
    <row r="4536" spans="1:3" x14ac:dyDescent="0.35">
      <c r="A4536">
        <v>76</v>
      </c>
      <c r="B4536">
        <v>2028</v>
      </c>
      <c r="C4536">
        <v>9.2999999999999992E-3</v>
      </c>
    </row>
    <row r="4537" spans="1:3" x14ac:dyDescent="0.35">
      <c r="A4537">
        <v>76</v>
      </c>
      <c r="B4537">
        <v>2029</v>
      </c>
      <c r="C4537">
        <v>9.5999999999999992E-3</v>
      </c>
    </row>
    <row r="4538" spans="1:3" x14ac:dyDescent="0.35">
      <c r="A4538">
        <v>76</v>
      </c>
      <c r="B4538">
        <v>2030</v>
      </c>
      <c r="C4538">
        <v>9.7999999999999997E-3</v>
      </c>
    </row>
    <row r="4539" spans="1:3" x14ac:dyDescent="0.35">
      <c r="A4539">
        <v>76</v>
      </c>
      <c r="B4539">
        <v>2031</v>
      </c>
      <c r="C4539">
        <v>0.01</v>
      </c>
    </row>
    <row r="4540" spans="1:3" x14ac:dyDescent="0.35">
      <c r="A4540">
        <v>77</v>
      </c>
      <c r="B4540">
        <v>1951</v>
      </c>
      <c r="C4540">
        <v>1.0200000000000001E-2</v>
      </c>
    </row>
    <row r="4541" spans="1:3" x14ac:dyDescent="0.35">
      <c r="A4541">
        <v>77</v>
      </c>
      <c r="B4541">
        <v>1952</v>
      </c>
      <c r="C4541">
        <v>8.6999999999999994E-3</v>
      </c>
    </row>
    <row r="4542" spans="1:3" x14ac:dyDescent="0.35">
      <c r="A4542">
        <v>77</v>
      </c>
      <c r="B4542">
        <v>1953</v>
      </c>
      <c r="C4542">
        <v>7.1999999999999998E-3</v>
      </c>
    </row>
    <row r="4543" spans="1:3" x14ac:dyDescent="0.35">
      <c r="A4543">
        <v>77</v>
      </c>
      <c r="B4543">
        <v>1954</v>
      </c>
      <c r="C4543">
        <v>5.7000000000000002E-3</v>
      </c>
    </row>
    <row r="4544" spans="1:3" x14ac:dyDescent="0.35">
      <c r="A4544">
        <v>77</v>
      </c>
      <c r="B4544">
        <v>1955</v>
      </c>
      <c r="C4544">
        <v>4.1999999999999997E-3</v>
      </c>
    </row>
    <row r="4545" spans="1:3" x14ac:dyDescent="0.35">
      <c r="A4545">
        <v>77</v>
      </c>
      <c r="B4545">
        <v>1956</v>
      </c>
      <c r="C4545">
        <v>2.8999999999999998E-3</v>
      </c>
    </row>
    <row r="4546" spans="1:3" x14ac:dyDescent="0.35">
      <c r="A4546">
        <v>77</v>
      </c>
      <c r="B4546">
        <v>1957</v>
      </c>
      <c r="C4546">
        <v>1.6000000000000001E-3</v>
      </c>
    </row>
    <row r="4547" spans="1:3" x14ac:dyDescent="0.35">
      <c r="A4547">
        <v>77</v>
      </c>
      <c r="B4547">
        <v>1958</v>
      </c>
      <c r="C4547">
        <v>5.0000000000000001E-4</v>
      </c>
    </row>
    <row r="4548" spans="1:3" x14ac:dyDescent="0.35">
      <c r="A4548">
        <v>77</v>
      </c>
      <c r="B4548">
        <v>1959</v>
      </c>
      <c r="C4548">
        <v>-4.0000000000000002E-4</v>
      </c>
    </row>
    <row r="4549" spans="1:3" x14ac:dyDescent="0.35">
      <c r="A4549">
        <v>77</v>
      </c>
      <c r="B4549">
        <v>1960</v>
      </c>
      <c r="C4549">
        <v>-1.1999999999999999E-3</v>
      </c>
    </row>
    <row r="4550" spans="1:3" x14ac:dyDescent="0.35">
      <c r="A4550">
        <v>77</v>
      </c>
      <c r="B4550">
        <v>1961</v>
      </c>
      <c r="C4550">
        <v>-1.9E-3</v>
      </c>
    </row>
    <row r="4551" spans="1:3" x14ac:dyDescent="0.35">
      <c r="A4551">
        <v>77</v>
      </c>
      <c r="B4551">
        <v>1962</v>
      </c>
      <c r="C4551">
        <v>-2.3E-3</v>
      </c>
    </row>
    <row r="4552" spans="1:3" x14ac:dyDescent="0.35">
      <c r="A4552">
        <v>77</v>
      </c>
      <c r="B4552">
        <v>1963</v>
      </c>
      <c r="C4552">
        <v>-2.3999999999999998E-3</v>
      </c>
    </row>
    <row r="4553" spans="1:3" x14ac:dyDescent="0.35">
      <c r="A4553">
        <v>77</v>
      </c>
      <c r="B4553">
        <v>1964</v>
      </c>
      <c r="C4553">
        <v>-2.0999999999999999E-3</v>
      </c>
    </row>
    <row r="4554" spans="1:3" x14ac:dyDescent="0.35">
      <c r="A4554">
        <v>77</v>
      </c>
      <c r="B4554">
        <v>1965</v>
      </c>
      <c r="C4554">
        <v>-1.4E-3</v>
      </c>
    </row>
    <row r="4555" spans="1:3" x14ac:dyDescent="0.35">
      <c r="A4555">
        <v>77</v>
      </c>
      <c r="B4555">
        <v>1966</v>
      </c>
      <c r="C4555">
        <v>-2.9999999999999997E-4</v>
      </c>
    </row>
    <row r="4556" spans="1:3" x14ac:dyDescent="0.35">
      <c r="A4556">
        <v>77</v>
      </c>
      <c r="B4556">
        <v>1967</v>
      </c>
      <c r="C4556">
        <v>1.1999999999999999E-3</v>
      </c>
    </row>
    <row r="4557" spans="1:3" x14ac:dyDescent="0.35">
      <c r="A4557">
        <v>77</v>
      </c>
      <c r="B4557">
        <v>1968</v>
      </c>
      <c r="C4557">
        <v>3.0000000000000001E-3</v>
      </c>
    </row>
    <row r="4558" spans="1:3" x14ac:dyDescent="0.35">
      <c r="A4558">
        <v>77</v>
      </c>
      <c r="B4558">
        <v>1969</v>
      </c>
      <c r="C4558">
        <v>5.1000000000000004E-3</v>
      </c>
    </row>
    <row r="4559" spans="1:3" x14ac:dyDescent="0.35">
      <c r="A4559">
        <v>77</v>
      </c>
      <c r="B4559">
        <v>1970</v>
      </c>
      <c r="C4559">
        <v>7.1999999999999998E-3</v>
      </c>
    </row>
    <row r="4560" spans="1:3" x14ac:dyDescent="0.35">
      <c r="A4560">
        <v>77</v>
      </c>
      <c r="B4560">
        <v>1971</v>
      </c>
      <c r="C4560">
        <v>9.2999999999999992E-3</v>
      </c>
    </row>
    <row r="4561" spans="1:3" x14ac:dyDescent="0.35">
      <c r="A4561">
        <v>77</v>
      </c>
      <c r="B4561">
        <v>1972</v>
      </c>
      <c r="C4561">
        <v>1.12E-2</v>
      </c>
    </row>
    <row r="4562" spans="1:3" x14ac:dyDescent="0.35">
      <c r="A4562">
        <v>77</v>
      </c>
      <c r="B4562">
        <v>1973</v>
      </c>
      <c r="C4562">
        <v>1.2800000000000001E-2</v>
      </c>
    </row>
    <row r="4563" spans="1:3" x14ac:dyDescent="0.35">
      <c r="A4563">
        <v>77</v>
      </c>
      <c r="B4563">
        <v>1974</v>
      </c>
      <c r="C4563">
        <v>1.38E-2</v>
      </c>
    </row>
    <row r="4564" spans="1:3" x14ac:dyDescent="0.35">
      <c r="A4564">
        <v>77</v>
      </c>
      <c r="B4564">
        <v>1975</v>
      </c>
      <c r="C4564">
        <v>1.41E-2</v>
      </c>
    </row>
    <row r="4565" spans="1:3" x14ac:dyDescent="0.35">
      <c r="A4565">
        <v>77</v>
      </c>
      <c r="B4565">
        <v>1976</v>
      </c>
      <c r="C4565">
        <v>1.37E-2</v>
      </c>
    </row>
    <row r="4566" spans="1:3" x14ac:dyDescent="0.35">
      <c r="A4566">
        <v>77</v>
      </c>
      <c r="B4566">
        <v>1977</v>
      </c>
      <c r="C4566">
        <v>1.2800000000000001E-2</v>
      </c>
    </row>
    <row r="4567" spans="1:3" x14ac:dyDescent="0.35">
      <c r="A4567">
        <v>77</v>
      </c>
      <c r="B4567">
        <v>1978</v>
      </c>
      <c r="C4567">
        <v>1.15E-2</v>
      </c>
    </row>
    <row r="4568" spans="1:3" x14ac:dyDescent="0.35">
      <c r="A4568">
        <v>77</v>
      </c>
      <c r="B4568">
        <v>1979</v>
      </c>
      <c r="C4568">
        <v>1.01E-2</v>
      </c>
    </row>
    <row r="4569" spans="1:3" x14ac:dyDescent="0.35">
      <c r="A4569">
        <v>77</v>
      </c>
      <c r="B4569">
        <v>1980</v>
      </c>
      <c r="C4569">
        <v>8.6E-3</v>
      </c>
    </row>
    <row r="4570" spans="1:3" x14ac:dyDescent="0.35">
      <c r="A4570">
        <v>77</v>
      </c>
      <c r="B4570">
        <v>1981</v>
      </c>
      <c r="C4570">
        <v>7.4999999999999997E-3</v>
      </c>
    </row>
    <row r="4571" spans="1:3" x14ac:dyDescent="0.35">
      <c r="A4571">
        <v>77</v>
      </c>
      <c r="B4571">
        <v>1982</v>
      </c>
      <c r="C4571">
        <v>6.7999999999999996E-3</v>
      </c>
    </row>
    <row r="4572" spans="1:3" x14ac:dyDescent="0.35">
      <c r="A4572">
        <v>77</v>
      </c>
      <c r="B4572">
        <v>1983</v>
      </c>
      <c r="C4572">
        <v>6.7000000000000002E-3</v>
      </c>
    </row>
    <row r="4573" spans="1:3" x14ac:dyDescent="0.35">
      <c r="A4573">
        <v>77</v>
      </c>
      <c r="B4573">
        <v>1984</v>
      </c>
      <c r="C4573">
        <v>7.3000000000000001E-3</v>
      </c>
    </row>
    <row r="4574" spans="1:3" x14ac:dyDescent="0.35">
      <c r="A4574">
        <v>77</v>
      </c>
      <c r="B4574">
        <v>1985</v>
      </c>
      <c r="C4574">
        <v>8.3999999999999995E-3</v>
      </c>
    </row>
    <row r="4575" spans="1:3" x14ac:dyDescent="0.35">
      <c r="A4575">
        <v>77</v>
      </c>
      <c r="B4575">
        <v>1986</v>
      </c>
      <c r="C4575">
        <v>9.9000000000000008E-3</v>
      </c>
    </row>
    <row r="4576" spans="1:3" x14ac:dyDescent="0.35">
      <c r="A4576">
        <v>77</v>
      </c>
      <c r="B4576">
        <v>1987</v>
      </c>
      <c r="C4576">
        <v>1.1599999999999999E-2</v>
      </c>
    </row>
    <row r="4577" spans="1:3" x14ac:dyDescent="0.35">
      <c r="A4577">
        <v>77</v>
      </c>
      <c r="B4577">
        <v>1988</v>
      </c>
      <c r="C4577">
        <v>1.3100000000000001E-2</v>
      </c>
    </row>
    <row r="4578" spans="1:3" x14ac:dyDescent="0.35">
      <c r="A4578">
        <v>77</v>
      </c>
      <c r="B4578">
        <v>1989</v>
      </c>
      <c r="C4578">
        <v>1.4200000000000001E-2</v>
      </c>
    </row>
    <row r="4579" spans="1:3" x14ac:dyDescent="0.35">
      <c r="A4579">
        <v>77</v>
      </c>
      <c r="B4579">
        <v>1990</v>
      </c>
      <c r="C4579">
        <v>1.47E-2</v>
      </c>
    </row>
    <row r="4580" spans="1:3" x14ac:dyDescent="0.35">
      <c r="A4580">
        <v>77</v>
      </c>
      <c r="B4580">
        <v>1991</v>
      </c>
      <c r="C4580">
        <v>1.46E-2</v>
      </c>
    </row>
    <row r="4581" spans="1:3" x14ac:dyDescent="0.35">
      <c r="A4581">
        <v>77</v>
      </c>
      <c r="B4581">
        <v>1992</v>
      </c>
      <c r="C4581">
        <v>1.41E-2</v>
      </c>
    </row>
    <row r="4582" spans="1:3" x14ac:dyDescent="0.35">
      <c r="A4582">
        <v>77</v>
      </c>
      <c r="B4582">
        <v>1993</v>
      </c>
      <c r="C4582">
        <v>1.34E-2</v>
      </c>
    </row>
    <row r="4583" spans="1:3" x14ac:dyDescent="0.35">
      <c r="A4583">
        <v>77</v>
      </c>
      <c r="B4583">
        <v>1994</v>
      </c>
      <c r="C4583">
        <v>1.2699999999999999E-2</v>
      </c>
    </row>
    <row r="4584" spans="1:3" x14ac:dyDescent="0.35">
      <c r="A4584">
        <v>77</v>
      </c>
      <c r="B4584">
        <v>1995</v>
      </c>
      <c r="C4584">
        <v>1.2200000000000001E-2</v>
      </c>
    </row>
    <row r="4585" spans="1:3" x14ac:dyDescent="0.35">
      <c r="A4585">
        <v>77</v>
      </c>
      <c r="B4585">
        <v>1996</v>
      </c>
      <c r="C4585">
        <v>1.2200000000000001E-2</v>
      </c>
    </row>
    <row r="4586" spans="1:3" x14ac:dyDescent="0.35">
      <c r="A4586">
        <v>77</v>
      </c>
      <c r="B4586">
        <v>1997</v>
      </c>
      <c r="C4586">
        <v>1.26E-2</v>
      </c>
    </row>
    <row r="4587" spans="1:3" x14ac:dyDescent="0.35">
      <c r="A4587">
        <v>77</v>
      </c>
      <c r="B4587">
        <v>1998</v>
      </c>
      <c r="C4587">
        <v>1.3599999999999999E-2</v>
      </c>
    </row>
    <row r="4588" spans="1:3" x14ac:dyDescent="0.35">
      <c r="A4588">
        <v>77</v>
      </c>
      <c r="B4588">
        <v>1999</v>
      </c>
      <c r="C4588">
        <v>1.5100000000000001E-2</v>
      </c>
    </row>
    <row r="4589" spans="1:3" x14ac:dyDescent="0.35">
      <c r="A4589">
        <v>77</v>
      </c>
      <c r="B4589">
        <v>2000</v>
      </c>
      <c r="C4589">
        <v>1.7000000000000001E-2</v>
      </c>
    </row>
    <row r="4590" spans="1:3" x14ac:dyDescent="0.35">
      <c r="A4590">
        <v>77</v>
      </c>
      <c r="B4590">
        <v>2001</v>
      </c>
      <c r="C4590">
        <v>1.9E-2</v>
      </c>
    </row>
    <row r="4591" spans="1:3" x14ac:dyDescent="0.35">
      <c r="A4591">
        <v>77</v>
      </c>
      <c r="B4591">
        <v>2002</v>
      </c>
      <c r="C4591">
        <v>2.12E-2</v>
      </c>
    </row>
    <row r="4592" spans="1:3" x14ac:dyDescent="0.35">
      <c r="A4592">
        <v>77</v>
      </c>
      <c r="B4592">
        <v>2003</v>
      </c>
      <c r="C4592">
        <v>2.3E-2</v>
      </c>
    </row>
    <row r="4593" spans="1:3" x14ac:dyDescent="0.35">
      <c r="A4593">
        <v>77</v>
      </c>
      <c r="B4593">
        <v>2004</v>
      </c>
      <c r="C4593">
        <v>2.4400000000000002E-2</v>
      </c>
    </row>
    <row r="4594" spans="1:3" x14ac:dyDescent="0.35">
      <c r="A4594">
        <v>77</v>
      </c>
      <c r="B4594">
        <v>2005</v>
      </c>
      <c r="C4594">
        <v>2.52E-2</v>
      </c>
    </row>
    <row r="4595" spans="1:3" x14ac:dyDescent="0.35">
      <c r="A4595">
        <v>77</v>
      </c>
      <c r="B4595">
        <v>2006</v>
      </c>
      <c r="C4595">
        <v>2.52E-2</v>
      </c>
    </row>
    <row r="4596" spans="1:3" x14ac:dyDescent="0.35">
      <c r="A4596">
        <v>77</v>
      </c>
      <c r="B4596">
        <v>2007</v>
      </c>
      <c r="C4596">
        <v>2.4500000000000001E-2</v>
      </c>
    </row>
    <row r="4597" spans="1:3" x14ac:dyDescent="0.35">
      <c r="A4597">
        <v>77</v>
      </c>
      <c r="B4597">
        <v>2008</v>
      </c>
      <c r="C4597">
        <v>2.3099999999999999E-2</v>
      </c>
    </row>
    <row r="4598" spans="1:3" x14ac:dyDescent="0.35">
      <c r="A4598">
        <v>77</v>
      </c>
      <c r="B4598">
        <v>2009</v>
      </c>
      <c r="C4598">
        <v>2.1100000000000001E-2</v>
      </c>
    </row>
    <row r="4599" spans="1:3" x14ac:dyDescent="0.35">
      <c r="A4599">
        <v>77</v>
      </c>
      <c r="B4599">
        <v>2010</v>
      </c>
      <c r="C4599">
        <v>1.8700000000000001E-2</v>
      </c>
    </row>
    <row r="4600" spans="1:3" x14ac:dyDescent="0.35">
      <c r="A4600">
        <v>77</v>
      </c>
      <c r="B4600">
        <v>2011</v>
      </c>
      <c r="C4600">
        <v>1.6E-2</v>
      </c>
    </row>
    <row r="4601" spans="1:3" x14ac:dyDescent="0.35">
      <c r="A4601">
        <v>77</v>
      </c>
      <c r="B4601">
        <v>2012</v>
      </c>
      <c r="C4601">
        <v>1.3100000000000001E-2</v>
      </c>
    </row>
    <row r="4602" spans="1:3" x14ac:dyDescent="0.35">
      <c r="A4602">
        <v>77</v>
      </c>
      <c r="B4602">
        <v>2013</v>
      </c>
      <c r="C4602">
        <v>1.3100000000000001E-2</v>
      </c>
    </row>
    <row r="4603" spans="1:3" x14ac:dyDescent="0.35">
      <c r="A4603">
        <v>77</v>
      </c>
      <c r="B4603">
        <v>2014</v>
      </c>
      <c r="C4603">
        <v>1.2999999999999999E-2</v>
      </c>
    </row>
    <row r="4604" spans="1:3" x14ac:dyDescent="0.35">
      <c r="A4604">
        <v>77</v>
      </c>
      <c r="B4604">
        <v>2015</v>
      </c>
      <c r="C4604">
        <v>1.2699999999999999E-2</v>
      </c>
    </row>
    <row r="4605" spans="1:3" x14ac:dyDescent="0.35">
      <c r="A4605">
        <v>77</v>
      </c>
      <c r="B4605">
        <v>2016</v>
      </c>
      <c r="C4605">
        <v>1.24E-2</v>
      </c>
    </row>
    <row r="4606" spans="1:3" x14ac:dyDescent="0.35">
      <c r="A4606">
        <v>77</v>
      </c>
      <c r="B4606">
        <v>2017</v>
      </c>
      <c r="C4606">
        <v>1.1900000000000001E-2</v>
      </c>
    </row>
    <row r="4607" spans="1:3" x14ac:dyDescent="0.35">
      <c r="A4607">
        <v>77</v>
      </c>
      <c r="B4607">
        <v>2018</v>
      </c>
      <c r="C4607">
        <v>1.14E-2</v>
      </c>
    </row>
    <row r="4608" spans="1:3" x14ac:dyDescent="0.35">
      <c r="A4608">
        <v>77</v>
      </c>
      <c r="B4608">
        <v>2019</v>
      </c>
      <c r="C4608">
        <v>1.0800000000000001E-2</v>
      </c>
    </row>
    <row r="4609" spans="1:3" x14ac:dyDescent="0.35">
      <c r="A4609">
        <v>77</v>
      </c>
      <c r="B4609">
        <v>2020</v>
      </c>
      <c r="C4609">
        <v>1.0200000000000001E-2</v>
      </c>
    </row>
    <row r="4610" spans="1:3" x14ac:dyDescent="0.35">
      <c r="A4610">
        <v>77</v>
      </c>
      <c r="B4610">
        <v>2021</v>
      </c>
      <c r="C4610">
        <v>9.7000000000000003E-3</v>
      </c>
    </row>
    <row r="4611" spans="1:3" x14ac:dyDescent="0.35">
      <c r="A4611">
        <v>77</v>
      </c>
      <c r="B4611">
        <v>2022</v>
      </c>
      <c r="C4611">
        <v>9.2999999999999992E-3</v>
      </c>
    </row>
    <row r="4612" spans="1:3" x14ac:dyDescent="0.35">
      <c r="A4612">
        <v>77</v>
      </c>
      <c r="B4612">
        <v>2023</v>
      </c>
      <c r="C4612">
        <v>8.9999999999999993E-3</v>
      </c>
    </row>
    <row r="4613" spans="1:3" x14ac:dyDescent="0.35">
      <c r="A4613">
        <v>77</v>
      </c>
      <c r="B4613">
        <v>2024</v>
      </c>
      <c r="C4613">
        <v>8.8000000000000005E-3</v>
      </c>
    </row>
    <row r="4614" spans="1:3" x14ac:dyDescent="0.35">
      <c r="A4614">
        <v>77</v>
      </c>
      <c r="B4614">
        <v>2025</v>
      </c>
      <c r="C4614">
        <v>8.6999999999999994E-3</v>
      </c>
    </row>
    <row r="4615" spans="1:3" x14ac:dyDescent="0.35">
      <c r="A4615">
        <v>77</v>
      </c>
      <c r="B4615">
        <v>2026</v>
      </c>
      <c r="C4615">
        <v>8.8000000000000005E-3</v>
      </c>
    </row>
    <row r="4616" spans="1:3" x14ac:dyDescent="0.35">
      <c r="A4616">
        <v>77</v>
      </c>
      <c r="B4616">
        <v>2027</v>
      </c>
      <c r="C4616">
        <v>8.9999999999999993E-3</v>
      </c>
    </row>
    <row r="4617" spans="1:3" x14ac:dyDescent="0.35">
      <c r="A4617">
        <v>77</v>
      </c>
      <c r="B4617">
        <v>2028</v>
      </c>
      <c r="C4617">
        <v>9.2999999999999992E-3</v>
      </c>
    </row>
    <row r="4618" spans="1:3" x14ac:dyDescent="0.35">
      <c r="A4618">
        <v>77</v>
      </c>
      <c r="B4618">
        <v>2029</v>
      </c>
      <c r="C4618">
        <v>9.5999999999999992E-3</v>
      </c>
    </row>
    <row r="4619" spans="1:3" x14ac:dyDescent="0.35">
      <c r="A4619">
        <v>77</v>
      </c>
      <c r="B4619">
        <v>2030</v>
      </c>
      <c r="C4619">
        <v>9.7999999999999997E-3</v>
      </c>
    </row>
    <row r="4620" spans="1:3" x14ac:dyDescent="0.35">
      <c r="A4620">
        <v>77</v>
      </c>
      <c r="B4620">
        <v>2031</v>
      </c>
      <c r="C4620">
        <v>0.01</v>
      </c>
    </row>
    <row r="4621" spans="1:3" x14ac:dyDescent="0.35">
      <c r="A4621">
        <v>78</v>
      </c>
      <c r="B4621">
        <v>1951</v>
      </c>
      <c r="C4621">
        <v>9.7999999999999997E-3</v>
      </c>
    </row>
    <row r="4622" spans="1:3" x14ac:dyDescent="0.35">
      <c r="A4622">
        <v>78</v>
      </c>
      <c r="B4622">
        <v>1952</v>
      </c>
      <c r="C4622">
        <v>8.3999999999999995E-3</v>
      </c>
    </row>
    <row r="4623" spans="1:3" x14ac:dyDescent="0.35">
      <c r="A4623">
        <v>78</v>
      </c>
      <c r="B4623">
        <v>1953</v>
      </c>
      <c r="C4623">
        <v>6.8999999999999999E-3</v>
      </c>
    </row>
    <row r="4624" spans="1:3" x14ac:dyDescent="0.35">
      <c r="A4624">
        <v>78</v>
      </c>
      <c r="B4624">
        <v>1954</v>
      </c>
      <c r="C4624">
        <v>5.4999999999999997E-3</v>
      </c>
    </row>
    <row r="4625" spans="1:3" x14ac:dyDescent="0.35">
      <c r="A4625">
        <v>78</v>
      </c>
      <c r="B4625">
        <v>1955</v>
      </c>
      <c r="C4625">
        <v>4.1000000000000003E-3</v>
      </c>
    </row>
    <row r="4626" spans="1:3" x14ac:dyDescent="0.35">
      <c r="A4626">
        <v>78</v>
      </c>
      <c r="B4626">
        <v>1956</v>
      </c>
      <c r="C4626">
        <v>2.8E-3</v>
      </c>
    </row>
    <row r="4627" spans="1:3" x14ac:dyDescent="0.35">
      <c r="A4627">
        <v>78</v>
      </c>
      <c r="B4627">
        <v>1957</v>
      </c>
      <c r="C4627">
        <v>1.6000000000000001E-3</v>
      </c>
    </row>
    <row r="4628" spans="1:3" x14ac:dyDescent="0.35">
      <c r="A4628">
        <v>78</v>
      </c>
      <c r="B4628">
        <v>1958</v>
      </c>
      <c r="C4628">
        <v>5.0000000000000001E-4</v>
      </c>
    </row>
    <row r="4629" spans="1:3" x14ac:dyDescent="0.35">
      <c r="A4629">
        <v>78</v>
      </c>
      <c r="B4629">
        <v>1959</v>
      </c>
      <c r="C4629">
        <v>-4.0000000000000002E-4</v>
      </c>
    </row>
    <row r="4630" spans="1:3" x14ac:dyDescent="0.35">
      <c r="A4630">
        <v>78</v>
      </c>
      <c r="B4630">
        <v>1960</v>
      </c>
      <c r="C4630">
        <v>-1.1999999999999999E-3</v>
      </c>
    </row>
    <row r="4631" spans="1:3" x14ac:dyDescent="0.35">
      <c r="A4631">
        <v>78</v>
      </c>
      <c r="B4631">
        <v>1961</v>
      </c>
      <c r="C4631">
        <v>-1.8E-3</v>
      </c>
    </row>
    <row r="4632" spans="1:3" x14ac:dyDescent="0.35">
      <c r="A4632">
        <v>78</v>
      </c>
      <c r="B4632">
        <v>1962</v>
      </c>
      <c r="C4632">
        <v>-2.0999999999999999E-3</v>
      </c>
    </row>
    <row r="4633" spans="1:3" x14ac:dyDescent="0.35">
      <c r="A4633">
        <v>78</v>
      </c>
      <c r="B4633">
        <v>1963</v>
      </c>
      <c r="C4633">
        <v>-2.2000000000000001E-3</v>
      </c>
    </row>
    <row r="4634" spans="1:3" x14ac:dyDescent="0.35">
      <c r="A4634">
        <v>78</v>
      </c>
      <c r="B4634">
        <v>1964</v>
      </c>
      <c r="C4634">
        <v>-1.8E-3</v>
      </c>
    </row>
    <row r="4635" spans="1:3" x14ac:dyDescent="0.35">
      <c r="A4635">
        <v>78</v>
      </c>
      <c r="B4635">
        <v>1965</v>
      </c>
      <c r="C4635">
        <v>-1.1000000000000001E-3</v>
      </c>
    </row>
    <row r="4636" spans="1:3" x14ac:dyDescent="0.35">
      <c r="A4636">
        <v>78</v>
      </c>
      <c r="B4636">
        <v>1966</v>
      </c>
      <c r="C4636">
        <v>0</v>
      </c>
    </row>
    <row r="4637" spans="1:3" x14ac:dyDescent="0.35">
      <c r="A4637">
        <v>78</v>
      </c>
      <c r="B4637">
        <v>1967</v>
      </c>
      <c r="C4637">
        <v>1.5E-3</v>
      </c>
    </row>
    <row r="4638" spans="1:3" x14ac:dyDescent="0.35">
      <c r="A4638">
        <v>78</v>
      </c>
      <c r="B4638">
        <v>1968</v>
      </c>
      <c r="C4638">
        <v>3.3E-3</v>
      </c>
    </row>
    <row r="4639" spans="1:3" x14ac:dyDescent="0.35">
      <c r="A4639">
        <v>78</v>
      </c>
      <c r="B4639">
        <v>1969</v>
      </c>
      <c r="C4639">
        <v>5.3E-3</v>
      </c>
    </row>
    <row r="4640" spans="1:3" x14ac:dyDescent="0.35">
      <c r="A4640">
        <v>78</v>
      </c>
      <c r="B4640">
        <v>1970</v>
      </c>
      <c r="C4640">
        <v>7.4000000000000003E-3</v>
      </c>
    </row>
    <row r="4641" spans="1:3" x14ac:dyDescent="0.35">
      <c r="A4641">
        <v>78</v>
      </c>
      <c r="B4641">
        <v>1971</v>
      </c>
      <c r="C4641">
        <v>9.4999999999999998E-3</v>
      </c>
    </row>
    <row r="4642" spans="1:3" x14ac:dyDescent="0.35">
      <c r="A4642">
        <v>78</v>
      </c>
      <c r="B4642">
        <v>1972</v>
      </c>
      <c r="C4642">
        <v>1.1299999999999999E-2</v>
      </c>
    </row>
    <row r="4643" spans="1:3" x14ac:dyDescent="0.35">
      <c r="A4643">
        <v>78</v>
      </c>
      <c r="B4643">
        <v>1973</v>
      </c>
      <c r="C4643">
        <v>1.2800000000000001E-2</v>
      </c>
    </row>
    <row r="4644" spans="1:3" x14ac:dyDescent="0.35">
      <c r="A4644">
        <v>78</v>
      </c>
      <c r="B4644">
        <v>1974</v>
      </c>
      <c r="C4644">
        <v>1.38E-2</v>
      </c>
    </row>
    <row r="4645" spans="1:3" x14ac:dyDescent="0.35">
      <c r="A4645">
        <v>78</v>
      </c>
      <c r="B4645">
        <v>1975</v>
      </c>
      <c r="C4645">
        <v>1.4E-2</v>
      </c>
    </row>
    <row r="4646" spans="1:3" x14ac:dyDescent="0.35">
      <c r="A4646">
        <v>78</v>
      </c>
      <c r="B4646">
        <v>1976</v>
      </c>
      <c r="C4646">
        <v>1.37E-2</v>
      </c>
    </row>
    <row r="4647" spans="1:3" x14ac:dyDescent="0.35">
      <c r="A4647">
        <v>78</v>
      </c>
      <c r="B4647">
        <v>1977</v>
      </c>
      <c r="C4647">
        <v>1.2699999999999999E-2</v>
      </c>
    </row>
    <row r="4648" spans="1:3" x14ac:dyDescent="0.35">
      <c r="A4648">
        <v>78</v>
      </c>
      <c r="B4648">
        <v>1978</v>
      </c>
      <c r="C4648">
        <v>1.14E-2</v>
      </c>
    </row>
    <row r="4649" spans="1:3" x14ac:dyDescent="0.35">
      <c r="A4649">
        <v>78</v>
      </c>
      <c r="B4649">
        <v>1979</v>
      </c>
      <c r="C4649">
        <v>9.7999999999999997E-3</v>
      </c>
    </row>
    <row r="4650" spans="1:3" x14ac:dyDescent="0.35">
      <c r="A4650">
        <v>78</v>
      </c>
      <c r="B4650">
        <v>1980</v>
      </c>
      <c r="C4650">
        <v>8.3000000000000001E-3</v>
      </c>
    </row>
    <row r="4651" spans="1:3" x14ac:dyDescent="0.35">
      <c r="A4651">
        <v>78</v>
      </c>
      <c r="B4651">
        <v>1981</v>
      </c>
      <c r="C4651">
        <v>7.1000000000000004E-3</v>
      </c>
    </row>
    <row r="4652" spans="1:3" x14ac:dyDescent="0.35">
      <c r="A4652">
        <v>78</v>
      </c>
      <c r="B4652">
        <v>1982</v>
      </c>
      <c r="C4652">
        <v>6.3E-3</v>
      </c>
    </row>
    <row r="4653" spans="1:3" x14ac:dyDescent="0.35">
      <c r="A4653">
        <v>78</v>
      </c>
      <c r="B4653">
        <v>1983</v>
      </c>
      <c r="C4653">
        <v>6.1000000000000004E-3</v>
      </c>
    </row>
    <row r="4654" spans="1:3" x14ac:dyDescent="0.35">
      <c r="A4654">
        <v>78</v>
      </c>
      <c r="B4654">
        <v>1984</v>
      </c>
      <c r="C4654">
        <v>6.4999999999999997E-3</v>
      </c>
    </row>
    <row r="4655" spans="1:3" x14ac:dyDescent="0.35">
      <c r="A4655">
        <v>78</v>
      </c>
      <c r="B4655">
        <v>1985</v>
      </c>
      <c r="C4655">
        <v>7.4999999999999997E-3</v>
      </c>
    </row>
    <row r="4656" spans="1:3" x14ac:dyDescent="0.35">
      <c r="A4656">
        <v>78</v>
      </c>
      <c r="B4656">
        <v>1986</v>
      </c>
      <c r="C4656">
        <v>8.8999999999999999E-3</v>
      </c>
    </row>
    <row r="4657" spans="1:3" x14ac:dyDescent="0.35">
      <c r="A4657">
        <v>78</v>
      </c>
      <c r="B4657">
        <v>1987</v>
      </c>
      <c r="C4657">
        <v>1.04E-2</v>
      </c>
    </row>
    <row r="4658" spans="1:3" x14ac:dyDescent="0.35">
      <c r="A4658">
        <v>78</v>
      </c>
      <c r="B4658">
        <v>1988</v>
      </c>
      <c r="C4658">
        <v>1.1900000000000001E-2</v>
      </c>
    </row>
    <row r="4659" spans="1:3" x14ac:dyDescent="0.35">
      <c r="A4659">
        <v>78</v>
      </c>
      <c r="B4659">
        <v>1989</v>
      </c>
      <c r="C4659">
        <v>1.2999999999999999E-2</v>
      </c>
    </row>
    <row r="4660" spans="1:3" x14ac:dyDescent="0.35">
      <c r="A4660">
        <v>78</v>
      </c>
      <c r="B4660">
        <v>1990</v>
      </c>
      <c r="C4660">
        <v>1.35E-2</v>
      </c>
    </row>
    <row r="4661" spans="1:3" x14ac:dyDescent="0.35">
      <c r="A4661">
        <v>78</v>
      </c>
      <c r="B4661">
        <v>1991</v>
      </c>
      <c r="C4661">
        <v>1.3599999999999999E-2</v>
      </c>
    </row>
    <row r="4662" spans="1:3" x14ac:dyDescent="0.35">
      <c r="A4662">
        <v>78</v>
      </c>
      <c r="B4662">
        <v>1992</v>
      </c>
      <c r="C4662">
        <v>1.32E-2</v>
      </c>
    </row>
    <row r="4663" spans="1:3" x14ac:dyDescent="0.35">
      <c r="A4663">
        <v>78</v>
      </c>
      <c r="B4663">
        <v>1993</v>
      </c>
      <c r="C4663">
        <v>1.26E-2</v>
      </c>
    </row>
    <row r="4664" spans="1:3" x14ac:dyDescent="0.35">
      <c r="A4664">
        <v>78</v>
      </c>
      <c r="B4664">
        <v>1994</v>
      </c>
      <c r="C4664">
        <v>1.2E-2</v>
      </c>
    </row>
    <row r="4665" spans="1:3" x14ac:dyDescent="0.35">
      <c r="A4665">
        <v>78</v>
      </c>
      <c r="B4665">
        <v>1995</v>
      </c>
      <c r="C4665">
        <v>1.17E-2</v>
      </c>
    </row>
    <row r="4666" spans="1:3" x14ac:dyDescent="0.35">
      <c r="A4666">
        <v>78</v>
      </c>
      <c r="B4666">
        <v>1996</v>
      </c>
      <c r="C4666">
        <v>1.17E-2</v>
      </c>
    </row>
    <row r="4667" spans="1:3" x14ac:dyDescent="0.35">
      <c r="A4667">
        <v>78</v>
      </c>
      <c r="B4667">
        <v>1997</v>
      </c>
      <c r="C4667">
        <v>1.2200000000000001E-2</v>
      </c>
    </row>
    <row r="4668" spans="1:3" x14ac:dyDescent="0.35">
      <c r="A4668">
        <v>78</v>
      </c>
      <c r="B4668">
        <v>1998</v>
      </c>
      <c r="C4668">
        <v>1.32E-2</v>
      </c>
    </row>
    <row r="4669" spans="1:3" x14ac:dyDescent="0.35">
      <c r="A4669">
        <v>78</v>
      </c>
      <c r="B4669">
        <v>1999</v>
      </c>
      <c r="C4669">
        <v>1.46E-2</v>
      </c>
    </row>
    <row r="4670" spans="1:3" x14ac:dyDescent="0.35">
      <c r="A4670">
        <v>78</v>
      </c>
      <c r="B4670">
        <v>2000</v>
      </c>
      <c r="C4670">
        <v>1.6400000000000001E-2</v>
      </c>
    </row>
    <row r="4671" spans="1:3" x14ac:dyDescent="0.35">
      <c r="A4671">
        <v>78</v>
      </c>
      <c r="B4671">
        <v>2001</v>
      </c>
      <c r="C4671">
        <v>1.8499999999999999E-2</v>
      </c>
    </row>
    <row r="4672" spans="1:3" x14ac:dyDescent="0.35">
      <c r="A4672">
        <v>78</v>
      </c>
      <c r="B4672">
        <v>2002</v>
      </c>
      <c r="C4672">
        <v>2.0500000000000001E-2</v>
      </c>
    </row>
    <row r="4673" spans="1:3" x14ac:dyDescent="0.35">
      <c r="A4673">
        <v>78</v>
      </c>
      <c r="B4673">
        <v>2003</v>
      </c>
      <c r="C4673">
        <v>2.23E-2</v>
      </c>
    </row>
    <row r="4674" spans="1:3" x14ac:dyDescent="0.35">
      <c r="A4674">
        <v>78</v>
      </c>
      <c r="B4674">
        <v>2004</v>
      </c>
      <c r="C4674">
        <v>2.3699999999999999E-2</v>
      </c>
    </row>
    <row r="4675" spans="1:3" x14ac:dyDescent="0.35">
      <c r="A4675">
        <v>78</v>
      </c>
      <c r="B4675">
        <v>2005</v>
      </c>
      <c r="C4675">
        <v>2.4500000000000001E-2</v>
      </c>
    </row>
    <row r="4676" spans="1:3" x14ac:dyDescent="0.35">
      <c r="A4676">
        <v>78</v>
      </c>
      <c r="B4676">
        <v>2006</v>
      </c>
      <c r="C4676">
        <v>2.4500000000000001E-2</v>
      </c>
    </row>
    <row r="4677" spans="1:3" x14ac:dyDescent="0.35">
      <c r="A4677">
        <v>78</v>
      </c>
      <c r="B4677">
        <v>2007</v>
      </c>
      <c r="C4677">
        <v>2.3800000000000002E-2</v>
      </c>
    </row>
    <row r="4678" spans="1:3" x14ac:dyDescent="0.35">
      <c r="A4678">
        <v>78</v>
      </c>
      <c r="B4678">
        <v>2008</v>
      </c>
      <c r="C4678">
        <v>2.2499999999999999E-2</v>
      </c>
    </row>
    <row r="4679" spans="1:3" x14ac:dyDescent="0.35">
      <c r="A4679">
        <v>78</v>
      </c>
      <c r="B4679">
        <v>2009</v>
      </c>
      <c r="C4679">
        <v>2.06E-2</v>
      </c>
    </row>
    <row r="4680" spans="1:3" x14ac:dyDescent="0.35">
      <c r="A4680">
        <v>78</v>
      </c>
      <c r="B4680">
        <v>2010</v>
      </c>
      <c r="C4680">
        <v>1.83E-2</v>
      </c>
    </row>
    <row r="4681" spans="1:3" x14ac:dyDescent="0.35">
      <c r="A4681">
        <v>78</v>
      </c>
      <c r="B4681">
        <v>2011</v>
      </c>
      <c r="C4681">
        <v>1.5599999999999999E-2</v>
      </c>
    </row>
    <row r="4682" spans="1:3" x14ac:dyDescent="0.35">
      <c r="A4682">
        <v>78</v>
      </c>
      <c r="B4682">
        <v>2012</v>
      </c>
      <c r="C4682">
        <v>1.29E-2</v>
      </c>
    </row>
    <row r="4683" spans="1:3" x14ac:dyDescent="0.35">
      <c r="A4683">
        <v>78</v>
      </c>
      <c r="B4683">
        <v>2013</v>
      </c>
      <c r="C4683">
        <v>1.29E-2</v>
      </c>
    </row>
    <row r="4684" spans="1:3" x14ac:dyDescent="0.35">
      <c r="A4684">
        <v>78</v>
      </c>
      <c r="B4684">
        <v>2014</v>
      </c>
      <c r="C4684">
        <v>1.2800000000000001E-2</v>
      </c>
    </row>
    <row r="4685" spans="1:3" x14ac:dyDescent="0.35">
      <c r="A4685">
        <v>78</v>
      </c>
      <c r="B4685">
        <v>2015</v>
      </c>
      <c r="C4685">
        <v>1.26E-2</v>
      </c>
    </row>
    <row r="4686" spans="1:3" x14ac:dyDescent="0.35">
      <c r="A4686">
        <v>78</v>
      </c>
      <c r="B4686">
        <v>2016</v>
      </c>
      <c r="C4686">
        <v>1.23E-2</v>
      </c>
    </row>
    <row r="4687" spans="1:3" x14ac:dyDescent="0.35">
      <c r="A4687">
        <v>78</v>
      </c>
      <c r="B4687">
        <v>2017</v>
      </c>
      <c r="C4687">
        <v>1.2E-2</v>
      </c>
    </row>
    <row r="4688" spans="1:3" x14ac:dyDescent="0.35">
      <c r="A4688">
        <v>78</v>
      </c>
      <c r="B4688">
        <v>2018</v>
      </c>
      <c r="C4688">
        <v>1.15E-2</v>
      </c>
    </row>
    <row r="4689" spans="1:3" x14ac:dyDescent="0.35">
      <c r="A4689">
        <v>78</v>
      </c>
      <c r="B4689">
        <v>2019</v>
      </c>
      <c r="C4689">
        <v>1.0999999999999999E-2</v>
      </c>
    </row>
    <row r="4690" spans="1:3" x14ac:dyDescent="0.35">
      <c r="A4690">
        <v>78</v>
      </c>
      <c r="B4690">
        <v>2020</v>
      </c>
      <c r="C4690">
        <v>1.0500000000000001E-2</v>
      </c>
    </row>
    <row r="4691" spans="1:3" x14ac:dyDescent="0.35">
      <c r="A4691">
        <v>78</v>
      </c>
      <c r="B4691">
        <v>2021</v>
      </c>
      <c r="C4691">
        <v>0.01</v>
      </c>
    </row>
    <row r="4692" spans="1:3" x14ac:dyDescent="0.35">
      <c r="A4692">
        <v>78</v>
      </c>
      <c r="B4692">
        <v>2022</v>
      </c>
      <c r="C4692">
        <v>9.7000000000000003E-3</v>
      </c>
    </row>
    <row r="4693" spans="1:3" x14ac:dyDescent="0.35">
      <c r="A4693">
        <v>78</v>
      </c>
      <c r="B4693">
        <v>2023</v>
      </c>
      <c r="C4693">
        <v>9.2999999999999992E-3</v>
      </c>
    </row>
    <row r="4694" spans="1:3" x14ac:dyDescent="0.35">
      <c r="A4694">
        <v>78</v>
      </c>
      <c r="B4694">
        <v>2024</v>
      </c>
      <c r="C4694">
        <v>9.1000000000000004E-3</v>
      </c>
    </row>
    <row r="4695" spans="1:3" x14ac:dyDescent="0.35">
      <c r="A4695">
        <v>78</v>
      </c>
      <c r="B4695">
        <v>2025</v>
      </c>
      <c r="C4695">
        <v>8.9999999999999993E-3</v>
      </c>
    </row>
    <row r="4696" spans="1:3" x14ac:dyDescent="0.35">
      <c r="A4696">
        <v>78</v>
      </c>
      <c r="B4696">
        <v>2026</v>
      </c>
      <c r="C4696">
        <v>8.9999999999999993E-3</v>
      </c>
    </row>
    <row r="4697" spans="1:3" x14ac:dyDescent="0.35">
      <c r="A4697">
        <v>78</v>
      </c>
      <c r="B4697">
        <v>2027</v>
      </c>
      <c r="C4697">
        <v>9.1000000000000004E-3</v>
      </c>
    </row>
    <row r="4698" spans="1:3" x14ac:dyDescent="0.35">
      <c r="A4698">
        <v>78</v>
      </c>
      <c r="B4698">
        <v>2028</v>
      </c>
      <c r="C4698">
        <v>9.2999999999999992E-3</v>
      </c>
    </row>
    <row r="4699" spans="1:3" x14ac:dyDescent="0.35">
      <c r="A4699">
        <v>78</v>
      </c>
      <c r="B4699">
        <v>2029</v>
      </c>
      <c r="C4699">
        <v>9.5999999999999992E-3</v>
      </c>
    </row>
    <row r="4700" spans="1:3" x14ac:dyDescent="0.35">
      <c r="A4700">
        <v>78</v>
      </c>
      <c r="B4700">
        <v>2030</v>
      </c>
      <c r="C4700">
        <v>9.7999999999999997E-3</v>
      </c>
    </row>
    <row r="4701" spans="1:3" x14ac:dyDescent="0.35">
      <c r="A4701">
        <v>78</v>
      </c>
      <c r="B4701">
        <v>2031</v>
      </c>
      <c r="C4701">
        <v>9.9000000000000008E-3</v>
      </c>
    </row>
    <row r="4702" spans="1:3" x14ac:dyDescent="0.35">
      <c r="A4702">
        <v>79</v>
      </c>
      <c r="B4702">
        <v>1951</v>
      </c>
      <c r="C4702">
        <v>9.1999999999999998E-3</v>
      </c>
    </row>
    <row r="4703" spans="1:3" x14ac:dyDescent="0.35">
      <c r="A4703">
        <v>79</v>
      </c>
      <c r="B4703">
        <v>1952</v>
      </c>
      <c r="C4703">
        <v>7.9000000000000008E-3</v>
      </c>
    </row>
    <row r="4704" spans="1:3" x14ac:dyDescent="0.35">
      <c r="A4704">
        <v>79</v>
      </c>
      <c r="B4704">
        <v>1953</v>
      </c>
      <c r="C4704">
        <v>6.4999999999999997E-3</v>
      </c>
    </row>
    <row r="4705" spans="1:3" x14ac:dyDescent="0.35">
      <c r="A4705">
        <v>79</v>
      </c>
      <c r="B4705">
        <v>1954</v>
      </c>
      <c r="C4705">
        <v>5.1999999999999998E-3</v>
      </c>
    </row>
    <row r="4706" spans="1:3" x14ac:dyDescent="0.35">
      <c r="A4706">
        <v>79</v>
      </c>
      <c r="B4706">
        <v>1955</v>
      </c>
      <c r="C4706">
        <v>3.8999999999999998E-3</v>
      </c>
    </row>
    <row r="4707" spans="1:3" x14ac:dyDescent="0.35">
      <c r="A4707">
        <v>79</v>
      </c>
      <c r="B4707">
        <v>1956</v>
      </c>
      <c r="C4707">
        <v>2.5999999999999999E-3</v>
      </c>
    </row>
    <row r="4708" spans="1:3" x14ac:dyDescent="0.35">
      <c r="A4708">
        <v>79</v>
      </c>
      <c r="B4708">
        <v>1957</v>
      </c>
      <c r="C4708">
        <v>1.4E-3</v>
      </c>
    </row>
    <row r="4709" spans="1:3" x14ac:dyDescent="0.35">
      <c r="A4709">
        <v>79</v>
      </c>
      <c r="B4709">
        <v>1958</v>
      </c>
      <c r="C4709">
        <v>4.0000000000000002E-4</v>
      </c>
    </row>
    <row r="4710" spans="1:3" x14ac:dyDescent="0.35">
      <c r="A4710">
        <v>79</v>
      </c>
      <c r="B4710">
        <v>1959</v>
      </c>
      <c r="C4710">
        <v>-5.0000000000000001E-4</v>
      </c>
    </row>
    <row r="4711" spans="1:3" x14ac:dyDescent="0.35">
      <c r="A4711">
        <v>79</v>
      </c>
      <c r="B4711">
        <v>1960</v>
      </c>
      <c r="C4711">
        <v>-1.1999999999999999E-3</v>
      </c>
    </row>
    <row r="4712" spans="1:3" x14ac:dyDescent="0.35">
      <c r="A4712">
        <v>79</v>
      </c>
      <c r="B4712">
        <v>1961</v>
      </c>
      <c r="C4712">
        <v>-1.6999999999999999E-3</v>
      </c>
    </row>
    <row r="4713" spans="1:3" x14ac:dyDescent="0.35">
      <c r="A4713">
        <v>79</v>
      </c>
      <c r="B4713">
        <v>1962</v>
      </c>
      <c r="C4713">
        <v>-2E-3</v>
      </c>
    </row>
    <row r="4714" spans="1:3" x14ac:dyDescent="0.35">
      <c r="A4714">
        <v>79</v>
      </c>
      <c r="B4714">
        <v>1963</v>
      </c>
      <c r="C4714">
        <v>-1.9E-3</v>
      </c>
    </row>
    <row r="4715" spans="1:3" x14ac:dyDescent="0.35">
      <c r="A4715">
        <v>79</v>
      </c>
      <c r="B4715">
        <v>1964</v>
      </c>
      <c r="C4715">
        <v>-1.5E-3</v>
      </c>
    </row>
    <row r="4716" spans="1:3" x14ac:dyDescent="0.35">
      <c r="A4716">
        <v>79</v>
      </c>
      <c r="B4716">
        <v>1965</v>
      </c>
      <c r="C4716">
        <v>-6.9999999999999999E-4</v>
      </c>
    </row>
    <row r="4717" spans="1:3" x14ac:dyDescent="0.35">
      <c r="A4717">
        <v>79</v>
      </c>
      <c r="B4717">
        <v>1966</v>
      </c>
      <c r="C4717">
        <v>5.0000000000000001E-4</v>
      </c>
    </row>
    <row r="4718" spans="1:3" x14ac:dyDescent="0.35">
      <c r="A4718">
        <v>79</v>
      </c>
      <c r="B4718">
        <v>1967</v>
      </c>
      <c r="C4718">
        <v>1.9E-3</v>
      </c>
    </row>
    <row r="4719" spans="1:3" x14ac:dyDescent="0.35">
      <c r="A4719">
        <v>79</v>
      </c>
      <c r="B4719">
        <v>1968</v>
      </c>
      <c r="C4719">
        <v>3.7000000000000002E-3</v>
      </c>
    </row>
    <row r="4720" spans="1:3" x14ac:dyDescent="0.35">
      <c r="A4720">
        <v>79</v>
      </c>
      <c r="B4720">
        <v>1969</v>
      </c>
      <c r="C4720">
        <v>5.7000000000000002E-3</v>
      </c>
    </row>
    <row r="4721" spans="1:3" x14ac:dyDescent="0.35">
      <c r="A4721">
        <v>79</v>
      </c>
      <c r="B4721">
        <v>1970</v>
      </c>
      <c r="C4721">
        <v>7.7000000000000002E-3</v>
      </c>
    </row>
    <row r="4722" spans="1:3" x14ac:dyDescent="0.35">
      <c r="A4722">
        <v>79</v>
      </c>
      <c r="B4722">
        <v>1971</v>
      </c>
      <c r="C4722">
        <v>9.7000000000000003E-3</v>
      </c>
    </row>
    <row r="4723" spans="1:3" x14ac:dyDescent="0.35">
      <c r="A4723">
        <v>79</v>
      </c>
      <c r="B4723">
        <v>1972</v>
      </c>
      <c r="C4723">
        <v>1.15E-2</v>
      </c>
    </row>
    <row r="4724" spans="1:3" x14ac:dyDescent="0.35">
      <c r="A4724">
        <v>79</v>
      </c>
      <c r="B4724">
        <v>1973</v>
      </c>
      <c r="C4724">
        <v>1.29E-2</v>
      </c>
    </row>
    <row r="4725" spans="1:3" x14ac:dyDescent="0.35">
      <c r="A4725">
        <v>79</v>
      </c>
      <c r="B4725">
        <v>1974</v>
      </c>
      <c r="C4725">
        <v>1.38E-2</v>
      </c>
    </row>
    <row r="4726" spans="1:3" x14ac:dyDescent="0.35">
      <c r="A4726">
        <v>79</v>
      </c>
      <c r="B4726">
        <v>1975</v>
      </c>
      <c r="C4726">
        <v>1.4E-2</v>
      </c>
    </row>
    <row r="4727" spans="1:3" x14ac:dyDescent="0.35">
      <c r="A4727">
        <v>79</v>
      </c>
      <c r="B4727">
        <v>1976</v>
      </c>
      <c r="C4727">
        <v>1.3599999999999999E-2</v>
      </c>
    </row>
    <row r="4728" spans="1:3" x14ac:dyDescent="0.35">
      <c r="A4728">
        <v>79</v>
      </c>
      <c r="B4728">
        <v>1977</v>
      </c>
      <c r="C4728">
        <v>1.26E-2</v>
      </c>
    </row>
    <row r="4729" spans="1:3" x14ac:dyDescent="0.35">
      <c r="A4729">
        <v>79</v>
      </c>
      <c r="B4729">
        <v>1978</v>
      </c>
      <c r="C4729">
        <v>1.1299999999999999E-2</v>
      </c>
    </row>
    <row r="4730" spans="1:3" x14ac:dyDescent="0.35">
      <c r="A4730">
        <v>79</v>
      </c>
      <c r="B4730">
        <v>1979</v>
      </c>
      <c r="C4730">
        <v>9.7000000000000003E-3</v>
      </c>
    </row>
    <row r="4731" spans="1:3" x14ac:dyDescent="0.35">
      <c r="A4731">
        <v>79</v>
      </c>
      <c r="B4731">
        <v>1980</v>
      </c>
      <c r="C4731">
        <v>8.0999999999999996E-3</v>
      </c>
    </row>
    <row r="4732" spans="1:3" x14ac:dyDescent="0.35">
      <c r="A4732">
        <v>79</v>
      </c>
      <c r="B4732">
        <v>1981</v>
      </c>
      <c r="C4732">
        <v>6.7999999999999996E-3</v>
      </c>
    </row>
    <row r="4733" spans="1:3" x14ac:dyDescent="0.35">
      <c r="A4733">
        <v>79</v>
      </c>
      <c r="B4733">
        <v>1982</v>
      </c>
      <c r="C4733">
        <v>5.8999999999999999E-3</v>
      </c>
    </row>
    <row r="4734" spans="1:3" x14ac:dyDescent="0.35">
      <c r="A4734">
        <v>79</v>
      </c>
      <c r="B4734">
        <v>1983</v>
      </c>
      <c r="C4734">
        <v>5.4999999999999997E-3</v>
      </c>
    </row>
    <row r="4735" spans="1:3" x14ac:dyDescent="0.35">
      <c r="A4735">
        <v>79</v>
      </c>
      <c r="B4735">
        <v>1984</v>
      </c>
      <c r="C4735">
        <v>5.7999999999999996E-3</v>
      </c>
    </row>
    <row r="4736" spans="1:3" x14ac:dyDescent="0.35">
      <c r="A4736">
        <v>79</v>
      </c>
      <c r="B4736">
        <v>1985</v>
      </c>
      <c r="C4736">
        <v>6.6E-3</v>
      </c>
    </row>
    <row r="4737" spans="1:3" x14ac:dyDescent="0.35">
      <c r="A4737">
        <v>79</v>
      </c>
      <c r="B4737">
        <v>1986</v>
      </c>
      <c r="C4737">
        <v>7.7999999999999996E-3</v>
      </c>
    </row>
    <row r="4738" spans="1:3" x14ac:dyDescent="0.35">
      <c r="A4738">
        <v>79</v>
      </c>
      <c r="B4738">
        <v>1987</v>
      </c>
      <c r="C4738">
        <v>9.1999999999999998E-3</v>
      </c>
    </row>
    <row r="4739" spans="1:3" x14ac:dyDescent="0.35">
      <c r="A4739">
        <v>79</v>
      </c>
      <c r="B4739">
        <v>1988</v>
      </c>
      <c r="C4739">
        <v>1.06E-2</v>
      </c>
    </row>
    <row r="4740" spans="1:3" x14ac:dyDescent="0.35">
      <c r="A4740">
        <v>79</v>
      </c>
      <c r="B4740">
        <v>1989</v>
      </c>
      <c r="C4740">
        <v>1.1599999999999999E-2</v>
      </c>
    </row>
    <row r="4741" spans="1:3" x14ac:dyDescent="0.35">
      <c r="A4741">
        <v>79</v>
      </c>
      <c r="B4741">
        <v>1990</v>
      </c>
      <c r="C4741">
        <v>1.2200000000000001E-2</v>
      </c>
    </row>
    <row r="4742" spans="1:3" x14ac:dyDescent="0.35">
      <c r="A4742">
        <v>79</v>
      </c>
      <c r="B4742">
        <v>1991</v>
      </c>
      <c r="C4742">
        <v>1.24E-2</v>
      </c>
    </row>
    <row r="4743" spans="1:3" x14ac:dyDescent="0.35">
      <c r="A4743">
        <v>79</v>
      </c>
      <c r="B4743">
        <v>1992</v>
      </c>
      <c r="C4743">
        <v>1.21E-2</v>
      </c>
    </row>
    <row r="4744" spans="1:3" x14ac:dyDescent="0.35">
      <c r="A4744">
        <v>79</v>
      </c>
      <c r="B4744">
        <v>1993</v>
      </c>
      <c r="C4744">
        <v>1.1599999999999999E-2</v>
      </c>
    </row>
    <row r="4745" spans="1:3" x14ac:dyDescent="0.35">
      <c r="A4745">
        <v>79</v>
      </c>
      <c r="B4745">
        <v>1994</v>
      </c>
      <c r="C4745">
        <v>1.12E-2</v>
      </c>
    </row>
    <row r="4746" spans="1:3" x14ac:dyDescent="0.35">
      <c r="A4746">
        <v>79</v>
      </c>
      <c r="B4746">
        <v>1995</v>
      </c>
      <c r="C4746">
        <v>1.0999999999999999E-2</v>
      </c>
    </row>
    <row r="4747" spans="1:3" x14ac:dyDescent="0.35">
      <c r="A4747">
        <v>79</v>
      </c>
      <c r="B4747">
        <v>1996</v>
      </c>
      <c r="C4747">
        <v>1.11E-2</v>
      </c>
    </row>
    <row r="4748" spans="1:3" x14ac:dyDescent="0.35">
      <c r="A4748">
        <v>79</v>
      </c>
      <c r="B4748">
        <v>1997</v>
      </c>
      <c r="C4748">
        <v>1.17E-2</v>
      </c>
    </row>
    <row r="4749" spans="1:3" x14ac:dyDescent="0.35">
      <c r="A4749">
        <v>79</v>
      </c>
      <c r="B4749">
        <v>1998</v>
      </c>
      <c r="C4749">
        <v>1.2699999999999999E-2</v>
      </c>
    </row>
    <row r="4750" spans="1:3" x14ac:dyDescent="0.35">
      <c r="A4750">
        <v>79</v>
      </c>
      <c r="B4750">
        <v>1999</v>
      </c>
      <c r="C4750">
        <v>1.41E-2</v>
      </c>
    </row>
    <row r="4751" spans="1:3" x14ac:dyDescent="0.35">
      <c r="A4751">
        <v>79</v>
      </c>
      <c r="B4751">
        <v>2000</v>
      </c>
      <c r="C4751">
        <v>1.5900000000000001E-2</v>
      </c>
    </row>
    <row r="4752" spans="1:3" x14ac:dyDescent="0.35">
      <c r="A4752">
        <v>79</v>
      </c>
      <c r="B4752">
        <v>2001</v>
      </c>
      <c r="C4752">
        <v>1.7899999999999999E-2</v>
      </c>
    </row>
    <row r="4753" spans="1:3" x14ac:dyDescent="0.35">
      <c r="A4753">
        <v>79</v>
      </c>
      <c r="B4753">
        <v>2002</v>
      </c>
      <c r="C4753">
        <v>1.9900000000000001E-2</v>
      </c>
    </row>
    <row r="4754" spans="1:3" x14ac:dyDescent="0.35">
      <c r="A4754">
        <v>79</v>
      </c>
      <c r="B4754">
        <v>2003</v>
      </c>
      <c r="C4754">
        <v>2.1700000000000001E-2</v>
      </c>
    </row>
    <row r="4755" spans="1:3" x14ac:dyDescent="0.35">
      <c r="A4755">
        <v>79</v>
      </c>
      <c r="B4755">
        <v>2004</v>
      </c>
      <c r="C4755">
        <v>2.3E-2</v>
      </c>
    </row>
    <row r="4756" spans="1:3" x14ac:dyDescent="0.35">
      <c r="A4756">
        <v>79</v>
      </c>
      <c r="B4756">
        <v>2005</v>
      </c>
      <c r="C4756">
        <v>2.3699999999999999E-2</v>
      </c>
    </row>
    <row r="4757" spans="1:3" x14ac:dyDescent="0.35">
      <c r="A4757">
        <v>79</v>
      </c>
      <c r="B4757">
        <v>2006</v>
      </c>
      <c r="C4757">
        <v>2.3800000000000002E-2</v>
      </c>
    </row>
    <row r="4758" spans="1:3" x14ac:dyDescent="0.35">
      <c r="A4758">
        <v>79</v>
      </c>
      <c r="B4758">
        <v>2007</v>
      </c>
      <c r="C4758">
        <v>2.3199999999999998E-2</v>
      </c>
    </row>
    <row r="4759" spans="1:3" x14ac:dyDescent="0.35">
      <c r="A4759">
        <v>79</v>
      </c>
      <c r="B4759">
        <v>2008</v>
      </c>
      <c r="C4759">
        <v>2.1899999999999999E-2</v>
      </c>
    </row>
    <row r="4760" spans="1:3" x14ac:dyDescent="0.35">
      <c r="A4760">
        <v>79</v>
      </c>
      <c r="B4760">
        <v>2009</v>
      </c>
      <c r="C4760">
        <v>0.02</v>
      </c>
    </row>
    <row r="4761" spans="1:3" x14ac:dyDescent="0.35">
      <c r="A4761">
        <v>79</v>
      </c>
      <c r="B4761">
        <v>2010</v>
      </c>
      <c r="C4761">
        <v>1.78E-2</v>
      </c>
    </row>
    <row r="4762" spans="1:3" x14ac:dyDescent="0.35">
      <c r="A4762">
        <v>79</v>
      </c>
      <c r="B4762">
        <v>2011</v>
      </c>
      <c r="C4762">
        <v>1.5299999999999999E-2</v>
      </c>
    </row>
    <row r="4763" spans="1:3" x14ac:dyDescent="0.35">
      <c r="A4763">
        <v>79</v>
      </c>
      <c r="B4763">
        <v>2012</v>
      </c>
      <c r="C4763">
        <v>1.26E-2</v>
      </c>
    </row>
    <row r="4764" spans="1:3" x14ac:dyDescent="0.35">
      <c r="A4764">
        <v>79</v>
      </c>
      <c r="B4764">
        <v>2013</v>
      </c>
      <c r="C4764">
        <v>1.2699999999999999E-2</v>
      </c>
    </row>
    <row r="4765" spans="1:3" x14ac:dyDescent="0.35">
      <c r="A4765">
        <v>79</v>
      </c>
      <c r="B4765">
        <v>2014</v>
      </c>
      <c r="C4765">
        <v>1.26E-2</v>
      </c>
    </row>
    <row r="4766" spans="1:3" x14ac:dyDescent="0.35">
      <c r="A4766">
        <v>79</v>
      </c>
      <c r="B4766">
        <v>2015</v>
      </c>
      <c r="C4766">
        <v>1.2500000000000001E-2</v>
      </c>
    </row>
    <row r="4767" spans="1:3" x14ac:dyDescent="0.35">
      <c r="A4767">
        <v>79</v>
      </c>
      <c r="B4767">
        <v>2016</v>
      </c>
      <c r="C4767">
        <v>1.2200000000000001E-2</v>
      </c>
    </row>
    <row r="4768" spans="1:3" x14ac:dyDescent="0.35">
      <c r="A4768">
        <v>79</v>
      </c>
      <c r="B4768">
        <v>2017</v>
      </c>
      <c r="C4768">
        <v>1.1900000000000001E-2</v>
      </c>
    </row>
    <row r="4769" spans="1:3" x14ac:dyDescent="0.35">
      <c r="A4769">
        <v>79</v>
      </c>
      <c r="B4769">
        <v>2018</v>
      </c>
      <c r="C4769">
        <v>1.1599999999999999E-2</v>
      </c>
    </row>
    <row r="4770" spans="1:3" x14ac:dyDescent="0.35">
      <c r="A4770">
        <v>79</v>
      </c>
      <c r="B4770">
        <v>2019</v>
      </c>
      <c r="C4770">
        <v>1.12E-2</v>
      </c>
    </row>
    <row r="4771" spans="1:3" x14ac:dyDescent="0.35">
      <c r="A4771">
        <v>79</v>
      </c>
      <c r="B4771">
        <v>2020</v>
      </c>
      <c r="C4771">
        <v>1.0699999999999999E-2</v>
      </c>
    </row>
    <row r="4772" spans="1:3" x14ac:dyDescent="0.35">
      <c r="A4772">
        <v>79</v>
      </c>
      <c r="B4772">
        <v>2021</v>
      </c>
      <c r="C4772">
        <v>1.03E-2</v>
      </c>
    </row>
    <row r="4773" spans="1:3" x14ac:dyDescent="0.35">
      <c r="A4773">
        <v>79</v>
      </c>
      <c r="B4773">
        <v>2022</v>
      </c>
      <c r="C4773">
        <v>0.01</v>
      </c>
    </row>
    <row r="4774" spans="1:3" x14ac:dyDescent="0.35">
      <c r="A4774">
        <v>79</v>
      </c>
      <c r="B4774">
        <v>2023</v>
      </c>
      <c r="C4774">
        <v>9.7000000000000003E-3</v>
      </c>
    </row>
    <row r="4775" spans="1:3" x14ac:dyDescent="0.35">
      <c r="A4775">
        <v>79</v>
      </c>
      <c r="B4775">
        <v>2024</v>
      </c>
      <c r="C4775">
        <v>9.4000000000000004E-3</v>
      </c>
    </row>
    <row r="4776" spans="1:3" x14ac:dyDescent="0.35">
      <c r="A4776">
        <v>79</v>
      </c>
      <c r="B4776">
        <v>2025</v>
      </c>
      <c r="C4776">
        <v>9.2999999999999992E-3</v>
      </c>
    </row>
    <row r="4777" spans="1:3" x14ac:dyDescent="0.35">
      <c r="A4777">
        <v>79</v>
      </c>
      <c r="B4777">
        <v>2026</v>
      </c>
      <c r="C4777">
        <v>9.2999999999999992E-3</v>
      </c>
    </row>
    <row r="4778" spans="1:3" x14ac:dyDescent="0.35">
      <c r="A4778">
        <v>79</v>
      </c>
      <c r="B4778">
        <v>2027</v>
      </c>
      <c r="C4778">
        <v>9.2999999999999992E-3</v>
      </c>
    </row>
    <row r="4779" spans="1:3" x14ac:dyDescent="0.35">
      <c r="A4779">
        <v>79</v>
      </c>
      <c r="B4779">
        <v>2028</v>
      </c>
      <c r="C4779">
        <v>9.4000000000000004E-3</v>
      </c>
    </row>
    <row r="4780" spans="1:3" x14ac:dyDescent="0.35">
      <c r="A4780">
        <v>79</v>
      </c>
      <c r="B4780">
        <v>2029</v>
      </c>
      <c r="C4780">
        <v>9.5999999999999992E-3</v>
      </c>
    </row>
    <row r="4781" spans="1:3" x14ac:dyDescent="0.35">
      <c r="A4781">
        <v>79</v>
      </c>
      <c r="B4781">
        <v>2030</v>
      </c>
      <c r="C4781">
        <v>9.7999999999999997E-3</v>
      </c>
    </row>
    <row r="4782" spans="1:3" x14ac:dyDescent="0.35">
      <c r="A4782">
        <v>79</v>
      </c>
      <c r="B4782">
        <v>2031</v>
      </c>
      <c r="C4782">
        <v>9.9000000000000008E-3</v>
      </c>
    </row>
    <row r="4783" spans="1:3" x14ac:dyDescent="0.35">
      <c r="A4783">
        <v>80</v>
      </c>
      <c r="B4783">
        <v>1951</v>
      </c>
      <c r="C4783">
        <v>8.5000000000000006E-3</v>
      </c>
    </row>
    <row r="4784" spans="1:3" x14ac:dyDescent="0.35">
      <c r="A4784">
        <v>80</v>
      </c>
      <c r="B4784">
        <v>1952</v>
      </c>
      <c r="C4784">
        <v>7.1999999999999998E-3</v>
      </c>
    </row>
    <row r="4785" spans="1:3" x14ac:dyDescent="0.35">
      <c r="A4785">
        <v>80</v>
      </c>
      <c r="B4785">
        <v>1953</v>
      </c>
      <c r="C4785">
        <v>6.0000000000000001E-3</v>
      </c>
    </row>
    <row r="4786" spans="1:3" x14ac:dyDescent="0.35">
      <c r="A4786">
        <v>80</v>
      </c>
      <c r="B4786">
        <v>1954</v>
      </c>
      <c r="C4786">
        <v>4.7000000000000002E-3</v>
      </c>
    </row>
    <row r="4787" spans="1:3" x14ac:dyDescent="0.35">
      <c r="A4787">
        <v>80</v>
      </c>
      <c r="B4787">
        <v>1955</v>
      </c>
      <c r="C4787">
        <v>3.3999999999999998E-3</v>
      </c>
    </row>
    <row r="4788" spans="1:3" x14ac:dyDescent="0.35">
      <c r="A4788">
        <v>80</v>
      </c>
      <c r="B4788">
        <v>1956</v>
      </c>
      <c r="C4788">
        <v>2.2000000000000001E-3</v>
      </c>
    </row>
    <row r="4789" spans="1:3" x14ac:dyDescent="0.35">
      <c r="A4789">
        <v>80</v>
      </c>
      <c r="B4789">
        <v>1957</v>
      </c>
      <c r="C4789">
        <v>1.1000000000000001E-3</v>
      </c>
    </row>
    <row r="4790" spans="1:3" x14ac:dyDescent="0.35">
      <c r="A4790">
        <v>80</v>
      </c>
      <c r="B4790">
        <v>1958</v>
      </c>
      <c r="C4790">
        <v>1E-4</v>
      </c>
    </row>
    <row r="4791" spans="1:3" x14ac:dyDescent="0.35">
      <c r="A4791">
        <v>80</v>
      </c>
      <c r="B4791">
        <v>1959</v>
      </c>
      <c r="C4791">
        <v>-6.9999999999999999E-4</v>
      </c>
    </row>
    <row r="4792" spans="1:3" x14ac:dyDescent="0.35">
      <c r="A4792">
        <v>80</v>
      </c>
      <c r="B4792">
        <v>1960</v>
      </c>
      <c r="C4792">
        <v>-1.2999999999999999E-3</v>
      </c>
    </row>
    <row r="4793" spans="1:3" x14ac:dyDescent="0.35">
      <c r="A4793">
        <v>80</v>
      </c>
      <c r="B4793">
        <v>1961</v>
      </c>
      <c r="C4793">
        <v>-1.6999999999999999E-3</v>
      </c>
    </row>
    <row r="4794" spans="1:3" x14ac:dyDescent="0.35">
      <c r="A4794">
        <v>80</v>
      </c>
      <c r="B4794">
        <v>1962</v>
      </c>
      <c r="C4794">
        <v>-1.8E-3</v>
      </c>
    </row>
    <row r="4795" spans="1:3" x14ac:dyDescent="0.35">
      <c r="A4795">
        <v>80</v>
      </c>
      <c r="B4795">
        <v>1963</v>
      </c>
      <c r="C4795">
        <v>-1.6000000000000001E-3</v>
      </c>
    </row>
    <row r="4796" spans="1:3" x14ac:dyDescent="0.35">
      <c r="A4796">
        <v>80</v>
      </c>
      <c r="B4796">
        <v>1964</v>
      </c>
      <c r="C4796">
        <v>-1.1000000000000001E-3</v>
      </c>
    </row>
    <row r="4797" spans="1:3" x14ac:dyDescent="0.35">
      <c r="A4797">
        <v>80</v>
      </c>
      <c r="B4797">
        <v>1965</v>
      </c>
      <c r="C4797">
        <v>-2.9999999999999997E-4</v>
      </c>
    </row>
    <row r="4798" spans="1:3" x14ac:dyDescent="0.35">
      <c r="A4798">
        <v>80</v>
      </c>
      <c r="B4798">
        <v>1966</v>
      </c>
      <c r="C4798">
        <v>8.9999999999999998E-4</v>
      </c>
    </row>
    <row r="4799" spans="1:3" x14ac:dyDescent="0.35">
      <c r="A4799">
        <v>80</v>
      </c>
      <c r="B4799">
        <v>1967</v>
      </c>
      <c r="C4799">
        <v>2.3999999999999998E-3</v>
      </c>
    </row>
    <row r="4800" spans="1:3" x14ac:dyDescent="0.35">
      <c r="A4800">
        <v>80</v>
      </c>
      <c r="B4800">
        <v>1968</v>
      </c>
      <c r="C4800">
        <v>4.1000000000000003E-3</v>
      </c>
    </row>
    <row r="4801" spans="1:3" x14ac:dyDescent="0.35">
      <c r="A4801">
        <v>80</v>
      </c>
      <c r="B4801">
        <v>1969</v>
      </c>
      <c r="C4801">
        <v>6.1000000000000004E-3</v>
      </c>
    </row>
    <row r="4802" spans="1:3" x14ac:dyDescent="0.35">
      <c r="A4802">
        <v>80</v>
      </c>
      <c r="B4802">
        <v>1970</v>
      </c>
      <c r="C4802">
        <v>8.0999999999999996E-3</v>
      </c>
    </row>
    <row r="4803" spans="1:3" x14ac:dyDescent="0.35">
      <c r="A4803">
        <v>80</v>
      </c>
      <c r="B4803">
        <v>1971</v>
      </c>
      <c r="C4803">
        <v>0.01</v>
      </c>
    </row>
    <row r="4804" spans="1:3" x14ac:dyDescent="0.35">
      <c r="A4804">
        <v>80</v>
      </c>
      <c r="B4804">
        <v>1972</v>
      </c>
      <c r="C4804">
        <v>1.17E-2</v>
      </c>
    </row>
    <row r="4805" spans="1:3" x14ac:dyDescent="0.35">
      <c r="A4805">
        <v>80</v>
      </c>
      <c r="B4805">
        <v>1973</v>
      </c>
      <c r="C4805">
        <v>1.2999999999999999E-2</v>
      </c>
    </row>
    <row r="4806" spans="1:3" x14ac:dyDescent="0.35">
      <c r="A4806">
        <v>80</v>
      </c>
      <c r="B4806">
        <v>1974</v>
      </c>
      <c r="C4806">
        <v>1.38E-2</v>
      </c>
    </row>
    <row r="4807" spans="1:3" x14ac:dyDescent="0.35">
      <c r="A4807">
        <v>80</v>
      </c>
      <c r="B4807">
        <v>1975</v>
      </c>
      <c r="C4807">
        <v>1.4E-2</v>
      </c>
    </row>
    <row r="4808" spans="1:3" x14ac:dyDescent="0.35">
      <c r="A4808">
        <v>80</v>
      </c>
      <c r="B4808">
        <v>1976</v>
      </c>
      <c r="C4808">
        <v>1.3599999999999999E-2</v>
      </c>
    </row>
    <row r="4809" spans="1:3" x14ac:dyDescent="0.35">
      <c r="A4809">
        <v>80</v>
      </c>
      <c r="B4809">
        <v>1977</v>
      </c>
      <c r="C4809">
        <v>1.26E-2</v>
      </c>
    </row>
    <row r="4810" spans="1:3" x14ac:dyDescent="0.35">
      <c r="A4810">
        <v>80</v>
      </c>
      <c r="B4810">
        <v>1978</v>
      </c>
      <c r="C4810">
        <v>1.12E-2</v>
      </c>
    </row>
    <row r="4811" spans="1:3" x14ac:dyDescent="0.35">
      <c r="A4811">
        <v>80</v>
      </c>
      <c r="B4811">
        <v>1979</v>
      </c>
      <c r="C4811">
        <v>9.5999999999999992E-3</v>
      </c>
    </row>
    <row r="4812" spans="1:3" x14ac:dyDescent="0.35">
      <c r="A4812">
        <v>80</v>
      </c>
      <c r="B4812">
        <v>1980</v>
      </c>
      <c r="C4812">
        <v>8.0000000000000002E-3</v>
      </c>
    </row>
    <row r="4813" spans="1:3" x14ac:dyDescent="0.35">
      <c r="A4813">
        <v>80</v>
      </c>
      <c r="B4813">
        <v>1981</v>
      </c>
      <c r="C4813">
        <v>6.6E-3</v>
      </c>
    </row>
    <row r="4814" spans="1:3" x14ac:dyDescent="0.35">
      <c r="A4814">
        <v>80</v>
      </c>
      <c r="B4814">
        <v>1982</v>
      </c>
      <c r="C4814">
        <v>5.5999999999999999E-3</v>
      </c>
    </row>
    <row r="4815" spans="1:3" x14ac:dyDescent="0.35">
      <c r="A4815">
        <v>80</v>
      </c>
      <c r="B4815">
        <v>1983</v>
      </c>
      <c r="C4815">
        <v>5.1000000000000004E-3</v>
      </c>
    </row>
    <row r="4816" spans="1:3" x14ac:dyDescent="0.35">
      <c r="A4816">
        <v>80</v>
      </c>
      <c r="B4816">
        <v>1984</v>
      </c>
      <c r="C4816">
        <v>5.1999999999999998E-3</v>
      </c>
    </row>
    <row r="4817" spans="1:3" x14ac:dyDescent="0.35">
      <c r="A4817">
        <v>80</v>
      </c>
      <c r="B4817">
        <v>1985</v>
      </c>
      <c r="C4817">
        <v>5.7999999999999996E-3</v>
      </c>
    </row>
    <row r="4818" spans="1:3" x14ac:dyDescent="0.35">
      <c r="A4818">
        <v>80</v>
      </c>
      <c r="B4818">
        <v>1986</v>
      </c>
      <c r="C4818">
        <v>6.7999999999999996E-3</v>
      </c>
    </row>
    <row r="4819" spans="1:3" x14ac:dyDescent="0.35">
      <c r="A4819">
        <v>80</v>
      </c>
      <c r="B4819">
        <v>1987</v>
      </c>
      <c r="C4819">
        <v>8.0000000000000002E-3</v>
      </c>
    </row>
    <row r="4820" spans="1:3" x14ac:dyDescent="0.35">
      <c r="A4820">
        <v>80</v>
      </c>
      <c r="B4820">
        <v>1988</v>
      </c>
      <c r="C4820">
        <v>9.2999999999999992E-3</v>
      </c>
    </row>
    <row r="4821" spans="1:3" x14ac:dyDescent="0.35">
      <c r="A4821">
        <v>80</v>
      </c>
      <c r="B4821">
        <v>1989</v>
      </c>
      <c r="C4821">
        <v>1.0200000000000001E-2</v>
      </c>
    </row>
    <row r="4822" spans="1:3" x14ac:dyDescent="0.35">
      <c r="A4822">
        <v>80</v>
      </c>
      <c r="B4822">
        <v>1990</v>
      </c>
      <c r="C4822">
        <v>1.0800000000000001E-2</v>
      </c>
    </row>
    <row r="4823" spans="1:3" x14ac:dyDescent="0.35">
      <c r="A4823">
        <v>80</v>
      </c>
      <c r="B4823">
        <v>1991</v>
      </c>
      <c r="C4823">
        <v>1.0999999999999999E-2</v>
      </c>
    </row>
    <row r="4824" spans="1:3" x14ac:dyDescent="0.35">
      <c r="A4824">
        <v>80</v>
      </c>
      <c r="B4824">
        <v>1992</v>
      </c>
      <c r="C4824">
        <v>1.09E-2</v>
      </c>
    </row>
    <row r="4825" spans="1:3" x14ac:dyDescent="0.35">
      <c r="A4825">
        <v>80</v>
      </c>
      <c r="B4825">
        <v>1993</v>
      </c>
      <c r="C4825">
        <v>1.0500000000000001E-2</v>
      </c>
    </row>
    <row r="4826" spans="1:3" x14ac:dyDescent="0.35">
      <c r="A4826">
        <v>80</v>
      </c>
      <c r="B4826">
        <v>1994</v>
      </c>
      <c r="C4826">
        <v>1.03E-2</v>
      </c>
    </row>
    <row r="4827" spans="1:3" x14ac:dyDescent="0.35">
      <c r="A4827">
        <v>80</v>
      </c>
      <c r="B4827">
        <v>1995</v>
      </c>
      <c r="C4827">
        <v>1.0200000000000001E-2</v>
      </c>
    </row>
    <row r="4828" spans="1:3" x14ac:dyDescent="0.35">
      <c r="A4828">
        <v>80</v>
      </c>
      <c r="B4828">
        <v>1996</v>
      </c>
      <c r="C4828">
        <v>1.04E-2</v>
      </c>
    </row>
    <row r="4829" spans="1:3" x14ac:dyDescent="0.35">
      <c r="A4829">
        <v>80</v>
      </c>
      <c r="B4829">
        <v>1997</v>
      </c>
      <c r="C4829">
        <v>1.0999999999999999E-2</v>
      </c>
    </row>
    <row r="4830" spans="1:3" x14ac:dyDescent="0.35">
      <c r="A4830">
        <v>80</v>
      </c>
      <c r="B4830">
        <v>1998</v>
      </c>
      <c r="C4830">
        <v>1.21E-2</v>
      </c>
    </row>
    <row r="4831" spans="1:3" x14ac:dyDescent="0.35">
      <c r="A4831">
        <v>80</v>
      </c>
      <c r="B4831">
        <v>1999</v>
      </c>
      <c r="C4831">
        <v>1.3599999999999999E-2</v>
      </c>
    </row>
    <row r="4832" spans="1:3" x14ac:dyDescent="0.35">
      <c r="A4832">
        <v>80</v>
      </c>
      <c r="B4832">
        <v>2000</v>
      </c>
      <c r="C4832">
        <v>1.54E-2</v>
      </c>
    </row>
    <row r="4833" spans="1:3" x14ac:dyDescent="0.35">
      <c r="A4833">
        <v>80</v>
      </c>
      <c r="B4833">
        <v>2001</v>
      </c>
      <c r="C4833">
        <v>1.7399999999999999E-2</v>
      </c>
    </row>
    <row r="4834" spans="1:3" x14ac:dyDescent="0.35">
      <c r="A4834">
        <v>80</v>
      </c>
      <c r="B4834">
        <v>2002</v>
      </c>
      <c r="C4834">
        <v>1.9300000000000001E-2</v>
      </c>
    </row>
    <row r="4835" spans="1:3" x14ac:dyDescent="0.35">
      <c r="A4835">
        <v>80</v>
      </c>
      <c r="B4835">
        <v>2003</v>
      </c>
      <c r="C4835">
        <v>2.1000000000000001E-2</v>
      </c>
    </row>
    <row r="4836" spans="1:3" x14ac:dyDescent="0.35">
      <c r="A4836">
        <v>80</v>
      </c>
      <c r="B4836">
        <v>2004</v>
      </c>
      <c r="C4836">
        <v>2.23E-2</v>
      </c>
    </row>
    <row r="4837" spans="1:3" x14ac:dyDescent="0.35">
      <c r="A4837">
        <v>80</v>
      </c>
      <c r="B4837">
        <v>2005</v>
      </c>
      <c r="C4837">
        <v>2.3E-2</v>
      </c>
    </row>
    <row r="4838" spans="1:3" x14ac:dyDescent="0.35">
      <c r="A4838">
        <v>80</v>
      </c>
      <c r="B4838">
        <v>2006</v>
      </c>
      <c r="C4838">
        <v>2.3E-2</v>
      </c>
    </row>
    <row r="4839" spans="1:3" x14ac:dyDescent="0.35">
      <c r="A4839">
        <v>80</v>
      </c>
      <c r="B4839">
        <v>2007</v>
      </c>
      <c r="C4839">
        <v>2.24E-2</v>
      </c>
    </row>
    <row r="4840" spans="1:3" x14ac:dyDescent="0.35">
      <c r="A4840">
        <v>80</v>
      </c>
      <c r="B4840">
        <v>2008</v>
      </c>
      <c r="C4840">
        <v>2.12E-2</v>
      </c>
    </row>
    <row r="4841" spans="1:3" x14ac:dyDescent="0.35">
      <c r="A4841">
        <v>80</v>
      </c>
      <c r="B4841">
        <v>2009</v>
      </c>
      <c r="C4841">
        <v>1.9400000000000001E-2</v>
      </c>
    </row>
    <row r="4842" spans="1:3" x14ac:dyDescent="0.35">
      <c r="A4842">
        <v>80</v>
      </c>
      <c r="B4842">
        <v>2010</v>
      </c>
      <c r="C4842">
        <v>1.72E-2</v>
      </c>
    </row>
    <row r="4843" spans="1:3" x14ac:dyDescent="0.35">
      <c r="A4843">
        <v>80</v>
      </c>
      <c r="B4843">
        <v>2011</v>
      </c>
      <c r="C4843">
        <v>1.4800000000000001E-2</v>
      </c>
    </row>
    <row r="4844" spans="1:3" x14ac:dyDescent="0.35">
      <c r="A4844">
        <v>80</v>
      </c>
      <c r="B4844">
        <v>2012</v>
      </c>
      <c r="C4844">
        <v>1.23E-2</v>
      </c>
    </row>
    <row r="4845" spans="1:3" x14ac:dyDescent="0.35">
      <c r="A4845">
        <v>80</v>
      </c>
      <c r="B4845">
        <v>2013</v>
      </c>
      <c r="C4845">
        <v>1.24E-2</v>
      </c>
    </row>
    <row r="4846" spans="1:3" x14ac:dyDescent="0.35">
      <c r="A4846">
        <v>80</v>
      </c>
      <c r="B4846">
        <v>2014</v>
      </c>
      <c r="C4846">
        <v>1.24E-2</v>
      </c>
    </row>
    <row r="4847" spans="1:3" x14ac:dyDescent="0.35">
      <c r="A4847">
        <v>80</v>
      </c>
      <c r="B4847">
        <v>2015</v>
      </c>
      <c r="C4847">
        <v>1.23E-2</v>
      </c>
    </row>
    <row r="4848" spans="1:3" x14ac:dyDescent="0.35">
      <c r="A4848">
        <v>80</v>
      </c>
      <c r="B4848">
        <v>2016</v>
      </c>
      <c r="C4848">
        <v>1.21E-2</v>
      </c>
    </row>
    <row r="4849" spans="1:3" x14ac:dyDescent="0.35">
      <c r="A4849">
        <v>80</v>
      </c>
      <c r="B4849">
        <v>2017</v>
      </c>
      <c r="C4849">
        <v>1.1900000000000001E-2</v>
      </c>
    </row>
    <row r="4850" spans="1:3" x14ac:dyDescent="0.35">
      <c r="A4850">
        <v>80</v>
      </c>
      <c r="B4850">
        <v>2018</v>
      </c>
      <c r="C4850">
        <v>1.15E-2</v>
      </c>
    </row>
    <row r="4851" spans="1:3" x14ac:dyDescent="0.35">
      <c r="A4851">
        <v>80</v>
      </c>
      <c r="B4851">
        <v>2019</v>
      </c>
      <c r="C4851">
        <v>1.12E-2</v>
      </c>
    </row>
    <row r="4852" spans="1:3" x14ac:dyDescent="0.35">
      <c r="A4852">
        <v>80</v>
      </c>
      <c r="B4852">
        <v>2020</v>
      </c>
      <c r="C4852">
        <v>1.09E-2</v>
      </c>
    </row>
    <row r="4853" spans="1:3" x14ac:dyDescent="0.35">
      <c r="A4853">
        <v>80</v>
      </c>
      <c r="B4853">
        <v>2021</v>
      </c>
      <c r="C4853">
        <v>1.0500000000000001E-2</v>
      </c>
    </row>
    <row r="4854" spans="1:3" x14ac:dyDescent="0.35">
      <c r="A4854">
        <v>80</v>
      </c>
      <c r="B4854">
        <v>2022</v>
      </c>
      <c r="C4854">
        <v>1.0200000000000001E-2</v>
      </c>
    </row>
    <row r="4855" spans="1:3" x14ac:dyDescent="0.35">
      <c r="A4855">
        <v>80</v>
      </c>
      <c r="B4855">
        <v>2023</v>
      </c>
      <c r="C4855">
        <v>9.9000000000000008E-3</v>
      </c>
    </row>
    <row r="4856" spans="1:3" x14ac:dyDescent="0.35">
      <c r="A4856">
        <v>80</v>
      </c>
      <c r="B4856">
        <v>2024</v>
      </c>
      <c r="C4856">
        <v>9.7000000000000003E-3</v>
      </c>
    </row>
    <row r="4857" spans="1:3" x14ac:dyDescent="0.35">
      <c r="A4857">
        <v>80</v>
      </c>
      <c r="B4857">
        <v>2025</v>
      </c>
      <c r="C4857">
        <v>9.4999999999999998E-3</v>
      </c>
    </row>
    <row r="4858" spans="1:3" x14ac:dyDescent="0.35">
      <c r="A4858">
        <v>80</v>
      </c>
      <c r="B4858">
        <v>2026</v>
      </c>
      <c r="C4858">
        <v>9.4000000000000004E-3</v>
      </c>
    </row>
    <row r="4859" spans="1:3" x14ac:dyDescent="0.35">
      <c r="A4859">
        <v>80</v>
      </c>
      <c r="B4859">
        <v>2027</v>
      </c>
      <c r="C4859">
        <v>9.4999999999999998E-3</v>
      </c>
    </row>
    <row r="4860" spans="1:3" x14ac:dyDescent="0.35">
      <c r="A4860">
        <v>80</v>
      </c>
      <c r="B4860">
        <v>2028</v>
      </c>
      <c r="C4860">
        <v>9.4999999999999998E-3</v>
      </c>
    </row>
    <row r="4861" spans="1:3" x14ac:dyDescent="0.35">
      <c r="A4861">
        <v>80</v>
      </c>
      <c r="B4861">
        <v>2029</v>
      </c>
      <c r="C4861">
        <v>9.7000000000000003E-3</v>
      </c>
    </row>
    <row r="4862" spans="1:3" x14ac:dyDescent="0.35">
      <c r="A4862">
        <v>80</v>
      </c>
      <c r="B4862">
        <v>2030</v>
      </c>
      <c r="C4862">
        <v>9.7999999999999997E-3</v>
      </c>
    </row>
    <row r="4863" spans="1:3" x14ac:dyDescent="0.35">
      <c r="A4863">
        <v>80</v>
      </c>
      <c r="B4863">
        <v>2031</v>
      </c>
      <c r="C4863">
        <v>9.9000000000000008E-3</v>
      </c>
    </row>
    <row r="4864" spans="1:3" x14ac:dyDescent="0.35">
      <c r="A4864">
        <v>81</v>
      </c>
      <c r="B4864">
        <v>1951</v>
      </c>
      <c r="C4864">
        <v>7.7000000000000002E-3</v>
      </c>
    </row>
    <row r="4865" spans="1:3" x14ac:dyDescent="0.35">
      <c r="A4865">
        <v>81</v>
      </c>
      <c r="B4865">
        <v>1952</v>
      </c>
      <c r="C4865">
        <v>6.4999999999999997E-3</v>
      </c>
    </row>
    <row r="4866" spans="1:3" x14ac:dyDescent="0.35">
      <c r="A4866">
        <v>81</v>
      </c>
      <c r="B4866">
        <v>1953</v>
      </c>
      <c r="C4866">
        <v>5.3E-3</v>
      </c>
    </row>
    <row r="4867" spans="1:3" x14ac:dyDescent="0.35">
      <c r="A4867">
        <v>81</v>
      </c>
      <c r="B4867">
        <v>1954</v>
      </c>
      <c r="C4867">
        <v>4.1000000000000003E-3</v>
      </c>
    </row>
    <row r="4868" spans="1:3" x14ac:dyDescent="0.35">
      <c r="A4868">
        <v>81</v>
      </c>
      <c r="B4868">
        <v>1955</v>
      </c>
      <c r="C4868">
        <v>2.8E-3</v>
      </c>
    </row>
    <row r="4869" spans="1:3" x14ac:dyDescent="0.35">
      <c r="A4869">
        <v>81</v>
      </c>
      <c r="B4869">
        <v>1956</v>
      </c>
      <c r="C4869">
        <v>1.6999999999999999E-3</v>
      </c>
    </row>
    <row r="4870" spans="1:3" x14ac:dyDescent="0.35">
      <c r="A4870">
        <v>81</v>
      </c>
      <c r="B4870">
        <v>1957</v>
      </c>
      <c r="C4870">
        <v>5.9999999999999995E-4</v>
      </c>
    </row>
    <row r="4871" spans="1:3" x14ac:dyDescent="0.35">
      <c r="A4871">
        <v>81</v>
      </c>
      <c r="B4871">
        <v>1958</v>
      </c>
      <c r="C4871">
        <v>-2.9999999999999997E-4</v>
      </c>
    </row>
    <row r="4872" spans="1:3" x14ac:dyDescent="0.35">
      <c r="A4872">
        <v>81</v>
      </c>
      <c r="B4872">
        <v>1959</v>
      </c>
      <c r="C4872">
        <v>-1E-3</v>
      </c>
    </row>
    <row r="4873" spans="1:3" x14ac:dyDescent="0.35">
      <c r="A4873">
        <v>81</v>
      </c>
      <c r="B4873">
        <v>1960</v>
      </c>
      <c r="C4873">
        <v>-1.5E-3</v>
      </c>
    </row>
    <row r="4874" spans="1:3" x14ac:dyDescent="0.35">
      <c r="A4874">
        <v>81</v>
      </c>
      <c r="B4874">
        <v>1961</v>
      </c>
      <c r="C4874">
        <v>-1.8E-3</v>
      </c>
    </row>
    <row r="4875" spans="1:3" x14ac:dyDescent="0.35">
      <c r="A4875">
        <v>81</v>
      </c>
      <c r="B4875">
        <v>1962</v>
      </c>
      <c r="C4875">
        <v>-1.6999999999999999E-3</v>
      </c>
    </row>
    <row r="4876" spans="1:3" x14ac:dyDescent="0.35">
      <c r="A4876">
        <v>81</v>
      </c>
      <c r="B4876">
        <v>1963</v>
      </c>
      <c r="C4876">
        <v>-1.4E-3</v>
      </c>
    </row>
    <row r="4877" spans="1:3" x14ac:dyDescent="0.35">
      <c r="A4877">
        <v>81</v>
      </c>
      <c r="B4877">
        <v>1964</v>
      </c>
      <c r="C4877">
        <v>-8.0000000000000004E-4</v>
      </c>
    </row>
    <row r="4878" spans="1:3" x14ac:dyDescent="0.35">
      <c r="A4878">
        <v>81</v>
      </c>
      <c r="B4878">
        <v>1965</v>
      </c>
      <c r="C4878">
        <v>2.0000000000000001E-4</v>
      </c>
    </row>
    <row r="4879" spans="1:3" x14ac:dyDescent="0.35">
      <c r="A4879">
        <v>81</v>
      </c>
      <c r="B4879">
        <v>1966</v>
      </c>
      <c r="C4879">
        <v>1.4E-3</v>
      </c>
    </row>
    <row r="4880" spans="1:3" x14ac:dyDescent="0.35">
      <c r="A4880">
        <v>81</v>
      </c>
      <c r="B4880">
        <v>1967</v>
      </c>
      <c r="C4880">
        <v>2.8999999999999998E-3</v>
      </c>
    </row>
    <row r="4881" spans="1:3" x14ac:dyDescent="0.35">
      <c r="A4881">
        <v>81</v>
      </c>
      <c r="B4881">
        <v>1968</v>
      </c>
      <c r="C4881">
        <v>4.5999999999999999E-3</v>
      </c>
    </row>
    <row r="4882" spans="1:3" x14ac:dyDescent="0.35">
      <c r="A4882">
        <v>81</v>
      </c>
      <c r="B4882">
        <v>1969</v>
      </c>
      <c r="C4882">
        <v>6.4999999999999997E-3</v>
      </c>
    </row>
    <row r="4883" spans="1:3" x14ac:dyDescent="0.35">
      <c r="A4883">
        <v>81</v>
      </c>
      <c r="B4883">
        <v>1970</v>
      </c>
      <c r="C4883">
        <v>8.3999999999999995E-3</v>
      </c>
    </row>
    <row r="4884" spans="1:3" x14ac:dyDescent="0.35">
      <c r="A4884">
        <v>81</v>
      </c>
      <c r="B4884">
        <v>1971</v>
      </c>
      <c r="C4884">
        <v>1.03E-2</v>
      </c>
    </row>
    <row r="4885" spans="1:3" x14ac:dyDescent="0.35">
      <c r="A4885">
        <v>81</v>
      </c>
      <c r="B4885">
        <v>1972</v>
      </c>
      <c r="C4885">
        <v>1.1900000000000001E-2</v>
      </c>
    </row>
    <row r="4886" spans="1:3" x14ac:dyDescent="0.35">
      <c r="A4886">
        <v>81</v>
      </c>
      <c r="B4886">
        <v>1973</v>
      </c>
      <c r="C4886">
        <v>1.3100000000000001E-2</v>
      </c>
    </row>
    <row r="4887" spans="1:3" x14ac:dyDescent="0.35">
      <c r="A4887">
        <v>81</v>
      </c>
      <c r="B4887">
        <v>1974</v>
      </c>
      <c r="C4887">
        <v>1.3899999999999999E-2</v>
      </c>
    </row>
    <row r="4888" spans="1:3" x14ac:dyDescent="0.35">
      <c r="A4888">
        <v>81</v>
      </c>
      <c r="B4888">
        <v>1975</v>
      </c>
      <c r="C4888">
        <v>1.4E-2</v>
      </c>
    </row>
    <row r="4889" spans="1:3" x14ac:dyDescent="0.35">
      <c r="A4889">
        <v>81</v>
      </c>
      <c r="B4889">
        <v>1976</v>
      </c>
      <c r="C4889">
        <v>1.3599999999999999E-2</v>
      </c>
    </row>
    <row r="4890" spans="1:3" x14ac:dyDescent="0.35">
      <c r="A4890">
        <v>81</v>
      </c>
      <c r="B4890">
        <v>1977</v>
      </c>
      <c r="C4890">
        <v>1.26E-2</v>
      </c>
    </row>
    <row r="4891" spans="1:3" x14ac:dyDescent="0.35">
      <c r="A4891">
        <v>81</v>
      </c>
      <c r="B4891">
        <v>1978</v>
      </c>
      <c r="C4891">
        <v>1.12E-2</v>
      </c>
    </row>
    <row r="4892" spans="1:3" x14ac:dyDescent="0.35">
      <c r="A4892">
        <v>81</v>
      </c>
      <c r="B4892">
        <v>1979</v>
      </c>
      <c r="C4892">
        <v>9.5999999999999992E-3</v>
      </c>
    </row>
    <row r="4893" spans="1:3" x14ac:dyDescent="0.35">
      <c r="A4893">
        <v>81</v>
      </c>
      <c r="B4893">
        <v>1980</v>
      </c>
      <c r="C4893">
        <v>7.9000000000000008E-3</v>
      </c>
    </row>
    <row r="4894" spans="1:3" x14ac:dyDescent="0.35">
      <c r="A4894">
        <v>81</v>
      </c>
      <c r="B4894">
        <v>1981</v>
      </c>
      <c r="C4894">
        <v>6.4999999999999997E-3</v>
      </c>
    </row>
    <row r="4895" spans="1:3" x14ac:dyDescent="0.35">
      <c r="A4895">
        <v>81</v>
      </c>
      <c r="B4895">
        <v>1982</v>
      </c>
      <c r="C4895">
        <v>5.4000000000000003E-3</v>
      </c>
    </row>
    <row r="4896" spans="1:3" x14ac:dyDescent="0.35">
      <c r="A4896">
        <v>81</v>
      </c>
      <c r="B4896">
        <v>1983</v>
      </c>
      <c r="C4896">
        <v>4.7999999999999996E-3</v>
      </c>
    </row>
    <row r="4897" spans="1:3" x14ac:dyDescent="0.35">
      <c r="A4897">
        <v>81</v>
      </c>
      <c r="B4897">
        <v>1984</v>
      </c>
      <c r="C4897">
        <v>4.5999999999999999E-3</v>
      </c>
    </row>
    <row r="4898" spans="1:3" x14ac:dyDescent="0.35">
      <c r="A4898">
        <v>81</v>
      </c>
      <c r="B4898">
        <v>1985</v>
      </c>
      <c r="C4898">
        <v>5.0000000000000001E-3</v>
      </c>
    </row>
    <row r="4899" spans="1:3" x14ac:dyDescent="0.35">
      <c r="A4899">
        <v>81</v>
      </c>
      <c r="B4899">
        <v>1986</v>
      </c>
      <c r="C4899">
        <v>5.8999999999999999E-3</v>
      </c>
    </row>
    <row r="4900" spans="1:3" x14ac:dyDescent="0.35">
      <c r="A4900">
        <v>81</v>
      </c>
      <c r="B4900">
        <v>1987</v>
      </c>
      <c r="C4900">
        <v>6.8999999999999999E-3</v>
      </c>
    </row>
    <row r="4901" spans="1:3" x14ac:dyDescent="0.35">
      <c r="A4901">
        <v>81</v>
      </c>
      <c r="B4901">
        <v>1988</v>
      </c>
      <c r="C4901">
        <v>7.9000000000000008E-3</v>
      </c>
    </row>
    <row r="4902" spans="1:3" x14ac:dyDescent="0.35">
      <c r="A4902">
        <v>81</v>
      </c>
      <c r="B4902">
        <v>1989</v>
      </c>
      <c r="C4902">
        <v>8.8000000000000005E-3</v>
      </c>
    </row>
    <row r="4903" spans="1:3" x14ac:dyDescent="0.35">
      <c r="A4903">
        <v>81</v>
      </c>
      <c r="B4903">
        <v>1990</v>
      </c>
      <c r="C4903">
        <v>9.4000000000000004E-3</v>
      </c>
    </row>
    <row r="4904" spans="1:3" x14ac:dyDescent="0.35">
      <c r="A4904">
        <v>81</v>
      </c>
      <c r="B4904">
        <v>1991</v>
      </c>
      <c r="C4904">
        <v>9.5999999999999992E-3</v>
      </c>
    </row>
    <row r="4905" spans="1:3" x14ac:dyDescent="0.35">
      <c r="A4905">
        <v>81</v>
      </c>
      <c r="B4905">
        <v>1992</v>
      </c>
      <c r="C4905">
        <v>9.4999999999999998E-3</v>
      </c>
    </row>
    <row r="4906" spans="1:3" x14ac:dyDescent="0.35">
      <c r="A4906">
        <v>81</v>
      </c>
      <c r="B4906">
        <v>1993</v>
      </c>
      <c r="C4906">
        <v>9.2999999999999992E-3</v>
      </c>
    </row>
    <row r="4907" spans="1:3" x14ac:dyDescent="0.35">
      <c r="A4907">
        <v>81</v>
      </c>
      <c r="B4907">
        <v>1994</v>
      </c>
      <c r="C4907">
        <v>9.1000000000000004E-3</v>
      </c>
    </row>
    <row r="4908" spans="1:3" x14ac:dyDescent="0.35">
      <c r="A4908">
        <v>81</v>
      </c>
      <c r="B4908">
        <v>1995</v>
      </c>
      <c r="C4908">
        <v>9.1999999999999998E-3</v>
      </c>
    </row>
    <row r="4909" spans="1:3" x14ac:dyDescent="0.35">
      <c r="A4909">
        <v>81</v>
      </c>
      <c r="B4909">
        <v>1996</v>
      </c>
      <c r="C4909">
        <v>9.4999999999999998E-3</v>
      </c>
    </row>
    <row r="4910" spans="1:3" x14ac:dyDescent="0.35">
      <c r="A4910">
        <v>81</v>
      </c>
      <c r="B4910">
        <v>1997</v>
      </c>
      <c r="C4910">
        <v>1.03E-2</v>
      </c>
    </row>
    <row r="4911" spans="1:3" x14ac:dyDescent="0.35">
      <c r="A4911">
        <v>81</v>
      </c>
      <c r="B4911">
        <v>1998</v>
      </c>
      <c r="C4911">
        <v>1.14E-2</v>
      </c>
    </row>
    <row r="4912" spans="1:3" x14ac:dyDescent="0.35">
      <c r="A4912">
        <v>81</v>
      </c>
      <c r="B4912">
        <v>1999</v>
      </c>
      <c r="C4912">
        <v>1.2999999999999999E-2</v>
      </c>
    </row>
    <row r="4913" spans="1:3" x14ac:dyDescent="0.35">
      <c r="A4913">
        <v>81</v>
      </c>
      <c r="B4913">
        <v>2000</v>
      </c>
      <c r="C4913">
        <v>1.4800000000000001E-2</v>
      </c>
    </row>
    <row r="4914" spans="1:3" x14ac:dyDescent="0.35">
      <c r="A4914">
        <v>81</v>
      </c>
      <c r="B4914">
        <v>2001</v>
      </c>
      <c r="C4914">
        <v>1.67E-2</v>
      </c>
    </row>
    <row r="4915" spans="1:3" x14ac:dyDescent="0.35">
      <c r="A4915">
        <v>81</v>
      </c>
      <c r="B4915">
        <v>2002</v>
      </c>
      <c r="C4915">
        <v>1.8599999999999998E-2</v>
      </c>
    </row>
    <row r="4916" spans="1:3" x14ac:dyDescent="0.35">
      <c r="A4916">
        <v>81</v>
      </c>
      <c r="B4916">
        <v>2003</v>
      </c>
      <c r="C4916">
        <v>2.0299999999999999E-2</v>
      </c>
    </row>
    <row r="4917" spans="1:3" x14ac:dyDescent="0.35">
      <c r="A4917">
        <v>81</v>
      </c>
      <c r="B4917">
        <v>2004</v>
      </c>
      <c r="C4917">
        <v>2.1499999999999998E-2</v>
      </c>
    </row>
    <row r="4918" spans="1:3" x14ac:dyDescent="0.35">
      <c r="A4918">
        <v>81</v>
      </c>
      <c r="B4918">
        <v>2005</v>
      </c>
      <c r="C4918">
        <v>2.2200000000000001E-2</v>
      </c>
    </row>
    <row r="4919" spans="1:3" x14ac:dyDescent="0.35">
      <c r="A4919">
        <v>81</v>
      </c>
      <c r="B4919">
        <v>2006</v>
      </c>
      <c r="C4919">
        <v>2.2200000000000001E-2</v>
      </c>
    </row>
    <row r="4920" spans="1:3" x14ac:dyDescent="0.35">
      <c r="A4920">
        <v>81</v>
      </c>
      <c r="B4920">
        <v>2007</v>
      </c>
      <c r="C4920">
        <v>2.1600000000000001E-2</v>
      </c>
    </row>
    <row r="4921" spans="1:3" x14ac:dyDescent="0.35">
      <c r="A4921">
        <v>81</v>
      </c>
      <c r="B4921">
        <v>2008</v>
      </c>
      <c r="C4921">
        <v>2.0400000000000001E-2</v>
      </c>
    </row>
    <row r="4922" spans="1:3" x14ac:dyDescent="0.35">
      <c r="A4922">
        <v>81</v>
      </c>
      <c r="B4922">
        <v>2009</v>
      </c>
      <c r="C4922">
        <v>1.8800000000000001E-2</v>
      </c>
    </row>
    <row r="4923" spans="1:3" x14ac:dyDescent="0.35">
      <c r="A4923">
        <v>81</v>
      </c>
      <c r="B4923">
        <v>2010</v>
      </c>
      <c r="C4923">
        <v>1.67E-2</v>
      </c>
    </row>
    <row r="4924" spans="1:3" x14ac:dyDescent="0.35">
      <c r="A4924">
        <v>81</v>
      </c>
      <c r="B4924">
        <v>2011</v>
      </c>
      <c r="C4924">
        <v>1.44E-2</v>
      </c>
    </row>
    <row r="4925" spans="1:3" x14ac:dyDescent="0.35">
      <c r="A4925">
        <v>81</v>
      </c>
      <c r="B4925">
        <v>2012</v>
      </c>
      <c r="C4925">
        <v>1.1900000000000001E-2</v>
      </c>
    </row>
    <row r="4926" spans="1:3" x14ac:dyDescent="0.35">
      <c r="A4926">
        <v>81</v>
      </c>
      <c r="B4926">
        <v>2013</v>
      </c>
      <c r="C4926">
        <v>1.2E-2</v>
      </c>
    </row>
    <row r="4927" spans="1:3" x14ac:dyDescent="0.35">
      <c r="A4927">
        <v>81</v>
      </c>
      <c r="B4927">
        <v>2014</v>
      </c>
      <c r="C4927">
        <v>1.21E-2</v>
      </c>
    </row>
    <row r="4928" spans="1:3" x14ac:dyDescent="0.35">
      <c r="A4928">
        <v>81</v>
      </c>
      <c r="B4928">
        <v>2015</v>
      </c>
      <c r="C4928">
        <v>1.2E-2</v>
      </c>
    </row>
    <row r="4929" spans="1:3" x14ac:dyDescent="0.35">
      <c r="A4929">
        <v>81</v>
      </c>
      <c r="B4929">
        <v>2016</v>
      </c>
      <c r="C4929">
        <v>1.1900000000000001E-2</v>
      </c>
    </row>
    <row r="4930" spans="1:3" x14ac:dyDescent="0.35">
      <c r="A4930">
        <v>81</v>
      </c>
      <c r="B4930">
        <v>2017</v>
      </c>
      <c r="C4930">
        <v>1.17E-2</v>
      </c>
    </row>
    <row r="4931" spans="1:3" x14ac:dyDescent="0.35">
      <c r="A4931">
        <v>81</v>
      </c>
      <c r="B4931">
        <v>2018</v>
      </c>
      <c r="C4931">
        <v>1.15E-2</v>
      </c>
    </row>
    <row r="4932" spans="1:3" x14ac:dyDescent="0.35">
      <c r="A4932">
        <v>81</v>
      </c>
      <c r="B4932">
        <v>2019</v>
      </c>
      <c r="C4932">
        <v>1.12E-2</v>
      </c>
    </row>
    <row r="4933" spans="1:3" x14ac:dyDescent="0.35">
      <c r="A4933">
        <v>81</v>
      </c>
      <c r="B4933">
        <v>2020</v>
      </c>
      <c r="C4933">
        <v>1.09E-2</v>
      </c>
    </row>
    <row r="4934" spans="1:3" x14ac:dyDescent="0.35">
      <c r="A4934">
        <v>81</v>
      </c>
      <c r="B4934">
        <v>2021</v>
      </c>
      <c r="C4934">
        <v>1.06E-2</v>
      </c>
    </row>
    <row r="4935" spans="1:3" x14ac:dyDescent="0.35">
      <c r="A4935">
        <v>81</v>
      </c>
      <c r="B4935">
        <v>2022</v>
      </c>
      <c r="C4935">
        <v>1.04E-2</v>
      </c>
    </row>
    <row r="4936" spans="1:3" x14ac:dyDescent="0.35">
      <c r="A4936">
        <v>81</v>
      </c>
      <c r="B4936">
        <v>2023</v>
      </c>
      <c r="C4936">
        <v>1.01E-2</v>
      </c>
    </row>
    <row r="4937" spans="1:3" x14ac:dyDescent="0.35">
      <c r="A4937">
        <v>81</v>
      </c>
      <c r="B4937">
        <v>2024</v>
      </c>
      <c r="C4937">
        <v>9.9000000000000008E-3</v>
      </c>
    </row>
    <row r="4938" spans="1:3" x14ac:dyDescent="0.35">
      <c r="A4938">
        <v>81</v>
      </c>
      <c r="B4938">
        <v>2025</v>
      </c>
      <c r="C4938">
        <v>9.7000000000000003E-3</v>
      </c>
    </row>
    <row r="4939" spans="1:3" x14ac:dyDescent="0.35">
      <c r="A4939">
        <v>81</v>
      </c>
      <c r="B4939">
        <v>2026</v>
      </c>
      <c r="C4939">
        <v>9.5999999999999992E-3</v>
      </c>
    </row>
    <row r="4940" spans="1:3" x14ac:dyDescent="0.35">
      <c r="A4940">
        <v>81</v>
      </c>
      <c r="B4940">
        <v>2027</v>
      </c>
      <c r="C4940">
        <v>9.5999999999999992E-3</v>
      </c>
    </row>
    <row r="4941" spans="1:3" x14ac:dyDescent="0.35">
      <c r="A4941">
        <v>81</v>
      </c>
      <c r="B4941">
        <v>2028</v>
      </c>
      <c r="C4941">
        <v>9.5999999999999992E-3</v>
      </c>
    </row>
    <row r="4942" spans="1:3" x14ac:dyDescent="0.35">
      <c r="A4942">
        <v>81</v>
      </c>
      <c r="B4942">
        <v>2029</v>
      </c>
      <c r="C4942">
        <v>9.7000000000000003E-3</v>
      </c>
    </row>
    <row r="4943" spans="1:3" x14ac:dyDescent="0.35">
      <c r="A4943">
        <v>81</v>
      </c>
      <c r="B4943">
        <v>2030</v>
      </c>
      <c r="C4943">
        <v>9.7999999999999997E-3</v>
      </c>
    </row>
    <row r="4944" spans="1:3" x14ac:dyDescent="0.35">
      <c r="A4944">
        <v>81</v>
      </c>
      <c r="B4944">
        <v>2031</v>
      </c>
      <c r="C4944">
        <v>0.01</v>
      </c>
    </row>
    <row r="4945" spans="1:3" x14ac:dyDescent="0.35">
      <c r="A4945">
        <v>82</v>
      </c>
      <c r="B4945">
        <v>1951</v>
      </c>
      <c r="C4945">
        <v>6.8999999999999999E-3</v>
      </c>
    </row>
    <row r="4946" spans="1:3" x14ac:dyDescent="0.35">
      <c r="A4946">
        <v>82</v>
      </c>
      <c r="B4946">
        <v>1952</v>
      </c>
      <c r="C4946">
        <v>5.7000000000000002E-3</v>
      </c>
    </row>
    <row r="4947" spans="1:3" x14ac:dyDescent="0.35">
      <c r="A4947">
        <v>82</v>
      </c>
      <c r="B4947">
        <v>1953</v>
      </c>
      <c r="C4947">
        <v>4.4999999999999997E-3</v>
      </c>
    </row>
    <row r="4948" spans="1:3" x14ac:dyDescent="0.35">
      <c r="A4948">
        <v>82</v>
      </c>
      <c r="B4948">
        <v>1954</v>
      </c>
      <c r="C4948">
        <v>3.3E-3</v>
      </c>
    </row>
    <row r="4949" spans="1:3" x14ac:dyDescent="0.35">
      <c r="A4949">
        <v>82</v>
      </c>
      <c r="B4949">
        <v>1955</v>
      </c>
      <c r="C4949">
        <v>2.0999999999999999E-3</v>
      </c>
    </row>
    <row r="4950" spans="1:3" x14ac:dyDescent="0.35">
      <c r="A4950">
        <v>82</v>
      </c>
      <c r="B4950">
        <v>1956</v>
      </c>
      <c r="C4950">
        <v>1E-3</v>
      </c>
    </row>
    <row r="4951" spans="1:3" x14ac:dyDescent="0.35">
      <c r="A4951">
        <v>82</v>
      </c>
      <c r="B4951">
        <v>1957</v>
      </c>
      <c r="C4951">
        <v>0</v>
      </c>
    </row>
    <row r="4952" spans="1:3" x14ac:dyDescent="0.35">
      <c r="A4952">
        <v>82</v>
      </c>
      <c r="B4952">
        <v>1958</v>
      </c>
      <c r="C4952">
        <v>-8.0000000000000004E-4</v>
      </c>
    </row>
    <row r="4953" spans="1:3" x14ac:dyDescent="0.35">
      <c r="A4953">
        <v>82</v>
      </c>
      <c r="B4953">
        <v>1959</v>
      </c>
      <c r="C4953">
        <v>-1.4E-3</v>
      </c>
    </row>
    <row r="4954" spans="1:3" x14ac:dyDescent="0.35">
      <c r="A4954">
        <v>82</v>
      </c>
      <c r="B4954">
        <v>1960</v>
      </c>
      <c r="C4954">
        <v>-1.8E-3</v>
      </c>
    </row>
    <row r="4955" spans="1:3" x14ac:dyDescent="0.35">
      <c r="A4955">
        <v>82</v>
      </c>
      <c r="B4955">
        <v>1961</v>
      </c>
      <c r="C4955">
        <v>-1.9E-3</v>
      </c>
    </row>
    <row r="4956" spans="1:3" x14ac:dyDescent="0.35">
      <c r="A4956">
        <v>82</v>
      </c>
      <c r="B4956">
        <v>1962</v>
      </c>
      <c r="C4956">
        <v>-1.6999999999999999E-3</v>
      </c>
    </row>
    <row r="4957" spans="1:3" x14ac:dyDescent="0.35">
      <c r="A4957">
        <v>82</v>
      </c>
      <c r="B4957">
        <v>1963</v>
      </c>
      <c r="C4957">
        <v>-1.1999999999999999E-3</v>
      </c>
    </row>
    <row r="4958" spans="1:3" x14ac:dyDescent="0.35">
      <c r="A4958">
        <v>82</v>
      </c>
      <c r="B4958">
        <v>1964</v>
      </c>
      <c r="C4958">
        <v>-4.0000000000000002E-4</v>
      </c>
    </row>
    <row r="4959" spans="1:3" x14ac:dyDescent="0.35">
      <c r="A4959">
        <v>82</v>
      </c>
      <c r="B4959">
        <v>1965</v>
      </c>
      <c r="C4959">
        <v>5.9999999999999995E-4</v>
      </c>
    </row>
    <row r="4960" spans="1:3" x14ac:dyDescent="0.35">
      <c r="A4960">
        <v>82</v>
      </c>
      <c r="B4960">
        <v>1966</v>
      </c>
      <c r="C4960">
        <v>1.9E-3</v>
      </c>
    </row>
    <row r="4961" spans="1:3" x14ac:dyDescent="0.35">
      <c r="A4961">
        <v>82</v>
      </c>
      <c r="B4961">
        <v>1967</v>
      </c>
      <c r="C4961">
        <v>3.3999999999999998E-3</v>
      </c>
    </row>
    <row r="4962" spans="1:3" x14ac:dyDescent="0.35">
      <c r="A4962">
        <v>82</v>
      </c>
      <c r="B4962">
        <v>1968</v>
      </c>
      <c r="C4962">
        <v>5.1000000000000004E-3</v>
      </c>
    </row>
    <row r="4963" spans="1:3" x14ac:dyDescent="0.35">
      <c r="A4963">
        <v>82</v>
      </c>
      <c r="B4963">
        <v>1969</v>
      </c>
      <c r="C4963">
        <v>7.0000000000000001E-3</v>
      </c>
    </row>
    <row r="4964" spans="1:3" x14ac:dyDescent="0.35">
      <c r="A4964">
        <v>82</v>
      </c>
      <c r="B4964">
        <v>1970</v>
      </c>
      <c r="C4964">
        <v>8.8000000000000005E-3</v>
      </c>
    </row>
    <row r="4965" spans="1:3" x14ac:dyDescent="0.35">
      <c r="A4965">
        <v>82</v>
      </c>
      <c r="B4965">
        <v>1971</v>
      </c>
      <c r="C4965">
        <v>1.06E-2</v>
      </c>
    </row>
    <row r="4966" spans="1:3" x14ac:dyDescent="0.35">
      <c r="A4966">
        <v>82</v>
      </c>
      <c r="B4966">
        <v>1972</v>
      </c>
      <c r="C4966">
        <v>1.21E-2</v>
      </c>
    </row>
    <row r="4967" spans="1:3" x14ac:dyDescent="0.35">
      <c r="A4967">
        <v>82</v>
      </c>
      <c r="B4967">
        <v>1973</v>
      </c>
      <c r="C4967">
        <v>1.32E-2</v>
      </c>
    </row>
    <row r="4968" spans="1:3" x14ac:dyDescent="0.35">
      <c r="A4968">
        <v>82</v>
      </c>
      <c r="B4968">
        <v>1974</v>
      </c>
      <c r="C4968">
        <v>1.3899999999999999E-2</v>
      </c>
    </row>
    <row r="4969" spans="1:3" x14ac:dyDescent="0.35">
      <c r="A4969">
        <v>82</v>
      </c>
      <c r="B4969">
        <v>1975</v>
      </c>
      <c r="C4969">
        <v>1.41E-2</v>
      </c>
    </row>
    <row r="4970" spans="1:3" x14ac:dyDescent="0.35">
      <c r="A4970">
        <v>82</v>
      </c>
      <c r="B4970">
        <v>1976</v>
      </c>
      <c r="C4970">
        <v>1.3599999999999999E-2</v>
      </c>
    </row>
    <row r="4971" spans="1:3" x14ac:dyDescent="0.35">
      <c r="A4971">
        <v>82</v>
      </c>
      <c r="B4971">
        <v>1977</v>
      </c>
      <c r="C4971">
        <v>1.26E-2</v>
      </c>
    </row>
    <row r="4972" spans="1:3" x14ac:dyDescent="0.35">
      <c r="A4972">
        <v>82</v>
      </c>
      <c r="B4972">
        <v>1978</v>
      </c>
      <c r="C4972">
        <v>1.12E-2</v>
      </c>
    </row>
    <row r="4973" spans="1:3" x14ac:dyDescent="0.35">
      <c r="A4973">
        <v>82</v>
      </c>
      <c r="B4973">
        <v>1979</v>
      </c>
      <c r="C4973">
        <v>9.5999999999999992E-3</v>
      </c>
    </row>
    <row r="4974" spans="1:3" x14ac:dyDescent="0.35">
      <c r="A4974">
        <v>82</v>
      </c>
      <c r="B4974">
        <v>1980</v>
      </c>
      <c r="C4974">
        <v>8.0000000000000002E-3</v>
      </c>
    </row>
    <row r="4975" spans="1:3" x14ac:dyDescent="0.35">
      <c r="A4975">
        <v>82</v>
      </c>
      <c r="B4975">
        <v>1981</v>
      </c>
      <c r="C4975">
        <v>6.4999999999999997E-3</v>
      </c>
    </row>
    <row r="4976" spans="1:3" x14ac:dyDescent="0.35">
      <c r="A4976">
        <v>82</v>
      </c>
      <c r="B4976">
        <v>1982</v>
      </c>
      <c r="C4976">
        <v>5.3E-3</v>
      </c>
    </row>
    <row r="4977" spans="1:3" x14ac:dyDescent="0.35">
      <c r="A4977">
        <v>82</v>
      </c>
      <c r="B4977">
        <v>1983</v>
      </c>
      <c r="C4977">
        <v>4.4999999999999997E-3</v>
      </c>
    </row>
    <row r="4978" spans="1:3" x14ac:dyDescent="0.35">
      <c r="A4978">
        <v>82</v>
      </c>
      <c r="B4978">
        <v>1984</v>
      </c>
      <c r="C4978">
        <v>4.1999999999999997E-3</v>
      </c>
    </row>
    <row r="4979" spans="1:3" x14ac:dyDescent="0.35">
      <c r="A4979">
        <v>82</v>
      </c>
      <c r="B4979">
        <v>1985</v>
      </c>
      <c r="C4979">
        <v>4.4000000000000003E-3</v>
      </c>
    </row>
    <row r="4980" spans="1:3" x14ac:dyDescent="0.35">
      <c r="A4980">
        <v>82</v>
      </c>
      <c r="B4980">
        <v>1986</v>
      </c>
      <c r="C4980">
        <v>4.8999999999999998E-3</v>
      </c>
    </row>
    <row r="4981" spans="1:3" x14ac:dyDescent="0.35">
      <c r="A4981">
        <v>82</v>
      </c>
      <c r="B4981">
        <v>1987</v>
      </c>
      <c r="C4981">
        <v>5.7000000000000002E-3</v>
      </c>
    </row>
    <row r="4982" spans="1:3" x14ac:dyDescent="0.35">
      <c r="A4982">
        <v>82</v>
      </c>
      <c r="B4982">
        <v>1988</v>
      </c>
      <c r="C4982">
        <v>6.6E-3</v>
      </c>
    </row>
    <row r="4983" spans="1:3" x14ac:dyDescent="0.35">
      <c r="A4983">
        <v>82</v>
      </c>
      <c r="B4983">
        <v>1989</v>
      </c>
      <c r="C4983">
        <v>7.3000000000000001E-3</v>
      </c>
    </row>
    <row r="4984" spans="1:3" x14ac:dyDescent="0.35">
      <c r="A4984">
        <v>82</v>
      </c>
      <c r="B4984">
        <v>1990</v>
      </c>
      <c r="C4984">
        <v>7.7999999999999996E-3</v>
      </c>
    </row>
    <row r="4985" spans="1:3" x14ac:dyDescent="0.35">
      <c r="A4985">
        <v>82</v>
      </c>
      <c r="B4985">
        <v>1991</v>
      </c>
      <c r="C4985">
        <v>8.0000000000000002E-3</v>
      </c>
    </row>
    <row r="4986" spans="1:3" x14ac:dyDescent="0.35">
      <c r="A4986">
        <v>82</v>
      </c>
      <c r="B4986">
        <v>1992</v>
      </c>
      <c r="C4986">
        <v>8.0000000000000002E-3</v>
      </c>
    </row>
    <row r="4987" spans="1:3" x14ac:dyDescent="0.35">
      <c r="A4987">
        <v>82</v>
      </c>
      <c r="B4987">
        <v>1993</v>
      </c>
      <c r="C4987">
        <v>7.9000000000000008E-3</v>
      </c>
    </row>
    <row r="4988" spans="1:3" x14ac:dyDescent="0.35">
      <c r="A4988">
        <v>82</v>
      </c>
      <c r="B4988">
        <v>1994</v>
      </c>
      <c r="C4988">
        <v>7.9000000000000008E-3</v>
      </c>
    </row>
    <row r="4989" spans="1:3" x14ac:dyDescent="0.35">
      <c r="A4989">
        <v>82</v>
      </c>
      <c r="B4989">
        <v>1995</v>
      </c>
      <c r="C4989">
        <v>8.0999999999999996E-3</v>
      </c>
    </row>
    <row r="4990" spans="1:3" x14ac:dyDescent="0.35">
      <c r="A4990">
        <v>82</v>
      </c>
      <c r="B4990">
        <v>1996</v>
      </c>
      <c r="C4990">
        <v>8.5000000000000006E-3</v>
      </c>
    </row>
    <row r="4991" spans="1:3" x14ac:dyDescent="0.35">
      <c r="A4991">
        <v>82</v>
      </c>
      <c r="B4991">
        <v>1997</v>
      </c>
      <c r="C4991">
        <v>9.4000000000000004E-3</v>
      </c>
    </row>
    <row r="4992" spans="1:3" x14ac:dyDescent="0.35">
      <c r="A4992">
        <v>82</v>
      </c>
      <c r="B4992">
        <v>1998</v>
      </c>
      <c r="C4992">
        <v>1.06E-2</v>
      </c>
    </row>
    <row r="4993" spans="1:3" x14ac:dyDescent="0.35">
      <c r="A4993">
        <v>82</v>
      </c>
      <c r="B4993">
        <v>1999</v>
      </c>
      <c r="C4993">
        <v>1.2200000000000001E-2</v>
      </c>
    </row>
    <row r="4994" spans="1:3" x14ac:dyDescent="0.35">
      <c r="A4994">
        <v>82</v>
      </c>
      <c r="B4994">
        <v>2000</v>
      </c>
      <c r="C4994">
        <v>1.41E-2</v>
      </c>
    </row>
    <row r="4995" spans="1:3" x14ac:dyDescent="0.35">
      <c r="A4995">
        <v>82</v>
      </c>
      <c r="B4995">
        <v>2001</v>
      </c>
      <c r="C4995">
        <v>1.6E-2</v>
      </c>
    </row>
    <row r="4996" spans="1:3" x14ac:dyDescent="0.35">
      <c r="A4996">
        <v>82</v>
      </c>
      <c r="B4996">
        <v>2002</v>
      </c>
      <c r="C4996">
        <v>1.7899999999999999E-2</v>
      </c>
    </row>
    <row r="4997" spans="1:3" x14ac:dyDescent="0.35">
      <c r="A4997">
        <v>82</v>
      </c>
      <c r="B4997">
        <v>2003</v>
      </c>
      <c r="C4997">
        <v>1.9599999999999999E-2</v>
      </c>
    </row>
    <row r="4998" spans="1:3" x14ac:dyDescent="0.35">
      <c r="A4998">
        <v>82</v>
      </c>
      <c r="B4998">
        <v>2004</v>
      </c>
      <c r="C4998">
        <v>2.07E-2</v>
      </c>
    </row>
    <row r="4999" spans="1:3" x14ac:dyDescent="0.35">
      <c r="A4999">
        <v>82</v>
      </c>
      <c r="B4999">
        <v>2005</v>
      </c>
      <c r="C4999">
        <v>2.1399999999999999E-2</v>
      </c>
    </row>
    <row r="5000" spans="1:3" x14ac:dyDescent="0.35">
      <c r="A5000">
        <v>82</v>
      </c>
      <c r="B5000">
        <v>2006</v>
      </c>
      <c r="C5000">
        <v>2.1399999999999999E-2</v>
      </c>
    </row>
    <row r="5001" spans="1:3" x14ac:dyDescent="0.35">
      <c r="A5001">
        <v>82</v>
      </c>
      <c r="B5001">
        <v>2007</v>
      </c>
      <c r="C5001">
        <v>2.0799999999999999E-2</v>
      </c>
    </row>
    <row r="5002" spans="1:3" x14ac:dyDescent="0.35">
      <c r="A5002">
        <v>82</v>
      </c>
      <c r="B5002">
        <v>2008</v>
      </c>
      <c r="C5002">
        <v>1.9699999999999999E-2</v>
      </c>
    </row>
    <row r="5003" spans="1:3" x14ac:dyDescent="0.35">
      <c r="A5003">
        <v>82</v>
      </c>
      <c r="B5003">
        <v>2009</v>
      </c>
      <c r="C5003">
        <v>1.8100000000000002E-2</v>
      </c>
    </row>
    <row r="5004" spans="1:3" x14ac:dyDescent="0.35">
      <c r="A5004">
        <v>82</v>
      </c>
      <c r="B5004">
        <v>2010</v>
      </c>
      <c r="C5004">
        <v>1.61E-2</v>
      </c>
    </row>
    <row r="5005" spans="1:3" x14ac:dyDescent="0.35">
      <c r="A5005">
        <v>82</v>
      </c>
      <c r="B5005">
        <v>2011</v>
      </c>
      <c r="C5005">
        <v>1.3899999999999999E-2</v>
      </c>
    </row>
    <row r="5006" spans="1:3" x14ac:dyDescent="0.35">
      <c r="A5006">
        <v>82</v>
      </c>
      <c r="B5006">
        <v>2012</v>
      </c>
      <c r="C5006">
        <v>1.15E-2</v>
      </c>
    </row>
    <row r="5007" spans="1:3" x14ac:dyDescent="0.35">
      <c r="A5007">
        <v>82</v>
      </c>
      <c r="B5007">
        <v>2013</v>
      </c>
      <c r="C5007">
        <v>1.17E-2</v>
      </c>
    </row>
    <row r="5008" spans="1:3" x14ac:dyDescent="0.35">
      <c r="A5008">
        <v>82</v>
      </c>
      <c r="B5008">
        <v>2014</v>
      </c>
      <c r="C5008">
        <v>1.17E-2</v>
      </c>
    </row>
    <row r="5009" spans="1:3" x14ac:dyDescent="0.35">
      <c r="A5009">
        <v>82</v>
      </c>
      <c r="B5009">
        <v>2015</v>
      </c>
      <c r="C5009">
        <v>1.17E-2</v>
      </c>
    </row>
    <row r="5010" spans="1:3" x14ac:dyDescent="0.35">
      <c r="A5010">
        <v>82</v>
      </c>
      <c r="B5010">
        <v>2016</v>
      </c>
      <c r="C5010">
        <v>1.1599999999999999E-2</v>
      </c>
    </row>
    <row r="5011" spans="1:3" x14ac:dyDescent="0.35">
      <c r="A5011">
        <v>82</v>
      </c>
      <c r="B5011">
        <v>2017</v>
      </c>
      <c r="C5011">
        <v>1.15E-2</v>
      </c>
    </row>
    <row r="5012" spans="1:3" x14ac:dyDescent="0.35">
      <c r="A5012">
        <v>82</v>
      </c>
      <c r="B5012">
        <v>2018</v>
      </c>
      <c r="C5012">
        <v>1.1299999999999999E-2</v>
      </c>
    </row>
    <row r="5013" spans="1:3" x14ac:dyDescent="0.35">
      <c r="A5013">
        <v>82</v>
      </c>
      <c r="B5013">
        <v>2019</v>
      </c>
      <c r="C5013">
        <v>1.11E-2</v>
      </c>
    </row>
    <row r="5014" spans="1:3" x14ac:dyDescent="0.35">
      <c r="A5014">
        <v>82</v>
      </c>
      <c r="B5014">
        <v>2020</v>
      </c>
      <c r="C5014">
        <v>1.09E-2</v>
      </c>
    </row>
    <row r="5015" spans="1:3" x14ac:dyDescent="0.35">
      <c r="A5015">
        <v>82</v>
      </c>
      <c r="B5015">
        <v>2021</v>
      </c>
      <c r="C5015">
        <v>1.0699999999999999E-2</v>
      </c>
    </row>
    <row r="5016" spans="1:3" x14ac:dyDescent="0.35">
      <c r="A5016">
        <v>82</v>
      </c>
      <c r="B5016">
        <v>2022</v>
      </c>
      <c r="C5016">
        <v>1.04E-2</v>
      </c>
    </row>
    <row r="5017" spans="1:3" x14ac:dyDescent="0.35">
      <c r="A5017">
        <v>82</v>
      </c>
      <c r="B5017">
        <v>2023</v>
      </c>
      <c r="C5017">
        <v>1.0200000000000001E-2</v>
      </c>
    </row>
    <row r="5018" spans="1:3" x14ac:dyDescent="0.35">
      <c r="A5018">
        <v>82</v>
      </c>
      <c r="B5018">
        <v>2024</v>
      </c>
      <c r="C5018">
        <v>0.01</v>
      </c>
    </row>
    <row r="5019" spans="1:3" x14ac:dyDescent="0.35">
      <c r="A5019">
        <v>82</v>
      </c>
      <c r="B5019">
        <v>2025</v>
      </c>
      <c r="C5019">
        <v>9.7999999999999997E-3</v>
      </c>
    </row>
    <row r="5020" spans="1:3" x14ac:dyDescent="0.35">
      <c r="A5020">
        <v>82</v>
      </c>
      <c r="B5020">
        <v>2026</v>
      </c>
      <c r="C5020">
        <v>9.7000000000000003E-3</v>
      </c>
    </row>
    <row r="5021" spans="1:3" x14ac:dyDescent="0.35">
      <c r="A5021">
        <v>82</v>
      </c>
      <c r="B5021">
        <v>2027</v>
      </c>
      <c r="C5021">
        <v>9.7000000000000003E-3</v>
      </c>
    </row>
    <row r="5022" spans="1:3" x14ac:dyDescent="0.35">
      <c r="A5022">
        <v>82</v>
      </c>
      <c r="B5022">
        <v>2028</v>
      </c>
      <c r="C5022">
        <v>9.7000000000000003E-3</v>
      </c>
    </row>
    <row r="5023" spans="1:3" x14ac:dyDescent="0.35">
      <c r="A5023">
        <v>82</v>
      </c>
      <c r="B5023">
        <v>2029</v>
      </c>
      <c r="C5023">
        <v>9.7999999999999997E-3</v>
      </c>
    </row>
    <row r="5024" spans="1:3" x14ac:dyDescent="0.35">
      <c r="A5024">
        <v>82</v>
      </c>
      <c r="B5024">
        <v>2030</v>
      </c>
      <c r="C5024">
        <v>9.9000000000000008E-3</v>
      </c>
    </row>
    <row r="5025" spans="1:3" x14ac:dyDescent="0.35">
      <c r="A5025">
        <v>82</v>
      </c>
      <c r="B5025">
        <v>2031</v>
      </c>
      <c r="C5025">
        <v>0.01</v>
      </c>
    </row>
    <row r="5026" spans="1:3" x14ac:dyDescent="0.35">
      <c r="A5026">
        <v>83</v>
      </c>
      <c r="B5026">
        <v>1951</v>
      </c>
      <c r="C5026">
        <v>6.0000000000000001E-3</v>
      </c>
    </row>
    <row r="5027" spans="1:3" x14ac:dyDescent="0.35">
      <c r="A5027">
        <v>83</v>
      </c>
      <c r="B5027">
        <v>1952</v>
      </c>
      <c r="C5027">
        <v>4.7999999999999996E-3</v>
      </c>
    </row>
    <row r="5028" spans="1:3" x14ac:dyDescent="0.35">
      <c r="A5028">
        <v>83</v>
      </c>
      <c r="B5028">
        <v>1953</v>
      </c>
      <c r="C5028">
        <v>3.5999999999999999E-3</v>
      </c>
    </row>
    <row r="5029" spans="1:3" x14ac:dyDescent="0.35">
      <c r="A5029">
        <v>83</v>
      </c>
      <c r="B5029">
        <v>1954</v>
      </c>
      <c r="C5029">
        <v>2.3999999999999998E-3</v>
      </c>
    </row>
    <row r="5030" spans="1:3" x14ac:dyDescent="0.35">
      <c r="A5030">
        <v>83</v>
      </c>
      <c r="B5030">
        <v>1955</v>
      </c>
      <c r="C5030">
        <v>1.2999999999999999E-3</v>
      </c>
    </row>
    <row r="5031" spans="1:3" x14ac:dyDescent="0.35">
      <c r="A5031">
        <v>83</v>
      </c>
      <c r="B5031">
        <v>1956</v>
      </c>
      <c r="C5031">
        <v>2.0000000000000001E-4</v>
      </c>
    </row>
    <row r="5032" spans="1:3" x14ac:dyDescent="0.35">
      <c r="A5032">
        <v>83</v>
      </c>
      <c r="B5032">
        <v>1957</v>
      </c>
      <c r="C5032">
        <v>-6.9999999999999999E-4</v>
      </c>
    </row>
    <row r="5033" spans="1:3" x14ac:dyDescent="0.35">
      <c r="A5033">
        <v>83</v>
      </c>
      <c r="B5033">
        <v>1958</v>
      </c>
      <c r="C5033">
        <v>-1.4E-3</v>
      </c>
    </row>
    <row r="5034" spans="1:3" x14ac:dyDescent="0.35">
      <c r="A5034">
        <v>83</v>
      </c>
      <c r="B5034">
        <v>1959</v>
      </c>
      <c r="C5034">
        <v>-1.9E-3</v>
      </c>
    </row>
    <row r="5035" spans="1:3" x14ac:dyDescent="0.35">
      <c r="A5035">
        <v>83</v>
      </c>
      <c r="B5035">
        <v>1960</v>
      </c>
      <c r="C5035">
        <v>-2.0999999999999999E-3</v>
      </c>
    </row>
    <row r="5036" spans="1:3" x14ac:dyDescent="0.35">
      <c r="A5036">
        <v>83</v>
      </c>
      <c r="B5036">
        <v>1961</v>
      </c>
      <c r="C5036">
        <v>-2.0999999999999999E-3</v>
      </c>
    </row>
    <row r="5037" spans="1:3" x14ac:dyDescent="0.35">
      <c r="A5037">
        <v>83</v>
      </c>
      <c r="B5037">
        <v>1962</v>
      </c>
      <c r="C5037">
        <v>-1.6999999999999999E-3</v>
      </c>
    </row>
    <row r="5038" spans="1:3" x14ac:dyDescent="0.35">
      <c r="A5038">
        <v>83</v>
      </c>
      <c r="B5038">
        <v>1963</v>
      </c>
      <c r="C5038">
        <v>-1.1000000000000001E-3</v>
      </c>
    </row>
    <row r="5039" spans="1:3" x14ac:dyDescent="0.35">
      <c r="A5039">
        <v>83</v>
      </c>
      <c r="B5039">
        <v>1964</v>
      </c>
      <c r="C5039">
        <v>-2.0000000000000001E-4</v>
      </c>
    </row>
    <row r="5040" spans="1:3" x14ac:dyDescent="0.35">
      <c r="A5040">
        <v>83</v>
      </c>
      <c r="B5040">
        <v>1965</v>
      </c>
      <c r="C5040">
        <v>1E-3</v>
      </c>
    </row>
    <row r="5041" spans="1:3" x14ac:dyDescent="0.35">
      <c r="A5041">
        <v>83</v>
      </c>
      <c r="B5041">
        <v>1966</v>
      </c>
      <c r="C5041">
        <v>2.3999999999999998E-3</v>
      </c>
    </row>
    <row r="5042" spans="1:3" x14ac:dyDescent="0.35">
      <c r="A5042">
        <v>83</v>
      </c>
      <c r="B5042">
        <v>1967</v>
      </c>
      <c r="C5042">
        <v>4.0000000000000001E-3</v>
      </c>
    </row>
    <row r="5043" spans="1:3" x14ac:dyDescent="0.35">
      <c r="A5043">
        <v>83</v>
      </c>
      <c r="B5043">
        <v>1968</v>
      </c>
      <c r="C5043">
        <v>5.7000000000000002E-3</v>
      </c>
    </row>
    <row r="5044" spans="1:3" x14ac:dyDescent="0.35">
      <c r="A5044">
        <v>83</v>
      </c>
      <c r="B5044">
        <v>1969</v>
      </c>
      <c r="C5044">
        <v>7.4999999999999997E-3</v>
      </c>
    </row>
    <row r="5045" spans="1:3" x14ac:dyDescent="0.35">
      <c r="A5045">
        <v>83</v>
      </c>
      <c r="B5045">
        <v>1970</v>
      </c>
      <c r="C5045">
        <v>9.1999999999999998E-3</v>
      </c>
    </row>
    <row r="5046" spans="1:3" x14ac:dyDescent="0.35">
      <c r="A5046">
        <v>83</v>
      </c>
      <c r="B5046">
        <v>1971</v>
      </c>
      <c r="C5046">
        <v>1.09E-2</v>
      </c>
    </row>
    <row r="5047" spans="1:3" x14ac:dyDescent="0.35">
      <c r="A5047">
        <v>83</v>
      </c>
      <c r="B5047">
        <v>1972</v>
      </c>
      <c r="C5047">
        <v>1.23E-2</v>
      </c>
    </row>
    <row r="5048" spans="1:3" x14ac:dyDescent="0.35">
      <c r="A5048">
        <v>83</v>
      </c>
      <c r="B5048">
        <v>1973</v>
      </c>
      <c r="C5048">
        <v>1.34E-2</v>
      </c>
    </row>
    <row r="5049" spans="1:3" x14ac:dyDescent="0.35">
      <c r="A5049">
        <v>83</v>
      </c>
      <c r="B5049">
        <v>1974</v>
      </c>
      <c r="C5049">
        <v>1.4E-2</v>
      </c>
    </row>
    <row r="5050" spans="1:3" x14ac:dyDescent="0.35">
      <c r="A5050">
        <v>83</v>
      </c>
      <c r="B5050">
        <v>1975</v>
      </c>
      <c r="C5050">
        <v>1.41E-2</v>
      </c>
    </row>
    <row r="5051" spans="1:3" x14ac:dyDescent="0.35">
      <c r="A5051">
        <v>83</v>
      </c>
      <c r="B5051">
        <v>1976</v>
      </c>
      <c r="C5051">
        <v>1.3599999999999999E-2</v>
      </c>
    </row>
    <row r="5052" spans="1:3" x14ac:dyDescent="0.35">
      <c r="A5052">
        <v>83</v>
      </c>
      <c r="B5052">
        <v>1977</v>
      </c>
      <c r="C5052">
        <v>1.26E-2</v>
      </c>
    </row>
    <row r="5053" spans="1:3" x14ac:dyDescent="0.35">
      <c r="A5053">
        <v>83</v>
      </c>
      <c r="B5053">
        <v>1978</v>
      </c>
      <c r="C5053">
        <v>1.12E-2</v>
      </c>
    </row>
    <row r="5054" spans="1:3" x14ac:dyDescent="0.35">
      <c r="A5054">
        <v>83</v>
      </c>
      <c r="B5054">
        <v>1979</v>
      </c>
      <c r="C5054">
        <v>9.5999999999999992E-3</v>
      </c>
    </row>
    <row r="5055" spans="1:3" x14ac:dyDescent="0.35">
      <c r="A5055">
        <v>83</v>
      </c>
      <c r="B5055">
        <v>1980</v>
      </c>
      <c r="C5055">
        <v>8.0000000000000002E-3</v>
      </c>
    </row>
    <row r="5056" spans="1:3" x14ac:dyDescent="0.35">
      <c r="A5056">
        <v>83</v>
      </c>
      <c r="B5056">
        <v>1981</v>
      </c>
      <c r="C5056">
        <v>6.4999999999999997E-3</v>
      </c>
    </row>
    <row r="5057" spans="1:3" x14ac:dyDescent="0.35">
      <c r="A5057">
        <v>83</v>
      </c>
      <c r="B5057">
        <v>1982</v>
      </c>
      <c r="C5057">
        <v>5.1999999999999998E-3</v>
      </c>
    </row>
    <row r="5058" spans="1:3" x14ac:dyDescent="0.35">
      <c r="A5058">
        <v>83</v>
      </c>
      <c r="B5058">
        <v>1983</v>
      </c>
      <c r="C5058">
        <v>4.3E-3</v>
      </c>
    </row>
    <row r="5059" spans="1:3" x14ac:dyDescent="0.35">
      <c r="A5059">
        <v>83</v>
      </c>
      <c r="B5059">
        <v>1984</v>
      </c>
      <c r="C5059">
        <v>3.8E-3</v>
      </c>
    </row>
    <row r="5060" spans="1:3" x14ac:dyDescent="0.35">
      <c r="A5060">
        <v>83</v>
      </c>
      <c r="B5060">
        <v>1985</v>
      </c>
      <c r="C5060">
        <v>3.7000000000000002E-3</v>
      </c>
    </row>
    <row r="5061" spans="1:3" x14ac:dyDescent="0.35">
      <c r="A5061">
        <v>83</v>
      </c>
      <c r="B5061">
        <v>1986</v>
      </c>
      <c r="C5061">
        <v>4.1000000000000003E-3</v>
      </c>
    </row>
    <row r="5062" spans="1:3" x14ac:dyDescent="0.35">
      <c r="A5062">
        <v>83</v>
      </c>
      <c r="B5062">
        <v>1987</v>
      </c>
      <c r="C5062">
        <v>4.5999999999999999E-3</v>
      </c>
    </row>
    <row r="5063" spans="1:3" x14ac:dyDescent="0.35">
      <c r="A5063">
        <v>83</v>
      </c>
      <c r="B5063">
        <v>1988</v>
      </c>
      <c r="C5063">
        <v>5.3E-3</v>
      </c>
    </row>
    <row r="5064" spans="1:3" x14ac:dyDescent="0.35">
      <c r="A5064">
        <v>83</v>
      </c>
      <c r="B5064">
        <v>1989</v>
      </c>
      <c r="C5064">
        <v>5.8999999999999999E-3</v>
      </c>
    </row>
    <row r="5065" spans="1:3" x14ac:dyDescent="0.35">
      <c r="A5065">
        <v>83</v>
      </c>
      <c r="B5065">
        <v>1990</v>
      </c>
      <c r="C5065">
        <v>6.3E-3</v>
      </c>
    </row>
    <row r="5066" spans="1:3" x14ac:dyDescent="0.35">
      <c r="A5066">
        <v>83</v>
      </c>
      <c r="B5066">
        <v>1991</v>
      </c>
      <c r="C5066">
        <v>6.4000000000000003E-3</v>
      </c>
    </row>
    <row r="5067" spans="1:3" x14ac:dyDescent="0.35">
      <c r="A5067">
        <v>83</v>
      </c>
      <c r="B5067">
        <v>1992</v>
      </c>
      <c r="C5067">
        <v>6.4999999999999997E-3</v>
      </c>
    </row>
    <row r="5068" spans="1:3" x14ac:dyDescent="0.35">
      <c r="A5068">
        <v>83</v>
      </c>
      <c r="B5068">
        <v>1993</v>
      </c>
      <c r="C5068">
        <v>6.4000000000000003E-3</v>
      </c>
    </row>
    <row r="5069" spans="1:3" x14ac:dyDescent="0.35">
      <c r="A5069">
        <v>83</v>
      </c>
      <c r="B5069">
        <v>1994</v>
      </c>
      <c r="C5069">
        <v>6.4999999999999997E-3</v>
      </c>
    </row>
    <row r="5070" spans="1:3" x14ac:dyDescent="0.35">
      <c r="A5070">
        <v>83</v>
      </c>
      <c r="B5070">
        <v>1995</v>
      </c>
      <c r="C5070">
        <v>6.7999999999999996E-3</v>
      </c>
    </row>
    <row r="5071" spans="1:3" x14ac:dyDescent="0.35">
      <c r="A5071">
        <v>83</v>
      </c>
      <c r="B5071">
        <v>1996</v>
      </c>
      <c r="C5071">
        <v>7.4000000000000003E-3</v>
      </c>
    </row>
    <row r="5072" spans="1:3" x14ac:dyDescent="0.35">
      <c r="A5072">
        <v>83</v>
      </c>
      <c r="B5072">
        <v>1997</v>
      </c>
      <c r="C5072">
        <v>8.3999999999999995E-3</v>
      </c>
    </row>
    <row r="5073" spans="1:3" x14ac:dyDescent="0.35">
      <c r="A5073">
        <v>83</v>
      </c>
      <c r="B5073">
        <v>1998</v>
      </c>
      <c r="C5073">
        <v>9.7000000000000003E-3</v>
      </c>
    </row>
    <row r="5074" spans="1:3" x14ac:dyDescent="0.35">
      <c r="A5074">
        <v>83</v>
      </c>
      <c r="B5074">
        <v>1999</v>
      </c>
      <c r="C5074">
        <v>1.14E-2</v>
      </c>
    </row>
    <row r="5075" spans="1:3" x14ac:dyDescent="0.35">
      <c r="A5075">
        <v>83</v>
      </c>
      <c r="B5075">
        <v>2000</v>
      </c>
      <c r="C5075">
        <v>1.3299999999999999E-2</v>
      </c>
    </row>
    <row r="5076" spans="1:3" x14ac:dyDescent="0.35">
      <c r="A5076">
        <v>83</v>
      </c>
      <c r="B5076">
        <v>2001</v>
      </c>
      <c r="C5076">
        <v>1.52E-2</v>
      </c>
    </row>
    <row r="5077" spans="1:3" x14ac:dyDescent="0.35">
      <c r="A5077">
        <v>83</v>
      </c>
      <c r="B5077">
        <v>2002</v>
      </c>
      <c r="C5077">
        <v>1.7100000000000001E-2</v>
      </c>
    </row>
    <row r="5078" spans="1:3" x14ac:dyDescent="0.35">
      <c r="A5078">
        <v>83</v>
      </c>
      <c r="B5078">
        <v>2003</v>
      </c>
      <c r="C5078">
        <v>1.8700000000000001E-2</v>
      </c>
    </row>
    <row r="5079" spans="1:3" x14ac:dyDescent="0.35">
      <c r="A5079">
        <v>83</v>
      </c>
      <c r="B5079">
        <v>2004</v>
      </c>
      <c r="C5079">
        <v>1.9900000000000001E-2</v>
      </c>
    </row>
    <row r="5080" spans="1:3" x14ac:dyDescent="0.35">
      <c r="A5080">
        <v>83</v>
      </c>
      <c r="B5080">
        <v>2005</v>
      </c>
      <c r="C5080">
        <v>2.0500000000000001E-2</v>
      </c>
    </row>
    <row r="5081" spans="1:3" x14ac:dyDescent="0.35">
      <c r="A5081">
        <v>83</v>
      </c>
      <c r="B5081">
        <v>2006</v>
      </c>
      <c r="C5081">
        <v>2.06E-2</v>
      </c>
    </row>
    <row r="5082" spans="1:3" x14ac:dyDescent="0.35">
      <c r="A5082">
        <v>83</v>
      </c>
      <c r="B5082">
        <v>2007</v>
      </c>
      <c r="C5082">
        <v>0.02</v>
      </c>
    </row>
    <row r="5083" spans="1:3" x14ac:dyDescent="0.35">
      <c r="A5083">
        <v>83</v>
      </c>
      <c r="B5083">
        <v>2008</v>
      </c>
      <c r="C5083">
        <v>1.89E-2</v>
      </c>
    </row>
    <row r="5084" spans="1:3" x14ac:dyDescent="0.35">
      <c r="A5084">
        <v>83</v>
      </c>
      <c r="B5084">
        <v>2009</v>
      </c>
      <c r="C5084">
        <v>1.7399999999999999E-2</v>
      </c>
    </row>
    <row r="5085" spans="1:3" x14ac:dyDescent="0.35">
      <c r="A5085">
        <v>83</v>
      </c>
      <c r="B5085">
        <v>2010</v>
      </c>
      <c r="C5085">
        <v>1.55E-2</v>
      </c>
    </row>
    <row r="5086" spans="1:3" x14ac:dyDescent="0.35">
      <c r="A5086">
        <v>83</v>
      </c>
      <c r="B5086">
        <v>2011</v>
      </c>
      <c r="C5086">
        <v>1.34E-2</v>
      </c>
    </row>
    <row r="5087" spans="1:3" x14ac:dyDescent="0.35">
      <c r="A5087">
        <v>83</v>
      </c>
      <c r="B5087">
        <v>2012</v>
      </c>
      <c r="C5087">
        <v>1.12E-2</v>
      </c>
    </row>
    <row r="5088" spans="1:3" x14ac:dyDescent="0.35">
      <c r="A5088">
        <v>83</v>
      </c>
      <c r="B5088">
        <v>2013</v>
      </c>
      <c r="C5088">
        <v>1.1299999999999999E-2</v>
      </c>
    </row>
    <row r="5089" spans="1:3" x14ac:dyDescent="0.35">
      <c r="A5089">
        <v>83</v>
      </c>
      <c r="B5089">
        <v>2014</v>
      </c>
      <c r="C5089">
        <v>1.14E-2</v>
      </c>
    </row>
    <row r="5090" spans="1:3" x14ac:dyDescent="0.35">
      <c r="A5090">
        <v>83</v>
      </c>
      <c r="B5090">
        <v>2015</v>
      </c>
      <c r="C5090">
        <v>1.14E-2</v>
      </c>
    </row>
    <row r="5091" spans="1:3" x14ac:dyDescent="0.35">
      <c r="A5091">
        <v>83</v>
      </c>
      <c r="B5091">
        <v>2016</v>
      </c>
      <c r="C5091">
        <v>1.14E-2</v>
      </c>
    </row>
    <row r="5092" spans="1:3" x14ac:dyDescent="0.35">
      <c r="A5092">
        <v>83</v>
      </c>
      <c r="B5092">
        <v>2017</v>
      </c>
      <c r="C5092">
        <v>1.1299999999999999E-2</v>
      </c>
    </row>
    <row r="5093" spans="1:3" x14ac:dyDescent="0.35">
      <c r="A5093">
        <v>83</v>
      </c>
      <c r="B5093">
        <v>2018</v>
      </c>
      <c r="C5093">
        <v>1.12E-2</v>
      </c>
    </row>
    <row r="5094" spans="1:3" x14ac:dyDescent="0.35">
      <c r="A5094">
        <v>83</v>
      </c>
      <c r="B5094">
        <v>2019</v>
      </c>
      <c r="C5094">
        <v>1.0999999999999999E-2</v>
      </c>
    </row>
    <row r="5095" spans="1:3" x14ac:dyDescent="0.35">
      <c r="A5095">
        <v>83</v>
      </c>
      <c r="B5095">
        <v>2020</v>
      </c>
      <c r="C5095">
        <v>1.09E-2</v>
      </c>
    </row>
    <row r="5096" spans="1:3" x14ac:dyDescent="0.35">
      <c r="A5096">
        <v>83</v>
      </c>
      <c r="B5096">
        <v>2021</v>
      </c>
      <c r="C5096">
        <v>1.0699999999999999E-2</v>
      </c>
    </row>
    <row r="5097" spans="1:3" x14ac:dyDescent="0.35">
      <c r="A5097">
        <v>83</v>
      </c>
      <c r="B5097">
        <v>2022</v>
      </c>
      <c r="C5097">
        <v>1.0500000000000001E-2</v>
      </c>
    </row>
    <row r="5098" spans="1:3" x14ac:dyDescent="0.35">
      <c r="A5098">
        <v>83</v>
      </c>
      <c r="B5098">
        <v>2023</v>
      </c>
      <c r="C5098">
        <v>1.03E-2</v>
      </c>
    </row>
    <row r="5099" spans="1:3" x14ac:dyDescent="0.35">
      <c r="A5099">
        <v>83</v>
      </c>
      <c r="B5099">
        <v>2024</v>
      </c>
      <c r="C5099">
        <v>1.01E-2</v>
      </c>
    </row>
    <row r="5100" spans="1:3" x14ac:dyDescent="0.35">
      <c r="A5100">
        <v>83</v>
      </c>
      <c r="B5100">
        <v>2025</v>
      </c>
      <c r="C5100">
        <v>9.9000000000000008E-3</v>
      </c>
    </row>
    <row r="5101" spans="1:3" x14ac:dyDescent="0.35">
      <c r="A5101">
        <v>83</v>
      </c>
      <c r="B5101">
        <v>2026</v>
      </c>
      <c r="C5101">
        <v>9.7999999999999997E-3</v>
      </c>
    </row>
    <row r="5102" spans="1:3" x14ac:dyDescent="0.35">
      <c r="A5102">
        <v>83</v>
      </c>
      <c r="B5102">
        <v>2027</v>
      </c>
      <c r="C5102">
        <v>9.7000000000000003E-3</v>
      </c>
    </row>
    <row r="5103" spans="1:3" x14ac:dyDescent="0.35">
      <c r="A5103">
        <v>83</v>
      </c>
      <c r="B5103">
        <v>2028</v>
      </c>
      <c r="C5103">
        <v>9.7000000000000003E-3</v>
      </c>
    </row>
    <row r="5104" spans="1:3" x14ac:dyDescent="0.35">
      <c r="A5104">
        <v>83</v>
      </c>
      <c r="B5104">
        <v>2029</v>
      </c>
      <c r="C5104">
        <v>9.7999999999999997E-3</v>
      </c>
    </row>
    <row r="5105" spans="1:3" x14ac:dyDescent="0.35">
      <c r="A5105">
        <v>83</v>
      </c>
      <c r="B5105">
        <v>2030</v>
      </c>
      <c r="C5105">
        <v>9.9000000000000008E-3</v>
      </c>
    </row>
    <row r="5106" spans="1:3" x14ac:dyDescent="0.35">
      <c r="A5106">
        <v>83</v>
      </c>
      <c r="B5106">
        <v>2031</v>
      </c>
      <c r="C5106">
        <v>0.01</v>
      </c>
    </row>
    <row r="5107" spans="1:3" x14ac:dyDescent="0.35">
      <c r="A5107">
        <v>84</v>
      </c>
      <c r="B5107">
        <v>1951</v>
      </c>
      <c r="C5107">
        <v>5.0000000000000001E-3</v>
      </c>
    </row>
    <row r="5108" spans="1:3" x14ac:dyDescent="0.35">
      <c r="A5108">
        <v>84</v>
      </c>
      <c r="B5108">
        <v>1952</v>
      </c>
      <c r="C5108">
        <v>3.8E-3</v>
      </c>
    </row>
    <row r="5109" spans="1:3" x14ac:dyDescent="0.35">
      <c r="A5109">
        <v>84</v>
      </c>
      <c r="B5109">
        <v>1953</v>
      </c>
      <c r="C5109">
        <v>2.5999999999999999E-3</v>
      </c>
    </row>
    <row r="5110" spans="1:3" x14ac:dyDescent="0.35">
      <c r="A5110">
        <v>84</v>
      </c>
      <c r="B5110">
        <v>1954</v>
      </c>
      <c r="C5110">
        <v>1.4E-3</v>
      </c>
    </row>
    <row r="5111" spans="1:3" x14ac:dyDescent="0.35">
      <c r="A5111">
        <v>84</v>
      </c>
      <c r="B5111">
        <v>1955</v>
      </c>
      <c r="C5111">
        <v>2.9999999999999997E-4</v>
      </c>
    </row>
    <row r="5112" spans="1:3" x14ac:dyDescent="0.35">
      <c r="A5112">
        <v>84</v>
      </c>
      <c r="B5112">
        <v>1956</v>
      </c>
      <c r="C5112">
        <v>-6.9999999999999999E-4</v>
      </c>
    </row>
    <row r="5113" spans="1:3" x14ac:dyDescent="0.35">
      <c r="A5113">
        <v>84</v>
      </c>
      <c r="B5113">
        <v>1957</v>
      </c>
      <c r="C5113">
        <v>-1.5E-3</v>
      </c>
    </row>
    <row r="5114" spans="1:3" x14ac:dyDescent="0.35">
      <c r="A5114">
        <v>84</v>
      </c>
      <c r="B5114">
        <v>1958</v>
      </c>
      <c r="C5114">
        <v>-2.0999999999999999E-3</v>
      </c>
    </row>
    <row r="5115" spans="1:3" x14ac:dyDescent="0.35">
      <c r="A5115">
        <v>84</v>
      </c>
      <c r="B5115">
        <v>1959</v>
      </c>
      <c r="C5115">
        <v>-2.5000000000000001E-3</v>
      </c>
    </row>
    <row r="5116" spans="1:3" x14ac:dyDescent="0.35">
      <c r="A5116">
        <v>84</v>
      </c>
      <c r="B5116">
        <v>1960</v>
      </c>
      <c r="C5116">
        <v>-2.5999999999999999E-3</v>
      </c>
    </row>
    <row r="5117" spans="1:3" x14ac:dyDescent="0.35">
      <c r="A5117">
        <v>84</v>
      </c>
      <c r="B5117">
        <v>1961</v>
      </c>
      <c r="C5117">
        <v>-2.3999999999999998E-3</v>
      </c>
    </row>
    <row r="5118" spans="1:3" x14ac:dyDescent="0.35">
      <c r="A5118">
        <v>84</v>
      </c>
      <c r="B5118">
        <v>1962</v>
      </c>
      <c r="C5118">
        <v>-1.8E-3</v>
      </c>
    </row>
    <row r="5119" spans="1:3" x14ac:dyDescent="0.35">
      <c r="A5119">
        <v>84</v>
      </c>
      <c r="B5119">
        <v>1963</v>
      </c>
      <c r="C5119">
        <v>-1E-3</v>
      </c>
    </row>
    <row r="5120" spans="1:3" x14ac:dyDescent="0.35">
      <c r="A5120">
        <v>84</v>
      </c>
      <c r="B5120">
        <v>1964</v>
      </c>
      <c r="C5120">
        <v>0</v>
      </c>
    </row>
    <row r="5121" spans="1:3" x14ac:dyDescent="0.35">
      <c r="A5121">
        <v>84</v>
      </c>
      <c r="B5121">
        <v>1965</v>
      </c>
      <c r="C5121">
        <v>1.2999999999999999E-3</v>
      </c>
    </row>
    <row r="5122" spans="1:3" x14ac:dyDescent="0.35">
      <c r="A5122">
        <v>84</v>
      </c>
      <c r="B5122">
        <v>1966</v>
      </c>
      <c r="C5122">
        <v>2.8E-3</v>
      </c>
    </row>
    <row r="5123" spans="1:3" x14ac:dyDescent="0.35">
      <c r="A5123">
        <v>84</v>
      </c>
      <c r="B5123">
        <v>1967</v>
      </c>
      <c r="C5123">
        <v>4.4999999999999997E-3</v>
      </c>
    </row>
    <row r="5124" spans="1:3" x14ac:dyDescent="0.35">
      <c r="A5124">
        <v>84</v>
      </c>
      <c r="B5124">
        <v>1968</v>
      </c>
      <c r="C5124">
        <v>6.1999999999999998E-3</v>
      </c>
    </row>
    <row r="5125" spans="1:3" x14ac:dyDescent="0.35">
      <c r="A5125">
        <v>84</v>
      </c>
      <c r="B5125">
        <v>1969</v>
      </c>
      <c r="C5125">
        <v>7.9000000000000008E-3</v>
      </c>
    </row>
    <row r="5126" spans="1:3" x14ac:dyDescent="0.35">
      <c r="A5126">
        <v>84</v>
      </c>
      <c r="B5126">
        <v>1970</v>
      </c>
      <c r="C5126">
        <v>9.5999999999999992E-3</v>
      </c>
    </row>
    <row r="5127" spans="1:3" x14ac:dyDescent="0.35">
      <c r="A5127">
        <v>84</v>
      </c>
      <c r="B5127">
        <v>1971</v>
      </c>
      <c r="C5127">
        <v>1.12E-2</v>
      </c>
    </row>
    <row r="5128" spans="1:3" x14ac:dyDescent="0.35">
      <c r="A5128">
        <v>84</v>
      </c>
      <c r="B5128">
        <v>1972</v>
      </c>
      <c r="C5128">
        <v>1.2500000000000001E-2</v>
      </c>
    </row>
    <row r="5129" spans="1:3" x14ac:dyDescent="0.35">
      <c r="A5129">
        <v>84</v>
      </c>
      <c r="B5129">
        <v>1973</v>
      </c>
      <c r="C5129">
        <v>1.35E-2</v>
      </c>
    </row>
    <row r="5130" spans="1:3" x14ac:dyDescent="0.35">
      <c r="A5130">
        <v>84</v>
      </c>
      <c r="B5130">
        <v>1974</v>
      </c>
      <c r="C5130">
        <v>1.4E-2</v>
      </c>
    </row>
    <row r="5131" spans="1:3" x14ac:dyDescent="0.35">
      <c r="A5131">
        <v>84</v>
      </c>
      <c r="B5131">
        <v>1975</v>
      </c>
      <c r="C5131">
        <v>1.4E-2</v>
      </c>
    </row>
    <row r="5132" spans="1:3" x14ac:dyDescent="0.35">
      <c r="A5132">
        <v>84</v>
      </c>
      <c r="B5132">
        <v>1976</v>
      </c>
      <c r="C5132">
        <v>1.35E-2</v>
      </c>
    </row>
    <row r="5133" spans="1:3" x14ac:dyDescent="0.35">
      <c r="A5133">
        <v>84</v>
      </c>
      <c r="B5133">
        <v>1977</v>
      </c>
      <c r="C5133">
        <v>1.26E-2</v>
      </c>
    </row>
    <row r="5134" spans="1:3" x14ac:dyDescent="0.35">
      <c r="A5134">
        <v>84</v>
      </c>
      <c r="B5134">
        <v>1978</v>
      </c>
      <c r="C5134">
        <v>1.1299999999999999E-2</v>
      </c>
    </row>
    <row r="5135" spans="1:3" x14ac:dyDescent="0.35">
      <c r="A5135">
        <v>84</v>
      </c>
      <c r="B5135">
        <v>1979</v>
      </c>
      <c r="C5135">
        <v>9.7000000000000003E-3</v>
      </c>
    </row>
    <row r="5136" spans="1:3" x14ac:dyDescent="0.35">
      <c r="A5136">
        <v>84</v>
      </c>
      <c r="B5136">
        <v>1980</v>
      </c>
      <c r="C5136">
        <v>8.0999999999999996E-3</v>
      </c>
    </row>
    <row r="5137" spans="1:3" x14ac:dyDescent="0.35">
      <c r="A5137">
        <v>84</v>
      </c>
      <c r="B5137">
        <v>1981</v>
      </c>
      <c r="C5137">
        <v>6.4999999999999997E-3</v>
      </c>
    </row>
    <row r="5138" spans="1:3" x14ac:dyDescent="0.35">
      <c r="A5138">
        <v>84</v>
      </c>
      <c r="B5138">
        <v>1982</v>
      </c>
      <c r="C5138">
        <v>5.1999999999999998E-3</v>
      </c>
    </row>
    <row r="5139" spans="1:3" x14ac:dyDescent="0.35">
      <c r="A5139">
        <v>84</v>
      </c>
      <c r="B5139">
        <v>1983</v>
      </c>
      <c r="C5139">
        <v>4.1000000000000003E-3</v>
      </c>
    </row>
    <row r="5140" spans="1:3" x14ac:dyDescent="0.35">
      <c r="A5140">
        <v>84</v>
      </c>
      <c r="B5140">
        <v>1984</v>
      </c>
      <c r="C5140">
        <v>3.3999999999999998E-3</v>
      </c>
    </row>
    <row r="5141" spans="1:3" x14ac:dyDescent="0.35">
      <c r="A5141">
        <v>84</v>
      </c>
      <c r="B5141">
        <v>1985</v>
      </c>
      <c r="C5141">
        <v>3.2000000000000002E-3</v>
      </c>
    </row>
    <row r="5142" spans="1:3" x14ac:dyDescent="0.35">
      <c r="A5142">
        <v>84</v>
      </c>
      <c r="B5142">
        <v>1986</v>
      </c>
      <c r="C5142">
        <v>3.3E-3</v>
      </c>
    </row>
    <row r="5143" spans="1:3" x14ac:dyDescent="0.35">
      <c r="A5143">
        <v>84</v>
      </c>
      <c r="B5143">
        <v>1987</v>
      </c>
      <c r="C5143">
        <v>3.5999999999999999E-3</v>
      </c>
    </row>
    <row r="5144" spans="1:3" x14ac:dyDescent="0.35">
      <c r="A5144">
        <v>84</v>
      </c>
      <c r="B5144">
        <v>1988</v>
      </c>
      <c r="C5144">
        <v>4.0000000000000001E-3</v>
      </c>
    </row>
    <row r="5145" spans="1:3" x14ac:dyDescent="0.35">
      <c r="A5145">
        <v>84</v>
      </c>
      <c r="B5145">
        <v>1989</v>
      </c>
      <c r="C5145">
        <v>4.4000000000000003E-3</v>
      </c>
    </row>
    <row r="5146" spans="1:3" x14ac:dyDescent="0.35">
      <c r="A5146">
        <v>84</v>
      </c>
      <c r="B5146">
        <v>1990</v>
      </c>
      <c r="C5146">
        <v>4.7000000000000002E-3</v>
      </c>
    </row>
    <row r="5147" spans="1:3" x14ac:dyDescent="0.35">
      <c r="A5147">
        <v>84</v>
      </c>
      <c r="B5147">
        <v>1991</v>
      </c>
      <c r="C5147">
        <v>4.8999999999999998E-3</v>
      </c>
    </row>
    <row r="5148" spans="1:3" x14ac:dyDescent="0.35">
      <c r="A5148">
        <v>84</v>
      </c>
      <c r="B5148">
        <v>1992</v>
      </c>
      <c r="C5148">
        <v>4.8999999999999998E-3</v>
      </c>
    </row>
    <row r="5149" spans="1:3" x14ac:dyDescent="0.35">
      <c r="A5149">
        <v>84</v>
      </c>
      <c r="B5149">
        <v>1993</v>
      </c>
      <c r="C5149">
        <v>4.8999999999999998E-3</v>
      </c>
    </row>
    <row r="5150" spans="1:3" x14ac:dyDescent="0.35">
      <c r="A5150">
        <v>84</v>
      </c>
      <c r="B5150">
        <v>1994</v>
      </c>
      <c r="C5150">
        <v>5.1000000000000004E-3</v>
      </c>
    </row>
    <row r="5151" spans="1:3" x14ac:dyDescent="0.35">
      <c r="A5151">
        <v>84</v>
      </c>
      <c r="B5151">
        <v>1995</v>
      </c>
      <c r="C5151">
        <v>5.4999999999999997E-3</v>
      </c>
    </row>
    <row r="5152" spans="1:3" x14ac:dyDescent="0.35">
      <c r="A5152">
        <v>84</v>
      </c>
      <c r="B5152">
        <v>1996</v>
      </c>
      <c r="C5152">
        <v>6.1999999999999998E-3</v>
      </c>
    </row>
    <row r="5153" spans="1:3" x14ac:dyDescent="0.35">
      <c r="A5153">
        <v>84</v>
      </c>
      <c r="B5153">
        <v>1997</v>
      </c>
      <c r="C5153">
        <v>7.3000000000000001E-3</v>
      </c>
    </row>
    <row r="5154" spans="1:3" x14ac:dyDescent="0.35">
      <c r="A5154">
        <v>84</v>
      </c>
      <c r="B5154">
        <v>1998</v>
      </c>
      <c r="C5154">
        <v>8.6999999999999994E-3</v>
      </c>
    </row>
    <row r="5155" spans="1:3" x14ac:dyDescent="0.35">
      <c r="A5155">
        <v>84</v>
      </c>
      <c r="B5155">
        <v>1999</v>
      </c>
      <c r="C5155">
        <v>1.04E-2</v>
      </c>
    </row>
    <row r="5156" spans="1:3" x14ac:dyDescent="0.35">
      <c r="A5156">
        <v>84</v>
      </c>
      <c r="B5156">
        <v>2000</v>
      </c>
      <c r="C5156">
        <v>1.23E-2</v>
      </c>
    </row>
    <row r="5157" spans="1:3" x14ac:dyDescent="0.35">
      <c r="A5157">
        <v>84</v>
      </c>
      <c r="B5157">
        <v>2001</v>
      </c>
      <c r="C5157">
        <v>1.43E-2</v>
      </c>
    </row>
    <row r="5158" spans="1:3" x14ac:dyDescent="0.35">
      <c r="A5158">
        <v>84</v>
      </c>
      <c r="B5158">
        <v>2002</v>
      </c>
      <c r="C5158">
        <v>1.6199999999999999E-2</v>
      </c>
    </row>
    <row r="5159" spans="1:3" x14ac:dyDescent="0.35">
      <c r="A5159">
        <v>84</v>
      </c>
      <c r="B5159">
        <v>2003</v>
      </c>
      <c r="C5159">
        <v>1.78E-2</v>
      </c>
    </row>
    <row r="5160" spans="1:3" x14ac:dyDescent="0.35">
      <c r="A5160">
        <v>84</v>
      </c>
      <c r="B5160">
        <v>2004</v>
      </c>
      <c r="C5160">
        <v>1.9E-2</v>
      </c>
    </row>
    <row r="5161" spans="1:3" x14ac:dyDescent="0.35">
      <c r="A5161">
        <v>84</v>
      </c>
      <c r="B5161">
        <v>2005</v>
      </c>
      <c r="C5161">
        <v>1.9599999999999999E-2</v>
      </c>
    </row>
    <row r="5162" spans="1:3" x14ac:dyDescent="0.35">
      <c r="A5162">
        <v>84</v>
      </c>
      <c r="B5162">
        <v>2006</v>
      </c>
      <c r="C5162">
        <v>1.9699999999999999E-2</v>
      </c>
    </row>
    <row r="5163" spans="1:3" x14ac:dyDescent="0.35">
      <c r="A5163">
        <v>84</v>
      </c>
      <c r="B5163">
        <v>2007</v>
      </c>
      <c r="C5163">
        <v>1.9199999999999998E-2</v>
      </c>
    </row>
    <row r="5164" spans="1:3" x14ac:dyDescent="0.35">
      <c r="A5164">
        <v>84</v>
      </c>
      <c r="B5164">
        <v>2008</v>
      </c>
      <c r="C5164">
        <v>1.8100000000000002E-2</v>
      </c>
    </row>
    <row r="5165" spans="1:3" x14ac:dyDescent="0.35">
      <c r="A5165">
        <v>84</v>
      </c>
      <c r="B5165">
        <v>2009</v>
      </c>
      <c r="C5165">
        <v>1.67E-2</v>
      </c>
    </row>
    <row r="5166" spans="1:3" x14ac:dyDescent="0.35">
      <c r="A5166">
        <v>84</v>
      </c>
      <c r="B5166">
        <v>2010</v>
      </c>
      <c r="C5166">
        <v>1.49E-2</v>
      </c>
    </row>
    <row r="5167" spans="1:3" x14ac:dyDescent="0.35">
      <c r="A5167">
        <v>84</v>
      </c>
      <c r="B5167">
        <v>2011</v>
      </c>
      <c r="C5167">
        <v>1.29E-2</v>
      </c>
    </row>
    <row r="5168" spans="1:3" x14ac:dyDescent="0.35">
      <c r="A5168">
        <v>84</v>
      </c>
      <c r="B5168">
        <v>2012</v>
      </c>
      <c r="C5168">
        <v>1.0800000000000001E-2</v>
      </c>
    </row>
    <row r="5169" spans="1:3" x14ac:dyDescent="0.35">
      <c r="A5169">
        <v>84</v>
      </c>
      <c r="B5169">
        <v>2013</v>
      </c>
      <c r="C5169">
        <v>1.09E-2</v>
      </c>
    </row>
    <row r="5170" spans="1:3" x14ac:dyDescent="0.35">
      <c r="A5170">
        <v>84</v>
      </c>
      <c r="B5170">
        <v>2014</v>
      </c>
      <c r="C5170">
        <v>1.0999999999999999E-2</v>
      </c>
    </row>
    <row r="5171" spans="1:3" x14ac:dyDescent="0.35">
      <c r="A5171">
        <v>84</v>
      </c>
      <c r="B5171">
        <v>2015</v>
      </c>
      <c r="C5171">
        <v>1.11E-2</v>
      </c>
    </row>
    <row r="5172" spans="1:3" x14ac:dyDescent="0.35">
      <c r="A5172">
        <v>84</v>
      </c>
      <c r="B5172">
        <v>2016</v>
      </c>
      <c r="C5172">
        <v>1.11E-2</v>
      </c>
    </row>
    <row r="5173" spans="1:3" x14ac:dyDescent="0.35">
      <c r="A5173">
        <v>84</v>
      </c>
      <c r="B5173">
        <v>2017</v>
      </c>
      <c r="C5173">
        <v>1.0999999999999999E-2</v>
      </c>
    </row>
    <row r="5174" spans="1:3" x14ac:dyDescent="0.35">
      <c r="A5174">
        <v>84</v>
      </c>
      <c r="B5174">
        <v>2018</v>
      </c>
      <c r="C5174">
        <v>1.0999999999999999E-2</v>
      </c>
    </row>
    <row r="5175" spans="1:3" x14ac:dyDescent="0.35">
      <c r="A5175">
        <v>84</v>
      </c>
      <c r="B5175">
        <v>2019</v>
      </c>
      <c r="C5175">
        <v>1.09E-2</v>
      </c>
    </row>
    <row r="5176" spans="1:3" x14ac:dyDescent="0.35">
      <c r="A5176">
        <v>84</v>
      </c>
      <c r="B5176">
        <v>2020</v>
      </c>
      <c r="C5176">
        <v>1.0800000000000001E-2</v>
      </c>
    </row>
    <row r="5177" spans="1:3" x14ac:dyDescent="0.35">
      <c r="A5177">
        <v>84</v>
      </c>
      <c r="B5177">
        <v>2021</v>
      </c>
      <c r="C5177">
        <v>1.06E-2</v>
      </c>
    </row>
    <row r="5178" spans="1:3" x14ac:dyDescent="0.35">
      <c r="A5178">
        <v>84</v>
      </c>
      <c r="B5178">
        <v>2022</v>
      </c>
      <c r="C5178">
        <v>1.0500000000000001E-2</v>
      </c>
    </row>
    <row r="5179" spans="1:3" x14ac:dyDescent="0.35">
      <c r="A5179">
        <v>84</v>
      </c>
      <c r="B5179">
        <v>2023</v>
      </c>
      <c r="C5179">
        <v>1.03E-2</v>
      </c>
    </row>
    <row r="5180" spans="1:3" x14ac:dyDescent="0.35">
      <c r="A5180">
        <v>84</v>
      </c>
      <c r="B5180">
        <v>2024</v>
      </c>
      <c r="C5180">
        <v>1.0200000000000001E-2</v>
      </c>
    </row>
    <row r="5181" spans="1:3" x14ac:dyDescent="0.35">
      <c r="A5181">
        <v>84</v>
      </c>
      <c r="B5181">
        <v>2025</v>
      </c>
      <c r="C5181">
        <v>0.01</v>
      </c>
    </row>
    <row r="5182" spans="1:3" x14ac:dyDescent="0.35">
      <c r="A5182">
        <v>84</v>
      </c>
      <c r="B5182">
        <v>2026</v>
      </c>
      <c r="C5182">
        <v>9.9000000000000008E-3</v>
      </c>
    </row>
    <row r="5183" spans="1:3" x14ac:dyDescent="0.35">
      <c r="A5183">
        <v>84</v>
      </c>
      <c r="B5183">
        <v>2027</v>
      </c>
      <c r="C5183">
        <v>9.7999999999999997E-3</v>
      </c>
    </row>
    <row r="5184" spans="1:3" x14ac:dyDescent="0.35">
      <c r="A5184">
        <v>84</v>
      </c>
      <c r="B5184">
        <v>2028</v>
      </c>
      <c r="C5184">
        <v>9.7000000000000003E-3</v>
      </c>
    </row>
    <row r="5185" spans="1:3" x14ac:dyDescent="0.35">
      <c r="A5185">
        <v>84</v>
      </c>
      <c r="B5185">
        <v>2029</v>
      </c>
      <c r="C5185">
        <v>9.7999999999999997E-3</v>
      </c>
    </row>
    <row r="5186" spans="1:3" x14ac:dyDescent="0.35">
      <c r="A5186">
        <v>84</v>
      </c>
      <c r="B5186">
        <v>2030</v>
      </c>
      <c r="C5186">
        <v>9.9000000000000008E-3</v>
      </c>
    </row>
    <row r="5187" spans="1:3" x14ac:dyDescent="0.35">
      <c r="A5187">
        <v>84</v>
      </c>
      <c r="B5187">
        <v>2031</v>
      </c>
      <c r="C5187">
        <v>0.01</v>
      </c>
    </row>
    <row r="5188" spans="1:3" x14ac:dyDescent="0.35">
      <c r="A5188">
        <v>85</v>
      </c>
      <c r="B5188">
        <v>1951</v>
      </c>
      <c r="C5188">
        <v>3.8999999999999998E-3</v>
      </c>
    </row>
    <row r="5189" spans="1:3" x14ac:dyDescent="0.35">
      <c r="A5189">
        <v>85</v>
      </c>
      <c r="B5189">
        <v>1952</v>
      </c>
      <c r="C5189">
        <v>2.7000000000000001E-3</v>
      </c>
    </row>
    <row r="5190" spans="1:3" x14ac:dyDescent="0.35">
      <c r="A5190">
        <v>85</v>
      </c>
      <c r="B5190">
        <v>1953</v>
      </c>
      <c r="C5190">
        <v>1.5E-3</v>
      </c>
    </row>
    <row r="5191" spans="1:3" x14ac:dyDescent="0.35">
      <c r="A5191">
        <v>85</v>
      </c>
      <c r="B5191">
        <v>1954</v>
      </c>
      <c r="C5191">
        <v>4.0000000000000002E-4</v>
      </c>
    </row>
    <row r="5192" spans="1:3" x14ac:dyDescent="0.35">
      <c r="A5192">
        <v>85</v>
      </c>
      <c r="B5192">
        <v>1955</v>
      </c>
      <c r="C5192">
        <v>-6.9999999999999999E-4</v>
      </c>
    </row>
    <row r="5193" spans="1:3" x14ac:dyDescent="0.35">
      <c r="A5193">
        <v>85</v>
      </c>
      <c r="B5193">
        <v>1956</v>
      </c>
      <c r="C5193">
        <v>-1.6000000000000001E-3</v>
      </c>
    </row>
    <row r="5194" spans="1:3" x14ac:dyDescent="0.35">
      <c r="A5194">
        <v>85</v>
      </c>
      <c r="B5194">
        <v>1957</v>
      </c>
      <c r="C5194">
        <v>-2.3999999999999998E-3</v>
      </c>
    </row>
    <row r="5195" spans="1:3" x14ac:dyDescent="0.35">
      <c r="A5195">
        <v>85</v>
      </c>
      <c r="B5195">
        <v>1958</v>
      </c>
      <c r="C5195">
        <v>-2.8999999999999998E-3</v>
      </c>
    </row>
    <row r="5196" spans="1:3" x14ac:dyDescent="0.35">
      <c r="A5196">
        <v>85</v>
      </c>
      <c r="B5196">
        <v>1959</v>
      </c>
      <c r="C5196">
        <v>-3.0999999999999999E-3</v>
      </c>
    </row>
    <row r="5197" spans="1:3" x14ac:dyDescent="0.35">
      <c r="A5197">
        <v>85</v>
      </c>
      <c r="B5197">
        <v>1960</v>
      </c>
      <c r="C5197">
        <v>-3.0000000000000001E-3</v>
      </c>
    </row>
    <row r="5198" spans="1:3" x14ac:dyDescent="0.35">
      <c r="A5198">
        <v>85</v>
      </c>
      <c r="B5198">
        <v>1961</v>
      </c>
      <c r="C5198">
        <v>-2.7000000000000001E-3</v>
      </c>
    </row>
    <row r="5199" spans="1:3" x14ac:dyDescent="0.35">
      <c r="A5199">
        <v>85</v>
      </c>
      <c r="B5199">
        <v>1962</v>
      </c>
      <c r="C5199">
        <v>-2E-3</v>
      </c>
    </row>
    <row r="5200" spans="1:3" x14ac:dyDescent="0.35">
      <c r="A5200">
        <v>85</v>
      </c>
      <c r="B5200">
        <v>1963</v>
      </c>
      <c r="C5200">
        <v>-1E-3</v>
      </c>
    </row>
    <row r="5201" spans="1:3" x14ac:dyDescent="0.35">
      <c r="A5201">
        <v>85</v>
      </c>
      <c r="B5201">
        <v>1964</v>
      </c>
      <c r="C5201">
        <v>2.0000000000000001E-4</v>
      </c>
    </row>
    <row r="5202" spans="1:3" x14ac:dyDescent="0.35">
      <c r="A5202">
        <v>85</v>
      </c>
      <c r="B5202">
        <v>1965</v>
      </c>
      <c r="C5202">
        <v>1.6999999999999999E-3</v>
      </c>
    </row>
    <row r="5203" spans="1:3" x14ac:dyDescent="0.35">
      <c r="A5203">
        <v>85</v>
      </c>
      <c r="B5203">
        <v>1966</v>
      </c>
      <c r="C5203">
        <v>3.3E-3</v>
      </c>
    </row>
    <row r="5204" spans="1:3" x14ac:dyDescent="0.35">
      <c r="A5204">
        <v>85</v>
      </c>
      <c r="B5204">
        <v>1967</v>
      </c>
      <c r="C5204">
        <v>4.8999999999999998E-3</v>
      </c>
    </row>
    <row r="5205" spans="1:3" x14ac:dyDescent="0.35">
      <c r="A5205">
        <v>85</v>
      </c>
      <c r="B5205">
        <v>1968</v>
      </c>
      <c r="C5205">
        <v>6.7000000000000002E-3</v>
      </c>
    </row>
    <row r="5206" spans="1:3" x14ac:dyDescent="0.35">
      <c r="A5206">
        <v>85</v>
      </c>
      <c r="B5206">
        <v>1969</v>
      </c>
      <c r="C5206">
        <v>8.3999999999999995E-3</v>
      </c>
    </row>
    <row r="5207" spans="1:3" x14ac:dyDescent="0.35">
      <c r="A5207">
        <v>85</v>
      </c>
      <c r="B5207">
        <v>1970</v>
      </c>
      <c r="C5207">
        <v>0.01</v>
      </c>
    </row>
    <row r="5208" spans="1:3" x14ac:dyDescent="0.35">
      <c r="A5208">
        <v>85</v>
      </c>
      <c r="B5208">
        <v>1971</v>
      </c>
      <c r="C5208">
        <v>1.15E-2</v>
      </c>
    </row>
    <row r="5209" spans="1:3" x14ac:dyDescent="0.35">
      <c r="A5209">
        <v>85</v>
      </c>
      <c r="B5209">
        <v>1972</v>
      </c>
      <c r="C5209">
        <v>1.2699999999999999E-2</v>
      </c>
    </row>
    <row r="5210" spans="1:3" x14ac:dyDescent="0.35">
      <c r="A5210">
        <v>85</v>
      </c>
      <c r="B5210">
        <v>1973</v>
      </c>
      <c r="C5210">
        <v>1.3599999999999999E-2</v>
      </c>
    </row>
    <row r="5211" spans="1:3" x14ac:dyDescent="0.35">
      <c r="A5211">
        <v>85</v>
      </c>
      <c r="B5211">
        <v>1974</v>
      </c>
      <c r="C5211">
        <v>1.4E-2</v>
      </c>
    </row>
    <row r="5212" spans="1:3" x14ac:dyDescent="0.35">
      <c r="A5212">
        <v>85</v>
      </c>
      <c r="B5212">
        <v>1975</v>
      </c>
      <c r="C5212">
        <v>1.4E-2</v>
      </c>
    </row>
    <row r="5213" spans="1:3" x14ac:dyDescent="0.35">
      <c r="A5213">
        <v>85</v>
      </c>
      <c r="B5213">
        <v>1976</v>
      </c>
      <c r="C5213">
        <v>1.35E-2</v>
      </c>
    </row>
    <row r="5214" spans="1:3" x14ac:dyDescent="0.35">
      <c r="A5214">
        <v>85</v>
      </c>
      <c r="B5214">
        <v>1977</v>
      </c>
      <c r="C5214">
        <v>1.26E-2</v>
      </c>
    </row>
    <row r="5215" spans="1:3" x14ac:dyDescent="0.35">
      <c r="A5215">
        <v>85</v>
      </c>
      <c r="B5215">
        <v>1978</v>
      </c>
      <c r="C5215">
        <v>1.1299999999999999E-2</v>
      </c>
    </row>
    <row r="5216" spans="1:3" x14ac:dyDescent="0.35">
      <c r="A5216">
        <v>85</v>
      </c>
      <c r="B5216">
        <v>1979</v>
      </c>
      <c r="C5216">
        <v>9.7999999999999997E-3</v>
      </c>
    </row>
    <row r="5217" spans="1:3" x14ac:dyDescent="0.35">
      <c r="A5217">
        <v>85</v>
      </c>
      <c r="B5217">
        <v>1980</v>
      </c>
      <c r="C5217">
        <v>8.0999999999999996E-3</v>
      </c>
    </row>
    <row r="5218" spans="1:3" x14ac:dyDescent="0.35">
      <c r="A5218">
        <v>85</v>
      </c>
      <c r="B5218">
        <v>1981</v>
      </c>
      <c r="C5218">
        <v>6.6E-3</v>
      </c>
    </row>
    <row r="5219" spans="1:3" x14ac:dyDescent="0.35">
      <c r="A5219">
        <v>85</v>
      </c>
      <c r="B5219">
        <v>1982</v>
      </c>
      <c r="C5219">
        <v>5.1999999999999998E-3</v>
      </c>
    </row>
    <row r="5220" spans="1:3" x14ac:dyDescent="0.35">
      <c r="A5220">
        <v>85</v>
      </c>
      <c r="B5220">
        <v>1983</v>
      </c>
      <c r="C5220">
        <v>4.0000000000000001E-3</v>
      </c>
    </row>
    <row r="5221" spans="1:3" x14ac:dyDescent="0.35">
      <c r="A5221">
        <v>85</v>
      </c>
      <c r="B5221">
        <v>1984</v>
      </c>
      <c r="C5221">
        <v>3.0999999999999999E-3</v>
      </c>
    </row>
    <row r="5222" spans="1:3" x14ac:dyDescent="0.35">
      <c r="A5222">
        <v>85</v>
      </c>
      <c r="B5222">
        <v>1985</v>
      </c>
      <c r="C5222">
        <v>2.7000000000000001E-3</v>
      </c>
    </row>
    <row r="5223" spans="1:3" x14ac:dyDescent="0.35">
      <c r="A5223">
        <v>85</v>
      </c>
      <c r="B5223">
        <v>1986</v>
      </c>
      <c r="C5223">
        <v>2.5000000000000001E-3</v>
      </c>
    </row>
    <row r="5224" spans="1:3" x14ac:dyDescent="0.35">
      <c r="A5224">
        <v>85</v>
      </c>
      <c r="B5224">
        <v>1987</v>
      </c>
      <c r="C5224">
        <v>2.5999999999999999E-3</v>
      </c>
    </row>
    <row r="5225" spans="1:3" x14ac:dyDescent="0.35">
      <c r="A5225">
        <v>85</v>
      </c>
      <c r="B5225">
        <v>1988</v>
      </c>
      <c r="C5225">
        <v>2.8E-3</v>
      </c>
    </row>
    <row r="5226" spans="1:3" x14ac:dyDescent="0.35">
      <c r="A5226">
        <v>85</v>
      </c>
      <c r="B5226">
        <v>1989</v>
      </c>
      <c r="C5226">
        <v>3.0000000000000001E-3</v>
      </c>
    </row>
    <row r="5227" spans="1:3" x14ac:dyDescent="0.35">
      <c r="A5227">
        <v>85</v>
      </c>
      <c r="B5227">
        <v>1990</v>
      </c>
      <c r="C5227">
        <v>3.2000000000000002E-3</v>
      </c>
    </row>
    <row r="5228" spans="1:3" x14ac:dyDescent="0.35">
      <c r="A5228">
        <v>85</v>
      </c>
      <c r="B5228">
        <v>1991</v>
      </c>
      <c r="C5228">
        <v>3.3E-3</v>
      </c>
    </row>
    <row r="5229" spans="1:3" x14ac:dyDescent="0.35">
      <c r="A5229">
        <v>85</v>
      </c>
      <c r="B5229">
        <v>1992</v>
      </c>
      <c r="C5229">
        <v>3.3E-3</v>
      </c>
    </row>
    <row r="5230" spans="1:3" x14ac:dyDescent="0.35">
      <c r="A5230">
        <v>85</v>
      </c>
      <c r="B5230">
        <v>1993</v>
      </c>
      <c r="C5230">
        <v>3.3999999999999998E-3</v>
      </c>
    </row>
    <row r="5231" spans="1:3" x14ac:dyDescent="0.35">
      <c r="A5231">
        <v>85</v>
      </c>
      <c r="B5231">
        <v>1994</v>
      </c>
      <c r="C5231">
        <v>3.7000000000000002E-3</v>
      </c>
    </row>
    <row r="5232" spans="1:3" x14ac:dyDescent="0.35">
      <c r="A5232">
        <v>85</v>
      </c>
      <c r="B5232">
        <v>1995</v>
      </c>
      <c r="C5232">
        <v>4.1000000000000003E-3</v>
      </c>
    </row>
    <row r="5233" spans="1:3" x14ac:dyDescent="0.35">
      <c r="A5233">
        <v>85</v>
      </c>
      <c r="B5233">
        <v>1996</v>
      </c>
      <c r="C5233">
        <v>4.8999999999999998E-3</v>
      </c>
    </row>
    <row r="5234" spans="1:3" x14ac:dyDescent="0.35">
      <c r="A5234">
        <v>85</v>
      </c>
      <c r="B5234">
        <v>1997</v>
      </c>
      <c r="C5234">
        <v>6.1000000000000004E-3</v>
      </c>
    </row>
    <row r="5235" spans="1:3" x14ac:dyDescent="0.35">
      <c r="A5235">
        <v>85</v>
      </c>
      <c r="B5235">
        <v>1998</v>
      </c>
      <c r="C5235">
        <v>7.6E-3</v>
      </c>
    </row>
    <row r="5236" spans="1:3" x14ac:dyDescent="0.35">
      <c r="A5236">
        <v>85</v>
      </c>
      <c r="B5236">
        <v>1999</v>
      </c>
      <c r="C5236">
        <v>9.2999999999999992E-3</v>
      </c>
    </row>
    <row r="5237" spans="1:3" x14ac:dyDescent="0.35">
      <c r="A5237">
        <v>85</v>
      </c>
      <c r="B5237">
        <v>2000</v>
      </c>
      <c r="C5237">
        <v>1.1299999999999999E-2</v>
      </c>
    </row>
    <row r="5238" spans="1:3" x14ac:dyDescent="0.35">
      <c r="A5238">
        <v>85</v>
      </c>
      <c r="B5238">
        <v>2001</v>
      </c>
      <c r="C5238">
        <v>1.3299999999999999E-2</v>
      </c>
    </row>
    <row r="5239" spans="1:3" x14ac:dyDescent="0.35">
      <c r="A5239">
        <v>85</v>
      </c>
      <c r="B5239">
        <v>2002</v>
      </c>
      <c r="C5239">
        <v>1.52E-2</v>
      </c>
    </row>
    <row r="5240" spans="1:3" x14ac:dyDescent="0.35">
      <c r="A5240">
        <v>85</v>
      </c>
      <c r="B5240">
        <v>2003</v>
      </c>
      <c r="C5240">
        <v>1.6799999999999999E-2</v>
      </c>
    </row>
    <row r="5241" spans="1:3" x14ac:dyDescent="0.35">
      <c r="A5241">
        <v>85</v>
      </c>
      <c r="B5241">
        <v>2004</v>
      </c>
      <c r="C5241">
        <v>1.7999999999999999E-2</v>
      </c>
    </row>
    <row r="5242" spans="1:3" x14ac:dyDescent="0.35">
      <c r="A5242">
        <v>85</v>
      </c>
      <c r="B5242">
        <v>2005</v>
      </c>
      <c r="C5242">
        <v>1.8700000000000001E-2</v>
      </c>
    </row>
    <row r="5243" spans="1:3" x14ac:dyDescent="0.35">
      <c r="A5243">
        <v>85</v>
      </c>
      <c r="B5243">
        <v>2006</v>
      </c>
      <c r="C5243">
        <v>1.8800000000000001E-2</v>
      </c>
    </row>
    <row r="5244" spans="1:3" x14ac:dyDescent="0.35">
      <c r="A5244">
        <v>85</v>
      </c>
      <c r="B5244">
        <v>2007</v>
      </c>
      <c r="C5244">
        <v>1.83E-2</v>
      </c>
    </row>
    <row r="5245" spans="1:3" x14ac:dyDescent="0.35">
      <c r="A5245">
        <v>85</v>
      </c>
      <c r="B5245">
        <v>2008</v>
      </c>
      <c r="C5245">
        <v>1.7299999999999999E-2</v>
      </c>
    </row>
    <row r="5246" spans="1:3" x14ac:dyDescent="0.35">
      <c r="A5246">
        <v>85</v>
      </c>
      <c r="B5246">
        <v>2009</v>
      </c>
      <c r="C5246">
        <v>1.6E-2</v>
      </c>
    </row>
    <row r="5247" spans="1:3" x14ac:dyDescent="0.35">
      <c r="A5247">
        <v>85</v>
      </c>
      <c r="B5247">
        <v>2010</v>
      </c>
      <c r="C5247">
        <v>1.43E-2</v>
      </c>
    </row>
    <row r="5248" spans="1:3" x14ac:dyDescent="0.35">
      <c r="A5248">
        <v>85</v>
      </c>
      <c r="B5248">
        <v>2011</v>
      </c>
      <c r="C5248">
        <v>1.24E-2</v>
      </c>
    </row>
    <row r="5249" spans="1:3" x14ac:dyDescent="0.35">
      <c r="A5249">
        <v>85</v>
      </c>
      <c r="B5249">
        <v>2012</v>
      </c>
      <c r="C5249">
        <v>1.0500000000000001E-2</v>
      </c>
    </row>
    <row r="5250" spans="1:3" x14ac:dyDescent="0.35">
      <c r="A5250">
        <v>85</v>
      </c>
      <c r="B5250">
        <v>2013</v>
      </c>
      <c r="C5250">
        <v>1.06E-2</v>
      </c>
    </row>
    <row r="5251" spans="1:3" x14ac:dyDescent="0.35">
      <c r="A5251">
        <v>85</v>
      </c>
      <c r="B5251">
        <v>2014</v>
      </c>
      <c r="C5251">
        <v>1.0699999999999999E-2</v>
      </c>
    </row>
    <row r="5252" spans="1:3" x14ac:dyDescent="0.35">
      <c r="A5252">
        <v>85</v>
      </c>
      <c r="B5252">
        <v>2015</v>
      </c>
      <c r="C5252">
        <v>1.0800000000000001E-2</v>
      </c>
    </row>
    <row r="5253" spans="1:3" x14ac:dyDescent="0.35">
      <c r="A5253">
        <v>85</v>
      </c>
      <c r="B5253">
        <v>2016</v>
      </c>
      <c r="C5253">
        <v>1.0800000000000001E-2</v>
      </c>
    </row>
    <row r="5254" spans="1:3" x14ac:dyDescent="0.35">
      <c r="A5254">
        <v>85</v>
      </c>
      <c r="B5254">
        <v>2017</v>
      </c>
      <c r="C5254">
        <v>1.0800000000000001E-2</v>
      </c>
    </row>
    <row r="5255" spans="1:3" x14ac:dyDescent="0.35">
      <c r="A5255">
        <v>85</v>
      </c>
      <c r="B5255">
        <v>2018</v>
      </c>
      <c r="C5255">
        <v>1.0800000000000001E-2</v>
      </c>
    </row>
    <row r="5256" spans="1:3" x14ac:dyDescent="0.35">
      <c r="A5256">
        <v>85</v>
      </c>
      <c r="B5256">
        <v>2019</v>
      </c>
      <c r="C5256">
        <v>1.0699999999999999E-2</v>
      </c>
    </row>
    <row r="5257" spans="1:3" x14ac:dyDescent="0.35">
      <c r="A5257">
        <v>85</v>
      </c>
      <c r="B5257">
        <v>2020</v>
      </c>
      <c r="C5257">
        <v>1.06E-2</v>
      </c>
    </row>
    <row r="5258" spans="1:3" x14ac:dyDescent="0.35">
      <c r="A5258">
        <v>85</v>
      </c>
      <c r="B5258">
        <v>2021</v>
      </c>
      <c r="C5258">
        <v>1.0500000000000001E-2</v>
      </c>
    </row>
    <row r="5259" spans="1:3" x14ac:dyDescent="0.35">
      <c r="A5259">
        <v>85</v>
      </c>
      <c r="B5259">
        <v>2022</v>
      </c>
      <c r="C5259">
        <v>1.0500000000000001E-2</v>
      </c>
    </row>
    <row r="5260" spans="1:3" x14ac:dyDescent="0.35">
      <c r="A5260">
        <v>85</v>
      </c>
      <c r="B5260">
        <v>2023</v>
      </c>
      <c r="C5260">
        <v>1.03E-2</v>
      </c>
    </row>
    <row r="5261" spans="1:3" x14ac:dyDescent="0.35">
      <c r="A5261">
        <v>85</v>
      </c>
      <c r="B5261">
        <v>2024</v>
      </c>
      <c r="C5261">
        <v>1.0200000000000001E-2</v>
      </c>
    </row>
    <row r="5262" spans="1:3" x14ac:dyDescent="0.35">
      <c r="A5262">
        <v>85</v>
      </c>
      <c r="B5262">
        <v>2025</v>
      </c>
      <c r="C5262">
        <v>0.01</v>
      </c>
    </row>
    <row r="5263" spans="1:3" x14ac:dyDescent="0.35">
      <c r="A5263">
        <v>85</v>
      </c>
      <c r="B5263">
        <v>2026</v>
      </c>
      <c r="C5263">
        <v>9.9000000000000008E-3</v>
      </c>
    </row>
    <row r="5264" spans="1:3" x14ac:dyDescent="0.35">
      <c r="A5264">
        <v>85</v>
      </c>
      <c r="B5264">
        <v>2027</v>
      </c>
      <c r="C5264">
        <v>9.7999999999999997E-3</v>
      </c>
    </row>
    <row r="5265" spans="1:3" x14ac:dyDescent="0.35">
      <c r="A5265">
        <v>85</v>
      </c>
      <c r="B5265">
        <v>2028</v>
      </c>
      <c r="C5265">
        <v>9.7999999999999997E-3</v>
      </c>
    </row>
    <row r="5266" spans="1:3" x14ac:dyDescent="0.35">
      <c r="A5266">
        <v>85</v>
      </c>
      <c r="B5266">
        <v>2029</v>
      </c>
      <c r="C5266">
        <v>9.7999999999999997E-3</v>
      </c>
    </row>
    <row r="5267" spans="1:3" x14ac:dyDescent="0.35">
      <c r="A5267">
        <v>85</v>
      </c>
      <c r="B5267">
        <v>2030</v>
      </c>
      <c r="C5267">
        <v>9.7999999999999997E-3</v>
      </c>
    </row>
    <row r="5268" spans="1:3" x14ac:dyDescent="0.35">
      <c r="A5268">
        <v>85</v>
      </c>
      <c r="B5268">
        <v>2031</v>
      </c>
      <c r="C5268">
        <v>9.9000000000000008E-3</v>
      </c>
    </row>
    <row r="5269" spans="1:3" x14ac:dyDescent="0.35">
      <c r="A5269">
        <v>86</v>
      </c>
      <c r="B5269">
        <v>1951</v>
      </c>
      <c r="C5269">
        <v>2.5999999999999999E-3</v>
      </c>
    </row>
    <row r="5270" spans="1:3" x14ac:dyDescent="0.35">
      <c r="A5270">
        <v>86</v>
      </c>
      <c r="B5270">
        <v>1952</v>
      </c>
      <c r="C5270">
        <v>1.4E-3</v>
      </c>
    </row>
    <row r="5271" spans="1:3" x14ac:dyDescent="0.35">
      <c r="A5271">
        <v>86</v>
      </c>
      <c r="B5271">
        <v>1953</v>
      </c>
      <c r="C5271">
        <v>2.9999999999999997E-4</v>
      </c>
    </row>
    <row r="5272" spans="1:3" x14ac:dyDescent="0.35">
      <c r="A5272">
        <v>86</v>
      </c>
      <c r="B5272">
        <v>1954</v>
      </c>
      <c r="C5272">
        <v>-8.0000000000000004E-4</v>
      </c>
    </row>
    <row r="5273" spans="1:3" x14ac:dyDescent="0.35">
      <c r="A5273">
        <v>86</v>
      </c>
      <c r="B5273">
        <v>1955</v>
      </c>
      <c r="C5273">
        <v>-1.8E-3</v>
      </c>
    </row>
    <row r="5274" spans="1:3" x14ac:dyDescent="0.35">
      <c r="A5274">
        <v>86</v>
      </c>
      <c r="B5274">
        <v>1956</v>
      </c>
      <c r="C5274">
        <v>-2.5999999999999999E-3</v>
      </c>
    </row>
    <row r="5275" spans="1:3" x14ac:dyDescent="0.35">
      <c r="A5275">
        <v>86</v>
      </c>
      <c r="B5275">
        <v>1957</v>
      </c>
      <c r="C5275">
        <v>-3.2000000000000002E-3</v>
      </c>
    </row>
    <row r="5276" spans="1:3" x14ac:dyDescent="0.35">
      <c r="A5276">
        <v>86</v>
      </c>
      <c r="B5276">
        <v>1958</v>
      </c>
      <c r="C5276">
        <v>-3.5999999999999999E-3</v>
      </c>
    </row>
    <row r="5277" spans="1:3" x14ac:dyDescent="0.35">
      <c r="A5277">
        <v>86</v>
      </c>
      <c r="B5277">
        <v>1959</v>
      </c>
      <c r="C5277">
        <v>-3.7000000000000002E-3</v>
      </c>
    </row>
    <row r="5278" spans="1:3" x14ac:dyDescent="0.35">
      <c r="A5278">
        <v>86</v>
      </c>
      <c r="B5278">
        <v>1960</v>
      </c>
      <c r="C5278">
        <v>-3.5000000000000001E-3</v>
      </c>
    </row>
    <row r="5279" spans="1:3" x14ac:dyDescent="0.35">
      <c r="A5279">
        <v>86</v>
      </c>
      <c r="B5279">
        <v>1961</v>
      </c>
      <c r="C5279">
        <v>-3.0000000000000001E-3</v>
      </c>
    </row>
    <row r="5280" spans="1:3" x14ac:dyDescent="0.35">
      <c r="A5280">
        <v>86</v>
      </c>
      <c r="B5280">
        <v>1962</v>
      </c>
      <c r="C5280">
        <v>-2.0999999999999999E-3</v>
      </c>
    </row>
    <row r="5281" spans="1:3" x14ac:dyDescent="0.35">
      <c r="A5281">
        <v>86</v>
      </c>
      <c r="B5281">
        <v>1963</v>
      </c>
      <c r="C5281">
        <v>-1E-3</v>
      </c>
    </row>
    <row r="5282" spans="1:3" x14ac:dyDescent="0.35">
      <c r="A5282">
        <v>86</v>
      </c>
      <c r="B5282">
        <v>1964</v>
      </c>
      <c r="C5282">
        <v>4.0000000000000002E-4</v>
      </c>
    </row>
    <row r="5283" spans="1:3" x14ac:dyDescent="0.35">
      <c r="A5283">
        <v>86</v>
      </c>
      <c r="B5283">
        <v>1965</v>
      </c>
      <c r="C5283">
        <v>1.9E-3</v>
      </c>
    </row>
    <row r="5284" spans="1:3" x14ac:dyDescent="0.35">
      <c r="A5284">
        <v>86</v>
      </c>
      <c r="B5284">
        <v>1966</v>
      </c>
      <c r="C5284">
        <v>3.5999999999999999E-3</v>
      </c>
    </row>
    <row r="5285" spans="1:3" x14ac:dyDescent="0.35">
      <c r="A5285">
        <v>86</v>
      </c>
      <c r="B5285">
        <v>1967</v>
      </c>
      <c r="C5285">
        <v>5.4000000000000003E-3</v>
      </c>
    </row>
    <row r="5286" spans="1:3" x14ac:dyDescent="0.35">
      <c r="A5286">
        <v>86</v>
      </c>
      <c r="B5286">
        <v>1968</v>
      </c>
      <c r="C5286">
        <v>7.1000000000000004E-3</v>
      </c>
    </row>
    <row r="5287" spans="1:3" x14ac:dyDescent="0.35">
      <c r="A5287">
        <v>86</v>
      </c>
      <c r="B5287">
        <v>1969</v>
      </c>
      <c r="C5287">
        <v>8.8000000000000005E-3</v>
      </c>
    </row>
    <row r="5288" spans="1:3" x14ac:dyDescent="0.35">
      <c r="A5288">
        <v>86</v>
      </c>
      <c r="B5288">
        <v>1970</v>
      </c>
      <c r="C5288">
        <v>1.04E-2</v>
      </c>
    </row>
    <row r="5289" spans="1:3" x14ac:dyDescent="0.35">
      <c r="A5289">
        <v>86</v>
      </c>
      <c r="B5289">
        <v>1971</v>
      </c>
      <c r="C5289">
        <v>1.18E-2</v>
      </c>
    </row>
    <row r="5290" spans="1:3" x14ac:dyDescent="0.35">
      <c r="A5290">
        <v>86</v>
      </c>
      <c r="B5290">
        <v>1972</v>
      </c>
      <c r="C5290">
        <v>1.29E-2</v>
      </c>
    </row>
    <row r="5291" spans="1:3" x14ac:dyDescent="0.35">
      <c r="A5291">
        <v>86</v>
      </c>
      <c r="B5291">
        <v>1973</v>
      </c>
      <c r="C5291">
        <v>1.37E-2</v>
      </c>
    </row>
    <row r="5292" spans="1:3" x14ac:dyDescent="0.35">
      <c r="A5292">
        <v>86</v>
      </c>
      <c r="B5292">
        <v>1974</v>
      </c>
      <c r="C5292">
        <v>1.4E-2</v>
      </c>
    </row>
    <row r="5293" spans="1:3" x14ac:dyDescent="0.35">
      <c r="A5293">
        <v>86</v>
      </c>
      <c r="B5293">
        <v>1975</v>
      </c>
      <c r="C5293">
        <v>1.4E-2</v>
      </c>
    </row>
    <row r="5294" spans="1:3" x14ac:dyDescent="0.35">
      <c r="A5294">
        <v>86</v>
      </c>
      <c r="B5294">
        <v>1976</v>
      </c>
      <c r="C5294">
        <v>1.35E-2</v>
      </c>
    </row>
    <row r="5295" spans="1:3" x14ac:dyDescent="0.35">
      <c r="A5295">
        <v>86</v>
      </c>
      <c r="B5295">
        <v>1977</v>
      </c>
      <c r="C5295">
        <v>1.26E-2</v>
      </c>
    </row>
    <row r="5296" spans="1:3" x14ac:dyDescent="0.35">
      <c r="A5296">
        <v>86</v>
      </c>
      <c r="B5296">
        <v>1978</v>
      </c>
      <c r="C5296">
        <v>1.1299999999999999E-2</v>
      </c>
    </row>
    <row r="5297" spans="1:3" x14ac:dyDescent="0.35">
      <c r="A5297">
        <v>86</v>
      </c>
      <c r="B5297">
        <v>1979</v>
      </c>
      <c r="C5297">
        <v>9.7999999999999997E-3</v>
      </c>
    </row>
    <row r="5298" spans="1:3" x14ac:dyDescent="0.35">
      <c r="A5298">
        <v>86</v>
      </c>
      <c r="B5298">
        <v>1980</v>
      </c>
      <c r="C5298">
        <v>8.2000000000000007E-3</v>
      </c>
    </row>
    <row r="5299" spans="1:3" x14ac:dyDescent="0.35">
      <c r="A5299">
        <v>86</v>
      </c>
      <c r="B5299">
        <v>1981</v>
      </c>
      <c r="C5299">
        <v>6.6E-3</v>
      </c>
    </row>
    <row r="5300" spans="1:3" x14ac:dyDescent="0.35">
      <c r="A5300">
        <v>86</v>
      </c>
      <c r="B5300">
        <v>1982</v>
      </c>
      <c r="C5300">
        <v>5.1999999999999998E-3</v>
      </c>
    </row>
    <row r="5301" spans="1:3" x14ac:dyDescent="0.35">
      <c r="A5301">
        <v>86</v>
      </c>
      <c r="B5301">
        <v>1983</v>
      </c>
      <c r="C5301">
        <v>3.8999999999999998E-3</v>
      </c>
    </row>
    <row r="5302" spans="1:3" x14ac:dyDescent="0.35">
      <c r="A5302">
        <v>86</v>
      </c>
      <c r="B5302">
        <v>1984</v>
      </c>
      <c r="C5302">
        <v>2.8999999999999998E-3</v>
      </c>
    </row>
    <row r="5303" spans="1:3" x14ac:dyDescent="0.35">
      <c r="A5303">
        <v>86</v>
      </c>
      <c r="B5303">
        <v>1985</v>
      </c>
      <c r="C5303">
        <v>2.2000000000000001E-3</v>
      </c>
    </row>
    <row r="5304" spans="1:3" x14ac:dyDescent="0.35">
      <c r="A5304">
        <v>86</v>
      </c>
      <c r="B5304">
        <v>1986</v>
      </c>
      <c r="C5304">
        <v>1.8E-3</v>
      </c>
    </row>
    <row r="5305" spans="1:3" x14ac:dyDescent="0.35">
      <c r="A5305">
        <v>86</v>
      </c>
      <c r="B5305">
        <v>1987</v>
      </c>
      <c r="C5305">
        <v>1.6000000000000001E-3</v>
      </c>
    </row>
    <row r="5306" spans="1:3" x14ac:dyDescent="0.35">
      <c r="A5306">
        <v>86</v>
      </c>
      <c r="B5306">
        <v>1988</v>
      </c>
      <c r="C5306">
        <v>1.6000000000000001E-3</v>
      </c>
    </row>
    <row r="5307" spans="1:3" x14ac:dyDescent="0.35">
      <c r="A5307">
        <v>86</v>
      </c>
      <c r="B5307">
        <v>1989</v>
      </c>
      <c r="C5307">
        <v>1.6999999999999999E-3</v>
      </c>
    </row>
    <row r="5308" spans="1:3" x14ac:dyDescent="0.35">
      <c r="A5308">
        <v>86</v>
      </c>
      <c r="B5308">
        <v>1990</v>
      </c>
      <c r="C5308">
        <v>1.6999999999999999E-3</v>
      </c>
    </row>
    <row r="5309" spans="1:3" x14ac:dyDescent="0.35">
      <c r="A5309">
        <v>86</v>
      </c>
      <c r="B5309">
        <v>1991</v>
      </c>
      <c r="C5309">
        <v>1.6999999999999999E-3</v>
      </c>
    </row>
    <row r="5310" spans="1:3" x14ac:dyDescent="0.35">
      <c r="A5310">
        <v>86</v>
      </c>
      <c r="B5310">
        <v>1992</v>
      </c>
      <c r="C5310">
        <v>1.8E-3</v>
      </c>
    </row>
    <row r="5311" spans="1:3" x14ac:dyDescent="0.35">
      <c r="A5311">
        <v>86</v>
      </c>
      <c r="B5311">
        <v>1993</v>
      </c>
      <c r="C5311">
        <v>1.9E-3</v>
      </c>
    </row>
    <row r="5312" spans="1:3" x14ac:dyDescent="0.35">
      <c r="A5312">
        <v>86</v>
      </c>
      <c r="B5312">
        <v>1994</v>
      </c>
      <c r="C5312">
        <v>2.2000000000000001E-3</v>
      </c>
    </row>
    <row r="5313" spans="1:3" x14ac:dyDescent="0.35">
      <c r="A5313">
        <v>86</v>
      </c>
      <c r="B5313">
        <v>1995</v>
      </c>
      <c r="C5313">
        <v>2.8E-3</v>
      </c>
    </row>
    <row r="5314" spans="1:3" x14ac:dyDescent="0.35">
      <c r="A5314">
        <v>86</v>
      </c>
      <c r="B5314">
        <v>1996</v>
      </c>
      <c r="C5314">
        <v>3.5999999999999999E-3</v>
      </c>
    </row>
    <row r="5315" spans="1:3" x14ac:dyDescent="0.35">
      <c r="A5315">
        <v>86</v>
      </c>
      <c r="B5315">
        <v>1997</v>
      </c>
      <c r="C5315">
        <v>4.7999999999999996E-3</v>
      </c>
    </row>
    <row r="5316" spans="1:3" x14ac:dyDescent="0.35">
      <c r="A5316">
        <v>86</v>
      </c>
      <c r="B5316">
        <v>1998</v>
      </c>
      <c r="C5316">
        <v>6.3E-3</v>
      </c>
    </row>
    <row r="5317" spans="1:3" x14ac:dyDescent="0.35">
      <c r="A5317">
        <v>86</v>
      </c>
      <c r="B5317">
        <v>1999</v>
      </c>
      <c r="C5317">
        <v>8.0999999999999996E-3</v>
      </c>
    </row>
    <row r="5318" spans="1:3" x14ac:dyDescent="0.35">
      <c r="A5318">
        <v>86</v>
      </c>
      <c r="B5318">
        <v>2000</v>
      </c>
      <c r="C5318">
        <v>1.01E-2</v>
      </c>
    </row>
    <row r="5319" spans="1:3" x14ac:dyDescent="0.35">
      <c r="A5319">
        <v>86</v>
      </c>
      <c r="B5319">
        <v>2001</v>
      </c>
      <c r="C5319">
        <v>1.21E-2</v>
      </c>
    </row>
    <row r="5320" spans="1:3" x14ac:dyDescent="0.35">
      <c r="A5320">
        <v>86</v>
      </c>
      <c r="B5320">
        <v>2002</v>
      </c>
      <c r="C5320">
        <v>1.4E-2</v>
      </c>
    </row>
    <row r="5321" spans="1:3" x14ac:dyDescent="0.35">
      <c r="A5321">
        <v>86</v>
      </c>
      <c r="B5321">
        <v>2003</v>
      </c>
      <c r="C5321">
        <v>1.5699999999999999E-2</v>
      </c>
    </row>
    <row r="5322" spans="1:3" x14ac:dyDescent="0.35">
      <c r="A5322">
        <v>86</v>
      </c>
      <c r="B5322">
        <v>2004</v>
      </c>
      <c r="C5322">
        <v>1.6899999999999998E-2</v>
      </c>
    </row>
    <row r="5323" spans="1:3" x14ac:dyDescent="0.35">
      <c r="A5323">
        <v>86</v>
      </c>
      <c r="B5323">
        <v>2005</v>
      </c>
      <c r="C5323">
        <v>1.7600000000000001E-2</v>
      </c>
    </row>
    <row r="5324" spans="1:3" x14ac:dyDescent="0.35">
      <c r="A5324">
        <v>86</v>
      </c>
      <c r="B5324">
        <v>2006</v>
      </c>
      <c r="C5324">
        <v>1.78E-2</v>
      </c>
    </row>
    <row r="5325" spans="1:3" x14ac:dyDescent="0.35">
      <c r="A5325">
        <v>86</v>
      </c>
      <c r="B5325">
        <v>2007</v>
      </c>
      <c r="C5325">
        <v>1.7399999999999999E-2</v>
      </c>
    </row>
    <row r="5326" spans="1:3" x14ac:dyDescent="0.35">
      <c r="A5326">
        <v>86</v>
      </c>
      <c r="B5326">
        <v>2008</v>
      </c>
      <c r="C5326">
        <v>1.6500000000000001E-2</v>
      </c>
    </row>
    <row r="5327" spans="1:3" x14ac:dyDescent="0.35">
      <c r="A5327">
        <v>86</v>
      </c>
      <c r="B5327">
        <v>2009</v>
      </c>
      <c r="C5327">
        <v>1.5299999999999999E-2</v>
      </c>
    </row>
    <row r="5328" spans="1:3" x14ac:dyDescent="0.35">
      <c r="A5328">
        <v>86</v>
      </c>
      <c r="B5328">
        <v>2010</v>
      </c>
      <c r="C5328">
        <v>1.37E-2</v>
      </c>
    </row>
    <row r="5329" spans="1:3" x14ac:dyDescent="0.35">
      <c r="A5329">
        <v>86</v>
      </c>
      <c r="B5329">
        <v>2011</v>
      </c>
      <c r="C5329">
        <v>1.2E-2</v>
      </c>
    </row>
    <row r="5330" spans="1:3" x14ac:dyDescent="0.35">
      <c r="A5330">
        <v>86</v>
      </c>
      <c r="B5330">
        <v>2012</v>
      </c>
      <c r="C5330">
        <v>1.0200000000000001E-2</v>
      </c>
    </row>
    <row r="5331" spans="1:3" x14ac:dyDescent="0.35">
      <c r="A5331">
        <v>86</v>
      </c>
      <c r="B5331">
        <v>2013</v>
      </c>
      <c r="C5331">
        <v>1.03E-2</v>
      </c>
    </row>
    <row r="5332" spans="1:3" x14ac:dyDescent="0.35">
      <c r="A5332">
        <v>86</v>
      </c>
      <c r="B5332">
        <v>2014</v>
      </c>
      <c r="C5332">
        <v>1.04E-2</v>
      </c>
    </row>
    <row r="5333" spans="1:3" x14ac:dyDescent="0.35">
      <c r="A5333">
        <v>86</v>
      </c>
      <c r="B5333">
        <v>2015</v>
      </c>
      <c r="C5333">
        <v>1.0500000000000001E-2</v>
      </c>
    </row>
    <row r="5334" spans="1:3" x14ac:dyDescent="0.35">
      <c r="A5334">
        <v>86</v>
      </c>
      <c r="B5334">
        <v>2016</v>
      </c>
      <c r="C5334">
        <v>1.0500000000000001E-2</v>
      </c>
    </row>
    <row r="5335" spans="1:3" x14ac:dyDescent="0.35">
      <c r="A5335">
        <v>86</v>
      </c>
      <c r="B5335">
        <v>2017</v>
      </c>
      <c r="C5335">
        <v>1.0500000000000001E-2</v>
      </c>
    </row>
    <row r="5336" spans="1:3" x14ac:dyDescent="0.35">
      <c r="A5336">
        <v>86</v>
      </c>
      <c r="B5336">
        <v>2018</v>
      </c>
      <c r="C5336">
        <v>1.0500000000000001E-2</v>
      </c>
    </row>
    <row r="5337" spans="1:3" x14ac:dyDescent="0.35">
      <c r="A5337">
        <v>86</v>
      </c>
      <c r="B5337">
        <v>2019</v>
      </c>
      <c r="C5337">
        <v>1.04E-2</v>
      </c>
    </row>
    <row r="5338" spans="1:3" x14ac:dyDescent="0.35">
      <c r="A5338">
        <v>86</v>
      </c>
      <c r="B5338">
        <v>2020</v>
      </c>
      <c r="C5338">
        <v>1.04E-2</v>
      </c>
    </row>
    <row r="5339" spans="1:3" x14ac:dyDescent="0.35">
      <c r="A5339">
        <v>86</v>
      </c>
      <c r="B5339">
        <v>2021</v>
      </c>
      <c r="C5339">
        <v>1.03E-2</v>
      </c>
    </row>
    <row r="5340" spans="1:3" x14ac:dyDescent="0.35">
      <c r="A5340">
        <v>86</v>
      </c>
      <c r="B5340">
        <v>2022</v>
      </c>
      <c r="C5340">
        <v>1.03E-2</v>
      </c>
    </row>
    <row r="5341" spans="1:3" x14ac:dyDescent="0.35">
      <c r="A5341">
        <v>86</v>
      </c>
      <c r="B5341">
        <v>2023</v>
      </c>
      <c r="C5341">
        <v>1.0200000000000001E-2</v>
      </c>
    </row>
    <row r="5342" spans="1:3" x14ac:dyDescent="0.35">
      <c r="A5342">
        <v>86</v>
      </c>
      <c r="B5342">
        <v>2024</v>
      </c>
      <c r="C5342">
        <v>1.01E-2</v>
      </c>
    </row>
    <row r="5343" spans="1:3" x14ac:dyDescent="0.35">
      <c r="A5343">
        <v>86</v>
      </c>
      <c r="B5343">
        <v>2025</v>
      </c>
      <c r="C5343">
        <v>9.9000000000000008E-3</v>
      </c>
    </row>
    <row r="5344" spans="1:3" x14ac:dyDescent="0.35">
      <c r="A5344">
        <v>86</v>
      </c>
      <c r="B5344">
        <v>2026</v>
      </c>
      <c r="C5344">
        <v>9.7999999999999997E-3</v>
      </c>
    </row>
    <row r="5345" spans="1:3" x14ac:dyDescent="0.35">
      <c r="A5345">
        <v>86</v>
      </c>
      <c r="B5345">
        <v>2027</v>
      </c>
      <c r="C5345">
        <v>9.7000000000000003E-3</v>
      </c>
    </row>
    <row r="5346" spans="1:3" x14ac:dyDescent="0.35">
      <c r="A5346">
        <v>86</v>
      </c>
      <c r="B5346">
        <v>2028</v>
      </c>
      <c r="C5346">
        <v>9.7000000000000003E-3</v>
      </c>
    </row>
    <row r="5347" spans="1:3" x14ac:dyDescent="0.35">
      <c r="A5347">
        <v>86</v>
      </c>
      <c r="B5347">
        <v>2029</v>
      </c>
      <c r="C5347">
        <v>9.7000000000000003E-3</v>
      </c>
    </row>
    <row r="5348" spans="1:3" x14ac:dyDescent="0.35">
      <c r="A5348">
        <v>86</v>
      </c>
      <c r="B5348">
        <v>2030</v>
      </c>
      <c r="C5348">
        <v>9.7000000000000003E-3</v>
      </c>
    </row>
    <row r="5349" spans="1:3" x14ac:dyDescent="0.35">
      <c r="A5349">
        <v>86</v>
      </c>
      <c r="B5349">
        <v>2031</v>
      </c>
      <c r="C5349">
        <v>9.7999999999999997E-3</v>
      </c>
    </row>
    <row r="5350" spans="1:3" x14ac:dyDescent="0.35">
      <c r="A5350">
        <v>87</v>
      </c>
      <c r="B5350">
        <v>1951</v>
      </c>
      <c r="C5350">
        <v>1.1000000000000001E-3</v>
      </c>
    </row>
    <row r="5351" spans="1:3" x14ac:dyDescent="0.35">
      <c r="A5351">
        <v>87</v>
      </c>
      <c r="B5351">
        <v>1952</v>
      </c>
      <c r="C5351">
        <v>0</v>
      </c>
    </row>
    <row r="5352" spans="1:3" x14ac:dyDescent="0.35">
      <c r="A5352">
        <v>87</v>
      </c>
      <c r="B5352">
        <v>1953</v>
      </c>
      <c r="C5352">
        <v>-1E-3</v>
      </c>
    </row>
    <row r="5353" spans="1:3" x14ac:dyDescent="0.35">
      <c r="A5353">
        <v>87</v>
      </c>
      <c r="B5353">
        <v>1954</v>
      </c>
      <c r="C5353">
        <v>-2E-3</v>
      </c>
    </row>
    <row r="5354" spans="1:3" x14ac:dyDescent="0.35">
      <c r="A5354">
        <v>87</v>
      </c>
      <c r="B5354">
        <v>1955</v>
      </c>
      <c r="C5354">
        <v>-2.8999999999999998E-3</v>
      </c>
    </row>
    <row r="5355" spans="1:3" x14ac:dyDescent="0.35">
      <c r="A5355">
        <v>87</v>
      </c>
      <c r="B5355">
        <v>1956</v>
      </c>
      <c r="C5355">
        <v>-3.5999999999999999E-3</v>
      </c>
    </row>
    <row r="5356" spans="1:3" x14ac:dyDescent="0.35">
      <c r="A5356">
        <v>87</v>
      </c>
      <c r="B5356">
        <v>1957</v>
      </c>
      <c r="C5356">
        <v>-4.1000000000000003E-3</v>
      </c>
    </row>
    <row r="5357" spans="1:3" x14ac:dyDescent="0.35">
      <c r="A5357">
        <v>87</v>
      </c>
      <c r="B5357">
        <v>1958</v>
      </c>
      <c r="C5357">
        <v>-4.4000000000000003E-3</v>
      </c>
    </row>
    <row r="5358" spans="1:3" x14ac:dyDescent="0.35">
      <c r="A5358">
        <v>87</v>
      </c>
      <c r="B5358">
        <v>1959</v>
      </c>
      <c r="C5358">
        <v>-4.3E-3</v>
      </c>
    </row>
    <row r="5359" spans="1:3" x14ac:dyDescent="0.35">
      <c r="A5359">
        <v>87</v>
      </c>
      <c r="B5359">
        <v>1960</v>
      </c>
      <c r="C5359">
        <v>-4.0000000000000001E-3</v>
      </c>
    </row>
    <row r="5360" spans="1:3" x14ac:dyDescent="0.35">
      <c r="A5360">
        <v>87</v>
      </c>
      <c r="B5360">
        <v>1961</v>
      </c>
      <c r="C5360">
        <v>-3.3E-3</v>
      </c>
    </row>
    <row r="5361" spans="1:3" x14ac:dyDescent="0.35">
      <c r="A5361">
        <v>87</v>
      </c>
      <c r="B5361">
        <v>1962</v>
      </c>
      <c r="C5361">
        <v>-2.3E-3</v>
      </c>
    </row>
    <row r="5362" spans="1:3" x14ac:dyDescent="0.35">
      <c r="A5362">
        <v>87</v>
      </c>
      <c r="B5362">
        <v>1963</v>
      </c>
      <c r="C5362">
        <v>-1E-3</v>
      </c>
    </row>
    <row r="5363" spans="1:3" x14ac:dyDescent="0.35">
      <c r="A5363">
        <v>87</v>
      </c>
      <c r="B5363">
        <v>1964</v>
      </c>
      <c r="C5363">
        <v>5.0000000000000001E-4</v>
      </c>
    </row>
    <row r="5364" spans="1:3" x14ac:dyDescent="0.35">
      <c r="A5364">
        <v>87</v>
      </c>
      <c r="B5364">
        <v>1965</v>
      </c>
      <c r="C5364">
        <v>2.2000000000000001E-3</v>
      </c>
    </row>
    <row r="5365" spans="1:3" x14ac:dyDescent="0.35">
      <c r="A5365">
        <v>87</v>
      </c>
      <c r="B5365">
        <v>1966</v>
      </c>
      <c r="C5365">
        <v>4.0000000000000001E-3</v>
      </c>
    </row>
    <row r="5366" spans="1:3" x14ac:dyDescent="0.35">
      <c r="A5366">
        <v>87</v>
      </c>
      <c r="B5366">
        <v>1967</v>
      </c>
      <c r="C5366">
        <v>5.7999999999999996E-3</v>
      </c>
    </row>
    <row r="5367" spans="1:3" x14ac:dyDescent="0.35">
      <c r="A5367">
        <v>87</v>
      </c>
      <c r="B5367">
        <v>1968</v>
      </c>
      <c r="C5367">
        <v>7.4999999999999997E-3</v>
      </c>
    </row>
    <row r="5368" spans="1:3" x14ac:dyDescent="0.35">
      <c r="A5368">
        <v>87</v>
      </c>
      <c r="B5368">
        <v>1969</v>
      </c>
      <c r="C5368">
        <v>9.1999999999999998E-3</v>
      </c>
    </row>
    <row r="5369" spans="1:3" x14ac:dyDescent="0.35">
      <c r="A5369">
        <v>87</v>
      </c>
      <c r="B5369">
        <v>1970</v>
      </c>
      <c r="C5369">
        <v>1.0699999999999999E-2</v>
      </c>
    </row>
    <row r="5370" spans="1:3" x14ac:dyDescent="0.35">
      <c r="A5370">
        <v>87</v>
      </c>
      <c r="B5370">
        <v>1971</v>
      </c>
      <c r="C5370">
        <v>1.2E-2</v>
      </c>
    </row>
    <row r="5371" spans="1:3" x14ac:dyDescent="0.35">
      <c r="A5371">
        <v>87</v>
      </c>
      <c r="B5371">
        <v>1972</v>
      </c>
      <c r="C5371">
        <v>1.2999999999999999E-2</v>
      </c>
    </row>
    <row r="5372" spans="1:3" x14ac:dyDescent="0.35">
      <c r="A5372">
        <v>87</v>
      </c>
      <c r="B5372">
        <v>1973</v>
      </c>
      <c r="C5372">
        <v>1.37E-2</v>
      </c>
    </row>
    <row r="5373" spans="1:3" x14ac:dyDescent="0.35">
      <c r="A5373">
        <v>87</v>
      </c>
      <c r="B5373">
        <v>1974</v>
      </c>
      <c r="C5373">
        <v>1.4E-2</v>
      </c>
    </row>
    <row r="5374" spans="1:3" x14ac:dyDescent="0.35">
      <c r="A5374">
        <v>87</v>
      </c>
      <c r="B5374">
        <v>1975</v>
      </c>
      <c r="C5374">
        <v>1.3899999999999999E-2</v>
      </c>
    </row>
    <row r="5375" spans="1:3" x14ac:dyDescent="0.35">
      <c r="A5375">
        <v>87</v>
      </c>
      <c r="B5375">
        <v>1976</v>
      </c>
      <c r="C5375">
        <v>1.34E-2</v>
      </c>
    </row>
    <row r="5376" spans="1:3" x14ac:dyDescent="0.35">
      <c r="A5376">
        <v>87</v>
      </c>
      <c r="B5376">
        <v>1977</v>
      </c>
      <c r="C5376">
        <v>1.2500000000000001E-2</v>
      </c>
    </row>
    <row r="5377" spans="1:3" x14ac:dyDescent="0.35">
      <c r="A5377">
        <v>87</v>
      </c>
      <c r="B5377">
        <v>1978</v>
      </c>
      <c r="C5377">
        <v>1.1299999999999999E-2</v>
      </c>
    </row>
    <row r="5378" spans="1:3" x14ac:dyDescent="0.35">
      <c r="A5378">
        <v>87</v>
      </c>
      <c r="B5378">
        <v>1979</v>
      </c>
      <c r="C5378">
        <v>9.9000000000000008E-3</v>
      </c>
    </row>
    <row r="5379" spans="1:3" x14ac:dyDescent="0.35">
      <c r="A5379">
        <v>87</v>
      </c>
      <c r="B5379">
        <v>1980</v>
      </c>
      <c r="C5379">
        <v>8.3000000000000001E-3</v>
      </c>
    </row>
    <row r="5380" spans="1:3" x14ac:dyDescent="0.35">
      <c r="A5380">
        <v>87</v>
      </c>
      <c r="B5380">
        <v>1981</v>
      </c>
      <c r="C5380">
        <v>6.7000000000000002E-3</v>
      </c>
    </row>
    <row r="5381" spans="1:3" x14ac:dyDescent="0.35">
      <c r="A5381">
        <v>87</v>
      </c>
      <c r="B5381">
        <v>1982</v>
      </c>
      <c r="C5381">
        <v>5.1999999999999998E-3</v>
      </c>
    </row>
    <row r="5382" spans="1:3" x14ac:dyDescent="0.35">
      <c r="A5382">
        <v>87</v>
      </c>
      <c r="B5382">
        <v>1983</v>
      </c>
      <c r="C5382">
        <v>3.8E-3</v>
      </c>
    </row>
    <row r="5383" spans="1:3" x14ac:dyDescent="0.35">
      <c r="A5383">
        <v>87</v>
      </c>
      <c r="B5383">
        <v>1984</v>
      </c>
      <c r="C5383">
        <v>2.5999999999999999E-3</v>
      </c>
    </row>
    <row r="5384" spans="1:3" x14ac:dyDescent="0.35">
      <c r="A5384">
        <v>87</v>
      </c>
      <c r="B5384">
        <v>1985</v>
      </c>
      <c r="C5384">
        <v>1.8E-3</v>
      </c>
    </row>
    <row r="5385" spans="1:3" x14ac:dyDescent="0.35">
      <c r="A5385">
        <v>87</v>
      </c>
      <c r="B5385">
        <v>1986</v>
      </c>
      <c r="C5385">
        <v>1.1000000000000001E-3</v>
      </c>
    </row>
    <row r="5386" spans="1:3" x14ac:dyDescent="0.35">
      <c r="A5386">
        <v>87</v>
      </c>
      <c r="B5386">
        <v>1987</v>
      </c>
      <c r="C5386">
        <v>8.0000000000000004E-4</v>
      </c>
    </row>
    <row r="5387" spans="1:3" x14ac:dyDescent="0.35">
      <c r="A5387">
        <v>87</v>
      </c>
      <c r="B5387">
        <v>1988</v>
      </c>
      <c r="C5387">
        <v>5.0000000000000001E-4</v>
      </c>
    </row>
    <row r="5388" spans="1:3" x14ac:dyDescent="0.35">
      <c r="A5388">
        <v>87</v>
      </c>
      <c r="B5388">
        <v>1989</v>
      </c>
      <c r="C5388">
        <v>4.0000000000000002E-4</v>
      </c>
    </row>
    <row r="5389" spans="1:3" x14ac:dyDescent="0.35">
      <c r="A5389">
        <v>87</v>
      </c>
      <c r="B5389">
        <v>1990</v>
      </c>
      <c r="C5389">
        <v>2.9999999999999997E-4</v>
      </c>
    </row>
    <row r="5390" spans="1:3" x14ac:dyDescent="0.35">
      <c r="A5390">
        <v>87</v>
      </c>
      <c r="B5390">
        <v>1991</v>
      </c>
      <c r="C5390">
        <v>2.9999999999999997E-4</v>
      </c>
    </row>
    <row r="5391" spans="1:3" x14ac:dyDescent="0.35">
      <c r="A5391">
        <v>87</v>
      </c>
      <c r="B5391">
        <v>1992</v>
      </c>
      <c r="C5391">
        <v>2.9999999999999997E-4</v>
      </c>
    </row>
    <row r="5392" spans="1:3" x14ac:dyDescent="0.35">
      <c r="A5392">
        <v>87</v>
      </c>
      <c r="B5392">
        <v>1993</v>
      </c>
      <c r="C5392">
        <v>4.0000000000000002E-4</v>
      </c>
    </row>
    <row r="5393" spans="1:3" x14ac:dyDescent="0.35">
      <c r="A5393">
        <v>87</v>
      </c>
      <c r="B5393">
        <v>1994</v>
      </c>
      <c r="C5393">
        <v>6.9999999999999999E-4</v>
      </c>
    </row>
    <row r="5394" spans="1:3" x14ac:dyDescent="0.35">
      <c r="A5394">
        <v>87</v>
      </c>
      <c r="B5394">
        <v>1995</v>
      </c>
      <c r="C5394">
        <v>1.4E-3</v>
      </c>
    </row>
    <row r="5395" spans="1:3" x14ac:dyDescent="0.35">
      <c r="A5395">
        <v>87</v>
      </c>
      <c r="B5395">
        <v>1996</v>
      </c>
      <c r="C5395">
        <v>2.3E-3</v>
      </c>
    </row>
    <row r="5396" spans="1:3" x14ac:dyDescent="0.35">
      <c r="A5396">
        <v>87</v>
      </c>
      <c r="B5396">
        <v>1997</v>
      </c>
      <c r="C5396">
        <v>3.5000000000000001E-3</v>
      </c>
    </row>
    <row r="5397" spans="1:3" x14ac:dyDescent="0.35">
      <c r="A5397">
        <v>87</v>
      </c>
      <c r="B5397">
        <v>1998</v>
      </c>
      <c r="C5397">
        <v>5.1000000000000004E-3</v>
      </c>
    </row>
    <row r="5398" spans="1:3" x14ac:dyDescent="0.35">
      <c r="A5398">
        <v>87</v>
      </c>
      <c r="B5398">
        <v>1999</v>
      </c>
      <c r="C5398">
        <v>6.8999999999999999E-3</v>
      </c>
    </row>
    <row r="5399" spans="1:3" x14ac:dyDescent="0.35">
      <c r="A5399">
        <v>87</v>
      </c>
      <c r="B5399">
        <v>2000</v>
      </c>
      <c r="C5399">
        <v>8.8000000000000005E-3</v>
      </c>
    </row>
    <row r="5400" spans="1:3" x14ac:dyDescent="0.35">
      <c r="A5400">
        <v>87</v>
      </c>
      <c r="B5400">
        <v>2001</v>
      </c>
      <c r="C5400">
        <v>1.09E-2</v>
      </c>
    </row>
    <row r="5401" spans="1:3" x14ac:dyDescent="0.35">
      <c r="A5401">
        <v>87</v>
      </c>
      <c r="B5401">
        <v>2002</v>
      </c>
      <c r="C5401">
        <v>1.2800000000000001E-2</v>
      </c>
    </row>
    <row r="5402" spans="1:3" x14ac:dyDescent="0.35">
      <c r="A5402">
        <v>87</v>
      </c>
      <c r="B5402">
        <v>2003</v>
      </c>
      <c r="C5402">
        <v>1.44E-2</v>
      </c>
    </row>
    <row r="5403" spans="1:3" x14ac:dyDescent="0.35">
      <c r="A5403">
        <v>87</v>
      </c>
      <c r="B5403">
        <v>2004</v>
      </c>
      <c r="C5403">
        <v>1.5699999999999999E-2</v>
      </c>
    </row>
    <row r="5404" spans="1:3" x14ac:dyDescent="0.35">
      <c r="A5404">
        <v>87</v>
      </c>
      <c r="B5404">
        <v>2005</v>
      </c>
      <c r="C5404">
        <v>1.6500000000000001E-2</v>
      </c>
    </row>
    <row r="5405" spans="1:3" x14ac:dyDescent="0.35">
      <c r="A5405">
        <v>87</v>
      </c>
      <c r="B5405">
        <v>2006</v>
      </c>
      <c r="C5405">
        <v>1.67E-2</v>
      </c>
    </row>
    <row r="5406" spans="1:3" x14ac:dyDescent="0.35">
      <c r="A5406">
        <v>87</v>
      </c>
      <c r="B5406">
        <v>2007</v>
      </c>
      <c r="C5406">
        <v>1.6400000000000001E-2</v>
      </c>
    </row>
    <row r="5407" spans="1:3" x14ac:dyDescent="0.35">
      <c r="A5407">
        <v>87</v>
      </c>
      <c r="B5407">
        <v>2008</v>
      </c>
      <c r="C5407">
        <v>1.5699999999999999E-2</v>
      </c>
    </row>
    <row r="5408" spans="1:3" x14ac:dyDescent="0.35">
      <c r="A5408">
        <v>87</v>
      </c>
      <c r="B5408">
        <v>2009</v>
      </c>
      <c r="C5408">
        <v>1.46E-2</v>
      </c>
    </row>
    <row r="5409" spans="1:3" x14ac:dyDescent="0.35">
      <c r="A5409">
        <v>87</v>
      </c>
      <c r="B5409">
        <v>2010</v>
      </c>
      <c r="C5409">
        <v>1.32E-2</v>
      </c>
    </row>
    <row r="5410" spans="1:3" x14ac:dyDescent="0.35">
      <c r="A5410">
        <v>87</v>
      </c>
      <c r="B5410">
        <v>2011</v>
      </c>
      <c r="C5410">
        <v>1.1599999999999999E-2</v>
      </c>
    </row>
    <row r="5411" spans="1:3" x14ac:dyDescent="0.35">
      <c r="A5411">
        <v>87</v>
      </c>
      <c r="B5411">
        <v>2012</v>
      </c>
      <c r="C5411">
        <v>0.01</v>
      </c>
    </row>
    <row r="5412" spans="1:3" x14ac:dyDescent="0.35">
      <c r="A5412">
        <v>87</v>
      </c>
      <c r="B5412">
        <v>2013</v>
      </c>
      <c r="C5412">
        <v>1.01E-2</v>
      </c>
    </row>
    <row r="5413" spans="1:3" x14ac:dyDescent="0.35">
      <c r="A5413">
        <v>87</v>
      </c>
      <c r="B5413">
        <v>2014</v>
      </c>
      <c r="C5413">
        <v>1.01E-2</v>
      </c>
    </row>
    <row r="5414" spans="1:3" x14ac:dyDescent="0.35">
      <c r="A5414">
        <v>87</v>
      </c>
      <c r="B5414">
        <v>2015</v>
      </c>
      <c r="C5414">
        <v>1.0200000000000001E-2</v>
      </c>
    </row>
    <row r="5415" spans="1:3" x14ac:dyDescent="0.35">
      <c r="A5415">
        <v>87</v>
      </c>
      <c r="B5415">
        <v>2016</v>
      </c>
      <c r="C5415">
        <v>1.0200000000000001E-2</v>
      </c>
    </row>
    <row r="5416" spans="1:3" x14ac:dyDescent="0.35">
      <c r="A5416">
        <v>87</v>
      </c>
      <c r="B5416">
        <v>2017</v>
      </c>
      <c r="C5416">
        <v>1.0200000000000001E-2</v>
      </c>
    </row>
    <row r="5417" spans="1:3" x14ac:dyDescent="0.35">
      <c r="A5417">
        <v>87</v>
      </c>
      <c r="B5417">
        <v>2018</v>
      </c>
      <c r="C5417">
        <v>1.0200000000000001E-2</v>
      </c>
    </row>
    <row r="5418" spans="1:3" x14ac:dyDescent="0.35">
      <c r="A5418">
        <v>87</v>
      </c>
      <c r="B5418">
        <v>2019</v>
      </c>
      <c r="C5418">
        <v>1.0200000000000001E-2</v>
      </c>
    </row>
    <row r="5419" spans="1:3" x14ac:dyDescent="0.35">
      <c r="A5419">
        <v>87</v>
      </c>
      <c r="B5419">
        <v>2020</v>
      </c>
      <c r="C5419">
        <v>1.01E-2</v>
      </c>
    </row>
    <row r="5420" spans="1:3" x14ac:dyDescent="0.35">
      <c r="A5420">
        <v>87</v>
      </c>
      <c r="B5420">
        <v>2021</v>
      </c>
      <c r="C5420">
        <v>1.01E-2</v>
      </c>
    </row>
    <row r="5421" spans="1:3" x14ac:dyDescent="0.35">
      <c r="A5421">
        <v>87</v>
      </c>
      <c r="B5421">
        <v>2022</v>
      </c>
      <c r="C5421">
        <v>0.01</v>
      </c>
    </row>
    <row r="5422" spans="1:3" x14ac:dyDescent="0.35">
      <c r="A5422">
        <v>87</v>
      </c>
      <c r="B5422">
        <v>2023</v>
      </c>
      <c r="C5422">
        <v>0.01</v>
      </c>
    </row>
    <row r="5423" spans="1:3" x14ac:dyDescent="0.35">
      <c r="A5423">
        <v>87</v>
      </c>
      <c r="B5423">
        <v>2024</v>
      </c>
      <c r="C5423">
        <v>9.9000000000000008E-3</v>
      </c>
    </row>
    <row r="5424" spans="1:3" x14ac:dyDescent="0.35">
      <c r="A5424">
        <v>87</v>
      </c>
      <c r="B5424">
        <v>2025</v>
      </c>
      <c r="C5424">
        <v>9.7999999999999997E-3</v>
      </c>
    </row>
    <row r="5425" spans="1:3" x14ac:dyDescent="0.35">
      <c r="A5425">
        <v>87</v>
      </c>
      <c r="B5425">
        <v>2026</v>
      </c>
      <c r="C5425">
        <v>9.7000000000000003E-3</v>
      </c>
    </row>
    <row r="5426" spans="1:3" x14ac:dyDescent="0.35">
      <c r="A5426">
        <v>87</v>
      </c>
      <c r="B5426">
        <v>2027</v>
      </c>
      <c r="C5426">
        <v>9.5999999999999992E-3</v>
      </c>
    </row>
    <row r="5427" spans="1:3" x14ac:dyDescent="0.35">
      <c r="A5427">
        <v>87</v>
      </c>
      <c r="B5427">
        <v>2028</v>
      </c>
      <c r="C5427">
        <v>9.5999999999999992E-3</v>
      </c>
    </row>
    <row r="5428" spans="1:3" x14ac:dyDescent="0.35">
      <c r="A5428">
        <v>87</v>
      </c>
      <c r="B5428">
        <v>2029</v>
      </c>
      <c r="C5428">
        <v>9.4999999999999998E-3</v>
      </c>
    </row>
    <row r="5429" spans="1:3" x14ac:dyDescent="0.35">
      <c r="A5429">
        <v>87</v>
      </c>
      <c r="B5429">
        <v>2030</v>
      </c>
      <c r="C5429">
        <v>9.5999999999999992E-3</v>
      </c>
    </row>
    <row r="5430" spans="1:3" x14ac:dyDescent="0.35">
      <c r="A5430">
        <v>87</v>
      </c>
      <c r="B5430">
        <v>2031</v>
      </c>
      <c r="C5430">
        <v>9.5999999999999992E-3</v>
      </c>
    </row>
    <row r="5431" spans="1:3" x14ac:dyDescent="0.35">
      <c r="A5431">
        <v>88</v>
      </c>
      <c r="B5431">
        <v>1951</v>
      </c>
      <c r="C5431">
        <v>-5.9999999999999995E-4</v>
      </c>
    </row>
    <row r="5432" spans="1:3" x14ac:dyDescent="0.35">
      <c r="A5432">
        <v>88</v>
      </c>
      <c r="B5432">
        <v>1952</v>
      </c>
      <c r="C5432">
        <v>-1.6000000000000001E-3</v>
      </c>
    </row>
    <row r="5433" spans="1:3" x14ac:dyDescent="0.35">
      <c r="A5433">
        <v>88</v>
      </c>
      <c r="B5433">
        <v>1953</v>
      </c>
      <c r="C5433">
        <v>-2.5000000000000001E-3</v>
      </c>
    </row>
    <row r="5434" spans="1:3" x14ac:dyDescent="0.35">
      <c r="A5434">
        <v>88</v>
      </c>
      <c r="B5434">
        <v>1954</v>
      </c>
      <c r="C5434">
        <v>-3.3E-3</v>
      </c>
    </row>
    <row r="5435" spans="1:3" x14ac:dyDescent="0.35">
      <c r="A5435">
        <v>88</v>
      </c>
      <c r="B5435">
        <v>1955</v>
      </c>
      <c r="C5435">
        <v>-4.1000000000000003E-3</v>
      </c>
    </row>
    <row r="5436" spans="1:3" x14ac:dyDescent="0.35">
      <c r="A5436">
        <v>88</v>
      </c>
      <c r="B5436">
        <v>1956</v>
      </c>
      <c r="C5436">
        <v>-4.5999999999999999E-3</v>
      </c>
    </row>
    <row r="5437" spans="1:3" x14ac:dyDescent="0.35">
      <c r="A5437">
        <v>88</v>
      </c>
      <c r="B5437">
        <v>1957</v>
      </c>
      <c r="C5437">
        <v>-5.0000000000000001E-3</v>
      </c>
    </row>
    <row r="5438" spans="1:3" x14ac:dyDescent="0.35">
      <c r="A5438">
        <v>88</v>
      </c>
      <c r="B5438">
        <v>1958</v>
      </c>
      <c r="C5438">
        <v>-5.1000000000000004E-3</v>
      </c>
    </row>
    <row r="5439" spans="1:3" x14ac:dyDescent="0.35">
      <c r="A5439">
        <v>88</v>
      </c>
      <c r="B5439">
        <v>1959</v>
      </c>
      <c r="C5439">
        <v>-4.8999999999999998E-3</v>
      </c>
    </row>
    <row r="5440" spans="1:3" x14ac:dyDescent="0.35">
      <c r="A5440">
        <v>88</v>
      </c>
      <c r="B5440">
        <v>1960</v>
      </c>
      <c r="C5440">
        <v>-4.4000000000000003E-3</v>
      </c>
    </row>
    <row r="5441" spans="1:3" x14ac:dyDescent="0.35">
      <c r="A5441">
        <v>88</v>
      </c>
      <c r="B5441">
        <v>1961</v>
      </c>
      <c r="C5441">
        <v>-3.5999999999999999E-3</v>
      </c>
    </row>
    <row r="5442" spans="1:3" x14ac:dyDescent="0.35">
      <c r="A5442">
        <v>88</v>
      </c>
      <c r="B5442">
        <v>1962</v>
      </c>
      <c r="C5442">
        <v>-2.3999999999999998E-3</v>
      </c>
    </row>
    <row r="5443" spans="1:3" x14ac:dyDescent="0.35">
      <c r="A5443">
        <v>88</v>
      </c>
      <c r="B5443">
        <v>1963</v>
      </c>
      <c r="C5443">
        <v>-1E-3</v>
      </c>
    </row>
    <row r="5444" spans="1:3" x14ac:dyDescent="0.35">
      <c r="A5444">
        <v>88</v>
      </c>
      <c r="B5444">
        <v>1964</v>
      </c>
      <c r="C5444">
        <v>5.9999999999999995E-4</v>
      </c>
    </row>
    <row r="5445" spans="1:3" x14ac:dyDescent="0.35">
      <c r="A5445">
        <v>88</v>
      </c>
      <c r="B5445">
        <v>1965</v>
      </c>
      <c r="C5445">
        <v>2.3999999999999998E-3</v>
      </c>
    </row>
    <row r="5446" spans="1:3" x14ac:dyDescent="0.35">
      <c r="A5446">
        <v>88</v>
      </c>
      <c r="B5446">
        <v>1966</v>
      </c>
      <c r="C5446">
        <v>4.3E-3</v>
      </c>
    </row>
    <row r="5447" spans="1:3" x14ac:dyDescent="0.35">
      <c r="A5447">
        <v>88</v>
      </c>
      <c r="B5447">
        <v>1967</v>
      </c>
      <c r="C5447">
        <v>6.1000000000000004E-3</v>
      </c>
    </row>
    <row r="5448" spans="1:3" x14ac:dyDescent="0.35">
      <c r="A5448">
        <v>88</v>
      </c>
      <c r="B5448">
        <v>1968</v>
      </c>
      <c r="C5448">
        <v>7.9000000000000008E-3</v>
      </c>
    </row>
    <row r="5449" spans="1:3" x14ac:dyDescent="0.35">
      <c r="A5449">
        <v>88</v>
      </c>
      <c r="B5449">
        <v>1969</v>
      </c>
      <c r="C5449">
        <v>9.4999999999999998E-3</v>
      </c>
    </row>
    <row r="5450" spans="1:3" x14ac:dyDescent="0.35">
      <c r="A5450">
        <v>88</v>
      </c>
      <c r="B5450">
        <v>1970</v>
      </c>
      <c r="C5450">
        <v>1.0999999999999999E-2</v>
      </c>
    </row>
    <row r="5451" spans="1:3" x14ac:dyDescent="0.35">
      <c r="A5451">
        <v>88</v>
      </c>
      <c r="B5451">
        <v>1971</v>
      </c>
      <c r="C5451">
        <v>1.2200000000000001E-2</v>
      </c>
    </row>
    <row r="5452" spans="1:3" x14ac:dyDescent="0.35">
      <c r="A5452">
        <v>88</v>
      </c>
      <c r="B5452">
        <v>1972</v>
      </c>
      <c r="C5452">
        <v>1.3100000000000001E-2</v>
      </c>
    </row>
    <row r="5453" spans="1:3" x14ac:dyDescent="0.35">
      <c r="A5453">
        <v>88</v>
      </c>
      <c r="B5453">
        <v>1973</v>
      </c>
      <c r="C5453">
        <v>1.38E-2</v>
      </c>
    </row>
    <row r="5454" spans="1:3" x14ac:dyDescent="0.35">
      <c r="A5454">
        <v>88</v>
      </c>
      <c r="B5454">
        <v>1974</v>
      </c>
      <c r="C5454">
        <v>1.4E-2</v>
      </c>
    </row>
    <row r="5455" spans="1:3" x14ac:dyDescent="0.35">
      <c r="A5455">
        <v>88</v>
      </c>
      <c r="B5455">
        <v>1975</v>
      </c>
      <c r="C5455">
        <v>1.3899999999999999E-2</v>
      </c>
    </row>
    <row r="5456" spans="1:3" x14ac:dyDescent="0.35">
      <c r="A5456">
        <v>88</v>
      </c>
      <c r="B5456">
        <v>1976</v>
      </c>
      <c r="C5456">
        <v>1.3299999999999999E-2</v>
      </c>
    </row>
    <row r="5457" spans="1:3" x14ac:dyDescent="0.35">
      <c r="A5457">
        <v>88</v>
      </c>
      <c r="B5457">
        <v>1977</v>
      </c>
      <c r="C5457">
        <v>1.2500000000000001E-2</v>
      </c>
    </row>
    <row r="5458" spans="1:3" x14ac:dyDescent="0.35">
      <c r="A5458">
        <v>88</v>
      </c>
      <c r="B5458">
        <v>1978</v>
      </c>
      <c r="C5458">
        <v>1.1299999999999999E-2</v>
      </c>
    </row>
    <row r="5459" spans="1:3" x14ac:dyDescent="0.35">
      <c r="A5459">
        <v>88</v>
      </c>
      <c r="B5459">
        <v>1979</v>
      </c>
      <c r="C5459">
        <v>9.9000000000000008E-3</v>
      </c>
    </row>
    <row r="5460" spans="1:3" x14ac:dyDescent="0.35">
      <c r="A5460">
        <v>88</v>
      </c>
      <c r="B5460">
        <v>1980</v>
      </c>
      <c r="C5460">
        <v>8.3999999999999995E-3</v>
      </c>
    </row>
    <row r="5461" spans="1:3" x14ac:dyDescent="0.35">
      <c r="A5461">
        <v>88</v>
      </c>
      <c r="B5461">
        <v>1981</v>
      </c>
      <c r="C5461">
        <v>6.7999999999999996E-3</v>
      </c>
    </row>
    <row r="5462" spans="1:3" x14ac:dyDescent="0.35">
      <c r="A5462">
        <v>88</v>
      </c>
      <c r="B5462">
        <v>1982</v>
      </c>
      <c r="C5462">
        <v>5.1999999999999998E-3</v>
      </c>
    </row>
    <row r="5463" spans="1:3" x14ac:dyDescent="0.35">
      <c r="A5463">
        <v>88</v>
      </c>
      <c r="B5463">
        <v>1983</v>
      </c>
      <c r="C5463">
        <v>3.7000000000000002E-3</v>
      </c>
    </row>
    <row r="5464" spans="1:3" x14ac:dyDescent="0.35">
      <c r="A5464">
        <v>88</v>
      </c>
      <c r="B5464">
        <v>1984</v>
      </c>
      <c r="C5464">
        <v>2.3999999999999998E-3</v>
      </c>
    </row>
    <row r="5465" spans="1:3" x14ac:dyDescent="0.35">
      <c r="A5465">
        <v>88</v>
      </c>
      <c r="B5465">
        <v>1985</v>
      </c>
      <c r="C5465">
        <v>1.4E-3</v>
      </c>
    </row>
    <row r="5466" spans="1:3" x14ac:dyDescent="0.35">
      <c r="A5466">
        <v>88</v>
      </c>
      <c r="B5466">
        <v>1986</v>
      </c>
      <c r="C5466">
        <v>5.0000000000000001E-4</v>
      </c>
    </row>
    <row r="5467" spans="1:3" x14ac:dyDescent="0.35">
      <c r="A5467">
        <v>88</v>
      </c>
      <c r="B5467">
        <v>1987</v>
      </c>
      <c r="C5467">
        <v>0</v>
      </c>
    </row>
    <row r="5468" spans="1:3" x14ac:dyDescent="0.35">
      <c r="A5468">
        <v>88</v>
      </c>
      <c r="B5468">
        <v>1988</v>
      </c>
      <c r="C5468">
        <v>-5.0000000000000001E-4</v>
      </c>
    </row>
    <row r="5469" spans="1:3" x14ac:dyDescent="0.35">
      <c r="A5469">
        <v>88</v>
      </c>
      <c r="B5469">
        <v>1989</v>
      </c>
      <c r="C5469">
        <v>-8.0000000000000004E-4</v>
      </c>
    </row>
    <row r="5470" spans="1:3" x14ac:dyDescent="0.35">
      <c r="A5470">
        <v>88</v>
      </c>
      <c r="B5470">
        <v>1990</v>
      </c>
      <c r="C5470">
        <v>-1E-3</v>
      </c>
    </row>
    <row r="5471" spans="1:3" x14ac:dyDescent="0.35">
      <c r="A5471">
        <v>88</v>
      </c>
      <c r="B5471">
        <v>1991</v>
      </c>
      <c r="C5471">
        <v>-1.1000000000000001E-3</v>
      </c>
    </row>
    <row r="5472" spans="1:3" x14ac:dyDescent="0.35">
      <c r="A5472">
        <v>88</v>
      </c>
      <c r="B5472">
        <v>1992</v>
      </c>
      <c r="C5472">
        <v>-1.1999999999999999E-3</v>
      </c>
    </row>
    <row r="5473" spans="1:3" x14ac:dyDescent="0.35">
      <c r="A5473">
        <v>88</v>
      </c>
      <c r="B5473">
        <v>1993</v>
      </c>
      <c r="C5473">
        <v>-1.1000000000000001E-3</v>
      </c>
    </row>
    <row r="5474" spans="1:3" x14ac:dyDescent="0.35">
      <c r="A5474">
        <v>88</v>
      </c>
      <c r="B5474">
        <v>1994</v>
      </c>
      <c r="C5474">
        <v>-6.9999999999999999E-4</v>
      </c>
    </row>
    <row r="5475" spans="1:3" x14ac:dyDescent="0.35">
      <c r="A5475">
        <v>88</v>
      </c>
      <c r="B5475">
        <v>1995</v>
      </c>
      <c r="C5475">
        <v>0</v>
      </c>
    </row>
    <row r="5476" spans="1:3" x14ac:dyDescent="0.35">
      <c r="A5476">
        <v>88</v>
      </c>
      <c r="B5476">
        <v>1996</v>
      </c>
      <c r="C5476">
        <v>8.9999999999999998E-4</v>
      </c>
    </row>
    <row r="5477" spans="1:3" x14ac:dyDescent="0.35">
      <c r="A5477">
        <v>88</v>
      </c>
      <c r="B5477">
        <v>1997</v>
      </c>
      <c r="C5477">
        <v>2.2000000000000001E-3</v>
      </c>
    </row>
    <row r="5478" spans="1:3" x14ac:dyDescent="0.35">
      <c r="A5478">
        <v>88</v>
      </c>
      <c r="B5478">
        <v>1998</v>
      </c>
      <c r="C5478">
        <v>3.7000000000000002E-3</v>
      </c>
    </row>
    <row r="5479" spans="1:3" x14ac:dyDescent="0.35">
      <c r="A5479">
        <v>88</v>
      </c>
      <c r="B5479">
        <v>1999</v>
      </c>
      <c r="C5479">
        <v>5.4999999999999997E-3</v>
      </c>
    </row>
    <row r="5480" spans="1:3" x14ac:dyDescent="0.35">
      <c r="A5480">
        <v>88</v>
      </c>
      <c r="B5480">
        <v>2000</v>
      </c>
      <c r="C5480">
        <v>7.4999999999999997E-3</v>
      </c>
    </row>
    <row r="5481" spans="1:3" x14ac:dyDescent="0.35">
      <c r="A5481">
        <v>88</v>
      </c>
      <c r="B5481">
        <v>2001</v>
      </c>
      <c r="C5481">
        <v>9.4999999999999998E-3</v>
      </c>
    </row>
    <row r="5482" spans="1:3" x14ac:dyDescent="0.35">
      <c r="A5482">
        <v>88</v>
      </c>
      <c r="B5482">
        <v>2002</v>
      </c>
      <c r="C5482">
        <v>1.14E-2</v>
      </c>
    </row>
    <row r="5483" spans="1:3" x14ac:dyDescent="0.35">
      <c r="A5483">
        <v>88</v>
      </c>
      <c r="B5483">
        <v>2003</v>
      </c>
      <c r="C5483">
        <v>1.3100000000000001E-2</v>
      </c>
    </row>
    <row r="5484" spans="1:3" x14ac:dyDescent="0.35">
      <c r="A5484">
        <v>88</v>
      </c>
      <c r="B5484">
        <v>2004</v>
      </c>
      <c r="C5484">
        <v>1.44E-2</v>
      </c>
    </row>
    <row r="5485" spans="1:3" x14ac:dyDescent="0.35">
      <c r="A5485">
        <v>88</v>
      </c>
      <c r="B5485">
        <v>2005</v>
      </c>
      <c r="C5485">
        <v>1.52E-2</v>
      </c>
    </row>
    <row r="5486" spans="1:3" x14ac:dyDescent="0.35">
      <c r="A5486">
        <v>88</v>
      </c>
      <c r="B5486">
        <v>2006</v>
      </c>
      <c r="C5486">
        <v>1.5599999999999999E-2</v>
      </c>
    </row>
    <row r="5487" spans="1:3" x14ac:dyDescent="0.35">
      <c r="A5487">
        <v>88</v>
      </c>
      <c r="B5487">
        <v>2007</v>
      </c>
      <c r="C5487">
        <v>1.54E-2</v>
      </c>
    </row>
    <row r="5488" spans="1:3" x14ac:dyDescent="0.35">
      <c r="A5488">
        <v>88</v>
      </c>
      <c r="B5488">
        <v>2008</v>
      </c>
      <c r="C5488">
        <v>1.4800000000000001E-2</v>
      </c>
    </row>
    <row r="5489" spans="1:3" x14ac:dyDescent="0.35">
      <c r="A5489">
        <v>88</v>
      </c>
      <c r="B5489">
        <v>2009</v>
      </c>
      <c r="C5489">
        <v>1.3899999999999999E-2</v>
      </c>
    </row>
    <row r="5490" spans="1:3" x14ac:dyDescent="0.35">
      <c r="A5490">
        <v>88</v>
      </c>
      <c r="B5490">
        <v>2010</v>
      </c>
      <c r="C5490">
        <v>1.2699999999999999E-2</v>
      </c>
    </row>
    <row r="5491" spans="1:3" x14ac:dyDescent="0.35">
      <c r="A5491">
        <v>88</v>
      </c>
      <c r="B5491">
        <v>2011</v>
      </c>
      <c r="C5491">
        <v>1.1299999999999999E-2</v>
      </c>
    </row>
    <row r="5492" spans="1:3" x14ac:dyDescent="0.35">
      <c r="A5492">
        <v>88</v>
      </c>
      <c r="B5492">
        <v>2012</v>
      </c>
      <c r="C5492">
        <v>9.9000000000000008E-3</v>
      </c>
    </row>
    <row r="5493" spans="1:3" x14ac:dyDescent="0.35">
      <c r="A5493">
        <v>88</v>
      </c>
      <c r="B5493">
        <v>2013</v>
      </c>
      <c r="C5493">
        <v>9.9000000000000008E-3</v>
      </c>
    </row>
    <row r="5494" spans="1:3" x14ac:dyDescent="0.35">
      <c r="A5494">
        <v>88</v>
      </c>
      <c r="B5494">
        <v>2014</v>
      </c>
      <c r="C5494">
        <v>9.9000000000000008E-3</v>
      </c>
    </row>
    <row r="5495" spans="1:3" x14ac:dyDescent="0.35">
      <c r="A5495">
        <v>88</v>
      </c>
      <c r="B5495">
        <v>2015</v>
      </c>
      <c r="C5495">
        <v>9.9000000000000008E-3</v>
      </c>
    </row>
    <row r="5496" spans="1:3" x14ac:dyDescent="0.35">
      <c r="A5496">
        <v>88</v>
      </c>
      <c r="B5496">
        <v>2016</v>
      </c>
      <c r="C5496">
        <v>0.01</v>
      </c>
    </row>
    <row r="5497" spans="1:3" x14ac:dyDescent="0.35">
      <c r="A5497">
        <v>88</v>
      </c>
      <c r="B5497">
        <v>2017</v>
      </c>
      <c r="C5497">
        <v>0.01</v>
      </c>
    </row>
    <row r="5498" spans="1:3" x14ac:dyDescent="0.35">
      <c r="A5498">
        <v>88</v>
      </c>
      <c r="B5498">
        <v>2018</v>
      </c>
      <c r="C5498">
        <v>9.9000000000000008E-3</v>
      </c>
    </row>
    <row r="5499" spans="1:3" x14ac:dyDescent="0.35">
      <c r="A5499">
        <v>88</v>
      </c>
      <c r="B5499">
        <v>2019</v>
      </c>
      <c r="C5499">
        <v>9.9000000000000008E-3</v>
      </c>
    </row>
    <row r="5500" spans="1:3" x14ac:dyDescent="0.35">
      <c r="A5500">
        <v>88</v>
      </c>
      <c r="B5500">
        <v>2020</v>
      </c>
      <c r="C5500">
        <v>9.9000000000000008E-3</v>
      </c>
    </row>
    <row r="5501" spans="1:3" x14ac:dyDescent="0.35">
      <c r="A5501">
        <v>88</v>
      </c>
      <c r="B5501">
        <v>2021</v>
      </c>
      <c r="C5501">
        <v>9.7999999999999997E-3</v>
      </c>
    </row>
    <row r="5502" spans="1:3" x14ac:dyDescent="0.35">
      <c r="A5502">
        <v>88</v>
      </c>
      <c r="B5502">
        <v>2022</v>
      </c>
      <c r="C5502">
        <v>9.7999999999999997E-3</v>
      </c>
    </row>
    <row r="5503" spans="1:3" x14ac:dyDescent="0.35">
      <c r="A5503">
        <v>88</v>
      </c>
      <c r="B5503">
        <v>2023</v>
      </c>
      <c r="C5503">
        <v>9.7999999999999997E-3</v>
      </c>
    </row>
    <row r="5504" spans="1:3" x14ac:dyDescent="0.35">
      <c r="A5504">
        <v>88</v>
      </c>
      <c r="B5504">
        <v>2024</v>
      </c>
      <c r="C5504">
        <v>9.7000000000000003E-3</v>
      </c>
    </row>
    <row r="5505" spans="1:3" x14ac:dyDescent="0.35">
      <c r="A5505">
        <v>88</v>
      </c>
      <c r="B5505">
        <v>2025</v>
      </c>
      <c r="C5505">
        <v>9.7000000000000003E-3</v>
      </c>
    </row>
    <row r="5506" spans="1:3" x14ac:dyDescent="0.35">
      <c r="A5506">
        <v>88</v>
      </c>
      <c r="B5506">
        <v>2026</v>
      </c>
      <c r="C5506">
        <v>9.5999999999999992E-3</v>
      </c>
    </row>
    <row r="5507" spans="1:3" x14ac:dyDescent="0.35">
      <c r="A5507">
        <v>88</v>
      </c>
      <c r="B5507">
        <v>2027</v>
      </c>
      <c r="C5507">
        <v>9.4999999999999998E-3</v>
      </c>
    </row>
    <row r="5508" spans="1:3" x14ac:dyDescent="0.35">
      <c r="A5508">
        <v>88</v>
      </c>
      <c r="B5508">
        <v>2028</v>
      </c>
      <c r="C5508">
        <v>9.4999999999999998E-3</v>
      </c>
    </row>
    <row r="5509" spans="1:3" x14ac:dyDescent="0.35">
      <c r="A5509">
        <v>88</v>
      </c>
      <c r="B5509">
        <v>2029</v>
      </c>
      <c r="C5509">
        <v>9.4000000000000004E-3</v>
      </c>
    </row>
    <row r="5510" spans="1:3" x14ac:dyDescent="0.35">
      <c r="A5510">
        <v>88</v>
      </c>
      <c r="B5510">
        <v>2030</v>
      </c>
      <c r="C5510">
        <v>9.4000000000000004E-3</v>
      </c>
    </row>
    <row r="5511" spans="1:3" x14ac:dyDescent="0.35">
      <c r="A5511">
        <v>88</v>
      </c>
      <c r="B5511">
        <v>2031</v>
      </c>
      <c r="C5511">
        <v>9.4999999999999998E-3</v>
      </c>
    </row>
    <row r="5512" spans="1:3" x14ac:dyDescent="0.35">
      <c r="A5512">
        <v>89</v>
      </c>
      <c r="B5512">
        <v>1951</v>
      </c>
      <c r="C5512">
        <v>-2.5999999999999999E-3</v>
      </c>
    </row>
    <row r="5513" spans="1:3" x14ac:dyDescent="0.35">
      <c r="A5513">
        <v>89</v>
      </c>
      <c r="B5513">
        <v>1952</v>
      </c>
      <c r="C5513">
        <v>-3.3E-3</v>
      </c>
    </row>
    <row r="5514" spans="1:3" x14ac:dyDescent="0.35">
      <c r="A5514">
        <v>89</v>
      </c>
      <c r="B5514">
        <v>1953</v>
      </c>
      <c r="C5514">
        <v>-4.0000000000000001E-3</v>
      </c>
    </row>
    <row r="5515" spans="1:3" x14ac:dyDescent="0.35">
      <c r="A5515">
        <v>89</v>
      </c>
      <c r="B5515">
        <v>1954</v>
      </c>
      <c r="C5515">
        <v>-4.7000000000000002E-3</v>
      </c>
    </row>
    <row r="5516" spans="1:3" x14ac:dyDescent="0.35">
      <c r="A5516">
        <v>89</v>
      </c>
      <c r="B5516">
        <v>1955</v>
      </c>
      <c r="C5516">
        <v>-5.3E-3</v>
      </c>
    </row>
    <row r="5517" spans="1:3" x14ac:dyDescent="0.35">
      <c r="A5517">
        <v>89</v>
      </c>
      <c r="B5517">
        <v>1956</v>
      </c>
      <c r="C5517">
        <v>-5.7000000000000002E-3</v>
      </c>
    </row>
    <row r="5518" spans="1:3" x14ac:dyDescent="0.35">
      <c r="A5518">
        <v>89</v>
      </c>
      <c r="B5518">
        <v>1957</v>
      </c>
      <c r="C5518">
        <v>-5.8999999999999999E-3</v>
      </c>
    </row>
    <row r="5519" spans="1:3" x14ac:dyDescent="0.35">
      <c r="A5519">
        <v>89</v>
      </c>
      <c r="B5519">
        <v>1958</v>
      </c>
      <c r="C5519">
        <v>-5.7999999999999996E-3</v>
      </c>
    </row>
    <row r="5520" spans="1:3" x14ac:dyDescent="0.35">
      <c r="A5520">
        <v>89</v>
      </c>
      <c r="B5520">
        <v>1959</v>
      </c>
      <c r="C5520">
        <v>-5.4000000000000003E-3</v>
      </c>
    </row>
    <row r="5521" spans="1:3" x14ac:dyDescent="0.35">
      <c r="A5521">
        <v>89</v>
      </c>
      <c r="B5521">
        <v>1960</v>
      </c>
      <c r="C5521">
        <v>-4.7999999999999996E-3</v>
      </c>
    </row>
    <row r="5522" spans="1:3" x14ac:dyDescent="0.35">
      <c r="A5522">
        <v>89</v>
      </c>
      <c r="B5522">
        <v>1961</v>
      </c>
      <c r="C5522">
        <v>-3.8E-3</v>
      </c>
    </row>
    <row r="5523" spans="1:3" x14ac:dyDescent="0.35">
      <c r="A5523">
        <v>89</v>
      </c>
      <c r="B5523">
        <v>1962</v>
      </c>
      <c r="C5523">
        <v>-2.5000000000000001E-3</v>
      </c>
    </row>
    <row r="5524" spans="1:3" x14ac:dyDescent="0.35">
      <c r="A5524">
        <v>89</v>
      </c>
      <c r="B5524">
        <v>1963</v>
      </c>
      <c r="C5524">
        <v>-1E-3</v>
      </c>
    </row>
    <row r="5525" spans="1:3" x14ac:dyDescent="0.35">
      <c r="A5525">
        <v>89</v>
      </c>
      <c r="B5525">
        <v>1964</v>
      </c>
      <c r="C5525">
        <v>6.9999999999999999E-4</v>
      </c>
    </row>
    <row r="5526" spans="1:3" x14ac:dyDescent="0.35">
      <c r="A5526">
        <v>89</v>
      </c>
      <c r="B5526">
        <v>1965</v>
      </c>
      <c r="C5526">
        <v>2.5999999999999999E-3</v>
      </c>
    </row>
    <row r="5527" spans="1:3" x14ac:dyDescent="0.35">
      <c r="A5527">
        <v>89</v>
      </c>
      <c r="B5527">
        <v>1966</v>
      </c>
      <c r="C5527">
        <v>4.4999999999999997E-3</v>
      </c>
    </row>
    <row r="5528" spans="1:3" x14ac:dyDescent="0.35">
      <c r="A5528">
        <v>89</v>
      </c>
      <c r="B5528">
        <v>1967</v>
      </c>
      <c r="C5528">
        <v>6.4000000000000003E-3</v>
      </c>
    </row>
    <row r="5529" spans="1:3" x14ac:dyDescent="0.35">
      <c r="A5529">
        <v>89</v>
      </c>
      <c r="B5529">
        <v>1968</v>
      </c>
      <c r="C5529">
        <v>8.2000000000000007E-3</v>
      </c>
    </row>
    <row r="5530" spans="1:3" x14ac:dyDescent="0.35">
      <c r="A5530">
        <v>89</v>
      </c>
      <c r="B5530">
        <v>1969</v>
      </c>
      <c r="C5530">
        <v>9.7999999999999997E-3</v>
      </c>
    </row>
    <row r="5531" spans="1:3" x14ac:dyDescent="0.35">
      <c r="A5531">
        <v>89</v>
      </c>
      <c r="B5531">
        <v>1970</v>
      </c>
      <c r="C5531">
        <v>1.12E-2</v>
      </c>
    </row>
    <row r="5532" spans="1:3" x14ac:dyDescent="0.35">
      <c r="A5532">
        <v>89</v>
      </c>
      <c r="B5532">
        <v>1971</v>
      </c>
      <c r="C5532">
        <v>1.24E-2</v>
      </c>
    </row>
    <row r="5533" spans="1:3" x14ac:dyDescent="0.35">
      <c r="A5533">
        <v>89</v>
      </c>
      <c r="B5533">
        <v>1972</v>
      </c>
      <c r="C5533">
        <v>1.32E-2</v>
      </c>
    </row>
    <row r="5534" spans="1:3" x14ac:dyDescent="0.35">
      <c r="A5534">
        <v>89</v>
      </c>
      <c r="B5534">
        <v>1973</v>
      </c>
      <c r="C5534">
        <v>1.38E-2</v>
      </c>
    </row>
    <row r="5535" spans="1:3" x14ac:dyDescent="0.35">
      <c r="A5535">
        <v>89</v>
      </c>
      <c r="B5535">
        <v>1974</v>
      </c>
      <c r="C5535">
        <v>1.4E-2</v>
      </c>
    </row>
    <row r="5536" spans="1:3" x14ac:dyDescent="0.35">
      <c r="A5536">
        <v>89</v>
      </c>
      <c r="B5536">
        <v>1975</v>
      </c>
      <c r="C5536">
        <v>1.38E-2</v>
      </c>
    </row>
    <row r="5537" spans="1:3" x14ac:dyDescent="0.35">
      <c r="A5537">
        <v>89</v>
      </c>
      <c r="B5537">
        <v>1976</v>
      </c>
      <c r="C5537">
        <v>1.3299999999999999E-2</v>
      </c>
    </row>
    <row r="5538" spans="1:3" x14ac:dyDescent="0.35">
      <c r="A5538">
        <v>89</v>
      </c>
      <c r="B5538">
        <v>1977</v>
      </c>
      <c r="C5538">
        <v>1.24E-2</v>
      </c>
    </row>
    <row r="5539" spans="1:3" x14ac:dyDescent="0.35">
      <c r="A5539">
        <v>89</v>
      </c>
      <c r="B5539">
        <v>1978</v>
      </c>
      <c r="C5539">
        <v>1.1299999999999999E-2</v>
      </c>
    </row>
    <row r="5540" spans="1:3" x14ac:dyDescent="0.35">
      <c r="A5540">
        <v>89</v>
      </c>
      <c r="B5540">
        <v>1979</v>
      </c>
      <c r="C5540">
        <v>9.9000000000000008E-3</v>
      </c>
    </row>
    <row r="5541" spans="1:3" x14ac:dyDescent="0.35">
      <c r="A5541">
        <v>89</v>
      </c>
      <c r="B5541">
        <v>1980</v>
      </c>
      <c r="C5541">
        <v>8.3999999999999995E-3</v>
      </c>
    </row>
    <row r="5542" spans="1:3" x14ac:dyDescent="0.35">
      <c r="A5542">
        <v>89</v>
      </c>
      <c r="B5542">
        <v>1981</v>
      </c>
      <c r="C5542">
        <v>6.7999999999999996E-3</v>
      </c>
    </row>
    <row r="5543" spans="1:3" x14ac:dyDescent="0.35">
      <c r="A5543">
        <v>89</v>
      </c>
      <c r="B5543">
        <v>1982</v>
      </c>
      <c r="C5543">
        <v>5.1999999999999998E-3</v>
      </c>
    </row>
    <row r="5544" spans="1:3" x14ac:dyDescent="0.35">
      <c r="A5544">
        <v>89</v>
      </c>
      <c r="B5544">
        <v>1983</v>
      </c>
      <c r="C5544">
        <v>3.5999999999999999E-3</v>
      </c>
    </row>
    <row r="5545" spans="1:3" x14ac:dyDescent="0.35">
      <c r="A5545">
        <v>89</v>
      </c>
      <c r="B5545">
        <v>1984</v>
      </c>
      <c r="C5545">
        <v>2.2000000000000001E-3</v>
      </c>
    </row>
    <row r="5546" spans="1:3" x14ac:dyDescent="0.35">
      <c r="A5546">
        <v>89</v>
      </c>
      <c r="B5546">
        <v>1985</v>
      </c>
      <c r="C5546">
        <v>1E-3</v>
      </c>
    </row>
    <row r="5547" spans="1:3" x14ac:dyDescent="0.35">
      <c r="A5547">
        <v>89</v>
      </c>
      <c r="B5547">
        <v>1986</v>
      </c>
      <c r="C5547">
        <v>0</v>
      </c>
    </row>
    <row r="5548" spans="1:3" x14ac:dyDescent="0.35">
      <c r="A5548">
        <v>89</v>
      </c>
      <c r="B5548">
        <v>1987</v>
      </c>
      <c r="C5548">
        <v>-8.0000000000000004E-4</v>
      </c>
    </row>
    <row r="5549" spans="1:3" x14ac:dyDescent="0.35">
      <c r="A5549">
        <v>89</v>
      </c>
      <c r="B5549">
        <v>1988</v>
      </c>
      <c r="C5549">
        <v>-1.4E-3</v>
      </c>
    </row>
    <row r="5550" spans="1:3" x14ac:dyDescent="0.35">
      <c r="A5550">
        <v>89</v>
      </c>
      <c r="B5550">
        <v>1989</v>
      </c>
      <c r="C5550">
        <v>-1.9E-3</v>
      </c>
    </row>
    <row r="5551" spans="1:3" x14ac:dyDescent="0.35">
      <c r="A5551">
        <v>89</v>
      </c>
      <c r="B5551">
        <v>1990</v>
      </c>
      <c r="C5551">
        <v>-2.2000000000000001E-3</v>
      </c>
    </row>
    <row r="5552" spans="1:3" x14ac:dyDescent="0.35">
      <c r="A5552">
        <v>89</v>
      </c>
      <c r="B5552">
        <v>1991</v>
      </c>
      <c r="C5552">
        <v>-2.5000000000000001E-3</v>
      </c>
    </row>
    <row r="5553" spans="1:3" x14ac:dyDescent="0.35">
      <c r="A5553">
        <v>89</v>
      </c>
      <c r="B5553">
        <v>1992</v>
      </c>
      <c r="C5553">
        <v>-2.5000000000000001E-3</v>
      </c>
    </row>
    <row r="5554" spans="1:3" x14ac:dyDescent="0.35">
      <c r="A5554">
        <v>89</v>
      </c>
      <c r="B5554">
        <v>1993</v>
      </c>
      <c r="C5554">
        <v>-2.3999999999999998E-3</v>
      </c>
    </row>
    <row r="5555" spans="1:3" x14ac:dyDescent="0.35">
      <c r="A5555">
        <v>89</v>
      </c>
      <c r="B5555">
        <v>1994</v>
      </c>
      <c r="C5555">
        <v>-2.0999999999999999E-3</v>
      </c>
    </row>
    <row r="5556" spans="1:3" x14ac:dyDescent="0.35">
      <c r="A5556">
        <v>89</v>
      </c>
      <c r="B5556">
        <v>1995</v>
      </c>
      <c r="C5556">
        <v>-1.4E-3</v>
      </c>
    </row>
    <row r="5557" spans="1:3" x14ac:dyDescent="0.35">
      <c r="A5557">
        <v>89</v>
      </c>
      <c r="B5557">
        <v>1996</v>
      </c>
      <c r="C5557">
        <v>-5.0000000000000001E-4</v>
      </c>
    </row>
    <row r="5558" spans="1:3" x14ac:dyDescent="0.35">
      <c r="A5558">
        <v>89</v>
      </c>
      <c r="B5558">
        <v>1997</v>
      </c>
      <c r="C5558">
        <v>8.0000000000000004E-4</v>
      </c>
    </row>
    <row r="5559" spans="1:3" x14ac:dyDescent="0.35">
      <c r="A5559">
        <v>89</v>
      </c>
      <c r="B5559">
        <v>1998</v>
      </c>
      <c r="C5559">
        <v>2.3E-3</v>
      </c>
    </row>
    <row r="5560" spans="1:3" x14ac:dyDescent="0.35">
      <c r="A5560">
        <v>89</v>
      </c>
      <c r="B5560">
        <v>1999</v>
      </c>
      <c r="C5560">
        <v>4.1000000000000003E-3</v>
      </c>
    </row>
    <row r="5561" spans="1:3" x14ac:dyDescent="0.35">
      <c r="A5561">
        <v>89</v>
      </c>
      <c r="B5561">
        <v>2000</v>
      </c>
      <c r="C5561">
        <v>6.0000000000000001E-3</v>
      </c>
    </row>
    <row r="5562" spans="1:3" x14ac:dyDescent="0.35">
      <c r="A5562">
        <v>89</v>
      </c>
      <c r="B5562">
        <v>2001</v>
      </c>
      <c r="C5562">
        <v>8.0000000000000002E-3</v>
      </c>
    </row>
    <row r="5563" spans="1:3" x14ac:dyDescent="0.35">
      <c r="A5563">
        <v>89</v>
      </c>
      <c r="B5563">
        <v>2002</v>
      </c>
      <c r="C5563">
        <v>9.9000000000000008E-3</v>
      </c>
    </row>
    <row r="5564" spans="1:3" x14ac:dyDescent="0.35">
      <c r="A5564">
        <v>89</v>
      </c>
      <c r="B5564">
        <v>2003</v>
      </c>
      <c r="C5564">
        <v>1.1599999999999999E-2</v>
      </c>
    </row>
    <row r="5565" spans="1:3" x14ac:dyDescent="0.35">
      <c r="A5565">
        <v>89</v>
      </c>
      <c r="B5565">
        <v>2004</v>
      </c>
      <c r="C5565">
        <v>1.29E-2</v>
      </c>
    </row>
    <row r="5566" spans="1:3" x14ac:dyDescent="0.35">
      <c r="A5566">
        <v>89</v>
      </c>
      <c r="B5566">
        <v>2005</v>
      </c>
      <c r="C5566">
        <v>1.38E-2</v>
      </c>
    </row>
    <row r="5567" spans="1:3" x14ac:dyDescent="0.35">
      <c r="A5567">
        <v>89</v>
      </c>
      <c r="B5567">
        <v>2006</v>
      </c>
      <c r="C5567">
        <v>1.43E-2</v>
      </c>
    </row>
    <row r="5568" spans="1:3" x14ac:dyDescent="0.35">
      <c r="A5568">
        <v>89</v>
      </c>
      <c r="B5568">
        <v>2007</v>
      </c>
      <c r="C5568">
        <v>1.43E-2</v>
      </c>
    </row>
    <row r="5569" spans="1:3" x14ac:dyDescent="0.35">
      <c r="A5569">
        <v>89</v>
      </c>
      <c r="B5569">
        <v>2008</v>
      </c>
      <c r="C5569">
        <v>1.3899999999999999E-2</v>
      </c>
    </row>
    <row r="5570" spans="1:3" x14ac:dyDescent="0.35">
      <c r="A5570">
        <v>89</v>
      </c>
      <c r="B5570">
        <v>2009</v>
      </c>
      <c r="C5570">
        <v>1.32E-2</v>
      </c>
    </row>
    <row r="5571" spans="1:3" x14ac:dyDescent="0.35">
      <c r="A5571">
        <v>89</v>
      </c>
      <c r="B5571">
        <v>2010</v>
      </c>
      <c r="C5571">
        <v>1.2200000000000001E-2</v>
      </c>
    </row>
    <row r="5572" spans="1:3" x14ac:dyDescent="0.35">
      <c r="A5572">
        <v>89</v>
      </c>
      <c r="B5572">
        <v>2011</v>
      </c>
      <c r="C5572">
        <v>1.11E-2</v>
      </c>
    </row>
    <row r="5573" spans="1:3" x14ac:dyDescent="0.35">
      <c r="A5573">
        <v>89</v>
      </c>
      <c r="B5573">
        <v>2012</v>
      </c>
      <c r="C5573">
        <v>9.7999999999999997E-3</v>
      </c>
    </row>
    <row r="5574" spans="1:3" x14ac:dyDescent="0.35">
      <c r="A5574">
        <v>89</v>
      </c>
      <c r="B5574">
        <v>2013</v>
      </c>
      <c r="C5574">
        <v>9.7999999999999997E-3</v>
      </c>
    </row>
    <row r="5575" spans="1:3" x14ac:dyDescent="0.35">
      <c r="A5575">
        <v>89</v>
      </c>
      <c r="B5575">
        <v>2014</v>
      </c>
      <c r="C5575">
        <v>9.7999999999999997E-3</v>
      </c>
    </row>
    <row r="5576" spans="1:3" x14ac:dyDescent="0.35">
      <c r="A5576">
        <v>89</v>
      </c>
      <c r="B5576">
        <v>2015</v>
      </c>
      <c r="C5576">
        <v>9.7999999999999997E-3</v>
      </c>
    </row>
    <row r="5577" spans="1:3" x14ac:dyDescent="0.35">
      <c r="A5577">
        <v>89</v>
      </c>
      <c r="B5577">
        <v>2016</v>
      </c>
      <c r="C5577">
        <v>9.7999999999999997E-3</v>
      </c>
    </row>
    <row r="5578" spans="1:3" x14ac:dyDescent="0.35">
      <c r="A5578">
        <v>89</v>
      </c>
      <c r="B5578">
        <v>2017</v>
      </c>
      <c r="C5578">
        <v>9.7000000000000003E-3</v>
      </c>
    </row>
    <row r="5579" spans="1:3" x14ac:dyDescent="0.35">
      <c r="A5579">
        <v>89</v>
      </c>
      <c r="B5579">
        <v>2018</v>
      </c>
      <c r="C5579">
        <v>9.7000000000000003E-3</v>
      </c>
    </row>
    <row r="5580" spans="1:3" x14ac:dyDescent="0.35">
      <c r="A5580">
        <v>89</v>
      </c>
      <c r="B5580">
        <v>2019</v>
      </c>
      <c r="C5580">
        <v>9.7000000000000003E-3</v>
      </c>
    </row>
    <row r="5581" spans="1:3" x14ac:dyDescent="0.35">
      <c r="A5581">
        <v>89</v>
      </c>
      <c r="B5581">
        <v>2020</v>
      </c>
      <c r="C5581">
        <v>9.5999999999999992E-3</v>
      </c>
    </row>
    <row r="5582" spans="1:3" x14ac:dyDescent="0.35">
      <c r="A5582">
        <v>89</v>
      </c>
      <c r="B5582">
        <v>2021</v>
      </c>
      <c r="C5582">
        <v>9.5999999999999992E-3</v>
      </c>
    </row>
    <row r="5583" spans="1:3" x14ac:dyDescent="0.35">
      <c r="A5583">
        <v>89</v>
      </c>
      <c r="B5583">
        <v>2022</v>
      </c>
      <c r="C5583">
        <v>9.4999999999999998E-3</v>
      </c>
    </row>
    <row r="5584" spans="1:3" x14ac:dyDescent="0.35">
      <c r="A5584">
        <v>89</v>
      </c>
      <c r="B5584">
        <v>2023</v>
      </c>
      <c r="C5584">
        <v>9.4999999999999998E-3</v>
      </c>
    </row>
    <row r="5585" spans="1:3" x14ac:dyDescent="0.35">
      <c r="A5585">
        <v>89</v>
      </c>
      <c r="B5585">
        <v>2024</v>
      </c>
      <c r="C5585">
        <v>9.4999999999999998E-3</v>
      </c>
    </row>
    <row r="5586" spans="1:3" x14ac:dyDescent="0.35">
      <c r="A5586">
        <v>89</v>
      </c>
      <c r="B5586">
        <v>2025</v>
      </c>
      <c r="C5586">
        <v>9.4999999999999998E-3</v>
      </c>
    </row>
    <row r="5587" spans="1:3" x14ac:dyDescent="0.35">
      <c r="A5587">
        <v>89</v>
      </c>
      <c r="B5587">
        <v>2026</v>
      </c>
      <c r="C5587">
        <v>9.4999999999999998E-3</v>
      </c>
    </row>
    <row r="5588" spans="1:3" x14ac:dyDescent="0.35">
      <c r="A5588">
        <v>89</v>
      </c>
      <c r="B5588">
        <v>2027</v>
      </c>
      <c r="C5588">
        <v>9.4000000000000004E-3</v>
      </c>
    </row>
    <row r="5589" spans="1:3" x14ac:dyDescent="0.35">
      <c r="A5589">
        <v>89</v>
      </c>
      <c r="B5589">
        <v>2028</v>
      </c>
      <c r="C5589">
        <v>9.2999999999999992E-3</v>
      </c>
    </row>
    <row r="5590" spans="1:3" x14ac:dyDescent="0.35">
      <c r="A5590">
        <v>89</v>
      </c>
      <c r="B5590">
        <v>2029</v>
      </c>
      <c r="C5590">
        <v>9.2999999999999992E-3</v>
      </c>
    </row>
    <row r="5591" spans="1:3" x14ac:dyDescent="0.35">
      <c r="A5591">
        <v>89</v>
      </c>
      <c r="B5591">
        <v>2030</v>
      </c>
      <c r="C5591">
        <v>9.2999999999999992E-3</v>
      </c>
    </row>
    <row r="5592" spans="1:3" x14ac:dyDescent="0.35">
      <c r="A5592">
        <v>89</v>
      </c>
      <c r="B5592">
        <v>2031</v>
      </c>
      <c r="C5592">
        <v>9.2999999999999992E-3</v>
      </c>
    </row>
    <row r="5593" spans="1:3" x14ac:dyDescent="0.35">
      <c r="A5593">
        <v>90</v>
      </c>
      <c r="B5593">
        <v>1951</v>
      </c>
      <c r="C5593">
        <v>-4.7999999999999996E-3</v>
      </c>
    </row>
    <row r="5594" spans="1:3" x14ac:dyDescent="0.35">
      <c r="A5594">
        <v>90</v>
      </c>
      <c r="B5594">
        <v>1952</v>
      </c>
      <c r="C5594">
        <v>-5.3E-3</v>
      </c>
    </row>
    <row r="5595" spans="1:3" x14ac:dyDescent="0.35">
      <c r="A5595">
        <v>90</v>
      </c>
      <c r="B5595">
        <v>1953</v>
      </c>
      <c r="C5595">
        <v>-5.7999999999999996E-3</v>
      </c>
    </row>
    <row r="5596" spans="1:3" x14ac:dyDescent="0.35">
      <c r="A5596">
        <v>90</v>
      </c>
      <c r="B5596">
        <v>1954</v>
      </c>
      <c r="C5596">
        <v>-6.1999999999999998E-3</v>
      </c>
    </row>
    <row r="5597" spans="1:3" x14ac:dyDescent="0.35">
      <c r="A5597">
        <v>90</v>
      </c>
      <c r="B5597">
        <v>1955</v>
      </c>
      <c r="C5597">
        <v>-6.4999999999999997E-3</v>
      </c>
    </row>
    <row r="5598" spans="1:3" x14ac:dyDescent="0.35">
      <c r="A5598">
        <v>90</v>
      </c>
      <c r="B5598">
        <v>1956</v>
      </c>
      <c r="C5598">
        <v>-6.7000000000000002E-3</v>
      </c>
    </row>
    <row r="5599" spans="1:3" x14ac:dyDescent="0.35">
      <c r="A5599">
        <v>90</v>
      </c>
      <c r="B5599">
        <v>1957</v>
      </c>
      <c r="C5599">
        <v>-6.7000000000000002E-3</v>
      </c>
    </row>
    <row r="5600" spans="1:3" x14ac:dyDescent="0.35">
      <c r="A5600">
        <v>90</v>
      </c>
      <c r="B5600">
        <v>1958</v>
      </c>
      <c r="C5600">
        <v>-6.4000000000000003E-3</v>
      </c>
    </row>
    <row r="5601" spans="1:3" x14ac:dyDescent="0.35">
      <c r="A5601">
        <v>90</v>
      </c>
      <c r="B5601">
        <v>1959</v>
      </c>
      <c r="C5601">
        <v>-5.8999999999999999E-3</v>
      </c>
    </row>
    <row r="5602" spans="1:3" x14ac:dyDescent="0.35">
      <c r="A5602">
        <v>90</v>
      </c>
      <c r="B5602">
        <v>1960</v>
      </c>
      <c r="C5602">
        <v>-5.1000000000000004E-3</v>
      </c>
    </row>
    <row r="5603" spans="1:3" x14ac:dyDescent="0.35">
      <c r="A5603">
        <v>90</v>
      </c>
      <c r="B5603">
        <v>1961</v>
      </c>
      <c r="C5603">
        <v>-4.0000000000000001E-3</v>
      </c>
    </row>
    <row r="5604" spans="1:3" x14ac:dyDescent="0.35">
      <c r="A5604">
        <v>90</v>
      </c>
      <c r="B5604">
        <v>1962</v>
      </c>
      <c r="C5604">
        <v>-2.5999999999999999E-3</v>
      </c>
    </row>
    <row r="5605" spans="1:3" x14ac:dyDescent="0.35">
      <c r="A5605">
        <v>90</v>
      </c>
      <c r="B5605">
        <v>1963</v>
      </c>
      <c r="C5605">
        <v>-8.9999999999999998E-4</v>
      </c>
    </row>
    <row r="5606" spans="1:3" x14ac:dyDescent="0.35">
      <c r="A5606">
        <v>90</v>
      </c>
      <c r="B5606">
        <v>1964</v>
      </c>
      <c r="C5606">
        <v>8.9999999999999998E-4</v>
      </c>
    </row>
    <row r="5607" spans="1:3" x14ac:dyDescent="0.35">
      <c r="A5607">
        <v>90</v>
      </c>
      <c r="B5607">
        <v>1965</v>
      </c>
      <c r="C5607">
        <v>2.8E-3</v>
      </c>
    </row>
    <row r="5608" spans="1:3" x14ac:dyDescent="0.35">
      <c r="A5608">
        <v>90</v>
      </c>
      <c r="B5608">
        <v>1966</v>
      </c>
      <c r="C5608">
        <v>4.7000000000000002E-3</v>
      </c>
    </row>
    <row r="5609" spans="1:3" x14ac:dyDescent="0.35">
      <c r="A5609">
        <v>90</v>
      </c>
      <c r="B5609">
        <v>1967</v>
      </c>
      <c r="C5609">
        <v>6.6E-3</v>
      </c>
    </row>
    <row r="5610" spans="1:3" x14ac:dyDescent="0.35">
      <c r="A5610">
        <v>90</v>
      </c>
      <c r="B5610">
        <v>1968</v>
      </c>
      <c r="C5610">
        <v>8.3999999999999995E-3</v>
      </c>
    </row>
    <row r="5611" spans="1:3" x14ac:dyDescent="0.35">
      <c r="A5611">
        <v>90</v>
      </c>
      <c r="B5611">
        <v>1969</v>
      </c>
      <c r="C5611">
        <v>0.01</v>
      </c>
    </row>
    <row r="5612" spans="1:3" x14ac:dyDescent="0.35">
      <c r="A5612">
        <v>90</v>
      </c>
      <c r="B5612">
        <v>1970</v>
      </c>
      <c r="C5612">
        <v>1.1299999999999999E-2</v>
      </c>
    </row>
    <row r="5613" spans="1:3" x14ac:dyDescent="0.35">
      <c r="A5613">
        <v>90</v>
      </c>
      <c r="B5613">
        <v>1971</v>
      </c>
      <c r="C5613">
        <v>1.24E-2</v>
      </c>
    </row>
    <row r="5614" spans="1:3" x14ac:dyDescent="0.35">
      <c r="A5614">
        <v>90</v>
      </c>
      <c r="B5614">
        <v>1972</v>
      </c>
      <c r="C5614">
        <v>1.32E-2</v>
      </c>
    </row>
    <row r="5615" spans="1:3" x14ac:dyDescent="0.35">
      <c r="A5615">
        <v>90</v>
      </c>
      <c r="B5615">
        <v>1973</v>
      </c>
      <c r="C5615">
        <v>1.37E-2</v>
      </c>
    </row>
    <row r="5616" spans="1:3" x14ac:dyDescent="0.35">
      <c r="A5616">
        <v>90</v>
      </c>
      <c r="B5616">
        <v>1974</v>
      </c>
      <c r="C5616">
        <v>1.3899999999999999E-2</v>
      </c>
    </row>
    <row r="5617" spans="1:3" x14ac:dyDescent="0.35">
      <c r="A5617">
        <v>90</v>
      </c>
      <c r="B5617">
        <v>1975</v>
      </c>
      <c r="C5617">
        <v>1.37E-2</v>
      </c>
    </row>
    <row r="5618" spans="1:3" x14ac:dyDescent="0.35">
      <c r="A5618">
        <v>90</v>
      </c>
      <c r="B5618">
        <v>1976</v>
      </c>
      <c r="C5618">
        <v>1.32E-2</v>
      </c>
    </row>
    <row r="5619" spans="1:3" x14ac:dyDescent="0.35">
      <c r="A5619">
        <v>90</v>
      </c>
      <c r="B5619">
        <v>1977</v>
      </c>
      <c r="C5619">
        <v>1.23E-2</v>
      </c>
    </row>
    <row r="5620" spans="1:3" x14ac:dyDescent="0.35">
      <c r="A5620">
        <v>90</v>
      </c>
      <c r="B5620">
        <v>1978</v>
      </c>
      <c r="C5620">
        <v>1.12E-2</v>
      </c>
    </row>
    <row r="5621" spans="1:3" x14ac:dyDescent="0.35">
      <c r="A5621">
        <v>90</v>
      </c>
      <c r="B5621">
        <v>1979</v>
      </c>
      <c r="C5621">
        <v>9.9000000000000008E-3</v>
      </c>
    </row>
    <row r="5622" spans="1:3" x14ac:dyDescent="0.35">
      <c r="A5622">
        <v>90</v>
      </c>
      <c r="B5622">
        <v>1980</v>
      </c>
      <c r="C5622">
        <v>8.3999999999999995E-3</v>
      </c>
    </row>
    <row r="5623" spans="1:3" x14ac:dyDescent="0.35">
      <c r="A5623">
        <v>90</v>
      </c>
      <c r="B5623">
        <v>1981</v>
      </c>
      <c r="C5623">
        <v>6.7999999999999996E-3</v>
      </c>
    </row>
    <row r="5624" spans="1:3" x14ac:dyDescent="0.35">
      <c r="A5624">
        <v>90</v>
      </c>
      <c r="B5624">
        <v>1982</v>
      </c>
      <c r="C5624">
        <v>5.1000000000000004E-3</v>
      </c>
    </row>
    <row r="5625" spans="1:3" x14ac:dyDescent="0.35">
      <c r="A5625">
        <v>90</v>
      </c>
      <c r="B5625">
        <v>1983</v>
      </c>
      <c r="C5625">
        <v>3.5000000000000001E-3</v>
      </c>
    </row>
    <row r="5626" spans="1:3" x14ac:dyDescent="0.35">
      <c r="A5626">
        <v>90</v>
      </c>
      <c r="B5626">
        <v>1984</v>
      </c>
      <c r="C5626">
        <v>2E-3</v>
      </c>
    </row>
    <row r="5627" spans="1:3" x14ac:dyDescent="0.35">
      <c r="A5627">
        <v>90</v>
      </c>
      <c r="B5627">
        <v>1985</v>
      </c>
      <c r="C5627">
        <v>6.9999999999999999E-4</v>
      </c>
    </row>
    <row r="5628" spans="1:3" x14ac:dyDescent="0.35">
      <c r="A5628">
        <v>90</v>
      </c>
      <c r="B5628">
        <v>1986</v>
      </c>
      <c r="C5628">
        <v>-5.0000000000000001E-4</v>
      </c>
    </row>
    <row r="5629" spans="1:3" x14ac:dyDescent="0.35">
      <c r="A5629">
        <v>90</v>
      </c>
      <c r="B5629">
        <v>1987</v>
      </c>
      <c r="C5629">
        <v>-1.5E-3</v>
      </c>
    </row>
    <row r="5630" spans="1:3" x14ac:dyDescent="0.35">
      <c r="A5630">
        <v>90</v>
      </c>
      <c r="B5630">
        <v>1988</v>
      </c>
      <c r="C5630">
        <v>-2.3E-3</v>
      </c>
    </row>
    <row r="5631" spans="1:3" x14ac:dyDescent="0.35">
      <c r="A5631">
        <v>90</v>
      </c>
      <c r="B5631">
        <v>1989</v>
      </c>
      <c r="C5631">
        <v>-2.8999999999999998E-3</v>
      </c>
    </row>
    <row r="5632" spans="1:3" x14ac:dyDescent="0.35">
      <c r="A5632">
        <v>90</v>
      </c>
      <c r="B5632">
        <v>1990</v>
      </c>
      <c r="C5632">
        <v>-3.3999999999999998E-3</v>
      </c>
    </row>
    <row r="5633" spans="1:3" x14ac:dyDescent="0.35">
      <c r="A5633">
        <v>90</v>
      </c>
      <c r="B5633">
        <v>1991</v>
      </c>
      <c r="C5633">
        <v>-3.7000000000000002E-3</v>
      </c>
    </row>
    <row r="5634" spans="1:3" x14ac:dyDescent="0.35">
      <c r="A5634">
        <v>90</v>
      </c>
      <c r="B5634">
        <v>1992</v>
      </c>
      <c r="C5634">
        <v>-3.8E-3</v>
      </c>
    </row>
    <row r="5635" spans="1:3" x14ac:dyDescent="0.35">
      <c r="A5635">
        <v>90</v>
      </c>
      <c r="B5635">
        <v>1993</v>
      </c>
      <c r="C5635">
        <v>-3.7000000000000002E-3</v>
      </c>
    </row>
    <row r="5636" spans="1:3" x14ac:dyDescent="0.35">
      <c r="A5636">
        <v>90</v>
      </c>
      <c r="B5636">
        <v>1994</v>
      </c>
      <c r="C5636">
        <v>-3.3999999999999998E-3</v>
      </c>
    </row>
    <row r="5637" spans="1:3" x14ac:dyDescent="0.35">
      <c r="A5637">
        <v>90</v>
      </c>
      <c r="B5637">
        <v>1995</v>
      </c>
      <c r="C5637">
        <v>-2.8E-3</v>
      </c>
    </row>
    <row r="5638" spans="1:3" x14ac:dyDescent="0.35">
      <c r="A5638">
        <v>90</v>
      </c>
      <c r="B5638">
        <v>1996</v>
      </c>
      <c r="C5638">
        <v>-1.8E-3</v>
      </c>
    </row>
    <row r="5639" spans="1:3" x14ac:dyDescent="0.35">
      <c r="A5639">
        <v>90</v>
      </c>
      <c r="B5639">
        <v>1997</v>
      </c>
      <c r="C5639">
        <v>-5.9999999999999995E-4</v>
      </c>
    </row>
    <row r="5640" spans="1:3" x14ac:dyDescent="0.35">
      <c r="A5640">
        <v>90</v>
      </c>
      <c r="B5640">
        <v>1998</v>
      </c>
      <c r="C5640">
        <v>8.9999999999999998E-4</v>
      </c>
    </row>
    <row r="5641" spans="1:3" x14ac:dyDescent="0.35">
      <c r="A5641">
        <v>90</v>
      </c>
      <c r="B5641">
        <v>1999</v>
      </c>
      <c r="C5641">
        <v>2.5999999999999999E-3</v>
      </c>
    </row>
    <row r="5642" spans="1:3" x14ac:dyDescent="0.35">
      <c r="A5642">
        <v>90</v>
      </c>
      <c r="B5642">
        <v>2000</v>
      </c>
      <c r="C5642">
        <v>4.4999999999999997E-3</v>
      </c>
    </row>
    <row r="5643" spans="1:3" x14ac:dyDescent="0.35">
      <c r="A5643">
        <v>90</v>
      </c>
      <c r="B5643">
        <v>2001</v>
      </c>
      <c r="C5643">
        <v>6.4000000000000003E-3</v>
      </c>
    </row>
    <row r="5644" spans="1:3" x14ac:dyDescent="0.35">
      <c r="A5644">
        <v>90</v>
      </c>
      <c r="B5644">
        <v>2002</v>
      </c>
      <c r="C5644">
        <v>8.3000000000000001E-3</v>
      </c>
    </row>
    <row r="5645" spans="1:3" x14ac:dyDescent="0.35">
      <c r="A5645">
        <v>90</v>
      </c>
      <c r="B5645">
        <v>2003</v>
      </c>
      <c r="C5645">
        <v>0.01</v>
      </c>
    </row>
    <row r="5646" spans="1:3" x14ac:dyDescent="0.35">
      <c r="A5646">
        <v>90</v>
      </c>
      <c r="B5646">
        <v>2004</v>
      </c>
      <c r="C5646">
        <v>1.14E-2</v>
      </c>
    </row>
    <row r="5647" spans="1:3" x14ac:dyDescent="0.35">
      <c r="A5647">
        <v>90</v>
      </c>
      <c r="B5647">
        <v>2005</v>
      </c>
      <c r="C5647">
        <v>1.24E-2</v>
      </c>
    </row>
    <row r="5648" spans="1:3" x14ac:dyDescent="0.35">
      <c r="A5648">
        <v>90</v>
      </c>
      <c r="B5648">
        <v>2006</v>
      </c>
      <c r="C5648">
        <v>1.2999999999999999E-2</v>
      </c>
    </row>
    <row r="5649" spans="1:3" x14ac:dyDescent="0.35">
      <c r="A5649">
        <v>90</v>
      </c>
      <c r="B5649">
        <v>2007</v>
      </c>
      <c r="C5649">
        <v>1.32E-2</v>
      </c>
    </row>
    <row r="5650" spans="1:3" x14ac:dyDescent="0.35">
      <c r="A5650">
        <v>90</v>
      </c>
      <c r="B5650">
        <v>2008</v>
      </c>
      <c r="C5650">
        <v>1.2999999999999999E-2</v>
      </c>
    </row>
    <row r="5651" spans="1:3" x14ac:dyDescent="0.35">
      <c r="A5651">
        <v>90</v>
      </c>
      <c r="B5651">
        <v>2009</v>
      </c>
      <c r="C5651">
        <v>1.2500000000000001E-2</v>
      </c>
    </row>
    <row r="5652" spans="1:3" x14ac:dyDescent="0.35">
      <c r="A5652">
        <v>90</v>
      </c>
      <c r="B5652">
        <v>2010</v>
      </c>
      <c r="C5652">
        <v>1.18E-2</v>
      </c>
    </row>
    <row r="5653" spans="1:3" x14ac:dyDescent="0.35">
      <c r="A5653">
        <v>90</v>
      </c>
      <c r="B5653">
        <v>2011</v>
      </c>
      <c r="C5653">
        <v>1.09E-2</v>
      </c>
    </row>
    <row r="5654" spans="1:3" x14ac:dyDescent="0.35">
      <c r="A5654">
        <v>90</v>
      </c>
      <c r="B5654">
        <v>2012</v>
      </c>
      <c r="C5654">
        <v>9.9000000000000008E-3</v>
      </c>
    </row>
    <row r="5655" spans="1:3" x14ac:dyDescent="0.35">
      <c r="A5655">
        <v>90</v>
      </c>
      <c r="B5655">
        <v>2013</v>
      </c>
      <c r="C5655">
        <v>9.7999999999999997E-3</v>
      </c>
    </row>
    <row r="5656" spans="1:3" x14ac:dyDescent="0.35">
      <c r="A5656">
        <v>90</v>
      </c>
      <c r="B5656">
        <v>2014</v>
      </c>
      <c r="C5656">
        <v>9.7000000000000003E-3</v>
      </c>
    </row>
    <row r="5657" spans="1:3" x14ac:dyDescent="0.35">
      <c r="A5657">
        <v>90</v>
      </c>
      <c r="B5657">
        <v>2015</v>
      </c>
      <c r="C5657">
        <v>9.7000000000000003E-3</v>
      </c>
    </row>
    <row r="5658" spans="1:3" x14ac:dyDescent="0.35">
      <c r="A5658">
        <v>90</v>
      </c>
      <c r="B5658">
        <v>2016</v>
      </c>
      <c r="C5658">
        <v>9.5999999999999992E-3</v>
      </c>
    </row>
    <row r="5659" spans="1:3" x14ac:dyDescent="0.35">
      <c r="A5659">
        <v>90</v>
      </c>
      <c r="B5659">
        <v>2017</v>
      </c>
      <c r="C5659">
        <v>9.4999999999999998E-3</v>
      </c>
    </row>
    <row r="5660" spans="1:3" x14ac:dyDescent="0.35">
      <c r="A5660">
        <v>90</v>
      </c>
      <c r="B5660">
        <v>2018</v>
      </c>
      <c r="C5660">
        <v>9.4999999999999998E-3</v>
      </c>
    </row>
    <row r="5661" spans="1:3" x14ac:dyDescent="0.35">
      <c r="A5661">
        <v>90</v>
      </c>
      <c r="B5661">
        <v>2019</v>
      </c>
      <c r="C5661">
        <v>9.4000000000000004E-3</v>
      </c>
    </row>
    <row r="5662" spans="1:3" x14ac:dyDescent="0.35">
      <c r="A5662">
        <v>90</v>
      </c>
      <c r="B5662">
        <v>2020</v>
      </c>
      <c r="C5662">
        <v>9.4000000000000004E-3</v>
      </c>
    </row>
    <row r="5663" spans="1:3" x14ac:dyDescent="0.35">
      <c r="A5663">
        <v>90</v>
      </c>
      <c r="B5663">
        <v>2021</v>
      </c>
      <c r="C5663">
        <v>9.2999999999999992E-3</v>
      </c>
    </row>
    <row r="5664" spans="1:3" x14ac:dyDescent="0.35">
      <c r="A5664">
        <v>90</v>
      </c>
      <c r="B5664">
        <v>2022</v>
      </c>
      <c r="C5664">
        <v>9.2999999999999992E-3</v>
      </c>
    </row>
    <row r="5665" spans="1:3" x14ac:dyDescent="0.35">
      <c r="A5665">
        <v>90</v>
      </c>
      <c r="B5665">
        <v>2023</v>
      </c>
      <c r="C5665">
        <v>9.2999999999999992E-3</v>
      </c>
    </row>
    <row r="5666" spans="1:3" x14ac:dyDescent="0.35">
      <c r="A5666">
        <v>90</v>
      </c>
      <c r="B5666">
        <v>2024</v>
      </c>
      <c r="C5666">
        <v>9.1999999999999998E-3</v>
      </c>
    </row>
    <row r="5667" spans="1:3" x14ac:dyDescent="0.35">
      <c r="A5667">
        <v>90</v>
      </c>
      <c r="B5667">
        <v>2025</v>
      </c>
      <c r="C5667">
        <v>9.1999999999999998E-3</v>
      </c>
    </row>
    <row r="5668" spans="1:3" x14ac:dyDescent="0.35">
      <c r="A5668">
        <v>90</v>
      </c>
      <c r="B5668">
        <v>2026</v>
      </c>
      <c r="C5668">
        <v>9.1999999999999998E-3</v>
      </c>
    </row>
    <row r="5669" spans="1:3" x14ac:dyDescent="0.35">
      <c r="A5669">
        <v>90</v>
      </c>
      <c r="B5669">
        <v>2027</v>
      </c>
      <c r="C5669">
        <v>9.2999999999999992E-3</v>
      </c>
    </row>
    <row r="5670" spans="1:3" x14ac:dyDescent="0.35">
      <c r="A5670">
        <v>90</v>
      </c>
      <c r="B5670">
        <v>2028</v>
      </c>
      <c r="C5670">
        <v>9.1999999999999998E-3</v>
      </c>
    </row>
    <row r="5671" spans="1:3" x14ac:dyDescent="0.35">
      <c r="A5671">
        <v>90</v>
      </c>
      <c r="B5671">
        <v>2029</v>
      </c>
      <c r="C5671">
        <v>9.1999999999999998E-3</v>
      </c>
    </row>
    <row r="5672" spans="1:3" x14ac:dyDescent="0.35">
      <c r="A5672">
        <v>90</v>
      </c>
      <c r="B5672">
        <v>2030</v>
      </c>
      <c r="C5672">
        <v>9.1999999999999998E-3</v>
      </c>
    </row>
    <row r="5673" spans="1:3" x14ac:dyDescent="0.35">
      <c r="A5673">
        <v>90</v>
      </c>
      <c r="B5673">
        <v>2031</v>
      </c>
      <c r="C5673">
        <v>9.1999999999999998E-3</v>
      </c>
    </row>
    <row r="5674" spans="1:3" x14ac:dyDescent="0.35">
      <c r="A5674">
        <v>91</v>
      </c>
      <c r="B5674">
        <v>1951</v>
      </c>
      <c r="C5674">
        <v>-7.1999999999999998E-3</v>
      </c>
    </row>
    <row r="5675" spans="1:3" x14ac:dyDescent="0.35">
      <c r="A5675">
        <v>91</v>
      </c>
      <c r="B5675">
        <v>1952</v>
      </c>
      <c r="C5675">
        <v>-7.4000000000000003E-3</v>
      </c>
    </row>
    <row r="5676" spans="1:3" x14ac:dyDescent="0.35">
      <c r="A5676">
        <v>91</v>
      </c>
      <c r="B5676">
        <v>1953</v>
      </c>
      <c r="C5676">
        <v>-7.6E-3</v>
      </c>
    </row>
    <row r="5677" spans="1:3" x14ac:dyDescent="0.35">
      <c r="A5677">
        <v>91</v>
      </c>
      <c r="B5677">
        <v>1954</v>
      </c>
      <c r="C5677">
        <v>-7.7999999999999996E-3</v>
      </c>
    </row>
    <row r="5678" spans="1:3" x14ac:dyDescent="0.35">
      <c r="A5678">
        <v>91</v>
      </c>
      <c r="B5678">
        <v>1955</v>
      </c>
      <c r="C5678">
        <v>-7.7999999999999996E-3</v>
      </c>
    </row>
    <row r="5679" spans="1:3" x14ac:dyDescent="0.35">
      <c r="A5679">
        <v>91</v>
      </c>
      <c r="B5679">
        <v>1956</v>
      </c>
      <c r="C5679">
        <v>-7.7999999999999996E-3</v>
      </c>
    </row>
    <row r="5680" spans="1:3" x14ac:dyDescent="0.35">
      <c r="A5680">
        <v>91</v>
      </c>
      <c r="B5680">
        <v>1957</v>
      </c>
      <c r="C5680">
        <v>-7.4999999999999997E-3</v>
      </c>
    </row>
    <row r="5681" spans="1:3" x14ac:dyDescent="0.35">
      <c r="A5681">
        <v>91</v>
      </c>
      <c r="B5681">
        <v>1958</v>
      </c>
      <c r="C5681">
        <v>-7.0000000000000001E-3</v>
      </c>
    </row>
    <row r="5682" spans="1:3" x14ac:dyDescent="0.35">
      <c r="A5682">
        <v>91</v>
      </c>
      <c r="B5682">
        <v>1959</v>
      </c>
      <c r="C5682">
        <v>-6.3E-3</v>
      </c>
    </row>
    <row r="5683" spans="1:3" x14ac:dyDescent="0.35">
      <c r="A5683">
        <v>91</v>
      </c>
      <c r="B5683">
        <v>1960</v>
      </c>
      <c r="C5683">
        <v>-5.3E-3</v>
      </c>
    </row>
    <row r="5684" spans="1:3" x14ac:dyDescent="0.35">
      <c r="A5684">
        <v>91</v>
      </c>
      <c r="B5684">
        <v>1961</v>
      </c>
      <c r="C5684">
        <v>-4.1000000000000003E-3</v>
      </c>
    </row>
    <row r="5685" spans="1:3" x14ac:dyDescent="0.35">
      <c r="A5685">
        <v>91</v>
      </c>
      <c r="B5685">
        <v>1962</v>
      </c>
      <c r="C5685">
        <v>-2.5999999999999999E-3</v>
      </c>
    </row>
    <row r="5686" spans="1:3" x14ac:dyDescent="0.35">
      <c r="A5686">
        <v>91</v>
      </c>
      <c r="B5686">
        <v>1963</v>
      </c>
      <c r="C5686">
        <v>-8.9999999999999998E-4</v>
      </c>
    </row>
    <row r="5687" spans="1:3" x14ac:dyDescent="0.35">
      <c r="A5687">
        <v>91</v>
      </c>
      <c r="B5687">
        <v>1964</v>
      </c>
      <c r="C5687">
        <v>1E-3</v>
      </c>
    </row>
    <row r="5688" spans="1:3" x14ac:dyDescent="0.35">
      <c r="A5688">
        <v>91</v>
      </c>
      <c r="B5688">
        <v>1965</v>
      </c>
      <c r="C5688">
        <v>2.8999999999999998E-3</v>
      </c>
    </row>
    <row r="5689" spans="1:3" x14ac:dyDescent="0.35">
      <c r="A5689">
        <v>91</v>
      </c>
      <c r="B5689">
        <v>1966</v>
      </c>
      <c r="C5689">
        <v>4.8999999999999998E-3</v>
      </c>
    </row>
    <row r="5690" spans="1:3" x14ac:dyDescent="0.35">
      <c r="A5690">
        <v>91</v>
      </c>
      <c r="B5690">
        <v>1967</v>
      </c>
      <c r="C5690">
        <v>6.7999999999999996E-3</v>
      </c>
    </row>
    <row r="5691" spans="1:3" x14ac:dyDescent="0.35">
      <c r="A5691">
        <v>91</v>
      </c>
      <c r="B5691">
        <v>1968</v>
      </c>
      <c r="C5691">
        <v>8.5000000000000006E-3</v>
      </c>
    </row>
    <row r="5692" spans="1:3" x14ac:dyDescent="0.35">
      <c r="A5692">
        <v>91</v>
      </c>
      <c r="B5692">
        <v>1969</v>
      </c>
      <c r="C5692">
        <v>1.01E-2</v>
      </c>
    </row>
    <row r="5693" spans="1:3" x14ac:dyDescent="0.35">
      <c r="A5693">
        <v>91</v>
      </c>
      <c r="B5693">
        <v>1970</v>
      </c>
      <c r="C5693">
        <v>1.14E-2</v>
      </c>
    </row>
    <row r="5694" spans="1:3" x14ac:dyDescent="0.35">
      <c r="A5694">
        <v>91</v>
      </c>
      <c r="B5694">
        <v>1971</v>
      </c>
      <c r="C5694">
        <v>1.2500000000000001E-2</v>
      </c>
    </row>
    <row r="5695" spans="1:3" x14ac:dyDescent="0.35">
      <c r="A5695">
        <v>91</v>
      </c>
      <c r="B5695">
        <v>1972</v>
      </c>
      <c r="C5695">
        <v>1.32E-2</v>
      </c>
    </row>
    <row r="5696" spans="1:3" x14ac:dyDescent="0.35">
      <c r="A5696">
        <v>91</v>
      </c>
      <c r="B5696">
        <v>1973</v>
      </c>
      <c r="C5696">
        <v>1.37E-2</v>
      </c>
    </row>
    <row r="5697" spans="1:3" x14ac:dyDescent="0.35">
      <c r="A5697">
        <v>91</v>
      </c>
      <c r="B5697">
        <v>1974</v>
      </c>
      <c r="C5697">
        <v>1.38E-2</v>
      </c>
    </row>
    <row r="5698" spans="1:3" x14ac:dyDescent="0.35">
      <c r="A5698">
        <v>91</v>
      </c>
      <c r="B5698">
        <v>1975</v>
      </c>
      <c r="C5698">
        <v>1.3599999999999999E-2</v>
      </c>
    </row>
    <row r="5699" spans="1:3" x14ac:dyDescent="0.35">
      <c r="A5699">
        <v>91</v>
      </c>
      <c r="B5699">
        <v>1976</v>
      </c>
      <c r="C5699">
        <v>1.2999999999999999E-2</v>
      </c>
    </row>
    <row r="5700" spans="1:3" x14ac:dyDescent="0.35">
      <c r="A5700">
        <v>91</v>
      </c>
      <c r="B5700">
        <v>1977</v>
      </c>
      <c r="C5700">
        <v>1.2200000000000001E-2</v>
      </c>
    </row>
    <row r="5701" spans="1:3" x14ac:dyDescent="0.35">
      <c r="A5701">
        <v>91</v>
      </c>
      <c r="B5701">
        <v>1978</v>
      </c>
      <c r="C5701">
        <v>1.11E-2</v>
      </c>
    </row>
    <row r="5702" spans="1:3" x14ac:dyDescent="0.35">
      <c r="A5702">
        <v>91</v>
      </c>
      <c r="B5702">
        <v>1979</v>
      </c>
      <c r="C5702">
        <v>9.7999999999999997E-3</v>
      </c>
    </row>
    <row r="5703" spans="1:3" x14ac:dyDescent="0.35">
      <c r="A5703">
        <v>91</v>
      </c>
      <c r="B5703">
        <v>1980</v>
      </c>
      <c r="C5703">
        <v>8.3999999999999995E-3</v>
      </c>
    </row>
    <row r="5704" spans="1:3" x14ac:dyDescent="0.35">
      <c r="A5704">
        <v>91</v>
      </c>
      <c r="B5704">
        <v>1981</v>
      </c>
      <c r="C5704">
        <v>6.7999999999999996E-3</v>
      </c>
    </row>
    <row r="5705" spans="1:3" x14ac:dyDescent="0.35">
      <c r="A5705">
        <v>91</v>
      </c>
      <c r="B5705">
        <v>1982</v>
      </c>
      <c r="C5705">
        <v>5.1000000000000004E-3</v>
      </c>
    </row>
    <row r="5706" spans="1:3" x14ac:dyDescent="0.35">
      <c r="A5706">
        <v>91</v>
      </c>
      <c r="B5706">
        <v>1983</v>
      </c>
      <c r="C5706">
        <v>3.3999999999999998E-3</v>
      </c>
    </row>
    <row r="5707" spans="1:3" x14ac:dyDescent="0.35">
      <c r="A5707">
        <v>91</v>
      </c>
      <c r="B5707">
        <v>1984</v>
      </c>
      <c r="C5707">
        <v>1.8E-3</v>
      </c>
    </row>
    <row r="5708" spans="1:3" x14ac:dyDescent="0.35">
      <c r="A5708">
        <v>91</v>
      </c>
      <c r="B5708">
        <v>1985</v>
      </c>
      <c r="C5708">
        <v>4.0000000000000002E-4</v>
      </c>
    </row>
    <row r="5709" spans="1:3" x14ac:dyDescent="0.35">
      <c r="A5709">
        <v>91</v>
      </c>
      <c r="B5709">
        <v>1986</v>
      </c>
      <c r="C5709">
        <v>-8.9999999999999998E-4</v>
      </c>
    </row>
    <row r="5710" spans="1:3" x14ac:dyDescent="0.35">
      <c r="A5710">
        <v>91</v>
      </c>
      <c r="B5710">
        <v>1987</v>
      </c>
      <c r="C5710">
        <v>-2.0999999999999999E-3</v>
      </c>
    </row>
    <row r="5711" spans="1:3" x14ac:dyDescent="0.35">
      <c r="A5711">
        <v>91</v>
      </c>
      <c r="B5711">
        <v>1988</v>
      </c>
      <c r="C5711">
        <v>-3.0000000000000001E-3</v>
      </c>
    </row>
    <row r="5712" spans="1:3" x14ac:dyDescent="0.35">
      <c r="A5712">
        <v>91</v>
      </c>
      <c r="B5712">
        <v>1989</v>
      </c>
      <c r="C5712">
        <v>-3.8E-3</v>
      </c>
    </row>
    <row r="5713" spans="1:3" x14ac:dyDescent="0.35">
      <c r="A5713">
        <v>91</v>
      </c>
      <c r="B5713">
        <v>1990</v>
      </c>
      <c r="C5713">
        <v>-4.4000000000000003E-3</v>
      </c>
    </row>
    <row r="5714" spans="1:3" x14ac:dyDescent="0.35">
      <c r="A5714">
        <v>91</v>
      </c>
      <c r="B5714">
        <v>1991</v>
      </c>
      <c r="C5714">
        <v>-4.7999999999999996E-3</v>
      </c>
    </row>
    <row r="5715" spans="1:3" x14ac:dyDescent="0.35">
      <c r="A5715">
        <v>91</v>
      </c>
      <c r="B5715">
        <v>1992</v>
      </c>
      <c r="C5715">
        <v>-5.0000000000000001E-3</v>
      </c>
    </row>
    <row r="5716" spans="1:3" x14ac:dyDescent="0.35">
      <c r="A5716">
        <v>91</v>
      </c>
      <c r="B5716">
        <v>1993</v>
      </c>
      <c r="C5716">
        <v>-5.0000000000000001E-3</v>
      </c>
    </row>
    <row r="5717" spans="1:3" x14ac:dyDescent="0.35">
      <c r="A5717">
        <v>91</v>
      </c>
      <c r="B5717">
        <v>1994</v>
      </c>
      <c r="C5717">
        <v>-4.7000000000000002E-3</v>
      </c>
    </row>
    <row r="5718" spans="1:3" x14ac:dyDescent="0.35">
      <c r="A5718">
        <v>91</v>
      </c>
      <c r="B5718">
        <v>1995</v>
      </c>
      <c r="C5718">
        <v>-4.1000000000000003E-3</v>
      </c>
    </row>
    <row r="5719" spans="1:3" x14ac:dyDescent="0.35">
      <c r="A5719">
        <v>91</v>
      </c>
      <c r="B5719">
        <v>1996</v>
      </c>
      <c r="C5719">
        <v>-3.2000000000000002E-3</v>
      </c>
    </row>
    <row r="5720" spans="1:3" x14ac:dyDescent="0.35">
      <c r="A5720">
        <v>91</v>
      </c>
      <c r="B5720">
        <v>1997</v>
      </c>
      <c r="C5720">
        <v>-2E-3</v>
      </c>
    </row>
    <row r="5721" spans="1:3" x14ac:dyDescent="0.35">
      <c r="A5721">
        <v>91</v>
      </c>
      <c r="B5721">
        <v>1998</v>
      </c>
      <c r="C5721">
        <v>-5.0000000000000001E-4</v>
      </c>
    </row>
    <row r="5722" spans="1:3" x14ac:dyDescent="0.35">
      <c r="A5722">
        <v>91</v>
      </c>
      <c r="B5722">
        <v>1999</v>
      </c>
      <c r="C5722">
        <v>1.1000000000000001E-3</v>
      </c>
    </row>
    <row r="5723" spans="1:3" x14ac:dyDescent="0.35">
      <c r="A5723">
        <v>91</v>
      </c>
      <c r="B5723">
        <v>2000</v>
      </c>
      <c r="C5723">
        <v>2.8999999999999998E-3</v>
      </c>
    </row>
    <row r="5724" spans="1:3" x14ac:dyDescent="0.35">
      <c r="A5724">
        <v>91</v>
      </c>
      <c r="B5724">
        <v>2001</v>
      </c>
      <c r="C5724">
        <v>4.7999999999999996E-3</v>
      </c>
    </row>
    <row r="5725" spans="1:3" x14ac:dyDescent="0.35">
      <c r="A5725">
        <v>91</v>
      </c>
      <c r="B5725">
        <v>2002</v>
      </c>
      <c r="C5725">
        <v>6.6E-3</v>
      </c>
    </row>
    <row r="5726" spans="1:3" x14ac:dyDescent="0.35">
      <c r="A5726">
        <v>91</v>
      </c>
      <c r="B5726">
        <v>2003</v>
      </c>
      <c r="C5726">
        <v>8.3000000000000001E-3</v>
      </c>
    </row>
    <row r="5727" spans="1:3" x14ac:dyDescent="0.35">
      <c r="A5727">
        <v>91</v>
      </c>
      <c r="B5727">
        <v>2004</v>
      </c>
      <c r="C5727">
        <v>9.7000000000000003E-3</v>
      </c>
    </row>
    <row r="5728" spans="1:3" x14ac:dyDescent="0.35">
      <c r="A5728">
        <v>91</v>
      </c>
      <c r="B5728">
        <v>2005</v>
      </c>
      <c r="C5728">
        <v>1.0800000000000001E-2</v>
      </c>
    </row>
    <row r="5729" spans="1:3" x14ac:dyDescent="0.35">
      <c r="A5729">
        <v>91</v>
      </c>
      <c r="B5729">
        <v>2006</v>
      </c>
      <c r="C5729">
        <v>1.1599999999999999E-2</v>
      </c>
    </row>
    <row r="5730" spans="1:3" x14ac:dyDescent="0.35">
      <c r="A5730">
        <v>91</v>
      </c>
      <c r="B5730">
        <v>2007</v>
      </c>
      <c r="C5730">
        <v>1.2E-2</v>
      </c>
    </row>
    <row r="5731" spans="1:3" x14ac:dyDescent="0.35">
      <c r="A5731">
        <v>91</v>
      </c>
      <c r="B5731">
        <v>2008</v>
      </c>
      <c r="C5731">
        <v>1.2E-2</v>
      </c>
    </row>
    <row r="5732" spans="1:3" x14ac:dyDescent="0.35">
      <c r="A5732">
        <v>91</v>
      </c>
      <c r="B5732">
        <v>2009</v>
      </c>
      <c r="C5732">
        <v>1.18E-2</v>
      </c>
    </row>
    <row r="5733" spans="1:3" x14ac:dyDescent="0.35">
      <c r="A5733">
        <v>91</v>
      </c>
      <c r="B5733">
        <v>2010</v>
      </c>
      <c r="C5733">
        <v>1.1299999999999999E-2</v>
      </c>
    </row>
    <row r="5734" spans="1:3" x14ac:dyDescent="0.35">
      <c r="A5734">
        <v>91</v>
      </c>
      <c r="B5734">
        <v>2011</v>
      </c>
      <c r="C5734">
        <v>1.0699999999999999E-2</v>
      </c>
    </row>
    <row r="5735" spans="1:3" x14ac:dyDescent="0.35">
      <c r="A5735">
        <v>91</v>
      </c>
      <c r="B5735">
        <v>2012</v>
      </c>
      <c r="C5735">
        <v>1.01E-2</v>
      </c>
    </row>
    <row r="5736" spans="1:3" x14ac:dyDescent="0.35">
      <c r="A5736">
        <v>91</v>
      </c>
      <c r="B5736">
        <v>2013</v>
      </c>
      <c r="C5736">
        <v>9.9000000000000008E-3</v>
      </c>
    </row>
    <row r="5737" spans="1:3" x14ac:dyDescent="0.35">
      <c r="A5737">
        <v>91</v>
      </c>
      <c r="B5737">
        <v>2014</v>
      </c>
      <c r="C5737">
        <v>9.7999999999999997E-3</v>
      </c>
    </row>
    <row r="5738" spans="1:3" x14ac:dyDescent="0.35">
      <c r="A5738">
        <v>91</v>
      </c>
      <c r="B5738">
        <v>2015</v>
      </c>
      <c r="C5738">
        <v>9.5999999999999992E-3</v>
      </c>
    </row>
    <row r="5739" spans="1:3" x14ac:dyDescent="0.35">
      <c r="A5739">
        <v>91</v>
      </c>
      <c r="B5739">
        <v>2016</v>
      </c>
      <c r="C5739">
        <v>9.4999999999999998E-3</v>
      </c>
    </row>
    <row r="5740" spans="1:3" x14ac:dyDescent="0.35">
      <c r="A5740">
        <v>91</v>
      </c>
      <c r="B5740">
        <v>2017</v>
      </c>
      <c r="C5740">
        <v>9.4000000000000004E-3</v>
      </c>
    </row>
    <row r="5741" spans="1:3" x14ac:dyDescent="0.35">
      <c r="A5741">
        <v>91</v>
      </c>
      <c r="B5741">
        <v>2018</v>
      </c>
      <c r="C5741">
        <v>9.2999999999999992E-3</v>
      </c>
    </row>
    <row r="5742" spans="1:3" x14ac:dyDescent="0.35">
      <c r="A5742">
        <v>91</v>
      </c>
      <c r="B5742">
        <v>2019</v>
      </c>
      <c r="C5742">
        <v>9.1999999999999998E-3</v>
      </c>
    </row>
    <row r="5743" spans="1:3" x14ac:dyDescent="0.35">
      <c r="A5743">
        <v>91</v>
      </c>
      <c r="B5743">
        <v>2020</v>
      </c>
      <c r="C5743">
        <v>9.1000000000000004E-3</v>
      </c>
    </row>
    <row r="5744" spans="1:3" x14ac:dyDescent="0.35">
      <c r="A5744">
        <v>91</v>
      </c>
      <c r="B5744">
        <v>2021</v>
      </c>
      <c r="C5744">
        <v>9.1000000000000004E-3</v>
      </c>
    </row>
    <row r="5745" spans="1:3" x14ac:dyDescent="0.35">
      <c r="A5745">
        <v>91</v>
      </c>
      <c r="B5745">
        <v>2022</v>
      </c>
      <c r="C5745">
        <v>8.9999999999999993E-3</v>
      </c>
    </row>
    <row r="5746" spans="1:3" x14ac:dyDescent="0.35">
      <c r="A5746">
        <v>91</v>
      </c>
      <c r="B5746">
        <v>2023</v>
      </c>
      <c r="C5746">
        <v>8.9999999999999993E-3</v>
      </c>
    </row>
    <row r="5747" spans="1:3" x14ac:dyDescent="0.35">
      <c r="A5747">
        <v>91</v>
      </c>
      <c r="B5747">
        <v>2024</v>
      </c>
      <c r="C5747">
        <v>8.9999999999999993E-3</v>
      </c>
    </row>
    <row r="5748" spans="1:3" x14ac:dyDescent="0.35">
      <c r="A5748">
        <v>91</v>
      </c>
      <c r="B5748">
        <v>2025</v>
      </c>
      <c r="C5748">
        <v>8.9999999999999993E-3</v>
      </c>
    </row>
    <row r="5749" spans="1:3" x14ac:dyDescent="0.35">
      <c r="A5749">
        <v>91</v>
      </c>
      <c r="B5749">
        <v>2026</v>
      </c>
      <c r="C5749">
        <v>8.9999999999999993E-3</v>
      </c>
    </row>
    <row r="5750" spans="1:3" x14ac:dyDescent="0.35">
      <c r="A5750">
        <v>91</v>
      </c>
      <c r="B5750">
        <v>2027</v>
      </c>
      <c r="C5750">
        <v>8.9999999999999993E-3</v>
      </c>
    </row>
    <row r="5751" spans="1:3" x14ac:dyDescent="0.35">
      <c r="A5751">
        <v>91</v>
      </c>
      <c r="B5751">
        <v>2028</v>
      </c>
      <c r="C5751">
        <v>9.1000000000000004E-3</v>
      </c>
    </row>
    <row r="5752" spans="1:3" x14ac:dyDescent="0.35">
      <c r="A5752">
        <v>91</v>
      </c>
      <c r="B5752">
        <v>2029</v>
      </c>
      <c r="C5752">
        <v>8.9999999999999993E-3</v>
      </c>
    </row>
    <row r="5753" spans="1:3" x14ac:dyDescent="0.35">
      <c r="A5753">
        <v>91</v>
      </c>
      <c r="B5753">
        <v>2030</v>
      </c>
      <c r="C5753">
        <v>8.9999999999999993E-3</v>
      </c>
    </row>
    <row r="5754" spans="1:3" x14ac:dyDescent="0.35">
      <c r="A5754">
        <v>91</v>
      </c>
      <c r="B5754">
        <v>2031</v>
      </c>
      <c r="C5754">
        <v>8.9999999999999993E-3</v>
      </c>
    </row>
    <row r="5755" spans="1:3" x14ac:dyDescent="0.35">
      <c r="A5755">
        <v>92</v>
      </c>
      <c r="B5755">
        <v>1951</v>
      </c>
      <c r="C5755">
        <v>-9.7999999999999997E-3</v>
      </c>
    </row>
    <row r="5756" spans="1:3" x14ac:dyDescent="0.35">
      <c r="A5756">
        <v>92</v>
      </c>
      <c r="B5756">
        <v>1952</v>
      </c>
      <c r="C5756">
        <v>-9.7000000000000003E-3</v>
      </c>
    </row>
    <row r="5757" spans="1:3" x14ac:dyDescent="0.35">
      <c r="A5757">
        <v>92</v>
      </c>
      <c r="B5757">
        <v>1953</v>
      </c>
      <c r="C5757">
        <v>-9.5999999999999992E-3</v>
      </c>
    </row>
    <row r="5758" spans="1:3" x14ac:dyDescent="0.35">
      <c r="A5758">
        <v>92</v>
      </c>
      <c r="B5758">
        <v>1954</v>
      </c>
      <c r="C5758">
        <v>-9.4000000000000004E-3</v>
      </c>
    </row>
    <row r="5759" spans="1:3" x14ac:dyDescent="0.35">
      <c r="A5759">
        <v>92</v>
      </c>
      <c r="B5759">
        <v>1955</v>
      </c>
      <c r="C5759">
        <v>-9.1999999999999998E-3</v>
      </c>
    </row>
    <row r="5760" spans="1:3" x14ac:dyDescent="0.35">
      <c r="A5760">
        <v>92</v>
      </c>
      <c r="B5760">
        <v>1956</v>
      </c>
      <c r="C5760">
        <v>-8.8000000000000005E-3</v>
      </c>
    </row>
    <row r="5761" spans="1:3" x14ac:dyDescent="0.35">
      <c r="A5761">
        <v>92</v>
      </c>
      <c r="B5761">
        <v>1957</v>
      </c>
      <c r="C5761">
        <v>-8.3000000000000001E-3</v>
      </c>
    </row>
    <row r="5762" spans="1:3" x14ac:dyDescent="0.35">
      <c r="A5762">
        <v>92</v>
      </c>
      <c r="B5762">
        <v>1958</v>
      </c>
      <c r="C5762">
        <v>-7.6E-3</v>
      </c>
    </row>
    <row r="5763" spans="1:3" x14ac:dyDescent="0.35">
      <c r="A5763">
        <v>92</v>
      </c>
      <c r="B5763">
        <v>1959</v>
      </c>
      <c r="C5763">
        <v>-6.7000000000000002E-3</v>
      </c>
    </row>
    <row r="5764" spans="1:3" x14ac:dyDescent="0.35">
      <c r="A5764">
        <v>92</v>
      </c>
      <c r="B5764">
        <v>1960</v>
      </c>
      <c r="C5764">
        <v>-5.4999999999999997E-3</v>
      </c>
    </row>
    <row r="5765" spans="1:3" x14ac:dyDescent="0.35">
      <c r="A5765">
        <v>92</v>
      </c>
      <c r="B5765">
        <v>1961</v>
      </c>
      <c r="C5765">
        <v>-4.1000000000000003E-3</v>
      </c>
    </row>
    <row r="5766" spans="1:3" x14ac:dyDescent="0.35">
      <c r="A5766">
        <v>92</v>
      </c>
      <c r="B5766">
        <v>1962</v>
      </c>
      <c r="C5766">
        <v>-2.5000000000000001E-3</v>
      </c>
    </row>
    <row r="5767" spans="1:3" x14ac:dyDescent="0.35">
      <c r="A5767">
        <v>92</v>
      </c>
      <c r="B5767">
        <v>1963</v>
      </c>
      <c r="C5767">
        <v>-6.9999999999999999E-4</v>
      </c>
    </row>
    <row r="5768" spans="1:3" x14ac:dyDescent="0.35">
      <c r="A5768">
        <v>92</v>
      </c>
      <c r="B5768">
        <v>1964</v>
      </c>
      <c r="C5768">
        <v>1.1999999999999999E-3</v>
      </c>
    </row>
    <row r="5769" spans="1:3" x14ac:dyDescent="0.35">
      <c r="A5769">
        <v>92</v>
      </c>
      <c r="B5769">
        <v>1965</v>
      </c>
      <c r="C5769">
        <v>3.0999999999999999E-3</v>
      </c>
    </row>
    <row r="5770" spans="1:3" x14ac:dyDescent="0.35">
      <c r="A5770">
        <v>92</v>
      </c>
      <c r="B5770">
        <v>1966</v>
      </c>
      <c r="C5770">
        <v>5.0000000000000001E-3</v>
      </c>
    </row>
    <row r="5771" spans="1:3" x14ac:dyDescent="0.35">
      <c r="A5771">
        <v>92</v>
      </c>
      <c r="B5771">
        <v>1967</v>
      </c>
      <c r="C5771">
        <v>6.8999999999999999E-3</v>
      </c>
    </row>
    <row r="5772" spans="1:3" x14ac:dyDescent="0.35">
      <c r="A5772">
        <v>92</v>
      </c>
      <c r="B5772">
        <v>1968</v>
      </c>
      <c r="C5772">
        <v>8.6E-3</v>
      </c>
    </row>
    <row r="5773" spans="1:3" x14ac:dyDescent="0.35">
      <c r="A5773">
        <v>92</v>
      </c>
      <c r="B5773">
        <v>1969</v>
      </c>
      <c r="C5773">
        <v>1.01E-2</v>
      </c>
    </row>
    <row r="5774" spans="1:3" x14ac:dyDescent="0.35">
      <c r="A5774">
        <v>92</v>
      </c>
      <c r="B5774">
        <v>1970</v>
      </c>
      <c r="C5774">
        <v>1.14E-2</v>
      </c>
    </row>
    <row r="5775" spans="1:3" x14ac:dyDescent="0.35">
      <c r="A5775">
        <v>92</v>
      </c>
      <c r="B5775">
        <v>1971</v>
      </c>
      <c r="C5775">
        <v>1.24E-2</v>
      </c>
    </row>
    <row r="5776" spans="1:3" x14ac:dyDescent="0.35">
      <c r="A5776">
        <v>92</v>
      </c>
      <c r="B5776">
        <v>1972</v>
      </c>
      <c r="C5776">
        <v>1.3100000000000001E-2</v>
      </c>
    </row>
    <row r="5777" spans="1:3" x14ac:dyDescent="0.35">
      <c r="A5777">
        <v>92</v>
      </c>
      <c r="B5777">
        <v>1973</v>
      </c>
      <c r="C5777">
        <v>1.35E-2</v>
      </c>
    </row>
    <row r="5778" spans="1:3" x14ac:dyDescent="0.35">
      <c r="A5778">
        <v>92</v>
      </c>
      <c r="B5778">
        <v>1974</v>
      </c>
      <c r="C5778">
        <v>1.3599999999999999E-2</v>
      </c>
    </row>
    <row r="5779" spans="1:3" x14ac:dyDescent="0.35">
      <c r="A5779">
        <v>92</v>
      </c>
      <c r="B5779">
        <v>1975</v>
      </c>
      <c r="C5779">
        <v>1.34E-2</v>
      </c>
    </row>
    <row r="5780" spans="1:3" x14ac:dyDescent="0.35">
      <c r="A5780">
        <v>92</v>
      </c>
      <c r="B5780">
        <v>1976</v>
      </c>
      <c r="C5780">
        <v>1.29E-2</v>
      </c>
    </row>
    <row r="5781" spans="1:3" x14ac:dyDescent="0.35">
      <c r="A5781">
        <v>92</v>
      </c>
      <c r="B5781">
        <v>1977</v>
      </c>
      <c r="C5781">
        <v>1.21E-2</v>
      </c>
    </row>
    <row r="5782" spans="1:3" x14ac:dyDescent="0.35">
      <c r="A5782">
        <v>92</v>
      </c>
      <c r="B5782">
        <v>1978</v>
      </c>
      <c r="C5782">
        <v>1.0999999999999999E-2</v>
      </c>
    </row>
    <row r="5783" spans="1:3" x14ac:dyDescent="0.35">
      <c r="A5783">
        <v>92</v>
      </c>
      <c r="B5783">
        <v>1979</v>
      </c>
      <c r="C5783">
        <v>9.7999999999999997E-3</v>
      </c>
    </row>
    <row r="5784" spans="1:3" x14ac:dyDescent="0.35">
      <c r="A5784">
        <v>92</v>
      </c>
      <c r="B5784">
        <v>1980</v>
      </c>
      <c r="C5784">
        <v>8.3000000000000001E-3</v>
      </c>
    </row>
    <row r="5785" spans="1:3" x14ac:dyDescent="0.35">
      <c r="A5785">
        <v>92</v>
      </c>
      <c r="B5785">
        <v>1981</v>
      </c>
      <c r="C5785">
        <v>6.7000000000000002E-3</v>
      </c>
    </row>
    <row r="5786" spans="1:3" x14ac:dyDescent="0.35">
      <c r="A5786">
        <v>92</v>
      </c>
      <c r="B5786">
        <v>1982</v>
      </c>
      <c r="C5786">
        <v>5.0000000000000001E-3</v>
      </c>
    </row>
    <row r="5787" spans="1:3" x14ac:dyDescent="0.35">
      <c r="A5787">
        <v>92</v>
      </c>
      <c r="B5787">
        <v>1983</v>
      </c>
      <c r="C5787">
        <v>3.3E-3</v>
      </c>
    </row>
    <row r="5788" spans="1:3" x14ac:dyDescent="0.35">
      <c r="A5788">
        <v>92</v>
      </c>
      <c r="B5788">
        <v>1984</v>
      </c>
      <c r="C5788">
        <v>1.6999999999999999E-3</v>
      </c>
    </row>
    <row r="5789" spans="1:3" x14ac:dyDescent="0.35">
      <c r="A5789">
        <v>92</v>
      </c>
      <c r="B5789">
        <v>1985</v>
      </c>
      <c r="C5789">
        <v>1E-4</v>
      </c>
    </row>
    <row r="5790" spans="1:3" x14ac:dyDescent="0.35">
      <c r="A5790">
        <v>92</v>
      </c>
      <c r="B5790">
        <v>1986</v>
      </c>
      <c r="C5790">
        <v>-1.2999999999999999E-3</v>
      </c>
    </row>
    <row r="5791" spans="1:3" x14ac:dyDescent="0.35">
      <c r="A5791">
        <v>92</v>
      </c>
      <c r="B5791">
        <v>1987</v>
      </c>
      <c r="C5791">
        <v>-2.5999999999999999E-3</v>
      </c>
    </row>
    <row r="5792" spans="1:3" x14ac:dyDescent="0.35">
      <c r="A5792">
        <v>92</v>
      </c>
      <c r="B5792">
        <v>1988</v>
      </c>
      <c r="C5792">
        <v>-3.7000000000000002E-3</v>
      </c>
    </row>
    <row r="5793" spans="1:3" x14ac:dyDescent="0.35">
      <c r="A5793">
        <v>92</v>
      </c>
      <c r="B5793">
        <v>1989</v>
      </c>
      <c r="C5793">
        <v>-4.5999999999999999E-3</v>
      </c>
    </row>
    <row r="5794" spans="1:3" x14ac:dyDescent="0.35">
      <c r="A5794">
        <v>92</v>
      </c>
      <c r="B5794">
        <v>1990</v>
      </c>
      <c r="C5794">
        <v>-5.3E-3</v>
      </c>
    </row>
    <row r="5795" spans="1:3" x14ac:dyDescent="0.35">
      <c r="A5795">
        <v>92</v>
      </c>
      <c r="B5795">
        <v>1991</v>
      </c>
      <c r="C5795">
        <v>-5.7999999999999996E-3</v>
      </c>
    </row>
    <row r="5796" spans="1:3" x14ac:dyDescent="0.35">
      <c r="A5796">
        <v>92</v>
      </c>
      <c r="B5796">
        <v>1992</v>
      </c>
      <c r="C5796">
        <v>-6.1000000000000004E-3</v>
      </c>
    </row>
    <row r="5797" spans="1:3" x14ac:dyDescent="0.35">
      <c r="A5797">
        <v>92</v>
      </c>
      <c r="B5797">
        <v>1993</v>
      </c>
      <c r="C5797">
        <v>-6.1000000000000004E-3</v>
      </c>
    </row>
    <row r="5798" spans="1:3" x14ac:dyDescent="0.35">
      <c r="A5798">
        <v>92</v>
      </c>
      <c r="B5798">
        <v>1994</v>
      </c>
      <c r="C5798">
        <v>-5.8999999999999999E-3</v>
      </c>
    </row>
    <row r="5799" spans="1:3" x14ac:dyDescent="0.35">
      <c r="A5799">
        <v>92</v>
      </c>
      <c r="B5799">
        <v>1995</v>
      </c>
      <c r="C5799">
        <v>-5.3E-3</v>
      </c>
    </row>
    <row r="5800" spans="1:3" x14ac:dyDescent="0.35">
      <c r="A5800">
        <v>92</v>
      </c>
      <c r="B5800">
        <v>1996</v>
      </c>
      <c r="C5800">
        <v>-4.4999999999999997E-3</v>
      </c>
    </row>
    <row r="5801" spans="1:3" x14ac:dyDescent="0.35">
      <c r="A5801">
        <v>92</v>
      </c>
      <c r="B5801">
        <v>1997</v>
      </c>
      <c r="C5801">
        <v>-3.3999999999999998E-3</v>
      </c>
    </row>
    <row r="5802" spans="1:3" x14ac:dyDescent="0.35">
      <c r="A5802">
        <v>92</v>
      </c>
      <c r="B5802">
        <v>1998</v>
      </c>
      <c r="C5802">
        <v>-2E-3</v>
      </c>
    </row>
    <row r="5803" spans="1:3" x14ac:dyDescent="0.35">
      <c r="A5803">
        <v>92</v>
      </c>
      <c r="B5803">
        <v>1999</v>
      </c>
      <c r="C5803">
        <v>-5.0000000000000001E-4</v>
      </c>
    </row>
    <row r="5804" spans="1:3" x14ac:dyDescent="0.35">
      <c r="A5804">
        <v>92</v>
      </c>
      <c r="B5804">
        <v>2000</v>
      </c>
      <c r="C5804">
        <v>1.1999999999999999E-3</v>
      </c>
    </row>
    <row r="5805" spans="1:3" x14ac:dyDescent="0.35">
      <c r="A5805">
        <v>92</v>
      </c>
      <c r="B5805">
        <v>2001</v>
      </c>
      <c r="C5805">
        <v>3.0000000000000001E-3</v>
      </c>
    </row>
    <row r="5806" spans="1:3" x14ac:dyDescent="0.35">
      <c r="A5806">
        <v>92</v>
      </c>
      <c r="B5806">
        <v>2002</v>
      </c>
      <c r="C5806">
        <v>4.7999999999999996E-3</v>
      </c>
    </row>
    <row r="5807" spans="1:3" x14ac:dyDescent="0.35">
      <c r="A5807">
        <v>92</v>
      </c>
      <c r="B5807">
        <v>2003</v>
      </c>
      <c r="C5807">
        <v>6.4999999999999997E-3</v>
      </c>
    </row>
    <row r="5808" spans="1:3" x14ac:dyDescent="0.35">
      <c r="A5808">
        <v>92</v>
      </c>
      <c r="B5808">
        <v>2004</v>
      </c>
      <c r="C5808">
        <v>7.9000000000000008E-3</v>
      </c>
    </row>
    <row r="5809" spans="1:3" x14ac:dyDescent="0.35">
      <c r="A5809">
        <v>92</v>
      </c>
      <c r="B5809">
        <v>2005</v>
      </c>
      <c r="C5809">
        <v>9.1999999999999998E-3</v>
      </c>
    </row>
    <row r="5810" spans="1:3" x14ac:dyDescent="0.35">
      <c r="A5810">
        <v>92</v>
      </c>
      <c r="B5810">
        <v>2006</v>
      </c>
      <c r="C5810">
        <v>1.01E-2</v>
      </c>
    </row>
    <row r="5811" spans="1:3" x14ac:dyDescent="0.35">
      <c r="A5811">
        <v>92</v>
      </c>
      <c r="B5811">
        <v>2007</v>
      </c>
      <c r="C5811">
        <v>1.0699999999999999E-2</v>
      </c>
    </row>
    <row r="5812" spans="1:3" x14ac:dyDescent="0.35">
      <c r="A5812">
        <v>92</v>
      </c>
      <c r="B5812">
        <v>2008</v>
      </c>
      <c r="C5812">
        <v>1.0999999999999999E-2</v>
      </c>
    </row>
    <row r="5813" spans="1:3" x14ac:dyDescent="0.35">
      <c r="A5813">
        <v>92</v>
      </c>
      <c r="B5813">
        <v>2009</v>
      </c>
      <c r="C5813">
        <v>1.11E-2</v>
      </c>
    </row>
    <row r="5814" spans="1:3" x14ac:dyDescent="0.35">
      <c r="A5814">
        <v>92</v>
      </c>
      <c r="B5814">
        <v>2010</v>
      </c>
      <c r="C5814">
        <v>1.09E-2</v>
      </c>
    </row>
    <row r="5815" spans="1:3" x14ac:dyDescent="0.35">
      <c r="A5815">
        <v>92</v>
      </c>
      <c r="B5815">
        <v>2011</v>
      </c>
      <c r="C5815">
        <v>1.0699999999999999E-2</v>
      </c>
    </row>
    <row r="5816" spans="1:3" x14ac:dyDescent="0.35">
      <c r="A5816">
        <v>92</v>
      </c>
      <c r="B5816">
        <v>2012</v>
      </c>
      <c r="C5816">
        <v>1.03E-2</v>
      </c>
    </row>
    <row r="5817" spans="1:3" x14ac:dyDescent="0.35">
      <c r="A5817">
        <v>92</v>
      </c>
      <c r="B5817">
        <v>2013</v>
      </c>
      <c r="C5817">
        <v>1.0200000000000001E-2</v>
      </c>
    </row>
    <row r="5818" spans="1:3" x14ac:dyDescent="0.35">
      <c r="A5818">
        <v>92</v>
      </c>
      <c r="B5818">
        <v>2014</v>
      </c>
      <c r="C5818">
        <v>9.9000000000000008E-3</v>
      </c>
    </row>
    <row r="5819" spans="1:3" x14ac:dyDescent="0.35">
      <c r="A5819">
        <v>92</v>
      </c>
      <c r="B5819">
        <v>2015</v>
      </c>
      <c r="C5819">
        <v>9.7000000000000003E-3</v>
      </c>
    </row>
    <row r="5820" spans="1:3" x14ac:dyDescent="0.35">
      <c r="A5820">
        <v>92</v>
      </c>
      <c r="B5820">
        <v>2016</v>
      </c>
      <c r="C5820">
        <v>9.4999999999999998E-3</v>
      </c>
    </row>
    <row r="5821" spans="1:3" x14ac:dyDescent="0.35">
      <c r="A5821">
        <v>92</v>
      </c>
      <c r="B5821">
        <v>2017</v>
      </c>
      <c r="C5821">
        <v>9.2999999999999992E-3</v>
      </c>
    </row>
    <row r="5822" spans="1:3" x14ac:dyDescent="0.35">
      <c r="A5822">
        <v>92</v>
      </c>
      <c r="B5822">
        <v>2018</v>
      </c>
      <c r="C5822">
        <v>9.1000000000000004E-3</v>
      </c>
    </row>
    <row r="5823" spans="1:3" x14ac:dyDescent="0.35">
      <c r="A5823">
        <v>92</v>
      </c>
      <c r="B5823">
        <v>2019</v>
      </c>
      <c r="C5823">
        <v>8.9999999999999993E-3</v>
      </c>
    </row>
    <row r="5824" spans="1:3" x14ac:dyDescent="0.35">
      <c r="A5824">
        <v>92</v>
      </c>
      <c r="B5824">
        <v>2020</v>
      </c>
      <c r="C5824">
        <v>8.8999999999999999E-3</v>
      </c>
    </row>
    <row r="5825" spans="1:3" x14ac:dyDescent="0.35">
      <c r="A5825">
        <v>92</v>
      </c>
      <c r="B5825">
        <v>2021</v>
      </c>
      <c r="C5825">
        <v>8.8000000000000005E-3</v>
      </c>
    </row>
    <row r="5826" spans="1:3" x14ac:dyDescent="0.35">
      <c r="A5826">
        <v>92</v>
      </c>
      <c r="B5826">
        <v>2022</v>
      </c>
      <c r="C5826">
        <v>8.6999999999999994E-3</v>
      </c>
    </row>
    <row r="5827" spans="1:3" x14ac:dyDescent="0.35">
      <c r="A5827">
        <v>92</v>
      </c>
      <c r="B5827">
        <v>2023</v>
      </c>
      <c r="C5827">
        <v>8.6999999999999994E-3</v>
      </c>
    </row>
    <row r="5828" spans="1:3" x14ac:dyDescent="0.35">
      <c r="A5828">
        <v>92</v>
      </c>
      <c r="B5828">
        <v>2024</v>
      </c>
      <c r="C5828">
        <v>8.6999999999999994E-3</v>
      </c>
    </row>
    <row r="5829" spans="1:3" x14ac:dyDescent="0.35">
      <c r="A5829">
        <v>92</v>
      </c>
      <c r="B5829">
        <v>2025</v>
      </c>
      <c r="C5829">
        <v>8.6999999999999994E-3</v>
      </c>
    </row>
    <row r="5830" spans="1:3" x14ac:dyDescent="0.35">
      <c r="A5830">
        <v>92</v>
      </c>
      <c r="B5830">
        <v>2026</v>
      </c>
      <c r="C5830">
        <v>8.6999999999999994E-3</v>
      </c>
    </row>
    <row r="5831" spans="1:3" x14ac:dyDescent="0.35">
      <c r="A5831">
        <v>92</v>
      </c>
      <c r="B5831">
        <v>2027</v>
      </c>
      <c r="C5831">
        <v>8.6999999999999994E-3</v>
      </c>
    </row>
    <row r="5832" spans="1:3" x14ac:dyDescent="0.35">
      <c r="A5832">
        <v>92</v>
      </c>
      <c r="B5832">
        <v>2028</v>
      </c>
      <c r="C5832">
        <v>8.8000000000000005E-3</v>
      </c>
    </row>
    <row r="5833" spans="1:3" x14ac:dyDescent="0.35">
      <c r="A5833">
        <v>92</v>
      </c>
      <c r="B5833">
        <v>2029</v>
      </c>
      <c r="C5833">
        <v>8.8999999999999999E-3</v>
      </c>
    </row>
    <row r="5834" spans="1:3" x14ac:dyDescent="0.35">
      <c r="A5834">
        <v>92</v>
      </c>
      <c r="B5834">
        <v>2030</v>
      </c>
      <c r="C5834">
        <v>8.8999999999999999E-3</v>
      </c>
    </row>
    <row r="5835" spans="1:3" x14ac:dyDescent="0.35">
      <c r="A5835">
        <v>92</v>
      </c>
      <c r="B5835">
        <v>2031</v>
      </c>
      <c r="C5835">
        <v>8.8999999999999999E-3</v>
      </c>
    </row>
    <row r="5836" spans="1:3" x14ac:dyDescent="0.35">
      <c r="A5836">
        <v>93</v>
      </c>
      <c r="B5836">
        <v>1951</v>
      </c>
      <c r="C5836">
        <v>-1.2699999999999999E-2</v>
      </c>
    </row>
    <row r="5837" spans="1:3" x14ac:dyDescent="0.35">
      <c r="A5837">
        <v>93</v>
      </c>
      <c r="B5837">
        <v>1952</v>
      </c>
      <c r="C5837">
        <v>-1.2200000000000001E-2</v>
      </c>
    </row>
    <row r="5838" spans="1:3" x14ac:dyDescent="0.35">
      <c r="A5838">
        <v>93</v>
      </c>
      <c r="B5838">
        <v>1953</v>
      </c>
      <c r="C5838">
        <v>-1.17E-2</v>
      </c>
    </row>
    <row r="5839" spans="1:3" x14ac:dyDescent="0.35">
      <c r="A5839">
        <v>93</v>
      </c>
      <c r="B5839">
        <v>1954</v>
      </c>
      <c r="C5839">
        <v>-1.12E-2</v>
      </c>
    </row>
    <row r="5840" spans="1:3" x14ac:dyDescent="0.35">
      <c r="A5840">
        <v>93</v>
      </c>
      <c r="B5840">
        <v>1955</v>
      </c>
      <c r="C5840">
        <v>-1.06E-2</v>
      </c>
    </row>
    <row r="5841" spans="1:3" x14ac:dyDescent="0.35">
      <c r="A5841">
        <v>93</v>
      </c>
      <c r="B5841">
        <v>1956</v>
      </c>
      <c r="C5841">
        <v>-9.9000000000000008E-3</v>
      </c>
    </row>
    <row r="5842" spans="1:3" x14ac:dyDescent="0.35">
      <c r="A5842">
        <v>93</v>
      </c>
      <c r="B5842">
        <v>1957</v>
      </c>
      <c r="C5842">
        <v>-9.1000000000000004E-3</v>
      </c>
    </row>
    <row r="5843" spans="1:3" x14ac:dyDescent="0.35">
      <c r="A5843">
        <v>93</v>
      </c>
      <c r="B5843">
        <v>1958</v>
      </c>
      <c r="C5843">
        <v>-8.0999999999999996E-3</v>
      </c>
    </row>
    <row r="5844" spans="1:3" x14ac:dyDescent="0.35">
      <c r="A5844">
        <v>93</v>
      </c>
      <c r="B5844">
        <v>1959</v>
      </c>
      <c r="C5844">
        <v>-6.8999999999999999E-3</v>
      </c>
    </row>
    <row r="5845" spans="1:3" x14ac:dyDescent="0.35">
      <c r="A5845">
        <v>93</v>
      </c>
      <c r="B5845">
        <v>1960</v>
      </c>
      <c r="C5845">
        <v>-5.5999999999999999E-3</v>
      </c>
    </row>
    <row r="5846" spans="1:3" x14ac:dyDescent="0.35">
      <c r="A5846">
        <v>93</v>
      </c>
      <c r="B5846">
        <v>1961</v>
      </c>
      <c r="C5846">
        <v>-4.1000000000000003E-3</v>
      </c>
    </row>
    <row r="5847" spans="1:3" x14ac:dyDescent="0.35">
      <c r="A5847">
        <v>93</v>
      </c>
      <c r="B5847">
        <v>1962</v>
      </c>
      <c r="C5847">
        <v>-2.3999999999999998E-3</v>
      </c>
    </row>
    <row r="5848" spans="1:3" x14ac:dyDescent="0.35">
      <c r="A5848">
        <v>93</v>
      </c>
      <c r="B5848">
        <v>1963</v>
      </c>
      <c r="C5848">
        <v>-5.9999999999999995E-4</v>
      </c>
    </row>
    <row r="5849" spans="1:3" x14ac:dyDescent="0.35">
      <c r="A5849">
        <v>93</v>
      </c>
      <c r="B5849">
        <v>1964</v>
      </c>
      <c r="C5849">
        <v>1.2999999999999999E-3</v>
      </c>
    </row>
    <row r="5850" spans="1:3" x14ac:dyDescent="0.35">
      <c r="A5850">
        <v>93</v>
      </c>
      <c r="B5850">
        <v>1965</v>
      </c>
      <c r="C5850">
        <v>3.3E-3</v>
      </c>
    </row>
    <row r="5851" spans="1:3" x14ac:dyDescent="0.35">
      <c r="A5851">
        <v>93</v>
      </c>
      <c r="B5851">
        <v>1966</v>
      </c>
      <c r="C5851">
        <v>5.1999999999999998E-3</v>
      </c>
    </row>
    <row r="5852" spans="1:3" x14ac:dyDescent="0.35">
      <c r="A5852">
        <v>93</v>
      </c>
      <c r="B5852">
        <v>1967</v>
      </c>
      <c r="C5852">
        <v>7.0000000000000001E-3</v>
      </c>
    </row>
    <row r="5853" spans="1:3" x14ac:dyDescent="0.35">
      <c r="A5853">
        <v>93</v>
      </c>
      <c r="B5853">
        <v>1968</v>
      </c>
      <c r="C5853">
        <v>8.6E-3</v>
      </c>
    </row>
    <row r="5854" spans="1:3" x14ac:dyDescent="0.35">
      <c r="A5854">
        <v>93</v>
      </c>
      <c r="B5854">
        <v>1969</v>
      </c>
      <c r="C5854">
        <v>1.01E-2</v>
      </c>
    </row>
    <row r="5855" spans="1:3" x14ac:dyDescent="0.35">
      <c r="A5855">
        <v>93</v>
      </c>
      <c r="B5855">
        <v>1970</v>
      </c>
      <c r="C5855">
        <v>1.14E-2</v>
      </c>
    </row>
    <row r="5856" spans="1:3" x14ac:dyDescent="0.35">
      <c r="A5856">
        <v>93</v>
      </c>
      <c r="B5856">
        <v>1971</v>
      </c>
      <c r="C5856">
        <v>1.23E-2</v>
      </c>
    </row>
    <row r="5857" spans="1:3" x14ac:dyDescent="0.35">
      <c r="A5857">
        <v>93</v>
      </c>
      <c r="B5857">
        <v>1972</v>
      </c>
      <c r="C5857">
        <v>1.2999999999999999E-2</v>
      </c>
    </row>
    <row r="5858" spans="1:3" x14ac:dyDescent="0.35">
      <c r="A5858">
        <v>93</v>
      </c>
      <c r="B5858">
        <v>1973</v>
      </c>
      <c r="C5858">
        <v>1.34E-2</v>
      </c>
    </row>
    <row r="5859" spans="1:3" x14ac:dyDescent="0.35">
      <c r="A5859">
        <v>93</v>
      </c>
      <c r="B5859">
        <v>1974</v>
      </c>
      <c r="C5859">
        <v>1.35E-2</v>
      </c>
    </row>
    <row r="5860" spans="1:3" x14ac:dyDescent="0.35">
      <c r="A5860">
        <v>93</v>
      </c>
      <c r="B5860">
        <v>1975</v>
      </c>
      <c r="C5860">
        <v>1.32E-2</v>
      </c>
    </row>
    <row r="5861" spans="1:3" x14ac:dyDescent="0.35">
      <c r="A5861">
        <v>93</v>
      </c>
      <c r="B5861">
        <v>1976</v>
      </c>
      <c r="C5861">
        <v>1.2699999999999999E-2</v>
      </c>
    </row>
    <row r="5862" spans="1:3" x14ac:dyDescent="0.35">
      <c r="A5862">
        <v>93</v>
      </c>
      <c r="B5862">
        <v>1977</v>
      </c>
      <c r="C5862">
        <v>1.1900000000000001E-2</v>
      </c>
    </row>
    <row r="5863" spans="1:3" x14ac:dyDescent="0.35">
      <c r="A5863">
        <v>93</v>
      </c>
      <c r="B5863">
        <v>1978</v>
      </c>
      <c r="C5863">
        <v>1.09E-2</v>
      </c>
    </row>
    <row r="5864" spans="1:3" x14ac:dyDescent="0.35">
      <c r="A5864">
        <v>93</v>
      </c>
      <c r="B5864">
        <v>1979</v>
      </c>
      <c r="C5864">
        <v>9.7000000000000003E-3</v>
      </c>
    </row>
    <row r="5865" spans="1:3" x14ac:dyDescent="0.35">
      <c r="A5865">
        <v>93</v>
      </c>
      <c r="B5865">
        <v>1980</v>
      </c>
      <c r="C5865">
        <v>8.2000000000000007E-3</v>
      </c>
    </row>
    <row r="5866" spans="1:3" x14ac:dyDescent="0.35">
      <c r="A5866">
        <v>93</v>
      </c>
      <c r="B5866">
        <v>1981</v>
      </c>
      <c r="C5866">
        <v>6.6E-3</v>
      </c>
    </row>
    <row r="5867" spans="1:3" x14ac:dyDescent="0.35">
      <c r="A5867">
        <v>93</v>
      </c>
      <c r="B5867">
        <v>1982</v>
      </c>
      <c r="C5867">
        <v>4.8999999999999998E-3</v>
      </c>
    </row>
    <row r="5868" spans="1:3" x14ac:dyDescent="0.35">
      <c r="A5868">
        <v>93</v>
      </c>
      <c r="B5868">
        <v>1983</v>
      </c>
      <c r="C5868">
        <v>3.2000000000000002E-3</v>
      </c>
    </row>
    <row r="5869" spans="1:3" x14ac:dyDescent="0.35">
      <c r="A5869">
        <v>93</v>
      </c>
      <c r="B5869">
        <v>1984</v>
      </c>
      <c r="C5869">
        <v>1.5E-3</v>
      </c>
    </row>
    <row r="5870" spans="1:3" x14ac:dyDescent="0.35">
      <c r="A5870">
        <v>93</v>
      </c>
      <c r="B5870">
        <v>1985</v>
      </c>
      <c r="C5870">
        <v>-2.0000000000000001E-4</v>
      </c>
    </row>
    <row r="5871" spans="1:3" x14ac:dyDescent="0.35">
      <c r="A5871">
        <v>93</v>
      </c>
      <c r="B5871">
        <v>1986</v>
      </c>
      <c r="C5871">
        <v>-1.6999999999999999E-3</v>
      </c>
    </row>
    <row r="5872" spans="1:3" x14ac:dyDescent="0.35">
      <c r="A5872">
        <v>93</v>
      </c>
      <c r="B5872">
        <v>1987</v>
      </c>
      <c r="C5872">
        <v>-3.0999999999999999E-3</v>
      </c>
    </row>
    <row r="5873" spans="1:3" x14ac:dyDescent="0.35">
      <c r="A5873">
        <v>93</v>
      </c>
      <c r="B5873">
        <v>1988</v>
      </c>
      <c r="C5873">
        <v>-4.3E-3</v>
      </c>
    </row>
    <row r="5874" spans="1:3" x14ac:dyDescent="0.35">
      <c r="A5874">
        <v>93</v>
      </c>
      <c r="B5874">
        <v>1989</v>
      </c>
      <c r="C5874">
        <v>-5.3E-3</v>
      </c>
    </row>
    <row r="5875" spans="1:3" x14ac:dyDescent="0.35">
      <c r="A5875">
        <v>93</v>
      </c>
      <c r="B5875">
        <v>1990</v>
      </c>
      <c r="C5875">
        <v>-6.1000000000000004E-3</v>
      </c>
    </row>
    <row r="5876" spans="1:3" x14ac:dyDescent="0.35">
      <c r="A5876">
        <v>93</v>
      </c>
      <c r="B5876">
        <v>1991</v>
      </c>
      <c r="C5876">
        <v>-6.7000000000000002E-3</v>
      </c>
    </row>
    <row r="5877" spans="1:3" x14ac:dyDescent="0.35">
      <c r="A5877">
        <v>93</v>
      </c>
      <c r="B5877">
        <v>1992</v>
      </c>
      <c r="C5877">
        <v>-7.1000000000000004E-3</v>
      </c>
    </row>
    <row r="5878" spans="1:3" x14ac:dyDescent="0.35">
      <c r="A5878">
        <v>93</v>
      </c>
      <c r="B5878">
        <v>1993</v>
      </c>
      <c r="C5878">
        <v>-7.1999999999999998E-3</v>
      </c>
    </row>
    <row r="5879" spans="1:3" x14ac:dyDescent="0.35">
      <c r="A5879">
        <v>93</v>
      </c>
      <c r="B5879">
        <v>1994</v>
      </c>
      <c r="C5879">
        <v>-7.0000000000000001E-3</v>
      </c>
    </row>
    <row r="5880" spans="1:3" x14ac:dyDescent="0.35">
      <c r="A5880">
        <v>93</v>
      </c>
      <c r="B5880">
        <v>1995</v>
      </c>
      <c r="C5880">
        <v>-6.6E-3</v>
      </c>
    </row>
    <row r="5881" spans="1:3" x14ac:dyDescent="0.35">
      <c r="A5881">
        <v>93</v>
      </c>
      <c r="B5881">
        <v>1996</v>
      </c>
      <c r="C5881">
        <v>-5.7999999999999996E-3</v>
      </c>
    </row>
    <row r="5882" spans="1:3" x14ac:dyDescent="0.35">
      <c r="A5882">
        <v>93</v>
      </c>
      <c r="B5882">
        <v>1997</v>
      </c>
      <c r="C5882">
        <v>-4.7999999999999996E-3</v>
      </c>
    </row>
    <row r="5883" spans="1:3" x14ac:dyDescent="0.35">
      <c r="A5883">
        <v>93</v>
      </c>
      <c r="B5883">
        <v>1998</v>
      </c>
      <c r="C5883">
        <v>-3.5999999999999999E-3</v>
      </c>
    </row>
    <row r="5884" spans="1:3" x14ac:dyDescent="0.35">
      <c r="A5884">
        <v>93</v>
      </c>
      <c r="B5884">
        <v>1999</v>
      </c>
      <c r="C5884">
        <v>-2.0999999999999999E-3</v>
      </c>
    </row>
    <row r="5885" spans="1:3" x14ac:dyDescent="0.35">
      <c r="A5885">
        <v>93</v>
      </c>
      <c r="B5885">
        <v>2000</v>
      </c>
      <c r="C5885">
        <v>-5.0000000000000001E-4</v>
      </c>
    </row>
    <row r="5886" spans="1:3" x14ac:dyDescent="0.35">
      <c r="A5886">
        <v>93</v>
      </c>
      <c r="B5886">
        <v>2001</v>
      </c>
      <c r="C5886">
        <v>1.1999999999999999E-3</v>
      </c>
    </row>
    <row r="5887" spans="1:3" x14ac:dyDescent="0.35">
      <c r="A5887">
        <v>93</v>
      </c>
      <c r="B5887">
        <v>2002</v>
      </c>
      <c r="C5887">
        <v>2.8999999999999998E-3</v>
      </c>
    </row>
    <row r="5888" spans="1:3" x14ac:dyDescent="0.35">
      <c r="A5888">
        <v>93</v>
      </c>
      <c r="B5888">
        <v>2003</v>
      </c>
      <c r="C5888">
        <v>4.5999999999999999E-3</v>
      </c>
    </row>
    <row r="5889" spans="1:3" x14ac:dyDescent="0.35">
      <c r="A5889">
        <v>93</v>
      </c>
      <c r="B5889">
        <v>2004</v>
      </c>
      <c r="C5889">
        <v>6.1000000000000004E-3</v>
      </c>
    </row>
    <row r="5890" spans="1:3" x14ac:dyDescent="0.35">
      <c r="A5890">
        <v>93</v>
      </c>
      <c r="B5890">
        <v>2005</v>
      </c>
      <c r="C5890">
        <v>7.4000000000000003E-3</v>
      </c>
    </row>
    <row r="5891" spans="1:3" x14ac:dyDescent="0.35">
      <c r="A5891">
        <v>93</v>
      </c>
      <c r="B5891">
        <v>2006</v>
      </c>
      <c r="C5891">
        <v>8.5000000000000006E-3</v>
      </c>
    </row>
    <row r="5892" spans="1:3" x14ac:dyDescent="0.35">
      <c r="A5892">
        <v>93</v>
      </c>
      <c r="B5892">
        <v>2007</v>
      </c>
      <c r="C5892">
        <v>9.4000000000000004E-3</v>
      </c>
    </row>
    <row r="5893" spans="1:3" x14ac:dyDescent="0.35">
      <c r="A5893">
        <v>93</v>
      </c>
      <c r="B5893">
        <v>2008</v>
      </c>
      <c r="C5893">
        <v>0.01</v>
      </c>
    </row>
    <row r="5894" spans="1:3" x14ac:dyDescent="0.35">
      <c r="A5894">
        <v>93</v>
      </c>
      <c r="B5894">
        <v>2009</v>
      </c>
      <c r="C5894">
        <v>1.04E-2</v>
      </c>
    </row>
    <row r="5895" spans="1:3" x14ac:dyDescent="0.35">
      <c r="A5895">
        <v>93</v>
      </c>
      <c r="B5895">
        <v>2010</v>
      </c>
      <c r="C5895">
        <v>1.06E-2</v>
      </c>
    </row>
    <row r="5896" spans="1:3" x14ac:dyDescent="0.35">
      <c r="A5896">
        <v>93</v>
      </c>
      <c r="B5896">
        <v>2011</v>
      </c>
      <c r="C5896">
        <v>1.0699999999999999E-2</v>
      </c>
    </row>
    <row r="5897" spans="1:3" x14ac:dyDescent="0.35">
      <c r="A5897">
        <v>93</v>
      </c>
      <c r="B5897">
        <v>2012</v>
      </c>
      <c r="C5897">
        <v>1.0699999999999999E-2</v>
      </c>
    </row>
    <row r="5898" spans="1:3" x14ac:dyDescent="0.35">
      <c r="A5898">
        <v>93</v>
      </c>
      <c r="B5898">
        <v>2013</v>
      </c>
      <c r="C5898">
        <v>1.0500000000000001E-2</v>
      </c>
    </row>
    <row r="5899" spans="1:3" x14ac:dyDescent="0.35">
      <c r="A5899">
        <v>93</v>
      </c>
      <c r="B5899">
        <v>2014</v>
      </c>
      <c r="C5899">
        <v>1.0200000000000001E-2</v>
      </c>
    </row>
    <row r="5900" spans="1:3" x14ac:dyDescent="0.35">
      <c r="A5900">
        <v>93</v>
      </c>
      <c r="B5900">
        <v>2015</v>
      </c>
      <c r="C5900">
        <v>9.9000000000000008E-3</v>
      </c>
    </row>
    <row r="5901" spans="1:3" x14ac:dyDescent="0.35">
      <c r="A5901">
        <v>93</v>
      </c>
      <c r="B5901">
        <v>2016</v>
      </c>
      <c r="C5901">
        <v>9.5999999999999992E-3</v>
      </c>
    </row>
    <row r="5902" spans="1:3" x14ac:dyDescent="0.35">
      <c r="A5902">
        <v>93</v>
      </c>
      <c r="B5902">
        <v>2017</v>
      </c>
      <c r="C5902">
        <v>9.2999999999999992E-3</v>
      </c>
    </row>
    <row r="5903" spans="1:3" x14ac:dyDescent="0.35">
      <c r="A5903">
        <v>93</v>
      </c>
      <c r="B5903">
        <v>2018</v>
      </c>
      <c r="C5903">
        <v>8.9999999999999993E-3</v>
      </c>
    </row>
    <row r="5904" spans="1:3" x14ac:dyDescent="0.35">
      <c r="A5904">
        <v>93</v>
      </c>
      <c r="B5904">
        <v>2019</v>
      </c>
      <c r="C5904">
        <v>8.8000000000000005E-3</v>
      </c>
    </row>
    <row r="5905" spans="1:3" x14ac:dyDescent="0.35">
      <c r="A5905">
        <v>93</v>
      </c>
      <c r="B5905">
        <v>2020</v>
      </c>
      <c r="C5905">
        <v>8.6E-3</v>
      </c>
    </row>
    <row r="5906" spans="1:3" x14ac:dyDescent="0.35">
      <c r="A5906">
        <v>93</v>
      </c>
      <c r="B5906">
        <v>2021</v>
      </c>
      <c r="C5906">
        <v>8.5000000000000006E-3</v>
      </c>
    </row>
    <row r="5907" spans="1:3" x14ac:dyDescent="0.35">
      <c r="A5907">
        <v>93</v>
      </c>
      <c r="B5907">
        <v>2022</v>
      </c>
      <c r="C5907">
        <v>8.5000000000000006E-3</v>
      </c>
    </row>
    <row r="5908" spans="1:3" x14ac:dyDescent="0.35">
      <c r="A5908">
        <v>93</v>
      </c>
      <c r="B5908">
        <v>2023</v>
      </c>
      <c r="C5908">
        <v>8.3999999999999995E-3</v>
      </c>
    </row>
    <row r="5909" spans="1:3" x14ac:dyDescent="0.35">
      <c r="A5909">
        <v>93</v>
      </c>
      <c r="B5909">
        <v>2024</v>
      </c>
      <c r="C5909">
        <v>8.3999999999999995E-3</v>
      </c>
    </row>
    <row r="5910" spans="1:3" x14ac:dyDescent="0.35">
      <c r="A5910">
        <v>93</v>
      </c>
      <c r="B5910">
        <v>2025</v>
      </c>
      <c r="C5910">
        <v>8.3999999999999995E-3</v>
      </c>
    </row>
    <row r="5911" spans="1:3" x14ac:dyDescent="0.35">
      <c r="A5911">
        <v>93</v>
      </c>
      <c r="B5911">
        <v>2026</v>
      </c>
      <c r="C5911">
        <v>8.3999999999999995E-3</v>
      </c>
    </row>
    <row r="5912" spans="1:3" x14ac:dyDescent="0.35">
      <c r="A5912">
        <v>93</v>
      </c>
      <c r="B5912">
        <v>2027</v>
      </c>
      <c r="C5912">
        <v>8.5000000000000006E-3</v>
      </c>
    </row>
    <row r="5913" spans="1:3" x14ac:dyDescent="0.35">
      <c r="A5913">
        <v>93</v>
      </c>
      <c r="B5913">
        <v>2028</v>
      </c>
      <c r="C5913">
        <v>8.5000000000000006E-3</v>
      </c>
    </row>
    <row r="5914" spans="1:3" x14ac:dyDescent="0.35">
      <c r="A5914">
        <v>93</v>
      </c>
      <c r="B5914">
        <v>2029</v>
      </c>
      <c r="C5914">
        <v>8.6E-3</v>
      </c>
    </row>
    <row r="5915" spans="1:3" x14ac:dyDescent="0.35">
      <c r="A5915">
        <v>93</v>
      </c>
      <c r="B5915">
        <v>2030</v>
      </c>
      <c r="C5915">
        <v>8.6999999999999994E-3</v>
      </c>
    </row>
    <row r="5916" spans="1:3" x14ac:dyDescent="0.35">
      <c r="A5916">
        <v>93</v>
      </c>
      <c r="B5916">
        <v>2031</v>
      </c>
      <c r="C5916">
        <v>8.6999999999999994E-3</v>
      </c>
    </row>
    <row r="5917" spans="1:3" x14ac:dyDescent="0.35">
      <c r="A5917">
        <v>94</v>
      </c>
      <c r="B5917">
        <v>1951</v>
      </c>
      <c r="C5917">
        <v>-1.5800000000000002E-2</v>
      </c>
    </row>
    <row r="5918" spans="1:3" x14ac:dyDescent="0.35">
      <c r="A5918">
        <v>94</v>
      </c>
      <c r="B5918">
        <v>1952</v>
      </c>
      <c r="C5918">
        <v>-1.49E-2</v>
      </c>
    </row>
    <row r="5919" spans="1:3" x14ac:dyDescent="0.35">
      <c r="A5919">
        <v>94</v>
      </c>
      <c r="B5919">
        <v>1953</v>
      </c>
      <c r="C5919">
        <v>-1.3899999999999999E-2</v>
      </c>
    </row>
    <row r="5920" spans="1:3" x14ac:dyDescent="0.35">
      <c r="A5920">
        <v>94</v>
      </c>
      <c r="B5920">
        <v>1954</v>
      </c>
      <c r="C5920">
        <v>-1.2999999999999999E-2</v>
      </c>
    </row>
    <row r="5921" spans="1:3" x14ac:dyDescent="0.35">
      <c r="A5921">
        <v>94</v>
      </c>
      <c r="B5921">
        <v>1955</v>
      </c>
      <c r="C5921">
        <v>-1.2E-2</v>
      </c>
    </row>
    <row r="5922" spans="1:3" x14ac:dyDescent="0.35">
      <c r="A5922">
        <v>94</v>
      </c>
      <c r="B5922">
        <v>1956</v>
      </c>
      <c r="C5922">
        <v>-1.09E-2</v>
      </c>
    </row>
    <row r="5923" spans="1:3" x14ac:dyDescent="0.35">
      <c r="A5923">
        <v>94</v>
      </c>
      <c r="B5923">
        <v>1957</v>
      </c>
      <c r="C5923">
        <v>-9.7999999999999997E-3</v>
      </c>
    </row>
    <row r="5924" spans="1:3" x14ac:dyDescent="0.35">
      <c r="A5924">
        <v>94</v>
      </c>
      <c r="B5924">
        <v>1958</v>
      </c>
      <c r="C5924">
        <v>-8.5000000000000006E-3</v>
      </c>
    </row>
    <row r="5925" spans="1:3" x14ac:dyDescent="0.35">
      <c r="A5925">
        <v>94</v>
      </c>
      <c r="B5925">
        <v>1959</v>
      </c>
      <c r="C5925">
        <v>-7.1000000000000004E-3</v>
      </c>
    </row>
    <row r="5926" spans="1:3" x14ac:dyDescent="0.35">
      <c r="A5926">
        <v>94</v>
      </c>
      <c r="B5926">
        <v>1960</v>
      </c>
      <c r="C5926">
        <v>-5.5999999999999999E-3</v>
      </c>
    </row>
    <row r="5927" spans="1:3" x14ac:dyDescent="0.35">
      <c r="A5927">
        <v>94</v>
      </c>
      <c r="B5927">
        <v>1961</v>
      </c>
      <c r="C5927">
        <v>-4.0000000000000001E-3</v>
      </c>
    </row>
    <row r="5928" spans="1:3" x14ac:dyDescent="0.35">
      <c r="A5928">
        <v>94</v>
      </c>
      <c r="B5928">
        <v>1962</v>
      </c>
      <c r="C5928">
        <v>-2.2000000000000001E-3</v>
      </c>
    </row>
    <row r="5929" spans="1:3" x14ac:dyDescent="0.35">
      <c r="A5929">
        <v>94</v>
      </c>
      <c r="B5929">
        <v>1963</v>
      </c>
      <c r="C5929">
        <v>-4.0000000000000002E-4</v>
      </c>
    </row>
    <row r="5930" spans="1:3" x14ac:dyDescent="0.35">
      <c r="A5930">
        <v>94</v>
      </c>
      <c r="B5930">
        <v>1964</v>
      </c>
      <c r="C5930">
        <v>1.5E-3</v>
      </c>
    </row>
    <row r="5931" spans="1:3" x14ac:dyDescent="0.35">
      <c r="A5931">
        <v>94</v>
      </c>
      <c r="B5931">
        <v>1965</v>
      </c>
      <c r="C5931">
        <v>3.3999999999999998E-3</v>
      </c>
    </row>
    <row r="5932" spans="1:3" x14ac:dyDescent="0.35">
      <c r="A5932">
        <v>94</v>
      </c>
      <c r="B5932">
        <v>1966</v>
      </c>
      <c r="C5932">
        <v>5.3E-3</v>
      </c>
    </row>
    <row r="5933" spans="1:3" x14ac:dyDescent="0.35">
      <c r="A5933">
        <v>94</v>
      </c>
      <c r="B5933">
        <v>1967</v>
      </c>
      <c r="C5933">
        <v>7.0000000000000001E-3</v>
      </c>
    </row>
    <row r="5934" spans="1:3" x14ac:dyDescent="0.35">
      <c r="A5934">
        <v>94</v>
      </c>
      <c r="B5934">
        <v>1968</v>
      </c>
      <c r="C5934">
        <v>8.6E-3</v>
      </c>
    </row>
    <row r="5935" spans="1:3" x14ac:dyDescent="0.35">
      <c r="A5935">
        <v>94</v>
      </c>
      <c r="B5935">
        <v>1969</v>
      </c>
      <c r="C5935">
        <v>0.01</v>
      </c>
    </row>
    <row r="5936" spans="1:3" x14ac:dyDescent="0.35">
      <c r="A5936">
        <v>94</v>
      </c>
      <c r="B5936">
        <v>1970</v>
      </c>
      <c r="C5936">
        <v>1.12E-2</v>
      </c>
    </row>
    <row r="5937" spans="1:3" x14ac:dyDescent="0.35">
      <c r="A5937">
        <v>94</v>
      </c>
      <c r="B5937">
        <v>1971</v>
      </c>
      <c r="C5937">
        <v>1.21E-2</v>
      </c>
    </row>
    <row r="5938" spans="1:3" x14ac:dyDescent="0.35">
      <c r="A5938">
        <v>94</v>
      </c>
      <c r="B5938">
        <v>1972</v>
      </c>
      <c r="C5938">
        <v>1.2800000000000001E-2</v>
      </c>
    </row>
    <row r="5939" spans="1:3" x14ac:dyDescent="0.35">
      <c r="A5939">
        <v>94</v>
      </c>
      <c r="B5939">
        <v>1973</v>
      </c>
      <c r="C5939">
        <v>1.32E-2</v>
      </c>
    </row>
    <row r="5940" spans="1:3" x14ac:dyDescent="0.35">
      <c r="A5940">
        <v>94</v>
      </c>
      <c r="B5940">
        <v>1974</v>
      </c>
      <c r="C5940">
        <v>1.32E-2</v>
      </c>
    </row>
    <row r="5941" spans="1:3" x14ac:dyDescent="0.35">
      <c r="A5941">
        <v>94</v>
      </c>
      <c r="B5941">
        <v>1975</v>
      </c>
      <c r="C5941">
        <v>1.2999999999999999E-2</v>
      </c>
    </row>
    <row r="5942" spans="1:3" x14ac:dyDescent="0.35">
      <c r="A5942">
        <v>94</v>
      </c>
      <c r="B5942">
        <v>1976</v>
      </c>
      <c r="C5942">
        <v>1.2500000000000001E-2</v>
      </c>
    </row>
    <row r="5943" spans="1:3" x14ac:dyDescent="0.35">
      <c r="A5943">
        <v>94</v>
      </c>
      <c r="B5943">
        <v>1977</v>
      </c>
      <c r="C5943">
        <v>1.18E-2</v>
      </c>
    </row>
    <row r="5944" spans="1:3" x14ac:dyDescent="0.35">
      <c r="A5944">
        <v>94</v>
      </c>
      <c r="B5944">
        <v>1978</v>
      </c>
      <c r="C5944">
        <v>1.0800000000000001E-2</v>
      </c>
    </row>
    <row r="5945" spans="1:3" x14ac:dyDescent="0.35">
      <c r="A5945">
        <v>94</v>
      </c>
      <c r="B5945">
        <v>1979</v>
      </c>
      <c r="C5945">
        <v>9.4999999999999998E-3</v>
      </c>
    </row>
    <row r="5946" spans="1:3" x14ac:dyDescent="0.35">
      <c r="A5946">
        <v>94</v>
      </c>
      <c r="B5946">
        <v>1980</v>
      </c>
      <c r="C5946">
        <v>8.0999999999999996E-3</v>
      </c>
    </row>
    <row r="5947" spans="1:3" x14ac:dyDescent="0.35">
      <c r="A5947">
        <v>94</v>
      </c>
      <c r="B5947">
        <v>1981</v>
      </c>
      <c r="C5947">
        <v>6.4999999999999997E-3</v>
      </c>
    </row>
    <row r="5948" spans="1:3" x14ac:dyDescent="0.35">
      <c r="A5948">
        <v>94</v>
      </c>
      <c r="B5948">
        <v>1982</v>
      </c>
      <c r="C5948">
        <v>4.7999999999999996E-3</v>
      </c>
    </row>
    <row r="5949" spans="1:3" x14ac:dyDescent="0.35">
      <c r="A5949">
        <v>94</v>
      </c>
      <c r="B5949">
        <v>1983</v>
      </c>
      <c r="C5949">
        <v>3.0999999999999999E-3</v>
      </c>
    </row>
    <row r="5950" spans="1:3" x14ac:dyDescent="0.35">
      <c r="A5950">
        <v>94</v>
      </c>
      <c r="B5950">
        <v>1984</v>
      </c>
      <c r="C5950">
        <v>1.2999999999999999E-3</v>
      </c>
    </row>
    <row r="5951" spans="1:3" x14ac:dyDescent="0.35">
      <c r="A5951">
        <v>94</v>
      </c>
      <c r="B5951">
        <v>1985</v>
      </c>
      <c r="C5951">
        <v>-4.0000000000000002E-4</v>
      </c>
    </row>
    <row r="5952" spans="1:3" x14ac:dyDescent="0.35">
      <c r="A5952">
        <v>94</v>
      </c>
      <c r="B5952">
        <v>1986</v>
      </c>
      <c r="C5952">
        <v>-2E-3</v>
      </c>
    </row>
    <row r="5953" spans="1:3" x14ac:dyDescent="0.35">
      <c r="A5953">
        <v>94</v>
      </c>
      <c r="B5953">
        <v>1987</v>
      </c>
      <c r="C5953">
        <v>-3.5000000000000001E-3</v>
      </c>
    </row>
    <row r="5954" spans="1:3" x14ac:dyDescent="0.35">
      <c r="A5954">
        <v>94</v>
      </c>
      <c r="B5954">
        <v>1988</v>
      </c>
      <c r="C5954">
        <v>-4.7999999999999996E-3</v>
      </c>
    </row>
    <row r="5955" spans="1:3" x14ac:dyDescent="0.35">
      <c r="A5955">
        <v>94</v>
      </c>
      <c r="B5955">
        <v>1989</v>
      </c>
      <c r="C5955">
        <v>-5.8999999999999999E-3</v>
      </c>
    </row>
    <row r="5956" spans="1:3" x14ac:dyDescent="0.35">
      <c r="A5956">
        <v>94</v>
      </c>
      <c r="B5956">
        <v>1990</v>
      </c>
      <c r="C5956">
        <v>-6.7999999999999996E-3</v>
      </c>
    </row>
    <row r="5957" spans="1:3" x14ac:dyDescent="0.35">
      <c r="A5957">
        <v>94</v>
      </c>
      <c r="B5957">
        <v>1991</v>
      </c>
      <c r="C5957">
        <v>-7.4999999999999997E-3</v>
      </c>
    </row>
    <row r="5958" spans="1:3" x14ac:dyDescent="0.35">
      <c r="A5958">
        <v>94</v>
      </c>
      <c r="B5958">
        <v>1992</v>
      </c>
      <c r="C5958">
        <v>-8.0000000000000002E-3</v>
      </c>
    </row>
    <row r="5959" spans="1:3" x14ac:dyDescent="0.35">
      <c r="A5959">
        <v>94</v>
      </c>
      <c r="B5959">
        <v>1993</v>
      </c>
      <c r="C5959">
        <v>-8.2000000000000007E-3</v>
      </c>
    </row>
    <row r="5960" spans="1:3" x14ac:dyDescent="0.35">
      <c r="A5960">
        <v>94</v>
      </c>
      <c r="B5960">
        <v>1994</v>
      </c>
      <c r="C5960">
        <v>-8.0999999999999996E-3</v>
      </c>
    </row>
    <row r="5961" spans="1:3" x14ac:dyDescent="0.35">
      <c r="A5961">
        <v>94</v>
      </c>
      <c r="B5961">
        <v>1995</v>
      </c>
      <c r="C5961">
        <v>-7.7999999999999996E-3</v>
      </c>
    </row>
    <row r="5962" spans="1:3" x14ac:dyDescent="0.35">
      <c r="A5962">
        <v>94</v>
      </c>
      <c r="B5962">
        <v>1996</v>
      </c>
      <c r="C5962">
        <v>-7.1000000000000004E-3</v>
      </c>
    </row>
    <row r="5963" spans="1:3" x14ac:dyDescent="0.35">
      <c r="A5963">
        <v>94</v>
      </c>
      <c r="B5963">
        <v>1997</v>
      </c>
      <c r="C5963">
        <v>-6.3E-3</v>
      </c>
    </row>
    <row r="5964" spans="1:3" x14ac:dyDescent="0.35">
      <c r="A5964">
        <v>94</v>
      </c>
      <c r="B5964">
        <v>1998</v>
      </c>
      <c r="C5964">
        <v>-5.1000000000000004E-3</v>
      </c>
    </row>
    <row r="5965" spans="1:3" x14ac:dyDescent="0.35">
      <c r="A5965">
        <v>94</v>
      </c>
      <c r="B5965">
        <v>1999</v>
      </c>
      <c r="C5965">
        <v>-3.8E-3</v>
      </c>
    </row>
    <row r="5966" spans="1:3" x14ac:dyDescent="0.35">
      <c r="A5966">
        <v>94</v>
      </c>
      <c r="B5966">
        <v>2000</v>
      </c>
      <c r="C5966">
        <v>-2.3E-3</v>
      </c>
    </row>
    <row r="5967" spans="1:3" x14ac:dyDescent="0.35">
      <c r="A5967">
        <v>94</v>
      </c>
      <c r="B5967">
        <v>2001</v>
      </c>
      <c r="C5967">
        <v>-6.9999999999999999E-4</v>
      </c>
    </row>
    <row r="5968" spans="1:3" x14ac:dyDescent="0.35">
      <c r="A5968">
        <v>94</v>
      </c>
      <c r="B5968">
        <v>2002</v>
      </c>
      <c r="C5968">
        <v>8.9999999999999998E-4</v>
      </c>
    </row>
    <row r="5969" spans="1:3" x14ac:dyDescent="0.35">
      <c r="A5969">
        <v>94</v>
      </c>
      <c r="B5969">
        <v>2003</v>
      </c>
      <c r="C5969">
        <v>2.5999999999999999E-3</v>
      </c>
    </row>
    <row r="5970" spans="1:3" x14ac:dyDescent="0.35">
      <c r="A5970">
        <v>94</v>
      </c>
      <c r="B5970">
        <v>2004</v>
      </c>
      <c r="C5970">
        <v>4.1000000000000003E-3</v>
      </c>
    </row>
    <row r="5971" spans="1:3" x14ac:dyDescent="0.35">
      <c r="A5971">
        <v>94</v>
      </c>
      <c r="B5971">
        <v>2005</v>
      </c>
      <c r="C5971">
        <v>5.5999999999999999E-3</v>
      </c>
    </row>
    <row r="5972" spans="1:3" x14ac:dyDescent="0.35">
      <c r="A5972">
        <v>94</v>
      </c>
      <c r="B5972">
        <v>2006</v>
      </c>
      <c r="C5972">
        <v>6.8999999999999999E-3</v>
      </c>
    </row>
    <row r="5973" spans="1:3" x14ac:dyDescent="0.35">
      <c r="A5973">
        <v>94</v>
      </c>
      <c r="B5973">
        <v>2007</v>
      </c>
      <c r="C5973">
        <v>8.0000000000000002E-3</v>
      </c>
    </row>
    <row r="5974" spans="1:3" x14ac:dyDescent="0.35">
      <c r="A5974">
        <v>94</v>
      </c>
      <c r="B5974">
        <v>2008</v>
      </c>
      <c r="C5974">
        <v>8.8999999999999999E-3</v>
      </c>
    </row>
    <row r="5975" spans="1:3" x14ac:dyDescent="0.35">
      <c r="A5975">
        <v>94</v>
      </c>
      <c r="B5975">
        <v>2009</v>
      </c>
      <c r="C5975">
        <v>9.5999999999999992E-3</v>
      </c>
    </row>
    <row r="5976" spans="1:3" x14ac:dyDescent="0.35">
      <c r="A5976">
        <v>94</v>
      </c>
      <c r="B5976">
        <v>2010</v>
      </c>
      <c r="C5976">
        <v>1.0200000000000001E-2</v>
      </c>
    </row>
    <row r="5977" spans="1:3" x14ac:dyDescent="0.35">
      <c r="A5977">
        <v>94</v>
      </c>
      <c r="B5977">
        <v>2011</v>
      </c>
      <c r="C5977">
        <v>1.0800000000000001E-2</v>
      </c>
    </row>
    <row r="5978" spans="1:3" x14ac:dyDescent="0.35">
      <c r="A5978">
        <v>94</v>
      </c>
      <c r="B5978">
        <v>2012</v>
      </c>
      <c r="C5978">
        <v>1.12E-2</v>
      </c>
    </row>
    <row r="5979" spans="1:3" x14ac:dyDescent="0.35">
      <c r="A5979">
        <v>94</v>
      </c>
      <c r="B5979">
        <v>2013</v>
      </c>
      <c r="C5979">
        <v>1.09E-2</v>
      </c>
    </row>
    <row r="5980" spans="1:3" x14ac:dyDescent="0.35">
      <c r="A5980">
        <v>94</v>
      </c>
      <c r="B5980">
        <v>2014</v>
      </c>
      <c r="C5980">
        <v>1.0500000000000001E-2</v>
      </c>
    </row>
    <row r="5981" spans="1:3" x14ac:dyDescent="0.35">
      <c r="A5981">
        <v>94</v>
      </c>
      <c r="B5981">
        <v>2015</v>
      </c>
      <c r="C5981">
        <v>1.01E-2</v>
      </c>
    </row>
    <row r="5982" spans="1:3" x14ac:dyDescent="0.35">
      <c r="A5982">
        <v>94</v>
      </c>
      <c r="B5982">
        <v>2016</v>
      </c>
      <c r="C5982">
        <v>9.7000000000000003E-3</v>
      </c>
    </row>
    <row r="5983" spans="1:3" x14ac:dyDescent="0.35">
      <c r="A5983">
        <v>94</v>
      </c>
      <c r="B5983">
        <v>2017</v>
      </c>
      <c r="C5983">
        <v>9.2999999999999992E-3</v>
      </c>
    </row>
    <row r="5984" spans="1:3" x14ac:dyDescent="0.35">
      <c r="A5984">
        <v>94</v>
      </c>
      <c r="B5984">
        <v>2018</v>
      </c>
      <c r="C5984">
        <v>8.9999999999999993E-3</v>
      </c>
    </row>
    <row r="5985" spans="1:3" x14ac:dyDescent="0.35">
      <c r="A5985">
        <v>94</v>
      </c>
      <c r="B5985">
        <v>2019</v>
      </c>
      <c r="C5985">
        <v>8.6999999999999994E-3</v>
      </c>
    </row>
    <row r="5986" spans="1:3" x14ac:dyDescent="0.35">
      <c r="A5986">
        <v>94</v>
      </c>
      <c r="B5986">
        <v>2020</v>
      </c>
      <c r="C5986">
        <v>8.3999999999999995E-3</v>
      </c>
    </row>
    <row r="5987" spans="1:3" x14ac:dyDescent="0.35">
      <c r="A5987">
        <v>94</v>
      </c>
      <c r="B5987">
        <v>2021</v>
      </c>
      <c r="C5987">
        <v>8.3000000000000001E-3</v>
      </c>
    </row>
    <row r="5988" spans="1:3" x14ac:dyDescent="0.35">
      <c r="A5988">
        <v>94</v>
      </c>
      <c r="B5988">
        <v>2022</v>
      </c>
      <c r="C5988">
        <v>8.2000000000000007E-3</v>
      </c>
    </row>
    <row r="5989" spans="1:3" x14ac:dyDescent="0.35">
      <c r="A5989">
        <v>94</v>
      </c>
      <c r="B5989">
        <v>2023</v>
      </c>
      <c r="C5989">
        <v>8.2000000000000007E-3</v>
      </c>
    </row>
    <row r="5990" spans="1:3" x14ac:dyDescent="0.35">
      <c r="A5990">
        <v>94</v>
      </c>
      <c r="B5990">
        <v>2024</v>
      </c>
      <c r="C5990">
        <v>8.0999999999999996E-3</v>
      </c>
    </row>
    <row r="5991" spans="1:3" x14ac:dyDescent="0.35">
      <c r="A5991">
        <v>94</v>
      </c>
      <c r="B5991">
        <v>2025</v>
      </c>
      <c r="C5991">
        <v>8.0999999999999996E-3</v>
      </c>
    </row>
    <row r="5992" spans="1:3" x14ac:dyDescent="0.35">
      <c r="A5992">
        <v>94</v>
      </c>
      <c r="B5992">
        <v>2026</v>
      </c>
      <c r="C5992">
        <v>8.0999999999999996E-3</v>
      </c>
    </row>
    <row r="5993" spans="1:3" x14ac:dyDescent="0.35">
      <c r="A5993">
        <v>94</v>
      </c>
      <c r="B5993">
        <v>2027</v>
      </c>
      <c r="C5993">
        <v>8.2000000000000007E-3</v>
      </c>
    </row>
    <row r="5994" spans="1:3" x14ac:dyDescent="0.35">
      <c r="A5994">
        <v>94</v>
      </c>
      <c r="B5994">
        <v>2028</v>
      </c>
      <c r="C5994">
        <v>8.2000000000000007E-3</v>
      </c>
    </row>
    <row r="5995" spans="1:3" x14ac:dyDescent="0.35">
      <c r="A5995">
        <v>94</v>
      </c>
      <c r="B5995">
        <v>2029</v>
      </c>
      <c r="C5995">
        <v>8.3000000000000001E-3</v>
      </c>
    </row>
    <row r="5996" spans="1:3" x14ac:dyDescent="0.35">
      <c r="A5996">
        <v>94</v>
      </c>
      <c r="B5996">
        <v>2030</v>
      </c>
      <c r="C5996">
        <v>8.3999999999999995E-3</v>
      </c>
    </row>
    <row r="5997" spans="1:3" x14ac:dyDescent="0.35">
      <c r="A5997">
        <v>94</v>
      </c>
      <c r="B5997">
        <v>2031</v>
      </c>
      <c r="C5997">
        <v>8.6E-3</v>
      </c>
    </row>
    <row r="5998" spans="1:3" x14ac:dyDescent="0.35">
      <c r="A5998">
        <v>95</v>
      </c>
      <c r="B5998">
        <v>1951</v>
      </c>
      <c r="C5998">
        <v>-1.9099999999999999E-2</v>
      </c>
    </row>
    <row r="5999" spans="1:3" x14ac:dyDescent="0.35">
      <c r="A5999">
        <v>95</v>
      </c>
      <c r="B5999">
        <v>1952</v>
      </c>
      <c r="C5999">
        <v>-1.77E-2</v>
      </c>
    </row>
    <row r="6000" spans="1:3" x14ac:dyDescent="0.35">
      <c r="A6000">
        <v>95</v>
      </c>
      <c r="B6000">
        <v>1953</v>
      </c>
      <c r="C6000">
        <v>-1.6299999999999999E-2</v>
      </c>
    </row>
    <row r="6001" spans="1:3" x14ac:dyDescent="0.35">
      <c r="A6001">
        <v>95</v>
      </c>
      <c r="B6001">
        <v>1954</v>
      </c>
      <c r="C6001">
        <v>-1.49E-2</v>
      </c>
    </row>
    <row r="6002" spans="1:3" x14ac:dyDescent="0.35">
      <c r="A6002">
        <v>95</v>
      </c>
      <c r="B6002">
        <v>1955</v>
      </c>
      <c r="C6002">
        <v>-1.35E-2</v>
      </c>
    </row>
    <row r="6003" spans="1:3" x14ac:dyDescent="0.35">
      <c r="A6003">
        <v>95</v>
      </c>
      <c r="B6003">
        <v>1956</v>
      </c>
      <c r="C6003">
        <v>-1.2E-2</v>
      </c>
    </row>
    <row r="6004" spans="1:3" x14ac:dyDescent="0.35">
      <c r="A6004">
        <v>95</v>
      </c>
      <c r="B6004">
        <v>1957</v>
      </c>
      <c r="C6004">
        <v>-1.0500000000000001E-2</v>
      </c>
    </row>
    <row r="6005" spans="1:3" x14ac:dyDescent="0.35">
      <c r="A6005">
        <v>95</v>
      </c>
      <c r="B6005">
        <v>1958</v>
      </c>
      <c r="C6005">
        <v>-8.8999999999999999E-3</v>
      </c>
    </row>
    <row r="6006" spans="1:3" x14ac:dyDescent="0.35">
      <c r="A6006">
        <v>95</v>
      </c>
      <c r="B6006">
        <v>1959</v>
      </c>
      <c r="C6006">
        <v>-7.3000000000000001E-3</v>
      </c>
    </row>
    <row r="6007" spans="1:3" x14ac:dyDescent="0.35">
      <c r="A6007">
        <v>95</v>
      </c>
      <c r="B6007">
        <v>1960</v>
      </c>
      <c r="C6007">
        <v>-5.5999999999999999E-3</v>
      </c>
    </row>
    <row r="6008" spans="1:3" x14ac:dyDescent="0.35">
      <c r="A6008">
        <v>95</v>
      </c>
      <c r="B6008">
        <v>1961</v>
      </c>
      <c r="C6008">
        <v>-3.8E-3</v>
      </c>
    </row>
    <row r="6009" spans="1:3" x14ac:dyDescent="0.35">
      <c r="A6009">
        <v>95</v>
      </c>
      <c r="B6009">
        <v>1962</v>
      </c>
      <c r="C6009">
        <v>-2E-3</v>
      </c>
    </row>
    <row r="6010" spans="1:3" x14ac:dyDescent="0.35">
      <c r="A6010">
        <v>95</v>
      </c>
      <c r="B6010">
        <v>1963</v>
      </c>
      <c r="C6010">
        <v>-1E-4</v>
      </c>
    </row>
    <row r="6011" spans="1:3" x14ac:dyDescent="0.35">
      <c r="A6011">
        <v>95</v>
      </c>
      <c r="B6011">
        <v>1964</v>
      </c>
      <c r="C6011">
        <v>1.6999999999999999E-3</v>
      </c>
    </row>
    <row r="6012" spans="1:3" x14ac:dyDescent="0.35">
      <c r="A6012">
        <v>95</v>
      </c>
      <c r="B6012">
        <v>1965</v>
      </c>
      <c r="C6012">
        <v>3.5999999999999999E-3</v>
      </c>
    </row>
    <row r="6013" spans="1:3" x14ac:dyDescent="0.35">
      <c r="A6013">
        <v>95</v>
      </c>
      <c r="B6013">
        <v>1966</v>
      </c>
      <c r="C6013">
        <v>5.3E-3</v>
      </c>
    </row>
    <row r="6014" spans="1:3" x14ac:dyDescent="0.35">
      <c r="A6014">
        <v>95</v>
      </c>
      <c r="B6014">
        <v>1967</v>
      </c>
      <c r="C6014">
        <v>7.0000000000000001E-3</v>
      </c>
    </row>
    <row r="6015" spans="1:3" x14ac:dyDescent="0.35">
      <c r="A6015">
        <v>95</v>
      </c>
      <c r="B6015">
        <v>1968</v>
      </c>
      <c r="C6015">
        <v>8.5000000000000006E-3</v>
      </c>
    </row>
    <row r="6016" spans="1:3" x14ac:dyDescent="0.35">
      <c r="A6016">
        <v>95</v>
      </c>
      <c r="B6016">
        <v>1969</v>
      </c>
      <c r="C6016">
        <v>9.9000000000000008E-3</v>
      </c>
    </row>
    <row r="6017" spans="1:3" x14ac:dyDescent="0.35">
      <c r="A6017">
        <v>95</v>
      </c>
      <c r="B6017">
        <v>1970</v>
      </c>
      <c r="C6017">
        <v>1.0999999999999999E-2</v>
      </c>
    </row>
    <row r="6018" spans="1:3" x14ac:dyDescent="0.35">
      <c r="A6018">
        <v>95</v>
      </c>
      <c r="B6018">
        <v>1971</v>
      </c>
      <c r="C6018">
        <v>1.1900000000000001E-2</v>
      </c>
    </row>
    <row r="6019" spans="1:3" x14ac:dyDescent="0.35">
      <c r="A6019">
        <v>95</v>
      </c>
      <c r="B6019">
        <v>1972</v>
      </c>
      <c r="C6019">
        <v>1.2500000000000001E-2</v>
      </c>
    </row>
    <row r="6020" spans="1:3" x14ac:dyDescent="0.35">
      <c r="A6020">
        <v>95</v>
      </c>
      <c r="B6020">
        <v>1973</v>
      </c>
      <c r="C6020">
        <v>1.29E-2</v>
      </c>
    </row>
    <row r="6021" spans="1:3" x14ac:dyDescent="0.35">
      <c r="A6021">
        <v>95</v>
      </c>
      <c r="B6021">
        <v>1974</v>
      </c>
      <c r="C6021">
        <v>1.2999999999999999E-2</v>
      </c>
    </row>
    <row r="6022" spans="1:3" x14ac:dyDescent="0.35">
      <c r="A6022">
        <v>95</v>
      </c>
      <c r="B6022">
        <v>1975</v>
      </c>
      <c r="C6022">
        <v>1.2800000000000001E-2</v>
      </c>
    </row>
    <row r="6023" spans="1:3" x14ac:dyDescent="0.35">
      <c r="A6023">
        <v>95</v>
      </c>
      <c r="B6023">
        <v>1976</v>
      </c>
      <c r="C6023">
        <v>1.23E-2</v>
      </c>
    </row>
    <row r="6024" spans="1:3" x14ac:dyDescent="0.35">
      <c r="A6024">
        <v>95</v>
      </c>
      <c r="B6024">
        <v>1977</v>
      </c>
      <c r="C6024">
        <v>1.1599999999999999E-2</v>
      </c>
    </row>
    <row r="6025" spans="1:3" x14ac:dyDescent="0.35">
      <c r="A6025">
        <v>95</v>
      </c>
      <c r="B6025">
        <v>1978</v>
      </c>
      <c r="C6025">
        <v>1.06E-2</v>
      </c>
    </row>
    <row r="6026" spans="1:3" x14ac:dyDescent="0.35">
      <c r="A6026">
        <v>95</v>
      </c>
      <c r="B6026">
        <v>1979</v>
      </c>
      <c r="C6026">
        <v>9.2999999999999992E-3</v>
      </c>
    </row>
    <row r="6027" spans="1:3" x14ac:dyDescent="0.35">
      <c r="A6027">
        <v>95</v>
      </c>
      <c r="B6027">
        <v>1980</v>
      </c>
      <c r="C6027">
        <v>7.9000000000000008E-3</v>
      </c>
    </row>
    <row r="6028" spans="1:3" x14ac:dyDescent="0.35">
      <c r="A6028">
        <v>95</v>
      </c>
      <c r="B6028">
        <v>1981</v>
      </c>
      <c r="C6028">
        <v>6.4000000000000003E-3</v>
      </c>
    </row>
    <row r="6029" spans="1:3" x14ac:dyDescent="0.35">
      <c r="A6029">
        <v>95</v>
      </c>
      <c r="B6029">
        <v>1982</v>
      </c>
      <c r="C6029">
        <v>4.7000000000000002E-3</v>
      </c>
    </row>
    <row r="6030" spans="1:3" x14ac:dyDescent="0.35">
      <c r="A6030">
        <v>95</v>
      </c>
      <c r="B6030">
        <v>1983</v>
      </c>
      <c r="C6030">
        <v>2.8999999999999998E-3</v>
      </c>
    </row>
    <row r="6031" spans="1:3" x14ac:dyDescent="0.35">
      <c r="A6031">
        <v>95</v>
      </c>
      <c r="B6031">
        <v>1984</v>
      </c>
      <c r="C6031">
        <v>1.1999999999999999E-3</v>
      </c>
    </row>
    <row r="6032" spans="1:3" x14ac:dyDescent="0.35">
      <c r="A6032">
        <v>95</v>
      </c>
      <c r="B6032">
        <v>1985</v>
      </c>
      <c r="C6032">
        <v>-5.9999999999999995E-4</v>
      </c>
    </row>
    <row r="6033" spans="1:3" x14ac:dyDescent="0.35">
      <c r="A6033">
        <v>95</v>
      </c>
      <c r="B6033">
        <v>1986</v>
      </c>
      <c r="C6033">
        <v>-2.2000000000000001E-3</v>
      </c>
    </row>
    <row r="6034" spans="1:3" x14ac:dyDescent="0.35">
      <c r="A6034">
        <v>95</v>
      </c>
      <c r="B6034">
        <v>1987</v>
      </c>
      <c r="C6034">
        <v>-3.8E-3</v>
      </c>
    </row>
    <row r="6035" spans="1:3" x14ac:dyDescent="0.35">
      <c r="A6035">
        <v>95</v>
      </c>
      <c r="B6035">
        <v>1988</v>
      </c>
      <c r="C6035">
        <v>-5.1999999999999998E-3</v>
      </c>
    </row>
    <row r="6036" spans="1:3" x14ac:dyDescent="0.35">
      <c r="A6036">
        <v>95</v>
      </c>
      <c r="B6036">
        <v>1989</v>
      </c>
      <c r="C6036">
        <v>-6.4000000000000003E-3</v>
      </c>
    </row>
    <row r="6037" spans="1:3" x14ac:dyDescent="0.35">
      <c r="A6037">
        <v>95</v>
      </c>
      <c r="B6037">
        <v>1990</v>
      </c>
      <c r="C6037">
        <v>-7.4000000000000003E-3</v>
      </c>
    </row>
    <row r="6038" spans="1:3" x14ac:dyDescent="0.35">
      <c r="A6038">
        <v>95</v>
      </c>
      <c r="B6038">
        <v>1991</v>
      </c>
      <c r="C6038">
        <v>-8.2000000000000007E-3</v>
      </c>
    </row>
    <row r="6039" spans="1:3" x14ac:dyDescent="0.35">
      <c r="A6039">
        <v>95</v>
      </c>
      <c r="B6039">
        <v>1992</v>
      </c>
      <c r="C6039">
        <v>-8.6999999999999994E-3</v>
      </c>
    </row>
    <row r="6040" spans="1:3" x14ac:dyDescent="0.35">
      <c r="A6040">
        <v>95</v>
      </c>
      <c r="B6040">
        <v>1993</v>
      </c>
      <c r="C6040">
        <v>-9.1000000000000004E-3</v>
      </c>
    </row>
    <row r="6041" spans="1:3" x14ac:dyDescent="0.35">
      <c r="A6041">
        <v>95</v>
      </c>
      <c r="B6041">
        <v>1994</v>
      </c>
      <c r="C6041">
        <v>-9.1000000000000004E-3</v>
      </c>
    </row>
    <row r="6042" spans="1:3" x14ac:dyDescent="0.35">
      <c r="A6042">
        <v>95</v>
      </c>
      <c r="B6042">
        <v>1995</v>
      </c>
      <c r="C6042">
        <v>-8.8999999999999999E-3</v>
      </c>
    </row>
    <row r="6043" spans="1:3" x14ac:dyDescent="0.35">
      <c r="A6043">
        <v>95</v>
      </c>
      <c r="B6043">
        <v>1996</v>
      </c>
      <c r="C6043">
        <v>-8.3999999999999995E-3</v>
      </c>
    </row>
    <row r="6044" spans="1:3" x14ac:dyDescent="0.35">
      <c r="A6044">
        <v>95</v>
      </c>
      <c r="B6044">
        <v>1997</v>
      </c>
      <c r="C6044">
        <v>-7.7000000000000002E-3</v>
      </c>
    </row>
    <row r="6045" spans="1:3" x14ac:dyDescent="0.35">
      <c r="A6045">
        <v>95</v>
      </c>
      <c r="B6045">
        <v>1998</v>
      </c>
      <c r="C6045">
        <v>-6.7000000000000002E-3</v>
      </c>
    </row>
    <row r="6046" spans="1:3" x14ac:dyDescent="0.35">
      <c r="A6046">
        <v>95</v>
      </c>
      <c r="B6046">
        <v>1999</v>
      </c>
      <c r="C6046">
        <v>-5.5999999999999999E-3</v>
      </c>
    </row>
    <row r="6047" spans="1:3" x14ac:dyDescent="0.35">
      <c r="A6047">
        <v>95</v>
      </c>
      <c r="B6047">
        <v>2000</v>
      </c>
      <c r="C6047">
        <v>-4.1999999999999997E-3</v>
      </c>
    </row>
    <row r="6048" spans="1:3" x14ac:dyDescent="0.35">
      <c r="A6048">
        <v>95</v>
      </c>
      <c r="B6048">
        <v>2001</v>
      </c>
      <c r="C6048">
        <v>-2.7000000000000001E-3</v>
      </c>
    </row>
    <row r="6049" spans="1:3" x14ac:dyDescent="0.35">
      <c r="A6049">
        <v>95</v>
      </c>
      <c r="B6049">
        <v>2002</v>
      </c>
      <c r="C6049">
        <v>-1.1000000000000001E-3</v>
      </c>
    </row>
    <row r="6050" spans="1:3" x14ac:dyDescent="0.35">
      <c r="A6050">
        <v>95</v>
      </c>
      <c r="B6050">
        <v>2003</v>
      </c>
      <c r="C6050">
        <v>5.0000000000000001E-4</v>
      </c>
    </row>
    <row r="6051" spans="1:3" x14ac:dyDescent="0.35">
      <c r="A6051">
        <v>95</v>
      </c>
      <c r="B6051">
        <v>2004</v>
      </c>
      <c r="C6051">
        <v>2.0999999999999999E-3</v>
      </c>
    </row>
    <row r="6052" spans="1:3" x14ac:dyDescent="0.35">
      <c r="A6052">
        <v>95</v>
      </c>
      <c r="B6052">
        <v>2005</v>
      </c>
      <c r="C6052">
        <v>3.7000000000000002E-3</v>
      </c>
    </row>
    <row r="6053" spans="1:3" x14ac:dyDescent="0.35">
      <c r="A6053">
        <v>95</v>
      </c>
      <c r="B6053">
        <v>2006</v>
      </c>
      <c r="C6053">
        <v>5.1000000000000004E-3</v>
      </c>
    </row>
    <row r="6054" spans="1:3" x14ac:dyDescent="0.35">
      <c r="A6054">
        <v>95</v>
      </c>
      <c r="B6054">
        <v>2007</v>
      </c>
      <c r="C6054">
        <v>6.4999999999999997E-3</v>
      </c>
    </row>
    <row r="6055" spans="1:3" x14ac:dyDescent="0.35">
      <c r="A6055">
        <v>95</v>
      </c>
      <c r="B6055">
        <v>2008</v>
      </c>
      <c r="C6055">
        <v>7.7000000000000002E-3</v>
      </c>
    </row>
    <row r="6056" spans="1:3" x14ac:dyDescent="0.35">
      <c r="A6056">
        <v>95</v>
      </c>
      <c r="B6056">
        <v>2009</v>
      </c>
      <c r="C6056">
        <v>8.8999999999999999E-3</v>
      </c>
    </row>
    <row r="6057" spans="1:3" x14ac:dyDescent="0.35">
      <c r="A6057">
        <v>95</v>
      </c>
      <c r="B6057">
        <v>2010</v>
      </c>
      <c r="C6057">
        <v>9.9000000000000008E-3</v>
      </c>
    </row>
    <row r="6058" spans="1:3" x14ac:dyDescent="0.35">
      <c r="A6058">
        <v>95</v>
      </c>
      <c r="B6058">
        <v>2011</v>
      </c>
      <c r="C6058">
        <v>1.09E-2</v>
      </c>
    </row>
    <row r="6059" spans="1:3" x14ac:dyDescent="0.35">
      <c r="A6059">
        <v>95</v>
      </c>
      <c r="B6059">
        <v>2012</v>
      </c>
      <c r="C6059">
        <v>1.18E-2</v>
      </c>
    </row>
    <row r="6060" spans="1:3" x14ac:dyDescent="0.35">
      <c r="A6060">
        <v>95</v>
      </c>
      <c r="B6060">
        <v>2013</v>
      </c>
      <c r="C6060">
        <v>1.14E-2</v>
      </c>
    </row>
    <row r="6061" spans="1:3" x14ac:dyDescent="0.35">
      <c r="A6061">
        <v>95</v>
      </c>
      <c r="B6061">
        <v>2014</v>
      </c>
      <c r="C6061">
        <v>1.0999999999999999E-2</v>
      </c>
    </row>
    <row r="6062" spans="1:3" x14ac:dyDescent="0.35">
      <c r="A6062">
        <v>95</v>
      </c>
      <c r="B6062">
        <v>2015</v>
      </c>
      <c r="C6062">
        <v>1.04E-2</v>
      </c>
    </row>
    <row r="6063" spans="1:3" x14ac:dyDescent="0.35">
      <c r="A6063">
        <v>95</v>
      </c>
      <c r="B6063">
        <v>2016</v>
      </c>
      <c r="C6063">
        <v>9.9000000000000008E-3</v>
      </c>
    </row>
    <row r="6064" spans="1:3" x14ac:dyDescent="0.35">
      <c r="A6064">
        <v>95</v>
      </c>
      <c r="B6064">
        <v>2017</v>
      </c>
      <c r="C6064">
        <v>9.4000000000000004E-3</v>
      </c>
    </row>
    <row r="6065" spans="1:3" x14ac:dyDescent="0.35">
      <c r="A6065">
        <v>95</v>
      </c>
      <c r="B6065">
        <v>2018</v>
      </c>
      <c r="C6065">
        <v>8.9999999999999993E-3</v>
      </c>
    </row>
    <row r="6066" spans="1:3" x14ac:dyDescent="0.35">
      <c r="A6066">
        <v>95</v>
      </c>
      <c r="B6066">
        <v>2019</v>
      </c>
      <c r="C6066">
        <v>8.6E-3</v>
      </c>
    </row>
    <row r="6067" spans="1:3" x14ac:dyDescent="0.35">
      <c r="A6067">
        <v>95</v>
      </c>
      <c r="B6067">
        <v>2020</v>
      </c>
      <c r="C6067">
        <v>8.3000000000000001E-3</v>
      </c>
    </row>
    <row r="6068" spans="1:3" x14ac:dyDescent="0.35">
      <c r="A6068">
        <v>95</v>
      </c>
      <c r="B6068">
        <v>2021</v>
      </c>
      <c r="C6068">
        <v>8.0000000000000002E-3</v>
      </c>
    </row>
    <row r="6069" spans="1:3" x14ac:dyDescent="0.35">
      <c r="A6069">
        <v>95</v>
      </c>
      <c r="B6069">
        <v>2022</v>
      </c>
      <c r="C6069">
        <v>7.9000000000000008E-3</v>
      </c>
    </row>
    <row r="6070" spans="1:3" x14ac:dyDescent="0.35">
      <c r="A6070">
        <v>95</v>
      </c>
      <c r="B6070">
        <v>2023</v>
      </c>
      <c r="C6070">
        <v>7.9000000000000008E-3</v>
      </c>
    </row>
    <row r="6071" spans="1:3" x14ac:dyDescent="0.35">
      <c r="A6071">
        <v>95</v>
      </c>
      <c r="B6071">
        <v>2024</v>
      </c>
      <c r="C6071">
        <v>7.9000000000000008E-3</v>
      </c>
    </row>
    <row r="6072" spans="1:3" x14ac:dyDescent="0.35">
      <c r="A6072">
        <v>95</v>
      </c>
      <c r="B6072">
        <v>2025</v>
      </c>
      <c r="C6072">
        <v>7.9000000000000008E-3</v>
      </c>
    </row>
    <row r="6073" spans="1:3" x14ac:dyDescent="0.35">
      <c r="A6073">
        <v>95</v>
      </c>
      <c r="B6073">
        <v>2026</v>
      </c>
      <c r="C6073">
        <v>7.9000000000000008E-3</v>
      </c>
    </row>
    <row r="6074" spans="1:3" x14ac:dyDescent="0.35">
      <c r="A6074">
        <v>95</v>
      </c>
      <c r="B6074">
        <v>2027</v>
      </c>
      <c r="C6074">
        <v>7.9000000000000008E-3</v>
      </c>
    </row>
    <row r="6075" spans="1:3" x14ac:dyDescent="0.35">
      <c r="A6075">
        <v>95</v>
      </c>
      <c r="B6075">
        <v>2028</v>
      </c>
      <c r="C6075">
        <v>8.0000000000000002E-3</v>
      </c>
    </row>
    <row r="6076" spans="1:3" x14ac:dyDescent="0.35">
      <c r="A6076">
        <v>95</v>
      </c>
      <c r="B6076">
        <v>2029</v>
      </c>
      <c r="C6076">
        <v>8.0000000000000002E-3</v>
      </c>
    </row>
    <row r="6077" spans="1:3" x14ac:dyDescent="0.35">
      <c r="A6077">
        <v>95</v>
      </c>
      <c r="B6077">
        <v>2030</v>
      </c>
      <c r="C6077">
        <v>8.2000000000000007E-3</v>
      </c>
    </row>
    <row r="6078" spans="1:3" x14ac:dyDescent="0.35">
      <c r="A6078">
        <v>95</v>
      </c>
      <c r="B6078">
        <v>2031</v>
      </c>
      <c r="C6078">
        <v>8.3000000000000001E-3</v>
      </c>
    </row>
    <row r="6079" spans="1:3" x14ac:dyDescent="0.35">
      <c r="A6079">
        <v>96</v>
      </c>
      <c r="B6079">
        <v>1951</v>
      </c>
      <c r="C6079">
        <v>-1.8100000000000002E-2</v>
      </c>
    </row>
    <row r="6080" spans="1:3" x14ac:dyDescent="0.35">
      <c r="A6080">
        <v>96</v>
      </c>
      <c r="B6080">
        <v>1952</v>
      </c>
      <c r="C6080">
        <v>-1.6799999999999999E-2</v>
      </c>
    </row>
    <row r="6081" spans="1:3" x14ac:dyDescent="0.35">
      <c r="A6081">
        <v>96</v>
      </c>
      <c r="B6081">
        <v>1953</v>
      </c>
      <c r="C6081">
        <v>-1.55E-2</v>
      </c>
    </row>
    <row r="6082" spans="1:3" x14ac:dyDescent="0.35">
      <c r="A6082">
        <v>96</v>
      </c>
      <c r="B6082">
        <v>1954</v>
      </c>
      <c r="C6082">
        <v>-1.41E-2</v>
      </c>
    </row>
    <row r="6083" spans="1:3" x14ac:dyDescent="0.35">
      <c r="A6083">
        <v>96</v>
      </c>
      <c r="B6083">
        <v>1955</v>
      </c>
      <c r="C6083">
        <v>-1.2800000000000001E-2</v>
      </c>
    </row>
    <row r="6084" spans="1:3" x14ac:dyDescent="0.35">
      <c r="A6084">
        <v>96</v>
      </c>
      <c r="B6084">
        <v>1956</v>
      </c>
      <c r="C6084">
        <v>-1.14E-2</v>
      </c>
    </row>
    <row r="6085" spans="1:3" x14ac:dyDescent="0.35">
      <c r="A6085">
        <v>96</v>
      </c>
      <c r="B6085">
        <v>1957</v>
      </c>
      <c r="C6085">
        <v>-0.01</v>
      </c>
    </row>
    <row r="6086" spans="1:3" x14ac:dyDescent="0.35">
      <c r="A6086">
        <v>96</v>
      </c>
      <c r="B6086">
        <v>1958</v>
      </c>
      <c r="C6086">
        <v>-8.5000000000000006E-3</v>
      </c>
    </row>
    <row r="6087" spans="1:3" x14ac:dyDescent="0.35">
      <c r="A6087">
        <v>96</v>
      </c>
      <c r="B6087">
        <v>1959</v>
      </c>
      <c r="C6087">
        <v>-6.8999999999999999E-3</v>
      </c>
    </row>
    <row r="6088" spans="1:3" x14ac:dyDescent="0.35">
      <c r="A6088">
        <v>96</v>
      </c>
      <c r="B6088">
        <v>1960</v>
      </c>
      <c r="C6088">
        <v>-5.3E-3</v>
      </c>
    </row>
    <row r="6089" spans="1:3" x14ac:dyDescent="0.35">
      <c r="A6089">
        <v>96</v>
      </c>
      <c r="B6089">
        <v>1961</v>
      </c>
      <c r="C6089">
        <v>-3.5999999999999999E-3</v>
      </c>
    </row>
    <row r="6090" spans="1:3" x14ac:dyDescent="0.35">
      <c r="A6090">
        <v>96</v>
      </c>
      <c r="B6090">
        <v>1962</v>
      </c>
      <c r="C6090">
        <v>-1.9E-3</v>
      </c>
    </row>
    <row r="6091" spans="1:3" x14ac:dyDescent="0.35">
      <c r="A6091">
        <v>96</v>
      </c>
      <c r="B6091">
        <v>1963</v>
      </c>
      <c r="C6091">
        <v>-1E-4</v>
      </c>
    </row>
    <row r="6092" spans="1:3" x14ac:dyDescent="0.35">
      <c r="A6092">
        <v>96</v>
      </c>
      <c r="B6092">
        <v>1964</v>
      </c>
      <c r="C6092">
        <v>1.6000000000000001E-3</v>
      </c>
    </row>
    <row r="6093" spans="1:3" x14ac:dyDescent="0.35">
      <c r="A6093">
        <v>96</v>
      </c>
      <c r="B6093">
        <v>1965</v>
      </c>
      <c r="C6093">
        <v>3.3999999999999998E-3</v>
      </c>
    </row>
    <row r="6094" spans="1:3" x14ac:dyDescent="0.35">
      <c r="A6094">
        <v>96</v>
      </c>
      <c r="B6094">
        <v>1966</v>
      </c>
      <c r="C6094">
        <v>5.1000000000000004E-3</v>
      </c>
    </row>
    <row r="6095" spans="1:3" x14ac:dyDescent="0.35">
      <c r="A6095">
        <v>96</v>
      </c>
      <c r="B6095">
        <v>1967</v>
      </c>
      <c r="C6095">
        <v>6.7000000000000002E-3</v>
      </c>
    </row>
    <row r="6096" spans="1:3" x14ac:dyDescent="0.35">
      <c r="A6096">
        <v>96</v>
      </c>
      <c r="B6096">
        <v>1968</v>
      </c>
      <c r="C6096">
        <v>8.0999999999999996E-3</v>
      </c>
    </row>
    <row r="6097" spans="1:3" x14ac:dyDescent="0.35">
      <c r="A6097">
        <v>96</v>
      </c>
      <c r="B6097">
        <v>1969</v>
      </c>
      <c r="C6097">
        <v>9.4000000000000004E-3</v>
      </c>
    </row>
    <row r="6098" spans="1:3" x14ac:dyDescent="0.35">
      <c r="A6098">
        <v>96</v>
      </c>
      <c r="B6098">
        <v>1970</v>
      </c>
      <c r="C6098">
        <v>1.0500000000000001E-2</v>
      </c>
    </row>
    <row r="6099" spans="1:3" x14ac:dyDescent="0.35">
      <c r="A6099">
        <v>96</v>
      </c>
      <c r="B6099">
        <v>1971</v>
      </c>
      <c r="C6099">
        <v>1.1299999999999999E-2</v>
      </c>
    </row>
    <row r="6100" spans="1:3" x14ac:dyDescent="0.35">
      <c r="A6100">
        <v>96</v>
      </c>
      <c r="B6100">
        <v>1972</v>
      </c>
      <c r="C6100">
        <v>1.1900000000000001E-2</v>
      </c>
    </row>
    <row r="6101" spans="1:3" x14ac:dyDescent="0.35">
      <c r="A6101">
        <v>96</v>
      </c>
      <c r="B6101">
        <v>1973</v>
      </c>
      <c r="C6101">
        <v>1.23E-2</v>
      </c>
    </row>
    <row r="6102" spans="1:3" x14ac:dyDescent="0.35">
      <c r="A6102">
        <v>96</v>
      </c>
      <c r="B6102">
        <v>1974</v>
      </c>
      <c r="C6102">
        <v>1.23E-2</v>
      </c>
    </row>
    <row r="6103" spans="1:3" x14ac:dyDescent="0.35">
      <c r="A6103">
        <v>96</v>
      </c>
      <c r="B6103">
        <v>1975</v>
      </c>
      <c r="C6103">
        <v>1.21E-2</v>
      </c>
    </row>
    <row r="6104" spans="1:3" x14ac:dyDescent="0.35">
      <c r="A6104">
        <v>96</v>
      </c>
      <c r="B6104">
        <v>1976</v>
      </c>
      <c r="C6104">
        <v>1.17E-2</v>
      </c>
    </row>
    <row r="6105" spans="1:3" x14ac:dyDescent="0.35">
      <c r="A6105">
        <v>96</v>
      </c>
      <c r="B6105">
        <v>1977</v>
      </c>
      <c r="C6105">
        <v>1.0999999999999999E-2</v>
      </c>
    </row>
    <row r="6106" spans="1:3" x14ac:dyDescent="0.35">
      <c r="A6106">
        <v>96</v>
      </c>
      <c r="B6106">
        <v>1978</v>
      </c>
      <c r="C6106">
        <v>0.01</v>
      </c>
    </row>
    <row r="6107" spans="1:3" x14ac:dyDescent="0.35">
      <c r="A6107">
        <v>96</v>
      </c>
      <c r="B6107">
        <v>1979</v>
      </c>
      <c r="C6107">
        <v>8.8999999999999999E-3</v>
      </c>
    </row>
    <row r="6108" spans="1:3" x14ac:dyDescent="0.35">
      <c r="A6108">
        <v>96</v>
      </c>
      <c r="B6108">
        <v>1980</v>
      </c>
      <c r="C6108">
        <v>7.4999999999999997E-3</v>
      </c>
    </row>
    <row r="6109" spans="1:3" x14ac:dyDescent="0.35">
      <c r="A6109">
        <v>96</v>
      </c>
      <c r="B6109">
        <v>1981</v>
      </c>
      <c r="C6109">
        <v>6.0000000000000001E-3</v>
      </c>
    </row>
    <row r="6110" spans="1:3" x14ac:dyDescent="0.35">
      <c r="A6110">
        <v>96</v>
      </c>
      <c r="B6110">
        <v>1982</v>
      </c>
      <c r="C6110">
        <v>4.4000000000000003E-3</v>
      </c>
    </row>
    <row r="6111" spans="1:3" x14ac:dyDescent="0.35">
      <c r="A6111">
        <v>96</v>
      </c>
      <c r="B6111">
        <v>1983</v>
      </c>
      <c r="C6111">
        <v>2.8E-3</v>
      </c>
    </row>
    <row r="6112" spans="1:3" x14ac:dyDescent="0.35">
      <c r="A6112">
        <v>96</v>
      </c>
      <c r="B6112">
        <v>1984</v>
      </c>
      <c r="C6112">
        <v>1.1000000000000001E-3</v>
      </c>
    </row>
    <row r="6113" spans="1:3" x14ac:dyDescent="0.35">
      <c r="A6113">
        <v>96</v>
      </c>
      <c r="B6113">
        <v>1985</v>
      </c>
      <c r="C6113">
        <v>-5.9999999999999995E-4</v>
      </c>
    </row>
    <row r="6114" spans="1:3" x14ac:dyDescent="0.35">
      <c r="A6114">
        <v>96</v>
      </c>
      <c r="B6114">
        <v>1986</v>
      </c>
      <c r="C6114">
        <v>-2.0999999999999999E-3</v>
      </c>
    </row>
    <row r="6115" spans="1:3" x14ac:dyDescent="0.35">
      <c r="A6115">
        <v>96</v>
      </c>
      <c r="B6115">
        <v>1987</v>
      </c>
      <c r="C6115">
        <v>-3.5999999999999999E-3</v>
      </c>
    </row>
    <row r="6116" spans="1:3" x14ac:dyDescent="0.35">
      <c r="A6116">
        <v>96</v>
      </c>
      <c r="B6116">
        <v>1988</v>
      </c>
      <c r="C6116">
        <v>-4.8999999999999998E-3</v>
      </c>
    </row>
    <row r="6117" spans="1:3" x14ac:dyDescent="0.35">
      <c r="A6117">
        <v>96</v>
      </c>
      <c r="B6117">
        <v>1989</v>
      </c>
      <c r="C6117">
        <v>-6.0000000000000001E-3</v>
      </c>
    </row>
    <row r="6118" spans="1:3" x14ac:dyDescent="0.35">
      <c r="A6118">
        <v>96</v>
      </c>
      <c r="B6118">
        <v>1990</v>
      </c>
      <c r="C6118">
        <v>-7.0000000000000001E-3</v>
      </c>
    </row>
    <row r="6119" spans="1:3" x14ac:dyDescent="0.35">
      <c r="A6119">
        <v>96</v>
      </c>
      <c r="B6119">
        <v>1991</v>
      </c>
      <c r="C6119">
        <v>-7.7999999999999996E-3</v>
      </c>
    </row>
    <row r="6120" spans="1:3" x14ac:dyDescent="0.35">
      <c r="A6120">
        <v>96</v>
      </c>
      <c r="B6120">
        <v>1992</v>
      </c>
      <c r="C6120">
        <v>-8.3000000000000001E-3</v>
      </c>
    </row>
    <row r="6121" spans="1:3" x14ac:dyDescent="0.35">
      <c r="A6121">
        <v>96</v>
      </c>
      <c r="B6121">
        <v>1993</v>
      </c>
      <c r="C6121">
        <v>-8.6E-3</v>
      </c>
    </row>
    <row r="6122" spans="1:3" x14ac:dyDescent="0.35">
      <c r="A6122">
        <v>96</v>
      </c>
      <c r="B6122">
        <v>1994</v>
      </c>
      <c r="C6122">
        <v>-8.6999999999999994E-3</v>
      </c>
    </row>
    <row r="6123" spans="1:3" x14ac:dyDescent="0.35">
      <c r="A6123">
        <v>96</v>
      </c>
      <c r="B6123">
        <v>1995</v>
      </c>
      <c r="C6123">
        <v>-8.5000000000000006E-3</v>
      </c>
    </row>
    <row r="6124" spans="1:3" x14ac:dyDescent="0.35">
      <c r="A6124">
        <v>96</v>
      </c>
      <c r="B6124">
        <v>1996</v>
      </c>
      <c r="C6124">
        <v>-8.0000000000000002E-3</v>
      </c>
    </row>
    <row r="6125" spans="1:3" x14ac:dyDescent="0.35">
      <c r="A6125">
        <v>96</v>
      </c>
      <c r="B6125">
        <v>1997</v>
      </c>
      <c r="C6125">
        <v>-7.3000000000000001E-3</v>
      </c>
    </row>
    <row r="6126" spans="1:3" x14ac:dyDescent="0.35">
      <c r="A6126">
        <v>96</v>
      </c>
      <c r="B6126">
        <v>1998</v>
      </c>
      <c r="C6126">
        <v>-6.4000000000000003E-3</v>
      </c>
    </row>
    <row r="6127" spans="1:3" x14ac:dyDescent="0.35">
      <c r="A6127">
        <v>96</v>
      </c>
      <c r="B6127">
        <v>1999</v>
      </c>
      <c r="C6127">
        <v>-5.3E-3</v>
      </c>
    </row>
    <row r="6128" spans="1:3" x14ac:dyDescent="0.35">
      <c r="A6128">
        <v>96</v>
      </c>
      <c r="B6128">
        <v>2000</v>
      </c>
      <c r="C6128">
        <v>-4.0000000000000001E-3</v>
      </c>
    </row>
    <row r="6129" spans="1:3" x14ac:dyDescent="0.35">
      <c r="A6129">
        <v>96</v>
      </c>
      <c r="B6129">
        <v>2001</v>
      </c>
      <c r="C6129">
        <v>-2.5999999999999999E-3</v>
      </c>
    </row>
    <row r="6130" spans="1:3" x14ac:dyDescent="0.35">
      <c r="A6130">
        <v>96</v>
      </c>
      <c r="B6130">
        <v>2002</v>
      </c>
      <c r="C6130">
        <v>-1.1000000000000001E-3</v>
      </c>
    </row>
    <row r="6131" spans="1:3" x14ac:dyDescent="0.35">
      <c r="A6131">
        <v>96</v>
      </c>
      <c r="B6131">
        <v>2003</v>
      </c>
      <c r="C6131">
        <v>5.0000000000000001E-4</v>
      </c>
    </row>
    <row r="6132" spans="1:3" x14ac:dyDescent="0.35">
      <c r="A6132">
        <v>96</v>
      </c>
      <c r="B6132">
        <v>2004</v>
      </c>
      <c r="C6132">
        <v>2E-3</v>
      </c>
    </row>
    <row r="6133" spans="1:3" x14ac:dyDescent="0.35">
      <c r="A6133">
        <v>96</v>
      </c>
      <c r="B6133">
        <v>2005</v>
      </c>
      <c r="C6133">
        <v>3.5000000000000001E-3</v>
      </c>
    </row>
    <row r="6134" spans="1:3" x14ac:dyDescent="0.35">
      <c r="A6134">
        <v>96</v>
      </c>
      <c r="B6134">
        <v>2006</v>
      </c>
      <c r="C6134">
        <v>4.8999999999999998E-3</v>
      </c>
    </row>
    <row r="6135" spans="1:3" x14ac:dyDescent="0.35">
      <c r="A6135">
        <v>96</v>
      </c>
      <c r="B6135">
        <v>2007</v>
      </c>
      <c r="C6135">
        <v>6.1999999999999998E-3</v>
      </c>
    </row>
    <row r="6136" spans="1:3" x14ac:dyDescent="0.35">
      <c r="A6136">
        <v>96</v>
      </c>
      <c r="B6136">
        <v>2008</v>
      </c>
      <c r="C6136">
        <v>7.4000000000000003E-3</v>
      </c>
    </row>
    <row r="6137" spans="1:3" x14ac:dyDescent="0.35">
      <c r="A6137">
        <v>96</v>
      </c>
      <c r="B6137">
        <v>2009</v>
      </c>
      <c r="C6137">
        <v>8.3999999999999995E-3</v>
      </c>
    </row>
    <row r="6138" spans="1:3" x14ac:dyDescent="0.35">
      <c r="A6138">
        <v>96</v>
      </c>
      <c r="B6138">
        <v>2010</v>
      </c>
      <c r="C6138">
        <v>9.4000000000000004E-3</v>
      </c>
    </row>
    <row r="6139" spans="1:3" x14ac:dyDescent="0.35">
      <c r="A6139">
        <v>96</v>
      </c>
      <c r="B6139">
        <v>2011</v>
      </c>
      <c r="C6139">
        <v>1.03E-2</v>
      </c>
    </row>
    <row r="6140" spans="1:3" x14ac:dyDescent="0.35">
      <c r="A6140">
        <v>96</v>
      </c>
      <c r="B6140">
        <v>2012</v>
      </c>
      <c r="C6140">
        <v>1.12E-2</v>
      </c>
    </row>
    <row r="6141" spans="1:3" x14ac:dyDescent="0.35">
      <c r="A6141">
        <v>96</v>
      </c>
      <c r="B6141">
        <v>2013</v>
      </c>
      <c r="C6141">
        <v>1.09E-2</v>
      </c>
    </row>
    <row r="6142" spans="1:3" x14ac:dyDescent="0.35">
      <c r="A6142">
        <v>96</v>
      </c>
      <c r="B6142">
        <v>2014</v>
      </c>
      <c r="C6142">
        <v>1.04E-2</v>
      </c>
    </row>
    <row r="6143" spans="1:3" x14ac:dyDescent="0.35">
      <c r="A6143">
        <v>96</v>
      </c>
      <c r="B6143">
        <v>2015</v>
      </c>
      <c r="C6143">
        <v>9.9000000000000008E-3</v>
      </c>
    </row>
    <row r="6144" spans="1:3" x14ac:dyDescent="0.35">
      <c r="A6144">
        <v>96</v>
      </c>
      <c r="B6144">
        <v>2016</v>
      </c>
      <c r="C6144">
        <v>9.4000000000000004E-3</v>
      </c>
    </row>
    <row r="6145" spans="1:3" x14ac:dyDescent="0.35">
      <c r="A6145">
        <v>96</v>
      </c>
      <c r="B6145">
        <v>2017</v>
      </c>
      <c r="C6145">
        <v>8.8999999999999999E-3</v>
      </c>
    </row>
    <row r="6146" spans="1:3" x14ac:dyDescent="0.35">
      <c r="A6146">
        <v>96</v>
      </c>
      <c r="B6146">
        <v>2018</v>
      </c>
      <c r="C6146">
        <v>8.5000000000000006E-3</v>
      </c>
    </row>
    <row r="6147" spans="1:3" x14ac:dyDescent="0.35">
      <c r="A6147">
        <v>96</v>
      </c>
      <c r="B6147">
        <v>2019</v>
      </c>
      <c r="C6147">
        <v>8.0999999999999996E-3</v>
      </c>
    </row>
    <row r="6148" spans="1:3" x14ac:dyDescent="0.35">
      <c r="A6148">
        <v>96</v>
      </c>
      <c r="B6148">
        <v>2020</v>
      </c>
      <c r="C6148">
        <v>7.7999999999999996E-3</v>
      </c>
    </row>
    <row r="6149" spans="1:3" x14ac:dyDescent="0.35">
      <c r="A6149">
        <v>96</v>
      </c>
      <c r="B6149">
        <v>2021</v>
      </c>
      <c r="C6149">
        <v>7.6E-3</v>
      </c>
    </row>
    <row r="6150" spans="1:3" x14ac:dyDescent="0.35">
      <c r="A6150">
        <v>96</v>
      </c>
      <c r="B6150">
        <v>2022</v>
      </c>
      <c r="C6150">
        <v>7.4999999999999997E-3</v>
      </c>
    </row>
    <row r="6151" spans="1:3" x14ac:dyDescent="0.35">
      <c r="A6151">
        <v>96</v>
      </c>
      <c r="B6151">
        <v>2023</v>
      </c>
      <c r="C6151">
        <v>7.4999999999999997E-3</v>
      </c>
    </row>
    <row r="6152" spans="1:3" x14ac:dyDescent="0.35">
      <c r="A6152">
        <v>96</v>
      </c>
      <c r="B6152">
        <v>2024</v>
      </c>
      <c r="C6152">
        <v>7.4999999999999997E-3</v>
      </c>
    </row>
    <row r="6153" spans="1:3" x14ac:dyDescent="0.35">
      <c r="A6153">
        <v>96</v>
      </c>
      <c r="B6153">
        <v>2025</v>
      </c>
      <c r="C6153">
        <v>7.4999999999999997E-3</v>
      </c>
    </row>
    <row r="6154" spans="1:3" x14ac:dyDescent="0.35">
      <c r="A6154">
        <v>96</v>
      </c>
      <c r="B6154">
        <v>2026</v>
      </c>
      <c r="C6154">
        <v>7.4999999999999997E-3</v>
      </c>
    </row>
    <row r="6155" spans="1:3" x14ac:dyDescent="0.35">
      <c r="A6155">
        <v>96</v>
      </c>
      <c r="B6155">
        <v>2027</v>
      </c>
      <c r="C6155">
        <v>7.4999999999999997E-3</v>
      </c>
    </row>
    <row r="6156" spans="1:3" x14ac:dyDescent="0.35">
      <c r="A6156">
        <v>96</v>
      </c>
      <c r="B6156">
        <v>2028</v>
      </c>
      <c r="C6156">
        <v>7.6E-3</v>
      </c>
    </row>
    <row r="6157" spans="1:3" x14ac:dyDescent="0.35">
      <c r="A6157">
        <v>96</v>
      </c>
      <c r="B6157">
        <v>2029</v>
      </c>
      <c r="C6157">
        <v>7.6E-3</v>
      </c>
    </row>
    <row r="6158" spans="1:3" x14ac:dyDescent="0.35">
      <c r="A6158">
        <v>96</v>
      </c>
      <c r="B6158">
        <v>2030</v>
      </c>
      <c r="C6158">
        <v>7.7000000000000002E-3</v>
      </c>
    </row>
    <row r="6159" spans="1:3" x14ac:dyDescent="0.35">
      <c r="A6159">
        <v>96</v>
      </c>
      <c r="B6159">
        <v>2031</v>
      </c>
      <c r="C6159">
        <v>7.9000000000000008E-3</v>
      </c>
    </row>
    <row r="6160" spans="1:3" x14ac:dyDescent="0.35">
      <c r="A6160">
        <v>97</v>
      </c>
      <c r="B6160">
        <v>1951</v>
      </c>
      <c r="C6160">
        <v>-1.72E-2</v>
      </c>
    </row>
    <row r="6161" spans="1:3" x14ac:dyDescent="0.35">
      <c r="A6161">
        <v>97</v>
      </c>
      <c r="B6161">
        <v>1952</v>
      </c>
      <c r="C6161">
        <v>-1.5900000000000001E-2</v>
      </c>
    </row>
    <row r="6162" spans="1:3" x14ac:dyDescent="0.35">
      <c r="A6162">
        <v>97</v>
      </c>
      <c r="B6162">
        <v>1953</v>
      </c>
      <c r="C6162">
        <v>-1.47E-2</v>
      </c>
    </row>
    <row r="6163" spans="1:3" x14ac:dyDescent="0.35">
      <c r="A6163">
        <v>97</v>
      </c>
      <c r="B6163">
        <v>1954</v>
      </c>
      <c r="C6163">
        <v>-1.34E-2</v>
      </c>
    </row>
    <row r="6164" spans="1:3" x14ac:dyDescent="0.35">
      <c r="A6164">
        <v>97</v>
      </c>
      <c r="B6164">
        <v>1955</v>
      </c>
      <c r="C6164">
        <v>-1.21E-2</v>
      </c>
    </row>
    <row r="6165" spans="1:3" x14ac:dyDescent="0.35">
      <c r="A6165">
        <v>97</v>
      </c>
      <c r="B6165">
        <v>1956</v>
      </c>
      <c r="C6165">
        <v>-1.0800000000000001E-2</v>
      </c>
    </row>
    <row r="6166" spans="1:3" x14ac:dyDescent="0.35">
      <c r="A6166">
        <v>97</v>
      </c>
      <c r="B6166">
        <v>1957</v>
      </c>
      <c r="C6166">
        <v>-9.4000000000000004E-3</v>
      </c>
    </row>
    <row r="6167" spans="1:3" x14ac:dyDescent="0.35">
      <c r="A6167">
        <v>97</v>
      </c>
      <c r="B6167">
        <v>1958</v>
      </c>
      <c r="C6167">
        <v>-8.0000000000000002E-3</v>
      </c>
    </row>
    <row r="6168" spans="1:3" x14ac:dyDescent="0.35">
      <c r="A6168">
        <v>97</v>
      </c>
      <c r="B6168">
        <v>1959</v>
      </c>
      <c r="C6168">
        <v>-6.6E-3</v>
      </c>
    </row>
    <row r="6169" spans="1:3" x14ac:dyDescent="0.35">
      <c r="A6169">
        <v>97</v>
      </c>
      <c r="B6169">
        <v>1960</v>
      </c>
      <c r="C6169">
        <v>-5.0000000000000001E-3</v>
      </c>
    </row>
    <row r="6170" spans="1:3" x14ac:dyDescent="0.35">
      <c r="A6170">
        <v>97</v>
      </c>
      <c r="B6170">
        <v>1961</v>
      </c>
      <c r="C6170">
        <v>-3.3999999999999998E-3</v>
      </c>
    </row>
    <row r="6171" spans="1:3" x14ac:dyDescent="0.35">
      <c r="A6171">
        <v>97</v>
      </c>
      <c r="B6171">
        <v>1962</v>
      </c>
      <c r="C6171">
        <v>-1.8E-3</v>
      </c>
    </row>
    <row r="6172" spans="1:3" x14ac:dyDescent="0.35">
      <c r="A6172">
        <v>97</v>
      </c>
      <c r="B6172">
        <v>1963</v>
      </c>
      <c r="C6172">
        <v>-1E-4</v>
      </c>
    </row>
    <row r="6173" spans="1:3" x14ac:dyDescent="0.35">
      <c r="A6173">
        <v>97</v>
      </c>
      <c r="B6173">
        <v>1964</v>
      </c>
      <c r="C6173">
        <v>1.6000000000000001E-3</v>
      </c>
    </row>
    <row r="6174" spans="1:3" x14ac:dyDescent="0.35">
      <c r="A6174">
        <v>97</v>
      </c>
      <c r="B6174">
        <v>1965</v>
      </c>
      <c r="C6174">
        <v>3.2000000000000002E-3</v>
      </c>
    </row>
    <row r="6175" spans="1:3" x14ac:dyDescent="0.35">
      <c r="A6175">
        <v>97</v>
      </c>
      <c r="B6175">
        <v>1966</v>
      </c>
      <c r="C6175">
        <v>4.7999999999999996E-3</v>
      </c>
    </row>
    <row r="6176" spans="1:3" x14ac:dyDescent="0.35">
      <c r="A6176">
        <v>97</v>
      </c>
      <c r="B6176">
        <v>1967</v>
      </c>
      <c r="C6176">
        <v>6.3E-3</v>
      </c>
    </row>
    <row r="6177" spans="1:3" x14ac:dyDescent="0.35">
      <c r="A6177">
        <v>97</v>
      </c>
      <c r="B6177">
        <v>1968</v>
      </c>
      <c r="C6177">
        <v>7.7000000000000002E-3</v>
      </c>
    </row>
    <row r="6178" spans="1:3" x14ac:dyDescent="0.35">
      <c r="A6178">
        <v>97</v>
      </c>
      <c r="B6178">
        <v>1969</v>
      </c>
      <c r="C6178">
        <v>8.8999999999999999E-3</v>
      </c>
    </row>
    <row r="6179" spans="1:3" x14ac:dyDescent="0.35">
      <c r="A6179">
        <v>97</v>
      </c>
      <c r="B6179">
        <v>1970</v>
      </c>
      <c r="C6179">
        <v>9.9000000000000008E-3</v>
      </c>
    </row>
    <row r="6180" spans="1:3" x14ac:dyDescent="0.35">
      <c r="A6180">
        <v>97</v>
      </c>
      <c r="B6180">
        <v>1971</v>
      </c>
      <c r="C6180">
        <v>1.0699999999999999E-2</v>
      </c>
    </row>
    <row r="6181" spans="1:3" x14ac:dyDescent="0.35">
      <c r="A6181">
        <v>97</v>
      </c>
      <c r="B6181">
        <v>1972</v>
      </c>
      <c r="C6181">
        <v>1.1299999999999999E-2</v>
      </c>
    </row>
    <row r="6182" spans="1:3" x14ac:dyDescent="0.35">
      <c r="A6182">
        <v>97</v>
      </c>
      <c r="B6182">
        <v>1973</v>
      </c>
      <c r="C6182">
        <v>1.1599999999999999E-2</v>
      </c>
    </row>
    <row r="6183" spans="1:3" x14ac:dyDescent="0.35">
      <c r="A6183">
        <v>97</v>
      </c>
      <c r="B6183">
        <v>1974</v>
      </c>
      <c r="C6183">
        <v>1.17E-2</v>
      </c>
    </row>
    <row r="6184" spans="1:3" x14ac:dyDescent="0.35">
      <c r="A6184">
        <v>97</v>
      </c>
      <c r="B6184">
        <v>1975</v>
      </c>
      <c r="C6184">
        <v>1.15E-2</v>
      </c>
    </row>
    <row r="6185" spans="1:3" x14ac:dyDescent="0.35">
      <c r="A6185">
        <v>97</v>
      </c>
      <c r="B6185">
        <v>1976</v>
      </c>
      <c r="C6185">
        <v>1.11E-2</v>
      </c>
    </row>
    <row r="6186" spans="1:3" x14ac:dyDescent="0.35">
      <c r="A6186">
        <v>97</v>
      </c>
      <c r="B6186">
        <v>1977</v>
      </c>
      <c r="C6186">
        <v>1.04E-2</v>
      </c>
    </row>
    <row r="6187" spans="1:3" x14ac:dyDescent="0.35">
      <c r="A6187">
        <v>97</v>
      </c>
      <c r="B6187">
        <v>1978</v>
      </c>
      <c r="C6187">
        <v>9.4999999999999998E-3</v>
      </c>
    </row>
    <row r="6188" spans="1:3" x14ac:dyDescent="0.35">
      <c r="A6188">
        <v>97</v>
      </c>
      <c r="B6188">
        <v>1979</v>
      </c>
      <c r="C6188">
        <v>8.3999999999999995E-3</v>
      </c>
    </row>
    <row r="6189" spans="1:3" x14ac:dyDescent="0.35">
      <c r="A6189">
        <v>97</v>
      </c>
      <c r="B6189">
        <v>1980</v>
      </c>
      <c r="C6189">
        <v>7.1000000000000004E-3</v>
      </c>
    </row>
    <row r="6190" spans="1:3" x14ac:dyDescent="0.35">
      <c r="A6190">
        <v>97</v>
      </c>
      <c r="B6190">
        <v>1981</v>
      </c>
      <c r="C6190">
        <v>5.7000000000000002E-3</v>
      </c>
    </row>
    <row r="6191" spans="1:3" x14ac:dyDescent="0.35">
      <c r="A6191">
        <v>97</v>
      </c>
      <c r="B6191">
        <v>1982</v>
      </c>
      <c r="C6191">
        <v>4.1999999999999997E-3</v>
      </c>
    </row>
    <row r="6192" spans="1:3" x14ac:dyDescent="0.35">
      <c r="A6192">
        <v>97</v>
      </c>
      <c r="B6192">
        <v>1983</v>
      </c>
      <c r="C6192">
        <v>2.5999999999999999E-3</v>
      </c>
    </row>
    <row r="6193" spans="1:3" x14ac:dyDescent="0.35">
      <c r="A6193">
        <v>97</v>
      </c>
      <c r="B6193">
        <v>1984</v>
      </c>
      <c r="C6193">
        <v>1E-3</v>
      </c>
    </row>
    <row r="6194" spans="1:3" x14ac:dyDescent="0.35">
      <c r="A6194">
        <v>97</v>
      </c>
      <c r="B6194">
        <v>1985</v>
      </c>
      <c r="C6194">
        <v>-5.0000000000000001E-4</v>
      </c>
    </row>
    <row r="6195" spans="1:3" x14ac:dyDescent="0.35">
      <c r="A6195">
        <v>97</v>
      </c>
      <c r="B6195">
        <v>1986</v>
      </c>
      <c r="C6195">
        <v>-2E-3</v>
      </c>
    </row>
    <row r="6196" spans="1:3" x14ac:dyDescent="0.35">
      <c r="A6196">
        <v>97</v>
      </c>
      <c r="B6196">
        <v>1987</v>
      </c>
      <c r="C6196">
        <v>-3.3999999999999998E-3</v>
      </c>
    </row>
    <row r="6197" spans="1:3" x14ac:dyDescent="0.35">
      <c r="A6197">
        <v>97</v>
      </c>
      <c r="B6197">
        <v>1988</v>
      </c>
      <c r="C6197">
        <v>-4.5999999999999999E-3</v>
      </c>
    </row>
    <row r="6198" spans="1:3" x14ac:dyDescent="0.35">
      <c r="A6198">
        <v>97</v>
      </c>
      <c r="B6198">
        <v>1989</v>
      </c>
      <c r="C6198">
        <v>-5.7000000000000002E-3</v>
      </c>
    </row>
    <row r="6199" spans="1:3" x14ac:dyDescent="0.35">
      <c r="A6199">
        <v>97</v>
      </c>
      <c r="B6199">
        <v>1990</v>
      </c>
      <c r="C6199">
        <v>-6.6E-3</v>
      </c>
    </row>
    <row r="6200" spans="1:3" x14ac:dyDescent="0.35">
      <c r="A6200">
        <v>97</v>
      </c>
      <c r="B6200">
        <v>1991</v>
      </c>
      <c r="C6200">
        <v>-7.4000000000000003E-3</v>
      </c>
    </row>
    <row r="6201" spans="1:3" x14ac:dyDescent="0.35">
      <c r="A6201">
        <v>97</v>
      </c>
      <c r="B6201">
        <v>1992</v>
      </c>
      <c r="C6201">
        <v>-7.9000000000000008E-3</v>
      </c>
    </row>
    <row r="6202" spans="1:3" x14ac:dyDescent="0.35">
      <c r="A6202">
        <v>97</v>
      </c>
      <c r="B6202">
        <v>1993</v>
      </c>
      <c r="C6202">
        <v>-8.0999999999999996E-3</v>
      </c>
    </row>
    <row r="6203" spans="1:3" x14ac:dyDescent="0.35">
      <c r="A6203">
        <v>97</v>
      </c>
      <c r="B6203">
        <v>1994</v>
      </c>
      <c r="C6203">
        <v>-8.2000000000000007E-3</v>
      </c>
    </row>
    <row r="6204" spans="1:3" x14ac:dyDescent="0.35">
      <c r="A6204">
        <v>97</v>
      </c>
      <c r="B6204">
        <v>1995</v>
      </c>
      <c r="C6204">
        <v>-8.0000000000000002E-3</v>
      </c>
    </row>
    <row r="6205" spans="1:3" x14ac:dyDescent="0.35">
      <c r="A6205">
        <v>97</v>
      </c>
      <c r="B6205">
        <v>1996</v>
      </c>
      <c r="C6205">
        <v>-7.6E-3</v>
      </c>
    </row>
    <row r="6206" spans="1:3" x14ac:dyDescent="0.35">
      <c r="A6206">
        <v>97</v>
      </c>
      <c r="B6206">
        <v>1997</v>
      </c>
      <c r="C6206">
        <v>-6.8999999999999999E-3</v>
      </c>
    </row>
    <row r="6207" spans="1:3" x14ac:dyDescent="0.35">
      <c r="A6207">
        <v>97</v>
      </c>
      <c r="B6207">
        <v>1998</v>
      </c>
      <c r="C6207">
        <v>-6.1000000000000004E-3</v>
      </c>
    </row>
    <row r="6208" spans="1:3" x14ac:dyDescent="0.35">
      <c r="A6208">
        <v>97</v>
      </c>
      <c r="B6208">
        <v>1999</v>
      </c>
      <c r="C6208">
        <v>-5.0000000000000001E-3</v>
      </c>
    </row>
    <row r="6209" spans="1:3" x14ac:dyDescent="0.35">
      <c r="A6209">
        <v>97</v>
      </c>
      <c r="B6209">
        <v>2000</v>
      </c>
      <c r="C6209">
        <v>-3.8E-3</v>
      </c>
    </row>
    <row r="6210" spans="1:3" x14ac:dyDescent="0.35">
      <c r="A6210">
        <v>97</v>
      </c>
      <c r="B6210">
        <v>2001</v>
      </c>
      <c r="C6210">
        <v>-2.3999999999999998E-3</v>
      </c>
    </row>
    <row r="6211" spans="1:3" x14ac:dyDescent="0.35">
      <c r="A6211">
        <v>97</v>
      </c>
      <c r="B6211">
        <v>2002</v>
      </c>
      <c r="C6211">
        <v>-1E-3</v>
      </c>
    </row>
    <row r="6212" spans="1:3" x14ac:dyDescent="0.35">
      <c r="A6212">
        <v>97</v>
      </c>
      <c r="B6212">
        <v>2003</v>
      </c>
      <c r="C6212">
        <v>4.0000000000000002E-4</v>
      </c>
    </row>
    <row r="6213" spans="1:3" x14ac:dyDescent="0.35">
      <c r="A6213">
        <v>97</v>
      </c>
      <c r="B6213">
        <v>2004</v>
      </c>
      <c r="C6213">
        <v>1.9E-3</v>
      </c>
    </row>
    <row r="6214" spans="1:3" x14ac:dyDescent="0.35">
      <c r="A6214">
        <v>97</v>
      </c>
      <c r="B6214">
        <v>2005</v>
      </c>
      <c r="C6214">
        <v>3.3E-3</v>
      </c>
    </row>
    <row r="6215" spans="1:3" x14ac:dyDescent="0.35">
      <c r="A6215">
        <v>97</v>
      </c>
      <c r="B6215">
        <v>2006</v>
      </c>
      <c r="C6215">
        <v>4.5999999999999999E-3</v>
      </c>
    </row>
    <row r="6216" spans="1:3" x14ac:dyDescent="0.35">
      <c r="A6216">
        <v>97</v>
      </c>
      <c r="B6216">
        <v>2007</v>
      </c>
      <c r="C6216">
        <v>5.7999999999999996E-3</v>
      </c>
    </row>
    <row r="6217" spans="1:3" x14ac:dyDescent="0.35">
      <c r="A6217">
        <v>97</v>
      </c>
      <c r="B6217">
        <v>2008</v>
      </c>
      <c r="C6217">
        <v>7.0000000000000001E-3</v>
      </c>
    </row>
    <row r="6218" spans="1:3" x14ac:dyDescent="0.35">
      <c r="A6218">
        <v>97</v>
      </c>
      <c r="B6218">
        <v>2009</v>
      </c>
      <c r="C6218">
        <v>8.0000000000000002E-3</v>
      </c>
    </row>
    <row r="6219" spans="1:3" x14ac:dyDescent="0.35">
      <c r="A6219">
        <v>97</v>
      </c>
      <c r="B6219">
        <v>2010</v>
      </c>
      <c r="C6219">
        <v>8.8999999999999999E-3</v>
      </c>
    </row>
    <row r="6220" spans="1:3" x14ac:dyDescent="0.35">
      <c r="A6220">
        <v>97</v>
      </c>
      <c r="B6220">
        <v>2011</v>
      </c>
      <c r="C6220">
        <v>9.7999999999999997E-3</v>
      </c>
    </row>
    <row r="6221" spans="1:3" x14ac:dyDescent="0.35">
      <c r="A6221">
        <v>97</v>
      </c>
      <c r="B6221">
        <v>2012</v>
      </c>
      <c r="C6221">
        <v>1.06E-2</v>
      </c>
    </row>
    <row r="6222" spans="1:3" x14ac:dyDescent="0.35">
      <c r="A6222">
        <v>97</v>
      </c>
      <c r="B6222">
        <v>2013</v>
      </c>
      <c r="C6222">
        <v>1.03E-2</v>
      </c>
    </row>
    <row r="6223" spans="1:3" x14ac:dyDescent="0.35">
      <c r="A6223">
        <v>97</v>
      </c>
      <c r="B6223">
        <v>2014</v>
      </c>
      <c r="C6223">
        <v>9.9000000000000008E-3</v>
      </c>
    </row>
    <row r="6224" spans="1:3" x14ac:dyDescent="0.35">
      <c r="A6224">
        <v>97</v>
      </c>
      <c r="B6224">
        <v>2015</v>
      </c>
      <c r="C6224">
        <v>9.4000000000000004E-3</v>
      </c>
    </row>
    <row r="6225" spans="1:3" x14ac:dyDescent="0.35">
      <c r="A6225">
        <v>97</v>
      </c>
      <c r="B6225">
        <v>2016</v>
      </c>
      <c r="C6225">
        <v>8.8999999999999999E-3</v>
      </c>
    </row>
    <row r="6226" spans="1:3" x14ac:dyDescent="0.35">
      <c r="A6226">
        <v>97</v>
      </c>
      <c r="B6226">
        <v>2017</v>
      </c>
      <c r="C6226">
        <v>8.5000000000000006E-3</v>
      </c>
    </row>
    <row r="6227" spans="1:3" x14ac:dyDescent="0.35">
      <c r="A6227">
        <v>97</v>
      </c>
      <c r="B6227">
        <v>2018</v>
      </c>
      <c r="C6227">
        <v>8.0999999999999996E-3</v>
      </c>
    </row>
    <row r="6228" spans="1:3" x14ac:dyDescent="0.35">
      <c r="A6228">
        <v>97</v>
      </c>
      <c r="B6228">
        <v>2019</v>
      </c>
      <c r="C6228">
        <v>7.7000000000000002E-3</v>
      </c>
    </row>
    <row r="6229" spans="1:3" x14ac:dyDescent="0.35">
      <c r="A6229">
        <v>97</v>
      </c>
      <c r="B6229">
        <v>2020</v>
      </c>
      <c r="C6229">
        <v>7.4000000000000003E-3</v>
      </c>
    </row>
    <row r="6230" spans="1:3" x14ac:dyDescent="0.35">
      <c r="A6230">
        <v>97</v>
      </c>
      <c r="B6230">
        <v>2021</v>
      </c>
      <c r="C6230">
        <v>7.1999999999999998E-3</v>
      </c>
    </row>
    <row r="6231" spans="1:3" x14ac:dyDescent="0.35">
      <c r="A6231">
        <v>97</v>
      </c>
      <c r="B6231">
        <v>2022</v>
      </c>
      <c r="C6231">
        <v>7.1000000000000004E-3</v>
      </c>
    </row>
    <row r="6232" spans="1:3" x14ac:dyDescent="0.35">
      <c r="A6232">
        <v>97</v>
      </c>
      <c r="B6232">
        <v>2023</v>
      </c>
      <c r="C6232">
        <v>7.1000000000000004E-3</v>
      </c>
    </row>
    <row r="6233" spans="1:3" x14ac:dyDescent="0.35">
      <c r="A6233">
        <v>97</v>
      </c>
      <c r="B6233">
        <v>2024</v>
      </c>
      <c r="C6233">
        <v>7.1000000000000004E-3</v>
      </c>
    </row>
    <row r="6234" spans="1:3" x14ac:dyDescent="0.35">
      <c r="A6234">
        <v>97</v>
      </c>
      <c r="B6234">
        <v>2025</v>
      </c>
      <c r="C6234">
        <v>7.1000000000000004E-3</v>
      </c>
    </row>
    <row r="6235" spans="1:3" x14ac:dyDescent="0.35">
      <c r="A6235">
        <v>97</v>
      </c>
      <c r="B6235">
        <v>2026</v>
      </c>
      <c r="C6235">
        <v>7.1000000000000004E-3</v>
      </c>
    </row>
    <row r="6236" spans="1:3" x14ac:dyDescent="0.35">
      <c r="A6236">
        <v>97</v>
      </c>
      <c r="B6236">
        <v>2027</v>
      </c>
      <c r="C6236">
        <v>7.1000000000000004E-3</v>
      </c>
    </row>
    <row r="6237" spans="1:3" x14ac:dyDescent="0.35">
      <c r="A6237">
        <v>97</v>
      </c>
      <c r="B6237">
        <v>2028</v>
      </c>
      <c r="C6237">
        <v>7.1999999999999998E-3</v>
      </c>
    </row>
    <row r="6238" spans="1:3" x14ac:dyDescent="0.35">
      <c r="A6238">
        <v>97</v>
      </c>
      <c r="B6238">
        <v>2029</v>
      </c>
      <c r="C6238">
        <v>7.1999999999999998E-3</v>
      </c>
    </row>
    <row r="6239" spans="1:3" x14ac:dyDescent="0.35">
      <c r="A6239">
        <v>97</v>
      </c>
      <c r="B6239">
        <v>2030</v>
      </c>
      <c r="C6239">
        <v>7.3000000000000001E-3</v>
      </c>
    </row>
    <row r="6240" spans="1:3" x14ac:dyDescent="0.35">
      <c r="A6240">
        <v>97</v>
      </c>
      <c r="B6240">
        <v>2031</v>
      </c>
      <c r="C6240">
        <v>7.4999999999999997E-3</v>
      </c>
    </row>
    <row r="6241" spans="1:3" x14ac:dyDescent="0.35">
      <c r="A6241">
        <v>98</v>
      </c>
      <c r="B6241">
        <v>1951</v>
      </c>
      <c r="C6241">
        <v>-1.6199999999999999E-2</v>
      </c>
    </row>
    <row r="6242" spans="1:3" x14ac:dyDescent="0.35">
      <c r="A6242">
        <v>98</v>
      </c>
      <c r="B6242">
        <v>1952</v>
      </c>
      <c r="C6242">
        <v>-1.4999999999999999E-2</v>
      </c>
    </row>
    <row r="6243" spans="1:3" x14ac:dyDescent="0.35">
      <c r="A6243">
        <v>98</v>
      </c>
      <c r="B6243">
        <v>1953</v>
      </c>
      <c r="C6243">
        <v>-1.38E-2</v>
      </c>
    </row>
    <row r="6244" spans="1:3" x14ac:dyDescent="0.35">
      <c r="A6244">
        <v>98</v>
      </c>
      <c r="B6244">
        <v>1954</v>
      </c>
      <c r="C6244">
        <v>-1.2699999999999999E-2</v>
      </c>
    </row>
    <row r="6245" spans="1:3" x14ac:dyDescent="0.35">
      <c r="A6245">
        <v>98</v>
      </c>
      <c r="B6245">
        <v>1955</v>
      </c>
      <c r="C6245">
        <v>-1.14E-2</v>
      </c>
    </row>
    <row r="6246" spans="1:3" x14ac:dyDescent="0.35">
      <c r="A6246">
        <v>98</v>
      </c>
      <c r="B6246">
        <v>1956</v>
      </c>
      <c r="C6246">
        <v>-1.0200000000000001E-2</v>
      </c>
    </row>
    <row r="6247" spans="1:3" x14ac:dyDescent="0.35">
      <c r="A6247">
        <v>98</v>
      </c>
      <c r="B6247">
        <v>1957</v>
      </c>
      <c r="C6247">
        <v>-8.8999999999999999E-3</v>
      </c>
    </row>
    <row r="6248" spans="1:3" x14ac:dyDescent="0.35">
      <c r="A6248">
        <v>98</v>
      </c>
      <c r="B6248">
        <v>1958</v>
      </c>
      <c r="C6248">
        <v>-7.6E-3</v>
      </c>
    </row>
    <row r="6249" spans="1:3" x14ac:dyDescent="0.35">
      <c r="A6249">
        <v>98</v>
      </c>
      <c r="B6249">
        <v>1959</v>
      </c>
      <c r="C6249">
        <v>-6.1999999999999998E-3</v>
      </c>
    </row>
    <row r="6250" spans="1:3" x14ac:dyDescent="0.35">
      <c r="A6250">
        <v>98</v>
      </c>
      <c r="B6250">
        <v>1960</v>
      </c>
      <c r="C6250">
        <v>-4.7000000000000002E-3</v>
      </c>
    </row>
    <row r="6251" spans="1:3" x14ac:dyDescent="0.35">
      <c r="A6251">
        <v>98</v>
      </c>
      <c r="B6251">
        <v>1961</v>
      </c>
      <c r="C6251">
        <v>-3.2000000000000002E-3</v>
      </c>
    </row>
    <row r="6252" spans="1:3" x14ac:dyDescent="0.35">
      <c r="A6252">
        <v>98</v>
      </c>
      <c r="B6252">
        <v>1962</v>
      </c>
      <c r="C6252">
        <v>-1.6999999999999999E-3</v>
      </c>
    </row>
    <row r="6253" spans="1:3" x14ac:dyDescent="0.35">
      <c r="A6253">
        <v>98</v>
      </c>
      <c r="B6253">
        <v>1963</v>
      </c>
      <c r="C6253">
        <v>-1E-4</v>
      </c>
    </row>
    <row r="6254" spans="1:3" x14ac:dyDescent="0.35">
      <c r="A6254">
        <v>98</v>
      </c>
      <c r="B6254">
        <v>1964</v>
      </c>
      <c r="C6254">
        <v>1.5E-3</v>
      </c>
    </row>
    <row r="6255" spans="1:3" x14ac:dyDescent="0.35">
      <c r="A6255">
        <v>98</v>
      </c>
      <c r="B6255">
        <v>1965</v>
      </c>
      <c r="C6255">
        <v>3.0000000000000001E-3</v>
      </c>
    </row>
    <row r="6256" spans="1:3" x14ac:dyDescent="0.35">
      <c r="A6256">
        <v>98</v>
      </c>
      <c r="B6256">
        <v>1966</v>
      </c>
      <c r="C6256">
        <v>4.4999999999999997E-3</v>
      </c>
    </row>
    <row r="6257" spans="1:3" x14ac:dyDescent="0.35">
      <c r="A6257">
        <v>98</v>
      </c>
      <c r="B6257">
        <v>1967</v>
      </c>
      <c r="C6257">
        <v>6.0000000000000001E-3</v>
      </c>
    </row>
    <row r="6258" spans="1:3" x14ac:dyDescent="0.35">
      <c r="A6258">
        <v>98</v>
      </c>
      <c r="B6258">
        <v>1968</v>
      </c>
      <c r="C6258">
        <v>7.1999999999999998E-3</v>
      </c>
    </row>
    <row r="6259" spans="1:3" x14ac:dyDescent="0.35">
      <c r="A6259">
        <v>98</v>
      </c>
      <c r="B6259">
        <v>1969</v>
      </c>
      <c r="C6259">
        <v>8.3999999999999995E-3</v>
      </c>
    </row>
    <row r="6260" spans="1:3" x14ac:dyDescent="0.35">
      <c r="A6260">
        <v>98</v>
      </c>
      <c r="B6260">
        <v>1970</v>
      </c>
      <c r="C6260">
        <v>9.4000000000000004E-3</v>
      </c>
    </row>
    <row r="6261" spans="1:3" x14ac:dyDescent="0.35">
      <c r="A6261">
        <v>98</v>
      </c>
      <c r="B6261">
        <v>1971</v>
      </c>
      <c r="C6261">
        <v>1.01E-2</v>
      </c>
    </row>
    <row r="6262" spans="1:3" x14ac:dyDescent="0.35">
      <c r="A6262">
        <v>98</v>
      </c>
      <c r="B6262">
        <v>1972</v>
      </c>
      <c r="C6262">
        <v>1.0699999999999999E-2</v>
      </c>
    </row>
    <row r="6263" spans="1:3" x14ac:dyDescent="0.35">
      <c r="A6263">
        <v>98</v>
      </c>
      <c r="B6263">
        <v>1973</v>
      </c>
      <c r="C6263">
        <v>1.0999999999999999E-2</v>
      </c>
    </row>
    <row r="6264" spans="1:3" x14ac:dyDescent="0.35">
      <c r="A6264">
        <v>98</v>
      </c>
      <c r="B6264">
        <v>1974</v>
      </c>
      <c r="C6264">
        <v>1.0999999999999999E-2</v>
      </c>
    </row>
    <row r="6265" spans="1:3" x14ac:dyDescent="0.35">
      <c r="A6265">
        <v>98</v>
      </c>
      <c r="B6265">
        <v>1975</v>
      </c>
      <c r="C6265">
        <v>1.09E-2</v>
      </c>
    </row>
    <row r="6266" spans="1:3" x14ac:dyDescent="0.35">
      <c r="A6266">
        <v>98</v>
      </c>
      <c r="B6266">
        <v>1976</v>
      </c>
      <c r="C6266">
        <v>1.0500000000000001E-2</v>
      </c>
    </row>
    <row r="6267" spans="1:3" x14ac:dyDescent="0.35">
      <c r="A6267">
        <v>98</v>
      </c>
      <c r="B6267">
        <v>1977</v>
      </c>
      <c r="C6267">
        <v>9.7999999999999997E-3</v>
      </c>
    </row>
    <row r="6268" spans="1:3" x14ac:dyDescent="0.35">
      <c r="A6268">
        <v>98</v>
      </c>
      <c r="B6268">
        <v>1978</v>
      </c>
      <c r="C6268">
        <v>8.9999999999999993E-3</v>
      </c>
    </row>
    <row r="6269" spans="1:3" x14ac:dyDescent="0.35">
      <c r="A6269">
        <v>98</v>
      </c>
      <c r="B6269">
        <v>1979</v>
      </c>
      <c r="C6269">
        <v>7.9000000000000008E-3</v>
      </c>
    </row>
    <row r="6270" spans="1:3" x14ac:dyDescent="0.35">
      <c r="A6270">
        <v>98</v>
      </c>
      <c r="B6270">
        <v>1980</v>
      </c>
      <c r="C6270">
        <v>6.7000000000000002E-3</v>
      </c>
    </row>
    <row r="6271" spans="1:3" x14ac:dyDescent="0.35">
      <c r="A6271">
        <v>98</v>
      </c>
      <c r="B6271">
        <v>1981</v>
      </c>
      <c r="C6271">
        <v>5.4000000000000003E-3</v>
      </c>
    </row>
    <row r="6272" spans="1:3" x14ac:dyDescent="0.35">
      <c r="A6272">
        <v>98</v>
      </c>
      <c r="B6272">
        <v>1982</v>
      </c>
      <c r="C6272">
        <v>4.0000000000000001E-3</v>
      </c>
    </row>
    <row r="6273" spans="1:3" x14ac:dyDescent="0.35">
      <c r="A6273">
        <v>98</v>
      </c>
      <c r="B6273">
        <v>1983</v>
      </c>
      <c r="C6273">
        <v>2.5000000000000001E-3</v>
      </c>
    </row>
    <row r="6274" spans="1:3" x14ac:dyDescent="0.35">
      <c r="A6274">
        <v>98</v>
      </c>
      <c r="B6274">
        <v>1984</v>
      </c>
      <c r="C6274">
        <v>1E-3</v>
      </c>
    </row>
    <row r="6275" spans="1:3" x14ac:dyDescent="0.35">
      <c r="A6275">
        <v>98</v>
      </c>
      <c r="B6275">
        <v>1985</v>
      </c>
      <c r="C6275">
        <v>-5.0000000000000001E-4</v>
      </c>
    </row>
    <row r="6276" spans="1:3" x14ac:dyDescent="0.35">
      <c r="A6276">
        <v>98</v>
      </c>
      <c r="B6276">
        <v>1986</v>
      </c>
      <c r="C6276">
        <v>-1.9E-3</v>
      </c>
    </row>
    <row r="6277" spans="1:3" x14ac:dyDescent="0.35">
      <c r="A6277">
        <v>98</v>
      </c>
      <c r="B6277">
        <v>1987</v>
      </c>
      <c r="C6277">
        <v>-3.2000000000000002E-3</v>
      </c>
    </row>
    <row r="6278" spans="1:3" x14ac:dyDescent="0.35">
      <c r="A6278">
        <v>98</v>
      </c>
      <c r="B6278">
        <v>1988</v>
      </c>
      <c r="C6278">
        <v>-4.4000000000000003E-3</v>
      </c>
    </row>
    <row r="6279" spans="1:3" x14ac:dyDescent="0.35">
      <c r="A6279">
        <v>98</v>
      </c>
      <c r="B6279">
        <v>1989</v>
      </c>
      <c r="C6279">
        <v>-5.4000000000000003E-3</v>
      </c>
    </row>
    <row r="6280" spans="1:3" x14ac:dyDescent="0.35">
      <c r="A6280">
        <v>98</v>
      </c>
      <c r="B6280">
        <v>1990</v>
      </c>
      <c r="C6280">
        <v>-6.3E-3</v>
      </c>
    </row>
    <row r="6281" spans="1:3" x14ac:dyDescent="0.35">
      <c r="A6281">
        <v>98</v>
      </c>
      <c r="B6281">
        <v>1991</v>
      </c>
      <c r="C6281">
        <v>-6.8999999999999999E-3</v>
      </c>
    </row>
    <row r="6282" spans="1:3" x14ac:dyDescent="0.35">
      <c r="A6282">
        <v>98</v>
      </c>
      <c r="B6282">
        <v>1992</v>
      </c>
      <c r="C6282">
        <v>-7.4000000000000003E-3</v>
      </c>
    </row>
    <row r="6283" spans="1:3" x14ac:dyDescent="0.35">
      <c r="A6283">
        <v>98</v>
      </c>
      <c r="B6283">
        <v>1993</v>
      </c>
      <c r="C6283">
        <v>-7.7000000000000002E-3</v>
      </c>
    </row>
    <row r="6284" spans="1:3" x14ac:dyDescent="0.35">
      <c r="A6284">
        <v>98</v>
      </c>
      <c r="B6284">
        <v>1994</v>
      </c>
      <c r="C6284">
        <v>-7.7000000000000002E-3</v>
      </c>
    </row>
    <row r="6285" spans="1:3" x14ac:dyDescent="0.35">
      <c r="A6285">
        <v>98</v>
      </c>
      <c r="B6285">
        <v>1995</v>
      </c>
      <c r="C6285">
        <v>-7.6E-3</v>
      </c>
    </row>
    <row r="6286" spans="1:3" x14ac:dyDescent="0.35">
      <c r="A6286">
        <v>98</v>
      </c>
      <c r="B6286">
        <v>1996</v>
      </c>
      <c r="C6286">
        <v>-7.1999999999999998E-3</v>
      </c>
    </row>
    <row r="6287" spans="1:3" x14ac:dyDescent="0.35">
      <c r="A6287">
        <v>98</v>
      </c>
      <c r="B6287">
        <v>1997</v>
      </c>
      <c r="C6287">
        <v>-6.4999999999999997E-3</v>
      </c>
    </row>
    <row r="6288" spans="1:3" x14ac:dyDescent="0.35">
      <c r="A6288">
        <v>98</v>
      </c>
      <c r="B6288">
        <v>1998</v>
      </c>
      <c r="C6288">
        <v>-5.7000000000000002E-3</v>
      </c>
    </row>
    <row r="6289" spans="1:3" x14ac:dyDescent="0.35">
      <c r="A6289">
        <v>98</v>
      </c>
      <c r="B6289">
        <v>1999</v>
      </c>
      <c r="C6289">
        <v>-4.7000000000000002E-3</v>
      </c>
    </row>
    <row r="6290" spans="1:3" x14ac:dyDescent="0.35">
      <c r="A6290">
        <v>98</v>
      </c>
      <c r="B6290">
        <v>2000</v>
      </c>
      <c r="C6290">
        <v>-3.5999999999999999E-3</v>
      </c>
    </row>
    <row r="6291" spans="1:3" x14ac:dyDescent="0.35">
      <c r="A6291">
        <v>98</v>
      </c>
      <c r="B6291">
        <v>2001</v>
      </c>
      <c r="C6291">
        <v>-2.3E-3</v>
      </c>
    </row>
    <row r="6292" spans="1:3" x14ac:dyDescent="0.35">
      <c r="A6292">
        <v>98</v>
      </c>
      <c r="B6292">
        <v>2002</v>
      </c>
      <c r="C6292">
        <v>-1E-3</v>
      </c>
    </row>
    <row r="6293" spans="1:3" x14ac:dyDescent="0.35">
      <c r="A6293">
        <v>98</v>
      </c>
      <c r="B6293">
        <v>2003</v>
      </c>
      <c r="C6293">
        <v>4.0000000000000002E-4</v>
      </c>
    </row>
    <row r="6294" spans="1:3" x14ac:dyDescent="0.35">
      <c r="A6294">
        <v>98</v>
      </c>
      <c r="B6294">
        <v>2004</v>
      </c>
      <c r="C6294">
        <v>1.8E-3</v>
      </c>
    </row>
    <row r="6295" spans="1:3" x14ac:dyDescent="0.35">
      <c r="A6295">
        <v>98</v>
      </c>
      <c r="B6295">
        <v>2005</v>
      </c>
      <c r="C6295">
        <v>3.0999999999999999E-3</v>
      </c>
    </row>
    <row r="6296" spans="1:3" x14ac:dyDescent="0.35">
      <c r="A6296">
        <v>98</v>
      </c>
      <c r="B6296">
        <v>2006</v>
      </c>
      <c r="C6296">
        <v>4.4000000000000003E-3</v>
      </c>
    </row>
    <row r="6297" spans="1:3" x14ac:dyDescent="0.35">
      <c r="A6297">
        <v>98</v>
      </c>
      <c r="B6297">
        <v>2007</v>
      </c>
      <c r="C6297">
        <v>5.4999999999999997E-3</v>
      </c>
    </row>
    <row r="6298" spans="1:3" x14ac:dyDescent="0.35">
      <c r="A6298">
        <v>98</v>
      </c>
      <c r="B6298">
        <v>2008</v>
      </c>
      <c r="C6298">
        <v>6.6E-3</v>
      </c>
    </row>
    <row r="6299" spans="1:3" x14ac:dyDescent="0.35">
      <c r="A6299">
        <v>98</v>
      </c>
      <c r="B6299">
        <v>2009</v>
      </c>
      <c r="C6299">
        <v>7.4999999999999997E-3</v>
      </c>
    </row>
    <row r="6300" spans="1:3" x14ac:dyDescent="0.35">
      <c r="A6300">
        <v>98</v>
      </c>
      <c r="B6300">
        <v>2010</v>
      </c>
      <c r="C6300">
        <v>8.3999999999999995E-3</v>
      </c>
    </row>
    <row r="6301" spans="1:3" x14ac:dyDescent="0.35">
      <c r="A6301">
        <v>98</v>
      </c>
      <c r="B6301">
        <v>2011</v>
      </c>
      <c r="C6301">
        <v>9.2999999999999992E-3</v>
      </c>
    </row>
    <row r="6302" spans="1:3" x14ac:dyDescent="0.35">
      <c r="A6302">
        <v>98</v>
      </c>
      <c r="B6302">
        <v>2012</v>
      </c>
      <c r="C6302">
        <v>1.01E-2</v>
      </c>
    </row>
    <row r="6303" spans="1:3" x14ac:dyDescent="0.35">
      <c r="A6303">
        <v>98</v>
      </c>
      <c r="B6303">
        <v>2013</v>
      </c>
      <c r="C6303">
        <v>9.7000000000000003E-3</v>
      </c>
    </row>
    <row r="6304" spans="1:3" x14ac:dyDescent="0.35">
      <c r="A6304">
        <v>98</v>
      </c>
      <c r="B6304">
        <v>2014</v>
      </c>
      <c r="C6304">
        <v>9.2999999999999992E-3</v>
      </c>
    </row>
    <row r="6305" spans="1:3" x14ac:dyDescent="0.35">
      <c r="A6305">
        <v>98</v>
      </c>
      <c r="B6305">
        <v>2015</v>
      </c>
      <c r="C6305">
        <v>8.8999999999999999E-3</v>
      </c>
    </row>
    <row r="6306" spans="1:3" x14ac:dyDescent="0.35">
      <c r="A6306">
        <v>98</v>
      </c>
      <c r="B6306">
        <v>2016</v>
      </c>
      <c r="C6306">
        <v>8.3999999999999995E-3</v>
      </c>
    </row>
    <row r="6307" spans="1:3" x14ac:dyDescent="0.35">
      <c r="A6307">
        <v>98</v>
      </c>
      <c r="B6307">
        <v>2017</v>
      </c>
      <c r="C6307">
        <v>8.0000000000000002E-3</v>
      </c>
    </row>
    <row r="6308" spans="1:3" x14ac:dyDescent="0.35">
      <c r="A6308">
        <v>98</v>
      </c>
      <c r="B6308">
        <v>2018</v>
      </c>
      <c r="C6308">
        <v>7.6E-3</v>
      </c>
    </row>
    <row r="6309" spans="1:3" x14ac:dyDescent="0.35">
      <c r="A6309">
        <v>98</v>
      </c>
      <c r="B6309">
        <v>2019</v>
      </c>
      <c r="C6309">
        <v>7.3000000000000001E-3</v>
      </c>
    </row>
    <row r="6310" spans="1:3" x14ac:dyDescent="0.35">
      <c r="A6310">
        <v>98</v>
      </c>
      <c r="B6310">
        <v>2020</v>
      </c>
      <c r="C6310">
        <v>7.0000000000000001E-3</v>
      </c>
    </row>
    <row r="6311" spans="1:3" x14ac:dyDescent="0.35">
      <c r="A6311">
        <v>98</v>
      </c>
      <c r="B6311">
        <v>2021</v>
      </c>
      <c r="C6311">
        <v>6.7999999999999996E-3</v>
      </c>
    </row>
    <row r="6312" spans="1:3" x14ac:dyDescent="0.35">
      <c r="A6312">
        <v>98</v>
      </c>
      <c r="B6312">
        <v>2022</v>
      </c>
      <c r="C6312">
        <v>6.7000000000000002E-3</v>
      </c>
    </row>
    <row r="6313" spans="1:3" x14ac:dyDescent="0.35">
      <c r="A6313">
        <v>98</v>
      </c>
      <c r="B6313">
        <v>2023</v>
      </c>
      <c r="C6313">
        <v>6.7000000000000002E-3</v>
      </c>
    </row>
    <row r="6314" spans="1:3" x14ac:dyDescent="0.35">
      <c r="A6314">
        <v>98</v>
      </c>
      <c r="B6314">
        <v>2024</v>
      </c>
      <c r="C6314">
        <v>6.7000000000000002E-3</v>
      </c>
    </row>
    <row r="6315" spans="1:3" x14ac:dyDescent="0.35">
      <c r="A6315">
        <v>98</v>
      </c>
      <c r="B6315">
        <v>2025</v>
      </c>
      <c r="C6315">
        <v>6.7000000000000002E-3</v>
      </c>
    </row>
    <row r="6316" spans="1:3" x14ac:dyDescent="0.35">
      <c r="A6316">
        <v>98</v>
      </c>
      <c r="B6316">
        <v>2026</v>
      </c>
      <c r="C6316">
        <v>6.7000000000000002E-3</v>
      </c>
    </row>
    <row r="6317" spans="1:3" x14ac:dyDescent="0.35">
      <c r="A6317">
        <v>98</v>
      </c>
      <c r="B6317">
        <v>2027</v>
      </c>
      <c r="C6317">
        <v>6.7000000000000002E-3</v>
      </c>
    </row>
    <row r="6318" spans="1:3" x14ac:dyDescent="0.35">
      <c r="A6318">
        <v>98</v>
      </c>
      <c r="B6318">
        <v>2028</v>
      </c>
      <c r="C6318">
        <v>6.7999999999999996E-3</v>
      </c>
    </row>
    <row r="6319" spans="1:3" x14ac:dyDescent="0.35">
      <c r="A6319">
        <v>98</v>
      </c>
      <c r="B6319">
        <v>2029</v>
      </c>
      <c r="C6319">
        <v>6.7999999999999996E-3</v>
      </c>
    </row>
    <row r="6320" spans="1:3" x14ac:dyDescent="0.35">
      <c r="A6320">
        <v>98</v>
      </c>
      <c r="B6320">
        <v>2030</v>
      </c>
      <c r="C6320">
        <v>6.8999999999999999E-3</v>
      </c>
    </row>
    <row r="6321" spans="1:3" x14ac:dyDescent="0.35">
      <c r="A6321">
        <v>98</v>
      </c>
      <c r="B6321">
        <v>2031</v>
      </c>
      <c r="C6321">
        <v>7.1000000000000004E-3</v>
      </c>
    </row>
    <row r="6322" spans="1:3" x14ac:dyDescent="0.35">
      <c r="A6322">
        <v>99</v>
      </c>
      <c r="B6322">
        <v>1951</v>
      </c>
      <c r="C6322">
        <v>-1.5299999999999999E-2</v>
      </c>
    </row>
    <row r="6323" spans="1:3" x14ac:dyDescent="0.35">
      <c r="A6323">
        <v>99</v>
      </c>
      <c r="B6323">
        <v>1952</v>
      </c>
      <c r="C6323">
        <v>-1.41E-2</v>
      </c>
    </row>
    <row r="6324" spans="1:3" x14ac:dyDescent="0.35">
      <c r="A6324">
        <v>99</v>
      </c>
      <c r="B6324">
        <v>1953</v>
      </c>
      <c r="C6324">
        <v>-1.2999999999999999E-2</v>
      </c>
    </row>
    <row r="6325" spans="1:3" x14ac:dyDescent="0.35">
      <c r="A6325">
        <v>99</v>
      </c>
      <c r="B6325">
        <v>1954</v>
      </c>
      <c r="C6325">
        <v>-1.1900000000000001E-2</v>
      </c>
    </row>
    <row r="6326" spans="1:3" x14ac:dyDescent="0.35">
      <c r="A6326">
        <v>99</v>
      </c>
      <c r="B6326">
        <v>1955</v>
      </c>
      <c r="C6326">
        <v>-1.0800000000000001E-2</v>
      </c>
    </row>
    <row r="6327" spans="1:3" x14ac:dyDescent="0.35">
      <c r="A6327">
        <v>99</v>
      </c>
      <c r="B6327">
        <v>1956</v>
      </c>
      <c r="C6327">
        <v>-9.5999999999999992E-3</v>
      </c>
    </row>
    <row r="6328" spans="1:3" x14ac:dyDescent="0.35">
      <c r="A6328">
        <v>99</v>
      </c>
      <c r="B6328">
        <v>1957</v>
      </c>
      <c r="C6328">
        <v>-8.3999999999999995E-3</v>
      </c>
    </row>
    <row r="6329" spans="1:3" x14ac:dyDescent="0.35">
      <c r="A6329">
        <v>99</v>
      </c>
      <c r="B6329">
        <v>1958</v>
      </c>
      <c r="C6329">
        <v>-7.1000000000000004E-3</v>
      </c>
    </row>
    <row r="6330" spans="1:3" x14ac:dyDescent="0.35">
      <c r="A6330">
        <v>99</v>
      </c>
      <c r="B6330">
        <v>1959</v>
      </c>
      <c r="C6330">
        <v>-5.7999999999999996E-3</v>
      </c>
    </row>
    <row r="6331" spans="1:3" x14ac:dyDescent="0.35">
      <c r="A6331">
        <v>99</v>
      </c>
      <c r="B6331">
        <v>1960</v>
      </c>
      <c r="C6331">
        <v>-4.4999999999999997E-3</v>
      </c>
    </row>
    <row r="6332" spans="1:3" x14ac:dyDescent="0.35">
      <c r="A6332">
        <v>99</v>
      </c>
      <c r="B6332">
        <v>1961</v>
      </c>
      <c r="C6332">
        <v>-3.0000000000000001E-3</v>
      </c>
    </row>
    <row r="6333" spans="1:3" x14ac:dyDescent="0.35">
      <c r="A6333">
        <v>99</v>
      </c>
      <c r="B6333">
        <v>1962</v>
      </c>
      <c r="C6333">
        <v>-1.6000000000000001E-3</v>
      </c>
    </row>
    <row r="6334" spans="1:3" x14ac:dyDescent="0.35">
      <c r="A6334">
        <v>99</v>
      </c>
      <c r="B6334">
        <v>1963</v>
      </c>
      <c r="C6334">
        <v>-1E-4</v>
      </c>
    </row>
    <row r="6335" spans="1:3" x14ac:dyDescent="0.35">
      <c r="A6335">
        <v>99</v>
      </c>
      <c r="B6335">
        <v>1964</v>
      </c>
      <c r="C6335">
        <v>1.4E-3</v>
      </c>
    </row>
    <row r="6336" spans="1:3" x14ac:dyDescent="0.35">
      <c r="A6336">
        <v>99</v>
      </c>
      <c r="B6336">
        <v>1965</v>
      </c>
      <c r="C6336">
        <v>2.8999999999999998E-3</v>
      </c>
    </row>
    <row r="6337" spans="1:3" x14ac:dyDescent="0.35">
      <c r="A6337">
        <v>99</v>
      </c>
      <c r="B6337">
        <v>1966</v>
      </c>
      <c r="C6337">
        <v>4.3E-3</v>
      </c>
    </row>
    <row r="6338" spans="1:3" x14ac:dyDescent="0.35">
      <c r="A6338">
        <v>99</v>
      </c>
      <c r="B6338">
        <v>1967</v>
      </c>
      <c r="C6338">
        <v>5.5999999999999999E-3</v>
      </c>
    </row>
    <row r="6339" spans="1:3" x14ac:dyDescent="0.35">
      <c r="A6339">
        <v>99</v>
      </c>
      <c r="B6339">
        <v>1968</v>
      </c>
      <c r="C6339">
        <v>6.7999999999999996E-3</v>
      </c>
    </row>
    <row r="6340" spans="1:3" x14ac:dyDescent="0.35">
      <c r="A6340">
        <v>99</v>
      </c>
      <c r="B6340">
        <v>1969</v>
      </c>
      <c r="C6340">
        <v>7.9000000000000008E-3</v>
      </c>
    </row>
    <row r="6341" spans="1:3" x14ac:dyDescent="0.35">
      <c r="A6341">
        <v>99</v>
      </c>
      <c r="B6341">
        <v>1970</v>
      </c>
      <c r="C6341">
        <v>8.8000000000000005E-3</v>
      </c>
    </row>
    <row r="6342" spans="1:3" x14ac:dyDescent="0.35">
      <c r="A6342">
        <v>99</v>
      </c>
      <c r="B6342">
        <v>1971</v>
      </c>
      <c r="C6342">
        <v>9.4999999999999998E-3</v>
      </c>
    </row>
    <row r="6343" spans="1:3" x14ac:dyDescent="0.35">
      <c r="A6343">
        <v>99</v>
      </c>
      <c r="B6343">
        <v>1972</v>
      </c>
      <c r="C6343">
        <v>0.01</v>
      </c>
    </row>
    <row r="6344" spans="1:3" x14ac:dyDescent="0.35">
      <c r="A6344">
        <v>99</v>
      </c>
      <c r="B6344">
        <v>1973</v>
      </c>
      <c r="C6344">
        <v>1.03E-2</v>
      </c>
    </row>
    <row r="6345" spans="1:3" x14ac:dyDescent="0.35">
      <c r="A6345">
        <v>99</v>
      </c>
      <c r="B6345">
        <v>1974</v>
      </c>
      <c r="C6345">
        <v>1.04E-2</v>
      </c>
    </row>
    <row r="6346" spans="1:3" x14ac:dyDescent="0.35">
      <c r="A6346">
        <v>99</v>
      </c>
      <c r="B6346">
        <v>1975</v>
      </c>
      <c r="C6346">
        <v>1.0200000000000001E-2</v>
      </c>
    </row>
    <row r="6347" spans="1:3" x14ac:dyDescent="0.35">
      <c r="A6347">
        <v>99</v>
      </c>
      <c r="B6347">
        <v>1976</v>
      </c>
      <c r="C6347">
        <v>9.7999999999999997E-3</v>
      </c>
    </row>
    <row r="6348" spans="1:3" x14ac:dyDescent="0.35">
      <c r="A6348">
        <v>99</v>
      </c>
      <c r="B6348">
        <v>1977</v>
      </c>
      <c r="C6348">
        <v>9.1999999999999998E-3</v>
      </c>
    </row>
    <row r="6349" spans="1:3" x14ac:dyDescent="0.35">
      <c r="A6349">
        <v>99</v>
      </c>
      <c r="B6349">
        <v>1978</v>
      </c>
      <c r="C6349">
        <v>8.5000000000000006E-3</v>
      </c>
    </row>
    <row r="6350" spans="1:3" x14ac:dyDescent="0.35">
      <c r="A6350">
        <v>99</v>
      </c>
      <c r="B6350">
        <v>1979</v>
      </c>
      <c r="C6350">
        <v>7.4999999999999997E-3</v>
      </c>
    </row>
    <row r="6351" spans="1:3" x14ac:dyDescent="0.35">
      <c r="A6351">
        <v>99</v>
      </c>
      <c r="B6351">
        <v>1980</v>
      </c>
      <c r="C6351">
        <v>6.3E-3</v>
      </c>
    </row>
    <row r="6352" spans="1:3" x14ac:dyDescent="0.35">
      <c r="A6352">
        <v>99</v>
      </c>
      <c r="B6352">
        <v>1981</v>
      </c>
      <c r="C6352">
        <v>5.1000000000000004E-3</v>
      </c>
    </row>
    <row r="6353" spans="1:3" x14ac:dyDescent="0.35">
      <c r="A6353">
        <v>99</v>
      </c>
      <c r="B6353">
        <v>1982</v>
      </c>
      <c r="C6353">
        <v>3.7000000000000002E-3</v>
      </c>
    </row>
    <row r="6354" spans="1:3" x14ac:dyDescent="0.35">
      <c r="A6354">
        <v>99</v>
      </c>
      <c r="B6354">
        <v>1983</v>
      </c>
      <c r="C6354">
        <v>2.3E-3</v>
      </c>
    </row>
    <row r="6355" spans="1:3" x14ac:dyDescent="0.35">
      <c r="A6355">
        <v>99</v>
      </c>
      <c r="B6355">
        <v>1984</v>
      </c>
      <c r="C6355">
        <v>8.9999999999999998E-4</v>
      </c>
    </row>
    <row r="6356" spans="1:3" x14ac:dyDescent="0.35">
      <c r="A6356">
        <v>99</v>
      </c>
      <c r="B6356">
        <v>1985</v>
      </c>
      <c r="C6356">
        <v>-5.0000000000000001E-4</v>
      </c>
    </row>
    <row r="6357" spans="1:3" x14ac:dyDescent="0.35">
      <c r="A6357">
        <v>99</v>
      </c>
      <c r="B6357">
        <v>1986</v>
      </c>
      <c r="C6357">
        <v>-1.8E-3</v>
      </c>
    </row>
    <row r="6358" spans="1:3" x14ac:dyDescent="0.35">
      <c r="A6358">
        <v>99</v>
      </c>
      <c r="B6358">
        <v>1987</v>
      </c>
      <c r="C6358">
        <v>-3.0000000000000001E-3</v>
      </c>
    </row>
    <row r="6359" spans="1:3" x14ac:dyDescent="0.35">
      <c r="A6359">
        <v>99</v>
      </c>
      <c r="B6359">
        <v>1988</v>
      </c>
      <c r="C6359">
        <v>-4.1000000000000003E-3</v>
      </c>
    </row>
    <row r="6360" spans="1:3" x14ac:dyDescent="0.35">
      <c r="A6360">
        <v>99</v>
      </c>
      <c r="B6360">
        <v>1989</v>
      </c>
      <c r="C6360">
        <v>-5.1000000000000004E-3</v>
      </c>
    </row>
    <row r="6361" spans="1:3" x14ac:dyDescent="0.35">
      <c r="A6361">
        <v>99</v>
      </c>
      <c r="B6361">
        <v>1990</v>
      </c>
      <c r="C6361">
        <v>-5.8999999999999999E-3</v>
      </c>
    </row>
    <row r="6362" spans="1:3" x14ac:dyDescent="0.35">
      <c r="A6362">
        <v>99</v>
      </c>
      <c r="B6362">
        <v>1991</v>
      </c>
      <c r="C6362">
        <v>-6.4999999999999997E-3</v>
      </c>
    </row>
    <row r="6363" spans="1:3" x14ac:dyDescent="0.35">
      <c r="A6363">
        <v>99</v>
      </c>
      <c r="B6363">
        <v>1992</v>
      </c>
      <c r="C6363">
        <v>-7.0000000000000001E-3</v>
      </c>
    </row>
    <row r="6364" spans="1:3" x14ac:dyDescent="0.35">
      <c r="A6364">
        <v>99</v>
      </c>
      <c r="B6364">
        <v>1993</v>
      </c>
      <c r="C6364">
        <v>-7.1999999999999998E-3</v>
      </c>
    </row>
    <row r="6365" spans="1:3" x14ac:dyDescent="0.35">
      <c r="A6365">
        <v>99</v>
      </c>
      <c r="B6365">
        <v>1994</v>
      </c>
      <c r="C6365">
        <v>-7.3000000000000001E-3</v>
      </c>
    </row>
    <row r="6366" spans="1:3" x14ac:dyDescent="0.35">
      <c r="A6366">
        <v>99</v>
      </c>
      <c r="B6366">
        <v>1995</v>
      </c>
      <c r="C6366">
        <v>-7.1000000000000004E-3</v>
      </c>
    </row>
    <row r="6367" spans="1:3" x14ac:dyDescent="0.35">
      <c r="A6367">
        <v>99</v>
      </c>
      <c r="B6367">
        <v>1996</v>
      </c>
      <c r="C6367">
        <v>-6.7000000000000002E-3</v>
      </c>
    </row>
    <row r="6368" spans="1:3" x14ac:dyDescent="0.35">
      <c r="A6368">
        <v>99</v>
      </c>
      <c r="B6368">
        <v>1997</v>
      </c>
      <c r="C6368">
        <v>-6.1999999999999998E-3</v>
      </c>
    </row>
    <row r="6369" spans="1:3" x14ac:dyDescent="0.35">
      <c r="A6369">
        <v>99</v>
      </c>
      <c r="B6369">
        <v>1998</v>
      </c>
      <c r="C6369">
        <v>-5.4000000000000003E-3</v>
      </c>
    </row>
    <row r="6370" spans="1:3" x14ac:dyDescent="0.35">
      <c r="A6370">
        <v>99</v>
      </c>
      <c r="B6370">
        <v>1999</v>
      </c>
      <c r="C6370">
        <v>-4.4999999999999997E-3</v>
      </c>
    </row>
    <row r="6371" spans="1:3" x14ac:dyDescent="0.35">
      <c r="A6371">
        <v>99</v>
      </c>
      <c r="B6371">
        <v>2000</v>
      </c>
      <c r="C6371">
        <v>-3.3999999999999998E-3</v>
      </c>
    </row>
    <row r="6372" spans="1:3" x14ac:dyDescent="0.35">
      <c r="A6372">
        <v>99</v>
      </c>
      <c r="B6372">
        <v>2001</v>
      </c>
      <c r="C6372">
        <v>-2.2000000000000001E-3</v>
      </c>
    </row>
    <row r="6373" spans="1:3" x14ac:dyDescent="0.35">
      <c r="A6373">
        <v>99</v>
      </c>
      <c r="B6373">
        <v>2002</v>
      </c>
      <c r="C6373">
        <v>-8.9999999999999998E-4</v>
      </c>
    </row>
    <row r="6374" spans="1:3" x14ac:dyDescent="0.35">
      <c r="A6374">
        <v>99</v>
      </c>
      <c r="B6374">
        <v>2003</v>
      </c>
      <c r="C6374">
        <v>4.0000000000000002E-4</v>
      </c>
    </row>
    <row r="6375" spans="1:3" x14ac:dyDescent="0.35">
      <c r="A6375">
        <v>99</v>
      </c>
      <c r="B6375">
        <v>2004</v>
      </c>
      <c r="C6375">
        <v>1.6999999999999999E-3</v>
      </c>
    </row>
    <row r="6376" spans="1:3" x14ac:dyDescent="0.35">
      <c r="A6376">
        <v>99</v>
      </c>
      <c r="B6376">
        <v>2005</v>
      </c>
      <c r="C6376">
        <v>2.8999999999999998E-3</v>
      </c>
    </row>
    <row r="6377" spans="1:3" x14ac:dyDescent="0.35">
      <c r="A6377">
        <v>99</v>
      </c>
      <c r="B6377">
        <v>2006</v>
      </c>
      <c r="C6377">
        <v>4.1000000000000003E-3</v>
      </c>
    </row>
    <row r="6378" spans="1:3" x14ac:dyDescent="0.35">
      <c r="A6378">
        <v>99</v>
      </c>
      <c r="B6378">
        <v>2007</v>
      </c>
      <c r="C6378">
        <v>5.1999999999999998E-3</v>
      </c>
    </row>
    <row r="6379" spans="1:3" x14ac:dyDescent="0.35">
      <c r="A6379">
        <v>99</v>
      </c>
      <c r="B6379">
        <v>2008</v>
      </c>
      <c r="C6379">
        <v>6.1999999999999998E-3</v>
      </c>
    </row>
    <row r="6380" spans="1:3" x14ac:dyDescent="0.35">
      <c r="A6380">
        <v>99</v>
      </c>
      <c r="B6380">
        <v>2009</v>
      </c>
      <c r="C6380">
        <v>7.1000000000000004E-3</v>
      </c>
    </row>
    <row r="6381" spans="1:3" x14ac:dyDescent="0.35">
      <c r="A6381">
        <v>99</v>
      </c>
      <c r="B6381">
        <v>2010</v>
      </c>
      <c r="C6381">
        <v>7.9000000000000008E-3</v>
      </c>
    </row>
    <row r="6382" spans="1:3" x14ac:dyDescent="0.35">
      <c r="A6382">
        <v>99</v>
      </c>
      <c r="B6382">
        <v>2011</v>
      </c>
      <c r="C6382">
        <v>8.6999999999999994E-3</v>
      </c>
    </row>
    <row r="6383" spans="1:3" x14ac:dyDescent="0.35">
      <c r="A6383">
        <v>99</v>
      </c>
      <c r="B6383">
        <v>2012</v>
      </c>
      <c r="C6383">
        <v>9.4999999999999998E-3</v>
      </c>
    </row>
    <row r="6384" spans="1:3" x14ac:dyDescent="0.35">
      <c r="A6384">
        <v>99</v>
      </c>
      <c r="B6384">
        <v>2013</v>
      </c>
      <c r="C6384">
        <v>9.1000000000000004E-3</v>
      </c>
    </row>
    <row r="6385" spans="1:3" x14ac:dyDescent="0.35">
      <c r="A6385">
        <v>99</v>
      </c>
      <c r="B6385">
        <v>2014</v>
      </c>
      <c r="C6385">
        <v>8.8000000000000005E-3</v>
      </c>
    </row>
    <row r="6386" spans="1:3" x14ac:dyDescent="0.35">
      <c r="A6386">
        <v>99</v>
      </c>
      <c r="B6386">
        <v>2015</v>
      </c>
      <c r="C6386">
        <v>8.3999999999999995E-3</v>
      </c>
    </row>
    <row r="6387" spans="1:3" x14ac:dyDescent="0.35">
      <c r="A6387">
        <v>99</v>
      </c>
      <c r="B6387">
        <v>2016</v>
      </c>
      <c r="C6387">
        <v>7.9000000000000008E-3</v>
      </c>
    </row>
    <row r="6388" spans="1:3" x14ac:dyDescent="0.35">
      <c r="A6388">
        <v>99</v>
      </c>
      <c r="B6388">
        <v>2017</v>
      </c>
      <c r="C6388">
        <v>7.4999999999999997E-3</v>
      </c>
    </row>
    <row r="6389" spans="1:3" x14ac:dyDescent="0.35">
      <c r="A6389">
        <v>99</v>
      </c>
      <c r="B6389">
        <v>2018</v>
      </c>
      <c r="C6389">
        <v>7.1999999999999998E-3</v>
      </c>
    </row>
    <row r="6390" spans="1:3" x14ac:dyDescent="0.35">
      <c r="A6390">
        <v>99</v>
      </c>
      <c r="B6390">
        <v>2019</v>
      </c>
      <c r="C6390">
        <v>6.8999999999999999E-3</v>
      </c>
    </row>
    <row r="6391" spans="1:3" x14ac:dyDescent="0.35">
      <c r="A6391">
        <v>99</v>
      </c>
      <c r="B6391">
        <v>2020</v>
      </c>
      <c r="C6391">
        <v>6.6E-3</v>
      </c>
    </row>
    <row r="6392" spans="1:3" x14ac:dyDescent="0.35">
      <c r="A6392">
        <v>99</v>
      </c>
      <c r="B6392">
        <v>2021</v>
      </c>
      <c r="C6392">
        <v>6.4000000000000003E-3</v>
      </c>
    </row>
    <row r="6393" spans="1:3" x14ac:dyDescent="0.35">
      <c r="A6393">
        <v>99</v>
      </c>
      <c r="B6393">
        <v>2022</v>
      </c>
      <c r="C6393">
        <v>6.3E-3</v>
      </c>
    </row>
    <row r="6394" spans="1:3" x14ac:dyDescent="0.35">
      <c r="A6394">
        <v>99</v>
      </c>
      <c r="B6394">
        <v>2023</v>
      </c>
      <c r="C6394">
        <v>6.3E-3</v>
      </c>
    </row>
    <row r="6395" spans="1:3" x14ac:dyDescent="0.35">
      <c r="A6395">
        <v>99</v>
      </c>
      <c r="B6395">
        <v>2024</v>
      </c>
      <c r="C6395">
        <v>6.3E-3</v>
      </c>
    </row>
    <row r="6396" spans="1:3" x14ac:dyDescent="0.35">
      <c r="A6396">
        <v>99</v>
      </c>
      <c r="B6396">
        <v>2025</v>
      </c>
      <c r="C6396">
        <v>6.3E-3</v>
      </c>
    </row>
    <row r="6397" spans="1:3" x14ac:dyDescent="0.35">
      <c r="A6397">
        <v>99</v>
      </c>
      <c r="B6397">
        <v>2026</v>
      </c>
      <c r="C6397">
        <v>6.3E-3</v>
      </c>
    </row>
    <row r="6398" spans="1:3" x14ac:dyDescent="0.35">
      <c r="A6398">
        <v>99</v>
      </c>
      <c r="B6398">
        <v>2027</v>
      </c>
      <c r="C6398">
        <v>6.3E-3</v>
      </c>
    </row>
    <row r="6399" spans="1:3" x14ac:dyDescent="0.35">
      <c r="A6399">
        <v>99</v>
      </c>
      <c r="B6399">
        <v>2028</v>
      </c>
      <c r="C6399">
        <v>6.4000000000000003E-3</v>
      </c>
    </row>
    <row r="6400" spans="1:3" x14ac:dyDescent="0.35">
      <c r="A6400">
        <v>99</v>
      </c>
      <c r="B6400">
        <v>2029</v>
      </c>
      <c r="C6400">
        <v>6.4000000000000003E-3</v>
      </c>
    </row>
    <row r="6401" spans="1:3" x14ac:dyDescent="0.35">
      <c r="A6401">
        <v>99</v>
      </c>
      <c r="B6401">
        <v>2030</v>
      </c>
      <c r="C6401">
        <v>6.4999999999999997E-3</v>
      </c>
    </row>
    <row r="6402" spans="1:3" x14ac:dyDescent="0.35">
      <c r="A6402">
        <v>99</v>
      </c>
      <c r="B6402">
        <v>2031</v>
      </c>
      <c r="C6402">
        <v>6.6E-3</v>
      </c>
    </row>
    <row r="6403" spans="1:3" x14ac:dyDescent="0.35">
      <c r="A6403">
        <v>100</v>
      </c>
      <c r="B6403">
        <v>1951</v>
      </c>
      <c r="C6403">
        <v>-1.43E-2</v>
      </c>
    </row>
    <row r="6404" spans="1:3" x14ac:dyDescent="0.35">
      <c r="A6404">
        <v>100</v>
      </c>
      <c r="B6404">
        <v>1952</v>
      </c>
      <c r="C6404">
        <v>-1.3299999999999999E-2</v>
      </c>
    </row>
    <row r="6405" spans="1:3" x14ac:dyDescent="0.35">
      <c r="A6405">
        <v>100</v>
      </c>
      <c r="B6405">
        <v>1953</v>
      </c>
      <c r="C6405">
        <v>-1.2200000000000001E-2</v>
      </c>
    </row>
    <row r="6406" spans="1:3" x14ac:dyDescent="0.35">
      <c r="A6406">
        <v>100</v>
      </c>
      <c r="B6406">
        <v>1954</v>
      </c>
      <c r="C6406">
        <v>-1.12E-2</v>
      </c>
    </row>
    <row r="6407" spans="1:3" x14ac:dyDescent="0.35">
      <c r="A6407">
        <v>100</v>
      </c>
      <c r="B6407">
        <v>1955</v>
      </c>
      <c r="C6407">
        <v>-1.01E-2</v>
      </c>
    </row>
    <row r="6408" spans="1:3" x14ac:dyDescent="0.35">
      <c r="A6408">
        <v>100</v>
      </c>
      <c r="B6408">
        <v>1956</v>
      </c>
      <c r="C6408">
        <v>-8.9999999999999993E-3</v>
      </c>
    </row>
    <row r="6409" spans="1:3" x14ac:dyDescent="0.35">
      <c r="A6409">
        <v>100</v>
      </c>
      <c r="B6409">
        <v>1957</v>
      </c>
      <c r="C6409">
        <v>-7.9000000000000008E-3</v>
      </c>
    </row>
    <row r="6410" spans="1:3" x14ac:dyDescent="0.35">
      <c r="A6410">
        <v>100</v>
      </c>
      <c r="B6410">
        <v>1958</v>
      </c>
      <c r="C6410">
        <v>-6.7000000000000002E-3</v>
      </c>
    </row>
    <row r="6411" spans="1:3" x14ac:dyDescent="0.35">
      <c r="A6411">
        <v>100</v>
      </c>
      <c r="B6411">
        <v>1959</v>
      </c>
      <c r="C6411">
        <v>-5.4999999999999997E-3</v>
      </c>
    </row>
    <row r="6412" spans="1:3" x14ac:dyDescent="0.35">
      <c r="A6412">
        <v>100</v>
      </c>
      <c r="B6412">
        <v>1960</v>
      </c>
      <c r="C6412">
        <v>-4.1999999999999997E-3</v>
      </c>
    </row>
    <row r="6413" spans="1:3" x14ac:dyDescent="0.35">
      <c r="A6413">
        <v>100</v>
      </c>
      <c r="B6413">
        <v>1961</v>
      </c>
      <c r="C6413">
        <v>-2.8999999999999998E-3</v>
      </c>
    </row>
    <row r="6414" spans="1:3" x14ac:dyDescent="0.35">
      <c r="A6414">
        <v>100</v>
      </c>
      <c r="B6414">
        <v>1962</v>
      </c>
      <c r="C6414">
        <v>-1.5E-3</v>
      </c>
    </row>
    <row r="6415" spans="1:3" x14ac:dyDescent="0.35">
      <c r="A6415">
        <v>100</v>
      </c>
      <c r="B6415">
        <v>1963</v>
      </c>
      <c r="C6415">
        <v>-1E-4</v>
      </c>
    </row>
    <row r="6416" spans="1:3" x14ac:dyDescent="0.35">
      <c r="A6416">
        <v>100</v>
      </c>
      <c r="B6416">
        <v>1964</v>
      </c>
      <c r="C6416">
        <v>1.2999999999999999E-3</v>
      </c>
    </row>
    <row r="6417" spans="1:3" x14ac:dyDescent="0.35">
      <c r="A6417">
        <v>100</v>
      </c>
      <c r="B6417">
        <v>1965</v>
      </c>
      <c r="C6417">
        <v>2.7000000000000001E-3</v>
      </c>
    </row>
    <row r="6418" spans="1:3" x14ac:dyDescent="0.35">
      <c r="A6418">
        <v>100</v>
      </c>
      <c r="B6418">
        <v>1966</v>
      </c>
      <c r="C6418">
        <v>4.0000000000000001E-3</v>
      </c>
    </row>
    <row r="6419" spans="1:3" x14ac:dyDescent="0.35">
      <c r="A6419">
        <v>100</v>
      </c>
      <c r="B6419">
        <v>1967</v>
      </c>
      <c r="C6419">
        <v>5.3E-3</v>
      </c>
    </row>
    <row r="6420" spans="1:3" x14ac:dyDescent="0.35">
      <c r="A6420">
        <v>100</v>
      </c>
      <c r="B6420">
        <v>1968</v>
      </c>
      <c r="C6420">
        <v>6.4000000000000003E-3</v>
      </c>
    </row>
    <row r="6421" spans="1:3" x14ac:dyDescent="0.35">
      <c r="A6421">
        <v>100</v>
      </c>
      <c r="B6421">
        <v>1969</v>
      </c>
      <c r="C6421">
        <v>7.4000000000000003E-3</v>
      </c>
    </row>
    <row r="6422" spans="1:3" x14ac:dyDescent="0.35">
      <c r="A6422">
        <v>100</v>
      </c>
      <c r="B6422">
        <v>1970</v>
      </c>
      <c r="C6422">
        <v>8.3000000000000001E-3</v>
      </c>
    </row>
    <row r="6423" spans="1:3" x14ac:dyDescent="0.35">
      <c r="A6423">
        <v>100</v>
      </c>
      <c r="B6423">
        <v>1971</v>
      </c>
      <c r="C6423">
        <v>8.8999999999999999E-3</v>
      </c>
    </row>
    <row r="6424" spans="1:3" x14ac:dyDescent="0.35">
      <c r="A6424">
        <v>100</v>
      </c>
      <c r="B6424">
        <v>1972</v>
      </c>
      <c r="C6424">
        <v>9.4000000000000004E-3</v>
      </c>
    </row>
    <row r="6425" spans="1:3" x14ac:dyDescent="0.35">
      <c r="A6425">
        <v>100</v>
      </c>
      <c r="B6425">
        <v>1973</v>
      </c>
      <c r="C6425">
        <v>9.7000000000000003E-3</v>
      </c>
    </row>
    <row r="6426" spans="1:3" x14ac:dyDescent="0.35">
      <c r="A6426">
        <v>100</v>
      </c>
      <c r="B6426">
        <v>1974</v>
      </c>
      <c r="C6426">
        <v>9.7000000000000003E-3</v>
      </c>
    </row>
    <row r="6427" spans="1:3" x14ac:dyDescent="0.35">
      <c r="A6427">
        <v>100</v>
      </c>
      <c r="B6427">
        <v>1975</v>
      </c>
      <c r="C6427">
        <v>9.5999999999999992E-3</v>
      </c>
    </row>
    <row r="6428" spans="1:3" x14ac:dyDescent="0.35">
      <c r="A6428">
        <v>100</v>
      </c>
      <c r="B6428">
        <v>1976</v>
      </c>
      <c r="C6428">
        <v>9.1999999999999998E-3</v>
      </c>
    </row>
    <row r="6429" spans="1:3" x14ac:dyDescent="0.35">
      <c r="A6429">
        <v>100</v>
      </c>
      <c r="B6429">
        <v>1977</v>
      </c>
      <c r="C6429">
        <v>8.6999999999999994E-3</v>
      </c>
    </row>
    <row r="6430" spans="1:3" x14ac:dyDescent="0.35">
      <c r="A6430">
        <v>100</v>
      </c>
      <c r="B6430">
        <v>1978</v>
      </c>
      <c r="C6430">
        <v>7.9000000000000008E-3</v>
      </c>
    </row>
    <row r="6431" spans="1:3" x14ac:dyDescent="0.35">
      <c r="A6431">
        <v>100</v>
      </c>
      <c r="B6431">
        <v>1979</v>
      </c>
      <c r="C6431">
        <v>7.0000000000000001E-3</v>
      </c>
    </row>
    <row r="6432" spans="1:3" x14ac:dyDescent="0.35">
      <c r="A6432">
        <v>100</v>
      </c>
      <c r="B6432">
        <v>1980</v>
      </c>
      <c r="C6432">
        <v>6.0000000000000001E-3</v>
      </c>
    </row>
    <row r="6433" spans="1:3" x14ac:dyDescent="0.35">
      <c r="A6433">
        <v>100</v>
      </c>
      <c r="B6433">
        <v>1981</v>
      </c>
      <c r="C6433">
        <v>4.7999999999999996E-3</v>
      </c>
    </row>
    <row r="6434" spans="1:3" x14ac:dyDescent="0.35">
      <c r="A6434">
        <v>100</v>
      </c>
      <c r="B6434">
        <v>1982</v>
      </c>
      <c r="C6434">
        <v>3.5000000000000001E-3</v>
      </c>
    </row>
    <row r="6435" spans="1:3" x14ac:dyDescent="0.35">
      <c r="A6435">
        <v>100</v>
      </c>
      <c r="B6435">
        <v>1983</v>
      </c>
      <c r="C6435">
        <v>2.2000000000000001E-3</v>
      </c>
    </row>
    <row r="6436" spans="1:3" x14ac:dyDescent="0.35">
      <c r="A6436">
        <v>100</v>
      </c>
      <c r="B6436">
        <v>1984</v>
      </c>
      <c r="C6436">
        <v>8.9999999999999998E-4</v>
      </c>
    </row>
    <row r="6437" spans="1:3" x14ac:dyDescent="0.35">
      <c r="A6437">
        <v>100</v>
      </c>
      <c r="B6437">
        <v>1985</v>
      </c>
      <c r="C6437">
        <v>-4.0000000000000002E-4</v>
      </c>
    </row>
    <row r="6438" spans="1:3" x14ac:dyDescent="0.35">
      <c r="A6438">
        <v>100</v>
      </c>
      <c r="B6438">
        <v>1986</v>
      </c>
      <c r="C6438">
        <v>-1.6999999999999999E-3</v>
      </c>
    </row>
    <row r="6439" spans="1:3" x14ac:dyDescent="0.35">
      <c r="A6439">
        <v>100</v>
      </c>
      <c r="B6439">
        <v>1987</v>
      </c>
      <c r="C6439">
        <v>-2.8E-3</v>
      </c>
    </row>
    <row r="6440" spans="1:3" x14ac:dyDescent="0.35">
      <c r="A6440">
        <v>100</v>
      </c>
      <c r="B6440">
        <v>1988</v>
      </c>
      <c r="C6440">
        <v>-3.8999999999999998E-3</v>
      </c>
    </row>
    <row r="6441" spans="1:3" x14ac:dyDescent="0.35">
      <c r="A6441">
        <v>100</v>
      </c>
      <c r="B6441">
        <v>1989</v>
      </c>
      <c r="C6441">
        <v>-4.7999999999999996E-3</v>
      </c>
    </row>
    <row r="6442" spans="1:3" x14ac:dyDescent="0.35">
      <c r="A6442">
        <v>100</v>
      </c>
      <c r="B6442">
        <v>1990</v>
      </c>
      <c r="C6442">
        <v>-5.4999999999999997E-3</v>
      </c>
    </row>
    <row r="6443" spans="1:3" x14ac:dyDescent="0.35">
      <c r="A6443">
        <v>100</v>
      </c>
      <c r="B6443">
        <v>1991</v>
      </c>
      <c r="C6443">
        <v>-6.1000000000000004E-3</v>
      </c>
    </row>
    <row r="6444" spans="1:3" x14ac:dyDescent="0.35">
      <c r="A6444">
        <v>100</v>
      </c>
      <c r="B6444">
        <v>1992</v>
      </c>
      <c r="C6444">
        <v>-6.6E-3</v>
      </c>
    </row>
    <row r="6445" spans="1:3" x14ac:dyDescent="0.35">
      <c r="A6445">
        <v>100</v>
      </c>
      <c r="B6445">
        <v>1993</v>
      </c>
      <c r="C6445">
        <v>-6.7999999999999996E-3</v>
      </c>
    </row>
    <row r="6446" spans="1:3" x14ac:dyDescent="0.35">
      <c r="A6446">
        <v>100</v>
      </c>
      <c r="B6446">
        <v>1994</v>
      </c>
      <c r="C6446">
        <v>-6.7999999999999996E-3</v>
      </c>
    </row>
    <row r="6447" spans="1:3" x14ac:dyDescent="0.35">
      <c r="A6447">
        <v>100</v>
      </c>
      <c r="B6447">
        <v>1995</v>
      </c>
      <c r="C6447">
        <v>-6.7000000000000002E-3</v>
      </c>
    </row>
    <row r="6448" spans="1:3" x14ac:dyDescent="0.35">
      <c r="A6448">
        <v>100</v>
      </c>
      <c r="B6448">
        <v>1996</v>
      </c>
      <c r="C6448">
        <v>-6.3E-3</v>
      </c>
    </row>
    <row r="6449" spans="1:3" x14ac:dyDescent="0.35">
      <c r="A6449">
        <v>100</v>
      </c>
      <c r="B6449">
        <v>1997</v>
      </c>
      <c r="C6449">
        <v>-5.7999999999999996E-3</v>
      </c>
    </row>
    <row r="6450" spans="1:3" x14ac:dyDescent="0.35">
      <c r="A6450">
        <v>100</v>
      </c>
      <c r="B6450">
        <v>1998</v>
      </c>
      <c r="C6450">
        <v>-5.1000000000000004E-3</v>
      </c>
    </row>
    <row r="6451" spans="1:3" x14ac:dyDescent="0.35">
      <c r="A6451">
        <v>100</v>
      </c>
      <c r="B6451">
        <v>1999</v>
      </c>
      <c r="C6451">
        <v>-4.1999999999999997E-3</v>
      </c>
    </row>
    <row r="6452" spans="1:3" x14ac:dyDescent="0.35">
      <c r="A6452">
        <v>100</v>
      </c>
      <c r="B6452">
        <v>2000</v>
      </c>
      <c r="C6452">
        <v>-3.2000000000000002E-3</v>
      </c>
    </row>
    <row r="6453" spans="1:3" x14ac:dyDescent="0.35">
      <c r="A6453">
        <v>100</v>
      </c>
      <c r="B6453">
        <v>2001</v>
      </c>
      <c r="C6453">
        <v>-2E-3</v>
      </c>
    </row>
    <row r="6454" spans="1:3" x14ac:dyDescent="0.35">
      <c r="A6454">
        <v>100</v>
      </c>
      <c r="B6454">
        <v>2002</v>
      </c>
      <c r="C6454">
        <v>-8.9999999999999998E-4</v>
      </c>
    </row>
    <row r="6455" spans="1:3" x14ac:dyDescent="0.35">
      <c r="A6455">
        <v>100</v>
      </c>
      <c r="B6455">
        <v>2003</v>
      </c>
      <c r="C6455">
        <v>4.0000000000000002E-4</v>
      </c>
    </row>
    <row r="6456" spans="1:3" x14ac:dyDescent="0.35">
      <c r="A6456">
        <v>100</v>
      </c>
      <c r="B6456">
        <v>2004</v>
      </c>
      <c r="C6456">
        <v>1.6000000000000001E-3</v>
      </c>
    </row>
    <row r="6457" spans="1:3" x14ac:dyDescent="0.35">
      <c r="A6457">
        <v>100</v>
      </c>
      <c r="B6457">
        <v>2005</v>
      </c>
      <c r="C6457">
        <v>2.7000000000000001E-3</v>
      </c>
    </row>
    <row r="6458" spans="1:3" x14ac:dyDescent="0.35">
      <c r="A6458">
        <v>100</v>
      </c>
      <c r="B6458">
        <v>2006</v>
      </c>
      <c r="C6458">
        <v>3.8E-3</v>
      </c>
    </row>
    <row r="6459" spans="1:3" x14ac:dyDescent="0.35">
      <c r="A6459">
        <v>100</v>
      </c>
      <c r="B6459">
        <v>2007</v>
      </c>
      <c r="C6459">
        <v>4.8999999999999998E-3</v>
      </c>
    </row>
    <row r="6460" spans="1:3" x14ac:dyDescent="0.35">
      <c r="A6460">
        <v>100</v>
      </c>
      <c r="B6460">
        <v>2008</v>
      </c>
      <c r="C6460">
        <v>5.7999999999999996E-3</v>
      </c>
    </row>
    <row r="6461" spans="1:3" x14ac:dyDescent="0.35">
      <c r="A6461">
        <v>100</v>
      </c>
      <c r="B6461">
        <v>2009</v>
      </c>
      <c r="C6461">
        <v>6.7000000000000002E-3</v>
      </c>
    </row>
    <row r="6462" spans="1:3" x14ac:dyDescent="0.35">
      <c r="A6462">
        <v>100</v>
      </c>
      <c r="B6462">
        <v>2010</v>
      </c>
      <c r="C6462">
        <v>7.4000000000000003E-3</v>
      </c>
    </row>
    <row r="6463" spans="1:3" x14ac:dyDescent="0.35">
      <c r="A6463">
        <v>100</v>
      </c>
      <c r="B6463">
        <v>2011</v>
      </c>
      <c r="C6463">
        <v>8.2000000000000007E-3</v>
      </c>
    </row>
    <row r="6464" spans="1:3" x14ac:dyDescent="0.35">
      <c r="A6464">
        <v>100</v>
      </c>
      <c r="B6464">
        <v>2012</v>
      </c>
      <c r="C6464">
        <v>8.8999999999999999E-3</v>
      </c>
    </row>
    <row r="6465" spans="1:3" x14ac:dyDescent="0.35">
      <c r="A6465">
        <v>100</v>
      </c>
      <c r="B6465">
        <v>2013</v>
      </c>
      <c r="C6465">
        <v>8.6E-3</v>
      </c>
    </row>
    <row r="6466" spans="1:3" x14ac:dyDescent="0.35">
      <c r="A6466">
        <v>100</v>
      </c>
      <c r="B6466">
        <v>2014</v>
      </c>
      <c r="C6466">
        <v>8.2000000000000007E-3</v>
      </c>
    </row>
    <row r="6467" spans="1:3" x14ac:dyDescent="0.35">
      <c r="A6467">
        <v>100</v>
      </c>
      <c r="B6467">
        <v>2015</v>
      </c>
      <c r="C6467">
        <v>7.7999999999999996E-3</v>
      </c>
    </row>
    <row r="6468" spans="1:3" x14ac:dyDescent="0.35">
      <c r="A6468">
        <v>100</v>
      </c>
      <c r="B6468">
        <v>2016</v>
      </c>
      <c r="C6468">
        <v>7.4000000000000003E-3</v>
      </c>
    </row>
    <row r="6469" spans="1:3" x14ac:dyDescent="0.35">
      <c r="A6469">
        <v>100</v>
      </c>
      <c r="B6469">
        <v>2017</v>
      </c>
      <c r="C6469">
        <v>7.1000000000000004E-3</v>
      </c>
    </row>
    <row r="6470" spans="1:3" x14ac:dyDescent="0.35">
      <c r="A6470">
        <v>100</v>
      </c>
      <c r="B6470">
        <v>2018</v>
      </c>
      <c r="C6470">
        <v>6.7000000000000002E-3</v>
      </c>
    </row>
    <row r="6471" spans="1:3" x14ac:dyDescent="0.35">
      <c r="A6471">
        <v>100</v>
      </c>
      <c r="B6471">
        <v>2019</v>
      </c>
      <c r="C6471">
        <v>6.4000000000000003E-3</v>
      </c>
    </row>
    <row r="6472" spans="1:3" x14ac:dyDescent="0.35">
      <c r="A6472">
        <v>100</v>
      </c>
      <c r="B6472">
        <v>2020</v>
      </c>
      <c r="C6472">
        <v>6.1999999999999998E-3</v>
      </c>
    </row>
    <row r="6473" spans="1:3" x14ac:dyDescent="0.35">
      <c r="A6473">
        <v>100</v>
      </c>
      <c r="B6473">
        <v>2021</v>
      </c>
      <c r="C6473">
        <v>6.0000000000000001E-3</v>
      </c>
    </row>
    <row r="6474" spans="1:3" x14ac:dyDescent="0.35">
      <c r="A6474">
        <v>100</v>
      </c>
      <c r="B6474">
        <v>2022</v>
      </c>
      <c r="C6474">
        <v>5.8999999999999999E-3</v>
      </c>
    </row>
    <row r="6475" spans="1:3" x14ac:dyDescent="0.35">
      <c r="A6475">
        <v>100</v>
      </c>
      <c r="B6475">
        <v>2023</v>
      </c>
      <c r="C6475">
        <v>5.8999999999999999E-3</v>
      </c>
    </row>
    <row r="6476" spans="1:3" x14ac:dyDescent="0.35">
      <c r="A6476">
        <v>100</v>
      </c>
      <c r="B6476">
        <v>2024</v>
      </c>
      <c r="C6476">
        <v>5.8999999999999999E-3</v>
      </c>
    </row>
    <row r="6477" spans="1:3" x14ac:dyDescent="0.35">
      <c r="A6477">
        <v>100</v>
      </c>
      <c r="B6477">
        <v>2025</v>
      </c>
      <c r="C6477">
        <v>5.8999999999999999E-3</v>
      </c>
    </row>
    <row r="6478" spans="1:3" x14ac:dyDescent="0.35">
      <c r="A6478">
        <v>100</v>
      </c>
      <c r="B6478">
        <v>2026</v>
      </c>
      <c r="C6478">
        <v>5.8999999999999999E-3</v>
      </c>
    </row>
    <row r="6479" spans="1:3" x14ac:dyDescent="0.35">
      <c r="A6479">
        <v>100</v>
      </c>
      <c r="B6479">
        <v>2027</v>
      </c>
      <c r="C6479">
        <v>5.8999999999999999E-3</v>
      </c>
    </row>
    <row r="6480" spans="1:3" x14ac:dyDescent="0.35">
      <c r="A6480">
        <v>100</v>
      </c>
      <c r="B6480">
        <v>2028</v>
      </c>
      <c r="C6480">
        <v>6.0000000000000001E-3</v>
      </c>
    </row>
    <row r="6481" spans="1:3" x14ac:dyDescent="0.35">
      <c r="A6481">
        <v>100</v>
      </c>
      <c r="B6481">
        <v>2029</v>
      </c>
      <c r="C6481">
        <v>6.0000000000000001E-3</v>
      </c>
    </row>
    <row r="6482" spans="1:3" x14ac:dyDescent="0.35">
      <c r="A6482">
        <v>100</v>
      </c>
      <c r="B6482">
        <v>2030</v>
      </c>
      <c r="C6482">
        <v>6.1000000000000004E-3</v>
      </c>
    </row>
    <row r="6483" spans="1:3" x14ac:dyDescent="0.35">
      <c r="A6483">
        <v>100</v>
      </c>
      <c r="B6483">
        <v>2031</v>
      </c>
      <c r="C6483">
        <v>6.1999999999999998E-3</v>
      </c>
    </row>
    <row r="6484" spans="1:3" x14ac:dyDescent="0.35">
      <c r="A6484">
        <v>101</v>
      </c>
      <c r="B6484">
        <v>1951</v>
      </c>
      <c r="C6484">
        <v>-1.34E-2</v>
      </c>
    </row>
    <row r="6485" spans="1:3" x14ac:dyDescent="0.35">
      <c r="A6485">
        <v>101</v>
      </c>
      <c r="B6485">
        <v>1952</v>
      </c>
      <c r="C6485">
        <v>-1.24E-2</v>
      </c>
    </row>
    <row r="6486" spans="1:3" x14ac:dyDescent="0.35">
      <c r="A6486">
        <v>101</v>
      </c>
      <c r="B6486">
        <v>1953</v>
      </c>
      <c r="C6486">
        <v>-1.14E-2</v>
      </c>
    </row>
    <row r="6487" spans="1:3" x14ac:dyDescent="0.35">
      <c r="A6487">
        <v>101</v>
      </c>
      <c r="B6487">
        <v>1954</v>
      </c>
      <c r="C6487">
        <v>-1.04E-2</v>
      </c>
    </row>
    <row r="6488" spans="1:3" x14ac:dyDescent="0.35">
      <c r="A6488">
        <v>101</v>
      </c>
      <c r="B6488">
        <v>1955</v>
      </c>
      <c r="C6488">
        <v>-9.4000000000000004E-3</v>
      </c>
    </row>
    <row r="6489" spans="1:3" x14ac:dyDescent="0.35">
      <c r="A6489">
        <v>101</v>
      </c>
      <c r="B6489">
        <v>1956</v>
      </c>
      <c r="C6489">
        <v>-8.3999999999999995E-3</v>
      </c>
    </row>
    <row r="6490" spans="1:3" x14ac:dyDescent="0.35">
      <c r="A6490">
        <v>101</v>
      </c>
      <c r="B6490">
        <v>1957</v>
      </c>
      <c r="C6490">
        <v>-7.3000000000000001E-3</v>
      </c>
    </row>
    <row r="6491" spans="1:3" x14ac:dyDescent="0.35">
      <c r="A6491">
        <v>101</v>
      </c>
      <c r="B6491">
        <v>1958</v>
      </c>
      <c r="C6491">
        <v>-6.1999999999999998E-3</v>
      </c>
    </row>
    <row r="6492" spans="1:3" x14ac:dyDescent="0.35">
      <c r="A6492">
        <v>101</v>
      </c>
      <c r="B6492">
        <v>1959</v>
      </c>
      <c r="C6492">
        <v>-5.1000000000000004E-3</v>
      </c>
    </row>
    <row r="6493" spans="1:3" x14ac:dyDescent="0.35">
      <c r="A6493">
        <v>101</v>
      </c>
      <c r="B6493">
        <v>1960</v>
      </c>
      <c r="C6493">
        <v>-3.8999999999999998E-3</v>
      </c>
    </row>
    <row r="6494" spans="1:3" x14ac:dyDescent="0.35">
      <c r="A6494">
        <v>101</v>
      </c>
      <c r="B6494">
        <v>1961</v>
      </c>
      <c r="C6494">
        <v>-2.7000000000000001E-3</v>
      </c>
    </row>
    <row r="6495" spans="1:3" x14ac:dyDescent="0.35">
      <c r="A6495">
        <v>101</v>
      </c>
      <c r="B6495">
        <v>1962</v>
      </c>
      <c r="C6495">
        <v>-1.4E-3</v>
      </c>
    </row>
    <row r="6496" spans="1:3" x14ac:dyDescent="0.35">
      <c r="A6496">
        <v>101</v>
      </c>
      <c r="B6496">
        <v>1963</v>
      </c>
      <c r="C6496">
        <v>-1E-4</v>
      </c>
    </row>
    <row r="6497" spans="1:3" x14ac:dyDescent="0.35">
      <c r="A6497">
        <v>101</v>
      </c>
      <c r="B6497">
        <v>1964</v>
      </c>
      <c r="C6497">
        <v>1.1999999999999999E-3</v>
      </c>
    </row>
    <row r="6498" spans="1:3" x14ac:dyDescent="0.35">
      <c r="A6498">
        <v>101</v>
      </c>
      <c r="B6498">
        <v>1965</v>
      </c>
      <c r="C6498">
        <v>2.5000000000000001E-3</v>
      </c>
    </row>
    <row r="6499" spans="1:3" x14ac:dyDescent="0.35">
      <c r="A6499">
        <v>101</v>
      </c>
      <c r="B6499">
        <v>1966</v>
      </c>
      <c r="C6499">
        <v>3.7000000000000002E-3</v>
      </c>
    </row>
    <row r="6500" spans="1:3" x14ac:dyDescent="0.35">
      <c r="A6500">
        <v>101</v>
      </c>
      <c r="B6500">
        <v>1967</v>
      </c>
      <c r="C6500">
        <v>4.8999999999999998E-3</v>
      </c>
    </row>
    <row r="6501" spans="1:3" x14ac:dyDescent="0.35">
      <c r="A6501">
        <v>101</v>
      </c>
      <c r="B6501">
        <v>1968</v>
      </c>
      <c r="C6501">
        <v>6.0000000000000001E-3</v>
      </c>
    </row>
    <row r="6502" spans="1:3" x14ac:dyDescent="0.35">
      <c r="A6502">
        <v>101</v>
      </c>
      <c r="B6502">
        <v>1969</v>
      </c>
      <c r="C6502">
        <v>6.8999999999999999E-3</v>
      </c>
    </row>
    <row r="6503" spans="1:3" x14ac:dyDescent="0.35">
      <c r="A6503">
        <v>101</v>
      </c>
      <c r="B6503">
        <v>1970</v>
      </c>
      <c r="C6503">
        <v>7.7000000000000002E-3</v>
      </c>
    </row>
    <row r="6504" spans="1:3" x14ac:dyDescent="0.35">
      <c r="A6504">
        <v>101</v>
      </c>
      <c r="B6504">
        <v>1971</v>
      </c>
      <c r="C6504">
        <v>8.3000000000000001E-3</v>
      </c>
    </row>
    <row r="6505" spans="1:3" x14ac:dyDescent="0.35">
      <c r="A6505">
        <v>101</v>
      </c>
      <c r="B6505">
        <v>1972</v>
      </c>
      <c r="C6505">
        <v>8.8000000000000005E-3</v>
      </c>
    </row>
    <row r="6506" spans="1:3" x14ac:dyDescent="0.35">
      <c r="A6506">
        <v>101</v>
      </c>
      <c r="B6506">
        <v>1973</v>
      </c>
      <c r="C6506">
        <v>8.9999999999999993E-3</v>
      </c>
    </row>
    <row r="6507" spans="1:3" x14ac:dyDescent="0.35">
      <c r="A6507">
        <v>101</v>
      </c>
      <c r="B6507">
        <v>1974</v>
      </c>
      <c r="C6507">
        <v>9.1000000000000004E-3</v>
      </c>
    </row>
    <row r="6508" spans="1:3" x14ac:dyDescent="0.35">
      <c r="A6508">
        <v>101</v>
      </c>
      <c r="B6508">
        <v>1975</v>
      </c>
      <c r="C6508">
        <v>8.9999999999999993E-3</v>
      </c>
    </row>
    <row r="6509" spans="1:3" x14ac:dyDescent="0.35">
      <c r="A6509">
        <v>101</v>
      </c>
      <c r="B6509">
        <v>1976</v>
      </c>
      <c r="C6509">
        <v>8.6E-3</v>
      </c>
    </row>
    <row r="6510" spans="1:3" x14ac:dyDescent="0.35">
      <c r="A6510">
        <v>101</v>
      </c>
      <c r="B6510">
        <v>1977</v>
      </c>
      <c r="C6510">
        <v>8.0999999999999996E-3</v>
      </c>
    </row>
    <row r="6511" spans="1:3" x14ac:dyDescent="0.35">
      <c r="A6511">
        <v>101</v>
      </c>
      <c r="B6511">
        <v>1978</v>
      </c>
      <c r="C6511">
        <v>7.4000000000000003E-3</v>
      </c>
    </row>
    <row r="6512" spans="1:3" x14ac:dyDescent="0.35">
      <c r="A6512">
        <v>101</v>
      </c>
      <c r="B6512">
        <v>1979</v>
      </c>
      <c r="C6512">
        <v>6.4999999999999997E-3</v>
      </c>
    </row>
    <row r="6513" spans="1:3" x14ac:dyDescent="0.35">
      <c r="A6513">
        <v>101</v>
      </c>
      <c r="B6513">
        <v>1980</v>
      </c>
      <c r="C6513">
        <v>5.5999999999999999E-3</v>
      </c>
    </row>
    <row r="6514" spans="1:3" x14ac:dyDescent="0.35">
      <c r="A6514">
        <v>101</v>
      </c>
      <c r="B6514">
        <v>1981</v>
      </c>
      <c r="C6514">
        <v>4.4999999999999997E-3</v>
      </c>
    </row>
    <row r="6515" spans="1:3" x14ac:dyDescent="0.35">
      <c r="A6515">
        <v>101</v>
      </c>
      <c r="B6515">
        <v>1982</v>
      </c>
      <c r="C6515">
        <v>3.3E-3</v>
      </c>
    </row>
    <row r="6516" spans="1:3" x14ac:dyDescent="0.35">
      <c r="A6516">
        <v>101</v>
      </c>
      <c r="B6516">
        <v>1983</v>
      </c>
      <c r="C6516">
        <v>2E-3</v>
      </c>
    </row>
    <row r="6517" spans="1:3" x14ac:dyDescent="0.35">
      <c r="A6517">
        <v>101</v>
      </c>
      <c r="B6517">
        <v>1984</v>
      </c>
      <c r="C6517">
        <v>8.0000000000000004E-4</v>
      </c>
    </row>
    <row r="6518" spans="1:3" x14ac:dyDescent="0.35">
      <c r="A6518">
        <v>101</v>
      </c>
      <c r="B6518">
        <v>1985</v>
      </c>
      <c r="C6518">
        <v>-4.0000000000000002E-4</v>
      </c>
    </row>
    <row r="6519" spans="1:3" x14ac:dyDescent="0.35">
      <c r="A6519">
        <v>101</v>
      </c>
      <c r="B6519">
        <v>1986</v>
      </c>
      <c r="C6519">
        <v>-1.6000000000000001E-3</v>
      </c>
    </row>
    <row r="6520" spans="1:3" x14ac:dyDescent="0.35">
      <c r="A6520">
        <v>101</v>
      </c>
      <c r="B6520">
        <v>1987</v>
      </c>
      <c r="C6520">
        <v>-2.5999999999999999E-3</v>
      </c>
    </row>
    <row r="6521" spans="1:3" x14ac:dyDescent="0.35">
      <c r="A6521">
        <v>101</v>
      </c>
      <c r="B6521">
        <v>1988</v>
      </c>
      <c r="C6521">
        <v>-3.5999999999999999E-3</v>
      </c>
    </row>
    <row r="6522" spans="1:3" x14ac:dyDescent="0.35">
      <c r="A6522">
        <v>101</v>
      </c>
      <c r="B6522">
        <v>1989</v>
      </c>
      <c r="C6522">
        <v>-4.4999999999999997E-3</v>
      </c>
    </row>
    <row r="6523" spans="1:3" x14ac:dyDescent="0.35">
      <c r="A6523">
        <v>101</v>
      </c>
      <c r="B6523">
        <v>1990</v>
      </c>
      <c r="C6523">
        <v>-5.1999999999999998E-3</v>
      </c>
    </row>
    <row r="6524" spans="1:3" x14ac:dyDescent="0.35">
      <c r="A6524">
        <v>101</v>
      </c>
      <c r="B6524">
        <v>1991</v>
      </c>
      <c r="C6524">
        <v>-5.7000000000000002E-3</v>
      </c>
    </row>
    <row r="6525" spans="1:3" x14ac:dyDescent="0.35">
      <c r="A6525">
        <v>101</v>
      </c>
      <c r="B6525">
        <v>1992</v>
      </c>
      <c r="C6525">
        <v>-6.1000000000000004E-3</v>
      </c>
    </row>
    <row r="6526" spans="1:3" x14ac:dyDescent="0.35">
      <c r="A6526">
        <v>101</v>
      </c>
      <c r="B6526">
        <v>1993</v>
      </c>
      <c r="C6526">
        <v>-6.3E-3</v>
      </c>
    </row>
    <row r="6527" spans="1:3" x14ac:dyDescent="0.35">
      <c r="A6527">
        <v>101</v>
      </c>
      <c r="B6527">
        <v>1994</v>
      </c>
      <c r="C6527">
        <v>-6.4000000000000003E-3</v>
      </c>
    </row>
    <row r="6528" spans="1:3" x14ac:dyDescent="0.35">
      <c r="A6528">
        <v>101</v>
      </c>
      <c r="B6528">
        <v>1995</v>
      </c>
      <c r="C6528">
        <v>-6.1999999999999998E-3</v>
      </c>
    </row>
    <row r="6529" spans="1:3" x14ac:dyDescent="0.35">
      <c r="A6529">
        <v>101</v>
      </c>
      <c r="B6529">
        <v>1996</v>
      </c>
      <c r="C6529">
        <v>-5.8999999999999999E-3</v>
      </c>
    </row>
    <row r="6530" spans="1:3" x14ac:dyDescent="0.35">
      <c r="A6530">
        <v>101</v>
      </c>
      <c r="B6530">
        <v>1997</v>
      </c>
      <c r="C6530">
        <v>-5.4000000000000003E-3</v>
      </c>
    </row>
    <row r="6531" spans="1:3" x14ac:dyDescent="0.35">
      <c r="A6531">
        <v>101</v>
      </c>
      <c r="B6531">
        <v>1998</v>
      </c>
      <c r="C6531">
        <v>-4.7000000000000002E-3</v>
      </c>
    </row>
    <row r="6532" spans="1:3" x14ac:dyDescent="0.35">
      <c r="A6532">
        <v>101</v>
      </c>
      <c r="B6532">
        <v>1999</v>
      </c>
      <c r="C6532">
        <v>-3.8999999999999998E-3</v>
      </c>
    </row>
    <row r="6533" spans="1:3" x14ac:dyDescent="0.35">
      <c r="A6533">
        <v>101</v>
      </c>
      <c r="B6533">
        <v>2000</v>
      </c>
      <c r="C6533">
        <v>-2.8999999999999998E-3</v>
      </c>
    </row>
    <row r="6534" spans="1:3" x14ac:dyDescent="0.35">
      <c r="A6534">
        <v>101</v>
      </c>
      <c r="B6534">
        <v>2001</v>
      </c>
      <c r="C6534">
        <v>-1.9E-3</v>
      </c>
    </row>
    <row r="6535" spans="1:3" x14ac:dyDescent="0.35">
      <c r="A6535">
        <v>101</v>
      </c>
      <c r="B6535">
        <v>2002</v>
      </c>
      <c r="C6535">
        <v>-8.0000000000000004E-4</v>
      </c>
    </row>
    <row r="6536" spans="1:3" x14ac:dyDescent="0.35">
      <c r="A6536">
        <v>101</v>
      </c>
      <c r="B6536">
        <v>2003</v>
      </c>
      <c r="C6536">
        <v>2.9999999999999997E-4</v>
      </c>
    </row>
    <row r="6537" spans="1:3" x14ac:dyDescent="0.35">
      <c r="A6537">
        <v>101</v>
      </c>
      <c r="B6537">
        <v>2004</v>
      </c>
      <c r="C6537">
        <v>1.5E-3</v>
      </c>
    </row>
    <row r="6538" spans="1:3" x14ac:dyDescent="0.35">
      <c r="A6538">
        <v>101</v>
      </c>
      <c r="B6538">
        <v>2005</v>
      </c>
      <c r="C6538">
        <v>2.5999999999999999E-3</v>
      </c>
    </row>
    <row r="6539" spans="1:3" x14ac:dyDescent="0.35">
      <c r="A6539">
        <v>101</v>
      </c>
      <c r="B6539">
        <v>2006</v>
      </c>
      <c r="C6539">
        <v>3.5999999999999999E-3</v>
      </c>
    </row>
    <row r="6540" spans="1:3" x14ac:dyDescent="0.35">
      <c r="A6540">
        <v>101</v>
      </c>
      <c r="B6540">
        <v>2007</v>
      </c>
      <c r="C6540">
        <v>4.4999999999999997E-3</v>
      </c>
    </row>
    <row r="6541" spans="1:3" x14ac:dyDescent="0.35">
      <c r="A6541">
        <v>101</v>
      </c>
      <c r="B6541">
        <v>2008</v>
      </c>
      <c r="C6541">
        <v>5.4000000000000003E-3</v>
      </c>
    </row>
    <row r="6542" spans="1:3" x14ac:dyDescent="0.35">
      <c r="A6542">
        <v>101</v>
      </c>
      <c r="B6542">
        <v>2009</v>
      </c>
      <c r="C6542">
        <v>6.1999999999999998E-3</v>
      </c>
    </row>
    <row r="6543" spans="1:3" x14ac:dyDescent="0.35">
      <c r="A6543">
        <v>101</v>
      </c>
      <c r="B6543">
        <v>2010</v>
      </c>
      <c r="C6543">
        <v>6.8999999999999999E-3</v>
      </c>
    </row>
    <row r="6544" spans="1:3" x14ac:dyDescent="0.35">
      <c r="A6544">
        <v>101</v>
      </c>
      <c r="B6544">
        <v>2011</v>
      </c>
      <c r="C6544">
        <v>7.6E-3</v>
      </c>
    </row>
    <row r="6545" spans="1:3" x14ac:dyDescent="0.35">
      <c r="A6545">
        <v>101</v>
      </c>
      <c r="B6545">
        <v>2012</v>
      </c>
      <c r="C6545">
        <v>8.3000000000000001E-3</v>
      </c>
    </row>
    <row r="6546" spans="1:3" x14ac:dyDescent="0.35">
      <c r="A6546">
        <v>101</v>
      </c>
      <c r="B6546">
        <v>2013</v>
      </c>
      <c r="C6546">
        <v>8.0000000000000002E-3</v>
      </c>
    </row>
    <row r="6547" spans="1:3" x14ac:dyDescent="0.35">
      <c r="A6547">
        <v>101</v>
      </c>
      <c r="B6547">
        <v>2014</v>
      </c>
      <c r="C6547">
        <v>7.7000000000000002E-3</v>
      </c>
    </row>
    <row r="6548" spans="1:3" x14ac:dyDescent="0.35">
      <c r="A6548">
        <v>101</v>
      </c>
      <c r="B6548">
        <v>2015</v>
      </c>
      <c r="C6548">
        <v>7.3000000000000001E-3</v>
      </c>
    </row>
    <row r="6549" spans="1:3" x14ac:dyDescent="0.35">
      <c r="A6549">
        <v>101</v>
      </c>
      <c r="B6549">
        <v>2016</v>
      </c>
      <c r="C6549">
        <v>6.8999999999999999E-3</v>
      </c>
    </row>
    <row r="6550" spans="1:3" x14ac:dyDescent="0.35">
      <c r="A6550">
        <v>101</v>
      </c>
      <c r="B6550">
        <v>2017</v>
      </c>
      <c r="C6550">
        <v>6.6E-3</v>
      </c>
    </row>
    <row r="6551" spans="1:3" x14ac:dyDescent="0.35">
      <c r="A6551">
        <v>101</v>
      </c>
      <c r="B6551">
        <v>2018</v>
      </c>
      <c r="C6551">
        <v>6.3E-3</v>
      </c>
    </row>
    <row r="6552" spans="1:3" x14ac:dyDescent="0.35">
      <c r="A6552">
        <v>101</v>
      </c>
      <c r="B6552">
        <v>2019</v>
      </c>
      <c r="C6552">
        <v>6.0000000000000001E-3</v>
      </c>
    </row>
    <row r="6553" spans="1:3" x14ac:dyDescent="0.35">
      <c r="A6553">
        <v>101</v>
      </c>
      <c r="B6553">
        <v>2020</v>
      </c>
      <c r="C6553">
        <v>5.7999999999999996E-3</v>
      </c>
    </row>
    <row r="6554" spans="1:3" x14ac:dyDescent="0.35">
      <c r="A6554">
        <v>101</v>
      </c>
      <c r="B6554">
        <v>2021</v>
      </c>
      <c r="C6554">
        <v>5.5999999999999999E-3</v>
      </c>
    </row>
    <row r="6555" spans="1:3" x14ac:dyDescent="0.35">
      <c r="A6555">
        <v>101</v>
      </c>
      <c r="B6555">
        <v>2022</v>
      </c>
      <c r="C6555">
        <v>5.5999999999999999E-3</v>
      </c>
    </row>
    <row r="6556" spans="1:3" x14ac:dyDescent="0.35">
      <c r="A6556">
        <v>101</v>
      </c>
      <c r="B6556">
        <v>2023</v>
      </c>
      <c r="C6556">
        <v>5.4999999999999997E-3</v>
      </c>
    </row>
    <row r="6557" spans="1:3" x14ac:dyDescent="0.35">
      <c r="A6557">
        <v>101</v>
      </c>
      <c r="B6557">
        <v>2024</v>
      </c>
      <c r="C6557">
        <v>5.4999999999999997E-3</v>
      </c>
    </row>
    <row r="6558" spans="1:3" x14ac:dyDescent="0.35">
      <c r="A6558">
        <v>101</v>
      </c>
      <c r="B6558">
        <v>2025</v>
      </c>
      <c r="C6558">
        <v>5.4999999999999997E-3</v>
      </c>
    </row>
    <row r="6559" spans="1:3" x14ac:dyDescent="0.35">
      <c r="A6559">
        <v>101</v>
      </c>
      <c r="B6559">
        <v>2026</v>
      </c>
      <c r="C6559">
        <v>5.4999999999999997E-3</v>
      </c>
    </row>
    <row r="6560" spans="1:3" x14ac:dyDescent="0.35">
      <c r="A6560">
        <v>101</v>
      </c>
      <c r="B6560">
        <v>2027</v>
      </c>
      <c r="C6560">
        <v>5.4999999999999997E-3</v>
      </c>
    </row>
    <row r="6561" spans="1:3" x14ac:dyDescent="0.35">
      <c r="A6561">
        <v>101</v>
      </c>
      <c r="B6561">
        <v>2028</v>
      </c>
      <c r="C6561">
        <v>5.5999999999999999E-3</v>
      </c>
    </row>
    <row r="6562" spans="1:3" x14ac:dyDescent="0.35">
      <c r="A6562">
        <v>101</v>
      </c>
      <c r="B6562">
        <v>2029</v>
      </c>
      <c r="C6562">
        <v>5.5999999999999999E-3</v>
      </c>
    </row>
    <row r="6563" spans="1:3" x14ac:dyDescent="0.35">
      <c r="A6563">
        <v>101</v>
      </c>
      <c r="B6563">
        <v>2030</v>
      </c>
      <c r="C6563">
        <v>5.7000000000000002E-3</v>
      </c>
    </row>
    <row r="6564" spans="1:3" x14ac:dyDescent="0.35">
      <c r="A6564">
        <v>101</v>
      </c>
      <c r="B6564">
        <v>2031</v>
      </c>
      <c r="C6564">
        <v>5.7999999999999996E-3</v>
      </c>
    </row>
    <row r="6565" spans="1:3" x14ac:dyDescent="0.35">
      <c r="A6565">
        <v>102</v>
      </c>
      <c r="B6565">
        <v>1951</v>
      </c>
      <c r="C6565">
        <v>-1.24E-2</v>
      </c>
    </row>
    <row r="6566" spans="1:3" x14ac:dyDescent="0.35">
      <c r="A6566">
        <v>102</v>
      </c>
      <c r="B6566">
        <v>1952</v>
      </c>
      <c r="C6566">
        <v>-1.15E-2</v>
      </c>
    </row>
    <row r="6567" spans="1:3" x14ac:dyDescent="0.35">
      <c r="A6567">
        <v>102</v>
      </c>
      <c r="B6567">
        <v>1953</v>
      </c>
      <c r="C6567">
        <v>-1.06E-2</v>
      </c>
    </row>
    <row r="6568" spans="1:3" x14ac:dyDescent="0.35">
      <c r="A6568">
        <v>102</v>
      </c>
      <c r="B6568">
        <v>1954</v>
      </c>
      <c r="C6568">
        <v>-9.7000000000000003E-3</v>
      </c>
    </row>
    <row r="6569" spans="1:3" x14ac:dyDescent="0.35">
      <c r="A6569">
        <v>102</v>
      </c>
      <c r="B6569">
        <v>1955</v>
      </c>
      <c r="C6569">
        <v>-8.6999999999999994E-3</v>
      </c>
    </row>
    <row r="6570" spans="1:3" x14ac:dyDescent="0.35">
      <c r="A6570">
        <v>102</v>
      </c>
      <c r="B6570">
        <v>1956</v>
      </c>
      <c r="C6570">
        <v>-7.7999999999999996E-3</v>
      </c>
    </row>
    <row r="6571" spans="1:3" x14ac:dyDescent="0.35">
      <c r="A6571">
        <v>102</v>
      </c>
      <c r="B6571">
        <v>1957</v>
      </c>
      <c r="C6571">
        <v>-6.7999999999999996E-3</v>
      </c>
    </row>
    <row r="6572" spans="1:3" x14ac:dyDescent="0.35">
      <c r="A6572">
        <v>102</v>
      </c>
      <c r="B6572">
        <v>1958</v>
      </c>
      <c r="C6572">
        <v>-5.7999999999999996E-3</v>
      </c>
    </row>
    <row r="6573" spans="1:3" x14ac:dyDescent="0.35">
      <c r="A6573">
        <v>102</v>
      </c>
      <c r="B6573">
        <v>1959</v>
      </c>
      <c r="C6573">
        <v>-4.7000000000000002E-3</v>
      </c>
    </row>
    <row r="6574" spans="1:3" x14ac:dyDescent="0.35">
      <c r="A6574">
        <v>102</v>
      </c>
      <c r="B6574">
        <v>1960</v>
      </c>
      <c r="C6574">
        <v>-3.5999999999999999E-3</v>
      </c>
    </row>
    <row r="6575" spans="1:3" x14ac:dyDescent="0.35">
      <c r="A6575">
        <v>102</v>
      </c>
      <c r="B6575">
        <v>1961</v>
      </c>
      <c r="C6575">
        <v>-2.5000000000000001E-3</v>
      </c>
    </row>
    <row r="6576" spans="1:3" x14ac:dyDescent="0.35">
      <c r="A6576">
        <v>102</v>
      </c>
      <c r="B6576">
        <v>1962</v>
      </c>
      <c r="C6576">
        <v>-1.2999999999999999E-3</v>
      </c>
    </row>
    <row r="6577" spans="1:3" x14ac:dyDescent="0.35">
      <c r="A6577">
        <v>102</v>
      </c>
      <c r="B6577">
        <v>1963</v>
      </c>
      <c r="C6577">
        <v>-1E-4</v>
      </c>
    </row>
    <row r="6578" spans="1:3" x14ac:dyDescent="0.35">
      <c r="A6578">
        <v>102</v>
      </c>
      <c r="B6578">
        <v>1964</v>
      </c>
      <c r="C6578">
        <v>1.1000000000000001E-3</v>
      </c>
    </row>
    <row r="6579" spans="1:3" x14ac:dyDescent="0.35">
      <c r="A6579">
        <v>102</v>
      </c>
      <c r="B6579">
        <v>1965</v>
      </c>
      <c r="C6579">
        <v>2.3E-3</v>
      </c>
    </row>
    <row r="6580" spans="1:3" x14ac:dyDescent="0.35">
      <c r="A6580">
        <v>102</v>
      </c>
      <c r="B6580">
        <v>1966</v>
      </c>
      <c r="C6580">
        <v>3.5000000000000001E-3</v>
      </c>
    </row>
    <row r="6581" spans="1:3" x14ac:dyDescent="0.35">
      <c r="A6581">
        <v>102</v>
      </c>
      <c r="B6581">
        <v>1967</v>
      </c>
      <c r="C6581">
        <v>4.5999999999999999E-3</v>
      </c>
    </row>
    <row r="6582" spans="1:3" x14ac:dyDescent="0.35">
      <c r="A6582">
        <v>102</v>
      </c>
      <c r="B6582">
        <v>1968</v>
      </c>
      <c r="C6582">
        <v>5.4999999999999997E-3</v>
      </c>
    </row>
    <row r="6583" spans="1:3" x14ac:dyDescent="0.35">
      <c r="A6583">
        <v>102</v>
      </c>
      <c r="B6583">
        <v>1969</v>
      </c>
      <c r="C6583">
        <v>6.4000000000000003E-3</v>
      </c>
    </row>
    <row r="6584" spans="1:3" x14ac:dyDescent="0.35">
      <c r="A6584">
        <v>102</v>
      </c>
      <c r="B6584">
        <v>1970</v>
      </c>
      <c r="C6584">
        <v>7.1999999999999998E-3</v>
      </c>
    </row>
    <row r="6585" spans="1:3" x14ac:dyDescent="0.35">
      <c r="A6585">
        <v>102</v>
      </c>
      <c r="B6585">
        <v>1971</v>
      </c>
      <c r="C6585">
        <v>7.7000000000000002E-3</v>
      </c>
    </row>
    <row r="6586" spans="1:3" x14ac:dyDescent="0.35">
      <c r="A6586">
        <v>102</v>
      </c>
      <c r="B6586">
        <v>1972</v>
      </c>
      <c r="C6586">
        <v>8.2000000000000007E-3</v>
      </c>
    </row>
    <row r="6587" spans="1:3" x14ac:dyDescent="0.35">
      <c r="A6587">
        <v>102</v>
      </c>
      <c r="B6587">
        <v>1973</v>
      </c>
      <c r="C6587">
        <v>8.3999999999999995E-3</v>
      </c>
    </row>
    <row r="6588" spans="1:3" x14ac:dyDescent="0.35">
      <c r="A6588">
        <v>102</v>
      </c>
      <c r="B6588">
        <v>1974</v>
      </c>
      <c r="C6588">
        <v>8.3999999999999995E-3</v>
      </c>
    </row>
    <row r="6589" spans="1:3" x14ac:dyDescent="0.35">
      <c r="A6589">
        <v>102</v>
      </c>
      <c r="B6589">
        <v>1975</v>
      </c>
      <c r="C6589">
        <v>8.3000000000000001E-3</v>
      </c>
    </row>
    <row r="6590" spans="1:3" x14ac:dyDescent="0.35">
      <c r="A6590">
        <v>102</v>
      </c>
      <c r="B6590">
        <v>1976</v>
      </c>
      <c r="C6590">
        <v>8.0000000000000002E-3</v>
      </c>
    </row>
    <row r="6591" spans="1:3" x14ac:dyDescent="0.35">
      <c r="A6591">
        <v>102</v>
      </c>
      <c r="B6591">
        <v>1977</v>
      </c>
      <c r="C6591">
        <v>7.4999999999999997E-3</v>
      </c>
    </row>
    <row r="6592" spans="1:3" x14ac:dyDescent="0.35">
      <c r="A6592">
        <v>102</v>
      </c>
      <c r="B6592">
        <v>1978</v>
      </c>
      <c r="C6592">
        <v>6.8999999999999999E-3</v>
      </c>
    </row>
    <row r="6593" spans="1:3" x14ac:dyDescent="0.35">
      <c r="A6593">
        <v>102</v>
      </c>
      <c r="B6593">
        <v>1979</v>
      </c>
      <c r="C6593">
        <v>6.1000000000000004E-3</v>
      </c>
    </row>
    <row r="6594" spans="1:3" x14ac:dyDescent="0.35">
      <c r="A6594">
        <v>102</v>
      </c>
      <c r="B6594">
        <v>1980</v>
      </c>
      <c r="C6594">
        <v>5.1999999999999998E-3</v>
      </c>
    </row>
    <row r="6595" spans="1:3" x14ac:dyDescent="0.35">
      <c r="A6595">
        <v>102</v>
      </c>
      <c r="B6595">
        <v>1981</v>
      </c>
      <c r="C6595">
        <v>4.1000000000000003E-3</v>
      </c>
    </row>
    <row r="6596" spans="1:3" x14ac:dyDescent="0.35">
      <c r="A6596">
        <v>102</v>
      </c>
      <c r="B6596">
        <v>1982</v>
      </c>
      <c r="C6596">
        <v>3.0000000000000001E-3</v>
      </c>
    </row>
    <row r="6597" spans="1:3" x14ac:dyDescent="0.35">
      <c r="A6597">
        <v>102</v>
      </c>
      <c r="B6597">
        <v>1983</v>
      </c>
      <c r="C6597">
        <v>1.9E-3</v>
      </c>
    </row>
    <row r="6598" spans="1:3" x14ac:dyDescent="0.35">
      <c r="A6598">
        <v>102</v>
      </c>
      <c r="B6598">
        <v>1984</v>
      </c>
      <c r="C6598">
        <v>8.0000000000000004E-4</v>
      </c>
    </row>
    <row r="6599" spans="1:3" x14ac:dyDescent="0.35">
      <c r="A6599">
        <v>102</v>
      </c>
      <c r="B6599">
        <v>1985</v>
      </c>
      <c r="C6599">
        <v>-4.0000000000000002E-4</v>
      </c>
    </row>
    <row r="6600" spans="1:3" x14ac:dyDescent="0.35">
      <c r="A6600">
        <v>102</v>
      </c>
      <c r="B6600">
        <v>1986</v>
      </c>
      <c r="C6600">
        <v>-1.5E-3</v>
      </c>
    </row>
    <row r="6601" spans="1:3" x14ac:dyDescent="0.35">
      <c r="A6601">
        <v>102</v>
      </c>
      <c r="B6601">
        <v>1987</v>
      </c>
      <c r="C6601">
        <v>-2.5000000000000001E-3</v>
      </c>
    </row>
    <row r="6602" spans="1:3" x14ac:dyDescent="0.35">
      <c r="A6602">
        <v>102</v>
      </c>
      <c r="B6602">
        <v>1988</v>
      </c>
      <c r="C6602">
        <v>-3.3999999999999998E-3</v>
      </c>
    </row>
    <row r="6603" spans="1:3" x14ac:dyDescent="0.35">
      <c r="A6603">
        <v>102</v>
      </c>
      <c r="B6603">
        <v>1989</v>
      </c>
      <c r="C6603">
        <v>-4.1000000000000003E-3</v>
      </c>
    </row>
    <row r="6604" spans="1:3" x14ac:dyDescent="0.35">
      <c r="A6604">
        <v>102</v>
      </c>
      <c r="B6604">
        <v>1990</v>
      </c>
      <c r="C6604">
        <v>-4.7999999999999996E-3</v>
      </c>
    </row>
    <row r="6605" spans="1:3" x14ac:dyDescent="0.35">
      <c r="A6605">
        <v>102</v>
      </c>
      <c r="B6605">
        <v>1991</v>
      </c>
      <c r="C6605">
        <v>-5.3E-3</v>
      </c>
    </row>
    <row r="6606" spans="1:3" x14ac:dyDescent="0.35">
      <c r="A6606">
        <v>102</v>
      </c>
      <c r="B6606">
        <v>1992</v>
      </c>
      <c r="C6606">
        <v>-5.7000000000000002E-3</v>
      </c>
    </row>
    <row r="6607" spans="1:3" x14ac:dyDescent="0.35">
      <c r="A6607">
        <v>102</v>
      </c>
      <c r="B6607">
        <v>1993</v>
      </c>
      <c r="C6607">
        <v>-5.8999999999999999E-3</v>
      </c>
    </row>
    <row r="6608" spans="1:3" x14ac:dyDescent="0.35">
      <c r="A6608">
        <v>102</v>
      </c>
      <c r="B6608">
        <v>1994</v>
      </c>
      <c r="C6608">
        <v>-5.8999999999999999E-3</v>
      </c>
    </row>
    <row r="6609" spans="1:3" x14ac:dyDescent="0.35">
      <c r="A6609">
        <v>102</v>
      </c>
      <c r="B6609">
        <v>1995</v>
      </c>
      <c r="C6609">
        <v>-5.7999999999999996E-3</v>
      </c>
    </row>
    <row r="6610" spans="1:3" x14ac:dyDescent="0.35">
      <c r="A6610">
        <v>102</v>
      </c>
      <c r="B6610">
        <v>1996</v>
      </c>
      <c r="C6610">
        <v>-5.4999999999999997E-3</v>
      </c>
    </row>
    <row r="6611" spans="1:3" x14ac:dyDescent="0.35">
      <c r="A6611">
        <v>102</v>
      </c>
      <c r="B6611">
        <v>1997</v>
      </c>
      <c r="C6611">
        <v>-5.0000000000000001E-3</v>
      </c>
    </row>
    <row r="6612" spans="1:3" x14ac:dyDescent="0.35">
      <c r="A6612">
        <v>102</v>
      </c>
      <c r="B6612">
        <v>1998</v>
      </c>
      <c r="C6612">
        <v>-4.4000000000000003E-3</v>
      </c>
    </row>
    <row r="6613" spans="1:3" x14ac:dyDescent="0.35">
      <c r="A6613">
        <v>102</v>
      </c>
      <c r="B6613">
        <v>1999</v>
      </c>
      <c r="C6613">
        <v>-3.5999999999999999E-3</v>
      </c>
    </row>
    <row r="6614" spans="1:3" x14ac:dyDescent="0.35">
      <c r="A6614">
        <v>102</v>
      </c>
      <c r="B6614">
        <v>2000</v>
      </c>
      <c r="C6614">
        <v>-2.7000000000000001E-3</v>
      </c>
    </row>
    <row r="6615" spans="1:3" x14ac:dyDescent="0.35">
      <c r="A6615">
        <v>102</v>
      </c>
      <c r="B6615">
        <v>2001</v>
      </c>
      <c r="C6615">
        <v>-1.8E-3</v>
      </c>
    </row>
    <row r="6616" spans="1:3" x14ac:dyDescent="0.35">
      <c r="A6616">
        <v>102</v>
      </c>
      <c r="B6616">
        <v>2002</v>
      </c>
      <c r="C6616">
        <v>-6.9999999999999999E-4</v>
      </c>
    </row>
    <row r="6617" spans="1:3" x14ac:dyDescent="0.35">
      <c r="A6617">
        <v>102</v>
      </c>
      <c r="B6617">
        <v>2003</v>
      </c>
      <c r="C6617">
        <v>2.9999999999999997E-4</v>
      </c>
    </row>
    <row r="6618" spans="1:3" x14ac:dyDescent="0.35">
      <c r="A6618">
        <v>102</v>
      </c>
      <c r="B6618">
        <v>2004</v>
      </c>
      <c r="C6618">
        <v>1.4E-3</v>
      </c>
    </row>
    <row r="6619" spans="1:3" x14ac:dyDescent="0.35">
      <c r="A6619">
        <v>102</v>
      </c>
      <c r="B6619">
        <v>2005</v>
      </c>
      <c r="C6619">
        <v>2.3999999999999998E-3</v>
      </c>
    </row>
    <row r="6620" spans="1:3" x14ac:dyDescent="0.35">
      <c r="A6620">
        <v>102</v>
      </c>
      <c r="B6620">
        <v>2006</v>
      </c>
      <c r="C6620">
        <v>3.3E-3</v>
      </c>
    </row>
    <row r="6621" spans="1:3" x14ac:dyDescent="0.35">
      <c r="A6621">
        <v>102</v>
      </c>
      <c r="B6621">
        <v>2007</v>
      </c>
      <c r="C6621">
        <v>4.1999999999999997E-3</v>
      </c>
    </row>
    <row r="6622" spans="1:3" x14ac:dyDescent="0.35">
      <c r="A6622">
        <v>102</v>
      </c>
      <c r="B6622">
        <v>2008</v>
      </c>
      <c r="C6622">
        <v>5.0000000000000001E-3</v>
      </c>
    </row>
    <row r="6623" spans="1:3" x14ac:dyDescent="0.35">
      <c r="A6623">
        <v>102</v>
      </c>
      <c r="B6623">
        <v>2009</v>
      </c>
      <c r="C6623">
        <v>5.7999999999999996E-3</v>
      </c>
    </row>
    <row r="6624" spans="1:3" x14ac:dyDescent="0.35">
      <c r="A6624">
        <v>102</v>
      </c>
      <c r="B6624">
        <v>2010</v>
      </c>
      <c r="C6624">
        <v>6.4000000000000003E-3</v>
      </c>
    </row>
    <row r="6625" spans="1:3" x14ac:dyDescent="0.35">
      <c r="A6625">
        <v>102</v>
      </c>
      <c r="B6625">
        <v>2011</v>
      </c>
      <c r="C6625">
        <v>7.1000000000000004E-3</v>
      </c>
    </row>
    <row r="6626" spans="1:3" x14ac:dyDescent="0.35">
      <c r="A6626">
        <v>102</v>
      </c>
      <c r="B6626">
        <v>2012</v>
      </c>
      <c r="C6626">
        <v>7.7000000000000002E-3</v>
      </c>
    </row>
    <row r="6627" spans="1:3" x14ac:dyDescent="0.35">
      <c r="A6627">
        <v>102</v>
      </c>
      <c r="B6627">
        <v>2013</v>
      </c>
      <c r="C6627">
        <v>7.4000000000000003E-3</v>
      </c>
    </row>
    <row r="6628" spans="1:3" x14ac:dyDescent="0.35">
      <c r="A6628">
        <v>102</v>
      </c>
      <c r="B6628">
        <v>2014</v>
      </c>
      <c r="C6628">
        <v>7.1000000000000004E-3</v>
      </c>
    </row>
    <row r="6629" spans="1:3" x14ac:dyDescent="0.35">
      <c r="A6629">
        <v>102</v>
      </c>
      <c r="B6629">
        <v>2015</v>
      </c>
      <c r="C6629">
        <v>6.7999999999999996E-3</v>
      </c>
    </row>
    <row r="6630" spans="1:3" x14ac:dyDescent="0.35">
      <c r="A6630">
        <v>102</v>
      </c>
      <c r="B6630">
        <v>2016</v>
      </c>
      <c r="C6630">
        <v>6.4999999999999997E-3</v>
      </c>
    </row>
    <row r="6631" spans="1:3" x14ac:dyDescent="0.35">
      <c r="A6631">
        <v>102</v>
      </c>
      <c r="B6631">
        <v>2017</v>
      </c>
      <c r="C6631">
        <v>6.1000000000000004E-3</v>
      </c>
    </row>
    <row r="6632" spans="1:3" x14ac:dyDescent="0.35">
      <c r="A6632">
        <v>102</v>
      </c>
      <c r="B6632">
        <v>2018</v>
      </c>
      <c r="C6632">
        <v>5.7999999999999996E-3</v>
      </c>
    </row>
    <row r="6633" spans="1:3" x14ac:dyDescent="0.35">
      <c r="A6633">
        <v>102</v>
      </c>
      <c r="B6633">
        <v>2019</v>
      </c>
      <c r="C6633">
        <v>5.5999999999999999E-3</v>
      </c>
    </row>
    <row r="6634" spans="1:3" x14ac:dyDescent="0.35">
      <c r="A6634">
        <v>102</v>
      </c>
      <c r="B6634">
        <v>2020</v>
      </c>
      <c r="C6634">
        <v>5.4000000000000003E-3</v>
      </c>
    </row>
    <row r="6635" spans="1:3" x14ac:dyDescent="0.35">
      <c r="A6635">
        <v>102</v>
      </c>
      <c r="B6635">
        <v>2021</v>
      </c>
      <c r="C6635">
        <v>5.1999999999999998E-3</v>
      </c>
    </row>
    <row r="6636" spans="1:3" x14ac:dyDescent="0.35">
      <c r="A6636">
        <v>102</v>
      </c>
      <c r="B6636">
        <v>2022</v>
      </c>
      <c r="C6636">
        <v>5.1999999999999998E-3</v>
      </c>
    </row>
    <row r="6637" spans="1:3" x14ac:dyDescent="0.35">
      <c r="A6637">
        <v>102</v>
      </c>
      <c r="B6637">
        <v>2023</v>
      </c>
      <c r="C6637">
        <v>5.1000000000000004E-3</v>
      </c>
    </row>
    <row r="6638" spans="1:3" x14ac:dyDescent="0.35">
      <c r="A6638">
        <v>102</v>
      </c>
      <c r="B6638">
        <v>2024</v>
      </c>
      <c r="C6638">
        <v>5.1000000000000004E-3</v>
      </c>
    </row>
    <row r="6639" spans="1:3" x14ac:dyDescent="0.35">
      <c r="A6639">
        <v>102</v>
      </c>
      <c r="B6639">
        <v>2025</v>
      </c>
      <c r="C6639">
        <v>5.1000000000000004E-3</v>
      </c>
    </row>
    <row r="6640" spans="1:3" x14ac:dyDescent="0.35">
      <c r="A6640">
        <v>102</v>
      </c>
      <c r="B6640">
        <v>2026</v>
      </c>
      <c r="C6640">
        <v>5.1000000000000004E-3</v>
      </c>
    </row>
    <row r="6641" spans="1:3" x14ac:dyDescent="0.35">
      <c r="A6641">
        <v>102</v>
      </c>
      <c r="B6641">
        <v>2027</v>
      </c>
      <c r="C6641">
        <v>5.1000000000000004E-3</v>
      </c>
    </row>
    <row r="6642" spans="1:3" x14ac:dyDescent="0.35">
      <c r="A6642">
        <v>102</v>
      </c>
      <c r="B6642">
        <v>2028</v>
      </c>
      <c r="C6642">
        <v>5.1999999999999998E-3</v>
      </c>
    </row>
    <row r="6643" spans="1:3" x14ac:dyDescent="0.35">
      <c r="A6643">
        <v>102</v>
      </c>
      <c r="B6643">
        <v>2029</v>
      </c>
      <c r="C6643">
        <v>5.1999999999999998E-3</v>
      </c>
    </row>
    <row r="6644" spans="1:3" x14ac:dyDescent="0.35">
      <c r="A6644">
        <v>102</v>
      </c>
      <c r="B6644">
        <v>2030</v>
      </c>
      <c r="C6644">
        <v>5.3E-3</v>
      </c>
    </row>
    <row r="6645" spans="1:3" x14ac:dyDescent="0.35">
      <c r="A6645">
        <v>102</v>
      </c>
      <c r="B6645">
        <v>2031</v>
      </c>
      <c r="C6645">
        <v>5.4000000000000003E-3</v>
      </c>
    </row>
    <row r="6646" spans="1:3" x14ac:dyDescent="0.35">
      <c r="A6646">
        <v>103</v>
      </c>
      <c r="B6646">
        <v>1951</v>
      </c>
      <c r="C6646">
        <v>-1.14E-2</v>
      </c>
    </row>
    <row r="6647" spans="1:3" x14ac:dyDescent="0.35">
      <c r="A6647">
        <v>103</v>
      </c>
      <c r="B6647">
        <v>1952</v>
      </c>
      <c r="C6647">
        <v>-1.06E-2</v>
      </c>
    </row>
    <row r="6648" spans="1:3" x14ac:dyDescent="0.35">
      <c r="A6648">
        <v>103</v>
      </c>
      <c r="B6648">
        <v>1953</v>
      </c>
      <c r="C6648">
        <v>-9.7999999999999997E-3</v>
      </c>
    </row>
    <row r="6649" spans="1:3" x14ac:dyDescent="0.35">
      <c r="A6649">
        <v>103</v>
      </c>
      <c r="B6649">
        <v>1954</v>
      </c>
      <c r="C6649">
        <v>-8.8999999999999999E-3</v>
      </c>
    </row>
    <row r="6650" spans="1:3" x14ac:dyDescent="0.35">
      <c r="A6650">
        <v>103</v>
      </c>
      <c r="B6650">
        <v>1955</v>
      </c>
      <c r="C6650">
        <v>-8.0999999999999996E-3</v>
      </c>
    </row>
    <row r="6651" spans="1:3" x14ac:dyDescent="0.35">
      <c r="A6651">
        <v>103</v>
      </c>
      <c r="B6651">
        <v>1956</v>
      </c>
      <c r="C6651">
        <v>-7.1999999999999998E-3</v>
      </c>
    </row>
    <row r="6652" spans="1:3" x14ac:dyDescent="0.35">
      <c r="A6652">
        <v>103</v>
      </c>
      <c r="B6652">
        <v>1957</v>
      </c>
      <c r="C6652">
        <v>-6.3E-3</v>
      </c>
    </row>
    <row r="6653" spans="1:3" x14ac:dyDescent="0.35">
      <c r="A6653">
        <v>103</v>
      </c>
      <c r="B6653">
        <v>1958</v>
      </c>
      <c r="C6653">
        <v>-5.4000000000000003E-3</v>
      </c>
    </row>
    <row r="6654" spans="1:3" x14ac:dyDescent="0.35">
      <c r="A6654">
        <v>103</v>
      </c>
      <c r="B6654">
        <v>1959</v>
      </c>
      <c r="C6654">
        <v>-4.4000000000000003E-3</v>
      </c>
    </row>
    <row r="6655" spans="1:3" x14ac:dyDescent="0.35">
      <c r="A6655">
        <v>103</v>
      </c>
      <c r="B6655">
        <v>1960</v>
      </c>
      <c r="C6655">
        <v>-3.3E-3</v>
      </c>
    </row>
    <row r="6656" spans="1:3" x14ac:dyDescent="0.35">
      <c r="A6656">
        <v>103</v>
      </c>
      <c r="B6656">
        <v>1961</v>
      </c>
      <c r="C6656">
        <v>-2.3E-3</v>
      </c>
    </row>
    <row r="6657" spans="1:3" x14ac:dyDescent="0.35">
      <c r="A6657">
        <v>103</v>
      </c>
      <c r="B6657">
        <v>1962</v>
      </c>
      <c r="C6657">
        <v>-1.1999999999999999E-3</v>
      </c>
    </row>
    <row r="6658" spans="1:3" x14ac:dyDescent="0.35">
      <c r="A6658">
        <v>103</v>
      </c>
      <c r="B6658">
        <v>1963</v>
      </c>
      <c r="C6658">
        <v>-1E-4</v>
      </c>
    </row>
    <row r="6659" spans="1:3" x14ac:dyDescent="0.35">
      <c r="A6659">
        <v>103</v>
      </c>
      <c r="B6659">
        <v>1964</v>
      </c>
      <c r="C6659">
        <v>1E-3</v>
      </c>
    </row>
    <row r="6660" spans="1:3" x14ac:dyDescent="0.35">
      <c r="A6660">
        <v>103</v>
      </c>
      <c r="B6660">
        <v>1965</v>
      </c>
      <c r="C6660">
        <v>2.0999999999999999E-3</v>
      </c>
    </row>
    <row r="6661" spans="1:3" x14ac:dyDescent="0.35">
      <c r="A6661">
        <v>103</v>
      </c>
      <c r="B6661">
        <v>1966</v>
      </c>
      <c r="C6661">
        <v>3.2000000000000002E-3</v>
      </c>
    </row>
    <row r="6662" spans="1:3" x14ac:dyDescent="0.35">
      <c r="A6662">
        <v>103</v>
      </c>
      <c r="B6662">
        <v>1967</v>
      </c>
      <c r="C6662">
        <v>4.1999999999999997E-3</v>
      </c>
    </row>
    <row r="6663" spans="1:3" x14ac:dyDescent="0.35">
      <c r="A6663">
        <v>103</v>
      </c>
      <c r="B6663">
        <v>1968</v>
      </c>
      <c r="C6663">
        <v>5.1000000000000004E-3</v>
      </c>
    </row>
    <row r="6664" spans="1:3" x14ac:dyDescent="0.35">
      <c r="A6664">
        <v>103</v>
      </c>
      <c r="B6664">
        <v>1969</v>
      </c>
      <c r="C6664">
        <v>5.8999999999999999E-3</v>
      </c>
    </row>
    <row r="6665" spans="1:3" x14ac:dyDescent="0.35">
      <c r="A6665">
        <v>103</v>
      </c>
      <c r="B6665">
        <v>1970</v>
      </c>
      <c r="C6665">
        <v>6.6E-3</v>
      </c>
    </row>
    <row r="6666" spans="1:3" x14ac:dyDescent="0.35">
      <c r="A6666">
        <v>103</v>
      </c>
      <c r="B6666">
        <v>1971</v>
      </c>
      <c r="C6666">
        <v>7.1000000000000004E-3</v>
      </c>
    </row>
    <row r="6667" spans="1:3" x14ac:dyDescent="0.35">
      <c r="A6667">
        <v>103</v>
      </c>
      <c r="B6667">
        <v>1972</v>
      </c>
      <c r="C6667">
        <v>7.4999999999999997E-3</v>
      </c>
    </row>
    <row r="6668" spans="1:3" x14ac:dyDescent="0.35">
      <c r="A6668">
        <v>103</v>
      </c>
      <c r="B6668">
        <v>1973</v>
      </c>
      <c r="C6668">
        <v>7.7000000000000002E-3</v>
      </c>
    </row>
    <row r="6669" spans="1:3" x14ac:dyDescent="0.35">
      <c r="A6669">
        <v>103</v>
      </c>
      <c r="B6669">
        <v>1974</v>
      </c>
      <c r="C6669">
        <v>7.7999999999999996E-3</v>
      </c>
    </row>
    <row r="6670" spans="1:3" x14ac:dyDescent="0.35">
      <c r="A6670">
        <v>103</v>
      </c>
      <c r="B6670">
        <v>1975</v>
      </c>
      <c r="C6670">
        <v>7.7000000000000002E-3</v>
      </c>
    </row>
    <row r="6671" spans="1:3" x14ac:dyDescent="0.35">
      <c r="A6671">
        <v>103</v>
      </c>
      <c r="B6671">
        <v>1976</v>
      </c>
      <c r="C6671">
        <v>7.4000000000000003E-3</v>
      </c>
    </row>
    <row r="6672" spans="1:3" x14ac:dyDescent="0.35">
      <c r="A6672">
        <v>103</v>
      </c>
      <c r="B6672">
        <v>1977</v>
      </c>
      <c r="C6672">
        <v>6.8999999999999999E-3</v>
      </c>
    </row>
    <row r="6673" spans="1:3" x14ac:dyDescent="0.35">
      <c r="A6673">
        <v>103</v>
      </c>
      <c r="B6673">
        <v>1978</v>
      </c>
      <c r="C6673">
        <v>6.3E-3</v>
      </c>
    </row>
    <row r="6674" spans="1:3" x14ac:dyDescent="0.35">
      <c r="A6674">
        <v>103</v>
      </c>
      <c r="B6674">
        <v>1979</v>
      </c>
      <c r="C6674">
        <v>5.5999999999999999E-3</v>
      </c>
    </row>
    <row r="6675" spans="1:3" x14ac:dyDescent="0.35">
      <c r="A6675">
        <v>103</v>
      </c>
      <c r="B6675">
        <v>1980</v>
      </c>
      <c r="C6675">
        <v>4.7999999999999996E-3</v>
      </c>
    </row>
    <row r="6676" spans="1:3" x14ac:dyDescent="0.35">
      <c r="A6676">
        <v>103</v>
      </c>
      <c r="B6676">
        <v>1981</v>
      </c>
      <c r="C6676">
        <v>3.8E-3</v>
      </c>
    </row>
    <row r="6677" spans="1:3" x14ac:dyDescent="0.35">
      <c r="A6677">
        <v>103</v>
      </c>
      <c r="B6677">
        <v>1982</v>
      </c>
      <c r="C6677">
        <v>2.8E-3</v>
      </c>
    </row>
    <row r="6678" spans="1:3" x14ac:dyDescent="0.35">
      <c r="A6678">
        <v>103</v>
      </c>
      <c r="B6678">
        <v>1983</v>
      </c>
      <c r="C6678">
        <v>1.8E-3</v>
      </c>
    </row>
    <row r="6679" spans="1:3" x14ac:dyDescent="0.35">
      <c r="A6679">
        <v>103</v>
      </c>
      <c r="B6679">
        <v>1984</v>
      </c>
      <c r="C6679">
        <v>6.9999999999999999E-4</v>
      </c>
    </row>
    <row r="6680" spans="1:3" x14ac:dyDescent="0.35">
      <c r="A6680">
        <v>103</v>
      </c>
      <c r="B6680">
        <v>1985</v>
      </c>
      <c r="C6680">
        <v>-2.9999999999999997E-4</v>
      </c>
    </row>
    <row r="6681" spans="1:3" x14ac:dyDescent="0.35">
      <c r="A6681">
        <v>103</v>
      </c>
      <c r="B6681">
        <v>1986</v>
      </c>
      <c r="C6681">
        <v>-1.2999999999999999E-3</v>
      </c>
    </row>
    <row r="6682" spans="1:3" x14ac:dyDescent="0.35">
      <c r="A6682">
        <v>103</v>
      </c>
      <c r="B6682">
        <v>1987</v>
      </c>
      <c r="C6682">
        <v>-2.3E-3</v>
      </c>
    </row>
    <row r="6683" spans="1:3" x14ac:dyDescent="0.35">
      <c r="A6683">
        <v>103</v>
      </c>
      <c r="B6683">
        <v>1988</v>
      </c>
      <c r="C6683">
        <v>-3.0999999999999999E-3</v>
      </c>
    </row>
    <row r="6684" spans="1:3" x14ac:dyDescent="0.35">
      <c r="A6684">
        <v>103</v>
      </c>
      <c r="B6684">
        <v>1989</v>
      </c>
      <c r="C6684">
        <v>-3.8E-3</v>
      </c>
    </row>
    <row r="6685" spans="1:3" x14ac:dyDescent="0.35">
      <c r="A6685">
        <v>103</v>
      </c>
      <c r="B6685">
        <v>1990</v>
      </c>
      <c r="C6685">
        <v>-4.4000000000000003E-3</v>
      </c>
    </row>
    <row r="6686" spans="1:3" x14ac:dyDescent="0.35">
      <c r="A6686">
        <v>103</v>
      </c>
      <c r="B6686">
        <v>1991</v>
      </c>
      <c r="C6686">
        <v>-4.8999999999999998E-3</v>
      </c>
    </row>
    <row r="6687" spans="1:3" x14ac:dyDescent="0.35">
      <c r="A6687">
        <v>103</v>
      </c>
      <c r="B6687">
        <v>1992</v>
      </c>
      <c r="C6687">
        <v>-5.1999999999999998E-3</v>
      </c>
    </row>
    <row r="6688" spans="1:3" x14ac:dyDescent="0.35">
      <c r="A6688">
        <v>103</v>
      </c>
      <c r="B6688">
        <v>1993</v>
      </c>
      <c r="C6688">
        <v>-5.4000000000000003E-3</v>
      </c>
    </row>
    <row r="6689" spans="1:3" x14ac:dyDescent="0.35">
      <c r="A6689">
        <v>103</v>
      </c>
      <c r="B6689">
        <v>1994</v>
      </c>
      <c r="C6689">
        <v>-5.4999999999999997E-3</v>
      </c>
    </row>
    <row r="6690" spans="1:3" x14ac:dyDescent="0.35">
      <c r="A6690">
        <v>103</v>
      </c>
      <c r="B6690">
        <v>1995</v>
      </c>
      <c r="C6690">
        <v>-5.3E-3</v>
      </c>
    </row>
    <row r="6691" spans="1:3" x14ac:dyDescent="0.35">
      <c r="A6691">
        <v>103</v>
      </c>
      <c r="B6691">
        <v>1996</v>
      </c>
      <c r="C6691">
        <v>-5.1000000000000004E-3</v>
      </c>
    </row>
    <row r="6692" spans="1:3" x14ac:dyDescent="0.35">
      <c r="A6692">
        <v>103</v>
      </c>
      <c r="B6692">
        <v>1997</v>
      </c>
      <c r="C6692">
        <v>-4.5999999999999999E-3</v>
      </c>
    </row>
    <row r="6693" spans="1:3" x14ac:dyDescent="0.35">
      <c r="A6693">
        <v>103</v>
      </c>
      <c r="B6693">
        <v>1998</v>
      </c>
      <c r="C6693">
        <v>-4.0000000000000001E-3</v>
      </c>
    </row>
    <row r="6694" spans="1:3" x14ac:dyDescent="0.35">
      <c r="A6694">
        <v>103</v>
      </c>
      <c r="B6694">
        <v>1999</v>
      </c>
      <c r="C6694">
        <v>-3.3E-3</v>
      </c>
    </row>
    <row r="6695" spans="1:3" x14ac:dyDescent="0.35">
      <c r="A6695">
        <v>103</v>
      </c>
      <c r="B6695">
        <v>2000</v>
      </c>
      <c r="C6695">
        <v>-2.5000000000000001E-3</v>
      </c>
    </row>
    <row r="6696" spans="1:3" x14ac:dyDescent="0.35">
      <c r="A6696">
        <v>103</v>
      </c>
      <c r="B6696">
        <v>2001</v>
      </c>
      <c r="C6696">
        <v>-1.6000000000000001E-3</v>
      </c>
    </row>
    <row r="6697" spans="1:3" x14ac:dyDescent="0.35">
      <c r="A6697">
        <v>103</v>
      </c>
      <c r="B6697">
        <v>2002</v>
      </c>
      <c r="C6697">
        <v>-6.9999999999999999E-4</v>
      </c>
    </row>
    <row r="6698" spans="1:3" x14ac:dyDescent="0.35">
      <c r="A6698">
        <v>103</v>
      </c>
      <c r="B6698">
        <v>2003</v>
      </c>
      <c r="C6698">
        <v>2.9999999999999997E-4</v>
      </c>
    </row>
    <row r="6699" spans="1:3" x14ac:dyDescent="0.35">
      <c r="A6699">
        <v>103</v>
      </c>
      <c r="B6699">
        <v>2004</v>
      </c>
      <c r="C6699">
        <v>1.2999999999999999E-3</v>
      </c>
    </row>
    <row r="6700" spans="1:3" x14ac:dyDescent="0.35">
      <c r="A6700">
        <v>103</v>
      </c>
      <c r="B6700">
        <v>2005</v>
      </c>
      <c r="C6700">
        <v>2.2000000000000001E-3</v>
      </c>
    </row>
    <row r="6701" spans="1:3" x14ac:dyDescent="0.35">
      <c r="A6701">
        <v>103</v>
      </c>
      <c r="B6701">
        <v>2006</v>
      </c>
      <c r="C6701">
        <v>3.0999999999999999E-3</v>
      </c>
    </row>
    <row r="6702" spans="1:3" x14ac:dyDescent="0.35">
      <c r="A6702">
        <v>103</v>
      </c>
      <c r="B6702">
        <v>2007</v>
      </c>
      <c r="C6702">
        <v>3.8999999999999998E-3</v>
      </c>
    </row>
    <row r="6703" spans="1:3" x14ac:dyDescent="0.35">
      <c r="A6703">
        <v>103</v>
      </c>
      <c r="B6703">
        <v>2008</v>
      </c>
      <c r="C6703">
        <v>4.5999999999999999E-3</v>
      </c>
    </row>
    <row r="6704" spans="1:3" x14ac:dyDescent="0.35">
      <c r="A6704">
        <v>103</v>
      </c>
      <c r="B6704">
        <v>2009</v>
      </c>
      <c r="C6704">
        <v>5.3E-3</v>
      </c>
    </row>
    <row r="6705" spans="1:3" x14ac:dyDescent="0.35">
      <c r="A6705">
        <v>103</v>
      </c>
      <c r="B6705">
        <v>2010</v>
      </c>
      <c r="C6705">
        <v>5.8999999999999999E-3</v>
      </c>
    </row>
    <row r="6706" spans="1:3" x14ac:dyDescent="0.35">
      <c r="A6706">
        <v>103</v>
      </c>
      <c r="B6706">
        <v>2011</v>
      </c>
      <c r="C6706">
        <v>6.4999999999999997E-3</v>
      </c>
    </row>
    <row r="6707" spans="1:3" x14ac:dyDescent="0.35">
      <c r="A6707">
        <v>103</v>
      </c>
      <c r="B6707">
        <v>2012</v>
      </c>
      <c r="C6707">
        <v>7.1000000000000004E-3</v>
      </c>
    </row>
    <row r="6708" spans="1:3" x14ac:dyDescent="0.35">
      <c r="A6708">
        <v>103</v>
      </c>
      <c r="B6708">
        <v>2013</v>
      </c>
      <c r="C6708">
        <v>6.8999999999999999E-3</v>
      </c>
    </row>
    <row r="6709" spans="1:3" x14ac:dyDescent="0.35">
      <c r="A6709">
        <v>103</v>
      </c>
      <c r="B6709">
        <v>2014</v>
      </c>
      <c r="C6709">
        <v>6.6E-3</v>
      </c>
    </row>
    <row r="6710" spans="1:3" x14ac:dyDescent="0.35">
      <c r="A6710">
        <v>103</v>
      </c>
      <c r="B6710">
        <v>2015</v>
      </c>
      <c r="C6710">
        <v>6.3E-3</v>
      </c>
    </row>
    <row r="6711" spans="1:3" x14ac:dyDescent="0.35">
      <c r="A6711">
        <v>103</v>
      </c>
      <c r="B6711">
        <v>2016</v>
      </c>
      <c r="C6711">
        <v>6.0000000000000001E-3</v>
      </c>
    </row>
    <row r="6712" spans="1:3" x14ac:dyDescent="0.35">
      <c r="A6712">
        <v>103</v>
      </c>
      <c r="B6712">
        <v>2017</v>
      </c>
      <c r="C6712">
        <v>5.7000000000000002E-3</v>
      </c>
    </row>
    <row r="6713" spans="1:3" x14ac:dyDescent="0.35">
      <c r="A6713">
        <v>103</v>
      </c>
      <c r="B6713">
        <v>2018</v>
      </c>
      <c r="C6713">
        <v>5.4000000000000003E-3</v>
      </c>
    </row>
    <row r="6714" spans="1:3" x14ac:dyDescent="0.35">
      <c r="A6714">
        <v>103</v>
      </c>
      <c r="B6714">
        <v>2019</v>
      </c>
      <c r="C6714">
        <v>5.1000000000000004E-3</v>
      </c>
    </row>
    <row r="6715" spans="1:3" x14ac:dyDescent="0.35">
      <c r="A6715">
        <v>103</v>
      </c>
      <c r="B6715">
        <v>2020</v>
      </c>
      <c r="C6715">
        <v>5.0000000000000001E-3</v>
      </c>
    </row>
    <row r="6716" spans="1:3" x14ac:dyDescent="0.35">
      <c r="A6716">
        <v>103</v>
      </c>
      <c r="B6716">
        <v>2021</v>
      </c>
      <c r="C6716">
        <v>4.7999999999999996E-3</v>
      </c>
    </row>
    <row r="6717" spans="1:3" x14ac:dyDescent="0.35">
      <c r="A6717">
        <v>103</v>
      </c>
      <c r="B6717">
        <v>2022</v>
      </c>
      <c r="C6717">
        <v>4.7999999999999996E-3</v>
      </c>
    </row>
    <row r="6718" spans="1:3" x14ac:dyDescent="0.35">
      <c r="A6718">
        <v>103</v>
      </c>
      <c r="B6718">
        <v>2023</v>
      </c>
      <c r="C6718">
        <v>4.7000000000000002E-3</v>
      </c>
    </row>
    <row r="6719" spans="1:3" x14ac:dyDescent="0.35">
      <c r="A6719">
        <v>103</v>
      </c>
      <c r="B6719">
        <v>2024</v>
      </c>
      <c r="C6719">
        <v>4.7000000000000002E-3</v>
      </c>
    </row>
    <row r="6720" spans="1:3" x14ac:dyDescent="0.35">
      <c r="A6720">
        <v>103</v>
      </c>
      <c r="B6720">
        <v>2025</v>
      </c>
      <c r="C6720">
        <v>4.7000000000000002E-3</v>
      </c>
    </row>
    <row r="6721" spans="1:3" x14ac:dyDescent="0.35">
      <c r="A6721">
        <v>103</v>
      </c>
      <c r="B6721">
        <v>2026</v>
      </c>
      <c r="C6721">
        <v>4.7000000000000002E-3</v>
      </c>
    </row>
    <row r="6722" spans="1:3" x14ac:dyDescent="0.35">
      <c r="A6722">
        <v>103</v>
      </c>
      <c r="B6722">
        <v>2027</v>
      </c>
      <c r="C6722">
        <v>4.7000000000000002E-3</v>
      </c>
    </row>
    <row r="6723" spans="1:3" x14ac:dyDescent="0.35">
      <c r="A6723">
        <v>103</v>
      </c>
      <c r="B6723">
        <v>2028</v>
      </c>
      <c r="C6723">
        <v>4.7999999999999996E-3</v>
      </c>
    </row>
    <row r="6724" spans="1:3" x14ac:dyDescent="0.35">
      <c r="A6724">
        <v>103</v>
      </c>
      <c r="B6724">
        <v>2029</v>
      </c>
      <c r="C6724">
        <v>4.7999999999999996E-3</v>
      </c>
    </row>
    <row r="6725" spans="1:3" x14ac:dyDescent="0.35">
      <c r="A6725">
        <v>103</v>
      </c>
      <c r="B6725">
        <v>2030</v>
      </c>
      <c r="C6725">
        <v>4.8999999999999998E-3</v>
      </c>
    </row>
    <row r="6726" spans="1:3" x14ac:dyDescent="0.35">
      <c r="A6726">
        <v>103</v>
      </c>
      <c r="B6726">
        <v>2031</v>
      </c>
      <c r="C6726">
        <v>5.0000000000000001E-3</v>
      </c>
    </row>
    <row r="6727" spans="1:3" x14ac:dyDescent="0.35">
      <c r="A6727">
        <v>104</v>
      </c>
      <c r="B6727">
        <v>1951</v>
      </c>
      <c r="C6727">
        <v>-1.0500000000000001E-2</v>
      </c>
    </row>
    <row r="6728" spans="1:3" x14ac:dyDescent="0.35">
      <c r="A6728">
        <v>104</v>
      </c>
      <c r="B6728">
        <v>1952</v>
      </c>
      <c r="C6728">
        <v>-9.7000000000000003E-3</v>
      </c>
    </row>
    <row r="6729" spans="1:3" x14ac:dyDescent="0.35">
      <c r="A6729">
        <v>104</v>
      </c>
      <c r="B6729">
        <v>1953</v>
      </c>
      <c r="C6729">
        <v>-8.9999999999999993E-3</v>
      </c>
    </row>
    <row r="6730" spans="1:3" x14ac:dyDescent="0.35">
      <c r="A6730">
        <v>104</v>
      </c>
      <c r="B6730">
        <v>1954</v>
      </c>
      <c r="C6730">
        <v>-8.2000000000000007E-3</v>
      </c>
    </row>
    <row r="6731" spans="1:3" x14ac:dyDescent="0.35">
      <c r="A6731">
        <v>104</v>
      </c>
      <c r="B6731">
        <v>1955</v>
      </c>
      <c r="C6731">
        <v>-7.4000000000000003E-3</v>
      </c>
    </row>
    <row r="6732" spans="1:3" x14ac:dyDescent="0.35">
      <c r="A6732">
        <v>104</v>
      </c>
      <c r="B6732">
        <v>1956</v>
      </c>
      <c r="C6732">
        <v>-6.6E-3</v>
      </c>
    </row>
    <row r="6733" spans="1:3" x14ac:dyDescent="0.35">
      <c r="A6733">
        <v>104</v>
      </c>
      <c r="B6733">
        <v>1957</v>
      </c>
      <c r="C6733">
        <v>-5.7999999999999996E-3</v>
      </c>
    </row>
    <row r="6734" spans="1:3" x14ac:dyDescent="0.35">
      <c r="A6734">
        <v>104</v>
      </c>
      <c r="B6734">
        <v>1958</v>
      </c>
      <c r="C6734">
        <v>-4.8999999999999998E-3</v>
      </c>
    </row>
    <row r="6735" spans="1:3" x14ac:dyDescent="0.35">
      <c r="A6735">
        <v>104</v>
      </c>
      <c r="B6735">
        <v>1959</v>
      </c>
      <c r="C6735">
        <v>-4.0000000000000001E-3</v>
      </c>
    </row>
    <row r="6736" spans="1:3" x14ac:dyDescent="0.35">
      <c r="A6736">
        <v>104</v>
      </c>
      <c r="B6736">
        <v>1960</v>
      </c>
      <c r="C6736">
        <v>-3.0999999999999999E-3</v>
      </c>
    </row>
    <row r="6737" spans="1:3" x14ac:dyDescent="0.35">
      <c r="A6737">
        <v>104</v>
      </c>
      <c r="B6737">
        <v>1961</v>
      </c>
      <c r="C6737">
        <v>-2.0999999999999999E-3</v>
      </c>
    </row>
    <row r="6738" spans="1:3" x14ac:dyDescent="0.35">
      <c r="A6738">
        <v>104</v>
      </c>
      <c r="B6738">
        <v>1962</v>
      </c>
      <c r="C6738">
        <v>-1.1000000000000001E-3</v>
      </c>
    </row>
    <row r="6739" spans="1:3" x14ac:dyDescent="0.35">
      <c r="A6739">
        <v>104</v>
      </c>
      <c r="B6739">
        <v>1963</v>
      </c>
      <c r="C6739">
        <v>-1E-4</v>
      </c>
    </row>
    <row r="6740" spans="1:3" x14ac:dyDescent="0.35">
      <c r="A6740">
        <v>104</v>
      </c>
      <c r="B6740">
        <v>1964</v>
      </c>
      <c r="C6740">
        <v>1E-3</v>
      </c>
    </row>
    <row r="6741" spans="1:3" x14ac:dyDescent="0.35">
      <c r="A6741">
        <v>104</v>
      </c>
      <c r="B6741">
        <v>1965</v>
      </c>
      <c r="C6741">
        <v>2E-3</v>
      </c>
    </row>
    <row r="6742" spans="1:3" x14ac:dyDescent="0.35">
      <c r="A6742">
        <v>104</v>
      </c>
      <c r="B6742">
        <v>1966</v>
      </c>
      <c r="C6742">
        <v>2.8999999999999998E-3</v>
      </c>
    </row>
    <row r="6743" spans="1:3" x14ac:dyDescent="0.35">
      <c r="A6743">
        <v>104</v>
      </c>
      <c r="B6743">
        <v>1967</v>
      </c>
      <c r="C6743">
        <v>3.8999999999999998E-3</v>
      </c>
    </row>
    <row r="6744" spans="1:3" x14ac:dyDescent="0.35">
      <c r="A6744">
        <v>104</v>
      </c>
      <c r="B6744">
        <v>1968</v>
      </c>
      <c r="C6744">
        <v>4.7000000000000002E-3</v>
      </c>
    </row>
    <row r="6745" spans="1:3" x14ac:dyDescent="0.35">
      <c r="A6745">
        <v>104</v>
      </c>
      <c r="B6745">
        <v>1969</v>
      </c>
      <c r="C6745">
        <v>5.4000000000000003E-3</v>
      </c>
    </row>
    <row r="6746" spans="1:3" x14ac:dyDescent="0.35">
      <c r="A6746">
        <v>104</v>
      </c>
      <c r="B6746">
        <v>1970</v>
      </c>
      <c r="C6746">
        <v>6.1000000000000004E-3</v>
      </c>
    </row>
    <row r="6747" spans="1:3" x14ac:dyDescent="0.35">
      <c r="A6747">
        <v>104</v>
      </c>
      <c r="B6747">
        <v>1971</v>
      </c>
      <c r="C6747">
        <v>6.4999999999999997E-3</v>
      </c>
    </row>
    <row r="6748" spans="1:3" x14ac:dyDescent="0.35">
      <c r="A6748">
        <v>104</v>
      </c>
      <c r="B6748">
        <v>1972</v>
      </c>
      <c r="C6748">
        <v>6.8999999999999999E-3</v>
      </c>
    </row>
    <row r="6749" spans="1:3" x14ac:dyDescent="0.35">
      <c r="A6749">
        <v>104</v>
      </c>
      <c r="B6749">
        <v>1973</v>
      </c>
      <c r="C6749">
        <v>7.1000000000000004E-3</v>
      </c>
    </row>
    <row r="6750" spans="1:3" x14ac:dyDescent="0.35">
      <c r="A6750">
        <v>104</v>
      </c>
      <c r="B6750">
        <v>1974</v>
      </c>
      <c r="C6750">
        <v>7.1000000000000004E-3</v>
      </c>
    </row>
    <row r="6751" spans="1:3" x14ac:dyDescent="0.35">
      <c r="A6751">
        <v>104</v>
      </c>
      <c r="B6751">
        <v>1975</v>
      </c>
      <c r="C6751">
        <v>7.0000000000000001E-3</v>
      </c>
    </row>
    <row r="6752" spans="1:3" x14ac:dyDescent="0.35">
      <c r="A6752">
        <v>104</v>
      </c>
      <c r="B6752">
        <v>1976</v>
      </c>
      <c r="C6752">
        <v>6.7999999999999996E-3</v>
      </c>
    </row>
    <row r="6753" spans="1:3" x14ac:dyDescent="0.35">
      <c r="A6753">
        <v>104</v>
      </c>
      <c r="B6753">
        <v>1977</v>
      </c>
      <c r="C6753">
        <v>6.4000000000000003E-3</v>
      </c>
    </row>
    <row r="6754" spans="1:3" x14ac:dyDescent="0.35">
      <c r="A6754">
        <v>104</v>
      </c>
      <c r="B6754">
        <v>1978</v>
      </c>
      <c r="C6754">
        <v>5.7999999999999996E-3</v>
      </c>
    </row>
    <row r="6755" spans="1:3" x14ac:dyDescent="0.35">
      <c r="A6755">
        <v>104</v>
      </c>
      <c r="B6755">
        <v>1979</v>
      </c>
      <c r="C6755">
        <v>5.1000000000000004E-3</v>
      </c>
    </row>
    <row r="6756" spans="1:3" x14ac:dyDescent="0.35">
      <c r="A6756">
        <v>104</v>
      </c>
      <c r="B6756">
        <v>1980</v>
      </c>
      <c r="C6756">
        <v>4.4000000000000003E-3</v>
      </c>
    </row>
    <row r="6757" spans="1:3" x14ac:dyDescent="0.35">
      <c r="A6757">
        <v>104</v>
      </c>
      <c r="B6757">
        <v>1981</v>
      </c>
      <c r="C6757">
        <v>3.5000000000000001E-3</v>
      </c>
    </row>
    <row r="6758" spans="1:3" x14ac:dyDescent="0.35">
      <c r="A6758">
        <v>104</v>
      </c>
      <c r="B6758">
        <v>1982</v>
      </c>
      <c r="C6758">
        <v>2.5999999999999999E-3</v>
      </c>
    </row>
    <row r="6759" spans="1:3" x14ac:dyDescent="0.35">
      <c r="A6759">
        <v>104</v>
      </c>
      <c r="B6759">
        <v>1983</v>
      </c>
      <c r="C6759">
        <v>1.6000000000000001E-3</v>
      </c>
    </row>
    <row r="6760" spans="1:3" x14ac:dyDescent="0.35">
      <c r="A6760">
        <v>104</v>
      </c>
      <c r="B6760">
        <v>1984</v>
      </c>
      <c r="C6760">
        <v>5.9999999999999995E-4</v>
      </c>
    </row>
    <row r="6761" spans="1:3" x14ac:dyDescent="0.35">
      <c r="A6761">
        <v>104</v>
      </c>
      <c r="B6761">
        <v>1985</v>
      </c>
      <c r="C6761">
        <v>-2.9999999999999997E-4</v>
      </c>
    </row>
    <row r="6762" spans="1:3" x14ac:dyDescent="0.35">
      <c r="A6762">
        <v>104</v>
      </c>
      <c r="B6762">
        <v>1986</v>
      </c>
      <c r="C6762">
        <v>-1.1999999999999999E-3</v>
      </c>
    </row>
    <row r="6763" spans="1:3" x14ac:dyDescent="0.35">
      <c r="A6763">
        <v>104</v>
      </c>
      <c r="B6763">
        <v>1987</v>
      </c>
      <c r="C6763">
        <v>-2.0999999999999999E-3</v>
      </c>
    </row>
    <row r="6764" spans="1:3" x14ac:dyDescent="0.35">
      <c r="A6764">
        <v>104</v>
      </c>
      <c r="B6764">
        <v>1988</v>
      </c>
      <c r="C6764">
        <v>-2.8E-3</v>
      </c>
    </row>
    <row r="6765" spans="1:3" x14ac:dyDescent="0.35">
      <c r="A6765">
        <v>104</v>
      </c>
      <c r="B6765">
        <v>1989</v>
      </c>
      <c r="C6765">
        <v>-3.5000000000000001E-3</v>
      </c>
    </row>
    <row r="6766" spans="1:3" x14ac:dyDescent="0.35">
      <c r="A6766">
        <v>104</v>
      </c>
      <c r="B6766">
        <v>1990</v>
      </c>
      <c r="C6766">
        <v>-4.1000000000000003E-3</v>
      </c>
    </row>
    <row r="6767" spans="1:3" x14ac:dyDescent="0.35">
      <c r="A6767">
        <v>104</v>
      </c>
      <c r="B6767">
        <v>1991</v>
      </c>
      <c r="C6767">
        <v>-4.4999999999999997E-3</v>
      </c>
    </row>
    <row r="6768" spans="1:3" x14ac:dyDescent="0.35">
      <c r="A6768">
        <v>104</v>
      </c>
      <c r="B6768">
        <v>1992</v>
      </c>
      <c r="C6768">
        <v>-4.7999999999999996E-3</v>
      </c>
    </row>
    <row r="6769" spans="1:3" x14ac:dyDescent="0.35">
      <c r="A6769">
        <v>104</v>
      </c>
      <c r="B6769">
        <v>1993</v>
      </c>
      <c r="C6769">
        <v>-5.0000000000000001E-3</v>
      </c>
    </row>
    <row r="6770" spans="1:3" x14ac:dyDescent="0.35">
      <c r="A6770">
        <v>104</v>
      </c>
      <c r="B6770">
        <v>1994</v>
      </c>
      <c r="C6770">
        <v>-5.0000000000000001E-3</v>
      </c>
    </row>
    <row r="6771" spans="1:3" x14ac:dyDescent="0.35">
      <c r="A6771">
        <v>104</v>
      </c>
      <c r="B6771">
        <v>1995</v>
      </c>
      <c r="C6771">
        <v>-4.8999999999999998E-3</v>
      </c>
    </row>
    <row r="6772" spans="1:3" x14ac:dyDescent="0.35">
      <c r="A6772">
        <v>104</v>
      </c>
      <c r="B6772">
        <v>1996</v>
      </c>
      <c r="C6772">
        <v>-4.5999999999999999E-3</v>
      </c>
    </row>
    <row r="6773" spans="1:3" x14ac:dyDescent="0.35">
      <c r="A6773">
        <v>104</v>
      </c>
      <c r="B6773">
        <v>1997</v>
      </c>
      <c r="C6773">
        <v>-4.1999999999999997E-3</v>
      </c>
    </row>
    <row r="6774" spans="1:3" x14ac:dyDescent="0.35">
      <c r="A6774">
        <v>104</v>
      </c>
      <c r="B6774">
        <v>1998</v>
      </c>
      <c r="C6774">
        <v>-3.7000000000000002E-3</v>
      </c>
    </row>
    <row r="6775" spans="1:3" x14ac:dyDescent="0.35">
      <c r="A6775">
        <v>104</v>
      </c>
      <c r="B6775">
        <v>1999</v>
      </c>
      <c r="C6775">
        <v>-3.0999999999999999E-3</v>
      </c>
    </row>
    <row r="6776" spans="1:3" x14ac:dyDescent="0.35">
      <c r="A6776">
        <v>104</v>
      </c>
      <c r="B6776">
        <v>2000</v>
      </c>
      <c r="C6776">
        <v>-2.3E-3</v>
      </c>
    </row>
    <row r="6777" spans="1:3" x14ac:dyDescent="0.35">
      <c r="A6777">
        <v>104</v>
      </c>
      <c r="B6777">
        <v>2001</v>
      </c>
      <c r="C6777">
        <v>-1.5E-3</v>
      </c>
    </row>
    <row r="6778" spans="1:3" x14ac:dyDescent="0.35">
      <c r="A6778">
        <v>104</v>
      </c>
      <c r="B6778">
        <v>2002</v>
      </c>
      <c r="C6778">
        <v>-5.9999999999999995E-4</v>
      </c>
    </row>
    <row r="6779" spans="1:3" x14ac:dyDescent="0.35">
      <c r="A6779">
        <v>104</v>
      </c>
      <c r="B6779">
        <v>2003</v>
      </c>
      <c r="C6779">
        <v>2.9999999999999997E-4</v>
      </c>
    </row>
    <row r="6780" spans="1:3" x14ac:dyDescent="0.35">
      <c r="A6780">
        <v>104</v>
      </c>
      <c r="B6780">
        <v>2004</v>
      </c>
      <c r="C6780">
        <v>1.1999999999999999E-3</v>
      </c>
    </row>
    <row r="6781" spans="1:3" x14ac:dyDescent="0.35">
      <c r="A6781">
        <v>104</v>
      </c>
      <c r="B6781">
        <v>2005</v>
      </c>
      <c r="C6781">
        <v>2E-3</v>
      </c>
    </row>
    <row r="6782" spans="1:3" x14ac:dyDescent="0.35">
      <c r="A6782">
        <v>104</v>
      </c>
      <c r="B6782">
        <v>2006</v>
      </c>
      <c r="C6782">
        <v>2.8E-3</v>
      </c>
    </row>
    <row r="6783" spans="1:3" x14ac:dyDescent="0.35">
      <c r="A6783">
        <v>104</v>
      </c>
      <c r="B6783">
        <v>2007</v>
      </c>
      <c r="C6783">
        <v>3.5999999999999999E-3</v>
      </c>
    </row>
    <row r="6784" spans="1:3" x14ac:dyDescent="0.35">
      <c r="A6784">
        <v>104</v>
      </c>
      <c r="B6784">
        <v>2008</v>
      </c>
      <c r="C6784">
        <v>4.3E-3</v>
      </c>
    </row>
    <row r="6785" spans="1:3" x14ac:dyDescent="0.35">
      <c r="A6785">
        <v>104</v>
      </c>
      <c r="B6785">
        <v>2009</v>
      </c>
      <c r="C6785">
        <v>4.8999999999999998E-3</v>
      </c>
    </row>
    <row r="6786" spans="1:3" x14ac:dyDescent="0.35">
      <c r="A6786">
        <v>104</v>
      </c>
      <c r="B6786">
        <v>2010</v>
      </c>
      <c r="C6786">
        <v>5.4999999999999997E-3</v>
      </c>
    </row>
    <row r="6787" spans="1:3" x14ac:dyDescent="0.35">
      <c r="A6787">
        <v>104</v>
      </c>
      <c r="B6787">
        <v>2011</v>
      </c>
      <c r="C6787">
        <v>6.0000000000000001E-3</v>
      </c>
    </row>
    <row r="6788" spans="1:3" x14ac:dyDescent="0.35">
      <c r="A6788">
        <v>104</v>
      </c>
      <c r="B6788">
        <v>2012</v>
      </c>
      <c r="C6788">
        <v>6.4999999999999997E-3</v>
      </c>
    </row>
    <row r="6789" spans="1:3" x14ac:dyDescent="0.35">
      <c r="A6789">
        <v>104</v>
      </c>
      <c r="B6789">
        <v>2013</v>
      </c>
      <c r="C6789">
        <v>6.3E-3</v>
      </c>
    </row>
    <row r="6790" spans="1:3" x14ac:dyDescent="0.35">
      <c r="A6790">
        <v>104</v>
      </c>
      <c r="B6790">
        <v>2014</v>
      </c>
      <c r="C6790">
        <v>6.0000000000000001E-3</v>
      </c>
    </row>
    <row r="6791" spans="1:3" x14ac:dyDescent="0.35">
      <c r="A6791">
        <v>104</v>
      </c>
      <c r="B6791">
        <v>2015</v>
      </c>
      <c r="C6791">
        <v>5.7000000000000002E-3</v>
      </c>
    </row>
    <row r="6792" spans="1:3" x14ac:dyDescent="0.35">
      <c r="A6792">
        <v>104</v>
      </c>
      <c r="B6792">
        <v>2016</v>
      </c>
      <c r="C6792">
        <v>5.4999999999999997E-3</v>
      </c>
    </row>
    <row r="6793" spans="1:3" x14ac:dyDescent="0.35">
      <c r="A6793">
        <v>104</v>
      </c>
      <c r="B6793">
        <v>2017</v>
      </c>
      <c r="C6793">
        <v>5.1999999999999998E-3</v>
      </c>
    </row>
    <row r="6794" spans="1:3" x14ac:dyDescent="0.35">
      <c r="A6794">
        <v>104</v>
      </c>
      <c r="B6794">
        <v>2018</v>
      </c>
      <c r="C6794">
        <v>4.8999999999999998E-3</v>
      </c>
    </row>
    <row r="6795" spans="1:3" x14ac:dyDescent="0.35">
      <c r="A6795">
        <v>104</v>
      </c>
      <c r="B6795">
        <v>2019</v>
      </c>
      <c r="C6795">
        <v>4.7000000000000002E-3</v>
      </c>
    </row>
    <row r="6796" spans="1:3" x14ac:dyDescent="0.35">
      <c r="A6796">
        <v>104</v>
      </c>
      <c r="B6796">
        <v>2020</v>
      </c>
      <c r="C6796">
        <v>4.4999999999999997E-3</v>
      </c>
    </row>
    <row r="6797" spans="1:3" x14ac:dyDescent="0.35">
      <c r="A6797">
        <v>104</v>
      </c>
      <c r="B6797">
        <v>2021</v>
      </c>
      <c r="C6797">
        <v>4.4000000000000003E-3</v>
      </c>
    </row>
    <row r="6798" spans="1:3" x14ac:dyDescent="0.35">
      <c r="A6798">
        <v>104</v>
      </c>
      <c r="B6798">
        <v>2022</v>
      </c>
      <c r="C6798">
        <v>4.4000000000000003E-3</v>
      </c>
    </row>
    <row r="6799" spans="1:3" x14ac:dyDescent="0.35">
      <c r="A6799">
        <v>104</v>
      </c>
      <c r="B6799">
        <v>2023</v>
      </c>
      <c r="C6799">
        <v>4.3E-3</v>
      </c>
    </row>
    <row r="6800" spans="1:3" x14ac:dyDescent="0.35">
      <c r="A6800">
        <v>104</v>
      </c>
      <c r="B6800">
        <v>2024</v>
      </c>
      <c r="C6800">
        <v>4.3E-3</v>
      </c>
    </row>
    <row r="6801" spans="1:3" x14ac:dyDescent="0.35">
      <c r="A6801">
        <v>104</v>
      </c>
      <c r="B6801">
        <v>2025</v>
      </c>
      <c r="C6801">
        <v>4.3E-3</v>
      </c>
    </row>
    <row r="6802" spans="1:3" x14ac:dyDescent="0.35">
      <c r="A6802">
        <v>104</v>
      </c>
      <c r="B6802">
        <v>2026</v>
      </c>
      <c r="C6802">
        <v>4.3E-3</v>
      </c>
    </row>
    <row r="6803" spans="1:3" x14ac:dyDescent="0.35">
      <c r="A6803">
        <v>104</v>
      </c>
      <c r="B6803">
        <v>2027</v>
      </c>
      <c r="C6803">
        <v>4.3E-3</v>
      </c>
    </row>
    <row r="6804" spans="1:3" x14ac:dyDescent="0.35">
      <c r="A6804">
        <v>104</v>
      </c>
      <c r="B6804">
        <v>2028</v>
      </c>
      <c r="C6804">
        <v>4.4000000000000003E-3</v>
      </c>
    </row>
    <row r="6805" spans="1:3" x14ac:dyDescent="0.35">
      <c r="A6805">
        <v>104</v>
      </c>
      <c r="B6805">
        <v>2029</v>
      </c>
      <c r="C6805">
        <v>4.4000000000000003E-3</v>
      </c>
    </row>
    <row r="6806" spans="1:3" x14ac:dyDescent="0.35">
      <c r="A6806">
        <v>104</v>
      </c>
      <c r="B6806">
        <v>2030</v>
      </c>
      <c r="C6806">
        <v>4.4999999999999997E-3</v>
      </c>
    </row>
    <row r="6807" spans="1:3" x14ac:dyDescent="0.35">
      <c r="A6807">
        <v>104</v>
      </c>
      <c r="B6807">
        <v>2031</v>
      </c>
      <c r="C6807">
        <v>4.5999999999999999E-3</v>
      </c>
    </row>
    <row r="6808" spans="1:3" x14ac:dyDescent="0.35">
      <c r="A6808">
        <v>105</v>
      </c>
      <c r="B6808">
        <v>1951</v>
      </c>
      <c r="C6808">
        <v>-9.4999999999999998E-3</v>
      </c>
    </row>
    <row r="6809" spans="1:3" x14ac:dyDescent="0.35">
      <c r="A6809">
        <v>105</v>
      </c>
      <c r="B6809">
        <v>1952</v>
      </c>
      <c r="C6809">
        <v>-8.8000000000000005E-3</v>
      </c>
    </row>
    <row r="6810" spans="1:3" x14ac:dyDescent="0.35">
      <c r="A6810">
        <v>105</v>
      </c>
      <c r="B6810">
        <v>1953</v>
      </c>
      <c r="C6810">
        <v>-8.0999999999999996E-3</v>
      </c>
    </row>
    <row r="6811" spans="1:3" x14ac:dyDescent="0.35">
      <c r="A6811">
        <v>105</v>
      </c>
      <c r="B6811">
        <v>1954</v>
      </c>
      <c r="C6811">
        <v>-7.4000000000000003E-3</v>
      </c>
    </row>
    <row r="6812" spans="1:3" x14ac:dyDescent="0.35">
      <c r="A6812">
        <v>105</v>
      </c>
      <c r="B6812">
        <v>1955</v>
      </c>
      <c r="C6812">
        <v>-6.7000000000000002E-3</v>
      </c>
    </row>
    <row r="6813" spans="1:3" x14ac:dyDescent="0.35">
      <c r="A6813">
        <v>105</v>
      </c>
      <c r="B6813">
        <v>1956</v>
      </c>
      <c r="C6813">
        <v>-6.0000000000000001E-3</v>
      </c>
    </row>
    <row r="6814" spans="1:3" x14ac:dyDescent="0.35">
      <c r="A6814">
        <v>105</v>
      </c>
      <c r="B6814">
        <v>1957</v>
      </c>
      <c r="C6814">
        <v>-5.1999999999999998E-3</v>
      </c>
    </row>
    <row r="6815" spans="1:3" x14ac:dyDescent="0.35">
      <c r="A6815">
        <v>105</v>
      </c>
      <c r="B6815">
        <v>1958</v>
      </c>
      <c r="C6815">
        <v>-4.4999999999999997E-3</v>
      </c>
    </row>
    <row r="6816" spans="1:3" x14ac:dyDescent="0.35">
      <c r="A6816">
        <v>105</v>
      </c>
      <c r="B6816">
        <v>1959</v>
      </c>
      <c r="C6816">
        <v>-3.5999999999999999E-3</v>
      </c>
    </row>
    <row r="6817" spans="1:3" x14ac:dyDescent="0.35">
      <c r="A6817">
        <v>105</v>
      </c>
      <c r="B6817">
        <v>1960</v>
      </c>
      <c r="C6817">
        <v>-2.8E-3</v>
      </c>
    </row>
    <row r="6818" spans="1:3" x14ac:dyDescent="0.35">
      <c r="A6818">
        <v>105</v>
      </c>
      <c r="B6818">
        <v>1961</v>
      </c>
      <c r="C6818">
        <v>-1.9E-3</v>
      </c>
    </row>
    <row r="6819" spans="1:3" x14ac:dyDescent="0.35">
      <c r="A6819">
        <v>105</v>
      </c>
      <c r="B6819">
        <v>1962</v>
      </c>
      <c r="C6819">
        <v>-1E-3</v>
      </c>
    </row>
    <row r="6820" spans="1:3" x14ac:dyDescent="0.35">
      <c r="A6820">
        <v>105</v>
      </c>
      <c r="B6820">
        <v>1963</v>
      </c>
      <c r="C6820">
        <v>-1E-4</v>
      </c>
    </row>
    <row r="6821" spans="1:3" x14ac:dyDescent="0.35">
      <c r="A6821">
        <v>105</v>
      </c>
      <c r="B6821">
        <v>1964</v>
      </c>
      <c r="C6821">
        <v>8.9999999999999998E-4</v>
      </c>
    </row>
    <row r="6822" spans="1:3" x14ac:dyDescent="0.35">
      <c r="A6822">
        <v>105</v>
      </c>
      <c r="B6822">
        <v>1965</v>
      </c>
      <c r="C6822">
        <v>1.8E-3</v>
      </c>
    </row>
    <row r="6823" spans="1:3" x14ac:dyDescent="0.35">
      <c r="A6823">
        <v>105</v>
      </c>
      <c r="B6823">
        <v>1966</v>
      </c>
      <c r="C6823">
        <v>2.7000000000000001E-3</v>
      </c>
    </row>
    <row r="6824" spans="1:3" x14ac:dyDescent="0.35">
      <c r="A6824">
        <v>105</v>
      </c>
      <c r="B6824">
        <v>1967</v>
      </c>
      <c r="C6824">
        <v>3.5000000000000001E-3</v>
      </c>
    </row>
    <row r="6825" spans="1:3" x14ac:dyDescent="0.35">
      <c r="A6825">
        <v>105</v>
      </c>
      <c r="B6825">
        <v>1968</v>
      </c>
      <c r="C6825">
        <v>4.3E-3</v>
      </c>
    </row>
    <row r="6826" spans="1:3" x14ac:dyDescent="0.35">
      <c r="A6826">
        <v>105</v>
      </c>
      <c r="B6826">
        <v>1969</v>
      </c>
      <c r="C6826">
        <v>4.8999999999999998E-3</v>
      </c>
    </row>
    <row r="6827" spans="1:3" x14ac:dyDescent="0.35">
      <c r="A6827">
        <v>105</v>
      </c>
      <c r="B6827">
        <v>1970</v>
      </c>
      <c r="C6827">
        <v>5.4999999999999997E-3</v>
      </c>
    </row>
    <row r="6828" spans="1:3" x14ac:dyDescent="0.35">
      <c r="A6828">
        <v>105</v>
      </c>
      <c r="B6828">
        <v>1971</v>
      </c>
      <c r="C6828">
        <v>6.0000000000000001E-3</v>
      </c>
    </row>
    <row r="6829" spans="1:3" x14ac:dyDescent="0.35">
      <c r="A6829">
        <v>105</v>
      </c>
      <c r="B6829">
        <v>1972</v>
      </c>
      <c r="C6829">
        <v>6.3E-3</v>
      </c>
    </row>
    <row r="6830" spans="1:3" x14ac:dyDescent="0.35">
      <c r="A6830">
        <v>105</v>
      </c>
      <c r="B6830">
        <v>1973</v>
      </c>
      <c r="C6830">
        <v>6.4999999999999997E-3</v>
      </c>
    </row>
    <row r="6831" spans="1:3" x14ac:dyDescent="0.35">
      <c r="A6831">
        <v>105</v>
      </c>
      <c r="B6831">
        <v>1974</v>
      </c>
      <c r="C6831">
        <v>6.4999999999999997E-3</v>
      </c>
    </row>
    <row r="6832" spans="1:3" x14ac:dyDescent="0.35">
      <c r="A6832">
        <v>105</v>
      </c>
      <c r="B6832">
        <v>1975</v>
      </c>
      <c r="C6832">
        <v>6.4000000000000003E-3</v>
      </c>
    </row>
    <row r="6833" spans="1:3" x14ac:dyDescent="0.35">
      <c r="A6833">
        <v>105</v>
      </c>
      <c r="B6833">
        <v>1976</v>
      </c>
      <c r="C6833">
        <v>6.1999999999999998E-3</v>
      </c>
    </row>
    <row r="6834" spans="1:3" x14ac:dyDescent="0.35">
      <c r="A6834">
        <v>105</v>
      </c>
      <c r="B6834">
        <v>1977</v>
      </c>
      <c r="C6834">
        <v>5.7999999999999996E-3</v>
      </c>
    </row>
    <row r="6835" spans="1:3" x14ac:dyDescent="0.35">
      <c r="A6835">
        <v>105</v>
      </c>
      <c r="B6835">
        <v>1978</v>
      </c>
      <c r="C6835">
        <v>5.3E-3</v>
      </c>
    </row>
    <row r="6836" spans="1:3" x14ac:dyDescent="0.35">
      <c r="A6836">
        <v>105</v>
      </c>
      <c r="B6836">
        <v>1979</v>
      </c>
      <c r="C6836">
        <v>4.7000000000000002E-3</v>
      </c>
    </row>
    <row r="6837" spans="1:3" x14ac:dyDescent="0.35">
      <c r="A6837">
        <v>105</v>
      </c>
      <c r="B6837">
        <v>1980</v>
      </c>
      <c r="C6837">
        <v>4.0000000000000001E-3</v>
      </c>
    </row>
    <row r="6838" spans="1:3" x14ac:dyDescent="0.35">
      <c r="A6838">
        <v>105</v>
      </c>
      <c r="B6838">
        <v>1981</v>
      </c>
      <c r="C6838">
        <v>3.2000000000000002E-3</v>
      </c>
    </row>
    <row r="6839" spans="1:3" x14ac:dyDescent="0.35">
      <c r="A6839">
        <v>105</v>
      </c>
      <c r="B6839">
        <v>1982</v>
      </c>
      <c r="C6839">
        <v>2.3E-3</v>
      </c>
    </row>
    <row r="6840" spans="1:3" x14ac:dyDescent="0.35">
      <c r="A6840">
        <v>105</v>
      </c>
      <c r="B6840">
        <v>1983</v>
      </c>
      <c r="C6840">
        <v>1.5E-3</v>
      </c>
    </row>
    <row r="6841" spans="1:3" x14ac:dyDescent="0.35">
      <c r="A6841">
        <v>105</v>
      </c>
      <c r="B6841">
        <v>1984</v>
      </c>
      <c r="C6841">
        <v>5.9999999999999995E-4</v>
      </c>
    </row>
    <row r="6842" spans="1:3" x14ac:dyDescent="0.35">
      <c r="A6842">
        <v>105</v>
      </c>
      <c r="B6842">
        <v>1985</v>
      </c>
      <c r="C6842">
        <v>-2.9999999999999997E-4</v>
      </c>
    </row>
    <row r="6843" spans="1:3" x14ac:dyDescent="0.35">
      <c r="A6843">
        <v>105</v>
      </c>
      <c r="B6843">
        <v>1986</v>
      </c>
      <c r="C6843">
        <v>-1.1000000000000001E-3</v>
      </c>
    </row>
    <row r="6844" spans="1:3" x14ac:dyDescent="0.35">
      <c r="A6844">
        <v>105</v>
      </c>
      <c r="B6844">
        <v>1987</v>
      </c>
      <c r="C6844">
        <v>-1.9E-3</v>
      </c>
    </row>
    <row r="6845" spans="1:3" x14ac:dyDescent="0.35">
      <c r="A6845">
        <v>105</v>
      </c>
      <c r="B6845">
        <v>1988</v>
      </c>
      <c r="C6845">
        <v>-2.5999999999999999E-3</v>
      </c>
    </row>
    <row r="6846" spans="1:3" x14ac:dyDescent="0.35">
      <c r="A6846">
        <v>105</v>
      </c>
      <c r="B6846">
        <v>1989</v>
      </c>
      <c r="C6846">
        <v>-3.2000000000000002E-3</v>
      </c>
    </row>
    <row r="6847" spans="1:3" x14ac:dyDescent="0.35">
      <c r="A6847">
        <v>105</v>
      </c>
      <c r="B6847">
        <v>1990</v>
      </c>
      <c r="C6847">
        <v>-3.7000000000000002E-3</v>
      </c>
    </row>
    <row r="6848" spans="1:3" x14ac:dyDescent="0.35">
      <c r="A6848">
        <v>105</v>
      </c>
      <c r="B6848">
        <v>1991</v>
      </c>
      <c r="C6848">
        <v>-4.1000000000000003E-3</v>
      </c>
    </row>
    <row r="6849" spans="1:3" x14ac:dyDescent="0.35">
      <c r="A6849">
        <v>105</v>
      </c>
      <c r="B6849">
        <v>1992</v>
      </c>
      <c r="C6849">
        <v>-4.4000000000000003E-3</v>
      </c>
    </row>
    <row r="6850" spans="1:3" x14ac:dyDescent="0.35">
      <c r="A6850">
        <v>105</v>
      </c>
      <c r="B6850">
        <v>1993</v>
      </c>
      <c r="C6850">
        <v>-4.4999999999999997E-3</v>
      </c>
    </row>
    <row r="6851" spans="1:3" x14ac:dyDescent="0.35">
      <c r="A6851">
        <v>105</v>
      </c>
      <c r="B6851">
        <v>1994</v>
      </c>
      <c r="C6851">
        <v>-4.5999999999999999E-3</v>
      </c>
    </row>
    <row r="6852" spans="1:3" x14ac:dyDescent="0.35">
      <c r="A6852">
        <v>105</v>
      </c>
      <c r="B6852">
        <v>1995</v>
      </c>
      <c r="C6852">
        <v>-4.4999999999999997E-3</v>
      </c>
    </row>
    <row r="6853" spans="1:3" x14ac:dyDescent="0.35">
      <c r="A6853">
        <v>105</v>
      </c>
      <c r="B6853">
        <v>1996</v>
      </c>
      <c r="C6853">
        <v>-4.1999999999999997E-3</v>
      </c>
    </row>
    <row r="6854" spans="1:3" x14ac:dyDescent="0.35">
      <c r="A6854">
        <v>105</v>
      </c>
      <c r="B6854">
        <v>1997</v>
      </c>
      <c r="C6854">
        <v>-3.8999999999999998E-3</v>
      </c>
    </row>
    <row r="6855" spans="1:3" x14ac:dyDescent="0.35">
      <c r="A6855">
        <v>105</v>
      </c>
      <c r="B6855">
        <v>1998</v>
      </c>
      <c r="C6855">
        <v>-3.3999999999999998E-3</v>
      </c>
    </row>
    <row r="6856" spans="1:3" x14ac:dyDescent="0.35">
      <c r="A6856">
        <v>105</v>
      </c>
      <c r="B6856">
        <v>1999</v>
      </c>
      <c r="C6856">
        <v>-2.8E-3</v>
      </c>
    </row>
    <row r="6857" spans="1:3" x14ac:dyDescent="0.35">
      <c r="A6857">
        <v>105</v>
      </c>
      <c r="B6857">
        <v>2000</v>
      </c>
      <c r="C6857">
        <v>-2.0999999999999999E-3</v>
      </c>
    </row>
    <row r="6858" spans="1:3" x14ac:dyDescent="0.35">
      <c r="A6858">
        <v>105</v>
      </c>
      <c r="B6858">
        <v>2001</v>
      </c>
      <c r="C6858">
        <v>-1.4E-3</v>
      </c>
    </row>
    <row r="6859" spans="1:3" x14ac:dyDescent="0.35">
      <c r="A6859">
        <v>105</v>
      </c>
      <c r="B6859">
        <v>2002</v>
      </c>
      <c r="C6859">
        <v>-5.9999999999999995E-4</v>
      </c>
    </row>
    <row r="6860" spans="1:3" x14ac:dyDescent="0.35">
      <c r="A6860">
        <v>105</v>
      </c>
      <c r="B6860">
        <v>2003</v>
      </c>
      <c r="C6860">
        <v>2.0000000000000001E-4</v>
      </c>
    </row>
    <row r="6861" spans="1:3" x14ac:dyDescent="0.35">
      <c r="A6861">
        <v>105</v>
      </c>
      <c r="B6861">
        <v>2004</v>
      </c>
      <c r="C6861">
        <v>1E-3</v>
      </c>
    </row>
    <row r="6862" spans="1:3" x14ac:dyDescent="0.35">
      <c r="A6862">
        <v>105</v>
      </c>
      <c r="B6862">
        <v>2005</v>
      </c>
      <c r="C6862">
        <v>1.8E-3</v>
      </c>
    </row>
    <row r="6863" spans="1:3" x14ac:dyDescent="0.35">
      <c r="A6863">
        <v>105</v>
      </c>
      <c r="B6863">
        <v>2006</v>
      </c>
      <c r="C6863">
        <v>2.5999999999999999E-3</v>
      </c>
    </row>
    <row r="6864" spans="1:3" x14ac:dyDescent="0.35">
      <c r="A6864">
        <v>105</v>
      </c>
      <c r="B6864">
        <v>2007</v>
      </c>
      <c r="C6864">
        <v>3.2000000000000002E-3</v>
      </c>
    </row>
    <row r="6865" spans="1:3" x14ac:dyDescent="0.35">
      <c r="A6865">
        <v>105</v>
      </c>
      <c r="B6865">
        <v>2008</v>
      </c>
      <c r="C6865">
        <v>3.8999999999999998E-3</v>
      </c>
    </row>
    <row r="6866" spans="1:3" x14ac:dyDescent="0.35">
      <c r="A6866">
        <v>105</v>
      </c>
      <c r="B6866">
        <v>2009</v>
      </c>
      <c r="C6866">
        <v>4.4000000000000003E-3</v>
      </c>
    </row>
    <row r="6867" spans="1:3" x14ac:dyDescent="0.35">
      <c r="A6867">
        <v>105</v>
      </c>
      <c r="B6867">
        <v>2010</v>
      </c>
      <c r="C6867">
        <v>5.0000000000000001E-3</v>
      </c>
    </row>
    <row r="6868" spans="1:3" x14ac:dyDescent="0.35">
      <c r="A6868">
        <v>105</v>
      </c>
      <c r="B6868">
        <v>2011</v>
      </c>
      <c r="C6868">
        <v>5.4000000000000003E-3</v>
      </c>
    </row>
    <row r="6869" spans="1:3" x14ac:dyDescent="0.35">
      <c r="A6869">
        <v>105</v>
      </c>
      <c r="B6869">
        <v>2012</v>
      </c>
      <c r="C6869">
        <v>5.8999999999999999E-3</v>
      </c>
    </row>
    <row r="6870" spans="1:3" x14ac:dyDescent="0.35">
      <c r="A6870">
        <v>105</v>
      </c>
      <c r="B6870">
        <v>2013</v>
      </c>
      <c r="C6870">
        <v>5.7000000000000002E-3</v>
      </c>
    </row>
    <row r="6871" spans="1:3" x14ac:dyDescent="0.35">
      <c r="A6871">
        <v>105</v>
      </c>
      <c r="B6871">
        <v>2014</v>
      </c>
      <c r="C6871">
        <v>5.4999999999999997E-3</v>
      </c>
    </row>
    <row r="6872" spans="1:3" x14ac:dyDescent="0.35">
      <c r="A6872">
        <v>105</v>
      </c>
      <c r="B6872">
        <v>2015</v>
      </c>
      <c r="C6872">
        <v>5.1999999999999998E-3</v>
      </c>
    </row>
    <row r="6873" spans="1:3" x14ac:dyDescent="0.35">
      <c r="A6873">
        <v>105</v>
      </c>
      <c r="B6873">
        <v>2016</v>
      </c>
      <c r="C6873">
        <v>5.0000000000000001E-3</v>
      </c>
    </row>
    <row r="6874" spans="1:3" x14ac:dyDescent="0.35">
      <c r="A6874">
        <v>105</v>
      </c>
      <c r="B6874">
        <v>2017</v>
      </c>
      <c r="C6874">
        <v>4.7000000000000002E-3</v>
      </c>
    </row>
    <row r="6875" spans="1:3" x14ac:dyDescent="0.35">
      <c r="A6875">
        <v>105</v>
      </c>
      <c r="B6875">
        <v>2018</v>
      </c>
      <c r="C6875">
        <v>4.4999999999999997E-3</v>
      </c>
    </row>
    <row r="6876" spans="1:3" x14ac:dyDescent="0.35">
      <c r="A6876">
        <v>105</v>
      </c>
      <c r="B6876">
        <v>2019</v>
      </c>
      <c r="C6876">
        <v>4.3E-3</v>
      </c>
    </row>
    <row r="6877" spans="1:3" x14ac:dyDescent="0.35">
      <c r="A6877">
        <v>105</v>
      </c>
      <c r="B6877">
        <v>2020</v>
      </c>
      <c r="C6877">
        <v>4.1000000000000003E-3</v>
      </c>
    </row>
    <row r="6878" spans="1:3" x14ac:dyDescent="0.35">
      <c r="A6878">
        <v>105</v>
      </c>
      <c r="B6878">
        <v>2021</v>
      </c>
      <c r="C6878">
        <v>4.0000000000000001E-3</v>
      </c>
    </row>
    <row r="6879" spans="1:3" x14ac:dyDescent="0.35">
      <c r="A6879">
        <v>105</v>
      </c>
      <c r="B6879">
        <v>2022</v>
      </c>
      <c r="C6879">
        <v>4.0000000000000001E-3</v>
      </c>
    </row>
    <row r="6880" spans="1:3" x14ac:dyDescent="0.35">
      <c r="A6880">
        <v>105</v>
      </c>
      <c r="B6880">
        <v>2023</v>
      </c>
      <c r="C6880">
        <v>3.8999999999999998E-3</v>
      </c>
    </row>
    <row r="6881" spans="1:3" x14ac:dyDescent="0.35">
      <c r="A6881">
        <v>105</v>
      </c>
      <c r="B6881">
        <v>2024</v>
      </c>
      <c r="C6881">
        <v>3.8999999999999998E-3</v>
      </c>
    </row>
    <row r="6882" spans="1:3" x14ac:dyDescent="0.35">
      <c r="A6882">
        <v>105</v>
      </c>
      <c r="B6882">
        <v>2025</v>
      </c>
      <c r="C6882">
        <v>3.8999999999999998E-3</v>
      </c>
    </row>
    <row r="6883" spans="1:3" x14ac:dyDescent="0.35">
      <c r="A6883">
        <v>105</v>
      </c>
      <c r="B6883">
        <v>2026</v>
      </c>
      <c r="C6883">
        <v>3.8999999999999998E-3</v>
      </c>
    </row>
    <row r="6884" spans="1:3" x14ac:dyDescent="0.35">
      <c r="A6884">
        <v>105</v>
      </c>
      <c r="B6884">
        <v>2027</v>
      </c>
      <c r="C6884">
        <v>3.8999999999999998E-3</v>
      </c>
    </row>
    <row r="6885" spans="1:3" x14ac:dyDescent="0.35">
      <c r="A6885">
        <v>105</v>
      </c>
      <c r="B6885">
        <v>2028</v>
      </c>
      <c r="C6885">
        <v>4.0000000000000001E-3</v>
      </c>
    </row>
    <row r="6886" spans="1:3" x14ac:dyDescent="0.35">
      <c r="A6886">
        <v>105</v>
      </c>
      <c r="B6886">
        <v>2029</v>
      </c>
      <c r="C6886">
        <v>4.0000000000000001E-3</v>
      </c>
    </row>
    <row r="6887" spans="1:3" x14ac:dyDescent="0.35">
      <c r="A6887">
        <v>105</v>
      </c>
      <c r="B6887">
        <v>2030</v>
      </c>
      <c r="C6887">
        <v>4.1000000000000003E-3</v>
      </c>
    </row>
    <row r="6888" spans="1:3" x14ac:dyDescent="0.35">
      <c r="A6888">
        <v>105</v>
      </c>
      <c r="B6888">
        <v>2031</v>
      </c>
      <c r="C6888">
        <v>4.1999999999999997E-3</v>
      </c>
    </row>
    <row r="6889" spans="1:3" x14ac:dyDescent="0.35">
      <c r="A6889">
        <v>106</v>
      </c>
      <c r="B6889">
        <v>1951</v>
      </c>
      <c r="C6889">
        <v>-8.6E-3</v>
      </c>
    </row>
    <row r="6890" spans="1:3" x14ac:dyDescent="0.35">
      <c r="A6890">
        <v>106</v>
      </c>
      <c r="B6890">
        <v>1952</v>
      </c>
      <c r="C6890">
        <v>-8.0000000000000002E-3</v>
      </c>
    </row>
    <row r="6891" spans="1:3" x14ac:dyDescent="0.35">
      <c r="A6891">
        <v>106</v>
      </c>
      <c r="B6891">
        <v>1953</v>
      </c>
      <c r="C6891">
        <v>-7.3000000000000001E-3</v>
      </c>
    </row>
    <row r="6892" spans="1:3" x14ac:dyDescent="0.35">
      <c r="A6892">
        <v>106</v>
      </c>
      <c r="B6892">
        <v>1954</v>
      </c>
      <c r="C6892">
        <v>-6.7000000000000002E-3</v>
      </c>
    </row>
    <row r="6893" spans="1:3" x14ac:dyDescent="0.35">
      <c r="A6893">
        <v>106</v>
      </c>
      <c r="B6893">
        <v>1955</v>
      </c>
      <c r="C6893">
        <v>-6.1000000000000004E-3</v>
      </c>
    </row>
    <row r="6894" spans="1:3" x14ac:dyDescent="0.35">
      <c r="A6894">
        <v>106</v>
      </c>
      <c r="B6894">
        <v>1956</v>
      </c>
      <c r="C6894">
        <v>-5.4000000000000003E-3</v>
      </c>
    </row>
    <row r="6895" spans="1:3" x14ac:dyDescent="0.35">
      <c r="A6895">
        <v>106</v>
      </c>
      <c r="B6895">
        <v>1957</v>
      </c>
      <c r="C6895">
        <v>-4.7000000000000002E-3</v>
      </c>
    </row>
    <row r="6896" spans="1:3" x14ac:dyDescent="0.35">
      <c r="A6896">
        <v>106</v>
      </c>
      <c r="B6896">
        <v>1958</v>
      </c>
      <c r="C6896">
        <v>-4.0000000000000001E-3</v>
      </c>
    </row>
    <row r="6897" spans="1:3" x14ac:dyDescent="0.35">
      <c r="A6897">
        <v>106</v>
      </c>
      <c r="B6897">
        <v>1959</v>
      </c>
      <c r="C6897">
        <v>-3.3E-3</v>
      </c>
    </row>
    <row r="6898" spans="1:3" x14ac:dyDescent="0.35">
      <c r="A6898">
        <v>106</v>
      </c>
      <c r="B6898">
        <v>1960</v>
      </c>
      <c r="C6898">
        <v>-2.5000000000000001E-3</v>
      </c>
    </row>
    <row r="6899" spans="1:3" x14ac:dyDescent="0.35">
      <c r="A6899">
        <v>106</v>
      </c>
      <c r="B6899">
        <v>1961</v>
      </c>
      <c r="C6899">
        <v>-1.6999999999999999E-3</v>
      </c>
    </row>
    <row r="6900" spans="1:3" x14ac:dyDescent="0.35">
      <c r="A6900">
        <v>106</v>
      </c>
      <c r="B6900">
        <v>1962</v>
      </c>
      <c r="C6900">
        <v>-8.9999999999999998E-4</v>
      </c>
    </row>
    <row r="6901" spans="1:3" x14ac:dyDescent="0.35">
      <c r="A6901">
        <v>106</v>
      </c>
      <c r="B6901">
        <v>1963</v>
      </c>
      <c r="C6901">
        <v>-1E-4</v>
      </c>
    </row>
    <row r="6902" spans="1:3" x14ac:dyDescent="0.35">
      <c r="A6902">
        <v>106</v>
      </c>
      <c r="B6902">
        <v>1964</v>
      </c>
      <c r="C6902">
        <v>8.0000000000000004E-4</v>
      </c>
    </row>
    <row r="6903" spans="1:3" x14ac:dyDescent="0.35">
      <c r="A6903">
        <v>106</v>
      </c>
      <c r="B6903">
        <v>1965</v>
      </c>
      <c r="C6903">
        <v>1.6000000000000001E-3</v>
      </c>
    </row>
    <row r="6904" spans="1:3" x14ac:dyDescent="0.35">
      <c r="A6904">
        <v>106</v>
      </c>
      <c r="B6904">
        <v>1966</v>
      </c>
      <c r="C6904">
        <v>2.3999999999999998E-3</v>
      </c>
    </row>
    <row r="6905" spans="1:3" x14ac:dyDescent="0.35">
      <c r="A6905">
        <v>106</v>
      </c>
      <c r="B6905">
        <v>1967</v>
      </c>
      <c r="C6905">
        <v>3.2000000000000002E-3</v>
      </c>
    </row>
    <row r="6906" spans="1:3" x14ac:dyDescent="0.35">
      <c r="A6906">
        <v>106</v>
      </c>
      <c r="B6906">
        <v>1968</v>
      </c>
      <c r="C6906">
        <v>3.8E-3</v>
      </c>
    </row>
    <row r="6907" spans="1:3" x14ac:dyDescent="0.35">
      <c r="A6907">
        <v>106</v>
      </c>
      <c r="B6907">
        <v>1969</v>
      </c>
      <c r="C6907">
        <v>4.4000000000000003E-3</v>
      </c>
    </row>
    <row r="6908" spans="1:3" x14ac:dyDescent="0.35">
      <c r="A6908">
        <v>106</v>
      </c>
      <c r="B6908">
        <v>1970</v>
      </c>
      <c r="C6908">
        <v>5.0000000000000001E-3</v>
      </c>
    </row>
    <row r="6909" spans="1:3" x14ac:dyDescent="0.35">
      <c r="A6909">
        <v>106</v>
      </c>
      <c r="B6909">
        <v>1971</v>
      </c>
      <c r="C6909">
        <v>5.4000000000000003E-3</v>
      </c>
    </row>
    <row r="6910" spans="1:3" x14ac:dyDescent="0.35">
      <c r="A6910">
        <v>106</v>
      </c>
      <c r="B6910">
        <v>1972</v>
      </c>
      <c r="C6910">
        <v>5.5999999999999999E-3</v>
      </c>
    </row>
    <row r="6911" spans="1:3" x14ac:dyDescent="0.35">
      <c r="A6911">
        <v>106</v>
      </c>
      <c r="B6911">
        <v>1973</v>
      </c>
      <c r="C6911">
        <v>5.7999999999999996E-3</v>
      </c>
    </row>
    <row r="6912" spans="1:3" x14ac:dyDescent="0.35">
      <c r="A6912">
        <v>106</v>
      </c>
      <c r="B6912">
        <v>1974</v>
      </c>
      <c r="C6912">
        <v>5.7999999999999996E-3</v>
      </c>
    </row>
    <row r="6913" spans="1:3" x14ac:dyDescent="0.35">
      <c r="A6913">
        <v>106</v>
      </c>
      <c r="B6913">
        <v>1975</v>
      </c>
      <c r="C6913">
        <v>5.7999999999999996E-3</v>
      </c>
    </row>
    <row r="6914" spans="1:3" x14ac:dyDescent="0.35">
      <c r="A6914">
        <v>106</v>
      </c>
      <c r="B6914">
        <v>1976</v>
      </c>
      <c r="C6914">
        <v>5.4999999999999997E-3</v>
      </c>
    </row>
    <row r="6915" spans="1:3" x14ac:dyDescent="0.35">
      <c r="A6915">
        <v>106</v>
      </c>
      <c r="B6915">
        <v>1977</v>
      </c>
      <c r="C6915">
        <v>5.1999999999999998E-3</v>
      </c>
    </row>
    <row r="6916" spans="1:3" x14ac:dyDescent="0.35">
      <c r="A6916">
        <v>106</v>
      </c>
      <c r="B6916">
        <v>1978</v>
      </c>
      <c r="C6916">
        <v>4.7999999999999996E-3</v>
      </c>
    </row>
    <row r="6917" spans="1:3" x14ac:dyDescent="0.35">
      <c r="A6917">
        <v>106</v>
      </c>
      <c r="B6917">
        <v>1979</v>
      </c>
      <c r="C6917">
        <v>4.1999999999999997E-3</v>
      </c>
    </row>
    <row r="6918" spans="1:3" x14ac:dyDescent="0.35">
      <c r="A6918">
        <v>106</v>
      </c>
      <c r="B6918">
        <v>1980</v>
      </c>
      <c r="C6918">
        <v>3.5999999999999999E-3</v>
      </c>
    </row>
    <row r="6919" spans="1:3" x14ac:dyDescent="0.35">
      <c r="A6919">
        <v>106</v>
      </c>
      <c r="B6919">
        <v>1981</v>
      </c>
      <c r="C6919">
        <v>2.8999999999999998E-3</v>
      </c>
    </row>
    <row r="6920" spans="1:3" x14ac:dyDescent="0.35">
      <c r="A6920">
        <v>106</v>
      </c>
      <c r="B6920">
        <v>1982</v>
      </c>
      <c r="C6920">
        <v>2.0999999999999999E-3</v>
      </c>
    </row>
    <row r="6921" spans="1:3" x14ac:dyDescent="0.35">
      <c r="A6921">
        <v>106</v>
      </c>
      <c r="B6921">
        <v>1983</v>
      </c>
      <c r="C6921">
        <v>1.2999999999999999E-3</v>
      </c>
    </row>
    <row r="6922" spans="1:3" x14ac:dyDescent="0.35">
      <c r="A6922">
        <v>106</v>
      </c>
      <c r="B6922">
        <v>1984</v>
      </c>
      <c r="C6922">
        <v>5.0000000000000001E-4</v>
      </c>
    </row>
    <row r="6923" spans="1:3" x14ac:dyDescent="0.35">
      <c r="A6923">
        <v>106</v>
      </c>
      <c r="B6923">
        <v>1985</v>
      </c>
      <c r="C6923">
        <v>-2.9999999999999997E-4</v>
      </c>
    </row>
    <row r="6924" spans="1:3" x14ac:dyDescent="0.35">
      <c r="A6924">
        <v>106</v>
      </c>
      <c r="B6924">
        <v>1986</v>
      </c>
      <c r="C6924">
        <v>-1E-3</v>
      </c>
    </row>
    <row r="6925" spans="1:3" x14ac:dyDescent="0.35">
      <c r="A6925">
        <v>106</v>
      </c>
      <c r="B6925">
        <v>1987</v>
      </c>
      <c r="C6925">
        <v>-1.6999999999999999E-3</v>
      </c>
    </row>
    <row r="6926" spans="1:3" x14ac:dyDescent="0.35">
      <c r="A6926">
        <v>106</v>
      </c>
      <c r="B6926">
        <v>1988</v>
      </c>
      <c r="C6926">
        <v>-2.3E-3</v>
      </c>
    </row>
    <row r="6927" spans="1:3" x14ac:dyDescent="0.35">
      <c r="A6927">
        <v>106</v>
      </c>
      <c r="B6927">
        <v>1989</v>
      </c>
      <c r="C6927">
        <v>-2.8999999999999998E-3</v>
      </c>
    </row>
    <row r="6928" spans="1:3" x14ac:dyDescent="0.35">
      <c r="A6928">
        <v>106</v>
      </c>
      <c r="B6928">
        <v>1990</v>
      </c>
      <c r="C6928">
        <v>-3.3E-3</v>
      </c>
    </row>
    <row r="6929" spans="1:3" x14ac:dyDescent="0.35">
      <c r="A6929">
        <v>106</v>
      </c>
      <c r="B6929">
        <v>1991</v>
      </c>
      <c r="C6929">
        <v>-3.7000000000000002E-3</v>
      </c>
    </row>
    <row r="6930" spans="1:3" x14ac:dyDescent="0.35">
      <c r="A6930">
        <v>106</v>
      </c>
      <c r="B6930">
        <v>1992</v>
      </c>
      <c r="C6930">
        <v>-3.8999999999999998E-3</v>
      </c>
    </row>
    <row r="6931" spans="1:3" x14ac:dyDescent="0.35">
      <c r="A6931">
        <v>106</v>
      </c>
      <c r="B6931">
        <v>1993</v>
      </c>
      <c r="C6931">
        <v>-4.1000000000000003E-3</v>
      </c>
    </row>
    <row r="6932" spans="1:3" x14ac:dyDescent="0.35">
      <c r="A6932">
        <v>106</v>
      </c>
      <c r="B6932">
        <v>1994</v>
      </c>
      <c r="C6932">
        <v>-4.1000000000000003E-3</v>
      </c>
    </row>
    <row r="6933" spans="1:3" x14ac:dyDescent="0.35">
      <c r="A6933">
        <v>106</v>
      </c>
      <c r="B6933">
        <v>1995</v>
      </c>
      <c r="C6933">
        <v>-4.0000000000000001E-3</v>
      </c>
    </row>
    <row r="6934" spans="1:3" x14ac:dyDescent="0.35">
      <c r="A6934">
        <v>106</v>
      </c>
      <c r="B6934">
        <v>1996</v>
      </c>
      <c r="C6934">
        <v>-3.8E-3</v>
      </c>
    </row>
    <row r="6935" spans="1:3" x14ac:dyDescent="0.35">
      <c r="A6935">
        <v>106</v>
      </c>
      <c r="B6935">
        <v>1997</v>
      </c>
      <c r="C6935">
        <v>-3.5000000000000001E-3</v>
      </c>
    </row>
    <row r="6936" spans="1:3" x14ac:dyDescent="0.35">
      <c r="A6936">
        <v>106</v>
      </c>
      <c r="B6936">
        <v>1998</v>
      </c>
      <c r="C6936">
        <v>-3.0000000000000001E-3</v>
      </c>
    </row>
    <row r="6937" spans="1:3" x14ac:dyDescent="0.35">
      <c r="A6937">
        <v>106</v>
      </c>
      <c r="B6937">
        <v>1999</v>
      </c>
      <c r="C6937">
        <v>-2.5000000000000001E-3</v>
      </c>
    </row>
    <row r="6938" spans="1:3" x14ac:dyDescent="0.35">
      <c r="A6938">
        <v>106</v>
      </c>
      <c r="B6938">
        <v>2000</v>
      </c>
      <c r="C6938">
        <v>-1.9E-3</v>
      </c>
    </row>
    <row r="6939" spans="1:3" x14ac:dyDescent="0.35">
      <c r="A6939">
        <v>106</v>
      </c>
      <c r="B6939">
        <v>2001</v>
      </c>
      <c r="C6939">
        <v>-1.1999999999999999E-3</v>
      </c>
    </row>
    <row r="6940" spans="1:3" x14ac:dyDescent="0.35">
      <c r="A6940">
        <v>106</v>
      </c>
      <c r="B6940">
        <v>2002</v>
      </c>
      <c r="C6940">
        <v>-5.0000000000000001E-4</v>
      </c>
    </row>
    <row r="6941" spans="1:3" x14ac:dyDescent="0.35">
      <c r="A6941">
        <v>106</v>
      </c>
      <c r="B6941">
        <v>2003</v>
      </c>
      <c r="C6941">
        <v>2.0000000000000001E-4</v>
      </c>
    </row>
    <row r="6942" spans="1:3" x14ac:dyDescent="0.35">
      <c r="A6942">
        <v>106</v>
      </c>
      <c r="B6942">
        <v>2004</v>
      </c>
      <c r="C6942">
        <v>8.9999999999999998E-4</v>
      </c>
    </row>
    <row r="6943" spans="1:3" x14ac:dyDescent="0.35">
      <c r="A6943">
        <v>106</v>
      </c>
      <c r="B6943">
        <v>2005</v>
      </c>
      <c r="C6943">
        <v>1.6000000000000001E-3</v>
      </c>
    </row>
    <row r="6944" spans="1:3" x14ac:dyDescent="0.35">
      <c r="A6944">
        <v>106</v>
      </c>
      <c r="B6944">
        <v>2006</v>
      </c>
      <c r="C6944">
        <v>2.3E-3</v>
      </c>
    </row>
    <row r="6945" spans="1:3" x14ac:dyDescent="0.35">
      <c r="A6945">
        <v>106</v>
      </c>
      <c r="B6945">
        <v>2007</v>
      </c>
      <c r="C6945">
        <v>2.8999999999999998E-3</v>
      </c>
    </row>
    <row r="6946" spans="1:3" x14ac:dyDescent="0.35">
      <c r="A6946">
        <v>106</v>
      </c>
      <c r="B6946">
        <v>2008</v>
      </c>
      <c r="C6946">
        <v>3.5000000000000001E-3</v>
      </c>
    </row>
    <row r="6947" spans="1:3" x14ac:dyDescent="0.35">
      <c r="A6947">
        <v>106</v>
      </c>
      <c r="B6947">
        <v>2009</v>
      </c>
      <c r="C6947">
        <v>4.0000000000000001E-3</v>
      </c>
    </row>
    <row r="6948" spans="1:3" x14ac:dyDescent="0.35">
      <c r="A6948">
        <v>106</v>
      </c>
      <c r="B6948">
        <v>2010</v>
      </c>
      <c r="C6948">
        <v>4.4999999999999997E-3</v>
      </c>
    </row>
    <row r="6949" spans="1:3" x14ac:dyDescent="0.35">
      <c r="A6949">
        <v>106</v>
      </c>
      <c r="B6949">
        <v>2011</v>
      </c>
      <c r="C6949">
        <v>4.8999999999999998E-3</v>
      </c>
    </row>
    <row r="6950" spans="1:3" x14ac:dyDescent="0.35">
      <c r="A6950">
        <v>106</v>
      </c>
      <c r="B6950">
        <v>2012</v>
      </c>
      <c r="C6950">
        <v>5.3E-3</v>
      </c>
    </row>
    <row r="6951" spans="1:3" x14ac:dyDescent="0.35">
      <c r="A6951">
        <v>106</v>
      </c>
      <c r="B6951">
        <v>2013</v>
      </c>
      <c r="C6951">
        <v>5.1000000000000004E-3</v>
      </c>
    </row>
    <row r="6952" spans="1:3" x14ac:dyDescent="0.35">
      <c r="A6952">
        <v>106</v>
      </c>
      <c r="B6952">
        <v>2014</v>
      </c>
      <c r="C6952">
        <v>4.8999999999999998E-3</v>
      </c>
    </row>
    <row r="6953" spans="1:3" x14ac:dyDescent="0.35">
      <c r="A6953">
        <v>106</v>
      </c>
      <c r="B6953">
        <v>2015</v>
      </c>
      <c r="C6953">
        <v>4.7000000000000002E-3</v>
      </c>
    </row>
    <row r="6954" spans="1:3" x14ac:dyDescent="0.35">
      <c r="A6954">
        <v>106</v>
      </c>
      <c r="B6954">
        <v>2016</v>
      </c>
      <c r="C6954">
        <v>4.4999999999999997E-3</v>
      </c>
    </row>
    <row r="6955" spans="1:3" x14ac:dyDescent="0.35">
      <c r="A6955">
        <v>106</v>
      </c>
      <c r="B6955">
        <v>2017</v>
      </c>
      <c r="C6955">
        <v>4.1999999999999997E-3</v>
      </c>
    </row>
    <row r="6956" spans="1:3" x14ac:dyDescent="0.35">
      <c r="A6956">
        <v>106</v>
      </c>
      <c r="B6956">
        <v>2018</v>
      </c>
      <c r="C6956">
        <v>4.0000000000000001E-3</v>
      </c>
    </row>
    <row r="6957" spans="1:3" x14ac:dyDescent="0.35">
      <c r="A6957">
        <v>106</v>
      </c>
      <c r="B6957">
        <v>2019</v>
      </c>
      <c r="C6957">
        <v>3.8999999999999998E-3</v>
      </c>
    </row>
    <row r="6958" spans="1:3" x14ac:dyDescent="0.35">
      <c r="A6958">
        <v>106</v>
      </c>
      <c r="B6958">
        <v>2020</v>
      </c>
      <c r="C6958">
        <v>3.7000000000000002E-3</v>
      </c>
    </row>
    <row r="6959" spans="1:3" x14ac:dyDescent="0.35">
      <c r="A6959">
        <v>106</v>
      </c>
      <c r="B6959">
        <v>2021</v>
      </c>
      <c r="C6959">
        <v>3.5999999999999999E-3</v>
      </c>
    </row>
    <row r="6960" spans="1:3" x14ac:dyDescent="0.35">
      <c r="A6960">
        <v>106</v>
      </c>
      <c r="B6960">
        <v>2022</v>
      </c>
      <c r="C6960">
        <v>3.5999999999999999E-3</v>
      </c>
    </row>
    <row r="6961" spans="1:3" x14ac:dyDescent="0.35">
      <c r="A6961">
        <v>106</v>
      </c>
      <c r="B6961">
        <v>2023</v>
      </c>
      <c r="C6961">
        <v>3.5999999999999999E-3</v>
      </c>
    </row>
    <row r="6962" spans="1:3" x14ac:dyDescent="0.35">
      <c r="A6962">
        <v>106</v>
      </c>
      <c r="B6962">
        <v>2024</v>
      </c>
      <c r="C6962">
        <v>3.5000000000000001E-3</v>
      </c>
    </row>
    <row r="6963" spans="1:3" x14ac:dyDescent="0.35">
      <c r="A6963">
        <v>106</v>
      </c>
      <c r="B6963">
        <v>2025</v>
      </c>
      <c r="C6963">
        <v>3.5000000000000001E-3</v>
      </c>
    </row>
    <row r="6964" spans="1:3" x14ac:dyDescent="0.35">
      <c r="A6964">
        <v>106</v>
      </c>
      <c r="B6964">
        <v>2026</v>
      </c>
      <c r="C6964">
        <v>3.5000000000000001E-3</v>
      </c>
    </row>
    <row r="6965" spans="1:3" x14ac:dyDescent="0.35">
      <c r="A6965">
        <v>106</v>
      </c>
      <c r="B6965">
        <v>2027</v>
      </c>
      <c r="C6965">
        <v>3.5999999999999999E-3</v>
      </c>
    </row>
    <row r="6966" spans="1:3" x14ac:dyDescent="0.35">
      <c r="A6966">
        <v>106</v>
      </c>
      <c r="B6966">
        <v>2028</v>
      </c>
      <c r="C6966">
        <v>3.5999999999999999E-3</v>
      </c>
    </row>
    <row r="6967" spans="1:3" x14ac:dyDescent="0.35">
      <c r="A6967">
        <v>106</v>
      </c>
      <c r="B6967">
        <v>2029</v>
      </c>
      <c r="C6967">
        <v>3.5999999999999999E-3</v>
      </c>
    </row>
    <row r="6968" spans="1:3" x14ac:dyDescent="0.35">
      <c r="A6968">
        <v>106</v>
      </c>
      <c r="B6968">
        <v>2030</v>
      </c>
      <c r="C6968">
        <v>3.7000000000000002E-3</v>
      </c>
    </row>
    <row r="6969" spans="1:3" x14ac:dyDescent="0.35">
      <c r="A6969">
        <v>106</v>
      </c>
      <c r="B6969">
        <v>2031</v>
      </c>
      <c r="C6969">
        <v>3.7000000000000002E-3</v>
      </c>
    </row>
    <row r="6970" spans="1:3" x14ac:dyDescent="0.35">
      <c r="A6970">
        <v>107</v>
      </c>
      <c r="B6970">
        <v>1951</v>
      </c>
      <c r="C6970">
        <v>-7.6E-3</v>
      </c>
    </row>
    <row r="6971" spans="1:3" x14ac:dyDescent="0.35">
      <c r="A6971">
        <v>107</v>
      </c>
      <c r="B6971">
        <v>1952</v>
      </c>
      <c r="C6971">
        <v>-7.1000000000000004E-3</v>
      </c>
    </row>
    <row r="6972" spans="1:3" x14ac:dyDescent="0.35">
      <c r="A6972">
        <v>107</v>
      </c>
      <c r="B6972">
        <v>1953</v>
      </c>
      <c r="C6972">
        <v>-6.4999999999999997E-3</v>
      </c>
    </row>
    <row r="6973" spans="1:3" x14ac:dyDescent="0.35">
      <c r="A6973">
        <v>107</v>
      </c>
      <c r="B6973">
        <v>1954</v>
      </c>
      <c r="C6973">
        <v>-6.0000000000000001E-3</v>
      </c>
    </row>
    <row r="6974" spans="1:3" x14ac:dyDescent="0.35">
      <c r="A6974">
        <v>107</v>
      </c>
      <c r="B6974">
        <v>1955</v>
      </c>
      <c r="C6974">
        <v>-5.4000000000000003E-3</v>
      </c>
    </row>
    <row r="6975" spans="1:3" x14ac:dyDescent="0.35">
      <c r="A6975">
        <v>107</v>
      </c>
      <c r="B6975">
        <v>1956</v>
      </c>
      <c r="C6975">
        <v>-4.7999999999999996E-3</v>
      </c>
    </row>
    <row r="6976" spans="1:3" x14ac:dyDescent="0.35">
      <c r="A6976">
        <v>107</v>
      </c>
      <c r="B6976">
        <v>1957</v>
      </c>
      <c r="C6976">
        <v>-4.1999999999999997E-3</v>
      </c>
    </row>
    <row r="6977" spans="1:3" x14ac:dyDescent="0.35">
      <c r="A6977">
        <v>107</v>
      </c>
      <c r="B6977">
        <v>1958</v>
      </c>
      <c r="C6977">
        <v>-3.5999999999999999E-3</v>
      </c>
    </row>
    <row r="6978" spans="1:3" x14ac:dyDescent="0.35">
      <c r="A6978">
        <v>107</v>
      </c>
      <c r="B6978">
        <v>1959</v>
      </c>
      <c r="C6978">
        <v>-2.8999999999999998E-3</v>
      </c>
    </row>
    <row r="6979" spans="1:3" x14ac:dyDescent="0.35">
      <c r="A6979">
        <v>107</v>
      </c>
      <c r="B6979">
        <v>1960</v>
      </c>
      <c r="C6979">
        <v>-2.2000000000000001E-3</v>
      </c>
    </row>
    <row r="6980" spans="1:3" x14ac:dyDescent="0.35">
      <c r="A6980">
        <v>107</v>
      </c>
      <c r="B6980">
        <v>1961</v>
      </c>
      <c r="C6980">
        <v>-1.5E-3</v>
      </c>
    </row>
    <row r="6981" spans="1:3" x14ac:dyDescent="0.35">
      <c r="A6981">
        <v>107</v>
      </c>
      <c r="B6981">
        <v>1962</v>
      </c>
      <c r="C6981">
        <v>-8.0000000000000004E-4</v>
      </c>
    </row>
    <row r="6982" spans="1:3" x14ac:dyDescent="0.35">
      <c r="A6982">
        <v>107</v>
      </c>
      <c r="B6982">
        <v>1963</v>
      </c>
      <c r="C6982">
        <v>-1E-4</v>
      </c>
    </row>
    <row r="6983" spans="1:3" x14ac:dyDescent="0.35">
      <c r="A6983">
        <v>107</v>
      </c>
      <c r="B6983">
        <v>1964</v>
      </c>
      <c r="C6983">
        <v>6.9999999999999999E-4</v>
      </c>
    </row>
    <row r="6984" spans="1:3" x14ac:dyDescent="0.35">
      <c r="A6984">
        <v>107</v>
      </c>
      <c r="B6984">
        <v>1965</v>
      </c>
      <c r="C6984">
        <v>1.4E-3</v>
      </c>
    </row>
    <row r="6985" spans="1:3" x14ac:dyDescent="0.35">
      <c r="A6985">
        <v>107</v>
      </c>
      <c r="B6985">
        <v>1966</v>
      </c>
      <c r="C6985">
        <v>2.0999999999999999E-3</v>
      </c>
    </row>
    <row r="6986" spans="1:3" x14ac:dyDescent="0.35">
      <c r="A6986">
        <v>107</v>
      </c>
      <c r="B6986">
        <v>1967</v>
      </c>
      <c r="C6986">
        <v>2.8E-3</v>
      </c>
    </row>
    <row r="6987" spans="1:3" x14ac:dyDescent="0.35">
      <c r="A6987">
        <v>107</v>
      </c>
      <c r="B6987">
        <v>1968</v>
      </c>
      <c r="C6987">
        <v>3.3999999999999998E-3</v>
      </c>
    </row>
    <row r="6988" spans="1:3" x14ac:dyDescent="0.35">
      <c r="A6988">
        <v>107</v>
      </c>
      <c r="B6988">
        <v>1969</v>
      </c>
      <c r="C6988">
        <v>4.0000000000000001E-3</v>
      </c>
    </row>
    <row r="6989" spans="1:3" x14ac:dyDescent="0.35">
      <c r="A6989">
        <v>107</v>
      </c>
      <c r="B6989">
        <v>1970</v>
      </c>
      <c r="C6989">
        <v>4.4000000000000003E-3</v>
      </c>
    </row>
    <row r="6990" spans="1:3" x14ac:dyDescent="0.35">
      <c r="A6990">
        <v>107</v>
      </c>
      <c r="B6990">
        <v>1971</v>
      </c>
      <c r="C6990">
        <v>4.7999999999999996E-3</v>
      </c>
    </row>
    <row r="6991" spans="1:3" x14ac:dyDescent="0.35">
      <c r="A6991">
        <v>107</v>
      </c>
      <c r="B6991">
        <v>1972</v>
      </c>
      <c r="C6991">
        <v>5.0000000000000001E-3</v>
      </c>
    </row>
    <row r="6992" spans="1:3" x14ac:dyDescent="0.35">
      <c r="A6992">
        <v>107</v>
      </c>
      <c r="B6992">
        <v>1973</v>
      </c>
      <c r="C6992">
        <v>5.1999999999999998E-3</v>
      </c>
    </row>
    <row r="6993" spans="1:3" x14ac:dyDescent="0.35">
      <c r="A6993">
        <v>107</v>
      </c>
      <c r="B6993">
        <v>1974</v>
      </c>
      <c r="C6993">
        <v>5.1999999999999998E-3</v>
      </c>
    </row>
    <row r="6994" spans="1:3" x14ac:dyDescent="0.35">
      <c r="A6994">
        <v>107</v>
      </c>
      <c r="B6994">
        <v>1975</v>
      </c>
      <c r="C6994">
        <v>5.1000000000000004E-3</v>
      </c>
    </row>
    <row r="6995" spans="1:3" x14ac:dyDescent="0.35">
      <c r="A6995">
        <v>107</v>
      </c>
      <c r="B6995">
        <v>1976</v>
      </c>
      <c r="C6995">
        <v>4.8999999999999998E-3</v>
      </c>
    </row>
    <row r="6996" spans="1:3" x14ac:dyDescent="0.35">
      <c r="A6996">
        <v>107</v>
      </c>
      <c r="B6996">
        <v>1977</v>
      </c>
      <c r="C6996">
        <v>4.5999999999999999E-3</v>
      </c>
    </row>
    <row r="6997" spans="1:3" x14ac:dyDescent="0.35">
      <c r="A6997">
        <v>107</v>
      </c>
      <c r="B6997">
        <v>1978</v>
      </c>
      <c r="C6997">
        <v>4.1999999999999997E-3</v>
      </c>
    </row>
    <row r="6998" spans="1:3" x14ac:dyDescent="0.35">
      <c r="A6998">
        <v>107</v>
      </c>
      <c r="B6998">
        <v>1979</v>
      </c>
      <c r="C6998">
        <v>3.7000000000000002E-3</v>
      </c>
    </row>
    <row r="6999" spans="1:3" x14ac:dyDescent="0.35">
      <c r="A6999">
        <v>107</v>
      </c>
      <c r="B6999">
        <v>1980</v>
      </c>
      <c r="C6999">
        <v>3.2000000000000002E-3</v>
      </c>
    </row>
    <row r="7000" spans="1:3" x14ac:dyDescent="0.35">
      <c r="A7000">
        <v>107</v>
      </c>
      <c r="B7000">
        <v>1981</v>
      </c>
      <c r="C7000">
        <v>2.5000000000000001E-3</v>
      </c>
    </row>
    <row r="7001" spans="1:3" x14ac:dyDescent="0.35">
      <c r="A7001">
        <v>107</v>
      </c>
      <c r="B7001">
        <v>1982</v>
      </c>
      <c r="C7001">
        <v>1.9E-3</v>
      </c>
    </row>
    <row r="7002" spans="1:3" x14ac:dyDescent="0.35">
      <c r="A7002">
        <v>107</v>
      </c>
      <c r="B7002">
        <v>1983</v>
      </c>
      <c r="C7002">
        <v>1.1999999999999999E-3</v>
      </c>
    </row>
    <row r="7003" spans="1:3" x14ac:dyDescent="0.35">
      <c r="A7003">
        <v>107</v>
      </c>
      <c r="B7003">
        <v>1984</v>
      </c>
      <c r="C7003">
        <v>5.0000000000000001E-4</v>
      </c>
    </row>
    <row r="7004" spans="1:3" x14ac:dyDescent="0.35">
      <c r="A7004">
        <v>107</v>
      </c>
      <c r="B7004">
        <v>1985</v>
      </c>
      <c r="C7004">
        <v>-2.0000000000000001E-4</v>
      </c>
    </row>
    <row r="7005" spans="1:3" x14ac:dyDescent="0.35">
      <c r="A7005">
        <v>107</v>
      </c>
      <c r="B7005">
        <v>1986</v>
      </c>
      <c r="C7005">
        <v>-8.9999999999999998E-4</v>
      </c>
    </row>
    <row r="7006" spans="1:3" x14ac:dyDescent="0.35">
      <c r="A7006">
        <v>107</v>
      </c>
      <c r="B7006">
        <v>1987</v>
      </c>
      <c r="C7006">
        <v>-1.5E-3</v>
      </c>
    </row>
    <row r="7007" spans="1:3" x14ac:dyDescent="0.35">
      <c r="A7007">
        <v>107</v>
      </c>
      <c r="B7007">
        <v>1988</v>
      </c>
      <c r="C7007">
        <v>-2.0999999999999999E-3</v>
      </c>
    </row>
    <row r="7008" spans="1:3" x14ac:dyDescent="0.35">
      <c r="A7008">
        <v>107</v>
      </c>
      <c r="B7008">
        <v>1989</v>
      </c>
      <c r="C7008">
        <v>-2.5000000000000001E-3</v>
      </c>
    </row>
    <row r="7009" spans="1:3" x14ac:dyDescent="0.35">
      <c r="A7009">
        <v>107</v>
      </c>
      <c r="B7009">
        <v>1990</v>
      </c>
      <c r="C7009">
        <v>-2.8999999999999998E-3</v>
      </c>
    </row>
    <row r="7010" spans="1:3" x14ac:dyDescent="0.35">
      <c r="A7010">
        <v>107</v>
      </c>
      <c r="B7010">
        <v>1991</v>
      </c>
      <c r="C7010">
        <v>-3.3E-3</v>
      </c>
    </row>
    <row r="7011" spans="1:3" x14ac:dyDescent="0.35">
      <c r="A7011">
        <v>107</v>
      </c>
      <c r="B7011">
        <v>1992</v>
      </c>
      <c r="C7011">
        <v>-3.5000000000000001E-3</v>
      </c>
    </row>
    <row r="7012" spans="1:3" x14ac:dyDescent="0.35">
      <c r="A7012">
        <v>107</v>
      </c>
      <c r="B7012">
        <v>1993</v>
      </c>
      <c r="C7012">
        <v>-3.5999999999999999E-3</v>
      </c>
    </row>
    <row r="7013" spans="1:3" x14ac:dyDescent="0.35">
      <c r="A7013">
        <v>107</v>
      </c>
      <c r="B7013">
        <v>1994</v>
      </c>
      <c r="C7013">
        <v>-3.5999999999999999E-3</v>
      </c>
    </row>
    <row r="7014" spans="1:3" x14ac:dyDescent="0.35">
      <c r="A7014">
        <v>107</v>
      </c>
      <c r="B7014">
        <v>1995</v>
      </c>
      <c r="C7014">
        <v>-3.5999999999999999E-3</v>
      </c>
    </row>
    <row r="7015" spans="1:3" x14ac:dyDescent="0.35">
      <c r="A7015">
        <v>107</v>
      </c>
      <c r="B7015">
        <v>1996</v>
      </c>
      <c r="C7015">
        <v>-3.3999999999999998E-3</v>
      </c>
    </row>
    <row r="7016" spans="1:3" x14ac:dyDescent="0.35">
      <c r="A7016">
        <v>107</v>
      </c>
      <c r="B7016">
        <v>1997</v>
      </c>
      <c r="C7016">
        <v>-3.0999999999999999E-3</v>
      </c>
    </row>
    <row r="7017" spans="1:3" x14ac:dyDescent="0.35">
      <c r="A7017">
        <v>107</v>
      </c>
      <c r="B7017">
        <v>1998</v>
      </c>
      <c r="C7017">
        <v>-2.7000000000000001E-3</v>
      </c>
    </row>
    <row r="7018" spans="1:3" x14ac:dyDescent="0.35">
      <c r="A7018">
        <v>107</v>
      </c>
      <c r="B7018">
        <v>1999</v>
      </c>
      <c r="C7018">
        <v>-2.2000000000000001E-3</v>
      </c>
    </row>
    <row r="7019" spans="1:3" x14ac:dyDescent="0.35">
      <c r="A7019">
        <v>107</v>
      </c>
      <c r="B7019">
        <v>2000</v>
      </c>
      <c r="C7019">
        <v>-1.6999999999999999E-3</v>
      </c>
    </row>
    <row r="7020" spans="1:3" x14ac:dyDescent="0.35">
      <c r="A7020">
        <v>107</v>
      </c>
      <c r="B7020">
        <v>2001</v>
      </c>
      <c r="C7020">
        <v>-1.1000000000000001E-3</v>
      </c>
    </row>
    <row r="7021" spans="1:3" x14ac:dyDescent="0.35">
      <c r="A7021">
        <v>107</v>
      </c>
      <c r="B7021">
        <v>2002</v>
      </c>
      <c r="C7021">
        <v>-5.0000000000000001E-4</v>
      </c>
    </row>
    <row r="7022" spans="1:3" x14ac:dyDescent="0.35">
      <c r="A7022">
        <v>107</v>
      </c>
      <c r="B7022">
        <v>2003</v>
      </c>
      <c r="C7022">
        <v>2.0000000000000001E-4</v>
      </c>
    </row>
    <row r="7023" spans="1:3" x14ac:dyDescent="0.35">
      <c r="A7023">
        <v>107</v>
      </c>
      <c r="B7023">
        <v>2004</v>
      </c>
      <c r="C7023">
        <v>8.0000000000000004E-4</v>
      </c>
    </row>
    <row r="7024" spans="1:3" x14ac:dyDescent="0.35">
      <c r="A7024">
        <v>107</v>
      </c>
      <c r="B7024">
        <v>2005</v>
      </c>
      <c r="C7024">
        <v>1.5E-3</v>
      </c>
    </row>
    <row r="7025" spans="1:3" x14ac:dyDescent="0.35">
      <c r="A7025">
        <v>107</v>
      </c>
      <c r="B7025">
        <v>2006</v>
      </c>
      <c r="C7025">
        <v>2.0999999999999999E-3</v>
      </c>
    </row>
    <row r="7026" spans="1:3" x14ac:dyDescent="0.35">
      <c r="A7026">
        <v>107</v>
      </c>
      <c r="B7026">
        <v>2007</v>
      </c>
      <c r="C7026">
        <v>2.5999999999999999E-3</v>
      </c>
    </row>
    <row r="7027" spans="1:3" x14ac:dyDescent="0.35">
      <c r="A7027">
        <v>107</v>
      </c>
      <c r="B7027">
        <v>2008</v>
      </c>
      <c r="C7027">
        <v>3.0999999999999999E-3</v>
      </c>
    </row>
    <row r="7028" spans="1:3" x14ac:dyDescent="0.35">
      <c r="A7028">
        <v>107</v>
      </c>
      <c r="B7028">
        <v>2009</v>
      </c>
      <c r="C7028">
        <v>3.5000000000000001E-3</v>
      </c>
    </row>
    <row r="7029" spans="1:3" x14ac:dyDescent="0.35">
      <c r="A7029">
        <v>107</v>
      </c>
      <c r="B7029">
        <v>2010</v>
      </c>
      <c r="C7029">
        <v>4.0000000000000001E-3</v>
      </c>
    </row>
    <row r="7030" spans="1:3" x14ac:dyDescent="0.35">
      <c r="A7030">
        <v>107</v>
      </c>
      <c r="B7030">
        <v>2011</v>
      </c>
      <c r="C7030">
        <v>4.4000000000000003E-3</v>
      </c>
    </row>
    <row r="7031" spans="1:3" x14ac:dyDescent="0.35">
      <c r="A7031">
        <v>107</v>
      </c>
      <c r="B7031">
        <v>2012</v>
      </c>
      <c r="C7031">
        <v>4.7000000000000002E-3</v>
      </c>
    </row>
    <row r="7032" spans="1:3" x14ac:dyDescent="0.35">
      <c r="A7032">
        <v>107</v>
      </c>
      <c r="B7032">
        <v>2013</v>
      </c>
      <c r="C7032">
        <v>4.5999999999999999E-3</v>
      </c>
    </row>
    <row r="7033" spans="1:3" x14ac:dyDescent="0.35">
      <c r="A7033">
        <v>107</v>
      </c>
      <c r="B7033">
        <v>2014</v>
      </c>
      <c r="C7033">
        <v>4.4000000000000003E-3</v>
      </c>
    </row>
    <row r="7034" spans="1:3" x14ac:dyDescent="0.35">
      <c r="A7034">
        <v>107</v>
      </c>
      <c r="B7034">
        <v>2015</v>
      </c>
      <c r="C7034">
        <v>4.1999999999999997E-3</v>
      </c>
    </row>
    <row r="7035" spans="1:3" x14ac:dyDescent="0.35">
      <c r="A7035">
        <v>107</v>
      </c>
      <c r="B7035">
        <v>2016</v>
      </c>
      <c r="C7035">
        <v>4.0000000000000001E-3</v>
      </c>
    </row>
    <row r="7036" spans="1:3" x14ac:dyDescent="0.35">
      <c r="A7036">
        <v>107</v>
      </c>
      <c r="B7036">
        <v>2017</v>
      </c>
      <c r="C7036">
        <v>3.8E-3</v>
      </c>
    </row>
    <row r="7037" spans="1:3" x14ac:dyDescent="0.35">
      <c r="A7037">
        <v>107</v>
      </c>
      <c r="B7037">
        <v>2018</v>
      </c>
      <c r="C7037">
        <v>3.5999999999999999E-3</v>
      </c>
    </row>
    <row r="7038" spans="1:3" x14ac:dyDescent="0.35">
      <c r="A7038">
        <v>107</v>
      </c>
      <c r="B7038">
        <v>2019</v>
      </c>
      <c r="C7038">
        <v>3.3999999999999998E-3</v>
      </c>
    </row>
    <row r="7039" spans="1:3" x14ac:dyDescent="0.35">
      <c r="A7039">
        <v>107</v>
      </c>
      <c r="B7039">
        <v>2020</v>
      </c>
      <c r="C7039">
        <v>3.3E-3</v>
      </c>
    </row>
    <row r="7040" spans="1:3" x14ac:dyDescent="0.35">
      <c r="A7040">
        <v>107</v>
      </c>
      <c r="B7040">
        <v>2021</v>
      </c>
      <c r="C7040">
        <v>3.2000000000000002E-3</v>
      </c>
    </row>
    <row r="7041" spans="1:3" x14ac:dyDescent="0.35">
      <c r="A7041">
        <v>107</v>
      </c>
      <c r="B7041">
        <v>2022</v>
      </c>
      <c r="C7041">
        <v>3.2000000000000002E-3</v>
      </c>
    </row>
    <row r="7042" spans="1:3" x14ac:dyDescent="0.35">
      <c r="A7042">
        <v>107</v>
      </c>
      <c r="B7042">
        <v>2023</v>
      </c>
      <c r="C7042">
        <v>3.2000000000000002E-3</v>
      </c>
    </row>
    <row r="7043" spans="1:3" x14ac:dyDescent="0.35">
      <c r="A7043">
        <v>107</v>
      </c>
      <c r="B7043">
        <v>2024</v>
      </c>
      <c r="C7043">
        <v>3.0999999999999999E-3</v>
      </c>
    </row>
    <row r="7044" spans="1:3" x14ac:dyDescent="0.35">
      <c r="A7044">
        <v>107</v>
      </c>
      <c r="B7044">
        <v>2025</v>
      </c>
      <c r="C7044">
        <v>3.0999999999999999E-3</v>
      </c>
    </row>
    <row r="7045" spans="1:3" x14ac:dyDescent="0.35">
      <c r="A7045">
        <v>107</v>
      </c>
      <c r="B7045">
        <v>2026</v>
      </c>
      <c r="C7045">
        <v>3.0999999999999999E-3</v>
      </c>
    </row>
    <row r="7046" spans="1:3" x14ac:dyDescent="0.35">
      <c r="A7046">
        <v>107</v>
      </c>
      <c r="B7046">
        <v>2027</v>
      </c>
      <c r="C7046">
        <v>3.2000000000000002E-3</v>
      </c>
    </row>
    <row r="7047" spans="1:3" x14ac:dyDescent="0.35">
      <c r="A7047">
        <v>107</v>
      </c>
      <c r="B7047">
        <v>2028</v>
      </c>
      <c r="C7047">
        <v>3.2000000000000002E-3</v>
      </c>
    </row>
    <row r="7048" spans="1:3" x14ac:dyDescent="0.35">
      <c r="A7048">
        <v>107</v>
      </c>
      <c r="B7048">
        <v>2029</v>
      </c>
      <c r="C7048">
        <v>3.2000000000000002E-3</v>
      </c>
    </row>
    <row r="7049" spans="1:3" x14ac:dyDescent="0.35">
      <c r="A7049">
        <v>107</v>
      </c>
      <c r="B7049">
        <v>2030</v>
      </c>
      <c r="C7049">
        <v>3.3E-3</v>
      </c>
    </row>
    <row r="7050" spans="1:3" x14ac:dyDescent="0.35">
      <c r="A7050">
        <v>107</v>
      </c>
      <c r="B7050">
        <v>2031</v>
      </c>
      <c r="C7050">
        <v>3.3E-3</v>
      </c>
    </row>
    <row r="7051" spans="1:3" x14ac:dyDescent="0.35">
      <c r="A7051">
        <v>108</v>
      </c>
      <c r="B7051">
        <v>1951</v>
      </c>
      <c r="C7051">
        <v>-6.7000000000000002E-3</v>
      </c>
    </row>
    <row r="7052" spans="1:3" x14ac:dyDescent="0.35">
      <c r="A7052">
        <v>108</v>
      </c>
      <c r="B7052">
        <v>1952</v>
      </c>
      <c r="C7052">
        <v>-6.1999999999999998E-3</v>
      </c>
    </row>
    <row r="7053" spans="1:3" x14ac:dyDescent="0.35">
      <c r="A7053">
        <v>108</v>
      </c>
      <c r="B7053">
        <v>1953</v>
      </c>
      <c r="C7053">
        <v>-5.7000000000000002E-3</v>
      </c>
    </row>
    <row r="7054" spans="1:3" x14ac:dyDescent="0.35">
      <c r="A7054">
        <v>108</v>
      </c>
      <c r="B7054">
        <v>1954</v>
      </c>
      <c r="C7054">
        <v>-5.1999999999999998E-3</v>
      </c>
    </row>
    <row r="7055" spans="1:3" x14ac:dyDescent="0.35">
      <c r="A7055">
        <v>108</v>
      </c>
      <c r="B7055">
        <v>1955</v>
      </c>
      <c r="C7055">
        <v>-4.7000000000000002E-3</v>
      </c>
    </row>
    <row r="7056" spans="1:3" x14ac:dyDescent="0.35">
      <c r="A7056">
        <v>108</v>
      </c>
      <c r="B7056">
        <v>1956</v>
      </c>
      <c r="C7056">
        <v>-4.1999999999999997E-3</v>
      </c>
    </row>
    <row r="7057" spans="1:3" x14ac:dyDescent="0.35">
      <c r="A7057">
        <v>108</v>
      </c>
      <c r="B7057">
        <v>1957</v>
      </c>
      <c r="C7057">
        <v>-3.7000000000000002E-3</v>
      </c>
    </row>
    <row r="7058" spans="1:3" x14ac:dyDescent="0.35">
      <c r="A7058">
        <v>108</v>
      </c>
      <c r="B7058">
        <v>1958</v>
      </c>
      <c r="C7058">
        <v>-3.0999999999999999E-3</v>
      </c>
    </row>
    <row r="7059" spans="1:3" x14ac:dyDescent="0.35">
      <c r="A7059">
        <v>108</v>
      </c>
      <c r="B7059">
        <v>1959</v>
      </c>
      <c r="C7059">
        <v>-2.5000000000000001E-3</v>
      </c>
    </row>
    <row r="7060" spans="1:3" x14ac:dyDescent="0.35">
      <c r="A7060">
        <v>108</v>
      </c>
      <c r="B7060">
        <v>1960</v>
      </c>
      <c r="C7060">
        <v>-2E-3</v>
      </c>
    </row>
    <row r="7061" spans="1:3" x14ac:dyDescent="0.35">
      <c r="A7061">
        <v>108</v>
      </c>
      <c r="B7061">
        <v>1961</v>
      </c>
      <c r="C7061">
        <v>-1.2999999999999999E-3</v>
      </c>
    </row>
    <row r="7062" spans="1:3" x14ac:dyDescent="0.35">
      <c r="A7062">
        <v>108</v>
      </c>
      <c r="B7062">
        <v>1962</v>
      </c>
      <c r="C7062">
        <v>-6.9999999999999999E-4</v>
      </c>
    </row>
    <row r="7063" spans="1:3" x14ac:dyDescent="0.35">
      <c r="A7063">
        <v>108</v>
      </c>
      <c r="B7063">
        <v>1963</v>
      </c>
      <c r="C7063">
        <v>0</v>
      </c>
    </row>
    <row r="7064" spans="1:3" x14ac:dyDescent="0.35">
      <c r="A7064">
        <v>108</v>
      </c>
      <c r="B7064">
        <v>1964</v>
      </c>
      <c r="C7064">
        <v>5.9999999999999995E-4</v>
      </c>
    </row>
    <row r="7065" spans="1:3" x14ac:dyDescent="0.35">
      <c r="A7065">
        <v>108</v>
      </c>
      <c r="B7065">
        <v>1965</v>
      </c>
      <c r="C7065">
        <v>1.1999999999999999E-3</v>
      </c>
    </row>
    <row r="7066" spans="1:3" x14ac:dyDescent="0.35">
      <c r="A7066">
        <v>108</v>
      </c>
      <c r="B7066">
        <v>1966</v>
      </c>
      <c r="C7066">
        <v>1.9E-3</v>
      </c>
    </row>
    <row r="7067" spans="1:3" x14ac:dyDescent="0.35">
      <c r="A7067">
        <v>108</v>
      </c>
      <c r="B7067">
        <v>1967</v>
      </c>
      <c r="C7067">
        <v>2.5000000000000001E-3</v>
      </c>
    </row>
    <row r="7068" spans="1:3" x14ac:dyDescent="0.35">
      <c r="A7068">
        <v>108</v>
      </c>
      <c r="B7068">
        <v>1968</v>
      </c>
      <c r="C7068">
        <v>3.0000000000000001E-3</v>
      </c>
    </row>
    <row r="7069" spans="1:3" x14ac:dyDescent="0.35">
      <c r="A7069">
        <v>108</v>
      </c>
      <c r="B7069">
        <v>1969</v>
      </c>
      <c r="C7069">
        <v>3.5000000000000001E-3</v>
      </c>
    </row>
    <row r="7070" spans="1:3" x14ac:dyDescent="0.35">
      <c r="A7070">
        <v>108</v>
      </c>
      <c r="B7070">
        <v>1970</v>
      </c>
      <c r="C7070">
        <v>3.8999999999999998E-3</v>
      </c>
    </row>
    <row r="7071" spans="1:3" x14ac:dyDescent="0.35">
      <c r="A7071">
        <v>108</v>
      </c>
      <c r="B7071">
        <v>1971</v>
      </c>
      <c r="C7071">
        <v>4.1999999999999997E-3</v>
      </c>
    </row>
    <row r="7072" spans="1:3" x14ac:dyDescent="0.35">
      <c r="A7072">
        <v>108</v>
      </c>
      <c r="B7072">
        <v>1972</v>
      </c>
      <c r="C7072">
        <v>4.4000000000000003E-3</v>
      </c>
    </row>
    <row r="7073" spans="1:3" x14ac:dyDescent="0.35">
      <c r="A7073">
        <v>108</v>
      </c>
      <c r="B7073">
        <v>1973</v>
      </c>
      <c r="C7073">
        <v>4.4999999999999997E-3</v>
      </c>
    </row>
    <row r="7074" spans="1:3" x14ac:dyDescent="0.35">
      <c r="A7074">
        <v>108</v>
      </c>
      <c r="B7074">
        <v>1974</v>
      </c>
      <c r="C7074">
        <v>4.4999999999999997E-3</v>
      </c>
    </row>
    <row r="7075" spans="1:3" x14ac:dyDescent="0.35">
      <c r="A7075">
        <v>108</v>
      </c>
      <c r="B7075">
        <v>1975</v>
      </c>
      <c r="C7075">
        <v>4.4999999999999997E-3</v>
      </c>
    </row>
    <row r="7076" spans="1:3" x14ac:dyDescent="0.35">
      <c r="A7076">
        <v>108</v>
      </c>
      <c r="B7076">
        <v>1976</v>
      </c>
      <c r="C7076">
        <v>4.3E-3</v>
      </c>
    </row>
    <row r="7077" spans="1:3" x14ac:dyDescent="0.35">
      <c r="A7077">
        <v>108</v>
      </c>
      <c r="B7077">
        <v>1977</v>
      </c>
      <c r="C7077">
        <v>4.0000000000000001E-3</v>
      </c>
    </row>
    <row r="7078" spans="1:3" x14ac:dyDescent="0.35">
      <c r="A7078">
        <v>108</v>
      </c>
      <c r="B7078">
        <v>1978</v>
      </c>
      <c r="C7078">
        <v>3.7000000000000002E-3</v>
      </c>
    </row>
    <row r="7079" spans="1:3" x14ac:dyDescent="0.35">
      <c r="A7079">
        <v>108</v>
      </c>
      <c r="B7079">
        <v>1979</v>
      </c>
      <c r="C7079">
        <v>3.3E-3</v>
      </c>
    </row>
    <row r="7080" spans="1:3" x14ac:dyDescent="0.35">
      <c r="A7080">
        <v>108</v>
      </c>
      <c r="B7080">
        <v>1980</v>
      </c>
      <c r="C7080">
        <v>2.8E-3</v>
      </c>
    </row>
    <row r="7081" spans="1:3" x14ac:dyDescent="0.35">
      <c r="A7081">
        <v>108</v>
      </c>
      <c r="B7081">
        <v>1981</v>
      </c>
      <c r="C7081">
        <v>2.2000000000000001E-3</v>
      </c>
    </row>
    <row r="7082" spans="1:3" x14ac:dyDescent="0.35">
      <c r="A7082">
        <v>108</v>
      </c>
      <c r="B7082">
        <v>1982</v>
      </c>
      <c r="C7082">
        <v>1.6000000000000001E-3</v>
      </c>
    </row>
    <row r="7083" spans="1:3" x14ac:dyDescent="0.35">
      <c r="A7083">
        <v>108</v>
      </c>
      <c r="B7083">
        <v>1983</v>
      </c>
      <c r="C7083">
        <v>1E-3</v>
      </c>
    </row>
    <row r="7084" spans="1:3" x14ac:dyDescent="0.35">
      <c r="A7084">
        <v>108</v>
      </c>
      <c r="B7084">
        <v>1984</v>
      </c>
      <c r="C7084">
        <v>4.0000000000000002E-4</v>
      </c>
    </row>
    <row r="7085" spans="1:3" x14ac:dyDescent="0.35">
      <c r="A7085">
        <v>108</v>
      </c>
      <c r="B7085">
        <v>1985</v>
      </c>
      <c r="C7085">
        <v>-2.0000000000000001E-4</v>
      </c>
    </row>
    <row r="7086" spans="1:3" x14ac:dyDescent="0.35">
      <c r="A7086">
        <v>108</v>
      </c>
      <c r="B7086">
        <v>1986</v>
      </c>
      <c r="C7086">
        <v>-8.0000000000000004E-4</v>
      </c>
    </row>
    <row r="7087" spans="1:3" x14ac:dyDescent="0.35">
      <c r="A7087">
        <v>108</v>
      </c>
      <c r="B7087">
        <v>1987</v>
      </c>
      <c r="C7087">
        <v>-1.2999999999999999E-3</v>
      </c>
    </row>
    <row r="7088" spans="1:3" x14ac:dyDescent="0.35">
      <c r="A7088">
        <v>108</v>
      </c>
      <c r="B7088">
        <v>1988</v>
      </c>
      <c r="C7088">
        <v>-1.8E-3</v>
      </c>
    </row>
    <row r="7089" spans="1:3" x14ac:dyDescent="0.35">
      <c r="A7089">
        <v>108</v>
      </c>
      <c r="B7089">
        <v>1989</v>
      </c>
      <c r="C7089">
        <v>-2.2000000000000001E-3</v>
      </c>
    </row>
    <row r="7090" spans="1:3" x14ac:dyDescent="0.35">
      <c r="A7090">
        <v>108</v>
      </c>
      <c r="B7090">
        <v>1990</v>
      </c>
      <c r="C7090">
        <v>-2.5999999999999999E-3</v>
      </c>
    </row>
    <row r="7091" spans="1:3" x14ac:dyDescent="0.35">
      <c r="A7091">
        <v>108</v>
      </c>
      <c r="B7091">
        <v>1991</v>
      </c>
      <c r="C7091">
        <v>-2.8999999999999998E-3</v>
      </c>
    </row>
    <row r="7092" spans="1:3" x14ac:dyDescent="0.35">
      <c r="A7092">
        <v>108</v>
      </c>
      <c r="B7092">
        <v>1992</v>
      </c>
      <c r="C7092">
        <v>-3.0999999999999999E-3</v>
      </c>
    </row>
    <row r="7093" spans="1:3" x14ac:dyDescent="0.35">
      <c r="A7093">
        <v>108</v>
      </c>
      <c r="B7093">
        <v>1993</v>
      </c>
      <c r="C7093">
        <v>-3.2000000000000002E-3</v>
      </c>
    </row>
    <row r="7094" spans="1:3" x14ac:dyDescent="0.35">
      <c r="A7094">
        <v>108</v>
      </c>
      <c r="B7094">
        <v>1994</v>
      </c>
      <c r="C7094">
        <v>-3.2000000000000002E-3</v>
      </c>
    </row>
    <row r="7095" spans="1:3" x14ac:dyDescent="0.35">
      <c r="A7095">
        <v>108</v>
      </c>
      <c r="B7095">
        <v>1995</v>
      </c>
      <c r="C7095">
        <v>-3.0999999999999999E-3</v>
      </c>
    </row>
    <row r="7096" spans="1:3" x14ac:dyDescent="0.35">
      <c r="A7096">
        <v>108</v>
      </c>
      <c r="B7096">
        <v>1996</v>
      </c>
      <c r="C7096">
        <v>-3.0000000000000001E-3</v>
      </c>
    </row>
    <row r="7097" spans="1:3" x14ac:dyDescent="0.35">
      <c r="A7097">
        <v>108</v>
      </c>
      <c r="B7097">
        <v>1997</v>
      </c>
      <c r="C7097">
        <v>-2.7000000000000001E-3</v>
      </c>
    </row>
    <row r="7098" spans="1:3" x14ac:dyDescent="0.35">
      <c r="A7098">
        <v>108</v>
      </c>
      <c r="B7098">
        <v>1998</v>
      </c>
      <c r="C7098">
        <v>-2.3999999999999998E-3</v>
      </c>
    </row>
    <row r="7099" spans="1:3" x14ac:dyDescent="0.35">
      <c r="A7099">
        <v>108</v>
      </c>
      <c r="B7099">
        <v>1999</v>
      </c>
      <c r="C7099">
        <v>-1.9E-3</v>
      </c>
    </row>
    <row r="7100" spans="1:3" x14ac:dyDescent="0.35">
      <c r="A7100">
        <v>108</v>
      </c>
      <c r="B7100">
        <v>2000</v>
      </c>
      <c r="C7100">
        <v>-1.5E-3</v>
      </c>
    </row>
    <row r="7101" spans="1:3" x14ac:dyDescent="0.35">
      <c r="A7101">
        <v>108</v>
      </c>
      <c r="B7101">
        <v>2001</v>
      </c>
      <c r="C7101">
        <v>-1E-3</v>
      </c>
    </row>
    <row r="7102" spans="1:3" x14ac:dyDescent="0.35">
      <c r="A7102">
        <v>108</v>
      </c>
      <c r="B7102">
        <v>2002</v>
      </c>
      <c r="C7102">
        <v>-4.0000000000000002E-4</v>
      </c>
    </row>
    <row r="7103" spans="1:3" x14ac:dyDescent="0.35">
      <c r="A7103">
        <v>108</v>
      </c>
      <c r="B7103">
        <v>2003</v>
      </c>
      <c r="C7103">
        <v>2.0000000000000001E-4</v>
      </c>
    </row>
    <row r="7104" spans="1:3" x14ac:dyDescent="0.35">
      <c r="A7104">
        <v>108</v>
      </c>
      <c r="B7104">
        <v>2004</v>
      </c>
      <c r="C7104">
        <v>6.9999999999999999E-4</v>
      </c>
    </row>
    <row r="7105" spans="1:3" x14ac:dyDescent="0.35">
      <c r="A7105">
        <v>108</v>
      </c>
      <c r="B7105">
        <v>2005</v>
      </c>
      <c r="C7105">
        <v>1.2999999999999999E-3</v>
      </c>
    </row>
    <row r="7106" spans="1:3" x14ac:dyDescent="0.35">
      <c r="A7106">
        <v>108</v>
      </c>
      <c r="B7106">
        <v>2006</v>
      </c>
      <c r="C7106">
        <v>1.8E-3</v>
      </c>
    </row>
    <row r="7107" spans="1:3" x14ac:dyDescent="0.35">
      <c r="A7107">
        <v>108</v>
      </c>
      <c r="B7107">
        <v>2007</v>
      </c>
      <c r="C7107">
        <v>2.3E-3</v>
      </c>
    </row>
    <row r="7108" spans="1:3" x14ac:dyDescent="0.35">
      <c r="A7108">
        <v>108</v>
      </c>
      <c r="B7108">
        <v>2008</v>
      </c>
      <c r="C7108">
        <v>2.7000000000000001E-3</v>
      </c>
    </row>
    <row r="7109" spans="1:3" x14ac:dyDescent="0.35">
      <c r="A7109">
        <v>108</v>
      </c>
      <c r="B7109">
        <v>2009</v>
      </c>
      <c r="C7109">
        <v>3.0999999999999999E-3</v>
      </c>
    </row>
    <row r="7110" spans="1:3" x14ac:dyDescent="0.35">
      <c r="A7110">
        <v>108</v>
      </c>
      <c r="B7110">
        <v>2010</v>
      </c>
      <c r="C7110">
        <v>3.5000000000000001E-3</v>
      </c>
    </row>
    <row r="7111" spans="1:3" x14ac:dyDescent="0.35">
      <c r="A7111">
        <v>108</v>
      </c>
      <c r="B7111">
        <v>2011</v>
      </c>
      <c r="C7111">
        <v>3.8E-3</v>
      </c>
    </row>
    <row r="7112" spans="1:3" x14ac:dyDescent="0.35">
      <c r="A7112">
        <v>108</v>
      </c>
      <c r="B7112">
        <v>2012</v>
      </c>
      <c r="C7112">
        <v>4.1000000000000003E-3</v>
      </c>
    </row>
    <row r="7113" spans="1:3" x14ac:dyDescent="0.35">
      <c r="A7113">
        <v>108</v>
      </c>
      <c r="B7113">
        <v>2013</v>
      </c>
      <c r="C7113">
        <v>4.0000000000000001E-3</v>
      </c>
    </row>
    <row r="7114" spans="1:3" x14ac:dyDescent="0.35">
      <c r="A7114">
        <v>108</v>
      </c>
      <c r="B7114">
        <v>2014</v>
      </c>
      <c r="C7114">
        <v>3.8E-3</v>
      </c>
    </row>
    <row r="7115" spans="1:3" x14ac:dyDescent="0.35">
      <c r="A7115">
        <v>108</v>
      </c>
      <c r="B7115">
        <v>2015</v>
      </c>
      <c r="C7115">
        <v>3.7000000000000002E-3</v>
      </c>
    </row>
    <row r="7116" spans="1:3" x14ac:dyDescent="0.35">
      <c r="A7116">
        <v>108</v>
      </c>
      <c r="B7116">
        <v>2016</v>
      </c>
      <c r="C7116">
        <v>3.5000000000000001E-3</v>
      </c>
    </row>
    <row r="7117" spans="1:3" x14ac:dyDescent="0.35">
      <c r="A7117">
        <v>108</v>
      </c>
      <c r="B7117">
        <v>2017</v>
      </c>
      <c r="C7117">
        <v>3.3E-3</v>
      </c>
    </row>
    <row r="7118" spans="1:3" x14ac:dyDescent="0.35">
      <c r="A7118">
        <v>108</v>
      </c>
      <c r="B7118">
        <v>2018</v>
      </c>
      <c r="C7118">
        <v>3.0999999999999999E-3</v>
      </c>
    </row>
    <row r="7119" spans="1:3" x14ac:dyDescent="0.35">
      <c r="A7119">
        <v>108</v>
      </c>
      <c r="B7119">
        <v>2019</v>
      </c>
      <c r="C7119">
        <v>3.0000000000000001E-3</v>
      </c>
    </row>
    <row r="7120" spans="1:3" x14ac:dyDescent="0.35">
      <c r="A7120">
        <v>108</v>
      </c>
      <c r="B7120">
        <v>2020</v>
      </c>
      <c r="C7120">
        <v>2.8999999999999998E-3</v>
      </c>
    </row>
    <row r="7121" spans="1:3" x14ac:dyDescent="0.35">
      <c r="A7121">
        <v>108</v>
      </c>
      <c r="B7121">
        <v>2021</v>
      </c>
      <c r="C7121">
        <v>2.8E-3</v>
      </c>
    </row>
    <row r="7122" spans="1:3" x14ac:dyDescent="0.35">
      <c r="A7122">
        <v>108</v>
      </c>
      <c r="B7122">
        <v>2022</v>
      </c>
      <c r="C7122">
        <v>2.8E-3</v>
      </c>
    </row>
    <row r="7123" spans="1:3" x14ac:dyDescent="0.35">
      <c r="A7123">
        <v>108</v>
      </c>
      <c r="B7123">
        <v>2023</v>
      </c>
      <c r="C7123">
        <v>2.8E-3</v>
      </c>
    </row>
    <row r="7124" spans="1:3" x14ac:dyDescent="0.35">
      <c r="A7124">
        <v>108</v>
      </c>
      <c r="B7124">
        <v>2024</v>
      </c>
      <c r="C7124">
        <v>2.8E-3</v>
      </c>
    </row>
    <row r="7125" spans="1:3" x14ac:dyDescent="0.35">
      <c r="A7125">
        <v>108</v>
      </c>
      <c r="B7125">
        <v>2025</v>
      </c>
      <c r="C7125">
        <v>2.8E-3</v>
      </c>
    </row>
    <row r="7126" spans="1:3" x14ac:dyDescent="0.35">
      <c r="A7126">
        <v>108</v>
      </c>
      <c r="B7126">
        <v>2026</v>
      </c>
      <c r="C7126">
        <v>2.8E-3</v>
      </c>
    </row>
    <row r="7127" spans="1:3" x14ac:dyDescent="0.35">
      <c r="A7127">
        <v>108</v>
      </c>
      <c r="B7127">
        <v>2027</v>
      </c>
      <c r="C7127">
        <v>2.8E-3</v>
      </c>
    </row>
    <row r="7128" spans="1:3" x14ac:dyDescent="0.35">
      <c r="A7128">
        <v>108</v>
      </c>
      <c r="B7128">
        <v>2028</v>
      </c>
      <c r="C7128">
        <v>2.8E-3</v>
      </c>
    </row>
    <row r="7129" spans="1:3" x14ac:dyDescent="0.35">
      <c r="A7129">
        <v>108</v>
      </c>
      <c r="B7129">
        <v>2029</v>
      </c>
      <c r="C7129">
        <v>2.8E-3</v>
      </c>
    </row>
    <row r="7130" spans="1:3" x14ac:dyDescent="0.35">
      <c r="A7130">
        <v>108</v>
      </c>
      <c r="B7130">
        <v>2030</v>
      </c>
      <c r="C7130">
        <v>2.8999999999999998E-3</v>
      </c>
    </row>
    <row r="7131" spans="1:3" x14ac:dyDescent="0.35">
      <c r="A7131">
        <v>108</v>
      </c>
      <c r="B7131">
        <v>2031</v>
      </c>
      <c r="C7131">
        <v>2.8999999999999998E-3</v>
      </c>
    </row>
    <row r="7132" spans="1:3" x14ac:dyDescent="0.35">
      <c r="A7132">
        <v>109</v>
      </c>
      <c r="B7132">
        <v>1951</v>
      </c>
      <c r="C7132">
        <v>-5.7000000000000002E-3</v>
      </c>
    </row>
    <row r="7133" spans="1:3" x14ac:dyDescent="0.35">
      <c r="A7133">
        <v>109</v>
      </c>
      <c r="B7133">
        <v>1952</v>
      </c>
      <c r="C7133">
        <v>-5.3E-3</v>
      </c>
    </row>
    <row r="7134" spans="1:3" x14ac:dyDescent="0.35">
      <c r="A7134">
        <v>109</v>
      </c>
      <c r="B7134">
        <v>1953</v>
      </c>
      <c r="C7134">
        <v>-4.8999999999999998E-3</v>
      </c>
    </row>
    <row r="7135" spans="1:3" x14ac:dyDescent="0.35">
      <c r="A7135">
        <v>109</v>
      </c>
      <c r="B7135">
        <v>1954</v>
      </c>
      <c r="C7135">
        <v>-4.4999999999999997E-3</v>
      </c>
    </row>
    <row r="7136" spans="1:3" x14ac:dyDescent="0.35">
      <c r="A7136">
        <v>109</v>
      </c>
      <c r="B7136">
        <v>1955</v>
      </c>
      <c r="C7136">
        <v>-4.0000000000000001E-3</v>
      </c>
    </row>
    <row r="7137" spans="1:3" x14ac:dyDescent="0.35">
      <c r="A7137">
        <v>109</v>
      </c>
      <c r="B7137">
        <v>1956</v>
      </c>
      <c r="C7137">
        <v>-3.5999999999999999E-3</v>
      </c>
    </row>
    <row r="7138" spans="1:3" x14ac:dyDescent="0.35">
      <c r="A7138">
        <v>109</v>
      </c>
      <c r="B7138">
        <v>1957</v>
      </c>
      <c r="C7138">
        <v>-3.0999999999999999E-3</v>
      </c>
    </row>
    <row r="7139" spans="1:3" x14ac:dyDescent="0.35">
      <c r="A7139">
        <v>109</v>
      </c>
      <c r="B7139">
        <v>1958</v>
      </c>
      <c r="C7139">
        <v>-2.7000000000000001E-3</v>
      </c>
    </row>
    <row r="7140" spans="1:3" x14ac:dyDescent="0.35">
      <c r="A7140">
        <v>109</v>
      </c>
      <c r="B7140">
        <v>1959</v>
      </c>
      <c r="C7140">
        <v>-2.2000000000000001E-3</v>
      </c>
    </row>
    <row r="7141" spans="1:3" x14ac:dyDescent="0.35">
      <c r="A7141">
        <v>109</v>
      </c>
      <c r="B7141">
        <v>1960</v>
      </c>
      <c r="C7141">
        <v>-1.6999999999999999E-3</v>
      </c>
    </row>
    <row r="7142" spans="1:3" x14ac:dyDescent="0.35">
      <c r="A7142">
        <v>109</v>
      </c>
      <c r="B7142">
        <v>1961</v>
      </c>
      <c r="C7142">
        <v>-1.1000000000000001E-3</v>
      </c>
    </row>
    <row r="7143" spans="1:3" x14ac:dyDescent="0.35">
      <c r="A7143">
        <v>109</v>
      </c>
      <c r="B7143">
        <v>1962</v>
      </c>
      <c r="C7143">
        <v>-5.9999999999999995E-4</v>
      </c>
    </row>
    <row r="7144" spans="1:3" x14ac:dyDescent="0.35">
      <c r="A7144">
        <v>109</v>
      </c>
      <c r="B7144">
        <v>1963</v>
      </c>
      <c r="C7144">
        <v>0</v>
      </c>
    </row>
    <row r="7145" spans="1:3" x14ac:dyDescent="0.35">
      <c r="A7145">
        <v>109</v>
      </c>
      <c r="B7145">
        <v>1964</v>
      </c>
      <c r="C7145">
        <v>5.0000000000000001E-4</v>
      </c>
    </row>
    <row r="7146" spans="1:3" x14ac:dyDescent="0.35">
      <c r="A7146">
        <v>109</v>
      </c>
      <c r="B7146">
        <v>1965</v>
      </c>
      <c r="C7146">
        <v>1.1000000000000001E-3</v>
      </c>
    </row>
    <row r="7147" spans="1:3" x14ac:dyDescent="0.35">
      <c r="A7147">
        <v>109</v>
      </c>
      <c r="B7147">
        <v>1966</v>
      </c>
      <c r="C7147">
        <v>1.6000000000000001E-3</v>
      </c>
    </row>
    <row r="7148" spans="1:3" x14ac:dyDescent="0.35">
      <c r="A7148">
        <v>109</v>
      </c>
      <c r="B7148">
        <v>1967</v>
      </c>
      <c r="C7148">
        <v>2.0999999999999999E-3</v>
      </c>
    </row>
    <row r="7149" spans="1:3" x14ac:dyDescent="0.35">
      <c r="A7149">
        <v>109</v>
      </c>
      <c r="B7149">
        <v>1968</v>
      </c>
      <c r="C7149">
        <v>2.5999999999999999E-3</v>
      </c>
    </row>
    <row r="7150" spans="1:3" x14ac:dyDescent="0.35">
      <c r="A7150">
        <v>109</v>
      </c>
      <c r="B7150">
        <v>1969</v>
      </c>
      <c r="C7150">
        <v>3.0000000000000001E-3</v>
      </c>
    </row>
    <row r="7151" spans="1:3" x14ac:dyDescent="0.35">
      <c r="A7151">
        <v>109</v>
      </c>
      <c r="B7151">
        <v>1970</v>
      </c>
      <c r="C7151">
        <v>3.3E-3</v>
      </c>
    </row>
    <row r="7152" spans="1:3" x14ac:dyDescent="0.35">
      <c r="A7152">
        <v>109</v>
      </c>
      <c r="B7152">
        <v>1971</v>
      </c>
      <c r="C7152">
        <v>3.5999999999999999E-3</v>
      </c>
    </row>
    <row r="7153" spans="1:3" x14ac:dyDescent="0.35">
      <c r="A7153">
        <v>109</v>
      </c>
      <c r="B7153">
        <v>1972</v>
      </c>
      <c r="C7153">
        <v>3.8E-3</v>
      </c>
    </row>
    <row r="7154" spans="1:3" x14ac:dyDescent="0.35">
      <c r="A7154">
        <v>109</v>
      </c>
      <c r="B7154">
        <v>1973</v>
      </c>
      <c r="C7154">
        <v>3.8999999999999998E-3</v>
      </c>
    </row>
    <row r="7155" spans="1:3" x14ac:dyDescent="0.35">
      <c r="A7155">
        <v>109</v>
      </c>
      <c r="B7155">
        <v>1974</v>
      </c>
      <c r="C7155">
        <v>3.8999999999999998E-3</v>
      </c>
    </row>
    <row r="7156" spans="1:3" x14ac:dyDescent="0.35">
      <c r="A7156">
        <v>109</v>
      </c>
      <c r="B7156">
        <v>1975</v>
      </c>
      <c r="C7156">
        <v>3.8E-3</v>
      </c>
    </row>
    <row r="7157" spans="1:3" x14ac:dyDescent="0.35">
      <c r="A7157">
        <v>109</v>
      </c>
      <c r="B7157">
        <v>1976</v>
      </c>
      <c r="C7157">
        <v>3.7000000000000002E-3</v>
      </c>
    </row>
    <row r="7158" spans="1:3" x14ac:dyDescent="0.35">
      <c r="A7158">
        <v>109</v>
      </c>
      <c r="B7158">
        <v>1977</v>
      </c>
      <c r="C7158">
        <v>3.5000000000000001E-3</v>
      </c>
    </row>
    <row r="7159" spans="1:3" x14ac:dyDescent="0.35">
      <c r="A7159">
        <v>109</v>
      </c>
      <c r="B7159">
        <v>1978</v>
      </c>
      <c r="C7159">
        <v>3.2000000000000002E-3</v>
      </c>
    </row>
    <row r="7160" spans="1:3" x14ac:dyDescent="0.35">
      <c r="A7160">
        <v>109</v>
      </c>
      <c r="B7160">
        <v>1979</v>
      </c>
      <c r="C7160">
        <v>2.8E-3</v>
      </c>
    </row>
    <row r="7161" spans="1:3" x14ac:dyDescent="0.35">
      <c r="A7161">
        <v>109</v>
      </c>
      <c r="B7161">
        <v>1980</v>
      </c>
      <c r="C7161">
        <v>2.3999999999999998E-3</v>
      </c>
    </row>
    <row r="7162" spans="1:3" x14ac:dyDescent="0.35">
      <c r="A7162">
        <v>109</v>
      </c>
      <c r="B7162">
        <v>1981</v>
      </c>
      <c r="C7162">
        <v>1.9E-3</v>
      </c>
    </row>
    <row r="7163" spans="1:3" x14ac:dyDescent="0.35">
      <c r="A7163">
        <v>109</v>
      </c>
      <c r="B7163">
        <v>1982</v>
      </c>
      <c r="C7163">
        <v>1.4E-3</v>
      </c>
    </row>
    <row r="7164" spans="1:3" x14ac:dyDescent="0.35">
      <c r="A7164">
        <v>109</v>
      </c>
      <c r="B7164">
        <v>1983</v>
      </c>
      <c r="C7164">
        <v>8.9999999999999998E-4</v>
      </c>
    </row>
    <row r="7165" spans="1:3" x14ac:dyDescent="0.35">
      <c r="A7165">
        <v>109</v>
      </c>
      <c r="B7165">
        <v>1984</v>
      </c>
      <c r="C7165">
        <v>2.9999999999999997E-4</v>
      </c>
    </row>
    <row r="7166" spans="1:3" x14ac:dyDescent="0.35">
      <c r="A7166">
        <v>109</v>
      </c>
      <c r="B7166">
        <v>1985</v>
      </c>
      <c r="C7166">
        <v>-2.0000000000000001E-4</v>
      </c>
    </row>
    <row r="7167" spans="1:3" x14ac:dyDescent="0.35">
      <c r="A7167">
        <v>109</v>
      </c>
      <c r="B7167">
        <v>1986</v>
      </c>
      <c r="C7167">
        <v>-6.9999999999999999E-4</v>
      </c>
    </row>
    <row r="7168" spans="1:3" x14ac:dyDescent="0.35">
      <c r="A7168">
        <v>109</v>
      </c>
      <c r="B7168">
        <v>1987</v>
      </c>
      <c r="C7168">
        <v>-1.1000000000000001E-3</v>
      </c>
    </row>
    <row r="7169" spans="1:3" x14ac:dyDescent="0.35">
      <c r="A7169">
        <v>109</v>
      </c>
      <c r="B7169">
        <v>1988</v>
      </c>
      <c r="C7169">
        <v>-1.5E-3</v>
      </c>
    </row>
    <row r="7170" spans="1:3" x14ac:dyDescent="0.35">
      <c r="A7170">
        <v>109</v>
      </c>
      <c r="B7170">
        <v>1989</v>
      </c>
      <c r="C7170">
        <v>-1.9E-3</v>
      </c>
    </row>
    <row r="7171" spans="1:3" x14ac:dyDescent="0.35">
      <c r="A7171">
        <v>109</v>
      </c>
      <c r="B7171">
        <v>1990</v>
      </c>
      <c r="C7171">
        <v>-2.2000000000000001E-3</v>
      </c>
    </row>
    <row r="7172" spans="1:3" x14ac:dyDescent="0.35">
      <c r="A7172">
        <v>109</v>
      </c>
      <c r="B7172">
        <v>1991</v>
      </c>
      <c r="C7172">
        <v>-2.5000000000000001E-3</v>
      </c>
    </row>
    <row r="7173" spans="1:3" x14ac:dyDescent="0.35">
      <c r="A7173">
        <v>109</v>
      </c>
      <c r="B7173">
        <v>1992</v>
      </c>
      <c r="C7173">
        <v>-2.5999999999999999E-3</v>
      </c>
    </row>
    <row r="7174" spans="1:3" x14ac:dyDescent="0.35">
      <c r="A7174">
        <v>109</v>
      </c>
      <c r="B7174">
        <v>1993</v>
      </c>
      <c r="C7174">
        <v>-2.7000000000000001E-3</v>
      </c>
    </row>
    <row r="7175" spans="1:3" x14ac:dyDescent="0.35">
      <c r="A7175">
        <v>109</v>
      </c>
      <c r="B7175">
        <v>1994</v>
      </c>
      <c r="C7175">
        <v>-2.7000000000000001E-3</v>
      </c>
    </row>
    <row r="7176" spans="1:3" x14ac:dyDescent="0.35">
      <c r="A7176">
        <v>109</v>
      </c>
      <c r="B7176">
        <v>1995</v>
      </c>
      <c r="C7176">
        <v>-2.7000000000000001E-3</v>
      </c>
    </row>
    <row r="7177" spans="1:3" x14ac:dyDescent="0.35">
      <c r="A7177">
        <v>109</v>
      </c>
      <c r="B7177">
        <v>1996</v>
      </c>
      <c r="C7177">
        <v>-2.5000000000000001E-3</v>
      </c>
    </row>
    <row r="7178" spans="1:3" x14ac:dyDescent="0.35">
      <c r="A7178">
        <v>109</v>
      </c>
      <c r="B7178">
        <v>1997</v>
      </c>
      <c r="C7178">
        <v>-2.3E-3</v>
      </c>
    </row>
    <row r="7179" spans="1:3" x14ac:dyDescent="0.35">
      <c r="A7179">
        <v>109</v>
      </c>
      <c r="B7179">
        <v>1998</v>
      </c>
      <c r="C7179">
        <v>-2E-3</v>
      </c>
    </row>
    <row r="7180" spans="1:3" x14ac:dyDescent="0.35">
      <c r="A7180">
        <v>109</v>
      </c>
      <c r="B7180">
        <v>1999</v>
      </c>
      <c r="C7180">
        <v>-1.6999999999999999E-3</v>
      </c>
    </row>
    <row r="7181" spans="1:3" x14ac:dyDescent="0.35">
      <c r="A7181">
        <v>109</v>
      </c>
      <c r="B7181">
        <v>2000</v>
      </c>
      <c r="C7181">
        <v>-1.2999999999999999E-3</v>
      </c>
    </row>
    <row r="7182" spans="1:3" x14ac:dyDescent="0.35">
      <c r="A7182">
        <v>109</v>
      </c>
      <c r="B7182">
        <v>2001</v>
      </c>
      <c r="C7182">
        <v>-8.0000000000000004E-4</v>
      </c>
    </row>
    <row r="7183" spans="1:3" x14ac:dyDescent="0.35">
      <c r="A7183">
        <v>109</v>
      </c>
      <c r="B7183">
        <v>2002</v>
      </c>
      <c r="C7183">
        <v>-2.9999999999999997E-4</v>
      </c>
    </row>
    <row r="7184" spans="1:3" x14ac:dyDescent="0.35">
      <c r="A7184">
        <v>109</v>
      </c>
      <c r="B7184">
        <v>2003</v>
      </c>
      <c r="C7184">
        <v>1E-4</v>
      </c>
    </row>
    <row r="7185" spans="1:3" x14ac:dyDescent="0.35">
      <c r="A7185">
        <v>109</v>
      </c>
      <c r="B7185">
        <v>2004</v>
      </c>
      <c r="C7185">
        <v>5.9999999999999995E-4</v>
      </c>
    </row>
    <row r="7186" spans="1:3" x14ac:dyDescent="0.35">
      <c r="A7186">
        <v>109</v>
      </c>
      <c r="B7186">
        <v>2005</v>
      </c>
      <c r="C7186">
        <v>1.1000000000000001E-3</v>
      </c>
    </row>
    <row r="7187" spans="1:3" x14ac:dyDescent="0.35">
      <c r="A7187">
        <v>109</v>
      </c>
      <c r="B7187">
        <v>2006</v>
      </c>
      <c r="C7187">
        <v>1.5E-3</v>
      </c>
    </row>
    <row r="7188" spans="1:3" x14ac:dyDescent="0.35">
      <c r="A7188">
        <v>109</v>
      </c>
      <c r="B7188">
        <v>2007</v>
      </c>
      <c r="C7188">
        <v>1.9E-3</v>
      </c>
    </row>
    <row r="7189" spans="1:3" x14ac:dyDescent="0.35">
      <c r="A7189">
        <v>109</v>
      </c>
      <c r="B7189">
        <v>2008</v>
      </c>
      <c r="C7189">
        <v>2.3E-3</v>
      </c>
    </row>
    <row r="7190" spans="1:3" x14ac:dyDescent="0.35">
      <c r="A7190">
        <v>109</v>
      </c>
      <c r="B7190">
        <v>2009</v>
      </c>
      <c r="C7190">
        <v>2.7000000000000001E-3</v>
      </c>
    </row>
    <row r="7191" spans="1:3" x14ac:dyDescent="0.35">
      <c r="A7191">
        <v>109</v>
      </c>
      <c r="B7191">
        <v>2010</v>
      </c>
      <c r="C7191">
        <v>3.0000000000000001E-3</v>
      </c>
    </row>
    <row r="7192" spans="1:3" x14ac:dyDescent="0.35">
      <c r="A7192">
        <v>109</v>
      </c>
      <c r="B7192">
        <v>2011</v>
      </c>
      <c r="C7192">
        <v>3.3E-3</v>
      </c>
    </row>
    <row r="7193" spans="1:3" x14ac:dyDescent="0.35">
      <c r="A7193">
        <v>109</v>
      </c>
      <c r="B7193">
        <v>2012</v>
      </c>
      <c r="C7193">
        <v>3.5000000000000001E-3</v>
      </c>
    </row>
    <row r="7194" spans="1:3" x14ac:dyDescent="0.35">
      <c r="A7194">
        <v>109</v>
      </c>
      <c r="B7194">
        <v>2013</v>
      </c>
      <c r="C7194">
        <v>3.3999999999999998E-3</v>
      </c>
    </row>
    <row r="7195" spans="1:3" x14ac:dyDescent="0.35">
      <c r="A7195">
        <v>109</v>
      </c>
      <c r="B7195">
        <v>2014</v>
      </c>
      <c r="C7195">
        <v>3.3E-3</v>
      </c>
    </row>
    <row r="7196" spans="1:3" x14ac:dyDescent="0.35">
      <c r="A7196">
        <v>109</v>
      </c>
      <c r="B7196">
        <v>2015</v>
      </c>
      <c r="C7196">
        <v>3.0999999999999999E-3</v>
      </c>
    </row>
    <row r="7197" spans="1:3" x14ac:dyDescent="0.35">
      <c r="A7197">
        <v>109</v>
      </c>
      <c r="B7197">
        <v>2016</v>
      </c>
      <c r="C7197">
        <v>3.0000000000000001E-3</v>
      </c>
    </row>
    <row r="7198" spans="1:3" x14ac:dyDescent="0.35">
      <c r="A7198">
        <v>109</v>
      </c>
      <c r="B7198">
        <v>2017</v>
      </c>
      <c r="C7198">
        <v>2.8E-3</v>
      </c>
    </row>
    <row r="7199" spans="1:3" x14ac:dyDescent="0.35">
      <c r="A7199">
        <v>109</v>
      </c>
      <c r="B7199">
        <v>2018</v>
      </c>
      <c r="C7199">
        <v>2.7000000000000001E-3</v>
      </c>
    </row>
    <row r="7200" spans="1:3" x14ac:dyDescent="0.35">
      <c r="A7200">
        <v>109</v>
      </c>
      <c r="B7200">
        <v>2019</v>
      </c>
      <c r="C7200">
        <v>2.5999999999999999E-3</v>
      </c>
    </row>
    <row r="7201" spans="1:3" x14ac:dyDescent="0.35">
      <c r="A7201">
        <v>109</v>
      </c>
      <c r="B7201">
        <v>2020</v>
      </c>
      <c r="C7201">
        <v>2.5000000000000001E-3</v>
      </c>
    </row>
    <row r="7202" spans="1:3" x14ac:dyDescent="0.35">
      <c r="A7202">
        <v>109</v>
      </c>
      <c r="B7202">
        <v>2021</v>
      </c>
      <c r="C7202">
        <v>2.3999999999999998E-3</v>
      </c>
    </row>
    <row r="7203" spans="1:3" x14ac:dyDescent="0.35">
      <c r="A7203">
        <v>109</v>
      </c>
      <c r="B7203">
        <v>2022</v>
      </c>
      <c r="C7203">
        <v>2.3999999999999998E-3</v>
      </c>
    </row>
    <row r="7204" spans="1:3" x14ac:dyDescent="0.35">
      <c r="A7204">
        <v>109</v>
      </c>
      <c r="B7204">
        <v>2023</v>
      </c>
      <c r="C7204">
        <v>2.3999999999999998E-3</v>
      </c>
    </row>
    <row r="7205" spans="1:3" x14ac:dyDescent="0.35">
      <c r="A7205">
        <v>109</v>
      </c>
      <c r="B7205">
        <v>2024</v>
      </c>
      <c r="C7205">
        <v>2.3999999999999998E-3</v>
      </c>
    </row>
    <row r="7206" spans="1:3" x14ac:dyDescent="0.35">
      <c r="A7206">
        <v>109</v>
      </c>
      <c r="B7206">
        <v>2025</v>
      </c>
      <c r="C7206">
        <v>2.3999999999999998E-3</v>
      </c>
    </row>
    <row r="7207" spans="1:3" x14ac:dyDescent="0.35">
      <c r="A7207">
        <v>109</v>
      </c>
      <c r="B7207">
        <v>2026</v>
      </c>
      <c r="C7207">
        <v>2.3999999999999998E-3</v>
      </c>
    </row>
    <row r="7208" spans="1:3" x14ac:dyDescent="0.35">
      <c r="A7208">
        <v>109</v>
      </c>
      <c r="B7208">
        <v>2027</v>
      </c>
      <c r="C7208">
        <v>2.3999999999999998E-3</v>
      </c>
    </row>
    <row r="7209" spans="1:3" x14ac:dyDescent="0.35">
      <c r="A7209">
        <v>109</v>
      </c>
      <c r="B7209">
        <v>2028</v>
      </c>
      <c r="C7209">
        <v>2.3999999999999998E-3</v>
      </c>
    </row>
    <row r="7210" spans="1:3" x14ac:dyDescent="0.35">
      <c r="A7210">
        <v>109</v>
      </c>
      <c r="B7210">
        <v>2029</v>
      </c>
      <c r="C7210">
        <v>2.3999999999999998E-3</v>
      </c>
    </row>
    <row r="7211" spans="1:3" x14ac:dyDescent="0.35">
      <c r="A7211">
        <v>109</v>
      </c>
      <c r="B7211">
        <v>2030</v>
      </c>
      <c r="C7211">
        <v>2.3999999999999998E-3</v>
      </c>
    </row>
    <row r="7212" spans="1:3" x14ac:dyDescent="0.35">
      <c r="A7212">
        <v>109</v>
      </c>
      <c r="B7212">
        <v>2031</v>
      </c>
      <c r="C7212">
        <v>2.5000000000000001E-3</v>
      </c>
    </row>
    <row r="7213" spans="1:3" x14ac:dyDescent="0.35">
      <c r="A7213">
        <v>110</v>
      </c>
      <c r="B7213">
        <v>1951</v>
      </c>
      <c r="C7213">
        <v>-4.7999999999999996E-3</v>
      </c>
    </row>
    <row r="7214" spans="1:3" x14ac:dyDescent="0.35">
      <c r="A7214">
        <v>110</v>
      </c>
      <c r="B7214">
        <v>1952</v>
      </c>
      <c r="C7214">
        <v>-4.4000000000000003E-3</v>
      </c>
    </row>
    <row r="7215" spans="1:3" x14ac:dyDescent="0.35">
      <c r="A7215">
        <v>110</v>
      </c>
      <c r="B7215">
        <v>1953</v>
      </c>
      <c r="C7215">
        <v>-4.1000000000000003E-3</v>
      </c>
    </row>
    <row r="7216" spans="1:3" x14ac:dyDescent="0.35">
      <c r="A7216">
        <v>110</v>
      </c>
      <c r="B7216">
        <v>1954</v>
      </c>
      <c r="C7216">
        <v>-3.7000000000000002E-3</v>
      </c>
    </row>
    <row r="7217" spans="1:3" x14ac:dyDescent="0.35">
      <c r="A7217">
        <v>110</v>
      </c>
      <c r="B7217">
        <v>1955</v>
      </c>
      <c r="C7217">
        <v>-3.3999999999999998E-3</v>
      </c>
    </row>
    <row r="7218" spans="1:3" x14ac:dyDescent="0.35">
      <c r="A7218">
        <v>110</v>
      </c>
      <c r="B7218">
        <v>1956</v>
      </c>
      <c r="C7218">
        <v>-3.0000000000000001E-3</v>
      </c>
    </row>
    <row r="7219" spans="1:3" x14ac:dyDescent="0.35">
      <c r="A7219">
        <v>110</v>
      </c>
      <c r="B7219">
        <v>1957</v>
      </c>
      <c r="C7219">
        <v>-2.5999999999999999E-3</v>
      </c>
    </row>
    <row r="7220" spans="1:3" x14ac:dyDescent="0.35">
      <c r="A7220">
        <v>110</v>
      </c>
      <c r="B7220">
        <v>1958</v>
      </c>
      <c r="C7220">
        <v>-2.2000000000000001E-3</v>
      </c>
    </row>
    <row r="7221" spans="1:3" x14ac:dyDescent="0.35">
      <c r="A7221">
        <v>110</v>
      </c>
      <c r="B7221">
        <v>1959</v>
      </c>
      <c r="C7221">
        <v>-1.8E-3</v>
      </c>
    </row>
    <row r="7222" spans="1:3" x14ac:dyDescent="0.35">
      <c r="A7222">
        <v>110</v>
      </c>
      <c r="B7222">
        <v>1960</v>
      </c>
      <c r="C7222">
        <v>-1.4E-3</v>
      </c>
    </row>
    <row r="7223" spans="1:3" x14ac:dyDescent="0.35">
      <c r="A7223">
        <v>110</v>
      </c>
      <c r="B7223">
        <v>1961</v>
      </c>
      <c r="C7223">
        <v>-1E-3</v>
      </c>
    </row>
    <row r="7224" spans="1:3" x14ac:dyDescent="0.35">
      <c r="A7224">
        <v>110</v>
      </c>
      <c r="B7224">
        <v>1962</v>
      </c>
      <c r="C7224">
        <v>-5.0000000000000001E-4</v>
      </c>
    </row>
    <row r="7225" spans="1:3" x14ac:dyDescent="0.35">
      <c r="A7225">
        <v>110</v>
      </c>
      <c r="B7225">
        <v>1963</v>
      </c>
      <c r="C7225">
        <v>0</v>
      </c>
    </row>
    <row r="7226" spans="1:3" x14ac:dyDescent="0.35">
      <c r="A7226">
        <v>110</v>
      </c>
      <c r="B7226">
        <v>1964</v>
      </c>
      <c r="C7226">
        <v>4.0000000000000002E-4</v>
      </c>
    </row>
    <row r="7227" spans="1:3" x14ac:dyDescent="0.35">
      <c r="A7227">
        <v>110</v>
      </c>
      <c r="B7227">
        <v>1965</v>
      </c>
      <c r="C7227">
        <v>8.9999999999999998E-4</v>
      </c>
    </row>
    <row r="7228" spans="1:3" x14ac:dyDescent="0.35">
      <c r="A7228">
        <v>110</v>
      </c>
      <c r="B7228">
        <v>1966</v>
      </c>
      <c r="C7228">
        <v>1.2999999999999999E-3</v>
      </c>
    </row>
    <row r="7229" spans="1:3" x14ac:dyDescent="0.35">
      <c r="A7229">
        <v>110</v>
      </c>
      <c r="B7229">
        <v>1967</v>
      </c>
      <c r="C7229">
        <v>1.8E-3</v>
      </c>
    </row>
    <row r="7230" spans="1:3" x14ac:dyDescent="0.35">
      <c r="A7230">
        <v>110</v>
      </c>
      <c r="B7230">
        <v>1968</v>
      </c>
      <c r="C7230">
        <v>2.0999999999999999E-3</v>
      </c>
    </row>
    <row r="7231" spans="1:3" x14ac:dyDescent="0.35">
      <c r="A7231">
        <v>110</v>
      </c>
      <c r="B7231">
        <v>1969</v>
      </c>
      <c r="C7231">
        <v>2.5000000000000001E-3</v>
      </c>
    </row>
    <row r="7232" spans="1:3" x14ac:dyDescent="0.35">
      <c r="A7232">
        <v>110</v>
      </c>
      <c r="B7232">
        <v>1970</v>
      </c>
      <c r="C7232">
        <v>2.8E-3</v>
      </c>
    </row>
    <row r="7233" spans="1:3" x14ac:dyDescent="0.35">
      <c r="A7233">
        <v>110</v>
      </c>
      <c r="B7233">
        <v>1971</v>
      </c>
      <c r="C7233">
        <v>3.0000000000000001E-3</v>
      </c>
    </row>
    <row r="7234" spans="1:3" x14ac:dyDescent="0.35">
      <c r="A7234">
        <v>110</v>
      </c>
      <c r="B7234">
        <v>1972</v>
      </c>
      <c r="C7234">
        <v>3.0999999999999999E-3</v>
      </c>
    </row>
    <row r="7235" spans="1:3" x14ac:dyDescent="0.35">
      <c r="A7235">
        <v>110</v>
      </c>
      <c r="B7235">
        <v>1973</v>
      </c>
      <c r="C7235">
        <v>3.2000000000000002E-3</v>
      </c>
    </row>
    <row r="7236" spans="1:3" x14ac:dyDescent="0.35">
      <c r="A7236">
        <v>110</v>
      </c>
      <c r="B7236">
        <v>1974</v>
      </c>
      <c r="C7236">
        <v>3.2000000000000002E-3</v>
      </c>
    </row>
    <row r="7237" spans="1:3" x14ac:dyDescent="0.35">
      <c r="A7237">
        <v>110</v>
      </c>
      <c r="B7237">
        <v>1975</v>
      </c>
      <c r="C7237">
        <v>3.2000000000000002E-3</v>
      </c>
    </row>
    <row r="7238" spans="1:3" x14ac:dyDescent="0.35">
      <c r="A7238">
        <v>110</v>
      </c>
      <c r="B7238">
        <v>1976</v>
      </c>
      <c r="C7238">
        <v>3.0999999999999999E-3</v>
      </c>
    </row>
    <row r="7239" spans="1:3" x14ac:dyDescent="0.35">
      <c r="A7239">
        <v>110</v>
      </c>
      <c r="B7239">
        <v>1977</v>
      </c>
      <c r="C7239">
        <v>2.8999999999999998E-3</v>
      </c>
    </row>
    <row r="7240" spans="1:3" x14ac:dyDescent="0.35">
      <c r="A7240">
        <v>110</v>
      </c>
      <c r="B7240">
        <v>1978</v>
      </c>
      <c r="C7240">
        <v>2.5999999999999999E-3</v>
      </c>
    </row>
    <row r="7241" spans="1:3" x14ac:dyDescent="0.35">
      <c r="A7241">
        <v>110</v>
      </c>
      <c r="B7241">
        <v>1979</v>
      </c>
      <c r="C7241">
        <v>2.3E-3</v>
      </c>
    </row>
    <row r="7242" spans="1:3" x14ac:dyDescent="0.35">
      <c r="A7242">
        <v>110</v>
      </c>
      <c r="B7242">
        <v>1980</v>
      </c>
      <c r="C7242">
        <v>2E-3</v>
      </c>
    </row>
    <row r="7243" spans="1:3" x14ac:dyDescent="0.35">
      <c r="A7243">
        <v>110</v>
      </c>
      <c r="B7243">
        <v>1981</v>
      </c>
      <c r="C7243">
        <v>1.6000000000000001E-3</v>
      </c>
    </row>
    <row r="7244" spans="1:3" x14ac:dyDescent="0.35">
      <c r="A7244">
        <v>110</v>
      </c>
      <c r="B7244">
        <v>1982</v>
      </c>
      <c r="C7244">
        <v>1.1999999999999999E-3</v>
      </c>
    </row>
    <row r="7245" spans="1:3" x14ac:dyDescent="0.35">
      <c r="A7245">
        <v>110</v>
      </c>
      <c r="B7245">
        <v>1983</v>
      </c>
      <c r="C7245">
        <v>6.9999999999999999E-4</v>
      </c>
    </row>
    <row r="7246" spans="1:3" x14ac:dyDescent="0.35">
      <c r="A7246">
        <v>110</v>
      </c>
      <c r="B7246">
        <v>1984</v>
      </c>
      <c r="C7246">
        <v>2.9999999999999997E-4</v>
      </c>
    </row>
    <row r="7247" spans="1:3" x14ac:dyDescent="0.35">
      <c r="A7247">
        <v>110</v>
      </c>
      <c r="B7247">
        <v>1985</v>
      </c>
      <c r="C7247">
        <v>-1E-4</v>
      </c>
    </row>
    <row r="7248" spans="1:3" x14ac:dyDescent="0.35">
      <c r="A7248">
        <v>110</v>
      </c>
      <c r="B7248">
        <v>1986</v>
      </c>
      <c r="C7248">
        <v>-5.9999999999999995E-4</v>
      </c>
    </row>
    <row r="7249" spans="1:3" x14ac:dyDescent="0.35">
      <c r="A7249">
        <v>110</v>
      </c>
      <c r="B7249">
        <v>1987</v>
      </c>
      <c r="C7249">
        <v>-8.9999999999999998E-4</v>
      </c>
    </row>
    <row r="7250" spans="1:3" x14ac:dyDescent="0.35">
      <c r="A7250">
        <v>110</v>
      </c>
      <c r="B7250">
        <v>1988</v>
      </c>
      <c r="C7250">
        <v>-1.2999999999999999E-3</v>
      </c>
    </row>
    <row r="7251" spans="1:3" x14ac:dyDescent="0.35">
      <c r="A7251">
        <v>110</v>
      </c>
      <c r="B7251">
        <v>1989</v>
      </c>
      <c r="C7251">
        <v>-1.6000000000000001E-3</v>
      </c>
    </row>
    <row r="7252" spans="1:3" x14ac:dyDescent="0.35">
      <c r="A7252">
        <v>110</v>
      </c>
      <c r="B7252">
        <v>1990</v>
      </c>
      <c r="C7252">
        <v>-1.8E-3</v>
      </c>
    </row>
    <row r="7253" spans="1:3" x14ac:dyDescent="0.35">
      <c r="A7253">
        <v>110</v>
      </c>
      <c r="B7253">
        <v>1991</v>
      </c>
      <c r="C7253">
        <v>-2E-3</v>
      </c>
    </row>
    <row r="7254" spans="1:3" x14ac:dyDescent="0.35">
      <c r="A7254">
        <v>110</v>
      </c>
      <c r="B7254">
        <v>1992</v>
      </c>
      <c r="C7254">
        <v>-2.2000000000000001E-3</v>
      </c>
    </row>
    <row r="7255" spans="1:3" x14ac:dyDescent="0.35">
      <c r="A7255">
        <v>110</v>
      </c>
      <c r="B7255">
        <v>1993</v>
      </c>
      <c r="C7255">
        <v>-2.3E-3</v>
      </c>
    </row>
    <row r="7256" spans="1:3" x14ac:dyDescent="0.35">
      <c r="A7256">
        <v>110</v>
      </c>
      <c r="B7256">
        <v>1994</v>
      </c>
      <c r="C7256">
        <v>-2.3E-3</v>
      </c>
    </row>
    <row r="7257" spans="1:3" x14ac:dyDescent="0.35">
      <c r="A7257">
        <v>110</v>
      </c>
      <c r="B7257">
        <v>1995</v>
      </c>
      <c r="C7257">
        <v>-2.2000000000000001E-3</v>
      </c>
    </row>
    <row r="7258" spans="1:3" x14ac:dyDescent="0.35">
      <c r="A7258">
        <v>110</v>
      </c>
      <c r="B7258">
        <v>1996</v>
      </c>
      <c r="C7258">
        <v>-2.0999999999999999E-3</v>
      </c>
    </row>
    <row r="7259" spans="1:3" x14ac:dyDescent="0.35">
      <c r="A7259">
        <v>110</v>
      </c>
      <c r="B7259">
        <v>1997</v>
      </c>
      <c r="C7259">
        <v>-1.9E-3</v>
      </c>
    </row>
    <row r="7260" spans="1:3" x14ac:dyDescent="0.35">
      <c r="A7260">
        <v>110</v>
      </c>
      <c r="B7260">
        <v>1998</v>
      </c>
      <c r="C7260">
        <v>-1.6999999999999999E-3</v>
      </c>
    </row>
    <row r="7261" spans="1:3" x14ac:dyDescent="0.35">
      <c r="A7261">
        <v>110</v>
      </c>
      <c r="B7261">
        <v>1999</v>
      </c>
      <c r="C7261">
        <v>-1.4E-3</v>
      </c>
    </row>
    <row r="7262" spans="1:3" x14ac:dyDescent="0.35">
      <c r="A7262">
        <v>110</v>
      </c>
      <c r="B7262">
        <v>2000</v>
      </c>
      <c r="C7262">
        <v>-1.1000000000000001E-3</v>
      </c>
    </row>
    <row r="7263" spans="1:3" x14ac:dyDescent="0.35">
      <c r="A7263">
        <v>110</v>
      </c>
      <c r="B7263">
        <v>2001</v>
      </c>
      <c r="C7263">
        <v>-6.9999999999999999E-4</v>
      </c>
    </row>
    <row r="7264" spans="1:3" x14ac:dyDescent="0.35">
      <c r="A7264">
        <v>110</v>
      </c>
      <c r="B7264">
        <v>2002</v>
      </c>
      <c r="C7264">
        <v>-2.9999999999999997E-4</v>
      </c>
    </row>
    <row r="7265" spans="1:3" x14ac:dyDescent="0.35">
      <c r="A7265">
        <v>110</v>
      </c>
      <c r="B7265">
        <v>2003</v>
      </c>
      <c r="C7265">
        <v>1E-4</v>
      </c>
    </row>
    <row r="7266" spans="1:3" x14ac:dyDescent="0.35">
      <c r="A7266">
        <v>110</v>
      </c>
      <c r="B7266">
        <v>2004</v>
      </c>
      <c r="C7266">
        <v>5.0000000000000001E-4</v>
      </c>
    </row>
    <row r="7267" spans="1:3" x14ac:dyDescent="0.35">
      <c r="A7267">
        <v>110</v>
      </c>
      <c r="B7267">
        <v>2005</v>
      </c>
      <c r="C7267">
        <v>8.9999999999999998E-4</v>
      </c>
    </row>
    <row r="7268" spans="1:3" x14ac:dyDescent="0.35">
      <c r="A7268">
        <v>110</v>
      </c>
      <c r="B7268">
        <v>2006</v>
      </c>
      <c r="C7268">
        <v>1.2999999999999999E-3</v>
      </c>
    </row>
    <row r="7269" spans="1:3" x14ac:dyDescent="0.35">
      <c r="A7269">
        <v>110</v>
      </c>
      <c r="B7269">
        <v>2007</v>
      </c>
      <c r="C7269">
        <v>1.6000000000000001E-3</v>
      </c>
    </row>
    <row r="7270" spans="1:3" x14ac:dyDescent="0.35">
      <c r="A7270">
        <v>110</v>
      </c>
      <c r="B7270">
        <v>2008</v>
      </c>
      <c r="C7270">
        <v>1.9E-3</v>
      </c>
    </row>
    <row r="7271" spans="1:3" x14ac:dyDescent="0.35">
      <c r="A7271">
        <v>110</v>
      </c>
      <c r="B7271">
        <v>2009</v>
      </c>
      <c r="C7271">
        <v>2.2000000000000001E-3</v>
      </c>
    </row>
    <row r="7272" spans="1:3" x14ac:dyDescent="0.35">
      <c r="A7272">
        <v>110</v>
      </c>
      <c r="B7272">
        <v>2010</v>
      </c>
      <c r="C7272">
        <v>2.5000000000000001E-3</v>
      </c>
    </row>
    <row r="7273" spans="1:3" x14ac:dyDescent="0.35">
      <c r="A7273">
        <v>110</v>
      </c>
      <c r="B7273">
        <v>2011</v>
      </c>
      <c r="C7273">
        <v>2.7000000000000001E-3</v>
      </c>
    </row>
    <row r="7274" spans="1:3" x14ac:dyDescent="0.35">
      <c r="A7274">
        <v>110</v>
      </c>
      <c r="B7274">
        <v>2012</v>
      </c>
      <c r="C7274">
        <v>3.0000000000000001E-3</v>
      </c>
    </row>
    <row r="7275" spans="1:3" x14ac:dyDescent="0.35">
      <c r="A7275">
        <v>110</v>
      </c>
      <c r="B7275">
        <v>2013</v>
      </c>
      <c r="C7275">
        <v>2.8999999999999998E-3</v>
      </c>
    </row>
    <row r="7276" spans="1:3" x14ac:dyDescent="0.35">
      <c r="A7276">
        <v>110</v>
      </c>
      <c r="B7276">
        <v>2014</v>
      </c>
      <c r="C7276">
        <v>2.7000000000000001E-3</v>
      </c>
    </row>
    <row r="7277" spans="1:3" x14ac:dyDescent="0.35">
      <c r="A7277">
        <v>110</v>
      </c>
      <c r="B7277">
        <v>2015</v>
      </c>
      <c r="C7277">
        <v>2.5999999999999999E-3</v>
      </c>
    </row>
    <row r="7278" spans="1:3" x14ac:dyDescent="0.35">
      <c r="A7278">
        <v>110</v>
      </c>
      <c r="B7278">
        <v>2016</v>
      </c>
      <c r="C7278">
        <v>2.5000000000000001E-3</v>
      </c>
    </row>
    <row r="7279" spans="1:3" x14ac:dyDescent="0.35">
      <c r="A7279">
        <v>110</v>
      </c>
      <c r="B7279">
        <v>2017</v>
      </c>
      <c r="C7279">
        <v>2.3999999999999998E-3</v>
      </c>
    </row>
    <row r="7280" spans="1:3" x14ac:dyDescent="0.35">
      <c r="A7280">
        <v>110</v>
      </c>
      <c r="B7280">
        <v>2018</v>
      </c>
      <c r="C7280">
        <v>2.2000000000000001E-3</v>
      </c>
    </row>
    <row r="7281" spans="1:3" x14ac:dyDescent="0.35">
      <c r="A7281">
        <v>110</v>
      </c>
      <c r="B7281">
        <v>2019</v>
      </c>
      <c r="C7281">
        <v>2.0999999999999999E-3</v>
      </c>
    </row>
    <row r="7282" spans="1:3" x14ac:dyDescent="0.35">
      <c r="A7282">
        <v>110</v>
      </c>
      <c r="B7282">
        <v>2020</v>
      </c>
      <c r="C7282">
        <v>2.0999999999999999E-3</v>
      </c>
    </row>
    <row r="7283" spans="1:3" x14ac:dyDescent="0.35">
      <c r="A7283">
        <v>110</v>
      </c>
      <c r="B7283">
        <v>2021</v>
      </c>
      <c r="C7283">
        <v>2E-3</v>
      </c>
    </row>
    <row r="7284" spans="1:3" x14ac:dyDescent="0.35">
      <c r="A7284">
        <v>110</v>
      </c>
      <c r="B7284">
        <v>2022</v>
      </c>
      <c r="C7284">
        <v>2E-3</v>
      </c>
    </row>
    <row r="7285" spans="1:3" x14ac:dyDescent="0.35">
      <c r="A7285">
        <v>110</v>
      </c>
      <c r="B7285">
        <v>2023</v>
      </c>
      <c r="C7285">
        <v>2E-3</v>
      </c>
    </row>
    <row r="7286" spans="1:3" x14ac:dyDescent="0.35">
      <c r="A7286">
        <v>110</v>
      </c>
      <c r="B7286">
        <v>2024</v>
      </c>
      <c r="C7286">
        <v>2E-3</v>
      </c>
    </row>
    <row r="7287" spans="1:3" x14ac:dyDescent="0.35">
      <c r="A7287">
        <v>110</v>
      </c>
      <c r="B7287">
        <v>2025</v>
      </c>
      <c r="C7287">
        <v>2E-3</v>
      </c>
    </row>
    <row r="7288" spans="1:3" x14ac:dyDescent="0.35">
      <c r="A7288">
        <v>110</v>
      </c>
      <c r="B7288">
        <v>2026</v>
      </c>
      <c r="C7288">
        <v>2E-3</v>
      </c>
    </row>
    <row r="7289" spans="1:3" x14ac:dyDescent="0.35">
      <c r="A7289">
        <v>110</v>
      </c>
      <c r="B7289">
        <v>2027</v>
      </c>
      <c r="C7289">
        <v>2E-3</v>
      </c>
    </row>
    <row r="7290" spans="1:3" x14ac:dyDescent="0.35">
      <c r="A7290">
        <v>110</v>
      </c>
      <c r="B7290">
        <v>2028</v>
      </c>
      <c r="C7290">
        <v>2E-3</v>
      </c>
    </row>
    <row r="7291" spans="1:3" x14ac:dyDescent="0.35">
      <c r="A7291">
        <v>110</v>
      </c>
      <c r="B7291">
        <v>2029</v>
      </c>
      <c r="C7291">
        <v>2E-3</v>
      </c>
    </row>
    <row r="7292" spans="1:3" x14ac:dyDescent="0.35">
      <c r="A7292">
        <v>110</v>
      </c>
      <c r="B7292">
        <v>2030</v>
      </c>
      <c r="C7292">
        <v>2E-3</v>
      </c>
    </row>
    <row r="7293" spans="1:3" x14ac:dyDescent="0.35">
      <c r="A7293">
        <v>110</v>
      </c>
      <c r="B7293">
        <v>2031</v>
      </c>
      <c r="C7293">
        <v>2.0999999999999999E-3</v>
      </c>
    </row>
    <row r="7294" spans="1:3" x14ac:dyDescent="0.35">
      <c r="A7294">
        <v>111</v>
      </c>
      <c r="B7294">
        <v>1951</v>
      </c>
      <c r="C7294">
        <v>-3.8E-3</v>
      </c>
    </row>
    <row r="7295" spans="1:3" x14ac:dyDescent="0.35">
      <c r="A7295">
        <v>111</v>
      </c>
      <c r="B7295">
        <v>1952</v>
      </c>
      <c r="C7295">
        <v>-3.5000000000000001E-3</v>
      </c>
    </row>
    <row r="7296" spans="1:3" x14ac:dyDescent="0.35">
      <c r="A7296">
        <v>111</v>
      </c>
      <c r="B7296">
        <v>1953</v>
      </c>
      <c r="C7296">
        <v>-3.3E-3</v>
      </c>
    </row>
    <row r="7297" spans="1:3" x14ac:dyDescent="0.35">
      <c r="A7297">
        <v>111</v>
      </c>
      <c r="B7297">
        <v>1954</v>
      </c>
      <c r="C7297">
        <v>-3.0000000000000001E-3</v>
      </c>
    </row>
    <row r="7298" spans="1:3" x14ac:dyDescent="0.35">
      <c r="A7298">
        <v>111</v>
      </c>
      <c r="B7298">
        <v>1955</v>
      </c>
      <c r="C7298">
        <v>-2.7000000000000001E-3</v>
      </c>
    </row>
    <row r="7299" spans="1:3" x14ac:dyDescent="0.35">
      <c r="A7299">
        <v>111</v>
      </c>
      <c r="B7299">
        <v>1956</v>
      </c>
      <c r="C7299">
        <v>-2.3999999999999998E-3</v>
      </c>
    </row>
    <row r="7300" spans="1:3" x14ac:dyDescent="0.35">
      <c r="A7300">
        <v>111</v>
      </c>
      <c r="B7300">
        <v>1957</v>
      </c>
      <c r="C7300">
        <v>-2.0999999999999999E-3</v>
      </c>
    </row>
    <row r="7301" spans="1:3" x14ac:dyDescent="0.35">
      <c r="A7301">
        <v>111</v>
      </c>
      <c r="B7301">
        <v>1958</v>
      </c>
      <c r="C7301">
        <v>-1.8E-3</v>
      </c>
    </row>
    <row r="7302" spans="1:3" x14ac:dyDescent="0.35">
      <c r="A7302">
        <v>111</v>
      </c>
      <c r="B7302">
        <v>1959</v>
      </c>
      <c r="C7302">
        <v>-1.5E-3</v>
      </c>
    </row>
    <row r="7303" spans="1:3" x14ac:dyDescent="0.35">
      <c r="A7303">
        <v>111</v>
      </c>
      <c r="B7303">
        <v>1960</v>
      </c>
      <c r="C7303">
        <v>-1.1000000000000001E-3</v>
      </c>
    </row>
    <row r="7304" spans="1:3" x14ac:dyDescent="0.35">
      <c r="A7304">
        <v>111</v>
      </c>
      <c r="B7304">
        <v>1961</v>
      </c>
      <c r="C7304">
        <v>-8.0000000000000004E-4</v>
      </c>
    </row>
    <row r="7305" spans="1:3" x14ac:dyDescent="0.35">
      <c r="A7305">
        <v>111</v>
      </c>
      <c r="B7305">
        <v>1962</v>
      </c>
      <c r="C7305">
        <v>-4.0000000000000002E-4</v>
      </c>
    </row>
    <row r="7306" spans="1:3" x14ac:dyDescent="0.35">
      <c r="A7306">
        <v>111</v>
      </c>
      <c r="B7306">
        <v>1963</v>
      </c>
      <c r="C7306">
        <v>0</v>
      </c>
    </row>
    <row r="7307" spans="1:3" x14ac:dyDescent="0.35">
      <c r="A7307">
        <v>111</v>
      </c>
      <c r="B7307">
        <v>1964</v>
      </c>
      <c r="C7307">
        <v>2.9999999999999997E-4</v>
      </c>
    </row>
    <row r="7308" spans="1:3" x14ac:dyDescent="0.35">
      <c r="A7308">
        <v>111</v>
      </c>
      <c r="B7308">
        <v>1965</v>
      </c>
      <c r="C7308">
        <v>6.9999999999999999E-4</v>
      </c>
    </row>
    <row r="7309" spans="1:3" x14ac:dyDescent="0.35">
      <c r="A7309">
        <v>111</v>
      </c>
      <c r="B7309">
        <v>1966</v>
      </c>
      <c r="C7309">
        <v>1.1000000000000001E-3</v>
      </c>
    </row>
    <row r="7310" spans="1:3" x14ac:dyDescent="0.35">
      <c r="A7310">
        <v>111</v>
      </c>
      <c r="B7310">
        <v>1967</v>
      </c>
      <c r="C7310">
        <v>1.4E-3</v>
      </c>
    </row>
    <row r="7311" spans="1:3" x14ac:dyDescent="0.35">
      <c r="A7311">
        <v>111</v>
      </c>
      <c r="B7311">
        <v>1968</v>
      </c>
      <c r="C7311">
        <v>1.6999999999999999E-3</v>
      </c>
    </row>
    <row r="7312" spans="1:3" x14ac:dyDescent="0.35">
      <c r="A7312">
        <v>111</v>
      </c>
      <c r="B7312">
        <v>1969</v>
      </c>
      <c r="C7312">
        <v>2E-3</v>
      </c>
    </row>
    <row r="7313" spans="1:3" x14ac:dyDescent="0.35">
      <c r="A7313">
        <v>111</v>
      </c>
      <c r="B7313">
        <v>1970</v>
      </c>
      <c r="C7313">
        <v>2.2000000000000001E-3</v>
      </c>
    </row>
    <row r="7314" spans="1:3" x14ac:dyDescent="0.35">
      <c r="A7314">
        <v>111</v>
      </c>
      <c r="B7314">
        <v>1971</v>
      </c>
      <c r="C7314">
        <v>2.3999999999999998E-3</v>
      </c>
    </row>
    <row r="7315" spans="1:3" x14ac:dyDescent="0.35">
      <c r="A7315">
        <v>111</v>
      </c>
      <c r="B7315">
        <v>1972</v>
      </c>
      <c r="C7315">
        <v>2.5000000000000001E-3</v>
      </c>
    </row>
    <row r="7316" spans="1:3" x14ac:dyDescent="0.35">
      <c r="A7316">
        <v>111</v>
      </c>
      <c r="B7316">
        <v>1973</v>
      </c>
      <c r="C7316">
        <v>2.5999999999999999E-3</v>
      </c>
    </row>
    <row r="7317" spans="1:3" x14ac:dyDescent="0.35">
      <c r="A7317">
        <v>111</v>
      </c>
      <c r="B7317">
        <v>1974</v>
      </c>
      <c r="C7317">
        <v>2.5999999999999999E-3</v>
      </c>
    </row>
    <row r="7318" spans="1:3" x14ac:dyDescent="0.35">
      <c r="A7318">
        <v>111</v>
      </c>
      <c r="B7318">
        <v>1975</v>
      </c>
      <c r="C7318">
        <v>2.5999999999999999E-3</v>
      </c>
    </row>
    <row r="7319" spans="1:3" x14ac:dyDescent="0.35">
      <c r="A7319">
        <v>111</v>
      </c>
      <c r="B7319">
        <v>1976</v>
      </c>
      <c r="C7319">
        <v>2.5000000000000001E-3</v>
      </c>
    </row>
    <row r="7320" spans="1:3" x14ac:dyDescent="0.35">
      <c r="A7320">
        <v>111</v>
      </c>
      <c r="B7320">
        <v>1977</v>
      </c>
      <c r="C7320">
        <v>2.3E-3</v>
      </c>
    </row>
    <row r="7321" spans="1:3" x14ac:dyDescent="0.35">
      <c r="A7321">
        <v>111</v>
      </c>
      <c r="B7321">
        <v>1978</v>
      </c>
      <c r="C7321">
        <v>2.0999999999999999E-3</v>
      </c>
    </row>
    <row r="7322" spans="1:3" x14ac:dyDescent="0.35">
      <c r="A7322">
        <v>111</v>
      </c>
      <c r="B7322">
        <v>1979</v>
      </c>
      <c r="C7322">
        <v>1.9E-3</v>
      </c>
    </row>
    <row r="7323" spans="1:3" x14ac:dyDescent="0.35">
      <c r="A7323">
        <v>111</v>
      </c>
      <c r="B7323">
        <v>1980</v>
      </c>
      <c r="C7323">
        <v>1.6000000000000001E-3</v>
      </c>
    </row>
    <row r="7324" spans="1:3" x14ac:dyDescent="0.35">
      <c r="A7324">
        <v>111</v>
      </c>
      <c r="B7324">
        <v>1981</v>
      </c>
      <c r="C7324">
        <v>1.2999999999999999E-3</v>
      </c>
    </row>
    <row r="7325" spans="1:3" x14ac:dyDescent="0.35">
      <c r="A7325">
        <v>111</v>
      </c>
      <c r="B7325">
        <v>1982</v>
      </c>
      <c r="C7325">
        <v>8.9999999999999998E-4</v>
      </c>
    </row>
    <row r="7326" spans="1:3" x14ac:dyDescent="0.35">
      <c r="A7326">
        <v>111</v>
      </c>
      <c r="B7326">
        <v>1983</v>
      </c>
      <c r="C7326">
        <v>5.9999999999999995E-4</v>
      </c>
    </row>
    <row r="7327" spans="1:3" x14ac:dyDescent="0.35">
      <c r="A7327">
        <v>111</v>
      </c>
      <c r="B7327">
        <v>1984</v>
      </c>
      <c r="C7327">
        <v>2.0000000000000001E-4</v>
      </c>
    </row>
    <row r="7328" spans="1:3" x14ac:dyDescent="0.35">
      <c r="A7328">
        <v>111</v>
      </c>
      <c r="B7328">
        <v>1985</v>
      </c>
      <c r="C7328">
        <v>-1E-4</v>
      </c>
    </row>
    <row r="7329" spans="1:3" x14ac:dyDescent="0.35">
      <c r="A7329">
        <v>111</v>
      </c>
      <c r="B7329">
        <v>1986</v>
      </c>
      <c r="C7329">
        <v>-4.0000000000000002E-4</v>
      </c>
    </row>
    <row r="7330" spans="1:3" x14ac:dyDescent="0.35">
      <c r="A7330">
        <v>111</v>
      </c>
      <c r="B7330">
        <v>1987</v>
      </c>
      <c r="C7330">
        <v>-8.0000000000000004E-4</v>
      </c>
    </row>
    <row r="7331" spans="1:3" x14ac:dyDescent="0.35">
      <c r="A7331">
        <v>111</v>
      </c>
      <c r="B7331">
        <v>1988</v>
      </c>
      <c r="C7331">
        <v>-1E-3</v>
      </c>
    </row>
    <row r="7332" spans="1:3" x14ac:dyDescent="0.35">
      <c r="A7332">
        <v>111</v>
      </c>
      <c r="B7332">
        <v>1989</v>
      </c>
      <c r="C7332">
        <v>-1.2999999999999999E-3</v>
      </c>
    </row>
    <row r="7333" spans="1:3" x14ac:dyDescent="0.35">
      <c r="A7333">
        <v>111</v>
      </c>
      <c r="B7333">
        <v>1990</v>
      </c>
      <c r="C7333">
        <v>-1.5E-3</v>
      </c>
    </row>
    <row r="7334" spans="1:3" x14ac:dyDescent="0.35">
      <c r="A7334">
        <v>111</v>
      </c>
      <c r="B7334">
        <v>1991</v>
      </c>
      <c r="C7334">
        <v>-1.6000000000000001E-3</v>
      </c>
    </row>
    <row r="7335" spans="1:3" x14ac:dyDescent="0.35">
      <c r="A7335">
        <v>111</v>
      </c>
      <c r="B7335">
        <v>1992</v>
      </c>
      <c r="C7335">
        <v>-1.6999999999999999E-3</v>
      </c>
    </row>
    <row r="7336" spans="1:3" x14ac:dyDescent="0.35">
      <c r="A7336">
        <v>111</v>
      </c>
      <c r="B7336">
        <v>1993</v>
      </c>
      <c r="C7336">
        <v>-1.8E-3</v>
      </c>
    </row>
    <row r="7337" spans="1:3" x14ac:dyDescent="0.35">
      <c r="A7337">
        <v>111</v>
      </c>
      <c r="B7337">
        <v>1994</v>
      </c>
      <c r="C7337">
        <v>-1.8E-3</v>
      </c>
    </row>
    <row r="7338" spans="1:3" x14ac:dyDescent="0.35">
      <c r="A7338">
        <v>111</v>
      </c>
      <c r="B7338">
        <v>1995</v>
      </c>
      <c r="C7338">
        <v>-1.8E-3</v>
      </c>
    </row>
    <row r="7339" spans="1:3" x14ac:dyDescent="0.35">
      <c r="A7339">
        <v>111</v>
      </c>
      <c r="B7339">
        <v>1996</v>
      </c>
      <c r="C7339">
        <v>-1.6999999999999999E-3</v>
      </c>
    </row>
    <row r="7340" spans="1:3" x14ac:dyDescent="0.35">
      <c r="A7340">
        <v>111</v>
      </c>
      <c r="B7340">
        <v>1997</v>
      </c>
      <c r="C7340">
        <v>-1.5E-3</v>
      </c>
    </row>
    <row r="7341" spans="1:3" x14ac:dyDescent="0.35">
      <c r="A7341">
        <v>111</v>
      </c>
      <c r="B7341">
        <v>1998</v>
      </c>
      <c r="C7341">
        <v>-1.2999999999999999E-3</v>
      </c>
    </row>
    <row r="7342" spans="1:3" x14ac:dyDescent="0.35">
      <c r="A7342">
        <v>111</v>
      </c>
      <c r="B7342">
        <v>1999</v>
      </c>
      <c r="C7342">
        <v>-1.1000000000000001E-3</v>
      </c>
    </row>
    <row r="7343" spans="1:3" x14ac:dyDescent="0.35">
      <c r="A7343">
        <v>111</v>
      </c>
      <c r="B7343">
        <v>2000</v>
      </c>
      <c r="C7343">
        <v>-8.0000000000000004E-4</v>
      </c>
    </row>
    <row r="7344" spans="1:3" x14ac:dyDescent="0.35">
      <c r="A7344">
        <v>111</v>
      </c>
      <c r="B7344">
        <v>2001</v>
      </c>
      <c r="C7344">
        <v>-5.0000000000000001E-4</v>
      </c>
    </row>
    <row r="7345" spans="1:3" x14ac:dyDescent="0.35">
      <c r="A7345">
        <v>111</v>
      </c>
      <c r="B7345">
        <v>2002</v>
      </c>
      <c r="C7345">
        <v>-2.0000000000000001E-4</v>
      </c>
    </row>
    <row r="7346" spans="1:3" x14ac:dyDescent="0.35">
      <c r="A7346">
        <v>111</v>
      </c>
      <c r="B7346">
        <v>2003</v>
      </c>
      <c r="C7346">
        <v>1E-4</v>
      </c>
    </row>
    <row r="7347" spans="1:3" x14ac:dyDescent="0.35">
      <c r="A7347">
        <v>111</v>
      </c>
      <c r="B7347">
        <v>2004</v>
      </c>
      <c r="C7347">
        <v>4.0000000000000002E-4</v>
      </c>
    </row>
    <row r="7348" spans="1:3" x14ac:dyDescent="0.35">
      <c r="A7348">
        <v>111</v>
      </c>
      <c r="B7348">
        <v>2005</v>
      </c>
      <c r="C7348">
        <v>6.9999999999999999E-4</v>
      </c>
    </row>
    <row r="7349" spans="1:3" x14ac:dyDescent="0.35">
      <c r="A7349">
        <v>111</v>
      </c>
      <c r="B7349">
        <v>2006</v>
      </c>
      <c r="C7349">
        <v>1E-3</v>
      </c>
    </row>
    <row r="7350" spans="1:3" x14ac:dyDescent="0.35">
      <c r="A7350">
        <v>111</v>
      </c>
      <c r="B7350">
        <v>2007</v>
      </c>
      <c r="C7350">
        <v>1.2999999999999999E-3</v>
      </c>
    </row>
    <row r="7351" spans="1:3" x14ac:dyDescent="0.35">
      <c r="A7351">
        <v>111</v>
      </c>
      <c r="B7351">
        <v>2008</v>
      </c>
      <c r="C7351">
        <v>1.5E-3</v>
      </c>
    </row>
    <row r="7352" spans="1:3" x14ac:dyDescent="0.35">
      <c r="A7352">
        <v>111</v>
      </c>
      <c r="B7352">
        <v>2009</v>
      </c>
      <c r="C7352">
        <v>1.8E-3</v>
      </c>
    </row>
    <row r="7353" spans="1:3" x14ac:dyDescent="0.35">
      <c r="A7353">
        <v>111</v>
      </c>
      <c r="B7353">
        <v>2010</v>
      </c>
      <c r="C7353">
        <v>2E-3</v>
      </c>
    </row>
    <row r="7354" spans="1:3" x14ac:dyDescent="0.35">
      <c r="A7354">
        <v>111</v>
      </c>
      <c r="B7354">
        <v>2011</v>
      </c>
      <c r="C7354">
        <v>2.2000000000000001E-3</v>
      </c>
    </row>
    <row r="7355" spans="1:3" x14ac:dyDescent="0.35">
      <c r="A7355">
        <v>111</v>
      </c>
      <c r="B7355">
        <v>2012</v>
      </c>
      <c r="C7355">
        <v>2.3999999999999998E-3</v>
      </c>
    </row>
    <row r="7356" spans="1:3" x14ac:dyDescent="0.35">
      <c r="A7356">
        <v>111</v>
      </c>
      <c r="B7356">
        <v>2013</v>
      </c>
      <c r="C7356">
        <v>2.3E-3</v>
      </c>
    </row>
    <row r="7357" spans="1:3" x14ac:dyDescent="0.35">
      <c r="A7357">
        <v>111</v>
      </c>
      <c r="B7357">
        <v>2014</v>
      </c>
      <c r="C7357">
        <v>2.2000000000000001E-3</v>
      </c>
    </row>
    <row r="7358" spans="1:3" x14ac:dyDescent="0.35">
      <c r="A7358">
        <v>111</v>
      </c>
      <c r="B7358">
        <v>2015</v>
      </c>
      <c r="C7358">
        <v>2.0999999999999999E-3</v>
      </c>
    </row>
    <row r="7359" spans="1:3" x14ac:dyDescent="0.35">
      <c r="A7359">
        <v>111</v>
      </c>
      <c r="B7359">
        <v>2016</v>
      </c>
      <c r="C7359">
        <v>2E-3</v>
      </c>
    </row>
    <row r="7360" spans="1:3" x14ac:dyDescent="0.35">
      <c r="A7360">
        <v>111</v>
      </c>
      <c r="B7360">
        <v>2017</v>
      </c>
      <c r="C7360">
        <v>1.9E-3</v>
      </c>
    </row>
    <row r="7361" spans="1:3" x14ac:dyDescent="0.35">
      <c r="A7361">
        <v>111</v>
      </c>
      <c r="B7361">
        <v>2018</v>
      </c>
      <c r="C7361">
        <v>1.8E-3</v>
      </c>
    </row>
    <row r="7362" spans="1:3" x14ac:dyDescent="0.35">
      <c r="A7362">
        <v>111</v>
      </c>
      <c r="B7362">
        <v>2019</v>
      </c>
      <c r="C7362">
        <v>1.6999999999999999E-3</v>
      </c>
    </row>
    <row r="7363" spans="1:3" x14ac:dyDescent="0.35">
      <c r="A7363">
        <v>111</v>
      </c>
      <c r="B7363">
        <v>2020</v>
      </c>
      <c r="C7363">
        <v>1.6999999999999999E-3</v>
      </c>
    </row>
    <row r="7364" spans="1:3" x14ac:dyDescent="0.35">
      <c r="A7364">
        <v>111</v>
      </c>
      <c r="B7364">
        <v>2021</v>
      </c>
      <c r="C7364">
        <v>1.6000000000000001E-3</v>
      </c>
    </row>
    <row r="7365" spans="1:3" x14ac:dyDescent="0.35">
      <c r="A7365">
        <v>111</v>
      </c>
      <c r="B7365">
        <v>2022</v>
      </c>
      <c r="C7365">
        <v>1.6000000000000001E-3</v>
      </c>
    </row>
    <row r="7366" spans="1:3" x14ac:dyDescent="0.35">
      <c r="A7366">
        <v>111</v>
      </c>
      <c r="B7366">
        <v>2023</v>
      </c>
      <c r="C7366">
        <v>1.6000000000000001E-3</v>
      </c>
    </row>
    <row r="7367" spans="1:3" x14ac:dyDescent="0.35">
      <c r="A7367">
        <v>111</v>
      </c>
      <c r="B7367">
        <v>2024</v>
      </c>
      <c r="C7367">
        <v>1.6000000000000001E-3</v>
      </c>
    </row>
    <row r="7368" spans="1:3" x14ac:dyDescent="0.35">
      <c r="A7368">
        <v>111</v>
      </c>
      <c r="B7368">
        <v>2025</v>
      </c>
      <c r="C7368">
        <v>1.6000000000000001E-3</v>
      </c>
    </row>
    <row r="7369" spans="1:3" x14ac:dyDescent="0.35">
      <c r="A7369">
        <v>111</v>
      </c>
      <c r="B7369">
        <v>2026</v>
      </c>
      <c r="C7369">
        <v>1.6000000000000001E-3</v>
      </c>
    </row>
    <row r="7370" spans="1:3" x14ac:dyDescent="0.35">
      <c r="A7370">
        <v>111</v>
      </c>
      <c r="B7370">
        <v>2027</v>
      </c>
      <c r="C7370">
        <v>1.6000000000000001E-3</v>
      </c>
    </row>
    <row r="7371" spans="1:3" x14ac:dyDescent="0.35">
      <c r="A7371">
        <v>111</v>
      </c>
      <c r="B7371">
        <v>2028</v>
      </c>
      <c r="C7371">
        <v>1.6000000000000001E-3</v>
      </c>
    </row>
    <row r="7372" spans="1:3" x14ac:dyDescent="0.35">
      <c r="A7372">
        <v>111</v>
      </c>
      <c r="B7372">
        <v>2029</v>
      </c>
      <c r="C7372">
        <v>1.6000000000000001E-3</v>
      </c>
    </row>
    <row r="7373" spans="1:3" x14ac:dyDescent="0.35">
      <c r="A7373">
        <v>111</v>
      </c>
      <c r="B7373">
        <v>2030</v>
      </c>
      <c r="C7373">
        <v>1.6000000000000001E-3</v>
      </c>
    </row>
    <row r="7374" spans="1:3" x14ac:dyDescent="0.35">
      <c r="A7374">
        <v>111</v>
      </c>
      <c r="B7374">
        <v>2031</v>
      </c>
      <c r="C7374">
        <v>1.6999999999999999E-3</v>
      </c>
    </row>
    <row r="7375" spans="1:3" x14ac:dyDescent="0.35">
      <c r="A7375">
        <v>112</v>
      </c>
      <c r="B7375">
        <v>1951</v>
      </c>
      <c r="C7375">
        <v>-2.8999999999999998E-3</v>
      </c>
    </row>
    <row r="7376" spans="1:3" x14ac:dyDescent="0.35">
      <c r="A7376">
        <v>112</v>
      </c>
      <c r="B7376">
        <v>1952</v>
      </c>
      <c r="C7376">
        <v>-2.7000000000000001E-3</v>
      </c>
    </row>
    <row r="7377" spans="1:3" x14ac:dyDescent="0.35">
      <c r="A7377">
        <v>112</v>
      </c>
      <c r="B7377">
        <v>1953</v>
      </c>
      <c r="C7377">
        <v>-2.3999999999999998E-3</v>
      </c>
    </row>
    <row r="7378" spans="1:3" x14ac:dyDescent="0.35">
      <c r="A7378">
        <v>112</v>
      </c>
      <c r="B7378">
        <v>1954</v>
      </c>
      <c r="C7378">
        <v>-2.2000000000000001E-3</v>
      </c>
    </row>
    <row r="7379" spans="1:3" x14ac:dyDescent="0.35">
      <c r="A7379">
        <v>112</v>
      </c>
      <c r="B7379">
        <v>1955</v>
      </c>
      <c r="C7379">
        <v>-2E-3</v>
      </c>
    </row>
    <row r="7380" spans="1:3" x14ac:dyDescent="0.35">
      <c r="A7380">
        <v>112</v>
      </c>
      <c r="B7380">
        <v>1956</v>
      </c>
      <c r="C7380">
        <v>-1.8E-3</v>
      </c>
    </row>
    <row r="7381" spans="1:3" x14ac:dyDescent="0.35">
      <c r="A7381">
        <v>112</v>
      </c>
      <c r="B7381">
        <v>1957</v>
      </c>
      <c r="C7381">
        <v>-1.6000000000000001E-3</v>
      </c>
    </row>
    <row r="7382" spans="1:3" x14ac:dyDescent="0.35">
      <c r="A7382">
        <v>112</v>
      </c>
      <c r="B7382">
        <v>1958</v>
      </c>
      <c r="C7382">
        <v>-1.2999999999999999E-3</v>
      </c>
    </row>
    <row r="7383" spans="1:3" x14ac:dyDescent="0.35">
      <c r="A7383">
        <v>112</v>
      </c>
      <c r="B7383">
        <v>1959</v>
      </c>
      <c r="C7383">
        <v>-1.1000000000000001E-3</v>
      </c>
    </row>
    <row r="7384" spans="1:3" x14ac:dyDescent="0.35">
      <c r="A7384">
        <v>112</v>
      </c>
      <c r="B7384">
        <v>1960</v>
      </c>
      <c r="C7384">
        <v>-8.0000000000000004E-4</v>
      </c>
    </row>
    <row r="7385" spans="1:3" x14ac:dyDescent="0.35">
      <c r="A7385">
        <v>112</v>
      </c>
      <c r="B7385">
        <v>1961</v>
      </c>
      <c r="C7385">
        <v>-5.9999999999999995E-4</v>
      </c>
    </row>
    <row r="7386" spans="1:3" x14ac:dyDescent="0.35">
      <c r="A7386">
        <v>112</v>
      </c>
      <c r="B7386">
        <v>1962</v>
      </c>
      <c r="C7386">
        <v>-2.9999999999999997E-4</v>
      </c>
    </row>
    <row r="7387" spans="1:3" x14ac:dyDescent="0.35">
      <c r="A7387">
        <v>112</v>
      </c>
      <c r="B7387">
        <v>1963</v>
      </c>
      <c r="C7387">
        <v>0</v>
      </c>
    </row>
    <row r="7388" spans="1:3" x14ac:dyDescent="0.35">
      <c r="A7388">
        <v>112</v>
      </c>
      <c r="B7388">
        <v>1964</v>
      </c>
      <c r="C7388">
        <v>2.9999999999999997E-4</v>
      </c>
    </row>
    <row r="7389" spans="1:3" x14ac:dyDescent="0.35">
      <c r="A7389">
        <v>112</v>
      </c>
      <c r="B7389">
        <v>1965</v>
      </c>
      <c r="C7389">
        <v>5.0000000000000001E-4</v>
      </c>
    </row>
    <row r="7390" spans="1:3" x14ac:dyDescent="0.35">
      <c r="A7390">
        <v>112</v>
      </c>
      <c r="B7390">
        <v>1966</v>
      </c>
      <c r="C7390">
        <v>8.0000000000000004E-4</v>
      </c>
    </row>
    <row r="7391" spans="1:3" x14ac:dyDescent="0.35">
      <c r="A7391">
        <v>112</v>
      </c>
      <c r="B7391">
        <v>1967</v>
      </c>
      <c r="C7391">
        <v>1.1000000000000001E-3</v>
      </c>
    </row>
    <row r="7392" spans="1:3" x14ac:dyDescent="0.35">
      <c r="A7392">
        <v>112</v>
      </c>
      <c r="B7392">
        <v>1968</v>
      </c>
      <c r="C7392">
        <v>1.2999999999999999E-3</v>
      </c>
    </row>
    <row r="7393" spans="1:3" x14ac:dyDescent="0.35">
      <c r="A7393">
        <v>112</v>
      </c>
      <c r="B7393">
        <v>1969</v>
      </c>
      <c r="C7393">
        <v>1.5E-3</v>
      </c>
    </row>
    <row r="7394" spans="1:3" x14ac:dyDescent="0.35">
      <c r="A7394">
        <v>112</v>
      </c>
      <c r="B7394">
        <v>1970</v>
      </c>
      <c r="C7394">
        <v>1.6999999999999999E-3</v>
      </c>
    </row>
    <row r="7395" spans="1:3" x14ac:dyDescent="0.35">
      <c r="A7395">
        <v>112</v>
      </c>
      <c r="B7395">
        <v>1971</v>
      </c>
      <c r="C7395">
        <v>1.8E-3</v>
      </c>
    </row>
    <row r="7396" spans="1:3" x14ac:dyDescent="0.35">
      <c r="A7396">
        <v>112</v>
      </c>
      <c r="B7396">
        <v>1972</v>
      </c>
      <c r="C7396">
        <v>1.9E-3</v>
      </c>
    </row>
    <row r="7397" spans="1:3" x14ac:dyDescent="0.35">
      <c r="A7397">
        <v>112</v>
      </c>
      <c r="B7397">
        <v>1973</v>
      </c>
      <c r="C7397">
        <v>1.9E-3</v>
      </c>
    </row>
    <row r="7398" spans="1:3" x14ac:dyDescent="0.35">
      <c r="A7398">
        <v>112</v>
      </c>
      <c r="B7398">
        <v>1974</v>
      </c>
      <c r="C7398">
        <v>1.9E-3</v>
      </c>
    </row>
    <row r="7399" spans="1:3" x14ac:dyDescent="0.35">
      <c r="A7399">
        <v>112</v>
      </c>
      <c r="B7399">
        <v>1975</v>
      </c>
      <c r="C7399">
        <v>1.9E-3</v>
      </c>
    </row>
    <row r="7400" spans="1:3" x14ac:dyDescent="0.35">
      <c r="A7400">
        <v>112</v>
      </c>
      <c r="B7400">
        <v>1976</v>
      </c>
      <c r="C7400">
        <v>1.8E-3</v>
      </c>
    </row>
    <row r="7401" spans="1:3" x14ac:dyDescent="0.35">
      <c r="A7401">
        <v>112</v>
      </c>
      <c r="B7401">
        <v>1977</v>
      </c>
      <c r="C7401">
        <v>1.6999999999999999E-3</v>
      </c>
    </row>
    <row r="7402" spans="1:3" x14ac:dyDescent="0.35">
      <c r="A7402">
        <v>112</v>
      </c>
      <c r="B7402">
        <v>1978</v>
      </c>
      <c r="C7402">
        <v>1.6000000000000001E-3</v>
      </c>
    </row>
    <row r="7403" spans="1:3" x14ac:dyDescent="0.35">
      <c r="A7403">
        <v>112</v>
      </c>
      <c r="B7403">
        <v>1979</v>
      </c>
      <c r="C7403">
        <v>1.4E-3</v>
      </c>
    </row>
    <row r="7404" spans="1:3" x14ac:dyDescent="0.35">
      <c r="A7404">
        <v>112</v>
      </c>
      <c r="B7404">
        <v>1980</v>
      </c>
      <c r="C7404">
        <v>1.1999999999999999E-3</v>
      </c>
    </row>
    <row r="7405" spans="1:3" x14ac:dyDescent="0.35">
      <c r="A7405">
        <v>112</v>
      </c>
      <c r="B7405">
        <v>1981</v>
      </c>
      <c r="C7405">
        <v>1E-3</v>
      </c>
    </row>
    <row r="7406" spans="1:3" x14ac:dyDescent="0.35">
      <c r="A7406">
        <v>112</v>
      </c>
      <c r="B7406">
        <v>1982</v>
      </c>
      <c r="C7406">
        <v>6.9999999999999999E-4</v>
      </c>
    </row>
    <row r="7407" spans="1:3" x14ac:dyDescent="0.35">
      <c r="A7407">
        <v>112</v>
      </c>
      <c r="B7407">
        <v>1983</v>
      </c>
      <c r="C7407">
        <v>4.0000000000000002E-4</v>
      </c>
    </row>
    <row r="7408" spans="1:3" x14ac:dyDescent="0.35">
      <c r="A7408">
        <v>112</v>
      </c>
      <c r="B7408">
        <v>1984</v>
      </c>
      <c r="C7408">
        <v>2.0000000000000001E-4</v>
      </c>
    </row>
    <row r="7409" spans="1:3" x14ac:dyDescent="0.35">
      <c r="A7409">
        <v>112</v>
      </c>
      <c r="B7409">
        <v>1985</v>
      </c>
      <c r="C7409">
        <v>-1E-4</v>
      </c>
    </row>
    <row r="7410" spans="1:3" x14ac:dyDescent="0.35">
      <c r="A7410">
        <v>112</v>
      </c>
      <c r="B7410">
        <v>1986</v>
      </c>
      <c r="C7410">
        <v>-2.9999999999999997E-4</v>
      </c>
    </row>
    <row r="7411" spans="1:3" x14ac:dyDescent="0.35">
      <c r="A7411">
        <v>112</v>
      </c>
      <c r="B7411">
        <v>1987</v>
      </c>
      <c r="C7411">
        <v>-5.9999999999999995E-4</v>
      </c>
    </row>
    <row r="7412" spans="1:3" x14ac:dyDescent="0.35">
      <c r="A7412">
        <v>112</v>
      </c>
      <c r="B7412">
        <v>1988</v>
      </c>
      <c r="C7412">
        <v>-8.0000000000000004E-4</v>
      </c>
    </row>
    <row r="7413" spans="1:3" x14ac:dyDescent="0.35">
      <c r="A7413">
        <v>112</v>
      </c>
      <c r="B7413">
        <v>1989</v>
      </c>
      <c r="C7413">
        <v>-1E-3</v>
      </c>
    </row>
    <row r="7414" spans="1:3" x14ac:dyDescent="0.35">
      <c r="A7414">
        <v>112</v>
      </c>
      <c r="B7414">
        <v>1990</v>
      </c>
      <c r="C7414">
        <v>-1.1000000000000001E-3</v>
      </c>
    </row>
    <row r="7415" spans="1:3" x14ac:dyDescent="0.35">
      <c r="A7415">
        <v>112</v>
      </c>
      <c r="B7415">
        <v>1991</v>
      </c>
      <c r="C7415">
        <v>-1.1999999999999999E-3</v>
      </c>
    </row>
    <row r="7416" spans="1:3" x14ac:dyDescent="0.35">
      <c r="A7416">
        <v>112</v>
      </c>
      <c r="B7416">
        <v>1992</v>
      </c>
      <c r="C7416">
        <v>-1.2999999999999999E-3</v>
      </c>
    </row>
    <row r="7417" spans="1:3" x14ac:dyDescent="0.35">
      <c r="A7417">
        <v>112</v>
      </c>
      <c r="B7417">
        <v>1993</v>
      </c>
      <c r="C7417">
        <v>-1.4E-3</v>
      </c>
    </row>
    <row r="7418" spans="1:3" x14ac:dyDescent="0.35">
      <c r="A7418">
        <v>112</v>
      </c>
      <c r="B7418">
        <v>1994</v>
      </c>
      <c r="C7418">
        <v>-1.4E-3</v>
      </c>
    </row>
    <row r="7419" spans="1:3" x14ac:dyDescent="0.35">
      <c r="A7419">
        <v>112</v>
      </c>
      <c r="B7419">
        <v>1995</v>
      </c>
      <c r="C7419">
        <v>-1.2999999999999999E-3</v>
      </c>
    </row>
    <row r="7420" spans="1:3" x14ac:dyDescent="0.35">
      <c r="A7420">
        <v>112</v>
      </c>
      <c r="B7420">
        <v>1996</v>
      </c>
      <c r="C7420">
        <v>-1.2999999999999999E-3</v>
      </c>
    </row>
    <row r="7421" spans="1:3" x14ac:dyDescent="0.35">
      <c r="A7421">
        <v>112</v>
      </c>
      <c r="B7421">
        <v>1997</v>
      </c>
      <c r="C7421">
        <v>-1.1999999999999999E-3</v>
      </c>
    </row>
    <row r="7422" spans="1:3" x14ac:dyDescent="0.35">
      <c r="A7422">
        <v>112</v>
      </c>
      <c r="B7422">
        <v>1998</v>
      </c>
      <c r="C7422">
        <v>-1E-3</v>
      </c>
    </row>
    <row r="7423" spans="1:3" x14ac:dyDescent="0.35">
      <c r="A7423">
        <v>112</v>
      </c>
      <c r="B7423">
        <v>1999</v>
      </c>
      <c r="C7423">
        <v>-8.0000000000000004E-4</v>
      </c>
    </row>
    <row r="7424" spans="1:3" x14ac:dyDescent="0.35">
      <c r="A7424">
        <v>112</v>
      </c>
      <c r="B7424">
        <v>2000</v>
      </c>
      <c r="C7424">
        <v>-5.9999999999999995E-4</v>
      </c>
    </row>
    <row r="7425" spans="1:3" x14ac:dyDescent="0.35">
      <c r="A7425">
        <v>112</v>
      </c>
      <c r="B7425">
        <v>2001</v>
      </c>
      <c r="C7425">
        <v>-4.0000000000000002E-4</v>
      </c>
    </row>
    <row r="7426" spans="1:3" x14ac:dyDescent="0.35">
      <c r="A7426">
        <v>112</v>
      </c>
      <c r="B7426">
        <v>2002</v>
      </c>
      <c r="C7426">
        <v>-2.0000000000000001E-4</v>
      </c>
    </row>
    <row r="7427" spans="1:3" x14ac:dyDescent="0.35">
      <c r="A7427">
        <v>112</v>
      </c>
      <c r="B7427">
        <v>2003</v>
      </c>
      <c r="C7427">
        <v>1E-4</v>
      </c>
    </row>
    <row r="7428" spans="1:3" x14ac:dyDescent="0.35">
      <c r="A7428">
        <v>112</v>
      </c>
      <c r="B7428">
        <v>2004</v>
      </c>
      <c r="C7428">
        <v>2.9999999999999997E-4</v>
      </c>
    </row>
    <row r="7429" spans="1:3" x14ac:dyDescent="0.35">
      <c r="A7429">
        <v>112</v>
      </c>
      <c r="B7429">
        <v>2005</v>
      </c>
      <c r="C7429">
        <v>5.0000000000000001E-4</v>
      </c>
    </row>
    <row r="7430" spans="1:3" x14ac:dyDescent="0.35">
      <c r="A7430">
        <v>112</v>
      </c>
      <c r="B7430">
        <v>2006</v>
      </c>
      <c r="C7430">
        <v>8.0000000000000004E-4</v>
      </c>
    </row>
    <row r="7431" spans="1:3" x14ac:dyDescent="0.35">
      <c r="A7431">
        <v>112</v>
      </c>
      <c r="B7431">
        <v>2007</v>
      </c>
      <c r="C7431">
        <v>1E-3</v>
      </c>
    </row>
    <row r="7432" spans="1:3" x14ac:dyDescent="0.35">
      <c r="A7432">
        <v>112</v>
      </c>
      <c r="B7432">
        <v>2008</v>
      </c>
      <c r="C7432">
        <v>1.1999999999999999E-3</v>
      </c>
    </row>
    <row r="7433" spans="1:3" x14ac:dyDescent="0.35">
      <c r="A7433">
        <v>112</v>
      </c>
      <c r="B7433">
        <v>2009</v>
      </c>
      <c r="C7433">
        <v>1.2999999999999999E-3</v>
      </c>
    </row>
    <row r="7434" spans="1:3" x14ac:dyDescent="0.35">
      <c r="A7434">
        <v>112</v>
      </c>
      <c r="B7434">
        <v>2010</v>
      </c>
      <c r="C7434">
        <v>1.5E-3</v>
      </c>
    </row>
    <row r="7435" spans="1:3" x14ac:dyDescent="0.35">
      <c r="A7435">
        <v>112</v>
      </c>
      <c r="B7435">
        <v>2011</v>
      </c>
      <c r="C7435">
        <v>1.6000000000000001E-3</v>
      </c>
    </row>
    <row r="7436" spans="1:3" x14ac:dyDescent="0.35">
      <c r="A7436">
        <v>112</v>
      </c>
      <c r="B7436">
        <v>2012</v>
      </c>
      <c r="C7436">
        <v>1.8E-3</v>
      </c>
    </row>
    <row r="7437" spans="1:3" x14ac:dyDescent="0.35">
      <c r="A7437">
        <v>112</v>
      </c>
      <c r="B7437">
        <v>2013</v>
      </c>
      <c r="C7437">
        <v>1.6999999999999999E-3</v>
      </c>
    </row>
    <row r="7438" spans="1:3" x14ac:dyDescent="0.35">
      <c r="A7438">
        <v>112</v>
      </c>
      <c r="B7438">
        <v>2014</v>
      </c>
      <c r="C7438">
        <v>1.6000000000000001E-3</v>
      </c>
    </row>
    <row r="7439" spans="1:3" x14ac:dyDescent="0.35">
      <c r="A7439">
        <v>112</v>
      </c>
      <c r="B7439">
        <v>2015</v>
      </c>
      <c r="C7439">
        <v>1.6000000000000001E-3</v>
      </c>
    </row>
    <row r="7440" spans="1:3" x14ac:dyDescent="0.35">
      <c r="A7440">
        <v>112</v>
      </c>
      <c r="B7440">
        <v>2016</v>
      </c>
      <c r="C7440">
        <v>1.5E-3</v>
      </c>
    </row>
    <row r="7441" spans="1:3" x14ac:dyDescent="0.35">
      <c r="A7441">
        <v>112</v>
      </c>
      <c r="B7441">
        <v>2017</v>
      </c>
      <c r="C7441">
        <v>1.4E-3</v>
      </c>
    </row>
    <row r="7442" spans="1:3" x14ac:dyDescent="0.35">
      <c r="A7442">
        <v>112</v>
      </c>
      <c r="B7442">
        <v>2018</v>
      </c>
      <c r="C7442">
        <v>1.2999999999999999E-3</v>
      </c>
    </row>
    <row r="7443" spans="1:3" x14ac:dyDescent="0.35">
      <c r="A7443">
        <v>112</v>
      </c>
      <c r="B7443">
        <v>2019</v>
      </c>
      <c r="C7443">
        <v>1.2999999999999999E-3</v>
      </c>
    </row>
    <row r="7444" spans="1:3" x14ac:dyDescent="0.35">
      <c r="A7444">
        <v>112</v>
      </c>
      <c r="B7444">
        <v>2020</v>
      </c>
      <c r="C7444">
        <v>1.1999999999999999E-3</v>
      </c>
    </row>
    <row r="7445" spans="1:3" x14ac:dyDescent="0.35">
      <c r="A7445">
        <v>112</v>
      </c>
      <c r="B7445">
        <v>2021</v>
      </c>
      <c r="C7445">
        <v>1.1999999999999999E-3</v>
      </c>
    </row>
    <row r="7446" spans="1:3" x14ac:dyDescent="0.35">
      <c r="A7446">
        <v>112</v>
      </c>
      <c r="B7446">
        <v>2022</v>
      </c>
      <c r="C7446">
        <v>1.1999999999999999E-3</v>
      </c>
    </row>
    <row r="7447" spans="1:3" x14ac:dyDescent="0.35">
      <c r="A7447">
        <v>112</v>
      </c>
      <c r="B7447">
        <v>2023</v>
      </c>
      <c r="C7447">
        <v>1.1999999999999999E-3</v>
      </c>
    </row>
    <row r="7448" spans="1:3" x14ac:dyDescent="0.35">
      <c r="A7448">
        <v>112</v>
      </c>
      <c r="B7448">
        <v>2024</v>
      </c>
      <c r="C7448">
        <v>1.1999999999999999E-3</v>
      </c>
    </row>
    <row r="7449" spans="1:3" x14ac:dyDescent="0.35">
      <c r="A7449">
        <v>112</v>
      </c>
      <c r="B7449">
        <v>2025</v>
      </c>
      <c r="C7449">
        <v>1.1999999999999999E-3</v>
      </c>
    </row>
    <row r="7450" spans="1:3" x14ac:dyDescent="0.35">
      <c r="A7450">
        <v>112</v>
      </c>
      <c r="B7450">
        <v>2026</v>
      </c>
      <c r="C7450">
        <v>1.1999999999999999E-3</v>
      </c>
    </row>
    <row r="7451" spans="1:3" x14ac:dyDescent="0.35">
      <c r="A7451">
        <v>112</v>
      </c>
      <c r="B7451">
        <v>2027</v>
      </c>
      <c r="C7451">
        <v>1.1999999999999999E-3</v>
      </c>
    </row>
    <row r="7452" spans="1:3" x14ac:dyDescent="0.35">
      <c r="A7452">
        <v>112</v>
      </c>
      <c r="B7452">
        <v>2028</v>
      </c>
      <c r="C7452">
        <v>1.1999999999999999E-3</v>
      </c>
    </row>
    <row r="7453" spans="1:3" x14ac:dyDescent="0.35">
      <c r="A7453">
        <v>112</v>
      </c>
      <c r="B7453">
        <v>2029</v>
      </c>
      <c r="C7453">
        <v>1.1999999999999999E-3</v>
      </c>
    </row>
    <row r="7454" spans="1:3" x14ac:dyDescent="0.35">
      <c r="A7454">
        <v>112</v>
      </c>
      <c r="B7454">
        <v>2030</v>
      </c>
      <c r="C7454">
        <v>1.1999999999999999E-3</v>
      </c>
    </row>
    <row r="7455" spans="1:3" x14ac:dyDescent="0.35">
      <c r="A7455">
        <v>112</v>
      </c>
      <c r="B7455">
        <v>2031</v>
      </c>
      <c r="C7455">
        <v>1.1999999999999999E-3</v>
      </c>
    </row>
    <row r="7456" spans="1:3" x14ac:dyDescent="0.35">
      <c r="A7456">
        <v>113</v>
      </c>
      <c r="B7456">
        <v>1951</v>
      </c>
      <c r="C7456">
        <v>-1.9E-3</v>
      </c>
    </row>
    <row r="7457" spans="1:3" x14ac:dyDescent="0.35">
      <c r="A7457">
        <v>113</v>
      </c>
      <c r="B7457">
        <v>1952</v>
      </c>
      <c r="C7457">
        <v>-1.8E-3</v>
      </c>
    </row>
    <row r="7458" spans="1:3" x14ac:dyDescent="0.35">
      <c r="A7458">
        <v>113</v>
      </c>
      <c r="B7458">
        <v>1953</v>
      </c>
      <c r="C7458">
        <v>-1.6000000000000001E-3</v>
      </c>
    </row>
    <row r="7459" spans="1:3" x14ac:dyDescent="0.35">
      <c r="A7459">
        <v>113</v>
      </c>
      <c r="B7459">
        <v>1954</v>
      </c>
      <c r="C7459">
        <v>-1.5E-3</v>
      </c>
    </row>
    <row r="7460" spans="1:3" x14ac:dyDescent="0.35">
      <c r="A7460">
        <v>113</v>
      </c>
      <c r="B7460">
        <v>1955</v>
      </c>
      <c r="C7460">
        <v>-1.2999999999999999E-3</v>
      </c>
    </row>
    <row r="7461" spans="1:3" x14ac:dyDescent="0.35">
      <c r="A7461">
        <v>113</v>
      </c>
      <c r="B7461">
        <v>1956</v>
      </c>
      <c r="C7461">
        <v>-1.1999999999999999E-3</v>
      </c>
    </row>
    <row r="7462" spans="1:3" x14ac:dyDescent="0.35">
      <c r="A7462">
        <v>113</v>
      </c>
      <c r="B7462">
        <v>1957</v>
      </c>
      <c r="C7462">
        <v>-1E-3</v>
      </c>
    </row>
    <row r="7463" spans="1:3" x14ac:dyDescent="0.35">
      <c r="A7463">
        <v>113</v>
      </c>
      <c r="B7463">
        <v>1958</v>
      </c>
      <c r="C7463">
        <v>-8.9999999999999998E-4</v>
      </c>
    </row>
    <row r="7464" spans="1:3" x14ac:dyDescent="0.35">
      <c r="A7464">
        <v>113</v>
      </c>
      <c r="B7464">
        <v>1959</v>
      </c>
      <c r="C7464">
        <v>-6.9999999999999999E-4</v>
      </c>
    </row>
    <row r="7465" spans="1:3" x14ac:dyDescent="0.35">
      <c r="A7465">
        <v>113</v>
      </c>
      <c r="B7465">
        <v>1960</v>
      </c>
      <c r="C7465">
        <v>-5.9999999999999995E-4</v>
      </c>
    </row>
    <row r="7466" spans="1:3" x14ac:dyDescent="0.35">
      <c r="A7466">
        <v>113</v>
      </c>
      <c r="B7466">
        <v>1961</v>
      </c>
      <c r="C7466">
        <v>-4.0000000000000002E-4</v>
      </c>
    </row>
    <row r="7467" spans="1:3" x14ac:dyDescent="0.35">
      <c r="A7467">
        <v>113</v>
      </c>
      <c r="B7467">
        <v>1962</v>
      </c>
      <c r="C7467">
        <v>-2.0000000000000001E-4</v>
      </c>
    </row>
    <row r="7468" spans="1:3" x14ac:dyDescent="0.35">
      <c r="A7468">
        <v>113</v>
      </c>
      <c r="B7468">
        <v>1963</v>
      </c>
      <c r="C7468">
        <v>0</v>
      </c>
    </row>
    <row r="7469" spans="1:3" x14ac:dyDescent="0.35">
      <c r="A7469">
        <v>113</v>
      </c>
      <c r="B7469">
        <v>1964</v>
      </c>
      <c r="C7469">
        <v>2.0000000000000001E-4</v>
      </c>
    </row>
    <row r="7470" spans="1:3" x14ac:dyDescent="0.35">
      <c r="A7470">
        <v>113</v>
      </c>
      <c r="B7470">
        <v>1965</v>
      </c>
      <c r="C7470">
        <v>4.0000000000000002E-4</v>
      </c>
    </row>
    <row r="7471" spans="1:3" x14ac:dyDescent="0.35">
      <c r="A7471">
        <v>113</v>
      </c>
      <c r="B7471">
        <v>1966</v>
      </c>
      <c r="C7471">
        <v>5.0000000000000001E-4</v>
      </c>
    </row>
    <row r="7472" spans="1:3" x14ac:dyDescent="0.35">
      <c r="A7472">
        <v>113</v>
      </c>
      <c r="B7472">
        <v>1967</v>
      </c>
      <c r="C7472">
        <v>6.9999999999999999E-4</v>
      </c>
    </row>
    <row r="7473" spans="1:3" x14ac:dyDescent="0.35">
      <c r="A7473">
        <v>113</v>
      </c>
      <c r="B7473">
        <v>1968</v>
      </c>
      <c r="C7473">
        <v>8.9999999999999998E-4</v>
      </c>
    </row>
    <row r="7474" spans="1:3" x14ac:dyDescent="0.35">
      <c r="A7474">
        <v>113</v>
      </c>
      <c r="B7474">
        <v>1969</v>
      </c>
      <c r="C7474">
        <v>1E-3</v>
      </c>
    </row>
    <row r="7475" spans="1:3" x14ac:dyDescent="0.35">
      <c r="A7475">
        <v>113</v>
      </c>
      <c r="B7475">
        <v>1970</v>
      </c>
      <c r="C7475">
        <v>1.1000000000000001E-3</v>
      </c>
    </row>
    <row r="7476" spans="1:3" x14ac:dyDescent="0.35">
      <c r="A7476">
        <v>113</v>
      </c>
      <c r="B7476">
        <v>1971</v>
      </c>
      <c r="C7476">
        <v>1.1999999999999999E-3</v>
      </c>
    </row>
    <row r="7477" spans="1:3" x14ac:dyDescent="0.35">
      <c r="A7477">
        <v>113</v>
      </c>
      <c r="B7477">
        <v>1972</v>
      </c>
      <c r="C7477">
        <v>1.2999999999999999E-3</v>
      </c>
    </row>
    <row r="7478" spans="1:3" x14ac:dyDescent="0.35">
      <c r="A7478">
        <v>113</v>
      </c>
      <c r="B7478">
        <v>1973</v>
      </c>
      <c r="C7478">
        <v>1.2999999999999999E-3</v>
      </c>
    </row>
    <row r="7479" spans="1:3" x14ac:dyDescent="0.35">
      <c r="A7479">
        <v>113</v>
      </c>
      <c r="B7479">
        <v>1974</v>
      </c>
      <c r="C7479">
        <v>1.2999999999999999E-3</v>
      </c>
    </row>
    <row r="7480" spans="1:3" x14ac:dyDescent="0.35">
      <c r="A7480">
        <v>113</v>
      </c>
      <c r="B7480">
        <v>1975</v>
      </c>
      <c r="C7480">
        <v>1.2999999999999999E-3</v>
      </c>
    </row>
    <row r="7481" spans="1:3" x14ac:dyDescent="0.35">
      <c r="A7481">
        <v>113</v>
      </c>
      <c r="B7481">
        <v>1976</v>
      </c>
      <c r="C7481">
        <v>1.1999999999999999E-3</v>
      </c>
    </row>
    <row r="7482" spans="1:3" x14ac:dyDescent="0.35">
      <c r="A7482">
        <v>113</v>
      </c>
      <c r="B7482">
        <v>1977</v>
      </c>
      <c r="C7482">
        <v>1.1999999999999999E-3</v>
      </c>
    </row>
    <row r="7483" spans="1:3" x14ac:dyDescent="0.35">
      <c r="A7483">
        <v>113</v>
      </c>
      <c r="B7483">
        <v>1978</v>
      </c>
      <c r="C7483">
        <v>1.1000000000000001E-3</v>
      </c>
    </row>
    <row r="7484" spans="1:3" x14ac:dyDescent="0.35">
      <c r="A7484">
        <v>113</v>
      </c>
      <c r="B7484">
        <v>1979</v>
      </c>
      <c r="C7484">
        <v>8.9999999999999998E-4</v>
      </c>
    </row>
    <row r="7485" spans="1:3" x14ac:dyDescent="0.35">
      <c r="A7485">
        <v>113</v>
      </c>
      <c r="B7485">
        <v>1980</v>
      </c>
      <c r="C7485">
        <v>8.0000000000000004E-4</v>
      </c>
    </row>
    <row r="7486" spans="1:3" x14ac:dyDescent="0.35">
      <c r="A7486">
        <v>113</v>
      </c>
      <c r="B7486">
        <v>1981</v>
      </c>
      <c r="C7486">
        <v>5.9999999999999995E-4</v>
      </c>
    </row>
    <row r="7487" spans="1:3" x14ac:dyDescent="0.35">
      <c r="A7487">
        <v>113</v>
      </c>
      <c r="B7487">
        <v>1982</v>
      </c>
      <c r="C7487">
        <v>5.0000000000000001E-4</v>
      </c>
    </row>
    <row r="7488" spans="1:3" x14ac:dyDescent="0.35">
      <c r="A7488">
        <v>113</v>
      </c>
      <c r="B7488">
        <v>1983</v>
      </c>
      <c r="C7488">
        <v>2.9999999999999997E-4</v>
      </c>
    </row>
    <row r="7489" spans="1:3" x14ac:dyDescent="0.35">
      <c r="A7489">
        <v>113</v>
      </c>
      <c r="B7489">
        <v>1984</v>
      </c>
      <c r="C7489">
        <v>1E-4</v>
      </c>
    </row>
    <row r="7490" spans="1:3" x14ac:dyDescent="0.35">
      <c r="A7490">
        <v>113</v>
      </c>
      <c r="B7490">
        <v>1985</v>
      </c>
      <c r="C7490">
        <v>-1E-4</v>
      </c>
    </row>
    <row r="7491" spans="1:3" x14ac:dyDescent="0.35">
      <c r="A7491">
        <v>113</v>
      </c>
      <c r="B7491">
        <v>1986</v>
      </c>
      <c r="C7491">
        <v>-2.0000000000000001E-4</v>
      </c>
    </row>
    <row r="7492" spans="1:3" x14ac:dyDescent="0.35">
      <c r="A7492">
        <v>113</v>
      </c>
      <c r="B7492">
        <v>1987</v>
      </c>
      <c r="C7492">
        <v>-4.0000000000000002E-4</v>
      </c>
    </row>
    <row r="7493" spans="1:3" x14ac:dyDescent="0.35">
      <c r="A7493">
        <v>113</v>
      </c>
      <c r="B7493">
        <v>1988</v>
      </c>
      <c r="C7493">
        <v>-5.0000000000000001E-4</v>
      </c>
    </row>
    <row r="7494" spans="1:3" x14ac:dyDescent="0.35">
      <c r="A7494">
        <v>113</v>
      </c>
      <c r="B7494">
        <v>1989</v>
      </c>
      <c r="C7494">
        <v>-5.9999999999999995E-4</v>
      </c>
    </row>
    <row r="7495" spans="1:3" x14ac:dyDescent="0.35">
      <c r="A7495">
        <v>113</v>
      </c>
      <c r="B7495">
        <v>1990</v>
      </c>
      <c r="C7495">
        <v>-6.9999999999999999E-4</v>
      </c>
    </row>
    <row r="7496" spans="1:3" x14ac:dyDescent="0.35">
      <c r="A7496">
        <v>113</v>
      </c>
      <c r="B7496">
        <v>1991</v>
      </c>
      <c r="C7496">
        <v>-8.0000000000000004E-4</v>
      </c>
    </row>
    <row r="7497" spans="1:3" x14ac:dyDescent="0.35">
      <c r="A7497">
        <v>113</v>
      </c>
      <c r="B7497">
        <v>1992</v>
      </c>
      <c r="C7497">
        <v>-8.9999999999999998E-4</v>
      </c>
    </row>
    <row r="7498" spans="1:3" x14ac:dyDescent="0.35">
      <c r="A7498">
        <v>113</v>
      </c>
      <c r="B7498">
        <v>1993</v>
      </c>
      <c r="C7498">
        <v>-8.9999999999999998E-4</v>
      </c>
    </row>
    <row r="7499" spans="1:3" x14ac:dyDescent="0.35">
      <c r="A7499">
        <v>113</v>
      </c>
      <c r="B7499">
        <v>1994</v>
      </c>
      <c r="C7499">
        <v>-8.9999999999999998E-4</v>
      </c>
    </row>
    <row r="7500" spans="1:3" x14ac:dyDescent="0.35">
      <c r="A7500">
        <v>113</v>
      </c>
      <c r="B7500">
        <v>1995</v>
      </c>
      <c r="C7500">
        <v>-8.9999999999999998E-4</v>
      </c>
    </row>
    <row r="7501" spans="1:3" x14ac:dyDescent="0.35">
      <c r="A7501">
        <v>113</v>
      </c>
      <c r="B7501">
        <v>1996</v>
      </c>
      <c r="C7501">
        <v>-8.0000000000000004E-4</v>
      </c>
    </row>
    <row r="7502" spans="1:3" x14ac:dyDescent="0.35">
      <c r="A7502">
        <v>113</v>
      </c>
      <c r="B7502">
        <v>1997</v>
      </c>
      <c r="C7502">
        <v>-8.0000000000000004E-4</v>
      </c>
    </row>
    <row r="7503" spans="1:3" x14ac:dyDescent="0.35">
      <c r="A7503">
        <v>113</v>
      </c>
      <c r="B7503">
        <v>1998</v>
      </c>
      <c r="C7503">
        <v>-6.9999999999999999E-4</v>
      </c>
    </row>
    <row r="7504" spans="1:3" x14ac:dyDescent="0.35">
      <c r="A7504">
        <v>113</v>
      </c>
      <c r="B7504">
        <v>1999</v>
      </c>
      <c r="C7504">
        <v>-5.9999999999999995E-4</v>
      </c>
    </row>
    <row r="7505" spans="1:3" x14ac:dyDescent="0.35">
      <c r="A7505">
        <v>113</v>
      </c>
      <c r="B7505">
        <v>2000</v>
      </c>
      <c r="C7505">
        <v>-4.0000000000000002E-4</v>
      </c>
    </row>
    <row r="7506" spans="1:3" x14ac:dyDescent="0.35">
      <c r="A7506">
        <v>113</v>
      </c>
      <c r="B7506">
        <v>2001</v>
      </c>
      <c r="C7506">
        <v>-2.9999999999999997E-4</v>
      </c>
    </row>
    <row r="7507" spans="1:3" x14ac:dyDescent="0.35">
      <c r="A7507">
        <v>113</v>
      </c>
      <c r="B7507">
        <v>2002</v>
      </c>
      <c r="C7507">
        <v>-1E-4</v>
      </c>
    </row>
    <row r="7508" spans="1:3" x14ac:dyDescent="0.35">
      <c r="A7508">
        <v>113</v>
      </c>
      <c r="B7508">
        <v>2003</v>
      </c>
      <c r="C7508">
        <v>0</v>
      </c>
    </row>
    <row r="7509" spans="1:3" x14ac:dyDescent="0.35">
      <c r="A7509">
        <v>113</v>
      </c>
      <c r="B7509">
        <v>2004</v>
      </c>
      <c r="C7509">
        <v>2.0000000000000001E-4</v>
      </c>
    </row>
    <row r="7510" spans="1:3" x14ac:dyDescent="0.35">
      <c r="A7510">
        <v>113</v>
      </c>
      <c r="B7510">
        <v>2005</v>
      </c>
      <c r="C7510">
        <v>4.0000000000000002E-4</v>
      </c>
    </row>
    <row r="7511" spans="1:3" x14ac:dyDescent="0.35">
      <c r="A7511">
        <v>113</v>
      </c>
      <c r="B7511">
        <v>2006</v>
      </c>
      <c r="C7511">
        <v>5.0000000000000001E-4</v>
      </c>
    </row>
    <row r="7512" spans="1:3" x14ac:dyDescent="0.35">
      <c r="A7512">
        <v>113</v>
      </c>
      <c r="B7512">
        <v>2007</v>
      </c>
      <c r="C7512">
        <v>5.9999999999999995E-4</v>
      </c>
    </row>
    <row r="7513" spans="1:3" x14ac:dyDescent="0.35">
      <c r="A7513">
        <v>113</v>
      </c>
      <c r="B7513">
        <v>2008</v>
      </c>
      <c r="C7513">
        <v>8.0000000000000004E-4</v>
      </c>
    </row>
    <row r="7514" spans="1:3" x14ac:dyDescent="0.35">
      <c r="A7514">
        <v>113</v>
      </c>
      <c r="B7514">
        <v>2009</v>
      </c>
      <c r="C7514">
        <v>8.9999999999999998E-4</v>
      </c>
    </row>
    <row r="7515" spans="1:3" x14ac:dyDescent="0.35">
      <c r="A7515">
        <v>113</v>
      </c>
      <c r="B7515">
        <v>2010</v>
      </c>
      <c r="C7515">
        <v>1E-3</v>
      </c>
    </row>
    <row r="7516" spans="1:3" x14ac:dyDescent="0.35">
      <c r="A7516">
        <v>113</v>
      </c>
      <c r="B7516">
        <v>2011</v>
      </c>
      <c r="C7516">
        <v>1.1000000000000001E-3</v>
      </c>
    </row>
    <row r="7517" spans="1:3" x14ac:dyDescent="0.35">
      <c r="A7517">
        <v>113</v>
      </c>
      <c r="B7517">
        <v>2012</v>
      </c>
      <c r="C7517">
        <v>1.1999999999999999E-3</v>
      </c>
    </row>
    <row r="7518" spans="1:3" x14ac:dyDescent="0.35">
      <c r="A7518">
        <v>113</v>
      </c>
      <c r="B7518">
        <v>2013</v>
      </c>
      <c r="C7518">
        <v>1.1000000000000001E-3</v>
      </c>
    </row>
    <row r="7519" spans="1:3" x14ac:dyDescent="0.35">
      <c r="A7519">
        <v>113</v>
      </c>
      <c r="B7519">
        <v>2014</v>
      </c>
      <c r="C7519">
        <v>1.1000000000000001E-3</v>
      </c>
    </row>
    <row r="7520" spans="1:3" x14ac:dyDescent="0.35">
      <c r="A7520">
        <v>113</v>
      </c>
      <c r="B7520">
        <v>2015</v>
      </c>
      <c r="C7520">
        <v>1E-3</v>
      </c>
    </row>
    <row r="7521" spans="1:3" x14ac:dyDescent="0.35">
      <c r="A7521">
        <v>113</v>
      </c>
      <c r="B7521">
        <v>2016</v>
      </c>
      <c r="C7521">
        <v>1E-3</v>
      </c>
    </row>
    <row r="7522" spans="1:3" x14ac:dyDescent="0.35">
      <c r="A7522">
        <v>113</v>
      </c>
      <c r="B7522">
        <v>2017</v>
      </c>
      <c r="C7522">
        <v>8.9999999999999998E-4</v>
      </c>
    </row>
    <row r="7523" spans="1:3" x14ac:dyDescent="0.35">
      <c r="A7523">
        <v>113</v>
      </c>
      <c r="B7523">
        <v>2018</v>
      </c>
      <c r="C7523">
        <v>8.9999999999999998E-4</v>
      </c>
    </row>
    <row r="7524" spans="1:3" x14ac:dyDescent="0.35">
      <c r="A7524">
        <v>113</v>
      </c>
      <c r="B7524">
        <v>2019</v>
      </c>
      <c r="C7524">
        <v>8.9999999999999998E-4</v>
      </c>
    </row>
    <row r="7525" spans="1:3" x14ac:dyDescent="0.35">
      <c r="A7525">
        <v>113</v>
      </c>
      <c r="B7525">
        <v>2020</v>
      </c>
      <c r="C7525">
        <v>8.0000000000000004E-4</v>
      </c>
    </row>
    <row r="7526" spans="1:3" x14ac:dyDescent="0.35">
      <c r="A7526">
        <v>113</v>
      </c>
      <c r="B7526">
        <v>2021</v>
      </c>
      <c r="C7526">
        <v>8.0000000000000004E-4</v>
      </c>
    </row>
    <row r="7527" spans="1:3" x14ac:dyDescent="0.35">
      <c r="A7527">
        <v>113</v>
      </c>
      <c r="B7527">
        <v>2022</v>
      </c>
      <c r="C7527">
        <v>8.0000000000000004E-4</v>
      </c>
    </row>
    <row r="7528" spans="1:3" x14ac:dyDescent="0.35">
      <c r="A7528">
        <v>113</v>
      </c>
      <c r="B7528">
        <v>2023</v>
      </c>
      <c r="C7528">
        <v>8.0000000000000004E-4</v>
      </c>
    </row>
    <row r="7529" spans="1:3" x14ac:dyDescent="0.35">
      <c r="A7529">
        <v>113</v>
      </c>
      <c r="B7529">
        <v>2024</v>
      </c>
      <c r="C7529">
        <v>8.0000000000000004E-4</v>
      </c>
    </row>
    <row r="7530" spans="1:3" x14ac:dyDescent="0.35">
      <c r="A7530">
        <v>113</v>
      </c>
      <c r="B7530">
        <v>2025</v>
      </c>
      <c r="C7530">
        <v>8.0000000000000004E-4</v>
      </c>
    </row>
    <row r="7531" spans="1:3" x14ac:dyDescent="0.35">
      <c r="A7531">
        <v>113</v>
      </c>
      <c r="B7531">
        <v>2026</v>
      </c>
      <c r="C7531">
        <v>8.0000000000000004E-4</v>
      </c>
    </row>
    <row r="7532" spans="1:3" x14ac:dyDescent="0.35">
      <c r="A7532">
        <v>113</v>
      </c>
      <c r="B7532">
        <v>2027</v>
      </c>
      <c r="C7532">
        <v>8.0000000000000004E-4</v>
      </c>
    </row>
    <row r="7533" spans="1:3" x14ac:dyDescent="0.35">
      <c r="A7533">
        <v>113</v>
      </c>
      <c r="B7533">
        <v>2028</v>
      </c>
      <c r="C7533">
        <v>8.0000000000000004E-4</v>
      </c>
    </row>
    <row r="7534" spans="1:3" x14ac:dyDescent="0.35">
      <c r="A7534">
        <v>113</v>
      </c>
      <c r="B7534">
        <v>2029</v>
      </c>
      <c r="C7534">
        <v>8.0000000000000004E-4</v>
      </c>
    </row>
    <row r="7535" spans="1:3" x14ac:dyDescent="0.35">
      <c r="A7535">
        <v>113</v>
      </c>
      <c r="B7535">
        <v>2030</v>
      </c>
      <c r="C7535">
        <v>8.0000000000000004E-4</v>
      </c>
    </row>
    <row r="7536" spans="1:3" x14ac:dyDescent="0.35">
      <c r="A7536">
        <v>113</v>
      </c>
      <c r="B7536">
        <v>2031</v>
      </c>
      <c r="C7536">
        <v>8.0000000000000004E-4</v>
      </c>
    </row>
    <row r="7537" spans="1:3" x14ac:dyDescent="0.35">
      <c r="A7537">
        <v>114</v>
      </c>
      <c r="B7537">
        <v>1951</v>
      </c>
      <c r="C7537">
        <v>-1E-3</v>
      </c>
    </row>
    <row r="7538" spans="1:3" x14ac:dyDescent="0.35">
      <c r="A7538">
        <v>114</v>
      </c>
      <c r="B7538">
        <v>1952</v>
      </c>
      <c r="C7538">
        <v>-8.9999999999999998E-4</v>
      </c>
    </row>
    <row r="7539" spans="1:3" x14ac:dyDescent="0.35">
      <c r="A7539">
        <v>114</v>
      </c>
      <c r="B7539">
        <v>1953</v>
      </c>
      <c r="C7539">
        <v>-8.0000000000000004E-4</v>
      </c>
    </row>
    <row r="7540" spans="1:3" x14ac:dyDescent="0.35">
      <c r="A7540">
        <v>114</v>
      </c>
      <c r="B7540">
        <v>1954</v>
      </c>
      <c r="C7540">
        <v>-6.9999999999999999E-4</v>
      </c>
    </row>
    <row r="7541" spans="1:3" x14ac:dyDescent="0.35">
      <c r="A7541">
        <v>114</v>
      </c>
      <c r="B7541">
        <v>1955</v>
      </c>
      <c r="C7541">
        <v>-6.9999999999999999E-4</v>
      </c>
    </row>
    <row r="7542" spans="1:3" x14ac:dyDescent="0.35">
      <c r="A7542">
        <v>114</v>
      </c>
      <c r="B7542">
        <v>1956</v>
      </c>
      <c r="C7542">
        <v>-5.9999999999999995E-4</v>
      </c>
    </row>
    <row r="7543" spans="1:3" x14ac:dyDescent="0.35">
      <c r="A7543">
        <v>114</v>
      </c>
      <c r="B7543">
        <v>1957</v>
      </c>
      <c r="C7543">
        <v>-5.0000000000000001E-4</v>
      </c>
    </row>
    <row r="7544" spans="1:3" x14ac:dyDescent="0.35">
      <c r="A7544">
        <v>114</v>
      </c>
      <c r="B7544">
        <v>1958</v>
      </c>
      <c r="C7544">
        <v>-4.0000000000000002E-4</v>
      </c>
    </row>
    <row r="7545" spans="1:3" x14ac:dyDescent="0.35">
      <c r="A7545">
        <v>114</v>
      </c>
      <c r="B7545">
        <v>1959</v>
      </c>
      <c r="C7545">
        <v>-4.0000000000000002E-4</v>
      </c>
    </row>
    <row r="7546" spans="1:3" x14ac:dyDescent="0.35">
      <c r="A7546">
        <v>114</v>
      </c>
      <c r="B7546">
        <v>1960</v>
      </c>
      <c r="C7546">
        <v>-2.9999999999999997E-4</v>
      </c>
    </row>
    <row r="7547" spans="1:3" x14ac:dyDescent="0.35">
      <c r="A7547">
        <v>114</v>
      </c>
      <c r="B7547">
        <v>1961</v>
      </c>
      <c r="C7547">
        <v>-2.0000000000000001E-4</v>
      </c>
    </row>
    <row r="7548" spans="1:3" x14ac:dyDescent="0.35">
      <c r="A7548">
        <v>114</v>
      </c>
      <c r="B7548">
        <v>1962</v>
      </c>
      <c r="C7548">
        <v>-1E-4</v>
      </c>
    </row>
    <row r="7549" spans="1:3" x14ac:dyDescent="0.35">
      <c r="A7549">
        <v>114</v>
      </c>
      <c r="B7549">
        <v>1963</v>
      </c>
      <c r="C7549">
        <v>0</v>
      </c>
    </row>
    <row r="7550" spans="1:3" x14ac:dyDescent="0.35">
      <c r="A7550">
        <v>114</v>
      </c>
      <c r="B7550">
        <v>1964</v>
      </c>
      <c r="C7550">
        <v>1E-4</v>
      </c>
    </row>
    <row r="7551" spans="1:3" x14ac:dyDescent="0.35">
      <c r="A7551">
        <v>114</v>
      </c>
      <c r="B7551">
        <v>1965</v>
      </c>
      <c r="C7551">
        <v>2.0000000000000001E-4</v>
      </c>
    </row>
    <row r="7552" spans="1:3" x14ac:dyDescent="0.35">
      <c r="A7552">
        <v>114</v>
      </c>
      <c r="B7552">
        <v>1966</v>
      </c>
      <c r="C7552">
        <v>2.9999999999999997E-4</v>
      </c>
    </row>
    <row r="7553" spans="1:3" x14ac:dyDescent="0.35">
      <c r="A7553">
        <v>114</v>
      </c>
      <c r="B7553">
        <v>1967</v>
      </c>
      <c r="C7553">
        <v>4.0000000000000002E-4</v>
      </c>
    </row>
    <row r="7554" spans="1:3" x14ac:dyDescent="0.35">
      <c r="A7554">
        <v>114</v>
      </c>
      <c r="B7554">
        <v>1968</v>
      </c>
      <c r="C7554">
        <v>4.0000000000000002E-4</v>
      </c>
    </row>
    <row r="7555" spans="1:3" x14ac:dyDescent="0.35">
      <c r="A7555">
        <v>114</v>
      </c>
      <c r="B7555">
        <v>1969</v>
      </c>
      <c r="C7555">
        <v>5.0000000000000001E-4</v>
      </c>
    </row>
    <row r="7556" spans="1:3" x14ac:dyDescent="0.35">
      <c r="A7556">
        <v>114</v>
      </c>
      <c r="B7556">
        <v>1970</v>
      </c>
      <c r="C7556">
        <v>5.9999999999999995E-4</v>
      </c>
    </row>
    <row r="7557" spans="1:3" x14ac:dyDescent="0.35">
      <c r="A7557">
        <v>114</v>
      </c>
      <c r="B7557">
        <v>1971</v>
      </c>
      <c r="C7557">
        <v>5.9999999999999995E-4</v>
      </c>
    </row>
    <row r="7558" spans="1:3" x14ac:dyDescent="0.35">
      <c r="A7558">
        <v>114</v>
      </c>
      <c r="B7558">
        <v>1972</v>
      </c>
      <c r="C7558">
        <v>5.9999999999999995E-4</v>
      </c>
    </row>
    <row r="7559" spans="1:3" x14ac:dyDescent="0.35">
      <c r="A7559">
        <v>114</v>
      </c>
      <c r="B7559">
        <v>1973</v>
      </c>
      <c r="C7559">
        <v>5.9999999999999995E-4</v>
      </c>
    </row>
    <row r="7560" spans="1:3" x14ac:dyDescent="0.35">
      <c r="A7560">
        <v>114</v>
      </c>
      <c r="B7560">
        <v>1974</v>
      </c>
      <c r="C7560">
        <v>5.9999999999999995E-4</v>
      </c>
    </row>
    <row r="7561" spans="1:3" x14ac:dyDescent="0.35">
      <c r="A7561">
        <v>114</v>
      </c>
      <c r="B7561">
        <v>1975</v>
      </c>
      <c r="C7561">
        <v>5.9999999999999995E-4</v>
      </c>
    </row>
    <row r="7562" spans="1:3" x14ac:dyDescent="0.35">
      <c r="A7562">
        <v>114</v>
      </c>
      <c r="B7562">
        <v>1976</v>
      </c>
      <c r="C7562">
        <v>5.9999999999999995E-4</v>
      </c>
    </row>
    <row r="7563" spans="1:3" x14ac:dyDescent="0.35">
      <c r="A7563">
        <v>114</v>
      </c>
      <c r="B7563">
        <v>1977</v>
      </c>
      <c r="C7563">
        <v>5.9999999999999995E-4</v>
      </c>
    </row>
    <row r="7564" spans="1:3" x14ac:dyDescent="0.35">
      <c r="A7564">
        <v>114</v>
      </c>
      <c r="B7564">
        <v>1978</v>
      </c>
      <c r="C7564">
        <v>5.0000000000000001E-4</v>
      </c>
    </row>
    <row r="7565" spans="1:3" x14ac:dyDescent="0.35">
      <c r="A7565">
        <v>114</v>
      </c>
      <c r="B7565">
        <v>1979</v>
      </c>
      <c r="C7565">
        <v>5.0000000000000001E-4</v>
      </c>
    </row>
    <row r="7566" spans="1:3" x14ac:dyDescent="0.35">
      <c r="A7566">
        <v>114</v>
      </c>
      <c r="B7566">
        <v>1980</v>
      </c>
      <c r="C7566">
        <v>4.0000000000000002E-4</v>
      </c>
    </row>
    <row r="7567" spans="1:3" x14ac:dyDescent="0.35">
      <c r="A7567">
        <v>114</v>
      </c>
      <c r="B7567">
        <v>1981</v>
      </c>
      <c r="C7567">
        <v>2.9999999999999997E-4</v>
      </c>
    </row>
    <row r="7568" spans="1:3" x14ac:dyDescent="0.35">
      <c r="A7568">
        <v>114</v>
      </c>
      <c r="B7568">
        <v>1982</v>
      </c>
      <c r="C7568">
        <v>2.0000000000000001E-4</v>
      </c>
    </row>
    <row r="7569" spans="1:3" x14ac:dyDescent="0.35">
      <c r="A7569">
        <v>114</v>
      </c>
      <c r="B7569">
        <v>1983</v>
      </c>
      <c r="C7569">
        <v>1E-4</v>
      </c>
    </row>
    <row r="7570" spans="1:3" x14ac:dyDescent="0.35">
      <c r="A7570">
        <v>114</v>
      </c>
      <c r="B7570">
        <v>1984</v>
      </c>
      <c r="C7570">
        <v>1E-4</v>
      </c>
    </row>
    <row r="7571" spans="1:3" x14ac:dyDescent="0.35">
      <c r="A7571">
        <v>114</v>
      </c>
      <c r="B7571">
        <v>1985</v>
      </c>
      <c r="C7571">
        <v>0</v>
      </c>
    </row>
    <row r="7572" spans="1:3" x14ac:dyDescent="0.35">
      <c r="A7572">
        <v>114</v>
      </c>
      <c r="B7572">
        <v>1986</v>
      </c>
      <c r="C7572">
        <v>-1E-4</v>
      </c>
    </row>
    <row r="7573" spans="1:3" x14ac:dyDescent="0.35">
      <c r="A7573">
        <v>114</v>
      </c>
      <c r="B7573">
        <v>1987</v>
      </c>
      <c r="C7573">
        <v>-2.0000000000000001E-4</v>
      </c>
    </row>
    <row r="7574" spans="1:3" x14ac:dyDescent="0.35">
      <c r="A7574">
        <v>114</v>
      </c>
      <c r="B7574">
        <v>1988</v>
      </c>
      <c r="C7574">
        <v>-2.9999999999999997E-4</v>
      </c>
    </row>
    <row r="7575" spans="1:3" x14ac:dyDescent="0.35">
      <c r="A7575">
        <v>114</v>
      </c>
      <c r="B7575">
        <v>1989</v>
      </c>
      <c r="C7575">
        <v>-2.9999999999999997E-4</v>
      </c>
    </row>
    <row r="7576" spans="1:3" x14ac:dyDescent="0.35">
      <c r="A7576">
        <v>114</v>
      </c>
      <c r="B7576">
        <v>1990</v>
      </c>
      <c r="C7576">
        <v>-4.0000000000000002E-4</v>
      </c>
    </row>
    <row r="7577" spans="1:3" x14ac:dyDescent="0.35">
      <c r="A7577">
        <v>114</v>
      </c>
      <c r="B7577">
        <v>1991</v>
      </c>
      <c r="C7577">
        <v>-4.0000000000000002E-4</v>
      </c>
    </row>
    <row r="7578" spans="1:3" x14ac:dyDescent="0.35">
      <c r="A7578">
        <v>114</v>
      </c>
      <c r="B7578">
        <v>1992</v>
      </c>
      <c r="C7578">
        <v>-4.0000000000000002E-4</v>
      </c>
    </row>
    <row r="7579" spans="1:3" x14ac:dyDescent="0.35">
      <c r="A7579">
        <v>114</v>
      </c>
      <c r="B7579">
        <v>1993</v>
      </c>
      <c r="C7579">
        <v>-5.0000000000000001E-4</v>
      </c>
    </row>
    <row r="7580" spans="1:3" x14ac:dyDescent="0.35">
      <c r="A7580">
        <v>114</v>
      </c>
      <c r="B7580">
        <v>1994</v>
      </c>
      <c r="C7580">
        <v>-5.0000000000000001E-4</v>
      </c>
    </row>
    <row r="7581" spans="1:3" x14ac:dyDescent="0.35">
      <c r="A7581">
        <v>114</v>
      </c>
      <c r="B7581">
        <v>1995</v>
      </c>
      <c r="C7581">
        <v>-4.0000000000000002E-4</v>
      </c>
    </row>
    <row r="7582" spans="1:3" x14ac:dyDescent="0.35">
      <c r="A7582">
        <v>114</v>
      </c>
      <c r="B7582">
        <v>1996</v>
      </c>
      <c r="C7582">
        <v>-4.0000000000000002E-4</v>
      </c>
    </row>
    <row r="7583" spans="1:3" x14ac:dyDescent="0.35">
      <c r="A7583">
        <v>114</v>
      </c>
      <c r="B7583">
        <v>1997</v>
      </c>
      <c r="C7583">
        <v>-4.0000000000000002E-4</v>
      </c>
    </row>
    <row r="7584" spans="1:3" x14ac:dyDescent="0.35">
      <c r="A7584">
        <v>114</v>
      </c>
      <c r="B7584">
        <v>1998</v>
      </c>
      <c r="C7584">
        <v>-2.9999999999999997E-4</v>
      </c>
    </row>
    <row r="7585" spans="1:3" x14ac:dyDescent="0.35">
      <c r="A7585">
        <v>114</v>
      </c>
      <c r="B7585">
        <v>1999</v>
      </c>
      <c r="C7585">
        <v>-2.9999999999999997E-4</v>
      </c>
    </row>
    <row r="7586" spans="1:3" x14ac:dyDescent="0.35">
      <c r="A7586">
        <v>114</v>
      </c>
      <c r="B7586">
        <v>2000</v>
      </c>
      <c r="C7586">
        <v>-2.0000000000000001E-4</v>
      </c>
    </row>
    <row r="7587" spans="1:3" x14ac:dyDescent="0.35">
      <c r="A7587">
        <v>114</v>
      </c>
      <c r="B7587">
        <v>2001</v>
      </c>
      <c r="C7587">
        <v>-1E-4</v>
      </c>
    </row>
    <row r="7588" spans="1:3" x14ac:dyDescent="0.35">
      <c r="A7588">
        <v>114</v>
      </c>
      <c r="B7588">
        <v>2002</v>
      </c>
      <c r="C7588">
        <v>-1E-4</v>
      </c>
    </row>
    <row r="7589" spans="1:3" x14ac:dyDescent="0.35">
      <c r="A7589">
        <v>114</v>
      </c>
      <c r="B7589">
        <v>2003</v>
      </c>
      <c r="C7589">
        <v>0</v>
      </c>
    </row>
    <row r="7590" spans="1:3" x14ac:dyDescent="0.35">
      <c r="A7590">
        <v>114</v>
      </c>
      <c r="B7590">
        <v>2004</v>
      </c>
      <c r="C7590">
        <v>1E-4</v>
      </c>
    </row>
    <row r="7591" spans="1:3" x14ac:dyDescent="0.35">
      <c r="A7591">
        <v>114</v>
      </c>
      <c r="B7591">
        <v>2005</v>
      </c>
      <c r="C7591">
        <v>2.0000000000000001E-4</v>
      </c>
    </row>
    <row r="7592" spans="1:3" x14ac:dyDescent="0.35">
      <c r="A7592">
        <v>114</v>
      </c>
      <c r="B7592">
        <v>2006</v>
      </c>
      <c r="C7592">
        <v>2.9999999999999997E-4</v>
      </c>
    </row>
    <row r="7593" spans="1:3" x14ac:dyDescent="0.35">
      <c r="A7593">
        <v>114</v>
      </c>
      <c r="B7593">
        <v>2007</v>
      </c>
      <c r="C7593">
        <v>2.9999999999999997E-4</v>
      </c>
    </row>
    <row r="7594" spans="1:3" x14ac:dyDescent="0.35">
      <c r="A7594">
        <v>114</v>
      </c>
      <c r="B7594">
        <v>2008</v>
      </c>
      <c r="C7594">
        <v>4.0000000000000002E-4</v>
      </c>
    </row>
    <row r="7595" spans="1:3" x14ac:dyDescent="0.35">
      <c r="A7595">
        <v>114</v>
      </c>
      <c r="B7595">
        <v>2009</v>
      </c>
      <c r="C7595">
        <v>4.0000000000000002E-4</v>
      </c>
    </row>
    <row r="7596" spans="1:3" x14ac:dyDescent="0.35">
      <c r="A7596">
        <v>114</v>
      </c>
      <c r="B7596">
        <v>2010</v>
      </c>
      <c r="C7596">
        <v>5.0000000000000001E-4</v>
      </c>
    </row>
    <row r="7597" spans="1:3" x14ac:dyDescent="0.35">
      <c r="A7597">
        <v>114</v>
      </c>
      <c r="B7597">
        <v>2011</v>
      </c>
      <c r="C7597">
        <v>5.0000000000000001E-4</v>
      </c>
    </row>
    <row r="7598" spans="1:3" x14ac:dyDescent="0.35">
      <c r="A7598">
        <v>114</v>
      </c>
      <c r="B7598">
        <v>2012</v>
      </c>
      <c r="C7598">
        <v>5.9999999999999995E-4</v>
      </c>
    </row>
    <row r="7599" spans="1:3" x14ac:dyDescent="0.35">
      <c r="A7599">
        <v>114</v>
      </c>
      <c r="B7599">
        <v>2013</v>
      </c>
      <c r="C7599">
        <v>5.9999999999999995E-4</v>
      </c>
    </row>
    <row r="7600" spans="1:3" x14ac:dyDescent="0.35">
      <c r="A7600">
        <v>114</v>
      </c>
      <c r="B7600">
        <v>2014</v>
      </c>
      <c r="C7600">
        <v>5.0000000000000001E-4</v>
      </c>
    </row>
    <row r="7601" spans="1:3" x14ac:dyDescent="0.35">
      <c r="A7601">
        <v>114</v>
      </c>
      <c r="B7601">
        <v>2015</v>
      </c>
      <c r="C7601">
        <v>5.0000000000000001E-4</v>
      </c>
    </row>
    <row r="7602" spans="1:3" x14ac:dyDescent="0.35">
      <c r="A7602">
        <v>114</v>
      </c>
      <c r="B7602">
        <v>2016</v>
      </c>
      <c r="C7602">
        <v>5.0000000000000001E-4</v>
      </c>
    </row>
    <row r="7603" spans="1:3" x14ac:dyDescent="0.35">
      <c r="A7603">
        <v>114</v>
      </c>
      <c r="B7603">
        <v>2017</v>
      </c>
      <c r="C7603">
        <v>5.0000000000000001E-4</v>
      </c>
    </row>
    <row r="7604" spans="1:3" x14ac:dyDescent="0.35">
      <c r="A7604">
        <v>114</v>
      </c>
      <c r="B7604">
        <v>2018</v>
      </c>
      <c r="C7604">
        <v>4.0000000000000002E-4</v>
      </c>
    </row>
    <row r="7605" spans="1:3" x14ac:dyDescent="0.35">
      <c r="A7605">
        <v>114</v>
      </c>
      <c r="B7605">
        <v>2019</v>
      </c>
      <c r="C7605">
        <v>4.0000000000000002E-4</v>
      </c>
    </row>
    <row r="7606" spans="1:3" x14ac:dyDescent="0.35">
      <c r="A7606">
        <v>114</v>
      </c>
      <c r="B7606">
        <v>2020</v>
      </c>
      <c r="C7606">
        <v>4.0000000000000002E-4</v>
      </c>
    </row>
    <row r="7607" spans="1:3" x14ac:dyDescent="0.35">
      <c r="A7607">
        <v>114</v>
      </c>
      <c r="B7607">
        <v>2021</v>
      </c>
      <c r="C7607">
        <v>4.0000000000000002E-4</v>
      </c>
    </row>
    <row r="7608" spans="1:3" x14ac:dyDescent="0.35">
      <c r="A7608">
        <v>114</v>
      </c>
      <c r="B7608">
        <v>2022</v>
      </c>
      <c r="C7608">
        <v>4.0000000000000002E-4</v>
      </c>
    </row>
    <row r="7609" spans="1:3" x14ac:dyDescent="0.35">
      <c r="A7609">
        <v>114</v>
      </c>
      <c r="B7609">
        <v>2023</v>
      </c>
      <c r="C7609">
        <v>4.0000000000000002E-4</v>
      </c>
    </row>
    <row r="7610" spans="1:3" x14ac:dyDescent="0.35">
      <c r="A7610">
        <v>114</v>
      </c>
      <c r="B7610">
        <v>2024</v>
      </c>
      <c r="C7610">
        <v>4.0000000000000002E-4</v>
      </c>
    </row>
    <row r="7611" spans="1:3" x14ac:dyDescent="0.35">
      <c r="A7611">
        <v>114</v>
      </c>
      <c r="B7611">
        <v>2025</v>
      </c>
      <c r="C7611">
        <v>4.0000000000000002E-4</v>
      </c>
    </row>
    <row r="7612" spans="1:3" x14ac:dyDescent="0.35">
      <c r="A7612">
        <v>114</v>
      </c>
      <c r="B7612">
        <v>2026</v>
      </c>
      <c r="C7612">
        <v>4.0000000000000002E-4</v>
      </c>
    </row>
    <row r="7613" spans="1:3" x14ac:dyDescent="0.35">
      <c r="A7613">
        <v>114</v>
      </c>
      <c r="B7613">
        <v>2027</v>
      </c>
      <c r="C7613">
        <v>4.0000000000000002E-4</v>
      </c>
    </row>
    <row r="7614" spans="1:3" x14ac:dyDescent="0.35">
      <c r="A7614">
        <v>114</v>
      </c>
      <c r="B7614">
        <v>2028</v>
      </c>
      <c r="C7614">
        <v>4.0000000000000002E-4</v>
      </c>
    </row>
    <row r="7615" spans="1:3" x14ac:dyDescent="0.35">
      <c r="A7615">
        <v>114</v>
      </c>
      <c r="B7615">
        <v>2029</v>
      </c>
      <c r="C7615">
        <v>4.0000000000000002E-4</v>
      </c>
    </row>
    <row r="7616" spans="1:3" x14ac:dyDescent="0.35">
      <c r="A7616">
        <v>114</v>
      </c>
      <c r="B7616">
        <v>2030</v>
      </c>
      <c r="C7616">
        <v>4.0000000000000002E-4</v>
      </c>
    </row>
    <row r="7617" spans="1:3" x14ac:dyDescent="0.35">
      <c r="A7617">
        <v>114</v>
      </c>
      <c r="B7617">
        <v>2031</v>
      </c>
      <c r="C7617">
        <v>4.0000000000000002E-4</v>
      </c>
    </row>
    <row r="7618" spans="1:3" x14ac:dyDescent="0.35">
      <c r="A7618">
        <v>115</v>
      </c>
      <c r="B7618">
        <v>1951</v>
      </c>
      <c r="C7618">
        <v>0</v>
      </c>
    </row>
    <row r="7619" spans="1:3" x14ac:dyDescent="0.35">
      <c r="A7619">
        <v>115</v>
      </c>
      <c r="B7619">
        <v>1952</v>
      </c>
      <c r="C7619">
        <v>0</v>
      </c>
    </row>
    <row r="7620" spans="1:3" x14ac:dyDescent="0.35">
      <c r="A7620">
        <v>115</v>
      </c>
      <c r="B7620">
        <v>1953</v>
      </c>
      <c r="C7620">
        <v>0</v>
      </c>
    </row>
    <row r="7621" spans="1:3" x14ac:dyDescent="0.35">
      <c r="A7621">
        <v>115</v>
      </c>
      <c r="B7621">
        <v>1954</v>
      </c>
      <c r="C7621">
        <v>0</v>
      </c>
    </row>
    <row r="7622" spans="1:3" x14ac:dyDescent="0.35">
      <c r="A7622">
        <v>115</v>
      </c>
      <c r="B7622">
        <v>1955</v>
      </c>
      <c r="C7622">
        <v>0</v>
      </c>
    </row>
    <row r="7623" spans="1:3" x14ac:dyDescent="0.35">
      <c r="A7623">
        <v>115</v>
      </c>
      <c r="B7623">
        <v>1956</v>
      </c>
      <c r="C7623">
        <v>0</v>
      </c>
    </row>
    <row r="7624" spans="1:3" x14ac:dyDescent="0.35">
      <c r="A7624">
        <v>115</v>
      </c>
      <c r="B7624">
        <v>1957</v>
      </c>
      <c r="C7624">
        <v>0</v>
      </c>
    </row>
    <row r="7625" spans="1:3" x14ac:dyDescent="0.35">
      <c r="A7625">
        <v>115</v>
      </c>
      <c r="B7625">
        <v>1958</v>
      </c>
      <c r="C7625">
        <v>0</v>
      </c>
    </row>
    <row r="7626" spans="1:3" x14ac:dyDescent="0.35">
      <c r="A7626">
        <v>115</v>
      </c>
      <c r="B7626">
        <v>1959</v>
      </c>
      <c r="C7626">
        <v>0</v>
      </c>
    </row>
    <row r="7627" spans="1:3" x14ac:dyDescent="0.35">
      <c r="A7627">
        <v>115</v>
      </c>
      <c r="B7627">
        <v>1960</v>
      </c>
      <c r="C7627">
        <v>0</v>
      </c>
    </row>
    <row r="7628" spans="1:3" x14ac:dyDescent="0.35">
      <c r="A7628">
        <v>115</v>
      </c>
      <c r="B7628">
        <v>1961</v>
      </c>
      <c r="C7628">
        <v>0</v>
      </c>
    </row>
    <row r="7629" spans="1:3" x14ac:dyDescent="0.35">
      <c r="A7629">
        <v>115</v>
      </c>
      <c r="B7629">
        <v>1962</v>
      </c>
      <c r="C7629">
        <v>0</v>
      </c>
    </row>
    <row r="7630" spans="1:3" x14ac:dyDescent="0.35">
      <c r="A7630">
        <v>115</v>
      </c>
      <c r="B7630">
        <v>1963</v>
      </c>
      <c r="C7630">
        <v>0</v>
      </c>
    </row>
    <row r="7631" spans="1:3" x14ac:dyDescent="0.35">
      <c r="A7631">
        <v>115</v>
      </c>
      <c r="B7631">
        <v>1964</v>
      </c>
      <c r="C7631">
        <v>0</v>
      </c>
    </row>
    <row r="7632" spans="1:3" x14ac:dyDescent="0.35">
      <c r="A7632">
        <v>115</v>
      </c>
      <c r="B7632">
        <v>1965</v>
      </c>
      <c r="C7632">
        <v>0</v>
      </c>
    </row>
    <row r="7633" spans="1:3" x14ac:dyDescent="0.35">
      <c r="A7633">
        <v>115</v>
      </c>
      <c r="B7633">
        <v>1966</v>
      </c>
      <c r="C7633">
        <v>0</v>
      </c>
    </row>
    <row r="7634" spans="1:3" x14ac:dyDescent="0.35">
      <c r="A7634">
        <v>115</v>
      </c>
      <c r="B7634">
        <v>1967</v>
      </c>
      <c r="C7634">
        <v>0</v>
      </c>
    </row>
    <row r="7635" spans="1:3" x14ac:dyDescent="0.35">
      <c r="A7635">
        <v>115</v>
      </c>
      <c r="B7635">
        <v>1968</v>
      </c>
      <c r="C7635">
        <v>0</v>
      </c>
    </row>
    <row r="7636" spans="1:3" x14ac:dyDescent="0.35">
      <c r="A7636">
        <v>115</v>
      </c>
      <c r="B7636">
        <v>1969</v>
      </c>
      <c r="C7636">
        <v>0</v>
      </c>
    </row>
    <row r="7637" spans="1:3" x14ac:dyDescent="0.35">
      <c r="A7637">
        <v>115</v>
      </c>
      <c r="B7637">
        <v>1970</v>
      </c>
      <c r="C7637">
        <v>0</v>
      </c>
    </row>
    <row r="7638" spans="1:3" x14ac:dyDescent="0.35">
      <c r="A7638">
        <v>115</v>
      </c>
      <c r="B7638">
        <v>1971</v>
      </c>
      <c r="C7638">
        <v>0</v>
      </c>
    </row>
    <row r="7639" spans="1:3" x14ac:dyDescent="0.35">
      <c r="A7639">
        <v>115</v>
      </c>
      <c r="B7639">
        <v>1972</v>
      </c>
      <c r="C7639">
        <v>0</v>
      </c>
    </row>
    <row r="7640" spans="1:3" x14ac:dyDescent="0.35">
      <c r="A7640">
        <v>115</v>
      </c>
      <c r="B7640">
        <v>1973</v>
      </c>
      <c r="C7640">
        <v>0</v>
      </c>
    </row>
    <row r="7641" spans="1:3" x14ac:dyDescent="0.35">
      <c r="A7641">
        <v>115</v>
      </c>
      <c r="B7641">
        <v>1974</v>
      </c>
      <c r="C7641">
        <v>0</v>
      </c>
    </row>
    <row r="7642" spans="1:3" x14ac:dyDescent="0.35">
      <c r="A7642">
        <v>115</v>
      </c>
      <c r="B7642">
        <v>1975</v>
      </c>
      <c r="C7642">
        <v>0</v>
      </c>
    </row>
    <row r="7643" spans="1:3" x14ac:dyDescent="0.35">
      <c r="A7643">
        <v>115</v>
      </c>
      <c r="B7643">
        <v>1976</v>
      </c>
      <c r="C7643">
        <v>0</v>
      </c>
    </row>
    <row r="7644" spans="1:3" x14ac:dyDescent="0.35">
      <c r="A7644">
        <v>115</v>
      </c>
      <c r="B7644">
        <v>1977</v>
      </c>
      <c r="C7644">
        <v>0</v>
      </c>
    </row>
    <row r="7645" spans="1:3" x14ac:dyDescent="0.35">
      <c r="A7645">
        <v>115</v>
      </c>
      <c r="B7645">
        <v>1978</v>
      </c>
      <c r="C7645">
        <v>0</v>
      </c>
    </row>
    <row r="7646" spans="1:3" x14ac:dyDescent="0.35">
      <c r="A7646">
        <v>115</v>
      </c>
      <c r="B7646">
        <v>1979</v>
      </c>
      <c r="C7646">
        <v>0</v>
      </c>
    </row>
    <row r="7647" spans="1:3" x14ac:dyDescent="0.35">
      <c r="A7647">
        <v>115</v>
      </c>
      <c r="B7647">
        <v>1980</v>
      </c>
      <c r="C7647">
        <v>0</v>
      </c>
    </row>
    <row r="7648" spans="1:3" x14ac:dyDescent="0.35">
      <c r="A7648">
        <v>115</v>
      </c>
      <c r="B7648">
        <v>1981</v>
      </c>
      <c r="C7648">
        <v>0</v>
      </c>
    </row>
    <row r="7649" spans="1:3" x14ac:dyDescent="0.35">
      <c r="A7649">
        <v>115</v>
      </c>
      <c r="B7649">
        <v>1982</v>
      </c>
      <c r="C7649">
        <v>0</v>
      </c>
    </row>
    <row r="7650" spans="1:3" x14ac:dyDescent="0.35">
      <c r="A7650">
        <v>115</v>
      </c>
      <c r="B7650">
        <v>1983</v>
      </c>
      <c r="C7650">
        <v>0</v>
      </c>
    </row>
    <row r="7651" spans="1:3" x14ac:dyDescent="0.35">
      <c r="A7651">
        <v>115</v>
      </c>
      <c r="B7651">
        <v>1984</v>
      </c>
      <c r="C7651">
        <v>0</v>
      </c>
    </row>
    <row r="7652" spans="1:3" x14ac:dyDescent="0.35">
      <c r="A7652">
        <v>115</v>
      </c>
      <c r="B7652">
        <v>1985</v>
      </c>
      <c r="C7652">
        <v>0</v>
      </c>
    </row>
    <row r="7653" spans="1:3" x14ac:dyDescent="0.35">
      <c r="A7653">
        <v>115</v>
      </c>
      <c r="B7653">
        <v>1986</v>
      </c>
      <c r="C7653">
        <v>0</v>
      </c>
    </row>
    <row r="7654" spans="1:3" x14ac:dyDescent="0.35">
      <c r="A7654">
        <v>115</v>
      </c>
      <c r="B7654">
        <v>1987</v>
      </c>
      <c r="C7654">
        <v>0</v>
      </c>
    </row>
    <row r="7655" spans="1:3" x14ac:dyDescent="0.35">
      <c r="A7655">
        <v>115</v>
      </c>
      <c r="B7655">
        <v>1988</v>
      </c>
      <c r="C7655">
        <v>0</v>
      </c>
    </row>
    <row r="7656" spans="1:3" x14ac:dyDescent="0.35">
      <c r="A7656">
        <v>115</v>
      </c>
      <c r="B7656">
        <v>1989</v>
      </c>
      <c r="C7656">
        <v>0</v>
      </c>
    </row>
    <row r="7657" spans="1:3" x14ac:dyDescent="0.35">
      <c r="A7657">
        <v>115</v>
      </c>
      <c r="B7657">
        <v>1990</v>
      </c>
      <c r="C7657">
        <v>0</v>
      </c>
    </row>
    <row r="7658" spans="1:3" x14ac:dyDescent="0.35">
      <c r="A7658">
        <v>115</v>
      </c>
      <c r="B7658">
        <v>1991</v>
      </c>
      <c r="C7658">
        <v>0</v>
      </c>
    </row>
    <row r="7659" spans="1:3" x14ac:dyDescent="0.35">
      <c r="A7659">
        <v>115</v>
      </c>
      <c r="B7659">
        <v>1992</v>
      </c>
      <c r="C7659">
        <v>0</v>
      </c>
    </row>
    <row r="7660" spans="1:3" x14ac:dyDescent="0.35">
      <c r="A7660">
        <v>115</v>
      </c>
      <c r="B7660">
        <v>1993</v>
      </c>
      <c r="C7660">
        <v>0</v>
      </c>
    </row>
    <row r="7661" spans="1:3" x14ac:dyDescent="0.35">
      <c r="A7661">
        <v>115</v>
      </c>
      <c r="B7661">
        <v>1994</v>
      </c>
      <c r="C7661">
        <v>0</v>
      </c>
    </row>
    <row r="7662" spans="1:3" x14ac:dyDescent="0.35">
      <c r="A7662">
        <v>115</v>
      </c>
      <c r="B7662">
        <v>1995</v>
      </c>
      <c r="C7662">
        <v>0</v>
      </c>
    </row>
    <row r="7663" spans="1:3" x14ac:dyDescent="0.35">
      <c r="A7663">
        <v>115</v>
      </c>
      <c r="B7663">
        <v>1996</v>
      </c>
      <c r="C7663">
        <v>0</v>
      </c>
    </row>
    <row r="7664" spans="1:3" x14ac:dyDescent="0.35">
      <c r="A7664">
        <v>115</v>
      </c>
      <c r="B7664">
        <v>1997</v>
      </c>
      <c r="C7664">
        <v>0</v>
      </c>
    </row>
    <row r="7665" spans="1:3" x14ac:dyDescent="0.35">
      <c r="A7665">
        <v>115</v>
      </c>
      <c r="B7665">
        <v>1998</v>
      </c>
      <c r="C7665">
        <v>0</v>
      </c>
    </row>
    <row r="7666" spans="1:3" x14ac:dyDescent="0.35">
      <c r="A7666">
        <v>115</v>
      </c>
      <c r="B7666">
        <v>1999</v>
      </c>
      <c r="C7666">
        <v>0</v>
      </c>
    </row>
    <row r="7667" spans="1:3" x14ac:dyDescent="0.35">
      <c r="A7667">
        <v>115</v>
      </c>
      <c r="B7667">
        <v>2000</v>
      </c>
      <c r="C7667">
        <v>0</v>
      </c>
    </row>
    <row r="7668" spans="1:3" x14ac:dyDescent="0.35">
      <c r="A7668">
        <v>115</v>
      </c>
      <c r="B7668">
        <v>2001</v>
      </c>
      <c r="C7668">
        <v>0</v>
      </c>
    </row>
    <row r="7669" spans="1:3" x14ac:dyDescent="0.35">
      <c r="A7669">
        <v>115</v>
      </c>
      <c r="B7669">
        <v>2002</v>
      </c>
      <c r="C7669">
        <v>0</v>
      </c>
    </row>
    <row r="7670" spans="1:3" x14ac:dyDescent="0.35">
      <c r="A7670">
        <v>115</v>
      </c>
      <c r="B7670">
        <v>2003</v>
      </c>
      <c r="C7670">
        <v>0</v>
      </c>
    </row>
    <row r="7671" spans="1:3" x14ac:dyDescent="0.35">
      <c r="A7671">
        <v>115</v>
      </c>
      <c r="B7671">
        <v>2004</v>
      </c>
      <c r="C7671">
        <v>0</v>
      </c>
    </row>
    <row r="7672" spans="1:3" x14ac:dyDescent="0.35">
      <c r="A7672">
        <v>115</v>
      </c>
      <c r="B7672">
        <v>2005</v>
      </c>
      <c r="C7672">
        <v>0</v>
      </c>
    </row>
    <row r="7673" spans="1:3" x14ac:dyDescent="0.35">
      <c r="A7673">
        <v>115</v>
      </c>
      <c r="B7673">
        <v>2006</v>
      </c>
      <c r="C7673">
        <v>0</v>
      </c>
    </row>
    <row r="7674" spans="1:3" x14ac:dyDescent="0.35">
      <c r="A7674">
        <v>115</v>
      </c>
      <c r="B7674">
        <v>2007</v>
      </c>
      <c r="C7674">
        <v>0</v>
      </c>
    </row>
    <row r="7675" spans="1:3" x14ac:dyDescent="0.35">
      <c r="A7675">
        <v>115</v>
      </c>
      <c r="B7675">
        <v>2008</v>
      </c>
      <c r="C7675">
        <v>0</v>
      </c>
    </row>
    <row r="7676" spans="1:3" x14ac:dyDescent="0.35">
      <c r="A7676">
        <v>115</v>
      </c>
      <c r="B7676">
        <v>2009</v>
      </c>
      <c r="C7676">
        <v>0</v>
      </c>
    </row>
    <row r="7677" spans="1:3" x14ac:dyDescent="0.35">
      <c r="A7677">
        <v>115</v>
      </c>
      <c r="B7677">
        <v>2010</v>
      </c>
      <c r="C7677">
        <v>0</v>
      </c>
    </row>
    <row r="7678" spans="1:3" x14ac:dyDescent="0.35">
      <c r="A7678">
        <v>115</v>
      </c>
      <c r="B7678">
        <v>2011</v>
      </c>
      <c r="C7678">
        <v>0</v>
      </c>
    </row>
    <row r="7679" spans="1:3" x14ac:dyDescent="0.35">
      <c r="A7679">
        <v>115</v>
      </c>
      <c r="B7679">
        <v>2012</v>
      </c>
      <c r="C7679">
        <v>0</v>
      </c>
    </row>
    <row r="7680" spans="1:3" x14ac:dyDescent="0.35">
      <c r="A7680">
        <v>115</v>
      </c>
      <c r="B7680">
        <v>2013</v>
      </c>
      <c r="C7680">
        <v>0</v>
      </c>
    </row>
    <row r="7681" spans="1:3" x14ac:dyDescent="0.35">
      <c r="A7681">
        <v>115</v>
      </c>
      <c r="B7681">
        <v>2014</v>
      </c>
      <c r="C7681">
        <v>0</v>
      </c>
    </row>
    <row r="7682" spans="1:3" x14ac:dyDescent="0.35">
      <c r="A7682">
        <v>115</v>
      </c>
      <c r="B7682">
        <v>2015</v>
      </c>
      <c r="C7682">
        <v>0</v>
      </c>
    </row>
    <row r="7683" spans="1:3" x14ac:dyDescent="0.35">
      <c r="A7683">
        <v>115</v>
      </c>
      <c r="B7683">
        <v>2016</v>
      </c>
      <c r="C7683">
        <v>0</v>
      </c>
    </row>
    <row r="7684" spans="1:3" x14ac:dyDescent="0.35">
      <c r="A7684">
        <v>115</v>
      </c>
      <c r="B7684">
        <v>2017</v>
      </c>
      <c r="C7684">
        <v>0</v>
      </c>
    </row>
    <row r="7685" spans="1:3" x14ac:dyDescent="0.35">
      <c r="A7685">
        <v>115</v>
      </c>
      <c r="B7685">
        <v>2018</v>
      </c>
      <c r="C7685">
        <v>0</v>
      </c>
    </row>
    <row r="7686" spans="1:3" x14ac:dyDescent="0.35">
      <c r="A7686">
        <v>115</v>
      </c>
      <c r="B7686">
        <v>2019</v>
      </c>
      <c r="C7686">
        <v>0</v>
      </c>
    </row>
    <row r="7687" spans="1:3" x14ac:dyDescent="0.35">
      <c r="A7687">
        <v>115</v>
      </c>
      <c r="B7687">
        <v>2020</v>
      </c>
      <c r="C7687">
        <v>0</v>
      </c>
    </row>
    <row r="7688" spans="1:3" x14ac:dyDescent="0.35">
      <c r="A7688">
        <v>115</v>
      </c>
      <c r="B7688">
        <v>2021</v>
      </c>
      <c r="C7688">
        <v>0</v>
      </c>
    </row>
    <row r="7689" spans="1:3" x14ac:dyDescent="0.35">
      <c r="A7689">
        <v>115</v>
      </c>
      <c r="B7689">
        <v>2022</v>
      </c>
      <c r="C7689">
        <v>0</v>
      </c>
    </row>
    <row r="7690" spans="1:3" x14ac:dyDescent="0.35">
      <c r="A7690">
        <v>115</v>
      </c>
      <c r="B7690">
        <v>2023</v>
      </c>
      <c r="C7690">
        <v>0</v>
      </c>
    </row>
    <row r="7691" spans="1:3" x14ac:dyDescent="0.35">
      <c r="A7691">
        <v>115</v>
      </c>
      <c r="B7691">
        <v>2024</v>
      </c>
      <c r="C7691">
        <v>0</v>
      </c>
    </row>
    <row r="7692" spans="1:3" x14ac:dyDescent="0.35">
      <c r="A7692">
        <v>115</v>
      </c>
      <c r="B7692">
        <v>2025</v>
      </c>
      <c r="C7692">
        <v>0</v>
      </c>
    </row>
    <row r="7693" spans="1:3" x14ac:dyDescent="0.35">
      <c r="A7693">
        <v>115</v>
      </c>
      <c r="B7693">
        <v>2026</v>
      </c>
      <c r="C7693">
        <v>0</v>
      </c>
    </row>
    <row r="7694" spans="1:3" x14ac:dyDescent="0.35">
      <c r="A7694">
        <v>115</v>
      </c>
      <c r="B7694">
        <v>2027</v>
      </c>
      <c r="C7694">
        <v>0</v>
      </c>
    </row>
    <row r="7695" spans="1:3" x14ac:dyDescent="0.35">
      <c r="A7695">
        <v>115</v>
      </c>
      <c r="B7695">
        <v>2028</v>
      </c>
      <c r="C7695">
        <v>0</v>
      </c>
    </row>
    <row r="7696" spans="1:3" x14ac:dyDescent="0.35">
      <c r="A7696">
        <v>115</v>
      </c>
      <c r="B7696">
        <v>2029</v>
      </c>
      <c r="C7696">
        <v>0</v>
      </c>
    </row>
    <row r="7697" spans="1:3" x14ac:dyDescent="0.35">
      <c r="A7697">
        <v>115</v>
      </c>
      <c r="B7697">
        <v>2030</v>
      </c>
      <c r="C7697">
        <v>0</v>
      </c>
    </row>
    <row r="7698" spans="1:3" x14ac:dyDescent="0.35">
      <c r="A7698">
        <v>115</v>
      </c>
      <c r="B7698">
        <v>2031</v>
      </c>
      <c r="C7698">
        <v>0</v>
      </c>
    </row>
    <row r="7699" spans="1:3" x14ac:dyDescent="0.35">
      <c r="A7699">
        <v>116</v>
      </c>
      <c r="B7699">
        <v>1951</v>
      </c>
      <c r="C7699">
        <v>0</v>
      </c>
    </row>
    <row r="7700" spans="1:3" x14ac:dyDescent="0.35">
      <c r="A7700">
        <v>116</v>
      </c>
      <c r="B7700">
        <v>1952</v>
      </c>
      <c r="C7700">
        <v>0</v>
      </c>
    </row>
    <row r="7701" spans="1:3" x14ac:dyDescent="0.35">
      <c r="A7701">
        <v>116</v>
      </c>
      <c r="B7701">
        <v>1953</v>
      </c>
      <c r="C7701">
        <v>0</v>
      </c>
    </row>
    <row r="7702" spans="1:3" x14ac:dyDescent="0.35">
      <c r="A7702">
        <v>116</v>
      </c>
      <c r="B7702">
        <v>1954</v>
      </c>
      <c r="C7702">
        <v>0</v>
      </c>
    </row>
    <row r="7703" spans="1:3" x14ac:dyDescent="0.35">
      <c r="A7703">
        <v>116</v>
      </c>
      <c r="B7703">
        <v>1955</v>
      </c>
      <c r="C7703">
        <v>0</v>
      </c>
    </row>
    <row r="7704" spans="1:3" x14ac:dyDescent="0.35">
      <c r="A7704">
        <v>116</v>
      </c>
      <c r="B7704">
        <v>1956</v>
      </c>
      <c r="C7704">
        <v>0</v>
      </c>
    </row>
    <row r="7705" spans="1:3" x14ac:dyDescent="0.35">
      <c r="A7705">
        <v>116</v>
      </c>
      <c r="B7705">
        <v>1957</v>
      </c>
      <c r="C7705">
        <v>0</v>
      </c>
    </row>
    <row r="7706" spans="1:3" x14ac:dyDescent="0.35">
      <c r="A7706">
        <v>116</v>
      </c>
      <c r="B7706">
        <v>1958</v>
      </c>
      <c r="C7706">
        <v>0</v>
      </c>
    </row>
    <row r="7707" spans="1:3" x14ac:dyDescent="0.35">
      <c r="A7707">
        <v>116</v>
      </c>
      <c r="B7707">
        <v>1959</v>
      </c>
      <c r="C7707">
        <v>0</v>
      </c>
    </row>
    <row r="7708" spans="1:3" x14ac:dyDescent="0.35">
      <c r="A7708">
        <v>116</v>
      </c>
      <c r="B7708">
        <v>1960</v>
      </c>
      <c r="C7708">
        <v>0</v>
      </c>
    </row>
    <row r="7709" spans="1:3" x14ac:dyDescent="0.35">
      <c r="A7709">
        <v>116</v>
      </c>
      <c r="B7709">
        <v>1961</v>
      </c>
      <c r="C7709">
        <v>0</v>
      </c>
    </row>
    <row r="7710" spans="1:3" x14ac:dyDescent="0.35">
      <c r="A7710">
        <v>116</v>
      </c>
      <c r="B7710">
        <v>1962</v>
      </c>
      <c r="C7710">
        <v>0</v>
      </c>
    </row>
    <row r="7711" spans="1:3" x14ac:dyDescent="0.35">
      <c r="A7711">
        <v>116</v>
      </c>
      <c r="B7711">
        <v>1963</v>
      </c>
      <c r="C7711">
        <v>0</v>
      </c>
    </row>
    <row r="7712" spans="1:3" x14ac:dyDescent="0.35">
      <c r="A7712">
        <v>116</v>
      </c>
      <c r="B7712">
        <v>1964</v>
      </c>
      <c r="C7712">
        <v>0</v>
      </c>
    </row>
    <row r="7713" spans="1:3" x14ac:dyDescent="0.35">
      <c r="A7713">
        <v>116</v>
      </c>
      <c r="B7713">
        <v>1965</v>
      </c>
      <c r="C7713">
        <v>0</v>
      </c>
    </row>
    <row r="7714" spans="1:3" x14ac:dyDescent="0.35">
      <c r="A7714">
        <v>116</v>
      </c>
      <c r="B7714">
        <v>1966</v>
      </c>
      <c r="C7714">
        <v>0</v>
      </c>
    </row>
    <row r="7715" spans="1:3" x14ac:dyDescent="0.35">
      <c r="A7715">
        <v>116</v>
      </c>
      <c r="B7715">
        <v>1967</v>
      </c>
      <c r="C7715">
        <v>0</v>
      </c>
    </row>
    <row r="7716" spans="1:3" x14ac:dyDescent="0.35">
      <c r="A7716">
        <v>116</v>
      </c>
      <c r="B7716">
        <v>1968</v>
      </c>
      <c r="C7716">
        <v>0</v>
      </c>
    </row>
    <row r="7717" spans="1:3" x14ac:dyDescent="0.35">
      <c r="A7717">
        <v>116</v>
      </c>
      <c r="B7717">
        <v>1969</v>
      </c>
      <c r="C7717">
        <v>0</v>
      </c>
    </row>
    <row r="7718" spans="1:3" x14ac:dyDescent="0.35">
      <c r="A7718">
        <v>116</v>
      </c>
      <c r="B7718">
        <v>1970</v>
      </c>
      <c r="C7718">
        <v>0</v>
      </c>
    </row>
    <row r="7719" spans="1:3" x14ac:dyDescent="0.35">
      <c r="A7719">
        <v>116</v>
      </c>
      <c r="B7719">
        <v>1971</v>
      </c>
      <c r="C7719">
        <v>0</v>
      </c>
    </row>
    <row r="7720" spans="1:3" x14ac:dyDescent="0.35">
      <c r="A7720">
        <v>116</v>
      </c>
      <c r="B7720">
        <v>1972</v>
      </c>
      <c r="C7720">
        <v>0</v>
      </c>
    </row>
    <row r="7721" spans="1:3" x14ac:dyDescent="0.35">
      <c r="A7721">
        <v>116</v>
      </c>
      <c r="B7721">
        <v>1973</v>
      </c>
      <c r="C7721">
        <v>0</v>
      </c>
    </row>
    <row r="7722" spans="1:3" x14ac:dyDescent="0.35">
      <c r="A7722">
        <v>116</v>
      </c>
      <c r="B7722">
        <v>1974</v>
      </c>
      <c r="C7722">
        <v>0</v>
      </c>
    </row>
    <row r="7723" spans="1:3" x14ac:dyDescent="0.35">
      <c r="A7723">
        <v>116</v>
      </c>
      <c r="B7723">
        <v>1975</v>
      </c>
      <c r="C7723">
        <v>0</v>
      </c>
    </row>
    <row r="7724" spans="1:3" x14ac:dyDescent="0.35">
      <c r="A7724">
        <v>116</v>
      </c>
      <c r="B7724">
        <v>1976</v>
      </c>
      <c r="C7724">
        <v>0</v>
      </c>
    </row>
    <row r="7725" spans="1:3" x14ac:dyDescent="0.35">
      <c r="A7725">
        <v>116</v>
      </c>
      <c r="B7725">
        <v>1977</v>
      </c>
      <c r="C7725">
        <v>0</v>
      </c>
    </row>
    <row r="7726" spans="1:3" x14ac:dyDescent="0.35">
      <c r="A7726">
        <v>116</v>
      </c>
      <c r="B7726">
        <v>1978</v>
      </c>
      <c r="C7726">
        <v>0</v>
      </c>
    </row>
    <row r="7727" spans="1:3" x14ac:dyDescent="0.35">
      <c r="A7727">
        <v>116</v>
      </c>
      <c r="B7727">
        <v>1979</v>
      </c>
      <c r="C7727">
        <v>0</v>
      </c>
    </row>
    <row r="7728" spans="1:3" x14ac:dyDescent="0.35">
      <c r="A7728">
        <v>116</v>
      </c>
      <c r="B7728">
        <v>1980</v>
      </c>
      <c r="C7728">
        <v>0</v>
      </c>
    </row>
    <row r="7729" spans="1:3" x14ac:dyDescent="0.35">
      <c r="A7729">
        <v>116</v>
      </c>
      <c r="B7729">
        <v>1981</v>
      </c>
      <c r="C7729">
        <v>0</v>
      </c>
    </row>
    <row r="7730" spans="1:3" x14ac:dyDescent="0.35">
      <c r="A7730">
        <v>116</v>
      </c>
      <c r="B7730">
        <v>1982</v>
      </c>
      <c r="C7730">
        <v>0</v>
      </c>
    </row>
    <row r="7731" spans="1:3" x14ac:dyDescent="0.35">
      <c r="A7731">
        <v>116</v>
      </c>
      <c r="B7731">
        <v>1983</v>
      </c>
      <c r="C7731">
        <v>0</v>
      </c>
    </row>
    <row r="7732" spans="1:3" x14ac:dyDescent="0.35">
      <c r="A7732">
        <v>116</v>
      </c>
      <c r="B7732">
        <v>1984</v>
      </c>
      <c r="C7732">
        <v>0</v>
      </c>
    </row>
    <row r="7733" spans="1:3" x14ac:dyDescent="0.35">
      <c r="A7733">
        <v>116</v>
      </c>
      <c r="B7733">
        <v>1985</v>
      </c>
      <c r="C7733">
        <v>0</v>
      </c>
    </row>
    <row r="7734" spans="1:3" x14ac:dyDescent="0.35">
      <c r="A7734">
        <v>116</v>
      </c>
      <c r="B7734">
        <v>1986</v>
      </c>
      <c r="C7734">
        <v>0</v>
      </c>
    </row>
    <row r="7735" spans="1:3" x14ac:dyDescent="0.35">
      <c r="A7735">
        <v>116</v>
      </c>
      <c r="B7735">
        <v>1987</v>
      </c>
      <c r="C7735">
        <v>0</v>
      </c>
    </row>
    <row r="7736" spans="1:3" x14ac:dyDescent="0.35">
      <c r="A7736">
        <v>116</v>
      </c>
      <c r="B7736">
        <v>1988</v>
      </c>
      <c r="C7736">
        <v>0</v>
      </c>
    </row>
    <row r="7737" spans="1:3" x14ac:dyDescent="0.35">
      <c r="A7737">
        <v>116</v>
      </c>
      <c r="B7737">
        <v>1989</v>
      </c>
      <c r="C7737">
        <v>0</v>
      </c>
    </row>
    <row r="7738" spans="1:3" x14ac:dyDescent="0.35">
      <c r="A7738">
        <v>116</v>
      </c>
      <c r="B7738">
        <v>1990</v>
      </c>
      <c r="C7738">
        <v>0</v>
      </c>
    </row>
    <row r="7739" spans="1:3" x14ac:dyDescent="0.35">
      <c r="A7739">
        <v>116</v>
      </c>
      <c r="B7739">
        <v>1991</v>
      </c>
      <c r="C7739">
        <v>0</v>
      </c>
    </row>
    <row r="7740" spans="1:3" x14ac:dyDescent="0.35">
      <c r="A7740">
        <v>116</v>
      </c>
      <c r="B7740">
        <v>1992</v>
      </c>
      <c r="C7740">
        <v>0</v>
      </c>
    </row>
    <row r="7741" spans="1:3" x14ac:dyDescent="0.35">
      <c r="A7741">
        <v>116</v>
      </c>
      <c r="B7741">
        <v>1993</v>
      </c>
      <c r="C7741">
        <v>0</v>
      </c>
    </row>
    <row r="7742" spans="1:3" x14ac:dyDescent="0.35">
      <c r="A7742">
        <v>116</v>
      </c>
      <c r="B7742">
        <v>1994</v>
      </c>
      <c r="C7742">
        <v>0</v>
      </c>
    </row>
    <row r="7743" spans="1:3" x14ac:dyDescent="0.35">
      <c r="A7743">
        <v>116</v>
      </c>
      <c r="B7743">
        <v>1995</v>
      </c>
      <c r="C7743">
        <v>0</v>
      </c>
    </row>
    <row r="7744" spans="1:3" x14ac:dyDescent="0.35">
      <c r="A7744">
        <v>116</v>
      </c>
      <c r="B7744">
        <v>1996</v>
      </c>
      <c r="C7744">
        <v>0</v>
      </c>
    </row>
    <row r="7745" spans="1:3" x14ac:dyDescent="0.35">
      <c r="A7745">
        <v>116</v>
      </c>
      <c r="B7745">
        <v>1997</v>
      </c>
      <c r="C7745">
        <v>0</v>
      </c>
    </row>
    <row r="7746" spans="1:3" x14ac:dyDescent="0.35">
      <c r="A7746">
        <v>116</v>
      </c>
      <c r="B7746">
        <v>1998</v>
      </c>
      <c r="C7746">
        <v>0</v>
      </c>
    </row>
    <row r="7747" spans="1:3" x14ac:dyDescent="0.35">
      <c r="A7747">
        <v>116</v>
      </c>
      <c r="B7747">
        <v>1999</v>
      </c>
      <c r="C7747">
        <v>0</v>
      </c>
    </row>
    <row r="7748" spans="1:3" x14ac:dyDescent="0.35">
      <c r="A7748">
        <v>116</v>
      </c>
      <c r="B7748">
        <v>2000</v>
      </c>
      <c r="C7748">
        <v>0</v>
      </c>
    </row>
    <row r="7749" spans="1:3" x14ac:dyDescent="0.35">
      <c r="A7749">
        <v>116</v>
      </c>
      <c r="B7749">
        <v>2001</v>
      </c>
      <c r="C7749">
        <v>0</v>
      </c>
    </row>
    <row r="7750" spans="1:3" x14ac:dyDescent="0.35">
      <c r="A7750">
        <v>116</v>
      </c>
      <c r="B7750">
        <v>2002</v>
      </c>
      <c r="C7750">
        <v>0</v>
      </c>
    </row>
    <row r="7751" spans="1:3" x14ac:dyDescent="0.35">
      <c r="A7751">
        <v>116</v>
      </c>
      <c r="B7751">
        <v>2003</v>
      </c>
      <c r="C7751">
        <v>0</v>
      </c>
    </row>
    <row r="7752" spans="1:3" x14ac:dyDescent="0.35">
      <c r="A7752">
        <v>116</v>
      </c>
      <c r="B7752">
        <v>2004</v>
      </c>
      <c r="C7752">
        <v>0</v>
      </c>
    </row>
    <row r="7753" spans="1:3" x14ac:dyDescent="0.35">
      <c r="A7753">
        <v>116</v>
      </c>
      <c r="B7753">
        <v>2005</v>
      </c>
      <c r="C7753">
        <v>0</v>
      </c>
    </row>
    <row r="7754" spans="1:3" x14ac:dyDescent="0.35">
      <c r="A7754">
        <v>116</v>
      </c>
      <c r="B7754">
        <v>2006</v>
      </c>
      <c r="C7754">
        <v>0</v>
      </c>
    </row>
    <row r="7755" spans="1:3" x14ac:dyDescent="0.35">
      <c r="A7755">
        <v>116</v>
      </c>
      <c r="B7755">
        <v>2007</v>
      </c>
      <c r="C7755">
        <v>0</v>
      </c>
    </row>
    <row r="7756" spans="1:3" x14ac:dyDescent="0.35">
      <c r="A7756">
        <v>116</v>
      </c>
      <c r="B7756">
        <v>2008</v>
      </c>
      <c r="C7756">
        <v>0</v>
      </c>
    </row>
    <row r="7757" spans="1:3" x14ac:dyDescent="0.35">
      <c r="A7757">
        <v>116</v>
      </c>
      <c r="B7757">
        <v>2009</v>
      </c>
      <c r="C7757">
        <v>0</v>
      </c>
    </row>
    <row r="7758" spans="1:3" x14ac:dyDescent="0.35">
      <c r="A7758">
        <v>116</v>
      </c>
      <c r="B7758">
        <v>2010</v>
      </c>
      <c r="C7758">
        <v>0</v>
      </c>
    </row>
    <row r="7759" spans="1:3" x14ac:dyDescent="0.35">
      <c r="A7759">
        <v>116</v>
      </c>
      <c r="B7759">
        <v>2011</v>
      </c>
      <c r="C7759">
        <v>0</v>
      </c>
    </row>
    <row r="7760" spans="1:3" x14ac:dyDescent="0.35">
      <c r="A7760">
        <v>116</v>
      </c>
      <c r="B7760">
        <v>2012</v>
      </c>
      <c r="C7760">
        <v>0</v>
      </c>
    </row>
    <row r="7761" spans="1:3" x14ac:dyDescent="0.35">
      <c r="A7761">
        <v>116</v>
      </c>
      <c r="B7761">
        <v>2013</v>
      </c>
      <c r="C7761">
        <v>0</v>
      </c>
    </row>
    <row r="7762" spans="1:3" x14ac:dyDescent="0.35">
      <c r="A7762">
        <v>116</v>
      </c>
      <c r="B7762">
        <v>2014</v>
      </c>
      <c r="C7762">
        <v>0</v>
      </c>
    </row>
    <row r="7763" spans="1:3" x14ac:dyDescent="0.35">
      <c r="A7763">
        <v>116</v>
      </c>
      <c r="B7763">
        <v>2015</v>
      </c>
      <c r="C7763">
        <v>0</v>
      </c>
    </row>
    <row r="7764" spans="1:3" x14ac:dyDescent="0.35">
      <c r="A7764">
        <v>116</v>
      </c>
      <c r="B7764">
        <v>2016</v>
      </c>
      <c r="C7764">
        <v>0</v>
      </c>
    </row>
    <row r="7765" spans="1:3" x14ac:dyDescent="0.35">
      <c r="A7765">
        <v>116</v>
      </c>
      <c r="B7765">
        <v>2017</v>
      </c>
      <c r="C7765">
        <v>0</v>
      </c>
    </row>
    <row r="7766" spans="1:3" x14ac:dyDescent="0.35">
      <c r="A7766">
        <v>116</v>
      </c>
      <c r="B7766">
        <v>2018</v>
      </c>
      <c r="C7766">
        <v>0</v>
      </c>
    </row>
    <row r="7767" spans="1:3" x14ac:dyDescent="0.35">
      <c r="A7767">
        <v>116</v>
      </c>
      <c r="B7767">
        <v>2019</v>
      </c>
      <c r="C7767">
        <v>0</v>
      </c>
    </row>
    <row r="7768" spans="1:3" x14ac:dyDescent="0.35">
      <c r="A7768">
        <v>116</v>
      </c>
      <c r="B7768">
        <v>2020</v>
      </c>
      <c r="C7768">
        <v>0</v>
      </c>
    </row>
    <row r="7769" spans="1:3" x14ac:dyDescent="0.35">
      <c r="A7769">
        <v>116</v>
      </c>
      <c r="B7769">
        <v>2021</v>
      </c>
      <c r="C7769">
        <v>0</v>
      </c>
    </row>
    <row r="7770" spans="1:3" x14ac:dyDescent="0.35">
      <c r="A7770">
        <v>116</v>
      </c>
      <c r="B7770">
        <v>2022</v>
      </c>
      <c r="C7770">
        <v>0</v>
      </c>
    </row>
    <row r="7771" spans="1:3" x14ac:dyDescent="0.35">
      <c r="A7771">
        <v>116</v>
      </c>
      <c r="B7771">
        <v>2023</v>
      </c>
      <c r="C7771">
        <v>0</v>
      </c>
    </row>
    <row r="7772" spans="1:3" x14ac:dyDescent="0.35">
      <c r="A7772">
        <v>116</v>
      </c>
      <c r="B7772">
        <v>2024</v>
      </c>
      <c r="C7772">
        <v>0</v>
      </c>
    </row>
    <row r="7773" spans="1:3" x14ac:dyDescent="0.35">
      <c r="A7773">
        <v>116</v>
      </c>
      <c r="B7773">
        <v>2025</v>
      </c>
      <c r="C7773">
        <v>0</v>
      </c>
    </row>
    <row r="7774" spans="1:3" x14ac:dyDescent="0.35">
      <c r="A7774">
        <v>116</v>
      </c>
      <c r="B7774">
        <v>2026</v>
      </c>
      <c r="C7774">
        <v>0</v>
      </c>
    </row>
    <row r="7775" spans="1:3" x14ac:dyDescent="0.35">
      <c r="A7775">
        <v>116</v>
      </c>
      <c r="B7775">
        <v>2027</v>
      </c>
      <c r="C7775">
        <v>0</v>
      </c>
    </row>
    <row r="7776" spans="1:3" x14ac:dyDescent="0.35">
      <c r="A7776">
        <v>116</v>
      </c>
      <c r="B7776">
        <v>2028</v>
      </c>
      <c r="C7776">
        <v>0</v>
      </c>
    </row>
    <row r="7777" spans="1:3" x14ac:dyDescent="0.35">
      <c r="A7777">
        <v>116</v>
      </c>
      <c r="B7777">
        <v>2029</v>
      </c>
      <c r="C7777">
        <v>0</v>
      </c>
    </row>
    <row r="7778" spans="1:3" x14ac:dyDescent="0.35">
      <c r="A7778">
        <v>116</v>
      </c>
      <c r="B7778">
        <v>2030</v>
      </c>
      <c r="C7778">
        <v>0</v>
      </c>
    </row>
    <row r="7779" spans="1:3" x14ac:dyDescent="0.35">
      <c r="A7779">
        <v>116</v>
      </c>
      <c r="B7779">
        <v>2031</v>
      </c>
      <c r="C7779">
        <v>0</v>
      </c>
    </row>
    <row r="7780" spans="1:3" x14ac:dyDescent="0.35">
      <c r="A7780">
        <v>117</v>
      </c>
      <c r="B7780">
        <v>1951</v>
      </c>
      <c r="C7780">
        <v>0</v>
      </c>
    </row>
    <row r="7781" spans="1:3" x14ac:dyDescent="0.35">
      <c r="A7781">
        <v>117</v>
      </c>
      <c r="B7781">
        <v>1952</v>
      </c>
      <c r="C7781">
        <v>0</v>
      </c>
    </row>
    <row r="7782" spans="1:3" x14ac:dyDescent="0.35">
      <c r="A7782">
        <v>117</v>
      </c>
      <c r="B7782">
        <v>1953</v>
      </c>
      <c r="C7782">
        <v>0</v>
      </c>
    </row>
    <row r="7783" spans="1:3" x14ac:dyDescent="0.35">
      <c r="A7783">
        <v>117</v>
      </c>
      <c r="B7783">
        <v>1954</v>
      </c>
      <c r="C7783">
        <v>0</v>
      </c>
    </row>
    <row r="7784" spans="1:3" x14ac:dyDescent="0.35">
      <c r="A7784">
        <v>117</v>
      </c>
      <c r="B7784">
        <v>1955</v>
      </c>
      <c r="C7784">
        <v>0</v>
      </c>
    </row>
    <row r="7785" spans="1:3" x14ac:dyDescent="0.35">
      <c r="A7785">
        <v>117</v>
      </c>
      <c r="B7785">
        <v>1956</v>
      </c>
      <c r="C7785">
        <v>0</v>
      </c>
    </row>
    <row r="7786" spans="1:3" x14ac:dyDescent="0.35">
      <c r="A7786">
        <v>117</v>
      </c>
      <c r="B7786">
        <v>1957</v>
      </c>
      <c r="C7786">
        <v>0</v>
      </c>
    </row>
    <row r="7787" spans="1:3" x14ac:dyDescent="0.35">
      <c r="A7787">
        <v>117</v>
      </c>
      <c r="B7787">
        <v>1958</v>
      </c>
      <c r="C7787">
        <v>0</v>
      </c>
    </row>
    <row r="7788" spans="1:3" x14ac:dyDescent="0.35">
      <c r="A7788">
        <v>117</v>
      </c>
      <c r="B7788">
        <v>1959</v>
      </c>
      <c r="C7788">
        <v>0</v>
      </c>
    </row>
    <row r="7789" spans="1:3" x14ac:dyDescent="0.35">
      <c r="A7789">
        <v>117</v>
      </c>
      <c r="B7789">
        <v>1960</v>
      </c>
      <c r="C7789">
        <v>0</v>
      </c>
    </row>
    <row r="7790" spans="1:3" x14ac:dyDescent="0.35">
      <c r="A7790">
        <v>117</v>
      </c>
      <c r="B7790">
        <v>1961</v>
      </c>
      <c r="C7790">
        <v>0</v>
      </c>
    </row>
    <row r="7791" spans="1:3" x14ac:dyDescent="0.35">
      <c r="A7791">
        <v>117</v>
      </c>
      <c r="B7791">
        <v>1962</v>
      </c>
      <c r="C7791">
        <v>0</v>
      </c>
    </row>
    <row r="7792" spans="1:3" x14ac:dyDescent="0.35">
      <c r="A7792">
        <v>117</v>
      </c>
      <c r="B7792">
        <v>1963</v>
      </c>
      <c r="C7792">
        <v>0</v>
      </c>
    </row>
    <row r="7793" spans="1:3" x14ac:dyDescent="0.35">
      <c r="A7793">
        <v>117</v>
      </c>
      <c r="B7793">
        <v>1964</v>
      </c>
      <c r="C7793">
        <v>0</v>
      </c>
    </row>
    <row r="7794" spans="1:3" x14ac:dyDescent="0.35">
      <c r="A7794">
        <v>117</v>
      </c>
      <c r="B7794">
        <v>1965</v>
      </c>
      <c r="C7794">
        <v>0</v>
      </c>
    </row>
    <row r="7795" spans="1:3" x14ac:dyDescent="0.35">
      <c r="A7795">
        <v>117</v>
      </c>
      <c r="B7795">
        <v>1966</v>
      </c>
      <c r="C7795">
        <v>0</v>
      </c>
    </row>
    <row r="7796" spans="1:3" x14ac:dyDescent="0.35">
      <c r="A7796">
        <v>117</v>
      </c>
      <c r="B7796">
        <v>1967</v>
      </c>
      <c r="C7796">
        <v>0</v>
      </c>
    </row>
    <row r="7797" spans="1:3" x14ac:dyDescent="0.35">
      <c r="A7797">
        <v>117</v>
      </c>
      <c r="B7797">
        <v>1968</v>
      </c>
      <c r="C7797">
        <v>0</v>
      </c>
    </row>
    <row r="7798" spans="1:3" x14ac:dyDescent="0.35">
      <c r="A7798">
        <v>117</v>
      </c>
      <c r="B7798">
        <v>1969</v>
      </c>
      <c r="C7798">
        <v>0</v>
      </c>
    </row>
    <row r="7799" spans="1:3" x14ac:dyDescent="0.35">
      <c r="A7799">
        <v>117</v>
      </c>
      <c r="B7799">
        <v>1970</v>
      </c>
      <c r="C7799">
        <v>0</v>
      </c>
    </row>
    <row r="7800" spans="1:3" x14ac:dyDescent="0.35">
      <c r="A7800">
        <v>117</v>
      </c>
      <c r="B7800">
        <v>1971</v>
      </c>
      <c r="C7800">
        <v>0</v>
      </c>
    </row>
    <row r="7801" spans="1:3" x14ac:dyDescent="0.35">
      <c r="A7801">
        <v>117</v>
      </c>
      <c r="B7801">
        <v>1972</v>
      </c>
      <c r="C7801">
        <v>0</v>
      </c>
    </row>
    <row r="7802" spans="1:3" x14ac:dyDescent="0.35">
      <c r="A7802">
        <v>117</v>
      </c>
      <c r="B7802">
        <v>1973</v>
      </c>
      <c r="C7802">
        <v>0</v>
      </c>
    </row>
    <row r="7803" spans="1:3" x14ac:dyDescent="0.35">
      <c r="A7803">
        <v>117</v>
      </c>
      <c r="B7803">
        <v>1974</v>
      </c>
      <c r="C7803">
        <v>0</v>
      </c>
    </row>
    <row r="7804" spans="1:3" x14ac:dyDescent="0.35">
      <c r="A7804">
        <v>117</v>
      </c>
      <c r="B7804">
        <v>1975</v>
      </c>
      <c r="C7804">
        <v>0</v>
      </c>
    </row>
    <row r="7805" spans="1:3" x14ac:dyDescent="0.35">
      <c r="A7805">
        <v>117</v>
      </c>
      <c r="B7805">
        <v>1976</v>
      </c>
      <c r="C7805">
        <v>0</v>
      </c>
    </row>
    <row r="7806" spans="1:3" x14ac:dyDescent="0.35">
      <c r="A7806">
        <v>117</v>
      </c>
      <c r="B7806">
        <v>1977</v>
      </c>
      <c r="C7806">
        <v>0</v>
      </c>
    </row>
    <row r="7807" spans="1:3" x14ac:dyDescent="0.35">
      <c r="A7807">
        <v>117</v>
      </c>
      <c r="B7807">
        <v>1978</v>
      </c>
      <c r="C7807">
        <v>0</v>
      </c>
    </row>
    <row r="7808" spans="1:3" x14ac:dyDescent="0.35">
      <c r="A7808">
        <v>117</v>
      </c>
      <c r="B7808">
        <v>1979</v>
      </c>
      <c r="C7808">
        <v>0</v>
      </c>
    </row>
    <row r="7809" spans="1:3" x14ac:dyDescent="0.35">
      <c r="A7809">
        <v>117</v>
      </c>
      <c r="B7809">
        <v>1980</v>
      </c>
      <c r="C7809">
        <v>0</v>
      </c>
    </row>
    <row r="7810" spans="1:3" x14ac:dyDescent="0.35">
      <c r="A7810">
        <v>117</v>
      </c>
      <c r="B7810">
        <v>1981</v>
      </c>
      <c r="C7810">
        <v>0</v>
      </c>
    </row>
    <row r="7811" spans="1:3" x14ac:dyDescent="0.35">
      <c r="A7811">
        <v>117</v>
      </c>
      <c r="B7811">
        <v>1982</v>
      </c>
      <c r="C7811">
        <v>0</v>
      </c>
    </row>
    <row r="7812" spans="1:3" x14ac:dyDescent="0.35">
      <c r="A7812">
        <v>117</v>
      </c>
      <c r="B7812">
        <v>1983</v>
      </c>
      <c r="C7812">
        <v>0</v>
      </c>
    </row>
    <row r="7813" spans="1:3" x14ac:dyDescent="0.35">
      <c r="A7813">
        <v>117</v>
      </c>
      <c r="B7813">
        <v>1984</v>
      </c>
      <c r="C7813">
        <v>0</v>
      </c>
    </row>
    <row r="7814" spans="1:3" x14ac:dyDescent="0.35">
      <c r="A7814">
        <v>117</v>
      </c>
      <c r="B7814">
        <v>1985</v>
      </c>
      <c r="C7814">
        <v>0</v>
      </c>
    </row>
    <row r="7815" spans="1:3" x14ac:dyDescent="0.35">
      <c r="A7815">
        <v>117</v>
      </c>
      <c r="B7815">
        <v>1986</v>
      </c>
      <c r="C7815">
        <v>0</v>
      </c>
    </row>
    <row r="7816" spans="1:3" x14ac:dyDescent="0.35">
      <c r="A7816">
        <v>117</v>
      </c>
      <c r="B7816">
        <v>1987</v>
      </c>
      <c r="C7816">
        <v>0</v>
      </c>
    </row>
    <row r="7817" spans="1:3" x14ac:dyDescent="0.35">
      <c r="A7817">
        <v>117</v>
      </c>
      <c r="B7817">
        <v>1988</v>
      </c>
      <c r="C7817">
        <v>0</v>
      </c>
    </row>
    <row r="7818" spans="1:3" x14ac:dyDescent="0.35">
      <c r="A7818">
        <v>117</v>
      </c>
      <c r="B7818">
        <v>1989</v>
      </c>
      <c r="C7818">
        <v>0</v>
      </c>
    </row>
    <row r="7819" spans="1:3" x14ac:dyDescent="0.35">
      <c r="A7819">
        <v>117</v>
      </c>
      <c r="B7819">
        <v>1990</v>
      </c>
      <c r="C7819">
        <v>0</v>
      </c>
    </row>
    <row r="7820" spans="1:3" x14ac:dyDescent="0.35">
      <c r="A7820">
        <v>117</v>
      </c>
      <c r="B7820">
        <v>1991</v>
      </c>
      <c r="C7820">
        <v>0</v>
      </c>
    </row>
    <row r="7821" spans="1:3" x14ac:dyDescent="0.35">
      <c r="A7821">
        <v>117</v>
      </c>
      <c r="B7821">
        <v>1992</v>
      </c>
      <c r="C7821">
        <v>0</v>
      </c>
    </row>
    <row r="7822" spans="1:3" x14ac:dyDescent="0.35">
      <c r="A7822">
        <v>117</v>
      </c>
      <c r="B7822">
        <v>1993</v>
      </c>
      <c r="C7822">
        <v>0</v>
      </c>
    </row>
    <row r="7823" spans="1:3" x14ac:dyDescent="0.35">
      <c r="A7823">
        <v>117</v>
      </c>
      <c r="B7823">
        <v>1994</v>
      </c>
      <c r="C7823">
        <v>0</v>
      </c>
    </row>
    <row r="7824" spans="1:3" x14ac:dyDescent="0.35">
      <c r="A7824">
        <v>117</v>
      </c>
      <c r="B7824">
        <v>1995</v>
      </c>
      <c r="C7824">
        <v>0</v>
      </c>
    </row>
    <row r="7825" spans="1:3" x14ac:dyDescent="0.35">
      <c r="A7825">
        <v>117</v>
      </c>
      <c r="B7825">
        <v>1996</v>
      </c>
      <c r="C7825">
        <v>0</v>
      </c>
    </row>
    <row r="7826" spans="1:3" x14ac:dyDescent="0.35">
      <c r="A7826">
        <v>117</v>
      </c>
      <c r="B7826">
        <v>1997</v>
      </c>
      <c r="C7826">
        <v>0</v>
      </c>
    </row>
    <row r="7827" spans="1:3" x14ac:dyDescent="0.35">
      <c r="A7827">
        <v>117</v>
      </c>
      <c r="B7827">
        <v>1998</v>
      </c>
      <c r="C7827">
        <v>0</v>
      </c>
    </row>
    <row r="7828" spans="1:3" x14ac:dyDescent="0.35">
      <c r="A7828">
        <v>117</v>
      </c>
      <c r="B7828">
        <v>1999</v>
      </c>
      <c r="C7828">
        <v>0</v>
      </c>
    </row>
    <row r="7829" spans="1:3" x14ac:dyDescent="0.35">
      <c r="A7829">
        <v>117</v>
      </c>
      <c r="B7829">
        <v>2000</v>
      </c>
      <c r="C7829">
        <v>0</v>
      </c>
    </row>
    <row r="7830" spans="1:3" x14ac:dyDescent="0.35">
      <c r="A7830">
        <v>117</v>
      </c>
      <c r="B7830">
        <v>2001</v>
      </c>
      <c r="C7830">
        <v>0</v>
      </c>
    </row>
    <row r="7831" spans="1:3" x14ac:dyDescent="0.35">
      <c r="A7831">
        <v>117</v>
      </c>
      <c r="B7831">
        <v>2002</v>
      </c>
      <c r="C7831">
        <v>0</v>
      </c>
    </row>
    <row r="7832" spans="1:3" x14ac:dyDescent="0.35">
      <c r="A7832">
        <v>117</v>
      </c>
      <c r="B7832">
        <v>2003</v>
      </c>
      <c r="C7832">
        <v>0</v>
      </c>
    </row>
    <row r="7833" spans="1:3" x14ac:dyDescent="0.35">
      <c r="A7833">
        <v>117</v>
      </c>
      <c r="B7833">
        <v>2004</v>
      </c>
      <c r="C7833">
        <v>0</v>
      </c>
    </row>
    <row r="7834" spans="1:3" x14ac:dyDescent="0.35">
      <c r="A7834">
        <v>117</v>
      </c>
      <c r="B7834">
        <v>2005</v>
      </c>
      <c r="C7834">
        <v>0</v>
      </c>
    </row>
    <row r="7835" spans="1:3" x14ac:dyDescent="0.35">
      <c r="A7835">
        <v>117</v>
      </c>
      <c r="B7835">
        <v>2006</v>
      </c>
      <c r="C7835">
        <v>0</v>
      </c>
    </row>
    <row r="7836" spans="1:3" x14ac:dyDescent="0.35">
      <c r="A7836">
        <v>117</v>
      </c>
      <c r="B7836">
        <v>2007</v>
      </c>
      <c r="C7836">
        <v>0</v>
      </c>
    </row>
    <row r="7837" spans="1:3" x14ac:dyDescent="0.35">
      <c r="A7837">
        <v>117</v>
      </c>
      <c r="B7837">
        <v>2008</v>
      </c>
      <c r="C7837">
        <v>0</v>
      </c>
    </row>
    <row r="7838" spans="1:3" x14ac:dyDescent="0.35">
      <c r="A7838">
        <v>117</v>
      </c>
      <c r="B7838">
        <v>2009</v>
      </c>
      <c r="C7838">
        <v>0</v>
      </c>
    </row>
    <row r="7839" spans="1:3" x14ac:dyDescent="0.35">
      <c r="A7839">
        <v>117</v>
      </c>
      <c r="B7839">
        <v>2010</v>
      </c>
      <c r="C7839">
        <v>0</v>
      </c>
    </row>
    <row r="7840" spans="1:3" x14ac:dyDescent="0.35">
      <c r="A7840">
        <v>117</v>
      </c>
      <c r="B7840">
        <v>2011</v>
      </c>
      <c r="C7840">
        <v>0</v>
      </c>
    </row>
    <row r="7841" spans="1:3" x14ac:dyDescent="0.35">
      <c r="A7841">
        <v>117</v>
      </c>
      <c r="B7841">
        <v>2012</v>
      </c>
      <c r="C7841">
        <v>0</v>
      </c>
    </row>
    <row r="7842" spans="1:3" x14ac:dyDescent="0.35">
      <c r="A7842">
        <v>117</v>
      </c>
      <c r="B7842">
        <v>2013</v>
      </c>
      <c r="C7842">
        <v>0</v>
      </c>
    </row>
    <row r="7843" spans="1:3" x14ac:dyDescent="0.35">
      <c r="A7843">
        <v>117</v>
      </c>
      <c r="B7843">
        <v>2014</v>
      </c>
      <c r="C7843">
        <v>0</v>
      </c>
    </row>
    <row r="7844" spans="1:3" x14ac:dyDescent="0.35">
      <c r="A7844">
        <v>117</v>
      </c>
      <c r="B7844">
        <v>2015</v>
      </c>
      <c r="C7844">
        <v>0</v>
      </c>
    </row>
    <row r="7845" spans="1:3" x14ac:dyDescent="0.35">
      <c r="A7845">
        <v>117</v>
      </c>
      <c r="B7845">
        <v>2016</v>
      </c>
      <c r="C7845">
        <v>0</v>
      </c>
    </row>
    <row r="7846" spans="1:3" x14ac:dyDescent="0.35">
      <c r="A7846">
        <v>117</v>
      </c>
      <c r="B7846">
        <v>2017</v>
      </c>
      <c r="C7846">
        <v>0</v>
      </c>
    </row>
    <row r="7847" spans="1:3" x14ac:dyDescent="0.35">
      <c r="A7847">
        <v>117</v>
      </c>
      <c r="B7847">
        <v>2018</v>
      </c>
      <c r="C7847">
        <v>0</v>
      </c>
    </row>
    <row r="7848" spans="1:3" x14ac:dyDescent="0.35">
      <c r="A7848">
        <v>117</v>
      </c>
      <c r="B7848">
        <v>2019</v>
      </c>
      <c r="C7848">
        <v>0</v>
      </c>
    </row>
    <row r="7849" spans="1:3" x14ac:dyDescent="0.35">
      <c r="A7849">
        <v>117</v>
      </c>
      <c r="B7849">
        <v>2020</v>
      </c>
      <c r="C7849">
        <v>0</v>
      </c>
    </row>
    <row r="7850" spans="1:3" x14ac:dyDescent="0.35">
      <c r="A7850">
        <v>117</v>
      </c>
      <c r="B7850">
        <v>2021</v>
      </c>
      <c r="C7850">
        <v>0</v>
      </c>
    </row>
    <row r="7851" spans="1:3" x14ac:dyDescent="0.35">
      <c r="A7851">
        <v>117</v>
      </c>
      <c r="B7851">
        <v>2022</v>
      </c>
      <c r="C7851">
        <v>0</v>
      </c>
    </row>
    <row r="7852" spans="1:3" x14ac:dyDescent="0.35">
      <c r="A7852">
        <v>117</v>
      </c>
      <c r="B7852">
        <v>2023</v>
      </c>
      <c r="C7852">
        <v>0</v>
      </c>
    </row>
    <row r="7853" spans="1:3" x14ac:dyDescent="0.35">
      <c r="A7853">
        <v>117</v>
      </c>
      <c r="B7853">
        <v>2024</v>
      </c>
      <c r="C7853">
        <v>0</v>
      </c>
    </row>
    <row r="7854" spans="1:3" x14ac:dyDescent="0.35">
      <c r="A7854">
        <v>117</v>
      </c>
      <c r="B7854">
        <v>2025</v>
      </c>
      <c r="C7854">
        <v>0</v>
      </c>
    </row>
    <row r="7855" spans="1:3" x14ac:dyDescent="0.35">
      <c r="A7855">
        <v>117</v>
      </c>
      <c r="B7855">
        <v>2026</v>
      </c>
      <c r="C7855">
        <v>0</v>
      </c>
    </row>
    <row r="7856" spans="1:3" x14ac:dyDescent="0.35">
      <c r="A7856">
        <v>117</v>
      </c>
      <c r="B7856">
        <v>2027</v>
      </c>
      <c r="C7856">
        <v>0</v>
      </c>
    </row>
    <row r="7857" spans="1:3" x14ac:dyDescent="0.35">
      <c r="A7857">
        <v>117</v>
      </c>
      <c r="B7857">
        <v>2028</v>
      </c>
      <c r="C7857">
        <v>0</v>
      </c>
    </row>
    <row r="7858" spans="1:3" x14ac:dyDescent="0.35">
      <c r="A7858">
        <v>117</v>
      </c>
      <c r="B7858">
        <v>2029</v>
      </c>
      <c r="C7858">
        <v>0</v>
      </c>
    </row>
    <row r="7859" spans="1:3" x14ac:dyDescent="0.35">
      <c r="A7859">
        <v>117</v>
      </c>
      <c r="B7859">
        <v>2030</v>
      </c>
      <c r="C7859">
        <v>0</v>
      </c>
    </row>
    <row r="7860" spans="1:3" x14ac:dyDescent="0.35">
      <c r="A7860">
        <v>117</v>
      </c>
      <c r="B7860">
        <v>2031</v>
      </c>
      <c r="C7860">
        <v>0</v>
      </c>
    </row>
    <row r="7861" spans="1:3" x14ac:dyDescent="0.35">
      <c r="A7861">
        <v>118</v>
      </c>
      <c r="B7861">
        <v>1951</v>
      </c>
      <c r="C7861">
        <v>0</v>
      </c>
    </row>
    <row r="7862" spans="1:3" x14ac:dyDescent="0.35">
      <c r="A7862">
        <v>118</v>
      </c>
      <c r="B7862">
        <v>1952</v>
      </c>
      <c r="C7862">
        <v>0</v>
      </c>
    </row>
    <row r="7863" spans="1:3" x14ac:dyDescent="0.35">
      <c r="A7863">
        <v>118</v>
      </c>
      <c r="B7863">
        <v>1953</v>
      </c>
      <c r="C7863">
        <v>0</v>
      </c>
    </row>
    <row r="7864" spans="1:3" x14ac:dyDescent="0.35">
      <c r="A7864">
        <v>118</v>
      </c>
      <c r="B7864">
        <v>1954</v>
      </c>
      <c r="C7864">
        <v>0</v>
      </c>
    </row>
    <row r="7865" spans="1:3" x14ac:dyDescent="0.35">
      <c r="A7865">
        <v>118</v>
      </c>
      <c r="B7865">
        <v>1955</v>
      </c>
      <c r="C7865">
        <v>0</v>
      </c>
    </row>
    <row r="7866" spans="1:3" x14ac:dyDescent="0.35">
      <c r="A7866">
        <v>118</v>
      </c>
      <c r="B7866">
        <v>1956</v>
      </c>
      <c r="C7866">
        <v>0</v>
      </c>
    </row>
    <row r="7867" spans="1:3" x14ac:dyDescent="0.35">
      <c r="A7867">
        <v>118</v>
      </c>
      <c r="B7867">
        <v>1957</v>
      </c>
      <c r="C7867">
        <v>0</v>
      </c>
    </row>
    <row r="7868" spans="1:3" x14ac:dyDescent="0.35">
      <c r="A7868">
        <v>118</v>
      </c>
      <c r="B7868">
        <v>1958</v>
      </c>
      <c r="C7868">
        <v>0</v>
      </c>
    </row>
    <row r="7869" spans="1:3" x14ac:dyDescent="0.35">
      <c r="A7869">
        <v>118</v>
      </c>
      <c r="B7869">
        <v>1959</v>
      </c>
      <c r="C7869">
        <v>0</v>
      </c>
    </row>
    <row r="7870" spans="1:3" x14ac:dyDescent="0.35">
      <c r="A7870">
        <v>118</v>
      </c>
      <c r="B7870">
        <v>1960</v>
      </c>
      <c r="C7870">
        <v>0</v>
      </c>
    </row>
    <row r="7871" spans="1:3" x14ac:dyDescent="0.35">
      <c r="A7871">
        <v>118</v>
      </c>
      <c r="B7871">
        <v>1961</v>
      </c>
      <c r="C7871">
        <v>0</v>
      </c>
    </row>
    <row r="7872" spans="1:3" x14ac:dyDescent="0.35">
      <c r="A7872">
        <v>118</v>
      </c>
      <c r="B7872">
        <v>1962</v>
      </c>
      <c r="C7872">
        <v>0</v>
      </c>
    </row>
    <row r="7873" spans="1:3" x14ac:dyDescent="0.35">
      <c r="A7873">
        <v>118</v>
      </c>
      <c r="B7873">
        <v>1963</v>
      </c>
      <c r="C7873">
        <v>0</v>
      </c>
    </row>
    <row r="7874" spans="1:3" x14ac:dyDescent="0.35">
      <c r="A7874">
        <v>118</v>
      </c>
      <c r="B7874">
        <v>1964</v>
      </c>
      <c r="C7874">
        <v>0</v>
      </c>
    </row>
    <row r="7875" spans="1:3" x14ac:dyDescent="0.35">
      <c r="A7875">
        <v>118</v>
      </c>
      <c r="B7875">
        <v>1965</v>
      </c>
      <c r="C7875">
        <v>0</v>
      </c>
    </row>
    <row r="7876" spans="1:3" x14ac:dyDescent="0.35">
      <c r="A7876">
        <v>118</v>
      </c>
      <c r="B7876">
        <v>1966</v>
      </c>
      <c r="C7876">
        <v>0</v>
      </c>
    </row>
    <row r="7877" spans="1:3" x14ac:dyDescent="0.35">
      <c r="A7877">
        <v>118</v>
      </c>
      <c r="B7877">
        <v>1967</v>
      </c>
      <c r="C7877">
        <v>0</v>
      </c>
    </row>
    <row r="7878" spans="1:3" x14ac:dyDescent="0.35">
      <c r="A7878">
        <v>118</v>
      </c>
      <c r="B7878">
        <v>1968</v>
      </c>
      <c r="C7878">
        <v>0</v>
      </c>
    </row>
    <row r="7879" spans="1:3" x14ac:dyDescent="0.35">
      <c r="A7879">
        <v>118</v>
      </c>
      <c r="B7879">
        <v>1969</v>
      </c>
      <c r="C7879">
        <v>0</v>
      </c>
    </row>
    <row r="7880" spans="1:3" x14ac:dyDescent="0.35">
      <c r="A7880">
        <v>118</v>
      </c>
      <c r="B7880">
        <v>1970</v>
      </c>
      <c r="C7880">
        <v>0</v>
      </c>
    </row>
    <row r="7881" spans="1:3" x14ac:dyDescent="0.35">
      <c r="A7881">
        <v>118</v>
      </c>
      <c r="B7881">
        <v>1971</v>
      </c>
      <c r="C7881">
        <v>0</v>
      </c>
    </row>
    <row r="7882" spans="1:3" x14ac:dyDescent="0.35">
      <c r="A7882">
        <v>118</v>
      </c>
      <c r="B7882">
        <v>1972</v>
      </c>
      <c r="C7882">
        <v>0</v>
      </c>
    </row>
    <row r="7883" spans="1:3" x14ac:dyDescent="0.35">
      <c r="A7883">
        <v>118</v>
      </c>
      <c r="B7883">
        <v>1973</v>
      </c>
      <c r="C7883">
        <v>0</v>
      </c>
    </row>
    <row r="7884" spans="1:3" x14ac:dyDescent="0.35">
      <c r="A7884">
        <v>118</v>
      </c>
      <c r="B7884">
        <v>1974</v>
      </c>
      <c r="C7884">
        <v>0</v>
      </c>
    </row>
    <row r="7885" spans="1:3" x14ac:dyDescent="0.35">
      <c r="A7885">
        <v>118</v>
      </c>
      <c r="B7885">
        <v>1975</v>
      </c>
      <c r="C7885">
        <v>0</v>
      </c>
    </row>
    <row r="7886" spans="1:3" x14ac:dyDescent="0.35">
      <c r="A7886">
        <v>118</v>
      </c>
      <c r="B7886">
        <v>1976</v>
      </c>
      <c r="C7886">
        <v>0</v>
      </c>
    </row>
    <row r="7887" spans="1:3" x14ac:dyDescent="0.35">
      <c r="A7887">
        <v>118</v>
      </c>
      <c r="B7887">
        <v>1977</v>
      </c>
      <c r="C7887">
        <v>0</v>
      </c>
    </row>
    <row r="7888" spans="1:3" x14ac:dyDescent="0.35">
      <c r="A7888">
        <v>118</v>
      </c>
      <c r="B7888">
        <v>1978</v>
      </c>
      <c r="C7888">
        <v>0</v>
      </c>
    </row>
    <row r="7889" spans="1:3" x14ac:dyDescent="0.35">
      <c r="A7889">
        <v>118</v>
      </c>
      <c r="B7889">
        <v>1979</v>
      </c>
      <c r="C7889">
        <v>0</v>
      </c>
    </row>
    <row r="7890" spans="1:3" x14ac:dyDescent="0.35">
      <c r="A7890">
        <v>118</v>
      </c>
      <c r="B7890">
        <v>1980</v>
      </c>
      <c r="C7890">
        <v>0</v>
      </c>
    </row>
    <row r="7891" spans="1:3" x14ac:dyDescent="0.35">
      <c r="A7891">
        <v>118</v>
      </c>
      <c r="B7891">
        <v>1981</v>
      </c>
      <c r="C7891">
        <v>0</v>
      </c>
    </row>
    <row r="7892" spans="1:3" x14ac:dyDescent="0.35">
      <c r="A7892">
        <v>118</v>
      </c>
      <c r="B7892">
        <v>1982</v>
      </c>
      <c r="C7892">
        <v>0</v>
      </c>
    </row>
    <row r="7893" spans="1:3" x14ac:dyDescent="0.35">
      <c r="A7893">
        <v>118</v>
      </c>
      <c r="B7893">
        <v>1983</v>
      </c>
      <c r="C7893">
        <v>0</v>
      </c>
    </row>
    <row r="7894" spans="1:3" x14ac:dyDescent="0.35">
      <c r="A7894">
        <v>118</v>
      </c>
      <c r="B7894">
        <v>1984</v>
      </c>
      <c r="C7894">
        <v>0</v>
      </c>
    </row>
    <row r="7895" spans="1:3" x14ac:dyDescent="0.35">
      <c r="A7895">
        <v>118</v>
      </c>
      <c r="B7895">
        <v>1985</v>
      </c>
      <c r="C7895">
        <v>0</v>
      </c>
    </row>
    <row r="7896" spans="1:3" x14ac:dyDescent="0.35">
      <c r="A7896">
        <v>118</v>
      </c>
      <c r="B7896">
        <v>1986</v>
      </c>
      <c r="C7896">
        <v>0</v>
      </c>
    </row>
    <row r="7897" spans="1:3" x14ac:dyDescent="0.35">
      <c r="A7897">
        <v>118</v>
      </c>
      <c r="B7897">
        <v>1987</v>
      </c>
      <c r="C7897">
        <v>0</v>
      </c>
    </row>
    <row r="7898" spans="1:3" x14ac:dyDescent="0.35">
      <c r="A7898">
        <v>118</v>
      </c>
      <c r="B7898">
        <v>1988</v>
      </c>
      <c r="C7898">
        <v>0</v>
      </c>
    </row>
    <row r="7899" spans="1:3" x14ac:dyDescent="0.35">
      <c r="A7899">
        <v>118</v>
      </c>
      <c r="B7899">
        <v>1989</v>
      </c>
      <c r="C7899">
        <v>0</v>
      </c>
    </row>
    <row r="7900" spans="1:3" x14ac:dyDescent="0.35">
      <c r="A7900">
        <v>118</v>
      </c>
      <c r="B7900">
        <v>1990</v>
      </c>
      <c r="C7900">
        <v>0</v>
      </c>
    </row>
    <row r="7901" spans="1:3" x14ac:dyDescent="0.35">
      <c r="A7901">
        <v>118</v>
      </c>
      <c r="B7901">
        <v>1991</v>
      </c>
      <c r="C7901">
        <v>0</v>
      </c>
    </row>
    <row r="7902" spans="1:3" x14ac:dyDescent="0.35">
      <c r="A7902">
        <v>118</v>
      </c>
      <c r="B7902">
        <v>1992</v>
      </c>
      <c r="C7902">
        <v>0</v>
      </c>
    </row>
    <row r="7903" spans="1:3" x14ac:dyDescent="0.35">
      <c r="A7903">
        <v>118</v>
      </c>
      <c r="B7903">
        <v>1993</v>
      </c>
      <c r="C7903">
        <v>0</v>
      </c>
    </row>
    <row r="7904" spans="1:3" x14ac:dyDescent="0.35">
      <c r="A7904">
        <v>118</v>
      </c>
      <c r="B7904">
        <v>1994</v>
      </c>
      <c r="C7904">
        <v>0</v>
      </c>
    </row>
    <row r="7905" spans="1:3" x14ac:dyDescent="0.35">
      <c r="A7905">
        <v>118</v>
      </c>
      <c r="B7905">
        <v>1995</v>
      </c>
      <c r="C7905">
        <v>0</v>
      </c>
    </row>
    <row r="7906" spans="1:3" x14ac:dyDescent="0.35">
      <c r="A7906">
        <v>118</v>
      </c>
      <c r="B7906">
        <v>1996</v>
      </c>
      <c r="C7906">
        <v>0</v>
      </c>
    </row>
    <row r="7907" spans="1:3" x14ac:dyDescent="0.35">
      <c r="A7907">
        <v>118</v>
      </c>
      <c r="B7907">
        <v>1997</v>
      </c>
      <c r="C7907">
        <v>0</v>
      </c>
    </row>
    <row r="7908" spans="1:3" x14ac:dyDescent="0.35">
      <c r="A7908">
        <v>118</v>
      </c>
      <c r="B7908">
        <v>1998</v>
      </c>
      <c r="C7908">
        <v>0</v>
      </c>
    </row>
    <row r="7909" spans="1:3" x14ac:dyDescent="0.35">
      <c r="A7909">
        <v>118</v>
      </c>
      <c r="B7909">
        <v>1999</v>
      </c>
      <c r="C7909">
        <v>0</v>
      </c>
    </row>
    <row r="7910" spans="1:3" x14ac:dyDescent="0.35">
      <c r="A7910">
        <v>118</v>
      </c>
      <c r="B7910">
        <v>2000</v>
      </c>
      <c r="C7910">
        <v>0</v>
      </c>
    </row>
    <row r="7911" spans="1:3" x14ac:dyDescent="0.35">
      <c r="A7911">
        <v>118</v>
      </c>
      <c r="B7911">
        <v>2001</v>
      </c>
      <c r="C7911">
        <v>0</v>
      </c>
    </row>
    <row r="7912" spans="1:3" x14ac:dyDescent="0.35">
      <c r="A7912">
        <v>118</v>
      </c>
      <c r="B7912">
        <v>2002</v>
      </c>
      <c r="C7912">
        <v>0</v>
      </c>
    </row>
    <row r="7913" spans="1:3" x14ac:dyDescent="0.35">
      <c r="A7913">
        <v>118</v>
      </c>
      <c r="B7913">
        <v>2003</v>
      </c>
      <c r="C7913">
        <v>0</v>
      </c>
    </row>
    <row r="7914" spans="1:3" x14ac:dyDescent="0.35">
      <c r="A7914">
        <v>118</v>
      </c>
      <c r="B7914">
        <v>2004</v>
      </c>
      <c r="C7914">
        <v>0</v>
      </c>
    </row>
    <row r="7915" spans="1:3" x14ac:dyDescent="0.35">
      <c r="A7915">
        <v>118</v>
      </c>
      <c r="B7915">
        <v>2005</v>
      </c>
      <c r="C7915">
        <v>0</v>
      </c>
    </row>
    <row r="7916" spans="1:3" x14ac:dyDescent="0.35">
      <c r="A7916">
        <v>118</v>
      </c>
      <c r="B7916">
        <v>2006</v>
      </c>
      <c r="C7916">
        <v>0</v>
      </c>
    </row>
    <row r="7917" spans="1:3" x14ac:dyDescent="0.35">
      <c r="A7917">
        <v>118</v>
      </c>
      <c r="B7917">
        <v>2007</v>
      </c>
      <c r="C7917">
        <v>0</v>
      </c>
    </row>
    <row r="7918" spans="1:3" x14ac:dyDescent="0.35">
      <c r="A7918">
        <v>118</v>
      </c>
      <c r="B7918">
        <v>2008</v>
      </c>
      <c r="C7918">
        <v>0</v>
      </c>
    </row>
    <row r="7919" spans="1:3" x14ac:dyDescent="0.35">
      <c r="A7919">
        <v>118</v>
      </c>
      <c r="B7919">
        <v>2009</v>
      </c>
      <c r="C7919">
        <v>0</v>
      </c>
    </row>
    <row r="7920" spans="1:3" x14ac:dyDescent="0.35">
      <c r="A7920">
        <v>118</v>
      </c>
      <c r="B7920">
        <v>2010</v>
      </c>
      <c r="C7920">
        <v>0</v>
      </c>
    </row>
    <row r="7921" spans="1:3" x14ac:dyDescent="0.35">
      <c r="A7921">
        <v>118</v>
      </c>
      <c r="B7921">
        <v>2011</v>
      </c>
      <c r="C7921">
        <v>0</v>
      </c>
    </row>
    <row r="7922" spans="1:3" x14ac:dyDescent="0.35">
      <c r="A7922">
        <v>118</v>
      </c>
      <c r="B7922">
        <v>2012</v>
      </c>
      <c r="C7922">
        <v>0</v>
      </c>
    </row>
    <row r="7923" spans="1:3" x14ac:dyDescent="0.35">
      <c r="A7923">
        <v>118</v>
      </c>
      <c r="B7923">
        <v>2013</v>
      </c>
      <c r="C7923">
        <v>0</v>
      </c>
    </row>
    <row r="7924" spans="1:3" x14ac:dyDescent="0.35">
      <c r="A7924">
        <v>118</v>
      </c>
      <c r="B7924">
        <v>2014</v>
      </c>
      <c r="C7924">
        <v>0</v>
      </c>
    </row>
    <row r="7925" spans="1:3" x14ac:dyDescent="0.35">
      <c r="A7925">
        <v>118</v>
      </c>
      <c r="B7925">
        <v>2015</v>
      </c>
      <c r="C7925">
        <v>0</v>
      </c>
    </row>
    <row r="7926" spans="1:3" x14ac:dyDescent="0.35">
      <c r="A7926">
        <v>118</v>
      </c>
      <c r="B7926">
        <v>2016</v>
      </c>
      <c r="C7926">
        <v>0</v>
      </c>
    </row>
    <row r="7927" spans="1:3" x14ac:dyDescent="0.35">
      <c r="A7927">
        <v>118</v>
      </c>
      <c r="B7927">
        <v>2017</v>
      </c>
      <c r="C7927">
        <v>0</v>
      </c>
    </row>
    <row r="7928" spans="1:3" x14ac:dyDescent="0.35">
      <c r="A7928">
        <v>118</v>
      </c>
      <c r="B7928">
        <v>2018</v>
      </c>
      <c r="C7928">
        <v>0</v>
      </c>
    </row>
    <row r="7929" spans="1:3" x14ac:dyDescent="0.35">
      <c r="A7929">
        <v>118</v>
      </c>
      <c r="B7929">
        <v>2019</v>
      </c>
      <c r="C7929">
        <v>0</v>
      </c>
    </row>
    <row r="7930" spans="1:3" x14ac:dyDescent="0.35">
      <c r="A7930">
        <v>118</v>
      </c>
      <c r="B7930">
        <v>2020</v>
      </c>
      <c r="C7930">
        <v>0</v>
      </c>
    </row>
    <row r="7931" spans="1:3" x14ac:dyDescent="0.35">
      <c r="A7931">
        <v>118</v>
      </c>
      <c r="B7931">
        <v>2021</v>
      </c>
      <c r="C7931">
        <v>0</v>
      </c>
    </row>
    <row r="7932" spans="1:3" x14ac:dyDescent="0.35">
      <c r="A7932">
        <v>118</v>
      </c>
      <c r="B7932">
        <v>2022</v>
      </c>
      <c r="C7932">
        <v>0</v>
      </c>
    </row>
    <row r="7933" spans="1:3" x14ac:dyDescent="0.35">
      <c r="A7933">
        <v>118</v>
      </c>
      <c r="B7933">
        <v>2023</v>
      </c>
      <c r="C7933">
        <v>0</v>
      </c>
    </row>
    <row r="7934" spans="1:3" x14ac:dyDescent="0.35">
      <c r="A7934">
        <v>118</v>
      </c>
      <c r="B7934">
        <v>2024</v>
      </c>
      <c r="C7934">
        <v>0</v>
      </c>
    </row>
    <row r="7935" spans="1:3" x14ac:dyDescent="0.35">
      <c r="A7935">
        <v>118</v>
      </c>
      <c r="B7935">
        <v>2025</v>
      </c>
      <c r="C7935">
        <v>0</v>
      </c>
    </row>
    <row r="7936" spans="1:3" x14ac:dyDescent="0.35">
      <c r="A7936">
        <v>118</v>
      </c>
      <c r="B7936">
        <v>2026</v>
      </c>
      <c r="C7936">
        <v>0</v>
      </c>
    </row>
    <row r="7937" spans="1:3" x14ac:dyDescent="0.35">
      <c r="A7937">
        <v>118</v>
      </c>
      <c r="B7937">
        <v>2027</v>
      </c>
      <c r="C7937">
        <v>0</v>
      </c>
    </row>
    <row r="7938" spans="1:3" x14ac:dyDescent="0.35">
      <c r="A7938">
        <v>118</v>
      </c>
      <c r="B7938">
        <v>2028</v>
      </c>
      <c r="C7938">
        <v>0</v>
      </c>
    </row>
    <row r="7939" spans="1:3" x14ac:dyDescent="0.35">
      <c r="A7939">
        <v>118</v>
      </c>
      <c r="B7939">
        <v>2029</v>
      </c>
      <c r="C7939">
        <v>0</v>
      </c>
    </row>
    <row r="7940" spans="1:3" x14ac:dyDescent="0.35">
      <c r="A7940">
        <v>118</v>
      </c>
      <c r="B7940">
        <v>2030</v>
      </c>
      <c r="C7940">
        <v>0</v>
      </c>
    </row>
    <row r="7941" spans="1:3" x14ac:dyDescent="0.35">
      <c r="A7941">
        <v>118</v>
      </c>
      <c r="B7941">
        <v>2031</v>
      </c>
      <c r="C7941">
        <v>0</v>
      </c>
    </row>
    <row r="7942" spans="1:3" x14ac:dyDescent="0.35">
      <c r="A7942">
        <v>119</v>
      </c>
      <c r="B7942">
        <v>1951</v>
      </c>
      <c r="C7942">
        <v>0</v>
      </c>
    </row>
    <row r="7943" spans="1:3" x14ac:dyDescent="0.35">
      <c r="A7943">
        <v>119</v>
      </c>
      <c r="B7943">
        <v>1952</v>
      </c>
      <c r="C7943">
        <v>0</v>
      </c>
    </row>
    <row r="7944" spans="1:3" x14ac:dyDescent="0.35">
      <c r="A7944">
        <v>119</v>
      </c>
      <c r="B7944">
        <v>1953</v>
      </c>
      <c r="C7944">
        <v>0</v>
      </c>
    </row>
    <row r="7945" spans="1:3" x14ac:dyDescent="0.35">
      <c r="A7945">
        <v>119</v>
      </c>
      <c r="B7945">
        <v>1954</v>
      </c>
      <c r="C7945">
        <v>0</v>
      </c>
    </row>
    <row r="7946" spans="1:3" x14ac:dyDescent="0.35">
      <c r="A7946">
        <v>119</v>
      </c>
      <c r="B7946">
        <v>1955</v>
      </c>
      <c r="C7946">
        <v>0</v>
      </c>
    </row>
    <row r="7947" spans="1:3" x14ac:dyDescent="0.35">
      <c r="A7947">
        <v>119</v>
      </c>
      <c r="B7947">
        <v>1956</v>
      </c>
      <c r="C7947">
        <v>0</v>
      </c>
    </row>
    <row r="7948" spans="1:3" x14ac:dyDescent="0.35">
      <c r="A7948">
        <v>119</v>
      </c>
      <c r="B7948">
        <v>1957</v>
      </c>
      <c r="C7948">
        <v>0</v>
      </c>
    </row>
    <row r="7949" spans="1:3" x14ac:dyDescent="0.35">
      <c r="A7949">
        <v>119</v>
      </c>
      <c r="B7949">
        <v>1958</v>
      </c>
      <c r="C7949">
        <v>0</v>
      </c>
    </row>
    <row r="7950" spans="1:3" x14ac:dyDescent="0.35">
      <c r="A7950">
        <v>119</v>
      </c>
      <c r="B7950">
        <v>1959</v>
      </c>
      <c r="C7950">
        <v>0</v>
      </c>
    </row>
    <row r="7951" spans="1:3" x14ac:dyDescent="0.35">
      <c r="A7951">
        <v>119</v>
      </c>
      <c r="B7951">
        <v>1960</v>
      </c>
      <c r="C7951">
        <v>0</v>
      </c>
    </row>
    <row r="7952" spans="1:3" x14ac:dyDescent="0.35">
      <c r="A7952">
        <v>119</v>
      </c>
      <c r="B7952">
        <v>1961</v>
      </c>
      <c r="C7952">
        <v>0</v>
      </c>
    </row>
    <row r="7953" spans="1:3" x14ac:dyDescent="0.35">
      <c r="A7953">
        <v>119</v>
      </c>
      <c r="B7953">
        <v>1962</v>
      </c>
      <c r="C7953">
        <v>0</v>
      </c>
    </row>
    <row r="7954" spans="1:3" x14ac:dyDescent="0.35">
      <c r="A7954">
        <v>119</v>
      </c>
      <c r="B7954">
        <v>1963</v>
      </c>
      <c r="C7954">
        <v>0</v>
      </c>
    </row>
    <row r="7955" spans="1:3" x14ac:dyDescent="0.35">
      <c r="A7955">
        <v>119</v>
      </c>
      <c r="B7955">
        <v>1964</v>
      </c>
      <c r="C7955">
        <v>0</v>
      </c>
    </row>
    <row r="7956" spans="1:3" x14ac:dyDescent="0.35">
      <c r="A7956">
        <v>119</v>
      </c>
      <c r="B7956">
        <v>1965</v>
      </c>
      <c r="C7956">
        <v>0</v>
      </c>
    </row>
    <row r="7957" spans="1:3" x14ac:dyDescent="0.35">
      <c r="A7957">
        <v>119</v>
      </c>
      <c r="B7957">
        <v>1966</v>
      </c>
      <c r="C7957">
        <v>0</v>
      </c>
    </row>
    <row r="7958" spans="1:3" x14ac:dyDescent="0.35">
      <c r="A7958">
        <v>119</v>
      </c>
      <c r="B7958">
        <v>1967</v>
      </c>
      <c r="C7958">
        <v>0</v>
      </c>
    </row>
    <row r="7959" spans="1:3" x14ac:dyDescent="0.35">
      <c r="A7959">
        <v>119</v>
      </c>
      <c r="B7959">
        <v>1968</v>
      </c>
      <c r="C7959">
        <v>0</v>
      </c>
    </row>
    <row r="7960" spans="1:3" x14ac:dyDescent="0.35">
      <c r="A7960">
        <v>119</v>
      </c>
      <c r="B7960">
        <v>1969</v>
      </c>
      <c r="C7960">
        <v>0</v>
      </c>
    </row>
    <row r="7961" spans="1:3" x14ac:dyDescent="0.35">
      <c r="A7961">
        <v>119</v>
      </c>
      <c r="B7961">
        <v>1970</v>
      </c>
      <c r="C7961">
        <v>0</v>
      </c>
    </row>
    <row r="7962" spans="1:3" x14ac:dyDescent="0.35">
      <c r="A7962">
        <v>119</v>
      </c>
      <c r="B7962">
        <v>1971</v>
      </c>
      <c r="C7962">
        <v>0</v>
      </c>
    </row>
    <row r="7963" spans="1:3" x14ac:dyDescent="0.35">
      <c r="A7963">
        <v>119</v>
      </c>
      <c r="B7963">
        <v>1972</v>
      </c>
      <c r="C7963">
        <v>0</v>
      </c>
    </row>
    <row r="7964" spans="1:3" x14ac:dyDescent="0.35">
      <c r="A7964">
        <v>119</v>
      </c>
      <c r="B7964">
        <v>1973</v>
      </c>
      <c r="C7964">
        <v>0</v>
      </c>
    </row>
    <row r="7965" spans="1:3" x14ac:dyDescent="0.35">
      <c r="A7965">
        <v>119</v>
      </c>
      <c r="B7965">
        <v>1974</v>
      </c>
      <c r="C7965">
        <v>0</v>
      </c>
    </row>
    <row r="7966" spans="1:3" x14ac:dyDescent="0.35">
      <c r="A7966">
        <v>119</v>
      </c>
      <c r="B7966">
        <v>1975</v>
      </c>
      <c r="C7966">
        <v>0</v>
      </c>
    </row>
    <row r="7967" spans="1:3" x14ac:dyDescent="0.35">
      <c r="A7967">
        <v>119</v>
      </c>
      <c r="B7967">
        <v>1976</v>
      </c>
      <c r="C7967">
        <v>0</v>
      </c>
    </row>
    <row r="7968" spans="1:3" x14ac:dyDescent="0.35">
      <c r="A7968">
        <v>119</v>
      </c>
      <c r="B7968">
        <v>1977</v>
      </c>
      <c r="C7968">
        <v>0</v>
      </c>
    </row>
    <row r="7969" spans="1:3" x14ac:dyDescent="0.35">
      <c r="A7969">
        <v>119</v>
      </c>
      <c r="B7969">
        <v>1978</v>
      </c>
      <c r="C7969">
        <v>0</v>
      </c>
    </row>
    <row r="7970" spans="1:3" x14ac:dyDescent="0.35">
      <c r="A7970">
        <v>119</v>
      </c>
      <c r="B7970">
        <v>1979</v>
      </c>
      <c r="C7970">
        <v>0</v>
      </c>
    </row>
    <row r="7971" spans="1:3" x14ac:dyDescent="0.35">
      <c r="A7971">
        <v>119</v>
      </c>
      <c r="B7971">
        <v>1980</v>
      </c>
      <c r="C7971">
        <v>0</v>
      </c>
    </row>
    <row r="7972" spans="1:3" x14ac:dyDescent="0.35">
      <c r="A7972">
        <v>119</v>
      </c>
      <c r="B7972">
        <v>1981</v>
      </c>
      <c r="C7972">
        <v>0</v>
      </c>
    </row>
    <row r="7973" spans="1:3" x14ac:dyDescent="0.35">
      <c r="A7973">
        <v>119</v>
      </c>
      <c r="B7973">
        <v>1982</v>
      </c>
      <c r="C7973">
        <v>0</v>
      </c>
    </row>
    <row r="7974" spans="1:3" x14ac:dyDescent="0.35">
      <c r="A7974">
        <v>119</v>
      </c>
      <c r="B7974">
        <v>1983</v>
      </c>
      <c r="C7974">
        <v>0</v>
      </c>
    </row>
    <row r="7975" spans="1:3" x14ac:dyDescent="0.35">
      <c r="A7975">
        <v>119</v>
      </c>
      <c r="B7975">
        <v>1984</v>
      </c>
      <c r="C7975">
        <v>0</v>
      </c>
    </row>
    <row r="7976" spans="1:3" x14ac:dyDescent="0.35">
      <c r="A7976">
        <v>119</v>
      </c>
      <c r="B7976">
        <v>1985</v>
      </c>
      <c r="C7976">
        <v>0</v>
      </c>
    </row>
    <row r="7977" spans="1:3" x14ac:dyDescent="0.35">
      <c r="A7977">
        <v>119</v>
      </c>
      <c r="B7977">
        <v>1986</v>
      </c>
      <c r="C7977">
        <v>0</v>
      </c>
    </row>
    <row r="7978" spans="1:3" x14ac:dyDescent="0.35">
      <c r="A7978">
        <v>119</v>
      </c>
      <c r="B7978">
        <v>1987</v>
      </c>
      <c r="C7978">
        <v>0</v>
      </c>
    </row>
    <row r="7979" spans="1:3" x14ac:dyDescent="0.35">
      <c r="A7979">
        <v>119</v>
      </c>
      <c r="B7979">
        <v>1988</v>
      </c>
      <c r="C7979">
        <v>0</v>
      </c>
    </row>
    <row r="7980" spans="1:3" x14ac:dyDescent="0.35">
      <c r="A7980">
        <v>119</v>
      </c>
      <c r="B7980">
        <v>1989</v>
      </c>
      <c r="C7980">
        <v>0</v>
      </c>
    </row>
    <row r="7981" spans="1:3" x14ac:dyDescent="0.35">
      <c r="A7981">
        <v>119</v>
      </c>
      <c r="B7981">
        <v>1990</v>
      </c>
      <c r="C7981">
        <v>0</v>
      </c>
    </row>
    <row r="7982" spans="1:3" x14ac:dyDescent="0.35">
      <c r="A7982">
        <v>119</v>
      </c>
      <c r="B7982">
        <v>1991</v>
      </c>
      <c r="C7982">
        <v>0</v>
      </c>
    </row>
    <row r="7983" spans="1:3" x14ac:dyDescent="0.35">
      <c r="A7983">
        <v>119</v>
      </c>
      <c r="B7983">
        <v>1992</v>
      </c>
      <c r="C7983">
        <v>0</v>
      </c>
    </row>
    <row r="7984" spans="1:3" x14ac:dyDescent="0.35">
      <c r="A7984">
        <v>119</v>
      </c>
      <c r="B7984">
        <v>1993</v>
      </c>
      <c r="C7984">
        <v>0</v>
      </c>
    </row>
    <row r="7985" spans="1:3" x14ac:dyDescent="0.35">
      <c r="A7985">
        <v>119</v>
      </c>
      <c r="B7985">
        <v>1994</v>
      </c>
      <c r="C7985">
        <v>0</v>
      </c>
    </row>
    <row r="7986" spans="1:3" x14ac:dyDescent="0.35">
      <c r="A7986">
        <v>119</v>
      </c>
      <c r="B7986">
        <v>1995</v>
      </c>
      <c r="C7986">
        <v>0</v>
      </c>
    </row>
    <row r="7987" spans="1:3" x14ac:dyDescent="0.35">
      <c r="A7987">
        <v>119</v>
      </c>
      <c r="B7987">
        <v>1996</v>
      </c>
      <c r="C7987">
        <v>0</v>
      </c>
    </row>
    <row r="7988" spans="1:3" x14ac:dyDescent="0.35">
      <c r="A7988">
        <v>119</v>
      </c>
      <c r="B7988">
        <v>1997</v>
      </c>
      <c r="C7988">
        <v>0</v>
      </c>
    </row>
    <row r="7989" spans="1:3" x14ac:dyDescent="0.35">
      <c r="A7989">
        <v>119</v>
      </c>
      <c r="B7989">
        <v>1998</v>
      </c>
      <c r="C7989">
        <v>0</v>
      </c>
    </row>
    <row r="7990" spans="1:3" x14ac:dyDescent="0.35">
      <c r="A7990">
        <v>119</v>
      </c>
      <c r="B7990">
        <v>1999</v>
      </c>
      <c r="C7990">
        <v>0</v>
      </c>
    </row>
    <row r="7991" spans="1:3" x14ac:dyDescent="0.35">
      <c r="A7991">
        <v>119</v>
      </c>
      <c r="B7991">
        <v>2000</v>
      </c>
      <c r="C7991">
        <v>0</v>
      </c>
    </row>
    <row r="7992" spans="1:3" x14ac:dyDescent="0.35">
      <c r="A7992">
        <v>119</v>
      </c>
      <c r="B7992">
        <v>2001</v>
      </c>
      <c r="C7992">
        <v>0</v>
      </c>
    </row>
    <row r="7993" spans="1:3" x14ac:dyDescent="0.35">
      <c r="A7993">
        <v>119</v>
      </c>
      <c r="B7993">
        <v>2002</v>
      </c>
      <c r="C7993">
        <v>0</v>
      </c>
    </row>
    <row r="7994" spans="1:3" x14ac:dyDescent="0.35">
      <c r="A7994">
        <v>119</v>
      </c>
      <c r="B7994">
        <v>2003</v>
      </c>
      <c r="C7994">
        <v>0</v>
      </c>
    </row>
    <row r="7995" spans="1:3" x14ac:dyDescent="0.35">
      <c r="A7995">
        <v>119</v>
      </c>
      <c r="B7995">
        <v>2004</v>
      </c>
      <c r="C7995">
        <v>0</v>
      </c>
    </row>
    <row r="7996" spans="1:3" x14ac:dyDescent="0.35">
      <c r="A7996">
        <v>119</v>
      </c>
      <c r="B7996">
        <v>2005</v>
      </c>
      <c r="C7996">
        <v>0</v>
      </c>
    </row>
    <row r="7997" spans="1:3" x14ac:dyDescent="0.35">
      <c r="A7997">
        <v>119</v>
      </c>
      <c r="B7997">
        <v>2006</v>
      </c>
      <c r="C7997">
        <v>0</v>
      </c>
    </row>
    <row r="7998" spans="1:3" x14ac:dyDescent="0.35">
      <c r="A7998">
        <v>119</v>
      </c>
      <c r="B7998">
        <v>2007</v>
      </c>
      <c r="C7998">
        <v>0</v>
      </c>
    </row>
    <row r="7999" spans="1:3" x14ac:dyDescent="0.35">
      <c r="A7999">
        <v>119</v>
      </c>
      <c r="B7999">
        <v>2008</v>
      </c>
      <c r="C7999">
        <v>0</v>
      </c>
    </row>
    <row r="8000" spans="1:3" x14ac:dyDescent="0.35">
      <c r="A8000">
        <v>119</v>
      </c>
      <c r="B8000">
        <v>2009</v>
      </c>
      <c r="C8000">
        <v>0</v>
      </c>
    </row>
    <row r="8001" spans="1:3" x14ac:dyDescent="0.35">
      <c r="A8001">
        <v>119</v>
      </c>
      <c r="B8001">
        <v>2010</v>
      </c>
      <c r="C8001">
        <v>0</v>
      </c>
    </row>
    <row r="8002" spans="1:3" x14ac:dyDescent="0.35">
      <c r="A8002">
        <v>119</v>
      </c>
      <c r="B8002">
        <v>2011</v>
      </c>
      <c r="C8002">
        <v>0</v>
      </c>
    </row>
    <row r="8003" spans="1:3" x14ac:dyDescent="0.35">
      <c r="A8003">
        <v>119</v>
      </c>
      <c r="B8003">
        <v>2012</v>
      </c>
      <c r="C8003">
        <v>0</v>
      </c>
    </row>
    <row r="8004" spans="1:3" x14ac:dyDescent="0.35">
      <c r="A8004">
        <v>119</v>
      </c>
      <c r="B8004">
        <v>2013</v>
      </c>
      <c r="C8004">
        <v>0</v>
      </c>
    </row>
    <row r="8005" spans="1:3" x14ac:dyDescent="0.35">
      <c r="A8005">
        <v>119</v>
      </c>
      <c r="B8005">
        <v>2014</v>
      </c>
      <c r="C8005">
        <v>0</v>
      </c>
    </row>
    <row r="8006" spans="1:3" x14ac:dyDescent="0.35">
      <c r="A8006">
        <v>119</v>
      </c>
      <c r="B8006">
        <v>2015</v>
      </c>
      <c r="C8006">
        <v>0</v>
      </c>
    </row>
    <row r="8007" spans="1:3" x14ac:dyDescent="0.35">
      <c r="A8007">
        <v>119</v>
      </c>
      <c r="B8007">
        <v>2016</v>
      </c>
      <c r="C8007">
        <v>0</v>
      </c>
    </row>
    <row r="8008" spans="1:3" x14ac:dyDescent="0.35">
      <c r="A8008">
        <v>119</v>
      </c>
      <c r="B8008">
        <v>2017</v>
      </c>
      <c r="C8008">
        <v>0</v>
      </c>
    </row>
    <row r="8009" spans="1:3" x14ac:dyDescent="0.35">
      <c r="A8009">
        <v>119</v>
      </c>
      <c r="B8009">
        <v>2018</v>
      </c>
      <c r="C8009">
        <v>0</v>
      </c>
    </row>
    <row r="8010" spans="1:3" x14ac:dyDescent="0.35">
      <c r="A8010">
        <v>119</v>
      </c>
      <c r="B8010">
        <v>2019</v>
      </c>
      <c r="C8010">
        <v>0</v>
      </c>
    </row>
    <row r="8011" spans="1:3" x14ac:dyDescent="0.35">
      <c r="A8011">
        <v>119</v>
      </c>
      <c r="B8011">
        <v>2020</v>
      </c>
      <c r="C8011">
        <v>0</v>
      </c>
    </row>
    <row r="8012" spans="1:3" x14ac:dyDescent="0.35">
      <c r="A8012">
        <v>119</v>
      </c>
      <c r="B8012">
        <v>2021</v>
      </c>
      <c r="C8012">
        <v>0</v>
      </c>
    </row>
    <row r="8013" spans="1:3" x14ac:dyDescent="0.35">
      <c r="A8013">
        <v>119</v>
      </c>
      <c r="B8013">
        <v>2022</v>
      </c>
      <c r="C8013">
        <v>0</v>
      </c>
    </row>
    <row r="8014" spans="1:3" x14ac:dyDescent="0.35">
      <c r="A8014">
        <v>119</v>
      </c>
      <c r="B8014">
        <v>2023</v>
      </c>
      <c r="C8014">
        <v>0</v>
      </c>
    </row>
    <row r="8015" spans="1:3" x14ac:dyDescent="0.35">
      <c r="A8015">
        <v>119</v>
      </c>
      <c r="B8015">
        <v>2024</v>
      </c>
      <c r="C8015">
        <v>0</v>
      </c>
    </row>
    <row r="8016" spans="1:3" x14ac:dyDescent="0.35">
      <c r="A8016">
        <v>119</v>
      </c>
      <c r="B8016">
        <v>2025</v>
      </c>
      <c r="C8016">
        <v>0</v>
      </c>
    </row>
    <row r="8017" spans="1:3" x14ac:dyDescent="0.35">
      <c r="A8017">
        <v>119</v>
      </c>
      <c r="B8017">
        <v>2026</v>
      </c>
      <c r="C8017">
        <v>0</v>
      </c>
    </row>
    <row r="8018" spans="1:3" x14ac:dyDescent="0.35">
      <c r="A8018">
        <v>119</v>
      </c>
      <c r="B8018">
        <v>2027</v>
      </c>
      <c r="C8018">
        <v>0</v>
      </c>
    </row>
    <row r="8019" spans="1:3" x14ac:dyDescent="0.35">
      <c r="A8019">
        <v>119</v>
      </c>
      <c r="B8019">
        <v>2028</v>
      </c>
      <c r="C8019">
        <v>0</v>
      </c>
    </row>
    <row r="8020" spans="1:3" x14ac:dyDescent="0.35">
      <c r="A8020">
        <v>119</v>
      </c>
      <c r="B8020">
        <v>2029</v>
      </c>
      <c r="C8020">
        <v>0</v>
      </c>
    </row>
    <row r="8021" spans="1:3" x14ac:dyDescent="0.35">
      <c r="A8021">
        <v>119</v>
      </c>
      <c r="B8021">
        <v>2030</v>
      </c>
      <c r="C8021">
        <v>0</v>
      </c>
    </row>
    <row r="8022" spans="1:3" x14ac:dyDescent="0.35">
      <c r="A8022">
        <v>119</v>
      </c>
      <c r="B8022">
        <v>2031</v>
      </c>
      <c r="C8022">
        <v>0</v>
      </c>
    </row>
    <row r="8023" spans="1:3" x14ac:dyDescent="0.35">
      <c r="A8023">
        <v>120</v>
      </c>
      <c r="B8023">
        <v>1951</v>
      </c>
      <c r="C8023">
        <v>0</v>
      </c>
    </row>
    <row r="8024" spans="1:3" x14ac:dyDescent="0.35">
      <c r="A8024">
        <v>120</v>
      </c>
      <c r="B8024">
        <v>1952</v>
      </c>
      <c r="C8024">
        <v>0</v>
      </c>
    </row>
    <row r="8025" spans="1:3" x14ac:dyDescent="0.35">
      <c r="A8025">
        <v>120</v>
      </c>
      <c r="B8025">
        <v>1953</v>
      </c>
      <c r="C8025">
        <v>0</v>
      </c>
    </row>
    <row r="8026" spans="1:3" x14ac:dyDescent="0.35">
      <c r="A8026">
        <v>120</v>
      </c>
      <c r="B8026">
        <v>1954</v>
      </c>
      <c r="C8026">
        <v>0</v>
      </c>
    </row>
    <row r="8027" spans="1:3" x14ac:dyDescent="0.35">
      <c r="A8027">
        <v>120</v>
      </c>
      <c r="B8027">
        <v>1955</v>
      </c>
      <c r="C8027">
        <v>0</v>
      </c>
    </row>
    <row r="8028" spans="1:3" x14ac:dyDescent="0.35">
      <c r="A8028">
        <v>120</v>
      </c>
      <c r="B8028">
        <v>1956</v>
      </c>
      <c r="C8028">
        <v>0</v>
      </c>
    </row>
    <row r="8029" spans="1:3" x14ac:dyDescent="0.35">
      <c r="A8029">
        <v>120</v>
      </c>
      <c r="B8029">
        <v>1957</v>
      </c>
      <c r="C8029">
        <v>0</v>
      </c>
    </row>
    <row r="8030" spans="1:3" x14ac:dyDescent="0.35">
      <c r="A8030">
        <v>120</v>
      </c>
      <c r="B8030">
        <v>1958</v>
      </c>
      <c r="C8030">
        <v>0</v>
      </c>
    </row>
    <row r="8031" spans="1:3" x14ac:dyDescent="0.35">
      <c r="A8031">
        <v>120</v>
      </c>
      <c r="B8031">
        <v>1959</v>
      </c>
      <c r="C8031">
        <v>0</v>
      </c>
    </row>
    <row r="8032" spans="1:3" x14ac:dyDescent="0.35">
      <c r="A8032">
        <v>120</v>
      </c>
      <c r="B8032">
        <v>1960</v>
      </c>
      <c r="C8032">
        <v>0</v>
      </c>
    </row>
    <row r="8033" spans="1:3" x14ac:dyDescent="0.35">
      <c r="A8033">
        <v>120</v>
      </c>
      <c r="B8033">
        <v>1961</v>
      </c>
      <c r="C8033">
        <v>0</v>
      </c>
    </row>
    <row r="8034" spans="1:3" x14ac:dyDescent="0.35">
      <c r="A8034">
        <v>120</v>
      </c>
      <c r="B8034">
        <v>1962</v>
      </c>
      <c r="C8034">
        <v>0</v>
      </c>
    </row>
    <row r="8035" spans="1:3" x14ac:dyDescent="0.35">
      <c r="A8035">
        <v>120</v>
      </c>
      <c r="B8035">
        <v>1963</v>
      </c>
      <c r="C8035">
        <v>0</v>
      </c>
    </row>
    <row r="8036" spans="1:3" x14ac:dyDescent="0.35">
      <c r="A8036">
        <v>120</v>
      </c>
      <c r="B8036">
        <v>1964</v>
      </c>
      <c r="C8036">
        <v>0</v>
      </c>
    </row>
    <row r="8037" spans="1:3" x14ac:dyDescent="0.35">
      <c r="A8037">
        <v>120</v>
      </c>
      <c r="B8037">
        <v>1965</v>
      </c>
      <c r="C8037">
        <v>0</v>
      </c>
    </row>
    <row r="8038" spans="1:3" x14ac:dyDescent="0.35">
      <c r="A8038">
        <v>120</v>
      </c>
      <c r="B8038">
        <v>1966</v>
      </c>
      <c r="C8038">
        <v>0</v>
      </c>
    </row>
    <row r="8039" spans="1:3" x14ac:dyDescent="0.35">
      <c r="A8039">
        <v>120</v>
      </c>
      <c r="B8039">
        <v>1967</v>
      </c>
      <c r="C8039">
        <v>0</v>
      </c>
    </row>
    <row r="8040" spans="1:3" x14ac:dyDescent="0.35">
      <c r="A8040">
        <v>120</v>
      </c>
      <c r="B8040">
        <v>1968</v>
      </c>
      <c r="C8040">
        <v>0</v>
      </c>
    </row>
    <row r="8041" spans="1:3" x14ac:dyDescent="0.35">
      <c r="A8041">
        <v>120</v>
      </c>
      <c r="B8041">
        <v>1969</v>
      </c>
      <c r="C8041">
        <v>0</v>
      </c>
    </row>
    <row r="8042" spans="1:3" x14ac:dyDescent="0.35">
      <c r="A8042">
        <v>120</v>
      </c>
      <c r="B8042">
        <v>1970</v>
      </c>
      <c r="C8042">
        <v>0</v>
      </c>
    </row>
    <row r="8043" spans="1:3" x14ac:dyDescent="0.35">
      <c r="A8043">
        <v>120</v>
      </c>
      <c r="B8043">
        <v>1971</v>
      </c>
      <c r="C8043">
        <v>0</v>
      </c>
    </row>
    <row r="8044" spans="1:3" x14ac:dyDescent="0.35">
      <c r="A8044">
        <v>120</v>
      </c>
      <c r="B8044">
        <v>1972</v>
      </c>
      <c r="C8044">
        <v>0</v>
      </c>
    </row>
    <row r="8045" spans="1:3" x14ac:dyDescent="0.35">
      <c r="A8045">
        <v>120</v>
      </c>
      <c r="B8045">
        <v>1973</v>
      </c>
      <c r="C8045">
        <v>0</v>
      </c>
    </row>
    <row r="8046" spans="1:3" x14ac:dyDescent="0.35">
      <c r="A8046">
        <v>120</v>
      </c>
      <c r="B8046">
        <v>1974</v>
      </c>
      <c r="C8046">
        <v>0</v>
      </c>
    </row>
    <row r="8047" spans="1:3" x14ac:dyDescent="0.35">
      <c r="A8047">
        <v>120</v>
      </c>
      <c r="B8047">
        <v>1975</v>
      </c>
      <c r="C8047">
        <v>0</v>
      </c>
    </row>
    <row r="8048" spans="1:3" x14ac:dyDescent="0.35">
      <c r="A8048">
        <v>120</v>
      </c>
      <c r="B8048">
        <v>1976</v>
      </c>
      <c r="C8048">
        <v>0</v>
      </c>
    </row>
    <row r="8049" spans="1:3" x14ac:dyDescent="0.35">
      <c r="A8049">
        <v>120</v>
      </c>
      <c r="B8049">
        <v>1977</v>
      </c>
      <c r="C8049">
        <v>0</v>
      </c>
    </row>
    <row r="8050" spans="1:3" x14ac:dyDescent="0.35">
      <c r="A8050">
        <v>120</v>
      </c>
      <c r="B8050">
        <v>1978</v>
      </c>
      <c r="C8050">
        <v>0</v>
      </c>
    </row>
    <row r="8051" spans="1:3" x14ac:dyDescent="0.35">
      <c r="A8051">
        <v>120</v>
      </c>
      <c r="B8051">
        <v>1979</v>
      </c>
      <c r="C8051">
        <v>0</v>
      </c>
    </row>
    <row r="8052" spans="1:3" x14ac:dyDescent="0.35">
      <c r="A8052">
        <v>120</v>
      </c>
      <c r="B8052">
        <v>1980</v>
      </c>
      <c r="C8052">
        <v>0</v>
      </c>
    </row>
    <row r="8053" spans="1:3" x14ac:dyDescent="0.35">
      <c r="A8053">
        <v>120</v>
      </c>
      <c r="B8053">
        <v>1981</v>
      </c>
      <c r="C8053">
        <v>0</v>
      </c>
    </row>
    <row r="8054" spans="1:3" x14ac:dyDescent="0.35">
      <c r="A8054">
        <v>120</v>
      </c>
      <c r="B8054">
        <v>1982</v>
      </c>
      <c r="C8054">
        <v>0</v>
      </c>
    </row>
    <row r="8055" spans="1:3" x14ac:dyDescent="0.35">
      <c r="A8055">
        <v>120</v>
      </c>
      <c r="B8055">
        <v>1983</v>
      </c>
      <c r="C8055">
        <v>0</v>
      </c>
    </row>
    <row r="8056" spans="1:3" x14ac:dyDescent="0.35">
      <c r="A8056">
        <v>120</v>
      </c>
      <c r="B8056">
        <v>1984</v>
      </c>
      <c r="C8056">
        <v>0</v>
      </c>
    </row>
    <row r="8057" spans="1:3" x14ac:dyDescent="0.35">
      <c r="A8057">
        <v>120</v>
      </c>
      <c r="B8057">
        <v>1985</v>
      </c>
      <c r="C8057">
        <v>0</v>
      </c>
    </row>
    <row r="8058" spans="1:3" x14ac:dyDescent="0.35">
      <c r="A8058">
        <v>120</v>
      </c>
      <c r="B8058">
        <v>1986</v>
      </c>
      <c r="C8058">
        <v>0</v>
      </c>
    </row>
    <row r="8059" spans="1:3" x14ac:dyDescent="0.35">
      <c r="A8059">
        <v>120</v>
      </c>
      <c r="B8059">
        <v>1987</v>
      </c>
      <c r="C8059">
        <v>0</v>
      </c>
    </row>
    <row r="8060" spans="1:3" x14ac:dyDescent="0.35">
      <c r="A8060">
        <v>120</v>
      </c>
      <c r="B8060">
        <v>1988</v>
      </c>
      <c r="C8060">
        <v>0</v>
      </c>
    </row>
    <row r="8061" spans="1:3" x14ac:dyDescent="0.35">
      <c r="A8061">
        <v>120</v>
      </c>
      <c r="B8061">
        <v>1989</v>
      </c>
      <c r="C8061">
        <v>0</v>
      </c>
    </row>
    <row r="8062" spans="1:3" x14ac:dyDescent="0.35">
      <c r="A8062">
        <v>120</v>
      </c>
      <c r="B8062">
        <v>1990</v>
      </c>
      <c r="C8062">
        <v>0</v>
      </c>
    </row>
    <row r="8063" spans="1:3" x14ac:dyDescent="0.35">
      <c r="A8063">
        <v>120</v>
      </c>
      <c r="B8063">
        <v>1991</v>
      </c>
      <c r="C8063">
        <v>0</v>
      </c>
    </row>
    <row r="8064" spans="1:3" x14ac:dyDescent="0.35">
      <c r="A8064">
        <v>120</v>
      </c>
      <c r="B8064">
        <v>1992</v>
      </c>
      <c r="C8064">
        <v>0</v>
      </c>
    </row>
    <row r="8065" spans="1:3" x14ac:dyDescent="0.35">
      <c r="A8065">
        <v>120</v>
      </c>
      <c r="B8065">
        <v>1993</v>
      </c>
      <c r="C8065">
        <v>0</v>
      </c>
    </row>
    <row r="8066" spans="1:3" x14ac:dyDescent="0.35">
      <c r="A8066">
        <v>120</v>
      </c>
      <c r="B8066">
        <v>1994</v>
      </c>
      <c r="C8066">
        <v>0</v>
      </c>
    </row>
    <row r="8067" spans="1:3" x14ac:dyDescent="0.35">
      <c r="A8067">
        <v>120</v>
      </c>
      <c r="B8067">
        <v>1995</v>
      </c>
      <c r="C8067">
        <v>0</v>
      </c>
    </row>
    <row r="8068" spans="1:3" x14ac:dyDescent="0.35">
      <c r="A8068">
        <v>120</v>
      </c>
      <c r="B8068">
        <v>1996</v>
      </c>
      <c r="C8068">
        <v>0</v>
      </c>
    </row>
    <row r="8069" spans="1:3" x14ac:dyDescent="0.35">
      <c r="A8069">
        <v>120</v>
      </c>
      <c r="B8069">
        <v>1997</v>
      </c>
      <c r="C8069">
        <v>0</v>
      </c>
    </row>
    <row r="8070" spans="1:3" x14ac:dyDescent="0.35">
      <c r="A8070">
        <v>120</v>
      </c>
      <c r="B8070">
        <v>1998</v>
      </c>
      <c r="C8070">
        <v>0</v>
      </c>
    </row>
    <row r="8071" spans="1:3" x14ac:dyDescent="0.35">
      <c r="A8071">
        <v>120</v>
      </c>
      <c r="B8071">
        <v>1999</v>
      </c>
      <c r="C8071">
        <v>0</v>
      </c>
    </row>
    <row r="8072" spans="1:3" x14ac:dyDescent="0.35">
      <c r="A8072">
        <v>120</v>
      </c>
      <c r="B8072">
        <v>2000</v>
      </c>
      <c r="C8072">
        <v>0</v>
      </c>
    </row>
    <row r="8073" spans="1:3" x14ac:dyDescent="0.35">
      <c r="A8073">
        <v>120</v>
      </c>
      <c r="B8073">
        <v>2001</v>
      </c>
      <c r="C8073">
        <v>0</v>
      </c>
    </row>
    <row r="8074" spans="1:3" x14ac:dyDescent="0.35">
      <c r="A8074">
        <v>120</v>
      </c>
      <c r="B8074">
        <v>2002</v>
      </c>
      <c r="C8074">
        <v>0</v>
      </c>
    </row>
    <row r="8075" spans="1:3" x14ac:dyDescent="0.35">
      <c r="A8075">
        <v>120</v>
      </c>
      <c r="B8075">
        <v>2003</v>
      </c>
      <c r="C8075">
        <v>0</v>
      </c>
    </row>
    <row r="8076" spans="1:3" x14ac:dyDescent="0.35">
      <c r="A8076">
        <v>120</v>
      </c>
      <c r="B8076">
        <v>2004</v>
      </c>
      <c r="C8076">
        <v>0</v>
      </c>
    </row>
    <row r="8077" spans="1:3" x14ac:dyDescent="0.35">
      <c r="A8077">
        <v>120</v>
      </c>
      <c r="B8077">
        <v>2005</v>
      </c>
      <c r="C8077">
        <v>0</v>
      </c>
    </row>
    <row r="8078" spans="1:3" x14ac:dyDescent="0.35">
      <c r="A8078">
        <v>120</v>
      </c>
      <c r="B8078">
        <v>2006</v>
      </c>
      <c r="C8078">
        <v>0</v>
      </c>
    </row>
    <row r="8079" spans="1:3" x14ac:dyDescent="0.35">
      <c r="A8079">
        <v>120</v>
      </c>
      <c r="B8079">
        <v>2007</v>
      </c>
      <c r="C8079">
        <v>0</v>
      </c>
    </row>
    <row r="8080" spans="1:3" x14ac:dyDescent="0.35">
      <c r="A8080">
        <v>120</v>
      </c>
      <c r="B8080">
        <v>2008</v>
      </c>
      <c r="C8080">
        <v>0</v>
      </c>
    </row>
    <row r="8081" spans="1:3" x14ac:dyDescent="0.35">
      <c r="A8081">
        <v>120</v>
      </c>
      <c r="B8081">
        <v>2009</v>
      </c>
      <c r="C8081">
        <v>0</v>
      </c>
    </row>
    <row r="8082" spans="1:3" x14ac:dyDescent="0.35">
      <c r="A8082">
        <v>120</v>
      </c>
      <c r="B8082">
        <v>2010</v>
      </c>
      <c r="C8082">
        <v>0</v>
      </c>
    </row>
    <row r="8083" spans="1:3" x14ac:dyDescent="0.35">
      <c r="A8083">
        <v>120</v>
      </c>
      <c r="B8083">
        <v>2011</v>
      </c>
      <c r="C8083">
        <v>0</v>
      </c>
    </row>
    <row r="8084" spans="1:3" x14ac:dyDescent="0.35">
      <c r="A8084">
        <v>120</v>
      </c>
      <c r="B8084">
        <v>2012</v>
      </c>
      <c r="C8084">
        <v>0</v>
      </c>
    </row>
    <row r="8085" spans="1:3" x14ac:dyDescent="0.35">
      <c r="A8085">
        <v>120</v>
      </c>
      <c r="B8085">
        <v>2013</v>
      </c>
      <c r="C8085">
        <v>0</v>
      </c>
    </row>
    <row r="8086" spans="1:3" x14ac:dyDescent="0.35">
      <c r="A8086">
        <v>120</v>
      </c>
      <c r="B8086">
        <v>2014</v>
      </c>
      <c r="C8086">
        <v>0</v>
      </c>
    </row>
    <row r="8087" spans="1:3" x14ac:dyDescent="0.35">
      <c r="A8087">
        <v>120</v>
      </c>
      <c r="B8087">
        <v>2015</v>
      </c>
      <c r="C8087">
        <v>0</v>
      </c>
    </row>
    <row r="8088" spans="1:3" x14ac:dyDescent="0.35">
      <c r="A8088">
        <v>120</v>
      </c>
      <c r="B8088">
        <v>2016</v>
      </c>
      <c r="C8088">
        <v>0</v>
      </c>
    </row>
    <row r="8089" spans="1:3" x14ac:dyDescent="0.35">
      <c r="A8089">
        <v>120</v>
      </c>
      <c r="B8089">
        <v>2017</v>
      </c>
      <c r="C8089">
        <v>0</v>
      </c>
    </row>
    <row r="8090" spans="1:3" x14ac:dyDescent="0.35">
      <c r="A8090">
        <v>120</v>
      </c>
      <c r="B8090">
        <v>2018</v>
      </c>
      <c r="C8090">
        <v>0</v>
      </c>
    </row>
    <row r="8091" spans="1:3" x14ac:dyDescent="0.35">
      <c r="A8091">
        <v>120</v>
      </c>
      <c r="B8091">
        <v>2019</v>
      </c>
      <c r="C8091">
        <v>0</v>
      </c>
    </row>
    <row r="8092" spans="1:3" x14ac:dyDescent="0.35">
      <c r="A8092">
        <v>120</v>
      </c>
      <c r="B8092">
        <v>2020</v>
      </c>
      <c r="C8092">
        <v>0</v>
      </c>
    </row>
    <row r="8093" spans="1:3" x14ac:dyDescent="0.35">
      <c r="A8093">
        <v>120</v>
      </c>
      <c r="B8093">
        <v>2021</v>
      </c>
      <c r="C8093">
        <v>0</v>
      </c>
    </row>
    <row r="8094" spans="1:3" x14ac:dyDescent="0.35">
      <c r="A8094">
        <v>120</v>
      </c>
      <c r="B8094">
        <v>2022</v>
      </c>
      <c r="C8094">
        <v>0</v>
      </c>
    </row>
    <row r="8095" spans="1:3" x14ac:dyDescent="0.35">
      <c r="A8095">
        <v>120</v>
      </c>
      <c r="B8095">
        <v>2023</v>
      </c>
      <c r="C8095">
        <v>0</v>
      </c>
    </row>
    <row r="8096" spans="1:3" x14ac:dyDescent="0.35">
      <c r="A8096">
        <v>120</v>
      </c>
      <c r="B8096">
        <v>2024</v>
      </c>
      <c r="C8096">
        <v>0</v>
      </c>
    </row>
    <row r="8097" spans="1:3" x14ac:dyDescent="0.35">
      <c r="A8097">
        <v>120</v>
      </c>
      <c r="B8097">
        <v>2025</v>
      </c>
      <c r="C8097">
        <v>0</v>
      </c>
    </row>
    <row r="8098" spans="1:3" x14ac:dyDescent="0.35">
      <c r="A8098">
        <v>120</v>
      </c>
      <c r="B8098">
        <v>2026</v>
      </c>
      <c r="C8098">
        <v>0</v>
      </c>
    </row>
    <row r="8099" spans="1:3" x14ac:dyDescent="0.35">
      <c r="A8099">
        <v>120</v>
      </c>
      <c r="B8099">
        <v>2027</v>
      </c>
      <c r="C8099">
        <v>0</v>
      </c>
    </row>
    <row r="8100" spans="1:3" x14ac:dyDescent="0.35">
      <c r="A8100">
        <v>120</v>
      </c>
      <c r="B8100">
        <v>2028</v>
      </c>
      <c r="C8100">
        <v>0</v>
      </c>
    </row>
    <row r="8101" spans="1:3" x14ac:dyDescent="0.35">
      <c r="A8101">
        <v>120</v>
      </c>
      <c r="B8101">
        <v>2029</v>
      </c>
      <c r="C8101">
        <v>0</v>
      </c>
    </row>
    <row r="8102" spans="1:3" x14ac:dyDescent="0.35">
      <c r="A8102">
        <v>120</v>
      </c>
      <c r="B8102">
        <v>2030</v>
      </c>
      <c r="C8102">
        <v>0</v>
      </c>
    </row>
    <row r="8103" spans="1:3" x14ac:dyDescent="0.35">
      <c r="A8103">
        <v>120</v>
      </c>
      <c r="B8103">
        <v>2031</v>
      </c>
      <c r="C8103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543"/>
  <sheetViews>
    <sheetView workbookViewId="0"/>
  </sheetViews>
  <sheetFormatPr defaultRowHeight="14.5" x14ac:dyDescent="0.35"/>
  <sheetData>
    <row r="1" spans="1:10" ht="15.5" x14ac:dyDescent="0.35">
      <c r="A1" s="1" t="s">
        <v>28</v>
      </c>
    </row>
    <row r="3" spans="1:10" x14ac:dyDescent="0.35">
      <c r="A3" s="2" t="s">
        <v>29</v>
      </c>
      <c r="B3" s="2" t="s">
        <v>30</v>
      </c>
      <c r="C3" s="2" t="s">
        <v>31</v>
      </c>
      <c r="D3" s="2" t="s">
        <v>32</v>
      </c>
      <c r="E3" s="2" t="s">
        <v>33</v>
      </c>
      <c r="F3" s="2" t="s">
        <v>34</v>
      </c>
      <c r="G3" s="2" t="s">
        <v>35</v>
      </c>
      <c r="H3" s="2" t="s">
        <v>36</v>
      </c>
      <c r="I3" s="2" t="s">
        <v>37</v>
      </c>
      <c r="J3" s="2" t="s">
        <v>38</v>
      </c>
    </row>
    <row r="4" spans="1:10" x14ac:dyDescent="0.35">
      <c r="A4">
        <v>1</v>
      </c>
      <c r="B4">
        <f>A4/Inputs!$B$6</f>
        <v>8.3333333333333329E-2</v>
      </c>
      <c r="C4">
        <f>IF(B4&lt;=INDEX(YieldCurve!$A$4:$A$63,1),1,IF(B4&gt;=INDEX(YieldCurve!$A$4:$A$63,ROWS(YieldCurve!$A$4:$A$63)),ROWS(YieldCurve!$A$4:$A$63)-1,MATCH(B4,YieldCurve!$A$4:$A$63,1)))</f>
        <v>1</v>
      </c>
      <c r="D4">
        <f>INDEX(YieldCurve!$A$4:$A$63,C4)</f>
        <v>0.5</v>
      </c>
      <c r="E4">
        <f>INDEX(YieldCurve!$A$4:$A$63,C4+1)</f>
        <v>1</v>
      </c>
      <c r="F4">
        <f>INDEX(YieldCurve!$B$4:$B$63,C4)</f>
        <v>3.7250930000000002E-2</v>
      </c>
      <c r="G4">
        <f>INDEX(YieldCurve!$B$4:$B$63,C4+1)</f>
        <v>3.6953699999999999E-2</v>
      </c>
      <c r="H4">
        <f t="shared" ref="H4:H67" si="0">IF(E4=D4,0,(B4-D4)/(E4-D4))</f>
        <v>-0.83333333333333337</v>
      </c>
      <c r="I4">
        <f>IF(B4&lt;=INDEX(YieldCurve!$A$4:$A$63,1),INDEX(YieldCurve!$B$4:$B$63,1),IF(B4&gt;=INDEX(YieldCurve!$A$4:$A$63,ROWS(YieldCurve!$A$4:$A$63)),INDEX(YieldCurve!$B$4:$B$63,ROWS(YieldCurve!$B$4:$B$63)),F4+H4*(G4-F4)))</f>
        <v>3.7250930000000002E-2</v>
      </c>
      <c r="J4">
        <f>EXP(-(I4+Inputs!$B$9)*B4)</f>
        <v>0.99690056901753532</v>
      </c>
    </row>
    <row r="5" spans="1:10" x14ac:dyDescent="0.35">
      <c r="A5">
        <v>2</v>
      </c>
      <c r="B5">
        <f>A5/Inputs!$B$6</f>
        <v>0.16666666666666666</v>
      </c>
      <c r="C5">
        <f>IF(B5&lt;=INDEX(YieldCurve!$A$4:$A$63,1),1,IF(B5&gt;=INDEX(YieldCurve!$A$4:$A$63,ROWS(YieldCurve!$A$4:$A$63)),ROWS(YieldCurve!$A$4:$A$63)-1,MATCH(B5,YieldCurve!$A$4:$A$63,1)))</f>
        <v>1</v>
      </c>
      <c r="D5">
        <f>INDEX(YieldCurve!$A$4:$A$63,C5)</f>
        <v>0.5</v>
      </c>
      <c r="E5">
        <f>INDEX(YieldCurve!$A$4:$A$63,C5+1)</f>
        <v>1</v>
      </c>
      <c r="F5">
        <f>INDEX(YieldCurve!$B$4:$B$63,C5)</f>
        <v>3.7250930000000002E-2</v>
      </c>
      <c r="G5">
        <f>INDEX(YieldCurve!$B$4:$B$63,C5+1)</f>
        <v>3.6953699999999999E-2</v>
      </c>
      <c r="H5">
        <f t="shared" si="0"/>
        <v>-0.66666666666666674</v>
      </c>
      <c r="I5">
        <f>IF(B5&lt;=INDEX(YieldCurve!$A$4:$A$63,1),INDEX(YieldCurve!$B$4:$B$63,1),IF(B5&gt;=INDEX(YieldCurve!$A$4:$A$63,ROWS(YieldCurve!$A$4:$A$63)),INDEX(YieldCurve!$B$4:$B$63,ROWS(YieldCurve!$B$4:$B$63)),F5+H5*(G5-F5)))</f>
        <v>3.7250930000000002E-2</v>
      </c>
      <c r="J5">
        <f>EXP(-(I5+Inputs!$B$9)*B5)</f>
        <v>0.99381074450748585</v>
      </c>
    </row>
    <row r="6" spans="1:10" x14ac:dyDescent="0.35">
      <c r="A6">
        <v>3</v>
      </c>
      <c r="B6">
        <f>A6/Inputs!$B$6</f>
        <v>0.25</v>
      </c>
      <c r="C6">
        <f>IF(B6&lt;=INDEX(YieldCurve!$A$4:$A$63,1),1,IF(B6&gt;=INDEX(YieldCurve!$A$4:$A$63,ROWS(YieldCurve!$A$4:$A$63)),ROWS(YieldCurve!$A$4:$A$63)-1,MATCH(B6,YieldCurve!$A$4:$A$63,1)))</f>
        <v>1</v>
      </c>
      <c r="D6">
        <f>INDEX(YieldCurve!$A$4:$A$63,C6)</f>
        <v>0.5</v>
      </c>
      <c r="E6">
        <f>INDEX(YieldCurve!$A$4:$A$63,C6+1)</f>
        <v>1</v>
      </c>
      <c r="F6">
        <f>INDEX(YieldCurve!$B$4:$B$63,C6)</f>
        <v>3.7250930000000002E-2</v>
      </c>
      <c r="G6">
        <f>INDEX(YieldCurve!$B$4:$B$63,C6+1)</f>
        <v>3.6953699999999999E-2</v>
      </c>
      <c r="H6">
        <f t="shared" si="0"/>
        <v>-0.5</v>
      </c>
      <c r="I6">
        <f>IF(B6&lt;=INDEX(YieldCurve!$A$4:$A$63,1),INDEX(YieldCurve!$B$4:$B$63,1),IF(B6&gt;=INDEX(YieldCurve!$A$4:$A$63,ROWS(YieldCurve!$A$4:$A$63)),INDEX(YieldCurve!$B$4:$B$63,ROWS(YieldCurve!$B$4:$B$63)),F6+H6*(G6-F6)))</f>
        <v>3.7250930000000002E-2</v>
      </c>
      <c r="J6">
        <f>EXP(-(I6+Inputs!$B$9)*B6)</f>
        <v>0.99073049669525304</v>
      </c>
    </row>
    <row r="7" spans="1:10" x14ac:dyDescent="0.35">
      <c r="A7">
        <v>4</v>
      </c>
      <c r="B7">
        <f>A7/Inputs!$B$6</f>
        <v>0.33333333333333331</v>
      </c>
      <c r="C7">
        <f>IF(B7&lt;=INDEX(YieldCurve!$A$4:$A$63,1),1,IF(B7&gt;=INDEX(YieldCurve!$A$4:$A$63,ROWS(YieldCurve!$A$4:$A$63)),ROWS(YieldCurve!$A$4:$A$63)-1,MATCH(B7,YieldCurve!$A$4:$A$63,1)))</f>
        <v>1</v>
      </c>
      <c r="D7">
        <f>INDEX(YieldCurve!$A$4:$A$63,C7)</f>
        <v>0.5</v>
      </c>
      <c r="E7">
        <f>INDEX(YieldCurve!$A$4:$A$63,C7+1)</f>
        <v>1</v>
      </c>
      <c r="F7">
        <f>INDEX(YieldCurve!$B$4:$B$63,C7)</f>
        <v>3.7250930000000002E-2</v>
      </c>
      <c r="G7">
        <f>INDEX(YieldCurve!$B$4:$B$63,C7+1)</f>
        <v>3.6953699999999999E-2</v>
      </c>
      <c r="H7">
        <f t="shared" si="0"/>
        <v>-0.33333333333333337</v>
      </c>
      <c r="I7">
        <f>IF(B7&lt;=INDEX(YieldCurve!$A$4:$A$63,1),INDEX(YieldCurve!$B$4:$B$63,1),IF(B7&gt;=INDEX(YieldCurve!$A$4:$A$63,ROWS(YieldCurve!$A$4:$A$63)),INDEX(YieldCurve!$B$4:$B$63,ROWS(YieldCurve!$B$4:$B$63)),F7+H7*(G7-F7)))</f>
        <v>3.7250930000000002E-2</v>
      </c>
      <c r="J7">
        <f>EXP(-(I7+Inputs!$B$9)*B7)</f>
        <v>0.98765979589852326</v>
      </c>
    </row>
    <row r="8" spans="1:10" x14ac:dyDescent="0.35">
      <c r="A8">
        <v>5</v>
      </c>
      <c r="B8">
        <f>A8/Inputs!$B$6</f>
        <v>0.41666666666666669</v>
      </c>
      <c r="C8">
        <f>IF(B8&lt;=INDEX(YieldCurve!$A$4:$A$63,1),1,IF(B8&gt;=INDEX(YieldCurve!$A$4:$A$63,ROWS(YieldCurve!$A$4:$A$63)),ROWS(YieldCurve!$A$4:$A$63)-1,MATCH(B8,YieldCurve!$A$4:$A$63,1)))</f>
        <v>1</v>
      </c>
      <c r="D8">
        <f>INDEX(YieldCurve!$A$4:$A$63,C8)</f>
        <v>0.5</v>
      </c>
      <c r="E8">
        <f>INDEX(YieldCurve!$A$4:$A$63,C8+1)</f>
        <v>1</v>
      </c>
      <c r="F8">
        <f>INDEX(YieldCurve!$B$4:$B$63,C8)</f>
        <v>3.7250930000000002E-2</v>
      </c>
      <c r="G8">
        <f>INDEX(YieldCurve!$B$4:$B$63,C8+1)</f>
        <v>3.6953699999999999E-2</v>
      </c>
      <c r="H8">
        <f t="shared" si="0"/>
        <v>-0.16666666666666663</v>
      </c>
      <c r="I8">
        <f>IF(B8&lt;=INDEX(YieldCurve!$A$4:$A$63,1),INDEX(YieldCurve!$B$4:$B$63,1),IF(B8&gt;=INDEX(YieldCurve!$A$4:$A$63,ROWS(YieldCurve!$A$4:$A$63)),INDEX(YieldCurve!$B$4:$B$63,ROWS(YieldCurve!$B$4:$B$63)),F8+H8*(G8-F8)))</f>
        <v>3.7250930000000002E-2</v>
      </c>
      <c r="J8">
        <f>EXP(-(I8+Inputs!$B$9)*B8)</f>
        <v>0.98459861252698067</v>
      </c>
    </row>
    <row r="9" spans="1:10" x14ac:dyDescent="0.35">
      <c r="A9">
        <v>6</v>
      </c>
      <c r="B9">
        <f>A9/Inputs!$B$6</f>
        <v>0.5</v>
      </c>
      <c r="C9">
        <f>IF(B9&lt;=INDEX(YieldCurve!$A$4:$A$63,1),1,IF(B9&gt;=INDEX(YieldCurve!$A$4:$A$63,ROWS(YieldCurve!$A$4:$A$63)),ROWS(YieldCurve!$A$4:$A$63)-1,MATCH(B9,YieldCurve!$A$4:$A$63,1)))</f>
        <v>1</v>
      </c>
      <c r="D9">
        <f>INDEX(YieldCurve!$A$4:$A$63,C9)</f>
        <v>0.5</v>
      </c>
      <c r="E9">
        <f>INDEX(YieldCurve!$A$4:$A$63,C9+1)</f>
        <v>1</v>
      </c>
      <c r="F9">
        <f>INDEX(YieldCurve!$B$4:$B$63,C9)</f>
        <v>3.7250930000000002E-2</v>
      </c>
      <c r="G9">
        <f>INDEX(YieldCurve!$B$4:$B$63,C9+1)</f>
        <v>3.6953699999999999E-2</v>
      </c>
      <c r="H9">
        <f t="shared" si="0"/>
        <v>0</v>
      </c>
      <c r="I9">
        <f>IF(B9&lt;=INDEX(YieldCurve!$A$4:$A$63,1),INDEX(YieldCurve!$B$4:$B$63,1),IF(B9&gt;=INDEX(YieldCurve!$A$4:$A$63,ROWS(YieldCurve!$A$4:$A$63)),INDEX(YieldCurve!$B$4:$B$63,ROWS(YieldCurve!$B$4:$B$63)),F9+H9*(G9-F9)))</f>
        <v>3.7250930000000002E-2</v>
      </c>
      <c r="J9">
        <f>EXP(-(I9+Inputs!$B$9)*B9)</f>
        <v>0.98154691708202291</v>
      </c>
    </row>
    <row r="10" spans="1:10" x14ac:dyDescent="0.35">
      <c r="A10">
        <v>7</v>
      </c>
      <c r="B10">
        <f>A10/Inputs!$B$6</f>
        <v>0.58333333333333337</v>
      </c>
      <c r="C10">
        <f>IF(B10&lt;=INDEX(YieldCurve!$A$4:$A$63,1),1,IF(B10&gt;=INDEX(YieldCurve!$A$4:$A$63,ROWS(YieldCurve!$A$4:$A$63)),ROWS(YieldCurve!$A$4:$A$63)-1,MATCH(B10,YieldCurve!$A$4:$A$63,1)))</f>
        <v>1</v>
      </c>
      <c r="D10">
        <f>INDEX(YieldCurve!$A$4:$A$63,C10)</f>
        <v>0.5</v>
      </c>
      <c r="E10">
        <f>INDEX(YieldCurve!$A$4:$A$63,C10+1)</f>
        <v>1</v>
      </c>
      <c r="F10">
        <f>INDEX(YieldCurve!$B$4:$B$63,C10)</f>
        <v>3.7250930000000002E-2</v>
      </c>
      <c r="G10">
        <f>INDEX(YieldCurve!$B$4:$B$63,C10+1)</f>
        <v>3.6953699999999999E-2</v>
      </c>
      <c r="H10">
        <f t="shared" si="0"/>
        <v>0.16666666666666674</v>
      </c>
      <c r="I10">
        <f>IF(B10&lt;=INDEX(YieldCurve!$A$4:$A$63,1),INDEX(YieldCurve!$B$4:$B$63,1),IF(B10&gt;=INDEX(YieldCurve!$A$4:$A$63,ROWS(YieldCurve!$A$4:$A$63)),INDEX(YieldCurve!$B$4:$B$63,ROWS(YieldCurve!$B$4:$B$63)),F10+H10*(G10-F10)))</f>
        <v>3.7201391666666667E-2</v>
      </c>
      <c r="J10">
        <f>EXP(-(I10+Inputs!$B$9)*B10)</f>
        <v>0.97853295676812535</v>
      </c>
    </row>
    <row r="11" spans="1:10" x14ac:dyDescent="0.35">
      <c r="A11">
        <v>8</v>
      </c>
      <c r="B11">
        <f>A11/Inputs!$B$6</f>
        <v>0.66666666666666663</v>
      </c>
      <c r="C11">
        <f>IF(B11&lt;=INDEX(YieldCurve!$A$4:$A$63,1),1,IF(B11&gt;=INDEX(YieldCurve!$A$4:$A$63,ROWS(YieldCurve!$A$4:$A$63)),ROWS(YieldCurve!$A$4:$A$63)-1,MATCH(B11,YieldCurve!$A$4:$A$63,1)))</f>
        <v>1</v>
      </c>
      <c r="D11">
        <f>INDEX(YieldCurve!$A$4:$A$63,C11)</f>
        <v>0.5</v>
      </c>
      <c r="E11">
        <f>INDEX(YieldCurve!$A$4:$A$63,C11+1)</f>
        <v>1</v>
      </c>
      <c r="F11">
        <f>INDEX(YieldCurve!$B$4:$B$63,C11)</f>
        <v>3.7250930000000002E-2</v>
      </c>
      <c r="G11">
        <f>INDEX(YieldCurve!$B$4:$B$63,C11+1)</f>
        <v>3.6953699999999999E-2</v>
      </c>
      <c r="H11">
        <f t="shared" si="0"/>
        <v>0.33333333333333326</v>
      </c>
      <c r="I11">
        <f>IF(B11&lt;=INDEX(YieldCurve!$A$4:$A$63,1),INDEX(YieldCurve!$B$4:$B$63,1),IF(B11&gt;=INDEX(YieldCurve!$A$4:$A$63,ROWS(YieldCurve!$A$4:$A$63)),INDEX(YieldCurve!$B$4:$B$63,ROWS(YieldCurve!$B$4:$B$63)),F11+H11*(G11-F11)))</f>
        <v>3.7151853333333332E-2</v>
      </c>
      <c r="J11">
        <f>EXP(-(I11+Inputs!$B$9)*B11)</f>
        <v>0.97553630556326099</v>
      </c>
    </row>
    <row r="12" spans="1:10" x14ac:dyDescent="0.35">
      <c r="A12">
        <v>9</v>
      </c>
      <c r="B12">
        <f>A12/Inputs!$B$6</f>
        <v>0.75</v>
      </c>
      <c r="C12">
        <f>IF(B12&lt;=INDEX(YieldCurve!$A$4:$A$63,1),1,IF(B12&gt;=INDEX(YieldCurve!$A$4:$A$63,ROWS(YieldCurve!$A$4:$A$63)),ROWS(YieldCurve!$A$4:$A$63)-1,MATCH(B12,YieldCurve!$A$4:$A$63,1)))</f>
        <v>1</v>
      </c>
      <c r="D12">
        <f>INDEX(YieldCurve!$A$4:$A$63,C12)</f>
        <v>0.5</v>
      </c>
      <c r="E12">
        <f>INDEX(YieldCurve!$A$4:$A$63,C12+1)</f>
        <v>1</v>
      </c>
      <c r="F12">
        <f>INDEX(YieldCurve!$B$4:$B$63,C12)</f>
        <v>3.7250930000000002E-2</v>
      </c>
      <c r="G12">
        <f>INDEX(YieldCurve!$B$4:$B$63,C12+1)</f>
        <v>3.6953699999999999E-2</v>
      </c>
      <c r="H12">
        <f t="shared" si="0"/>
        <v>0.5</v>
      </c>
      <c r="I12">
        <f>IF(B12&lt;=INDEX(YieldCurve!$A$4:$A$63,1),INDEX(YieldCurve!$B$4:$B$63,1),IF(B12&gt;=INDEX(YieldCurve!$A$4:$A$63,ROWS(YieldCurve!$A$4:$A$63)),INDEX(YieldCurve!$B$4:$B$63,ROWS(YieldCurve!$B$4:$B$63)),F12+H12*(G12-F12)))</f>
        <v>3.7102314999999997E-2</v>
      </c>
      <c r="J12">
        <f>EXP(-(I12+Inputs!$B$9)*B12)</f>
        <v>0.97255686105268668</v>
      </c>
    </row>
    <row r="13" spans="1:10" x14ac:dyDescent="0.35">
      <c r="A13">
        <v>10</v>
      </c>
      <c r="B13">
        <f>A13/Inputs!$B$6</f>
        <v>0.83333333333333337</v>
      </c>
      <c r="C13">
        <f>IF(B13&lt;=INDEX(YieldCurve!$A$4:$A$63,1),1,IF(B13&gt;=INDEX(YieldCurve!$A$4:$A$63,ROWS(YieldCurve!$A$4:$A$63)),ROWS(YieldCurve!$A$4:$A$63)-1,MATCH(B13,YieldCurve!$A$4:$A$63,1)))</f>
        <v>1</v>
      </c>
      <c r="D13">
        <f>INDEX(YieldCurve!$A$4:$A$63,C13)</f>
        <v>0.5</v>
      </c>
      <c r="E13">
        <f>INDEX(YieldCurve!$A$4:$A$63,C13+1)</f>
        <v>1</v>
      </c>
      <c r="F13">
        <f>INDEX(YieldCurve!$B$4:$B$63,C13)</f>
        <v>3.7250930000000002E-2</v>
      </c>
      <c r="G13">
        <f>INDEX(YieldCurve!$B$4:$B$63,C13+1)</f>
        <v>3.6953699999999999E-2</v>
      </c>
      <c r="H13">
        <f t="shared" si="0"/>
        <v>0.66666666666666674</v>
      </c>
      <c r="I13">
        <f>IF(B13&lt;=INDEX(YieldCurve!$A$4:$A$63,1),INDEX(YieldCurve!$B$4:$B$63,1),IF(B13&gt;=INDEX(YieldCurve!$A$4:$A$63,ROWS(YieldCurve!$A$4:$A$63)),INDEX(YieldCurve!$B$4:$B$63,ROWS(YieldCurve!$B$4:$B$63)),F13+H13*(G13-F13)))</f>
        <v>3.7052776666666669E-2</v>
      </c>
      <c r="J13">
        <f>EXP(-(I13+Inputs!$B$9)*B13)</f>
        <v>0.96959452156041814</v>
      </c>
    </row>
    <row r="14" spans="1:10" x14ac:dyDescent="0.35">
      <c r="A14">
        <v>11</v>
      </c>
      <c r="B14">
        <f>A14/Inputs!$B$6</f>
        <v>0.91666666666666663</v>
      </c>
      <c r="C14">
        <f>IF(B14&lt;=INDEX(YieldCurve!$A$4:$A$63,1),1,IF(B14&gt;=INDEX(YieldCurve!$A$4:$A$63,ROWS(YieldCurve!$A$4:$A$63)),ROWS(YieldCurve!$A$4:$A$63)-1,MATCH(B14,YieldCurve!$A$4:$A$63,1)))</f>
        <v>1</v>
      </c>
      <c r="D14">
        <f>INDEX(YieldCurve!$A$4:$A$63,C14)</f>
        <v>0.5</v>
      </c>
      <c r="E14">
        <f>INDEX(YieldCurve!$A$4:$A$63,C14+1)</f>
        <v>1</v>
      </c>
      <c r="F14">
        <f>INDEX(YieldCurve!$B$4:$B$63,C14)</f>
        <v>3.7250930000000002E-2</v>
      </c>
      <c r="G14">
        <f>INDEX(YieldCurve!$B$4:$B$63,C14+1)</f>
        <v>3.6953699999999999E-2</v>
      </c>
      <c r="H14">
        <f t="shared" si="0"/>
        <v>0.83333333333333326</v>
      </c>
      <c r="I14">
        <f>IF(B14&lt;=INDEX(YieldCurve!$A$4:$A$63,1),INDEX(YieldCurve!$B$4:$B$63,1),IF(B14&gt;=INDEX(YieldCurve!$A$4:$A$63,ROWS(YieldCurve!$A$4:$A$63)),INDEX(YieldCurve!$B$4:$B$63,ROWS(YieldCurve!$B$4:$B$63)),F14+H14*(G14-F14)))</f>
        <v>3.7003238333333334E-2</v>
      </c>
      <c r="J14">
        <f>EXP(-(I14+Inputs!$B$9)*B14)</f>
        <v>0.96664918614362072</v>
      </c>
    </row>
    <row r="15" spans="1:10" x14ac:dyDescent="0.35">
      <c r="A15">
        <v>12</v>
      </c>
      <c r="B15">
        <f>A15/Inputs!$B$6</f>
        <v>1</v>
      </c>
      <c r="C15">
        <f>IF(B15&lt;=INDEX(YieldCurve!$A$4:$A$63,1),1,IF(B15&gt;=INDEX(YieldCurve!$A$4:$A$63,ROWS(YieldCurve!$A$4:$A$63)),ROWS(YieldCurve!$A$4:$A$63)-1,MATCH(B15,YieldCurve!$A$4:$A$63,1)))</f>
        <v>2</v>
      </c>
      <c r="D15">
        <f>INDEX(YieldCurve!$A$4:$A$63,C15)</f>
        <v>1</v>
      </c>
      <c r="E15">
        <f>INDEX(YieldCurve!$A$4:$A$63,C15+1)</f>
        <v>1.5</v>
      </c>
      <c r="F15">
        <f>INDEX(YieldCurve!$B$4:$B$63,C15)</f>
        <v>3.6953699999999999E-2</v>
      </c>
      <c r="G15">
        <f>INDEX(YieldCurve!$B$4:$B$63,C15+1)</f>
        <v>3.725465E-2</v>
      </c>
      <c r="H15">
        <f t="shared" si="0"/>
        <v>0</v>
      </c>
      <c r="I15">
        <f>IF(B15&lt;=INDEX(YieldCurve!$A$4:$A$63,1),INDEX(YieldCurve!$B$4:$B$63,1),IF(B15&gt;=INDEX(YieldCurve!$A$4:$A$63,ROWS(YieldCurve!$A$4:$A$63)),INDEX(YieldCurve!$B$4:$B$63,ROWS(YieldCurve!$B$4:$B$63)),F15+H15*(G15-F15)))</f>
        <v>3.6953699999999999E-2</v>
      </c>
      <c r="J15">
        <f>EXP(-(I15+Inputs!$B$9)*B15)</f>
        <v>0.96372075458704753</v>
      </c>
    </row>
    <row r="16" spans="1:10" x14ac:dyDescent="0.35">
      <c r="A16">
        <v>13</v>
      </c>
      <c r="B16">
        <f>A16/Inputs!$B$6</f>
        <v>1.0833333333333333</v>
      </c>
      <c r="C16">
        <f>IF(B16&lt;=INDEX(YieldCurve!$A$4:$A$63,1),1,IF(B16&gt;=INDEX(YieldCurve!$A$4:$A$63,ROWS(YieldCurve!$A$4:$A$63)),ROWS(YieldCurve!$A$4:$A$63)-1,MATCH(B16,YieldCurve!$A$4:$A$63,1)))</f>
        <v>2</v>
      </c>
      <c r="D16">
        <f>INDEX(YieldCurve!$A$4:$A$63,C16)</f>
        <v>1</v>
      </c>
      <c r="E16">
        <f>INDEX(YieldCurve!$A$4:$A$63,C16+1)</f>
        <v>1.5</v>
      </c>
      <c r="F16">
        <f>INDEX(YieldCurve!$B$4:$B$63,C16)</f>
        <v>3.6953699999999999E-2</v>
      </c>
      <c r="G16">
        <f>INDEX(YieldCurve!$B$4:$B$63,C16+1)</f>
        <v>3.725465E-2</v>
      </c>
      <c r="H16">
        <f t="shared" si="0"/>
        <v>0.16666666666666652</v>
      </c>
      <c r="I16">
        <f>IF(B16&lt;=INDEX(YieldCurve!$A$4:$A$63,1),INDEX(YieldCurve!$B$4:$B$63,1),IF(B16&gt;=INDEX(YieldCurve!$A$4:$A$63,ROWS(YieldCurve!$A$4:$A$63)),INDEX(YieldCurve!$B$4:$B$63,ROWS(YieldCurve!$B$4:$B$63)),F16+H16*(G16-F16)))</f>
        <v>3.7003858333333334E-2</v>
      </c>
      <c r="J16">
        <f>EXP(-(I16+Inputs!$B$9)*B16)</f>
        <v>0.96070536107833859</v>
      </c>
    </row>
    <row r="17" spans="1:10" x14ac:dyDescent="0.35">
      <c r="A17">
        <v>14</v>
      </c>
      <c r="B17">
        <f>A17/Inputs!$B$6</f>
        <v>1.1666666666666667</v>
      </c>
      <c r="C17">
        <f>IF(B17&lt;=INDEX(YieldCurve!$A$4:$A$63,1),1,IF(B17&gt;=INDEX(YieldCurve!$A$4:$A$63,ROWS(YieldCurve!$A$4:$A$63)),ROWS(YieldCurve!$A$4:$A$63)-1,MATCH(B17,YieldCurve!$A$4:$A$63,1)))</f>
        <v>2</v>
      </c>
      <c r="D17">
        <f>INDEX(YieldCurve!$A$4:$A$63,C17)</f>
        <v>1</v>
      </c>
      <c r="E17">
        <f>INDEX(YieldCurve!$A$4:$A$63,C17+1)</f>
        <v>1.5</v>
      </c>
      <c r="F17">
        <f>INDEX(YieldCurve!$B$4:$B$63,C17)</f>
        <v>3.6953699999999999E-2</v>
      </c>
      <c r="G17">
        <f>INDEX(YieldCurve!$B$4:$B$63,C17+1)</f>
        <v>3.725465E-2</v>
      </c>
      <c r="H17">
        <f t="shared" si="0"/>
        <v>0.33333333333333348</v>
      </c>
      <c r="I17">
        <f>IF(B17&lt;=INDEX(YieldCurve!$A$4:$A$63,1),INDEX(YieldCurve!$B$4:$B$63,1),IF(B17&gt;=INDEX(YieldCurve!$A$4:$A$63,ROWS(YieldCurve!$A$4:$A$63)),INDEX(YieldCurve!$B$4:$B$63,ROWS(YieldCurve!$B$4:$B$63)),F17+H17*(G17-F17)))</f>
        <v>3.7054016666666668E-2</v>
      </c>
      <c r="J17">
        <f>EXP(-(I17+Inputs!$B$9)*B17)</f>
        <v>0.95769139639077028</v>
      </c>
    </row>
    <row r="18" spans="1:10" x14ac:dyDescent="0.35">
      <c r="A18">
        <v>15</v>
      </c>
      <c r="B18">
        <f>A18/Inputs!$B$6</f>
        <v>1.25</v>
      </c>
      <c r="C18">
        <f>IF(B18&lt;=INDEX(YieldCurve!$A$4:$A$63,1),1,IF(B18&gt;=INDEX(YieldCurve!$A$4:$A$63,ROWS(YieldCurve!$A$4:$A$63)),ROWS(YieldCurve!$A$4:$A$63)-1,MATCH(B18,YieldCurve!$A$4:$A$63,1)))</f>
        <v>2</v>
      </c>
      <c r="D18">
        <f>INDEX(YieldCurve!$A$4:$A$63,C18)</f>
        <v>1</v>
      </c>
      <c r="E18">
        <f>INDEX(YieldCurve!$A$4:$A$63,C18+1)</f>
        <v>1.5</v>
      </c>
      <c r="F18">
        <f>INDEX(YieldCurve!$B$4:$B$63,C18)</f>
        <v>3.6953699999999999E-2</v>
      </c>
      <c r="G18">
        <f>INDEX(YieldCurve!$B$4:$B$63,C18+1)</f>
        <v>3.725465E-2</v>
      </c>
      <c r="H18">
        <f t="shared" si="0"/>
        <v>0.5</v>
      </c>
      <c r="I18">
        <f>IF(B18&lt;=INDEX(YieldCurve!$A$4:$A$63,1),INDEX(YieldCurve!$B$4:$B$63,1),IF(B18&gt;=INDEX(YieldCurve!$A$4:$A$63,ROWS(YieldCurve!$A$4:$A$63)),INDEX(YieldCurve!$B$4:$B$63,ROWS(YieldCurve!$B$4:$B$63)),F18+H18*(G18-F18)))</f>
        <v>3.7104175000000003E-2</v>
      </c>
      <c r="J18">
        <f>EXP(-(I18+Inputs!$B$9)*B18)</f>
        <v>0.95467890635434483</v>
      </c>
    </row>
    <row r="19" spans="1:10" x14ac:dyDescent="0.35">
      <c r="A19">
        <v>16</v>
      </c>
      <c r="B19">
        <f>A19/Inputs!$B$6</f>
        <v>1.3333333333333333</v>
      </c>
      <c r="C19">
        <f>IF(B19&lt;=INDEX(YieldCurve!$A$4:$A$63,1),1,IF(B19&gt;=INDEX(YieldCurve!$A$4:$A$63,ROWS(YieldCurve!$A$4:$A$63)),ROWS(YieldCurve!$A$4:$A$63)-1,MATCH(B19,YieldCurve!$A$4:$A$63,1)))</f>
        <v>2</v>
      </c>
      <c r="D19">
        <f>INDEX(YieldCurve!$A$4:$A$63,C19)</f>
        <v>1</v>
      </c>
      <c r="E19">
        <f>INDEX(YieldCurve!$A$4:$A$63,C19+1)</f>
        <v>1.5</v>
      </c>
      <c r="F19">
        <f>INDEX(YieldCurve!$B$4:$B$63,C19)</f>
        <v>3.6953699999999999E-2</v>
      </c>
      <c r="G19">
        <f>INDEX(YieldCurve!$B$4:$B$63,C19+1)</f>
        <v>3.725465E-2</v>
      </c>
      <c r="H19">
        <f t="shared" si="0"/>
        <v>0.66666666666666652</v>
      </c>
      <c r="I19">
        <f>IF(B19&lt;=INDEX(YieldCurve!$A$4:$A$63,1),INDEX(YieldCurve!$B$4:$B$63,1),IF(B19&gt;=INDEX(YieldCurve!$A$4:$A$63,ROWS(YieldCurve!$A$4:$A$63)),INDEX(YieldCurve!$B$4:$B$63,ROWS(YieldCurve!$B$4:$B$63)),F19+H19*(G19-F19)))</f>
        <v>3.7154333333333331E-2</v>
      </c>
      <c r="J19">
        <f>EXP(-(I19+Inputs!$B$9)*B19)</f>
        <v>0.95166793661816951</v>
      </c>
    </row>
    <row r="20" spans="1:10" x14ac:dyDescent="0.35">
      <c r="A20">
        <v>17</v>
      </c>
      <c r="B20">
        <f>A20/Inputs!$B$6</f>
        <v>1.4166666666666667</v>
      </c>
      <c r="C20">
        <f>IF(B20&lt;=INDEX(YieldCurve!$A$4:$A$63,1),1,IF(B20&gt;=INDEX(YieldCurve!$A$4:$A$63,ROWS(YieldCurve!$A$4:$A$63)),ROWS(YieldCurve!$A$4:$A$63)-1,MATCH(B20,YieldCurve!$A$4:$A$63,1)))</f>
        <v>2</v>
      </c>
      <c r="D20">
        <f>INDEX(YieldCurve!$A$4:$A$63,C20)</f>
        <v>1</v>
      </c>
      <c r="E20">
        <f>INDEX(YieldCurve!$A$4:$A$63,C20+1)</f>
        <v>1.5</v>
      </c>
      <c r="F20">
        <f>INDEX(YieldCurve!$B$4:$B$63,C20)</f>
        <v>3.6953699999999999E-2</v>
      </c>
      <c r="G20">
        <f>INDEX(YieldCurve!$B$4:$B$63,C20+1)</f>
        <v>3.725465E-2</v>
      </c>
      <c r="H20">
        <f t="shared" si="0"/>
        <v>0.83333333333333348</v>
      </c>
      <c r="I20">
        <f>IF(B20&lt;=INDEX(YieldCurve!$A$4:$A$63,1),INDEX(YieldCurve!$B$4:$B$63,1),IF(B20&gt;=INDEX(YieldCurve!$A$4:$A$63,ROWS(YieldCurve!$A$4:$A$63)),INDEX(YieldCurve!$B$4:$B$63,ROWS(YieldCurve!$B$4:$B$63)),F20+H20*(G20-F20)))</f>
        <v>3.7204491666666666E-2</v>
      </c>
      <c r="J20">
        <f>EXP(-(I20+Inputs!$B$9)*B20)</f>
        <v>0.94865853264950106</v>
      </c>
    </row>
    <row r="21" spans="1:10" x14ac:dyDescent="0.35">
      <c r="A21">
        <v>18</v>
      </c>
      <c r="B21">
        <f>A21/Inputs!$B$6</f>
        <v>1.5</v>
      </c>
      <c r="C21">
        <f>IF(B21&lt;=INDEX(YieldCurve!$A$4:$A$63,1),1,IF(B21&gt;=INDEX(YieldCurve!$A$4:$A$63,ROWS(YieldCurve!$A$4:$A$63)),ROWS(YieldCurve!$A$4:$A$63)-1,MATCH(B21,YieldCurve!$A$4:$A$63,1)))</f>
        <v>3</v>
      </c>
      <c r="D21">
        <f>INDEX(YieldCurve!$A$4:$A$63,C21)</f>
        <v>1.5</v>
      </c>
      <c r="E21">
        <f>INDEX(YieldCurve!$A$4:$A$63,C21+1)</f>
        <v>2</v>
      </c>
      <c r="F21">
        <f>INDEX(YieldCurve!$B$4:$B$63,C21)</f>
        <v>3.725465E-2</v>
      </c>
      <c r="G21">
        <f>INDEX(YieldCurve!$B$4:$B$63,C21+1)</f>
        <v>3.755667E-2</v>
      </c>
      <c r="H21">
        <f t="shared" si="0"/>
        <v>0</v>
      </c>
      <c r="I21">
        <f>IF(B21&lt;=INDEX(YieldCurve!$A$4:$A$63,1),INDEX(YieldCurve!$B$4:$B$63,1),IF(B21&gt;=INDEX(YieldCurve!$A$4:$A$63,ROWS(YieldCurve!$A$4:$A$63)),INDEX(YieldCurve!$B$4:$B$63,ROWS(YieldCurve!$B$4:$B$63)),F21+H21*(G21-F21)))</f>
        <v>3.725465E-2</v>
      </c>
      <c r="J21">
        <f>EXP(-(I21+Inputs!$B$9)*B21)</f>
        <v>0.94565073973280189</v>
      </c>
    </row>
    <row r="22" spans="1:10" x14ac:dyDescent="0.35">
      <c r="A22">
        <v>19</v>
      </c>
      <c r="B22">
        <f>A22/Inputs!$B$6</f>
        <v>1.5833333333333333</v>
      </c>
      <c r="C22">
        <f>IF(B22&lt;=INDEX(YieldCurve!$A$4:$A$63,1),1,IF(B22&gt;=INDEX(YieldCurve!$A$4:$A$63,ROWS(YieldCurve!$A$4:$A$63)),ROWS(YieldCurve!$A$4:$A$63)-1,MATCH(B22,YieldCurve!$A$4:$A$63,1)))</f>
        <v>3</v>
      </c>
      <c r="D22">
        <f>INDEX(YieldCurve!$A$4:$A$63,C22)</f>
        <v>1.5</v>
      </c>
      <c r="E22">
        <f>INDEX(YieldCurve!$A$4:$A$63,C22+1)</f>
        <v>2</v>
      </c>
      <c r="F22">
        <f>INDEX(YieldCurve!$B$4:$B$63,C22)</f>
        <v>3.725465E-2</v>
      </c>
      <c r="G22">
        <f>INDEX(YieldCurve!$B$4:$B$63,C22+1)</f>
        <v>3.755667E-2</v>
      </c>
      <c r="H22">
        <f t="shared" si="0"/>
        <v>0.16666666666666652</v>
      </c>
      <c r="I22">
        <f>IF(B22&lt;=INDEX(YieldCurve!$A$4:$A$63,1),INDEX(YieldCurve!$B$4:$B$63,1),IF(B22&gt;=INDEX(YieldCurve!$A$4:$A$63,ROWS(YieldCurve!$A$4:$A$63)),INDEX(YieldCurve!$B$4:$B$63,ROWS(YieldCurve!$B$4:$B$63)),F22+H22*(G22-F22)))</f>
        <v>3.7304986666666665E-2</v>
      </c>
      <c r="J22">
        <f>EXP(-(I22+Inputs!$B$9)*B22)</f>
        <v>0.94264433680266602</v>
      </c>
    </row>
    <row r="23" spans="1:10" x14ac:dyDescent="0.35">
      <c r="A23">
        <v>20</v>
      </c>
      <c r="B23">
        <f>A23/Inputs!$B$6</f>
        <v>1.6666666666666667</v>
      </c>
      <c r="C23">
        <f>IF(B23&lt;=INDEX(YieldCurve!$A$4:$A$63,1),1,IF(B23&gt;=INDEX(YieldCurve!$A$4:$A$63,ROWS(YieldCurve!$A$4:$A$63)),ROWS(YieldCurve!$A$4:$A$63)-1,MATCH(B23,YieldCurve!$A$4:$A$63,1)))</f>
        <v>3</v>
      </c>
      <c r="D23">
        <f>INDEX(YieldCurve!$A$4:$A$63,C23)</f>
        <v>1.5</v>
      </c>
      <c r="E23">
        <f>INDEX(YieldCurve!$A$4:$A$63,C23+1)</f>
        <v>2</v>
      </c>
      <c r="F23">
        <f>INDEX(YieldCurve!$B$4:$B$63,C23)</f>
        <v>3.725465E-2</v>
      </c>
      <c r="G23">
        <f>INDEX(YieldCurve!$B$4:$B$63,C23+1)</f>
        <v>3.755667E-2</v>
      </c>
      <c r="H23">
        <f t="shared" si="0"/>
        <v>0.33333333333333348</v>
      </c>
      <c r="I23">
        <f>IF(B23&lt;=INDEX(YieldCurve!$A$4:$A$63,1),INDEX(YieldCurve!$B$4:$B$63,1),IF(B23&gt;=INDEX(YieldCurve!$A$4:$A$63,ROWS(YieldCurve!$A$4:$A$63)),INDEX(YieldCurve!$B$4:$B$63,ROWS(YieldCurve!$B$4:$B$63)),F23+H23*(G23-F23)))</f>
        <v>3.7355323333333336E-2</v>
      </c>
      <c r="J23">
        <f>EXP(-(I23+Inputs!$B$9)*B23)</f>
        <v>0.93963960870988406</v>
      </c>
    </row>
    <row r="24" spans="1:10" x14ac:dyDescent="0.35">
      <c r="A24">
        <v>21</v>
      </c>
      <c r="B24">
        <f>A24/Inputs!$B$6</f>
        <v>1.75</v>
      </c>
      <c r="C24">
        <f>IF(B24&lt;=INDEX(YieldCurve!$A$4:$A$63,1),1,IF(B24&gt;=INDEX(YieldCurve!$A$4:$A$63,ROWS(YieldCurve!$A$4:$A$63)),ROWS(YieldCurve!$A$4:$A$63)-1,MATCH(B24,YieldCurve!$A$4:$A$63,1)))</f>
        <v>3</v>
      </c>
      <c r="D24">
        <f>INDEX(YieldCurve!$A$4:$A$63,C24)</f>
        <v>1.5</v>
      </c>
      <c r="E24">
        <f>INDEX(YieldCurve!$A$4:$A$63,C24+1)</f>
        <v>2</v>
      </c>
      <c r="F24">
        <f>INDEX(YieldCurve!$B$4:$B$63,C24)</f>
        <v>3.725465E-2</v>
      </c>
      <c r="G24">
        <f>INDEX(YieldCurve!$B$4:$B$63,C24+1)</f>
        <v>3.755667E-2</v>
      </c>
      <c r="H24">
        <f t="shared" si="0"/>
        <v>0.5</v>
      </c>
      <c r="I24">
        <f>IF(B24&lt;=INDEX(YieldCurve!$A$4:$A$63,1),INDEX(YieldCurve!$B$4:$B$63,1),IF(B24&gt;=INDEX(YieldCurve!$A$4:$A$63,ROWS(YieldCurve!$A$4:$A$63)),INDEX(YieldCurve!$B$4:$B$63,ROWS(YieldCurve!$B$4:$B$63)),F24+H24*(G24-F24)))</f>
        <v>3.740566E-2</v>
      </c>
      <c r="J24">
        <f>EXP(-(I24+Inputs!$B$9)*B24)</f>
        <v>0.93663660045126029</v>
      </c>
    </row>
    <row r="25" spans="1:10" x14ac:dyDescent="0.35">
      <c r="A25">
        <v>22</v>
      </c>
      <c r="B25">
        <f>A25/Inputs!$B$6</f>
        <v>1.8333333333333333</v>
      </c>
      <c r="C25">
        <f>IF(B25&lt;=INDEX(YieldCurve!$A$4:$A$63,1),1,IF(B25&gt;=INDEX(YieldCurve!$A$4:$A$63,ROWS(YieldCurve!$A$4:$A$63)),ROWS(YieldCurve!$A$4:$A$63)-1,MATCH(B25,YieldCurve!$A$4:$A$63,1)))</f>
        <v>3</v>
      </c>
      <c r="D25">
        <f>INDEX(YieldCurve!$A$4:$A$63,C25)</f>
        <v>1.5</v>
      </c>
      <c r="E25">
        <f>INDEX(YieldCurve!$A$4:$A$63,C25+1)</f>
        <v>2</v>
      </c>
      <c r="F25">
        <f>INDEX(YieldCurve!$B$4:$B$63,C25)</f>
        <v>3.725465E-2</v>
      </c>
      <c r="G25">
        <f>INDEX(YieldCurve!$B$4:$B$63,C25+1)</f>
        <v>3.755667E-2</v>
      </c>
      <c r="H25">
        <f t="shared" si="0"/>
        <v>0.66666666666666652</v>
      </c>
      <c r="I25">
        <f>IF(B25&lt;=INDEX(YieldCurve!$A$4:$A$63,1),INDEX(YieldCurve!$B$4:$B$63,1),IF(B25&gt;=INDEX(YieldCurve!$A$4:$A$63,ROWS(YieldCurve!$A$4:$A$63)),INDEX(YieldCurve!$B$4:$B$63,ROWS(YieldCurve!$B$4:$B$63)),F25+H25*(G25-F25)))</f>
        <v>3.7455996666666665E-2</v>
      </c>
      <c r="J25">
        <f>EXP(-(I25+Inputs!$B$9)*B25)</f>
        <v>0.93363535683676546</v>
      </c>
    </row>
    <row r="26" spans="1:10" x14ac:dyDescent="0.35">
      <c r="A26">
        <v>23</v>
      </c>
      <c r="B26">
        <f>A26/Inputs!$B$6</f>
        <v>1.9166666666666667</v>
      </c>
      <c r="C26">
        <f>IF(B26&lt;=INDEX(YieldCurve!$A$4:$A$63,1),1,IF(B26&gt;=INDEX(YieldCurve!$A$4:$A$63,ROWS(YieldCurve!$A$4:$A$63)),ROWS(YieldCurve!$A$4:$A$63)-1,MATCH(B26,YieldCurve!$A$4:$A$63,1)))</f>
        <v>3</v>
      </c>
      <c r="D26">
        <f>INDEX(YieldCurve!$A$4:$A$63,C26)</f>
        <v>1.5</v>
      </c>
      <c r="E26">
        <f>INDEX(YieldCurve!$A$4:$A$63,C26+1)</f>
        <v>2</v>
      </c>
      <c r="F26">
        <f>INDEX(YieldCurve!$B$4:$B$63,C26)</f>
        <v>3.725465E-2</v>
      </c>
      <c r="G26">
        <f>INDEX(YieldCurve!$B$4:$B$63,C26+1)</f>
        <v>3.755667E-2</v>
      </c>
      <c r="H26">
        <f t="shared" si="0"/>
        <v>0.83333333333333348</v>
      </c>
      <c r="I26">
        <f>IF(B26&lt;=INDEX(YieldCurve!$A$4:$A$63,1),INDEX(YieldCurve!$B$4:$B$63,1),IF(B26&gt;=INDEX(YieldCurve!$A$4:$A$63,ROWS(YieldCurve!$A$4:$A$63)),INDEX(YieldCurve!$B$4:$B$63,ROWS(YieldCurve!$B$4:$B$63)),F26+H26*(G26-F26)))</f>
        <v>3.7506333333333336E-2</v>
      </c>
      <c r="J26">
        <f>EXP(-(I26+Inputs!$B$9)*B26)</f>
        <v>0.93063592248863247</v>
      </c>
    </row>
    <row r="27" spans="1:10" x14ac:dyDescent="0.35">
      <c r="A27">
        <v>24</v>
      </c>
      <c r="B27">
        <f>A27/Inputs!$B$6</f>
        <v>2</v>
      </c>
      <c r="C27">
        <f>IF(B27&lt;=INDEX(YieldCurve!$A$4:$A$63,1),1,IF(B27&gt;=INDEX(YieldCurve!$A$4:$A$63,ROWS(YieldCurve!$A$4:$A$63)),ROWS(YieldCurve!$A$4:$A$63)-1,MATCH(B27,YieldCurve!$A$4:$A$63,1)))</f>
        <v>4</v>
      </c>
      <c r="D27">
        <f>INDEX(YieldCurve!$A$4:$A$63,C27)</f>
        <v>2</v>
      </c>
      <c r="E27">
        <f>INDEX(YieldCurve!$A$4:$A$63,C27+1)</f>
        <v>2.5</v>
      </c>
      <c r="F27">
        <f>INDEX(YieldCurve!$B$4:$B$63,C27)</f>
        <v>3.755667E-2</v>
      </c>
      <c r="G27">
        <f>INDEX(YieldCurve!$B$4:$B$63,C27+1)</f>
        <v>3.7554410000000003E-2</v>
      </c>
      <c r="H27">
        <f t="shared" si="0"/>
        <v>0</v>
      </c>
      <c r="I27">
        <f>IF(B27&lt;=INDEX(YieldCurve!$A$4:$A$63,1),INDEX(YieldCurve!$B$4:$B$63,1),IF(B27&gt;=INDEX(YieldCurve!$A$4:$A$63,ROWS(YieldCurve!$A$4:$A$63)),INDEX(YieldCurve!$B$4:$B$63,ROWS(YieldCurve!$B$4:$B$63)),F27+H27*(G27-F27)))</f>
        <v>3.755667E-2</v>
      </c>
      <c r="J27">
        <f>EXP(-(I27+Inputs!$B$9)*B27)</f>
        <v>0.92763834184046312</v>
      </c>
    </row>
    <row r="28" spans="1:10" x14ac:dyDescent="0.35">
      <c r="A28">
        <v>25</v>
      </c>
      <c r="B28">
        <f>A28/Inputs!$B$6</f>
        <v>2.0833333333333335</v>
      </c>
      <c r="C28">
        <f>IF(B28&lt;=INDEX(YieldCurve!$A$4:$A$63,1),1,IF(B28&gt;=INDEX(YieldCurve!$A$4:$A$63,ROWS(YieldCurve!$A$4:$A$63)),ROWS(YieldCurve!$A$4:$A$63)-1,MATCH(B28,YieldCurve!$A$4:$A$63,1)))</f>
        <v>4</v>
      </c>
      <c r="D28">
        <f>INDEX(YieldCurve!$A$4:$A$63,C28)</f>
        <v>2</v>
      </c>
      <c r="E28">
        <f>INDEX(YieldCurve!$A$4:$A$63,C28+1)</f>
        <v>2.5</v>
      </c>
      <c r="F28">
        <f>INDEX(YieldCurve!$B$4:$B$63,C28)</f>
        <v>3.755667E-2</v>
      </c>
      <c r="G28">
        <f>INDEX(YieldCurve!$B$4:$B$63,C28+1)</f>
        <v>3.7554410000000003E-2</v>
      </c>
      <c r="H28">
        <f t="shared" si="0"/>
        <v>0.16666666666666696</v>
      </c>
      <c r="I28">
        <f>IF(B28&lt;=INDEX(YieldCurve!$A$4:$A$63,1),INDEX(YieldCurve!$B$4:$B$63,1),IF(B28&gt;=INDEX(YieldCurve!$A$4:$A$63,ROWS(YieldCurve!$A$4:$A$63)),INDEX(YieldCurve!$B$4:$B$63,ROWS(YieldCurve!$B$4:$B$63)),F28+H28*(G28-F28)))</f>
        <v>3.7556293333333338E-2</v>
      </c>
      <c r="J28">
        <f>EXP(-(I28+Inputs!$B$9)*B28)</f>
        <v>0.9247403553625827</v>
      </c>
    </row>
    <row r="29" spans="1:10" x14ac:dyDescent="0.35">
      <c r="A29">
        <v>26</v>
      </c>
      <c r="B29">
        <f>A29/Inputs!$B$6</f>
        <v>2.1666666666666665</v>
      </c>
      <c r="C29">
        <f>IF(B29&lt;=INDEX(YieldCurve!$A$4:$A$63,1),1,IF(B29&gt;=INDEX(YieldCurve!$A$4:$A$63,ROWS(YieldCurve!$A$4:$A$63)),ROWS(YieldCurve!$A$4:$A$63)-1,MATCH(B29,YieldCurve!$A$4:$A$63,1)))</f>
        <v>4</v>
      </c>
      <c r="D29">
        <f>INDEX(YieldCurve!$A$4:$A$63,C29)</f>
        <v>2</v>
      </c>
      <c r="E29">
        <f>INDEX(YieldCurve!$A$4:$A$63,C29+1)</f>
        <v>2.5</v>
      </c>
      <c r="F29">
        <f>INDEX(YieldCurve!$B$4:$B$63,C29)</f>
        <v>3.755667E-2</v>
      </c>
      <c r="G29">
        <f>INDEX(YieldCurve!$B$4:$B$63,C29+1)</f>
        <v>3.7554410000000003E-2</v>
      </c>
      <c r="H29">
        <f t="shared" si="0"/>
        <v>0.33333333333333304</v>
      </c>
      <c r="I29">
        <f>IF(B29&lt;=INDEX(YieldCurve!$A$4:$A$63,1),INDEX(YieldCurve!$B$4:$B$63,1),IF(B29&gt;=INDEX(YieldCurve!$A$4:$A$63,ROWS(YieldCurve!$A$4:$A$63)),INDEX(YieldCurve!$B$4:$B$63,ROWS(YieldCurve!$B$4:$B$63)),F29+H29*(G29-F29)))</f>
        <v>3.7555916666666668E-2</v>
      </c>
      <c r="J29">
        <f>EXP(-(I29+Inputs!$B$9)*B29)</f>
        <v>0.92185148020463381</v>
      </c>
    </row>
    <row r="30" spans="1:10" x14ac:dyDescent="0.35">
      <c r="A30">
        <v>27</v>
      </c>
      <c r="B30">
        <f>A30/Inputs!$B$6</f>
        <v>2.25</v>
      </c>
      <c r="C30">
        <f>IF(B30&lt;=INDEX(YieldCurve!$A$4:$A$63,1),1,IF(B30&gt;=INDEX(YieldCurve!$A$4:$A$63,ROWS(YieldCurve!$A$4:$A$63)),ROWS(YieldCurve!$A$4:$A$63)-1,MATCH(B30,YieldCurve!$A$4:$A$63,1)))</f>
        <v>4</v>
      </c>
      <c r="D30">
        <f>INDEX(YieldCurve!$A$4:$A$63,C30)</f>
        <v>2</v>
      </c>
      <c r="E30">
        <f>INDEX(YieldCurve!$A$4:$A$63,C30+1)</f>
        <v>2.5</v>
      </c>
      <c r="F30">
        <f>INDEX(YieldCurve!$B$4:$B$63,C30)</f>
        <v>3.755667E-2</v>
      </c>
      <c r="G30">
        <f>INDEX(YieldCurve!$B$4:$B$63,C30+1)</f>
        <v>3.7554410000000003E-2</v>
      </c>
      <c r="H30">
        <f t="shared" si="0"/>
        <v>0.5</v>
      </c>
      <c r="I30">
        <f>IF(B30&lt;=INDEX(YieldCurve!$A$4:$A$63,1),INDEX(YieldCurve!$B$4:$B$63,1),IF(B30&gt;=INDEX(YieldCurve!$A$4:$A$63,ROWS(YieldCurve!$A$4:$A$63)),INDEX(YieldCurve!$B$4:$B$63,ROWS(YieldCurve!$B$4:$B$63)),F30+H30*(G30-F30)))</f>
        <v>3.7555539999999998E-2</v>
      </c>
      <c r="J30">
        <f>EXP(-(I30+Inputs!$B$9)*B30)</f>
        <v>0.91897168754084024</v>
      </c>
    </row>
    <row r="31" spans="1:10" x14ac:dyDescent="0.35">
      <c r="A31">
        <v>28</v>
      </c>
      <c r="B31">
        <f>A31/Inputs!$B$6</f>
        <v>2.3333333333333335</v>
      </c>
      <c r="C31">
        <f>IF(B31&lt;=INDEX(YieldCurve!$A$4:$A$63,1),1,IF(B31&gt;=INDEX(YieldCurve!$A$4:$A$63,ROWS(YieldCurve!$A$4:$A$63)),ROWS(YieldCurve!$A$4:$A$63)-1,MATCH(B31,YieldCurve!$A$4:$A$63,1)))</f>
        <v>4</v>
      </c>
      <c r="D31">
        <f>INDEX(YieldCurve!$A$4:$A$63,C31)</f>
        <v>2</v>
      </c>
      <c r="E31">
        <f>INDEX(YieldCurve!$A$4:$A$63,C31+1)</f>
        <v>2.5</v>
      </c>
      <c r="F31">
        <f>INDEX(YieldCurve!$B$4:$B$63,C31)</f>
        <v>3.755667E-2</v>
      </c>
      <c r="G31">
        <f>INDEX(YieldCurve!$B$4:$B$63,C31+1)</f>
        <v>3.7554410000000003E-2</v>
      </c>
      <c r="H31">
        <f t="shared" si="0"/>
        <v>0.66666666666666696</v>
      </c>
      <c r="I31">
        <f>IF(B31&lt;=INDEX(YieldCurve!$A$4:$A$63,1),INDEX(YieldCurve!$B$4:$B$63,1),IF(B31&gt;=INDEX(YieldCurve!$A$4:$A$63,ROWS(YieldCurve!$A$4:$A$63)),INDEX(YieldCurve!$B$4:$B$63,ROWS(YieldCurve!$B$4:$B$63)),F31+H31*(G31-F31)))</f>
        <v>3.7555163333333336E-2</v>
      </c>
      <c r="J31">
        <f>EXP(-(I31+Inputs!$B$9)*B31)</f>
        <v>0.91610094863718394</v>
      </c>
    </row>
    <row r="32" spans="1:10" x14ac:dyDescent="0.35">
      <c r="A32">
        <v>29</v>
      </c>
      <c r="B32">
        <f>A32/Inputs!$B$6</f>
        <v>2.4166666666666665</v>
      </c>
      <c r="C32">
        <f>IF(B32&lt;=INDEX(YieldCurve!$A$4:$A$63,1),1,IF(B32&gt;=INDEX(YieldCurve!$A$4:$A$63,ROWS(YieldCurve!$A$4:$A$63)),ROWS(YieldCurve!$A$4:$A$63)-1,MATCH(B32,YieldCurve!$A$4:$A$63,1)))</f>
        <v>4</v>
      </c>
      <c r="D32">
        <f>INDEX(YieldCurve!$A$4:$A$63,C32)</f>
        <v>2</v>
      </c>
      <c r="E32">
        <f>INDEX(YieldCurve!$A$4:$A$63,C32+1)</f>
        <v>2.5</v>
      </c>
      <c r="F32">
        <f>INDEX(YieldCurve!$B$4:$B$63,C32)</f>
        <v>3.755667E-2</v>
      </c>
      <c r="G32">
        <f>INDEX(YieldCurve!$B$4:$B$63,C32+1)</f>
        <v>3.7554410000000003E-2</v>
      </c>
      <c r="H32">
        <f t="shared" si="0"/>
        <v>0.83333333333333304</v>
      </c>
      <c r="I32">
        <f>IF(B32&lt;=INDEX(YieldCurve!$A$4:$A$63,1),INDEX(YieldCurve!$B$4:$B$63,1),IF(B32&gt;=INDEX(YieldCurve!$A$4:$A$63,ROWS(YieldCurve!$A$4:$A$63)),INDEX(YieldCurve!$B$4:$B$63,ROWS(YieldCurve!$B$4:$B$63)),F32+H32*(G32-F32)))</f>
        <v>3.7554786666666673E-2</v>
      </c>
      <c r="J32">
        <f>EXP(-(I32+Inputs!$B$9)*B32)</f>
        <v>0.91323923485111169</v>
      </c>
    </row>
    <row r="33" spans="1:10" x14ac:dyDescent="0.35">
      <c r="A33">
        <v>30</v>
      </c>
      <c r="B33">
        <f>A33/Inputs!$B$6</f>
        <v>2.5</v>
      </c>
      <c r="C33">
        <f>IF(B33&lt;=INDEX(YieldCurve!$A$4:$A$63,1),1,IF(B33&gt;=INDEX(YieldCurve!$A$4:$A$63,ROWS(YieldCurve!$A$4:$A$63)),ROWS(YieldCurve!$A$4:$A$63)-1,MATCH(B33,YieldCurve!$A$4:$A$63,1)))</f>
        <v>5</v>
      </c>
      <c r="D33">
        <f>INDEX(YieldCurve!$A$4:$A$63,C33)</f>
        <v>2.5</v>
      </c>
      <c r="E33">
        <f>INDEX(YieldCurve!$A$4:$A$63,C33+1)</f>
        <v>3</v>
      </c>
      <c r="F33">
        <f>INDEX(YieldCurve!$B$4:$B$63,C33)</f>
        <v>3.7554410000000003E-2</v>
      </c>
      <c r="G33">
        <f>INDEX(YieldCurve!$B$4:$B$63,C33+1)</f>
        <v>3.75529E-2</v>
      </c>
      <c r="H33">
        <f t="shared" si="0"/>
        <v>0</v>
      </c>
      <c r="I33">
        <f>IF(B33&lt;=INDEX(YieldCurve!$A$4:$A$63,1),INDEX(YieldCurve!$B$4:$B$63,1),IF(B33&gt;=INDEX(YieldCurve!$A$4:$A$63,ROWS(YieldCurve!$A$4:$A$63)),INDEX(YieldCurve!$B$4:$B$63,ROWS(YieldCurve!$B$4:$B$63)),F33+H33*(G33-F33)))</f>
        <v>3.7554410000000003E-2</v>
      </c>
      <c r="J33">
        <f>EXP(-(I33+Inputs!$B$9)*B33)</f>
        <v>0.91038651763124134</v>
      </c>
    </row>
    <row r="34" spans="1:10" x14ac:dyDescent="0.35">
      <c r="A34">
        <v>31</v>
      </c>
      <c r="B34">
        <f>A34/Inputs!$B$6</f>
        <v>2.5833333333333335</v>
      </c>
      <c r="C34">
        <f>IF(B34&lt;=INDEX(YieldCurve!$A$4:$A$63,1),1,IF(B34&gt;=INDEX(YieldCurve!$A$4:$A$63,ROWS(YieldCurve!$A$4:$A$63)),ROWS(YieldCurve!$A$4:$A$63)-1,MATCH(B34,YieldCurve!$A$4:$A$63,1)))</f>
        <v>5</v>
      </c>
      <c r="D34">
        <f>INDEX(YieldCurve!$A$4:$A$63,C34)</f>
        <v>2.5</v>
      </c>
      <c r="E34">
        <f>INDEX(YieldCurve!$A$4:$A$63,C34+1)</f>
        <v>3</v>
      </c>
      <c r="F34">
        <f>INDEX(YieldCurve!$B$4:$B$63,C34)</f>
        <v>3.7554410000000003E-2</v>
      </c>
      <c r="G34">
        <f>INDEX(YieldCurve!$B$4:$B$63,C34+1)</f>
        <v>3.75529E-2</v>
      </c>
      <c r="H34">
        <f t="shared" si="0"/>
        <v>0.16666666666666696</v>
      </c>
      <c r="I34">
        <f>IF(B34&lt;=INDEX(YieldCurve!$A$4:$A$63,1),INDEX(YieldCurve!$B$4:$B$63,1),IF(B34&gt;=INDEX(YieldCurve!$A$4:$A$63,ROWS(YieldCurve!$A$4:$A$63)),INDEX(YieldCurve!$B$4:$B$63,ROWS(YieldCurve!$B$4:$B$63)),F34+H34*(G34-F34)))</f>
        <v>3.7554158333333337E-2</v>
      </c>
      <c r="J34">
        <f>EXP(-(I34+Inputs!$B$9)*B34)</f>
        <v>0.90754247545643218</v>
      </c>
    </row>
    <row r="35" spans="1:10" x14ac:dyDescent="0.35">
      <c r="A35">
        <v>32</v>
      </c>
      <c r="B35">
        <f>A35/Inputs!$B$6</f>
        <v>2.6666666666666665</v>
      </c>
      <c r="C35">
        <f>IF(B35&lt;=INDEX(YieldCurve!$A$4:$A$63,1),1,IF(B35&gt;=INDEX(YieldCurve!$A$4:$A$63,ROWS(YieldCurve!$A$4:$A$63)),ROWS(YieldCurve!$A$4:$A$63)-1,MATCH(B35,YieldCurve!$A$4:$A$63,1)))</f>
        <v>5</v>
      </c>
      <c r="D35">
        <f>INDEX(YieldCurve!$A$4:$A$63,C35)</f>
        <v>2.5</v>
      </c>
      <c r="E35">
        <f>INDEX(YieldCurve!$A$4:$A$63,C35+1)</f>
        <v>3</v>
      </c>
      <c r="F35">
        <f>INDEX(YieldCurve!$B$4:$B$63,C35)</f>
        <v>3.7554410000000003E-2</v>
      </c>
      <c r="G35">
        <f>INDEX(YieldCurve!$B$4:$B$63,C35+1)</f>
        <v>3.75529E-2</v>
      </c>
      <c r="H35">
        <f t="shared" si="0"/>
        <v>0.33333333333333304</v>
      </c>
      <c r="I35">
        <f>IF(B35&lt;=INDEX(YieldCurve!$A$4:$A$63,1),INDEX(YieldCurve!$B$4:$B$63,1),IF(B35&gt;=INDEX(YieldCurve!$A$4:$A$63,ROWS(YieldCurve!$A$4:$A$63)),INDEX(YieldCurve!$B$4:$B$63,ROWS(YieldCurve!$B$4:$B$63)),F35+H35*(G35-F35)))</f>
        <v>3.7553906666666671E-2</v>
      </c>
      <c r="J35">
        <f>EXP(-(I35+Inputs!$B$9)*B35)</f>
        <v>0.90470735600024699</v>
      </c>
    </row>
    <row r="36" spans="1:10" x14ac:dyDescent="0.35">
      <c r="A36">
        <v>33</v>
      </c>
      <c r="B36">
        <f>A36/Inputs!$B$6</f>
        <v>2.75</v>
      </c>
      <c r="C36">
        <f>IF(B36&lt;=INDEX(YieldCurve!$A$4:$A$63,1),1,IF(B36&gt;=INDEX(YieldCurve!$A$4:$A$63,ROWS(YieldCurve!$A$4:$A$63)),ROWS(YieldCurve!$A$4:$A$63)-1,MATCH(B36,YieldCurve!$A$4:$A$63,1)))</f>
        <v>5</v>
      </c>
      <c r="D36">
        <f>INDEX(YieldCurve!$A$4:$A$63,C36)</f>
        <v>2.5</v>
      </c>
      <c r="E36">
        <f>INDEX(YieldCurve!$A$4:$A$63,C36+1)</f>
        <v>3</v>
      </c>
      <c r="F36">
        <f>INDEX(YieldCurve!$B$4:$B$63,C36)</f>
        <v>3.7554410000000003E-2</v>
      </c>
      <c r="G36">
        <f>INDEX(YieldCurve!$B$4:$B$63,C36+1)</f>
        <v>3.75529E-2</v>
      </c>
      <c r="H36">
        <f t="shared" si="0"/>
        <v>0.5</v>
      </c>
      <c r="I36">
        <f>IF(B36&lt;=INDEX(YieldCurve!$A$4:$A$63,1),INDEX(YieldCurve!$B$4:$B$63,1),IF(B36&gt;=INDEX(YieldCurve!$A$4:$A$63,ROWS(YieldCurve!$A$4:$A$63)),INDEX(YieldCurve!$B$4:$B$63,ROWS(YieldCurve!$B$4:$B$63)),F36+H36*(G36-F36)))</f>
        <v>3.7553655000000005E-2</v>
      </c>
      <c r="J36">
        <f>EXP(-(I36+Inputs!$B$9)*B36)</f>
        <v>0.90188113115107449</v>
      </c>
    </row>
    <row r="37" spans="1:10" x14ac:dyDescent="0.35">
      <c r="A37">
        <v>34</v>
      </c>
      <c r="B37">
        <f>A37/Inputs!$B$6</f>
        <v>2.8333333333333335</v>
      </c>
      <c r="C37">
        <f>IF(B37&lt;=INDEX(YieldCurve!$A$4:$A$63,1),1,IF(B37&gt;=INDEX(YieldCurve!$A$4:$A$63,ROWS(YieldCurve!$A$4:$A$63)),ROWS(YieldCurve!$A$4:$A$63)-1,MATCH(B37,YieldCurve!$A$4:$A$63,1)))</f>
        <v>5</v>
      </c>
      <c r="D37">
        <f>INDEX(YieldCurve!$A$4:$A$63,C37)</f>
        <v>2.5</v>
      </c>
      <c r="E37">
        <f>INDEX(YieldCurve!$A$4:$A$63,C37+1)</f>
        <v>3</v>
      </c>
      <c r="F37">
        <f>INDEX(YieldCurve!$B$4:$B$63,C37)</f>
        <v>3.7554410000000003E-2</v>
      </c>
      <c r="G37">
        <f>INDEX(YieldCurve!$B$4:$B$63,C37+1)</f>
        <v>3.75529E-2</v>
      </c>
      <c r="H37">
        <f t="shared" si="0"/>
        <v>0.66666666666666696</v>
      </c>
      <c r="I37">
        <f>IF(B37&lt;=INDEX(YieldCurve!$A$4:$A$63,1),INDEX(YieldCurve!$B$4:$B$63,1),IF(B37&gt;=INDEX(YieldCurve!$A$4:$A$63,ROWS(YieldCurve!$A$4:$A$63)),INDEX(YieldCurve!$B$4:$B$63,ROWS(YieldCurve!$B$4:$B$63)),F37+H37*(G37-F37)))</f>
        <v>3.7553403333333332E-2</v>
      </c>
      <c r="J37">
        <f>EXP(-(I37+Inputs!$B$9)*B37)</f>
        <v>0.89906377288623918</v>
      </c>
    </row>
    <row r="38" spans="1:10" x14ac:dyDescent="0.35">
      <c r="A38">
        <v>35</v>
      </c>
      <c r="B38">
        <f>A38/Inputs!$B$6</f>
        <v>2.9166666666666665</v>
      </c>
      <c r="C38">
        <f>IF(B38&lt;=INDEX(YieldCurve!$A$4:$A$63,1),1,IF(B38&gt;=INDEX(YieldCurve!$A$4:$A$63,ROWS(YieldCurve!$A$4:$A$63)),ROWS(YieldCurve!$A$4:$A$63)-1,MATCH(B38,YieldCurve!$A$4:$A$63,1)))</f>
        <v>5</v>
      </c>
      <c r="D38">
        <f>INDEX(YieldCurve!$A$4:$A$63,C38)</f>
        <v>2.5</v>
      </c>
      <c r="E38">
        <f>INDEX(YieldCurve!$A$4:$A$63,C38+1)</f>
        <v>3</v>
      </c>
      <c r="F38">
        <f>INDEX(YieldCurve!$B$4:$B$63,C38)</f>
        <v>3.7554410000000003E-2</v>
      </c>
      <c r="G38">
        <f>INDEX(YieldCurve!$B$4:$B$63,C38+1)</f>
        <v>3.75529E-2</v>
      </c>
      <c r="H38">
        <f t="shared" si="0"/>
        <v>0.83333333333333304</v>
      </c>
      <c r="I38">
        <f>IF(B38&lt;=INDEX(YieldCurve!$A$4:$A$63,1),INDEX(YieldCurve!$B$4:$B$63,1),IF(B38&gt;=INDEX(YieldCurve!$A$4:$A$63,ROWS(YieldCurve!$A$4:$A$63)),INDEX(YieldCurve!$B$4:$B$63,ROWS(YieldCurve!$B$4:$B$63)),F38+H38*(G38-F38)))</f>
        <v>3.7553151666666666E-2</v>
      </c>
      <c r="J38">
        <f>EXP(-(I38+Inputs!$B$9)*B38)</f>
        <v>0.89625525327171995</v>
      </c>
    </row>
    <row r="39" spans="1:10" x14ac:dyDescent="0.35">
      <c r="A39">
        <v>36</v>
      </c>
      <c r="B39">
        <f>A39/Inputs!$B$6</f>
        <v>3</v>
      </c>
      <c r="C39">
        <f>IF(B39&lt;=INDEX(YieldCurve!$A$4:$A$63,1),1,IF(B39&gt;=INDEX(YieldCurve!$A$4:$A$63,ROWS(YieldCurve!$A$4:$A$63)),ROWS(YieldCurve!$A$4:$A$63)-1,MATCH(B39,YieldCurve!$A$4:$A$63,1)))</f>
        <v>6</v>
      </c>
      <c r="D39">
        <f>INDEX(YieldCurve!$A$4:$A$63,C39)</f>
        <v>3</v>
      </c>
      <c r="E39">
        <f>INDEX(YieldCurve!$A$4:$A$63,C39+1)</f>
        <v>3.5</v>
      </c>
      <c r="F39">
        <f>INDEX(YieldCurve!$B$4:$B$63,C39)</f>
        <v>3.75529E-2</v>
      </c>
      <c r="G39">
        <f>INDEX(YieldCurve!$B$4:$B$63,C39+1)</f>
        <v>3.778571E-2</v>
      </c>
      <c r="H39">
        <f t="shared" si="0"/>
        <v>0</v>
      </c>
      <c r="I39">
        <f>IF(B39&lt;=INDEX(YieldCurve!$A$4:$A$63,1),INDEX(YieldCurve!$B$4:$B$63,1),IF(B39&gt;=INDEX(YieldCurve!$A$4:$A$63,ROWS(YieldCurve!$A$4:$A$63)),INDEX(YieldCurve!$B$4:$B$63,ROWS(YieldCurve!$B$4:$B$63)),F39+H39*(G39-F39)))</f>
        <v>3.75529E-2</v>
      </c>
      <c r="J39">
        <f>EXP(-(I39+Inputs!$B$9)*B39)</f>
        <v>0.89345554446186715</v>
      </c>
    </row>
    <row r="40" spans="1:10" x14ac:dyDescent="0.35">
      <c r="A40">
        <v>37</v>
      </c>
      <c r="B40">
        <f>A40/Inputs!$B$6</f>
        <v>3.0833333333333335</v>
      </c>
      <c r="C40">
        <f>IF(B40&lt;=INDEX(YieldCurve!$A$4:$A$63,1),1,IF(B40&gt;=INDEX(YieldCurve!$A$4:$A$63,ROWS(YieldCurve!$A$4:$A$63)),ROWS(YieldCurve!$A$4:$A$63)-1,MATCH(B40,YieldCurve!$A$4:$A$63,1)))</f>
        <v>6</v>
      </c>
      <c r="D40">
        <f>INDEX(YieldCurve!$A$4:$A$63,C40)</f>
        <v>3</v>
      </c>
      <c r="E40">
        <f>INDEX(YieldCurve!$A$4:$A$63,C40+1)</f>
        <v>3.5</v>
      </c>
      <c r="F40">
        <f>INDEX(YieldCurve!$B$4:$B$63,C40)</f>
        <v>3.75529E-2</v>
      </c>
      <c r="G40">
        <f>INDEX(YieldCurve!$B$4:$B$63,C40+1)</f>
        <v>3.778571E-2</v>
      </c>
      <c r="H40">
        <f t="shared" si="0"/>
        <v>0.16666666666666696</v>
      </c>
      <c r="I40">
        <f>IF(B40&lt;=INDEX(YieldCurve!$A$4:$A$63,1),INDEX(YieldCurve!$B$4:$B$63,1),IF(B40&gt;=INDEX(YieldCurve!$A$4:$A$63,ROWS(YieldCurve!$A$4:$A$63)),INDEX(YieldCurve!$B$4:$B$63,ROWS(YieldCurve!$B$4:$B$63)),F40+H40*(G40-F40)))</f>
        <v>3.7591701666666665E-2</v>
      </c>
      <c r="J40">
        <f>EXP(-(I40+Inputs!$B$9)*B40)</f>
        <v>0.89055737627077425</v>
      </c>
    </row>
    <row r="41" spans="1:10" x14ac:dyDescent="0.35">
      <c r="A41">
        <v>38</v>
      </c>
      <c r="B41">
        <f>A41/Inputs!$B$6</f>
        <v>3.1666666666666665</v>
      </c>
      <c r="C41">
        <f>IF(B41&lt;=INDEX(YieldCurve!$A$4:$A$63,1),1,IF(B41&gt;=INDEX(YieldCurve!$A$4:$A$63,ROWS(YieldCurve!$A$4:$A$63)),ROWS(YieldCurve!$A$4:$A$63)-1,MATCH(B41,YieldCurve!$A$4:$A$63,1)))</f>
        <v>6</v>
      </c>
      <c r="D41">
        <f>INDEX(YieldCurve!$A$4:$A$63,C41)</f>
        <v>3</v>
      </c>
      <c r="E41">
        <f>INDEX(YieldCurve!$A$4:$A$63,C41+1)</f>
        <v>3.5</v>
      </c>
      <c r="F41">
        <f>INDEX(YieldCurve!$B$4:$B$63,C41)</f>
        <v>3.75529E-2</v>
      </c>
      <c r="G41">
        <f>INDEX(YieldCurve!$B$4:$B$63,C41+1)</f>
        <v>3.778571E-2</v>
      </c>
      <c r="H41">
        <f t="shared" si="0"/>
        <v>0.33333333333333304</v>
      </c>
      <c r="I41">
        <f>IF(B41&lt;=INDEX(YieldCurve!$A$4:$A$63,1),INDEX(YieldCurve!$B$4:$B$63,1),IF(B41&gt;=INDEX(YieldCurve!$A$4:$A$63,ROWS(YieldCurve!$A$4:$A$63)),INDEX(YieldCurve!$B$4:$B$63,ROWS(YieldCurve!$B$4:$B$63)),F41+H41*(G41-F41)))</f>
        <v>3.7630503333333336E-2</v>
      </c>
      <c r="J41">
        <f>EXP(-(I41+Inputs!$B$9)*B41)</f>
        <v>0.88766286859834576</v>
      </c>
    </row>
    <row r="42" spans="1:10" x14ac:dyDescent="0.35">
      <c r="A42">
        <v>39</v>
      </c>
      <c r="B42">
        <f>A42/Inputs!$B$6</f>
        <v>3.25</v>
      </c>
      <c r="C42">
        <f>IF(B42&lt;=INDEX(YieldCurve!$A$4:$A$63,1),1,IF(B42&gt;=INDEX(YieldCurve!$A$4:$A$63,ROWS(YieldCurve!$A$4:$A$63)),ROWS(YieldCurve!$A$4:$A$63)-1,MATCH(B42,YieldCurve!$A$4:$A$63,1)))</f>
        <v>6</v>
      </c>
      <c r="D42">
        <f>INDEX(YieldCurve!$A$4:$A$63,C42)</f>
        <v>3</v>
      </c>
      <c r="E42">
        <f>INDEX(YieldCurve!$A$4:$A$63,C42+1)</f>
        <v>3.5</v>
      </c>
      <c r="F42">
        <f>INDEX(YieldCurve!$B$4:$B$63,C42)</f>
        <v>3.75529E-2</v>
      </c>
      <c r="G42">
        <f>INDEX(YieldCurve!$B$4:$B$63,C42+1)</f>
        <v>3.778571E-2</v>
      </c>
      <c r="H42">
        <f t="shared" si="0"/>
        <v>0.5</v>
      </c>
      <c r="I42">
        <f>IF(B42&lt;=INDEX(YieldCurve!$A$4:$A$63,1),INDEX(YieldCurve!$B$4:$B$63,1),IF(B42&gt;=INDEX(YieldCurve!$A$4:$A$63,ROWS(YieldCurve!$A$4:$A$63)),INDEX(YieldCurve!$B$4:$B$63,ROWS(YieldCurve!$B$4:$B$63)),F42+H42*(G42-F42)))</f>
        <v>3.7669305E-2</v>
      </c>
      <c r="J42">
        <f>EXP(-(I42+Inputs!$B$9)*B42)</f>
        <v>0.88477204692336986</v>
      </c>
    </row>
    <row r="43" spans="1:10" x14ac:dyDescent="0.35">
      <c r="A43">
        <v>40</v>
      </c>
      <c r="B43">
        <f>A43/Inputs!$B$6</f>
        <v>3.3333333333333335</v>
      </c>
      <c r="C43">
        <f>IF(B43&lt;=INDEX(YieldCurve!$A$4:$A$63,1),1,IF(B43&gt;=INDEX(YieldCurve!$A$4:$A$63,ROWS(YieldCurve!$A$4:$A$63)),ROWS(YieldCurve!$A$4:$A$63)-1,MATCH(B43,YieldCurve!$A$4:$A$63,1)))</f>
        <v>6</v>
      </c>
      <c r="D43">
        <f>INDEX(YieldCurve!$A$4:$A$63,C43)</f>
        <v>3</v>
      </c>
      <c r="E43">
        <f>INDEX(YieldCurve!$A$4:$A$63,C43+1)</f>
        <v>3.5</v>
      </c>
      <c r="F43">
        <f>INDEX(YieldCurve!$B$4:$B$63,C43)</f>
        <v>3.75529E-2</v>
      </c>
      <c r="G43">
        <f>INDEX(YieldCurve!$B$4:$B$63,C43+1)</f>
        <v>3.778571E-2</v>
      </c>
      <c r="H43">
        <f t="shared" si="0"/>
        <v>0.66666666666666696</v>
      </c>
      <c r="I43">
        <f>IF(B43&lt;=INDEX(YieldCurve!$A$4:$A$63,1),INDEX(YieldCurve!$B$4:$B$63,1),IF(B43&gt;=INDEX(YieldCurve!$A$4:$A$63,ROWS(YieldCurve!$A$4:$A$63)),INDEX(YieldCurve!$B$4:$B$63,ROWS(YieldCurve!$B$4:$B$63)),F43+H43*(G43-F43)))</f>
        <v>3.7708106666666664E-2</v>
      </c>
      <c r="J43">
        <f>EXP(-(I43+Inputs!$B$9)*B43)</f>
        <v>0.88188493657034595</v>
      </c>
    </row>
    <row r="44" spans="1:10" x14ac:dyDescent="0.35">
      <c r="A44">
        <v>41</v>
      </c>
      <c r="B44">
        <f>A44/Inputs!$B$6</f>
        <v>3.4166666666666665</v>
      </c>
      <c r="C44">
        <f>IF(B44&lt;=INDEX(YieldCurve!$A$4:$A$63,1),1,IF(B44&gt;=INDEX(YieldCurve!$A$4:$A$63,ROWS(YieldCurve!$A$4:$A$63)),ROWS(YieldCurve!$A$4:$A$63)-1,MATCH(B44,YieldCurve!$A$4:$A$63,1)))</f>
        <v>6</v>
      </c>
      <c r="D44">
        <f>INDEX(YieldCurve!$A$4:$A$63,C44)</f>
        <v>3</v>
      </c>
      <c r="E44">
        <f>INDEX(YieldCurve!$A$4:$A$63,C44+1)</f>
        <v>3.5</v>
      </c>
      <c r="F44">
        <f>INDEX(YieldCurve!$B$4:$B$63,C44)</f>
        <v>3.75529E-2</v>
      </c>
      <c r="G44">
        <f>INDEX(YieldCurve!$B$4:$B$63,C44+1)</f>
        <v>3.778571E-2</v>
      </c>
      <c r="H44">
        <f t="shared" si="0"/>
        <v>0.83333333333333304</v>
      </c>
      <c r="I44">
        <f>IF(B44&lt;=INDEX(YieldCurve!$A$4:$A$63,1),INDEX(YieldCurve!$B$4:$B$63,1),IF(B44&gt;=INDEX(YieldCurve!$A$4:$A$63,ROWS(YieldCurve!$A$4:$A$63)),INDEX(YieldCurve!$B$4:$B$63,ROWS(YieldCurve!$B$4:$B$63)),F44+H44*(G44-F44)))</f>
        <v>3.7746908333333336E-2</v>
      </c>
      <c r="J44">
        <f>EXP(-(I44+Inputs!$B$9)*B44)</f>
        <v>0.87900156270933372</v>
      </c>
    </row>
    <row r="45" spans="1:10" x14ac:dyDescent="0.35">
      <c r="A45">
        <v>42</v>
      </c>
      <c r="B45">
        <f>A45/Inputs!$B$6</f>
        <v>3.5</v>
      </c>
      <c r="C45">
        <f>IF(B45&lt;=INDEX(YieldCurve!$A$4:$A$63,1),1,IF(B45&gt;=INDEX(YieldCurve!$A$4:$A$63,ROWS(YieldCurve!$A$4:$A$63)),ROWS(YieldCurve!$A$4:$A$63)-1,MATCH(B45,YieldCurve!$A$4:$A$63,1)))</f>
        <v>7</v>
      </c>
      <c r="D45">
        <f>INDEX(YieldCurve!$A$4:$A$63,C45)</f>
        <v>3.5</v>
      </c>
      <c r="E45">
        <f>INDEX(YieldCurve!$A$4:$A$63,C45+1)</f>
        <v>4</v>
      </c>
      <c r="F45">
        <f>INDEX(YieldCurve!$B$4:$B$63,C45)</f>
        <v>3.778571E-2</v>
      </c>
      <c r="G45">
        <f>INDEX(YieldCurve!$B$4:$B$63,C45+1)</f>
        <v>3.8019570000000003E-2</v>
      </c>
      <c r="H45">
        <f t="shared" si="0"/>
        <v>0</v>
      </c>
      <c r="I45">
        <f>IF(B45&lt;=INDEX(YieldCurve!$A$4:$A$63,1),INDEX(YieldCurve!$B$4:$B$63,1),IF(B45&gt;=INDEX(YieldCurve!$A$4:$A$63,ROWS(YieldCurve!$A$4:$A$63)),INDEX(YieldCurve!$B$4:$B$63,ROWS(YieldCurve!$B$4:$B$63)),F45+H45*(G45-F45)))</f>
        <v>3.778571E-2</v>
      </c>
      <c r="J45">
        <f>EXP(-(I45+Inputs!$B$9)*B45)</f>
        <v>0.87612195035580664</v>
      </c>
    </row>
    <row r="46" spans="1:10" x14ac:dyDescent="0.35">
      <c r="A46">
        <v>43</v>
      </c>
      <c r="B46">
        <f>A46/Inputs!$B$6</f>
        <v>3.5833333333333335</v>
      </c>
      <c r="C46">
        <f>IF(B46&lt;=INDEX(YieldCurve!$A$4:$A$63,1),1,IF(B46&gt;=INDEX(YieldCurve!$A$4:$A$63,ROWS(YieldCurve!$A$4:$A$63)),ROWS(YieldCurve!$A$4:$A$63)-1,MATCH(B46,YieldCurve!$A$4:$A$63,1)))</f>
        <v>7</v>
      </c>
      <c r="D46">
        <f>INDEX(YieldCurve!$A$4:$A$63,C46)</f>
        <v>3.5</v>
      </c>
      <c r="E46">
        <f>INDEX(YieldCurve!$A$4:$A$63,C46+1)</f>
        <v>4</v>
      </c>
      <c r="F46">
        <f>INDEX(YieldCurve!$B$4:$B$63,C46)</f>
        <v>3.778571E-2</v>
      </c>
      <c r="G46">
        <f>INDEX(YieldCurve!$B$4:$B$63,C46+1)</f>
        <v>3.8019570000000003E-2</v>
      </c>
      <c r="H46">
        <f t="shared" si="0"/>
        <v>0.16666666666666696</v>
      </c>
      <c r="I46">
        <f>IF(B46&lt;=INDEX(YieldCurve!$A$4:$A$63,1),INDEX(YieldCurve!$B$4:$B$63,1),IF(B46&gt;=INDEX(YieldCurve!$A$4:$A$63,ROWS(YieldCurve!$A$4:$A$63)),INDEX(YieldCurve!$B$4:$B$63,ROWS(YieldCurve!$B$4:$B$63)),F46+H46*(G46-F46)))</f>
        <v>3.782468666666667E-2</v>
      </c>
      <c r="J46">
        <f>EXP(-(I46+Inputs!$B$9)*B46)</f>
        <v>0.87324557677259318</v>
      </c>
    </row>
    <row r="47" spans="1:10" x14ac:dyDescent="0.35">
      <c r="A47">
        <v>44</v>
      </c>
      <c r="B47">
        <f>A47/Inputs!$B$6</f>
        <v>3.6666666666666665</v>
      </c>
      <c r="C47">
        <f>IF(B47&lt;=INDEX(YieldCurve!$A$4:$A$63,1),1,IF(B47&gt;=INDEX(YieldCurve!$A$4:$A$63,ROWS(YieldCurve!$A$4:$A$63)),ROWS(YieldCurve!$A$4:$A$63)-1,MATCH(B47,YieldCurve!$A$4:$A$63,1)))</f>
        <v>7</v>
      </c>
      <c r="D47">
        <f>INDEX(YieldCurve!$A$4:$A$63,C47)</f>
        <v>3.5</v>
      </c>
      <c r="E47">
        <f>INDEX(YieldCurve!$A$4:$A$63,C47+1)</f>
        <v>4</v>
      </c>
      <c r="F47">
        <f>INDEX(YieldCurve!$B$4:$B$63,C47)</f>
        <v>3.778571E-2</v>
      </c>
      <c r="G47">
        <f>INDEX(YieldCurve!$B$4:$B$63,C47+1)</f>
        <v>3.8019570000000003E-2</v>
      </c>
      <c r="H47">
        <f t="shared" si="0"/>
        <v>0.33333333333333304</v>
      </c>
      <c r="I47">
        <f>IF(B47&lt;=INDEX(YieldCurve!$A$4:$A$63,1),INDEX(YieldCurve!$B$4:$B$63,1),IF(B47&gt;=INDEX(YieldCurve!$A$4:$A$63,ROWS(YieldCurve!$A$4:$A$63)),INDEX(YieldCurve!$B$4:$B$63,ROWS(YieldCurve!$B$4:$B$63)),F47+H47*(G47-F47)))</f>
        <v>3.7863663333333332E-2</v>
      </c>
      <c r="J47">
        <f>EXP(-(I47+Inputs!$B$9)*B47)</f>
        <v>0.87037299247994415</v>
      </c>
    </row>
    <row r="48" spans="1:10" x14ac:dyDescent="0.35">
      <c r="A48">
        <v>45</v>
      </c>
      <c r="B48">
        <f>A48/Inputs!$B$6</f>
        <v>3.75</v>
      </c>
      <c r="C48">
        <f>IF(B48&lt;=INDEX(YieldCurve!$A$4:$A$63,1),1,IF(B48&gt;=INDEX(YieldCurve!$A$4:$A$63,ROWS(YieldCurve!$A$4:$A$63)),ROWS(YieldCurve!$A$4:$A$63)-1,MATCH(B48,YieldCurve!$A$4:$A$63,1)))</f>
        <v>7</v>
      </c>
      <c r="D48">
        <f>INDEX(YieldCurve!$A$4:$A$63,C48)</f>
        <v>3.5</v>
      </c>
      <c r="E48">
        <f>INDEX(YieldCurve!$A$4:$A$63,C48+1)</f>
        <v>4</v>
      </c>
      <c r="F48">
        <f>INDEX(YieldCurve!$B$4:$B$63,C48)</f>
        <v>3.778571E-2</v>
      </c>
      <c r="G48">
        <f>INDEX(YieldCurve!$B$4:$B$63,C48+1)</f>
        <v>3.8019570000000003E-2</v>
      </c>
      <c r="H48">
        <f t="shared" si="0"/>
        <v>0.5</v>
      </c>
      <c r="I48">
        <f>IF(B48&lt;=INDEX(YieldCurve!$A$4:$A$63,1),INDEX(YieldCurve!$B$4:$B$63,1),IF(B48&gt;=INDEX(YieldCurve!$A$4:$A$63,ROWS(YieldCurve!$A$4:$A$63)),INDEX(YieldCurve!$B$4:$B$63,ROWS(YieldCurve!$B$4:$B$63)),F48+H48*(G48-F48)))</f>
        <v>3.7902640000000001E-2</v>
      </c>
      <c r="J48">
        <f>EXP(-(I48+Inputs!$B$9)*B48)</f>
        <v>0.8675042222725492</v>
      </c>
    </row>
    <row r="49" spans="1:10" x14ac:dyDescent="0.35">
      <c r="A49">
        <v>46</v>
      </c>
      <c r="B49">
        <f>A49/Inputs!$B$6</f>
        <v>3.8333333333333335</v>
      </c>
      <c r="C49">
        <f>IF(B49&lt;=INDEX(YieldCurve!$A$4:$A$63,1),1,IF(B49&gt;=INDEX(YieldCurve!$A$4:$A$63,ROWS(YieldCurve!$A$4:$A$63)),ROWS(YieldCurve!$A$4:$A$63)-1,MATCH(B49,YieldCurve!$A$4:$A$63,1)))</f>
        <v>7</v>
      </c>
      <c r="D49">
        <f>INDEX(YieldCurve!$A$4:$A$63,C49)</f>
        <v>3.5</v>
      </c>
      <c r="E49">
        <f>INDEX(YieldCurve!$A$4:$A$63,C49+1)</f>
        <v>4</v>
      </c>
      <c r="F49">
        <f>INDEX(YieldCurve!$B$4:$B$63,C49)</f>
        <v>3.778571E-2</v>
      </c>
      <c r="G49">
        <f>INDEX(YieldCurve!$B$4:$B$63,C49+1)</f>
        <v>3.8019570000000003E-2</v>
      </c>
      <c r="H49">
        <f t="shared" si="0"/>
        <v>0.66666666666666696</v>
      </c>
      <c r="I49">
        <f>IF(B49&lt;=INDEX(YieldCurve!$A$4:$A$63,1),INDEX(YieldCurve!$B$4:$B$63,1),IF(B49&gt;=INDEX(YieldCurve!$A$4:$A$63,ROWS(YieldCurve!$A$4:$A$63)),INDEX(YieldCurve!$B$4:$B$63,ROWS(YieldCurve!$B$4:$B$63)),F49+H49*(G49-F49)))</f>
        <v>3.7941616666666671E-2</v>
      </c>
      <c r="J49">
        <f>EXP(-(I49+Inputs!$B$9)*B49)</f>
        <v>0.86463929078924728</v>
      </c>
    </row>
    <row r="50" spans="1:10" x14ac:dyDescent="0.35">
      <c r="A50">
        <v>47</v>
      </c>
      <c r="B50">
        <f>A50/Inputs!$B$6</f>
        <v>3.9166666666666665</v>
      </c>
      <c r="C50">
        <f>IF(B50&lt;=INDEX(YieldCurve!$A$4:$A$63,1),1,IF(B50&gt;=INDEX(YieldCurve!$A$4:$A$63,ROWS(YieldCurve!$A$4:$A$63)),ROWS(YieldCurve!$A$4:$A$63)-1,MATCH(B50,YieldCurve!$A$4:$A$63,1)))</f>
        <v>7</v>
      </c>
      <c r="D50">
        <f>INDEX(YieldCurve!$A$4:$A$63,C50)</f>
        <v>3.5</v>
      </c>
      <c r="E50">
        <f>INDEX(YieldCurve!$A$4:$A$63,C50+1)</f>
        <v>4</v>
      </c>
      <c r="F50">
        <f>INDEX(YieldCurve!$B$4:$B$63,C50)</f>
        <v>3.778571E-2</v>
      </c>
      <c r="G50">
        <f>INDEX(YieldCurve!$B$4:$B$63,C50+1)</f>
        <v>3.8019570000000003E-2</v>
      </c>
      <c r="H50">
        <f t="shared" si="0"/>
        <v>0.83333333333333304</v>
      </c>
      <c r="I50">
        <f>IF(B50&lt;=INDEX(YieldCurve!$A$4:$A$63,1),INDEX(YieldCurve!$B$4:$B$63,1),IF(B50&gt;=INDEX(YieldCurve!$A$4:$A$63,ROWS(YieldCurve!$A$4:$A$63)),INDEX(YieldCurve!$B$4:$B$63,ROWS(YieldCurve!$B$4:$B$63)),F50+H50*(G50-F50)))</f>
        <v>3.7980593333333333E-2</v>
      </c>
      <c r="J50">
        <f>EXP(-(I50+Inputs!$B$9)*B50)</f>
        <v>0.86177822251290048</v>
      </c>
    </row>
    <row r="51" spans="1:10" x14ac:dyDescent="0.35">
      <c r="A51">
        <v>48</v>
      </c>
      <c r="B51">
        <f>A51/Inputs!$B$6</f>
        <v>4</v>
      </c>
      <c r="C51">
        <f>IF(B51&lt;=INDEX(YieldCurve!$A$4:$A$63,1),1,IF(B51&gt;=INDEX(YieldCurve!$A$4:$A$63,ROWS(YieldCurve!$A$4:$A$63)),ROWS(YieldCurve!$A$4:$A$63)-1,MATCH(B51,YieldCurve!$A$4:$A$63,1)))</f>
        <v>8</v>
      </c>
      <c r="D51">
        <f>INDEX(YieldCurve!$A$4:$A$63,C51)</f>
        <v>4</v>
      </c>
      <c r="E51">
        <f>INDEX(YieldCurve!$A$4:$A$63,C51+1)</f>
        <v>4.5</v>
      </c>
      <c r="F51">
        <f>INDEX(YieldCurve!$B$4:$B$63,C51)</f>
        <v>3.8019570000000003E-2</v>
      </c>
      <c r="G51">
        <f>INDEX(YieldCurve!$B$4:$B$63,C51+1)</f>
        <v>3.8254719999999999E-2</v>
      </c>
      <c r="H51">
        <f t="shared" si="0"/>
        <v>0</v>
      </c>
      <c r="I51">
        <f>IF(B51&lt;=INDEX(YieldCurve!$A$4:$A$63,1),INDEX(YieldCurve!$B$4:$B$63,1),IF(B51&gt;=INDEX(YieldCurve!$A$4:$A$63,ROWS(YieldCurve!$A$4:$A$63)),INDEX(YieldCurve!$B$4:$B$63,ROWS(YieldCurve!$B$4:$B$63)),F51+H51*(G51-F51)))</f>
        <v>3.8019570000000003E-2</v>
      </c>
      <c r="J51">
        <f>EXP(-(I51+Inputs!$B$9)*B51)</f>
        <v>0.85892104177027473</v>
      </c>
    </row>
    <row r="52" spans="1:10" x14ac:dyDescent="0.35">
      <c r="A52">
        <v>49</v>
      </c>
      <c r="B52">
        <f>A52/Inputs!$B$6</f>
        <v>4.083333333333333</v>
      </c>
      <c r="C52">
        <f>IF(B52&lt;=INDEX(YieldCurve!$A$4:$A$63,1),1,IF(B52&gt;=INDEX(YieldCurve!$A$4:$A$63,ROWS(YieldCurve!$A$4:$A$63)),ROWS(YieldCurve!$A$4:$A$63)-1,MATCH(B52,YieldCurve!$A$4:$A$63,1)))</f>
        <v>8</v>
      </c>
      <c r="D52">
        <f>INDEX(YieldCurve!$A$4:$A$63,C52)</f>
        <v>4</v>
      </c>
      <c r="E52">
        <f>INDEX(YieldCurve!$A$4:$A$63,C52+1)</f>
        <v>4.5</v>
      </c>
      <c r="F52">
        <f>INDEX(YieldCurve!$B$4:$B$63,C52)</f>
        <v>3.8019570000000003E-2</v>
      </c>
      <c r="G52">
        <f>INDEX(YieldCurve!$B$4:$B$63,C52+1)</f>
        <v>3.8254719999999999E-2</v>
      </c>
      <c r="H52">
        <f t="shared" si="0"/>
        <v>0.16666666666666607</v>
      </c>
      <c r="I52">
        <f>IF(B52&lt;=INDEX(YieldCurve!$A$4:$A$63,1),INDEX(YieldCurve!$B$4:$B$63,1),IF(B52&gt;=INDEX(YieldCurve!$A$4:$A$63,ROWS(YieldCurve!$A$4:$A$63)),INDEX(YieldCurve!$B$4:$B$63,ROWS(YieldCurve!$B$4:$B$63)),F52+H52*(G52-F52)))</f>
        <v>3.805876166666667E-2</v>
      </c>
      <c r="J52">
        <f>EXP(-(I52+Inputs!$B$9)*B52)</f>
        <v>0.85606702117608946</v>
      </c>
    </row>
    <row r="53" spans="1:10" x14ac:dyDescent="0.35">
      <c r="A53">
        <v>50</v>
      </c>
      <c r="B53">
        <f>A53/Inputs!$B$6</f>
        <v>4.166666666666667</v>
      </c>
      <c r="C53">
        <f>IF(B53&lt;=INDEX(YieldCurve!$A$4:$A$63,1),1,IF(B53&gt;=INDEX(YieldCurve!$A$4:$A$63,ROWS(YieldCurve!$A$4:$A$63)),ROWS(YieldCurve!$A$4:$A$63)-1,MATCH(B53,YieldCurve!$A$4:$A$63,1)))</f>
        <v>8</v>
      </c>
      <c r="D53">
        <f>INDEX(YieldCurve!$A$4:$A$63,C53)</f>
        <v>4</v>
      </c>
      <c r="E53">
        <f>INDEX(YieldCurve!$A$4:$A$63,C53+1)</f>
        <v>4.5</v>
      </c>
      <c r="F53">
        <f>INDEX(YieldCurve!$B$4:$B$63,C53)</f>
        <v>3.8019570000000003E-2</v>
      </c>
      <c r="G53">
        <f>INDEX(YieldCurve!$B$4:$B$63,C53+1)</f>
        <v>3.8254719999999999E-2</v>
      </c>
      <c r="H53">
        <f t="shared" si="0"/>
        <v>0.33333333333333393</v>
      </c>
      <c r="I53">
        <f>IF(B53&lt;=INDEX(YieldCurve!$A$4:$A$63,1),INDEX(YieldCurve!$B$4:$B$63,1),IF(B53&gt;=INDEX(YieldCurve!$A$4:$A$63,ROWS(YieldCurve!$A$4:$A$63)),INDEX(YieldCurve!$B$4:$B$63,ROWS(YieldCurve!$B$4:$B$63)),F53+H53*(G53-F53)))</f>
        <v>3.8097953333333337E-2</v>
      </c>
      <c r="J53">
        <f>EXP(-(I53+Inputs!$B$9)*B53)</f>
        <v>0.85321691073041828</v>
      </c>
    </row>
    <row r="54" spans="1:10" x14ac:dyDescent="0.35">
      <c r="A54">
        <v>51</v>
      </c>
      <c r="B54">
        <f>A54/Inputs!$B$6</f>
        <v>4.25</v>
      </c>
      <c r="C54">
        <f>IF(B54&lt;=INDEX(YieldCurve!$A$4:$A$63,1),1,IF(B54&gt;=INDEX(YieldCurve!$A$4:$A$63,ROWS(YieldCurve!$A$4:$A$63)),ROWS(YieldCurve!$A$4:$A$63)-1,MATCH(B54,YieldCurve!$A$4:$A$63,1)))</f>
        <v>8</v>
      </c>
      <c r="D54">
        <f>INDEX(YieldCurve!$A$4:$A$63,C54)</f>
        <v>4</v>
      </c>
      <c r="E54">
        <f>INDEX(YieldCurve!$A$4:$A$63,C54+1)</f>
        <v>4.5</v>
      </c>
      <c r="F54">
        <f>INDEX(YieldCurve!$B$4:$B$63,C54)</f>
        <v>3.8019570000000003E-2</v>
      </c>
      <c r="G54">
        <f>INDEX(YieldCurve!$B$4:$B$63,C54+1)</f>
        <v>3.8254719999999999E-2</v>
      </c>
      <c r="H54">
        <f t="shared" si="0"/>
        <v>0.5</v>
      </c>
      <c r="I54">
        <f>IF(B54&lt;=INDEX(YieldCurve!$A$4:$A$63,1),INDEX(YieldCurve!$B$4:$B$63,1),IF(B54&gt;=INDEX(YieldCurve!$A$4:$A$63,ROWS(YieldCurve!$A$4:$A$63)),INDEX(YieldCurve!$B$4:$B$63,ROWS(YieldCurve!$B$4:$B$63)),F54+H54*(G54-F54)))</f>
        <v>3.8137144999999997E-2</v>
      </c>
      <c r="J54">
        <f>EXP(-(I54+Inputs!$B$9)*B54)</f>
        <v>0.85037073458659795</v>
      </c>
    </row>
    <row r="55" spans="1:10" x14ac:dyDescent="0.35">
      <c r="A55">
        <v>52</v>
      </c>
      <c r="B55">
        <f>A55/Inputs!$B$6</f>
        <v>4.333333333333333</v>
      </c>
      <c r="C55">
        <f>IF(B55&lt;=INDEX(YieldCurve!$A$4:$A$63,1),1,IF(B55&gt;=INDEX(YieldCurve!$A$4:$A$63,ROWS(YieldCurve!$A$4:$A$63)),ROWS(YieldCurve!$A$4:$A$63)-1,MATCH(B55,YieldCurve!$A$4:$A$63,1)))</f>
        <v>8</v>
      </c>
      <c r="D55">
        <f>INDEX(YieldCurve!$A$4:$A$63,C55)</f>
        <v>4</v>
      </c>
      <c r="E55">
        <f>INDEX(YieldCurve!$A$4:$A$63,C55+1)</f>
        <v>4.5</v>
      </c>
      <c r="F55">
        <f>INDEX(YieldCurve!$B$4:$B$63,C55)</f>
        <v>3.8019570000000003E-2</v>
      </c>
      <c r="G55">
        <f>INDEX(YieldCurve!$B$4:$B$63,C55+1)</f>
        <v>3.8254719999999999E-2</v>
      </c>
      <c r="H55">
        <f t="shared" si="0"/>
        <v>0.66666666666666607</v>
      </c>
      <c r="I55">
        <f>IF(B55&lt;=INDEX(YieldCurve!$A$4:$A$63,1),INDEX(YieldCurve!$B$4:$B$63,1),IF(B55&gt;=INDEX(YieldCurve!$A$4:$A$63,ROWS(YieldCurve!$A$4:$A$63)),INDEX(YieldCurve!$B$4:$B$63,ROWS(YieldCurve!$B$4:$B$63)),F55+H55*(G55-F55)))</f>
        <v>3.8176336666666665E-2</v>
      </c>
      <c r="J55">
        <f>EXP(-(I55+Inputs!$B$9)*B55)</f>
        <v>0.84752851674050567</v>
      </c>
    </row>
    <row r="56" spans="1:10" x14ac:dyDescent="0.35">
      <c r="A56">
        <v>53</v>
      </c>
      <c r="B56">
        <f>A56/Inputs!$B$6</f>
        <v>4.416666666666667</v>
      </c>
      <c r="C56">
        <f>IF(B56&lt;=INDEX(YieldCurve!$A$4:$A$63,1),1,IF(B56&gt;=INDEX(YieldCurve!$A$4:$A$63,ROWS(YieldCurve!$A$4:$A$63)),ROWS(YieldCurve!$A$4:$A$63)-1,MATCH(B56,YieldCurve!$A$4:$A$63,1)))</f>
        <v>8</v>
      </c>
      <c r="D56">
        <f>INDEX(YieldCurve!$A$4:$A$63,C56)</f>
        <v>4</v>
      </c>
      <c r="E56">
        <f>INDEX(YieldCurve!$A$4:$A$63,C56+1)</f>
        <v>4.5</v>
      </c>
      <c r="F56">
        <f>INDEX(YieldCurve!$B$4:$B$63,C56)</f>
        <v>3.8019570000000003E-2</v>
      </c>
      <c r="G56">
        <f>INDEX(YieldCurve!$B$4:$B$63,C56+1)</f>
        <v>3.8254719999999999E-2</v>
      </c>
      <c r="H56">
        <f t="shared" si="0"/>
        <v>0.83333333333333393</v>
      </c>
      <c r="I56">
        <f>IF(B56&lt;=INDEX(YieldCurve!$A$4:$A$63,1),INDEX(YieldCurve!$B$4:$B$63,1),IF(B56&gt;=INDEX(YieldCurve!$A$4:$A$63,ROWS(YieldCurve!$A$4:$A$63)),INDEX(YieldCurve!$B$4:$B$63,ROWS(YieldCurve!$B$4:$B$63)),F56+H56*(G56-F56)))</f>
        <v>3.8215528333333332E-2</v>
      </c>
      <c r="J56">
        <f>EXP(-(I56+Inputs!$B$9)*B56)</f>
        <v>0.84469028103045851</v>
      </c>
    </row>
    <row r="57" spans="1:10" x14ac:dyDescent="0.35">
      <c r="A57">
        <v>54</v>
      </c>
      <c r="B57">
        <f>A57/Inputs!$B$6</f>
        <v>4.5</v>
      </c>
      <c r="C57">
        <f>IF(B57&lt;=INDEX(YieldCurve!$A$4:$A$63,1),1,IF(B57&gt;=INDEX(YieldCurve!$A$4:$A$63,ROWS(YieldCurve!$A$4:$A$63)),ROWS(YieldCurve!$A$4:$A$63)-1,MATCH(B57,YieldCurve!$A$4:$A$63,1)))</f>
        <v>9</v>
      </c>
      <c r="D57">
        <f>INDEX(YieldCurve!$A$4:$A$63,C57)</f>
        <v>4.5</v>
      </c>
      <c r="E57">
        <f>INDEX(YieldCurve!$A$4:$A$63,C57+1)</f>
        <v>5</v>
      </c>
      <c r="F57">
        <f>INDEX(YieldCurve!$B$4:$B$63,C57)</f>
        <v>3.8254719999999999E-2</v>
      </c>
      <c r="G57">
        <f>INDEX(YieldCurve!$B$4:$B$63,C57+1)</f>
        <v>3.8491350000000001E-2</v>
      </c>
      <c r="H57">
        <f t="shared" si="0"/>
        <v>0</v>
      </c>
      <c r="I57">
        <f>IF(B57&lt;=INDEX(YieldCurve!$A$4:$A$63,1),INDEX(YieldCurve!$B$4:$B$63,1),IF(B57&gt;=INDEX(YieldCurve!$A$4:$A$63,ROWS(YieldCurve!$A$4:$A$63)),INDEX(YieldCurve!$B$4:$B$63,ROWS(YieldCurve!$B$4:$B$63)),F57+H57*(G57-F57)))</f>
        <v>3.8254719999999999E-2</v>
      </c>
      <c r="J57">
        <f>EXP(-(I57+Inputs!$B$9)*B57)</f>
        <v>0.84185605113711814</v>
      </c>
    </row>
    <row r="58" spans="1:10" x14ac:dyDescent="0.35">
      <c r="A58">
        <v>55</v>
      </c>
      <c r="B58">
        <f>A58/Inputs!$B$6</f>
        <v>4.583333333333333</v>
      </c>
      <c r="C58">
        <f>IF(B58&lt;=INDEX(YieldCurve!$A$4:$A$63,1),1,IF(B58&gt;=INDEX(YieldCurve!$A$4:$A$63,ROWS(YieldCurve!$A$4:$A$63)),ROWS(YieldCurve!$A$4:$A$63)-1,MATCH(B58,YieldCurve!$A$4:$A$63,1)))</f>
        <v>9</v>
      </c>
      <c r="D58">
        <f>INDEX(YieldCurve!$A$4:$A$63,C58)</f>
        <v>4.5</v>
      </c>
      <c r="E58">
        <f>INDEX(YieldCurve!$A$4:$A$63,C58+1)</f>
        <v>5</v>
      </c>
      <c r="F58">
        <f>INDEX(YieldCurve!$B$4:$B$63,C58)</f>
        <v>3.8254719999999999E-2</v>
      </c>
      <c r="G58">
        <f>INDEX(YieldCurve!$B$4:$B$63,C58+1)</f>
        <v>3.8491350000000001E-2</v>
      </c>
      <c r="H58">
        <f t="shared" si="0"/>
        <v>0.16666666666666607</v>
      </c>
      <c r="I58">
        <f>IF(B58&lt;=INDEX(YieldCurve!$A$4:$A$63,1),INDEX(YieldCurve!$B$4:$B$63,1),IF(B58&gt;=INDEX(YieldCurve!$A$4:$A$63,ROWS(YieldCurve!$A$4:$A$63)),INDEX(YieldCurve!$B$4:$B$63,ROWS(YieldCurve!$B$4:$B$63)),F58+H58*(G58-F58)))</f>
        <v>3.8294158333333335E-2</v>
      </c>
      <c r="J58">
        <f>EXP(-(I58+Inputs!$B$9)*B58)</f>
        <v>0.8390249020186008</v>
      </c>
    </row>
    <row r="59" spans="1:10" x14ac:dyDescent="0.35">
      <c r="A59">
        <v>56</v>
      </c>
      <c r="B59">
        <f>A59/Inputs!$B$6</f>
        <v>4.666666666666667</v>
      </c>
      <c r="C59">
        <f>IF(B59&lt;=INDEX(YieldCurve!$A$4:$A$63,1),1,IF(B59&gt;=INDEX(YieldCurve!$A$4:$A$63,ROWS(YieldCurve!$A$4:$A$63)),ROWS(YieldCurve!$A$4:$A$63)-1,MATCH(B59,YieldCurve!$A$4:$A$63,1)))</f>
        <v>9</v>
      </c>
      <c r="D59">
        <f>INDEX(YieldCurve!$A$4:$A$63,C59)</f>
        <v>4.5</v>
      </c>
      <c r="E59">
        <f>INDEX(YieldCurve!$A$4:$A$63,C59+1)</f>
        <v>5</v>
      </c>
      <c r="F59">
        <f>INDEX(YieldCurve!$B$4:$B$63,C59)</f>
        <v>3.8254719999999999E-2</v>
      </c>
      <c r="G59">
        <f>INDEX(YieldCurve!$B$4:$B$63,C59+1)</f>
        <v>3.8491350000000001E-2</v>
      </c>
      <c r="H59">
        <f t="shared" si="0"/>
        <v>0.33333333333333393</v>
      </c>
      <c r="I59">
        <f>IF(B59&lt;=INDEX(YieldCurve!$A$4:$A$63,1),INDEX(YieldCurve!$B$4:$B$63,1),IF(B59&gt;=INDEX(YieldCurve!$A$4:$A$63,ROWS(YieldCurve!$A$4:$A$63)),INDEX(YieldCurve!$B$4:$B$63,ROWS(YieldCurve!$B$4:$B$63)),F59+H59*(G59-F59)))</f>
        <v>3.8333596666666664E-2</v>
      </c>
      <c r="J59">
        <f>EXP(-(I59+Inputs!$B$9)*B59)</f>
        <v>0.83619777761907355</v>
      </c>
    </row>
    <row r="60" spans="1:10" x14ac:dyDescent="0.35">
      <c r="A60">
        <v>57</v>
      </c>
      <c r="B60">
        <f>A60/Inputs!$B$6</f>
        <v>4.75</v>
      </c>
      <c r="C60">
        <f>IF(B60&lt;=INDEX(YieldCurve!$A$4:$A$63,1),1,IF(B60&gt;=INDEX(YieldCurve!$A$4:$A$63,ROWS(YieldCurve!$A$4:$A$63)),ROWS(YieldCurve!$A$4:$A$63)-1,MATCH(B60,YieldCurve!$A$4:$A$63,1)))</f>
        <v>9</v>
      </c>
      <c r="D60">
        <f>INDEX(YieldCurve!$A$4:$A$63,C60)</f>
        <v>4.5</v>
      </c>
      <c r="E60">
        <f>INDEX(YieldCurve!$A$4:$A$63,C60+1)</f>
        <v>5</v>
      </c>
      <c r="F60">
        <f>INDEX(YieldCurve!$B$4:$B$63,C60)</f>
        <v>3.8254719999999999E-2</v>
      </c>
      <c r="G60">
        <f>INDEX(YieldCurve!$B$4:$B$63,C60+1)</f>
        <v>3.8491350000000001E-2</v>
      </c>
      <c r="H60">
        <f t="shared" si="0"/>
        <v>0.5</v>
      </c>
      <c r="I60">
        <f>IF(B60&lt;=INDEX(YieldCurve!$A$4:$A$63,1),INDEX(YieldCurve!$B$4:$B$63,1),IF(B60&gt;=INDEX(YieldCurve!$A$4:$A$63,ROWS(YieldCurve!$A$4:$A$63)),INDEX(YieldCurve!$B$4:$B$63,ROWS(YieldCurve!$B$4:$B$63)),F60+H60*(G60-F60)))</f>
        <v>3.8373035E-2</v>
      </c>
      <c r="J60">
        <f>EXP(-(I60+Inputs!$B$9)*B60)</f>
        <v>0.83337470148005566</v>
      </c>
    </row>
    <row r="61" spans="1:10" x14ac:dyDescent="0.35">
      <c r="A61">
        <v>58</v>
      </c>
      <c r="B61">
        <f>A61/Inputs!$B$6</f>
        <v>4.833333333333333</v>
      </c>
      <c r="C61">
        <f>IF(B61&lt;=INDEX(YieldCurve!$A$4:$A$63,1),1,IF(B61&gt;=INDEX(YieldCurve!$A$4:$A$63,ROWS(YieldCurve!$A$4:$A$63)),ROWS(YieldCurve!$A$4:$A$63)-1,MATCH(B61,YieldCurve!$A$4:$A$63,1)))</f>
        <v>9</v>
      </c>
      <c r="D61">
        <f>INDEX(YieldCurve!$A$4:$A$63,C61)</f>
        <v>4.5</v>
      </c>
      <c r="E61">
        <f>INDEX(YieldCurve!$A$4:$A$63,C61+1)</f>
        <v>5</v>
      </c>
      <c r="F61">
        <f>INDEX(YieldCurve!$B$4:$B$63,C61)</f>
        <v>3.8254719999999999E-2</v>
      </c>
      <c r="G61">
        <f>INDEX(YieldCurve!$B$4:$B$63,C61+1)</f>
        <v>3.8491350000000001E-2</v>
      </c>
      <c r="H61">
        <f t="shared" si="0"/>
        <v>0.66666666666666607</v>
      </c>
      <c r="I61">
        <f>IF(B61&lt;=INDEX(YieldCurve!$A$4:$A$63,1),INDEX(YieldCurve!$B$4:$B$63,1),IF(B61&gt;=INDEX(YieldCurve!$A$4:$A$63,ROWS(YieldCurve!$A$4:$A$63)),INDEX(YieldCurve!$B$4:$B$63,ROWS(YieldCurve!$B$4:$B$63)),F61+H61*(G61-F61)))</f>
        <v>3.8412473333333336E-2</v>
      </c>
      <c r="J61">
        <f>EXP(-(I61+Inputs!$B$9)*B61)</f>
        <v>0.83055569698397247</v>
      </c>
    </row>
    <row r="62" spans="1:10" x14ac:dyDescent="0.35">
      <c r="A62">
        <v>59</v>
      </c>
      <c r="B62">
        <f>A62/Inputs!$B$6</f>
        <v>4.916666666666667</v>
      </c>
      <c r="C62">
        <f>IF(B62&lt;=INDEX(YieldCurve!$A$4:$A$63,1),1,IF(B62&gt;=INDEX(YieldCurve!$A$4:$A$63,ROWS(YieldCurve!$A$4:$A$63)),ROWS(YieldCurve!$A$4:$A$63)-1,MATCH(B62,YieldCurve!$A$4:$A$63,1)))</f>
        <v>9</v>
      </c>
      <c r="D62">
        <f>INDEX(YieldCurve!$A$4:$A$63,C62)</f>
        <v>4.5</v>
      </c>
      <c r="E62">
        <f>INDEX(YieldCurve!$A$4:$A$63,C62+1)</f>
        <v>5</v>
      </c>
      <c r="F62">
        <f>INDEX(YieldCurve!$B$4:$B$63,C62)</f>
        <v>3.8254719999999999E-2</v>
      </c>
      <c r="G62">
        <f>INDEX(YieldCurve!$B$4:$B$63,C62+1)</f>
        <v>3.8491350000000001E-2</v>
      </c>
      <c r="H62">
        <f t="shared" si="0"/>
        <v>0.83333333333333393</v>
      </c>
      <c r="I62">
        <f>IF(B62&lt;=INDEX(YieldCurve!$A$4:$A$63,1),INDEX(YieldCurve!$B$4:$B$63,1),IF(B62&gt;=INDEX(YieldCurve!$A$4:$A$63,ROWS(YieldCurve!$A$4:$A$63)),INDEX(YieldCurve!$B$4:$B$63,ROWS(YieldCurve!$B$4:$B$63)),F62+H62*(G62-F62)))</f>
        <v>3.8451911666666665E-2</v>
      </c>
      <c r="J62">
        <f>EXP(-(I62+Inputs!$B$9)*B62)</f>
        <v>0.82774078735407819</v>
      </c>
    </row>
    <row r="63" spans="1:10" x14ac:dyDescent="0.35">
      <c r="A63">
        <v>60</v>
      </c>
      <c r="B63">
        <f>A63/Inputs!$B$6</f>
        <v>5</v>
      </c>
      <c r="C63">
        <f>IF(B63&lt;=INDEX(YieldCurve!$A$4:$A$63,1),1,IF(B63&gt;=INDEX(YieldCurve!$A$4:$A$63,ROWS(YieldCurve!$A$4:$A$63)),ROWS(YieldCurve!$A$4:$A$63)-1,MATCH(B63,YieldCurve!$A$4:$A$63,1)))</f>
        <v>10</v>
      </c>
      <c r="D63">
        <f>INDEX(YieldCurve!$A$4:$A$63,C63)</f>
        <v>5</v>
      </c>
      <c r="E63">
        <f>INDEX(YieldCurve!$A$4:$A$63,C63+1)</f>
        <v>5.5</v>
      </c>
      <c r="F63">
        <f>INDEX(YieldCurve!$B$4:$B$63,C63)</f>
        <v>3.8491350000000001E-2</v>
      </c>
      <c r="G63">
        <f>INDEX(YieldCurve!$B$4:$B$63,C63+1)</f>
        <v>3.8973830000000001E-2</v>
      </c>
      <c r="H63">
        <f t="shared" si="0"/>
        <v>0</v>
      </c>
      <c r="I63">
        <f>IF(B63&lt;=INDEX(YieldCurve!$A$4:$A$63,1),INDEX(YieldCurve!$B$4:$B$63,1),IF(B63&gt;=INDEX(YieldCurve!$A$4:$A$63,ROWS(YieldCurve!$A$4:$A$63)),INDEX(YieldCurve!$B$4:$B$63,ROWS(YieldCurve!$B$4:$B$63)),F63+H63*(G63-F63)))</f>
        <v>3.8491350000000001E-2</v>
      </c>
      <c r="J63">
        <f>EXP(-(I63+Inputs!$B$9)*B63)</f>
        <v>0.82492999565438496</v>
      </c>
    </row>
    <row r="64" spans="1:10" x14ac:dyDescent="0.35">
      <c r="A64">
        <v>61</v>
      </c>
      <c r="B64">
        <f>A64/Inputs!$B$6</f>
        <v>5.083333333333333</v>
      </c>
      <c r="C64">
        <f>IF(B64&lt;=INDEX(YieldCurve!$A$4:$A$63,1),1,IF(B64&gt;=INDEX(YieldCurve!$A$4:$A$63,ROWS(YieldCurve!$A$4:$A$63)),ROWS(YieldCurve!$A$4:$A$63)-1,MATCH(B64,YieldCurve!$A$4:$A$63,1)))</f>
        <v>10</v>
      </c>
      <c r="D64">
        <f>INDEX(YieldCurve!$A$4:$A$63,C64)</f>
        <v>5</v>
      </c>
      <c r="E64">
        <f>INDEX(YieldCurve!$A$4:$A$63,C64+1)</f>
        <v>5.5</v>
      </c>
      <c r="F64">
        <f>INDEX(YieldCurve!$B$4:$B$63,C64)</f>
        <v>3.8491350000000001E-2</v>
      </c>
      <c r="G64">
        <f>INDEX(YieldCurve!$B$4:$B$63,C64+1)</f>
        <v>3.8973830000000001E-2</v>
      </c>
      <c r="H64">
        <f t="shared" si="0"/>
        <v>0.16666666666666607</v>
      </c>
      <c r="I64">
        <f>IF(B64&lt;=INDEX(YieldCurve!$A$4:$A$63,1),INDEX(YieldCurve!$B$4:$B$63,1),IF(B64&gt;=INDEX(YieldCurve!$A$4:$A$63,ROWS(YieldCurve!$A$4:$A$63)),INDEX(YieldCurve!$B$4:$B$63,ROWS(YieldCurve!$B$4:$B$63)),F64+H64*(G64-F64)))</f>
        <v>3.8571763333333335E-2</v>
      </c>
      <c r="J64">
        <f>EXP(-(I64+Inputs!$B$9)*B64)</f>
        <v>0.82195212289315034</v>
      </c>
    </row>
    <row r="65" spans="1:10" x14ac:dyDescent="0.35">
      <c r="A65">
        <v>62</v>
      </c>
      <c r="B65">
        <f>A65/Inputs!$B$6</f>
        <v>5.166666666666667</v>
      </c>
      <c r="C65">
        <f>IF(B65&lt;=INDEX(YieldCurve!$A$4:$A$63,1),1,IF(B65&gt;=INDEX(YieldCurve!$A$4:$A$63,ROWS(YieldCurve!$A$4:$A$63)),ROWS(YieldCurve!$A$4:$A$63)-1,MATCH(B65,YieldCurve!$A$4:$A$63,1)))</f>
        <v>10</v>
      </c>
      <c r="D65">
        <f>INDEX(YieldCurve!$A$4:$A$63,C65)</f>
        <v>5</v>
      </c>
      <c r="E65">
        <f>INDEX(YieldCurve!$A$4:$A$63,C65+1)</f>
        <v>5.5</v>
      </c>
      <c r="F65">
        <f>INDEX(YieldCurve!$B$4:$B$63,C65)</f>
        <v>3.8491350000000001E-2</v>
      </c>
      <c r="G65">
        <f>INDEX(YieldCurve!$B$4:$B$63,C65+1)</f>
        <v>3.8973830000000001E-2</v>
      </c>
      <c r="H65">
        <f t="shared" si="0"/>
        <v>0.33333333333333393</v>
      </c>
      <c r="I65">
        <f>IF(B65&lt;=INDEX(YieldCurve!$A$4:$A$63,1),INDEX(YieldCurve!$B$4:$B$63,1),IF(B65&gt;=INDEX(YieldCurve!$A$4:$A$63,ROWS(YieldCurve!$A$4:$A$63)),INDEX(YieldCurve!$B$4:$B$63,ROWS(YieldCurve!$B$4:$B$63)),F65+H65*(G65-F65)))</f>
        <v>3.865217666666667E-2</v>
      </c>
      <c r="J65">
        <f>EXP(-(I65+Inputs!$B$9)*B65)</f>
        <v>0.81897402365766281</v>
      </c>
    </row>
    <row r="66" spans="1:10" x14ac:dyDescent="0.35">
      <c r="A66">
        <v>63</v>
      </c>
      <c r="B66">
        <f>A66/Inputs!$B$6</f>
        <v>5.25</v>
      </c>
      <c r="C66">
        <f>IF(B66&lt;=INDEX(YieldCurve!$A$4:$A$63,1),1,IF(B66&gt;=INDEX(YieldCurve!$A$4:$A$63,ROWS(YieldCurve!$A$4:$A$63)),ROWS(YieldCurve!$A$4:$A$63)-1,MATCH(B66,YieldCurve!$A$4:$A$63,1)))</f>
        <v>10</v>
      </c>
      <c r="D66">
        <f>INDEX(YieldCurve!$A$4:$A$63,C66)</f>
        <v>5</v>
      </c>
      <c r="E66">
        <f>INDEX(YieldCurve!$A$4:$A$63,C66+1)</f>
        <v>5.5</v>
      </c>
      <c r="F66">
        <f>INDEX(YieldCurve!$B$4:$B$63,C66)</f>
        <v>3.8491350000000001E-2</v>
      </c>
      <c r="G66">
        <f>INDEX(YieldCurve!$B$4:$B$63,C66+1)</f>
        <v>3.8973830000000001E-2</v>
      </c>
      <c r="H66">
        <f t="shared" si="0"/>
        <v>0.5</v>
      </c>
      <c r="I66">
        <f>IF(B66&lt;=INDEX(YieldCurve!$A$4:$A$63,1),INDEX(YieldCurve!$B$4:$B$63,1),IF(B66&gt;=INDEX(YieldCurve!$A$4:$A$63,ROWS(YieldCurve!$A$4:$A$63)),INDEX(YieldCurve!$B$4:$B$63,ROWS(YieldCurve!$B$4:$B$63)),F66+H66*(G66-F66)))</f>
        <v>3.8732589999999997E-2</v>
      </c>
      <c r="J66">
        <f>EXP(-(I66+Inputs!$B$9)*B66)</f>
        <v>0.81599577844963256</v>
      </c>
    </row>
    <row r="67" spans="1:10" x14ac:dyDescent="0.35">
      <c r="A67">
        <v>64</v>
      </c>
      <c r="B67">
        <f>A67/Inputs!$B$6</f>
        <v>5.333333333333333</v>
      </c>
      <c r="C67">
        <f>IF(B67&lt;=INDEX(YieldCurve!$A$4:$A$63,1),1,IF(B67&gt;=INDEX(YieldCurve!$A$4:$A$63,ROWS(YieldCurve!$A$4:$A$63)),ROWS(YieldCurve!$A$4:$A$63)-1,MATCH(B67,YieldCurve!$A$4:$A$63,1)))</f>
        <v>10</v>
      </c>
      <c r="D67">
        <f>INDEX(YieldCurve!$A$4:$A$63,C67)</f>
        <v>5</v>
      </c>
      <c r="E67">
        <f>INDEX(YieldCurve!$A$4:$A$63,C67+1)</f>
        <v>5.5</v>
      </c>
      <c r="F67">
        <f>INDEX(YieldCurve!$B$4:$B$63,C67)</f>
        <v>3.8491350000000001E-2</v>
      </c>
      <c r="G67">
        <f>INDEX(YieldCurve!$B$4:$B$63,C67+1)</f>
        <v>3.8973830000000001E-2</v>
      </c>
      <c r="H67">
        <f t="shared" si="0"/>
        <v>0.66666666666666607</v>
      </c>
      <c r="I67">
        <f>IF(B67&lt;=INDEX(YieldCurve!$A$4:$A$63,1),INDEX(YieldCurve!$B$4:$B$63,1),IF(B67&gt;=INDEX(YieldCurve!$A$4:$A$63,ROWS(YieldCurve!$A$4:$A$63)),INDEX(YieldCurve!$B$4:$B$63,ROWS(YieldCurve!$B$4:$B$63)),F67+H67*(G67-F67)))</f>
        <v>3.8813003333333332E-2</v>
      </c>
      <c r="J67">
        <f>EXP(-(I67+Inputs!$B$9)*B67)</f>
        <v>0.81301746748441783</v>
      </c>
    </row>
    <row r="68" spans="1:10" x14ac:dyDescent="0.35">
      <c r="A68">
        <v>65</v>
      </c>
      <c r="B68">
        <f>A68/Inputs!$B$6</f>
        <v>5.416666666666667</v>
      </c>
      <c r="C68">
        <f>IF(B68&lt;=INDEX(YieldCurve!$A$4:$A$63,1),1,IF(B68&gt;=INDEX(YieldCurve!$A$4:$A$63,ROWS(YieldCurve!$A$4:$A$63)),ROWS(YieldCurve!$A$4:$A$63)-1,MATCH(B68,YieldCurve!$A$4:$A$63,1)))</f>
        <v>10</v>
      </c>
      <c r="D68">
        <f>INDEX(YieldCurve!$A$4:$A$63,C68)</f>
        <v>5</v>
      </c>
      <c r="E68">
        <f>INDEX(YieldCurve!$A$4:$A$63,C68+1)</f>
        <v>5.5</v>
      </c>
      <c r="F68">
        <f>INDEX(YieldCurve!$B$4:$B$63,C68)</f>
        <v>3.8491350000000001E-2</v>
      </c>
      <c r="G68">
        <f>INDEX(YieldCurve!$B$4:$B$63,C68+1)</f>
        <v>3.8973830000000001E-2</v>
      </c>
      <c r="H68">
        <f t="shared" ref="H68:H131" si="1">IF(E68=D68,0,(B68-D68)/(E68-D68))</f>
        <v>0.83333333333333393</v>
      </c>
      <c r="I68">
        <f>IF(B68&lt;=INDEX(YieldCurve!$A$4:$A$63,1),INDEX(YieldCurve!$B$4:$B$63,1),IF(B68&gt;=INDEX(YieldCurve!$A$4:$A$63,ROWS(YieldCurve!$A$4:$A$63)),INDEX(YieldCurve!$B$4:$B$63,ROWS(YieldCurve!$B$4:$B$63)),F68+H68*(G68-F68)))</f>
        <v>3.8893416666666666E-2</v>
      </c>
      <c r="J68">
        <f>EXP(-(I68+Inputs!$B$9)*B68)</f>
        <v>0.8100391706877732</v>
      </c>
    </row>
    <row r="69" spans="1:10" x14ac:dyDescent="0.35">
      <c r="A69">
        <v>66</v>
      </c>
      <c r="B69">
        <f>A69/Inputs!$B$6</f>
        <v>5.5</v>
      </c>
      <c r="C69">
        <f>IF(B69&lt;=INDEX(YieldCurve!$A$4:$A$63,1),1,IF(B69&gt;=INDEX(YieldCurve!$A$4:$A$63,ROWS(YieldCurve!$A$4:$A$63)),ROWS(YieldCurve!$A$4:$A$63)-1,MATCH(B69,YieldCurve!$A$4:$A$63,1)))</f>
        <v>11</v>
      </c>
      <c r="D69">
        <f>INDEX(YieldCurve!$A$4:$A$63,C69)</f>
        <v>5.5</v>
      </c>
      <c r="E69">
        <f>INDEX(YieldCurve!$A$4:$A$63,C69+1)</f>
        <v>6</v>
      </c>
      <c r="F69">
        <f>INDEX(YieldCurve!$B$4:$B$63,C69)</f>
        <v>3.8973830000000001E-2</v>
      </c>
      <c r="G69">
        <f>INDEX(YieldCurve!$B$4:$B$63,C69+1)</f>
        <v>3.9459380000000002E-2</v>
      </c>
      <c r="H69">
        <f t="shared" si="1"/>
        <v>0</v>
      </c>
      <c r="I69">
        <f>IF(B69&lt;=INDEX(YieldCurve!$A$4:$A$63,1),INDEX(YieldCurve!$B$4:$B$63,1),IF(B69&gt;=INDEX(YieldCurve!$A$4:$A$63,ROWS(YieldCurve!$A$4:$A$63)),INDEX(YieldCurve!$B$4:$B$63,ROWS(YieldCurve!$B$4:$B$63)),F69+H69*(G69-F69)))</f>
        <v>3.8973830000000001E-2</v>
      </c>
      <c r="J69">
        <f>EXP(-(I69+Inputs!$B$9)*B69)</f>
        <v>0.8070609676926308</v>
      </c>
    </row>
    <row r="70" spans="1:10" x14ac:dyDescent="0.35">
      <c r="A70">
        <v>67</v>
      </c>
      <c r="B70">
        <f>A70/Inputs!$B$6</f>
        <v>5.583333333333333</v>
      </c>
      <c r="C70">
        <f>IF(B70&lt;=INDEX(YieldCurve!$A$4:$A$63,1),1,IF(B70&gt;=INDEX(YieldCurve!$A$4:$A$63,ROWS(YieldCurve!$A$4:$A$63)),ROWS(YieldCurve!$A$4:$A$63)-1,MATCH(B70,YieldCurve!$A$4:$A$63,1)))</f>
        <v>11</v>
      </c>
      <c r="D70">
        <f>INDEX(YieldCurve!$A$4:$A$63,C70)</f>
        <v>5.5</v>
      </c>
      <c r="E70">
        <f>INDEX(YieldCurve!$A$4:$A$63,C70+1)</f>
        <v>6</v>
      </c>
      <c r="F70">
        <f>INDEX(YieldCurve!$B$4:$B$63,C70)</f>
        <v>3.8973830000000001E-2</v>
      </c>
      <c r="G70">
        <f>INDEX(YieldCurve!$B$4:$B$63,C70+1)</f>
        <v>3.9459380000000002E-2</v>
      </c>
      <c r="H70">
        <f t="shared" si="1"/>
        <v>0.16666666666666607</v>
      </c>
      <c r="I70">
        <f>IF(B70&lt;=INDEX(YieldCurve!$A$4:$A$63,1),INDEX(YieldCurve!$B$4:$B$63,1),IF(B70&gt;=INDEX(YieldCurve!$A$4:$A$63,ROWS(YieldCurve!$A$4:$A$63)),INDEX(YieldCurve!$B$4:$B$63,ROWS(YieldCurve!$B$4:$B$63)),F70+H70*(G70-F70)))</f>
        <v>3.9054755000000003E-2</v>
      </c>
      <c r="J70">
        <f>EXP(-(I70+Inputs!$B$9)*B70)</f>
        <v>0.80408064073058794</v>
      </c>
    </row>
    <row r="71" spans="1:10" x14ac:dyDescent="0.35">
      <c r="A71">
        <v>68</v>
      </c>
      <c r="B71">
        <f>A71/Inputs!$B$6</f>
        <v>5.666666666666667</v>
      </c>
      <c r="C71">
        <f>IF(B71&lt;=INDEX(YieldCurve!$A$4:$A$63,1),1,IF(B71&gt;=INDEX(YieldCurve!$A$4:$A$63,ROWS(YieldCurve!$A$4:$A$63)),ROWS(YieldCurve!$A$4:$A$63)-1,MATCH(B71,YieldCurve!$A$4:$A$63,1)))</f>
        <v>11</v>
      </c>
      <c r="D71">
        <f>INDEX(YieldCurve!$A$4:$A$63,C71)</f>
        <v>5.5</v>
      </c>
      <c r="E71">
        <f>INDEX(YieldCurve!$A$4:$A$63,C71+1)</f>
        <v>6</v>
      </c>
      <c r="F71">
        <f>INDEX(YieldCurve!$B$4:$B$63,C71)</f>
        <v>3.8973830000000001E-2</v>
      </c>
      <c r="G71">
        <f>INDEX(YieldCurve!$B$4:$B$63,C71+1)</f>
        <v>3.9459380000000002E-2</v>
      </c>
      <c r="H71">
        <f t="shared" si="1"/>
        <v>0.33333333333333393</v>
      </c>
      <c r="I71">
        <f>IF(B71&lt;=INDEX(YieldCurve!$A$4:$A$63,1),INDEX(YieldCurve!$B$4:$B$63,1),IF(B71&gt;=INDEX(YieldCurve!$A$4:$A$63,ROWS(YieldCurve!$A$4:$A$63)),INDEX(YieldCurve!$B$4:$B$63,ROWS(YieldCurve!$B$4:$B$63)),F71+H71*(G71-F71)))</f>
        <v>3.9135679999999999E-2</v>
      </c>
      <c r="J71">
        <f>EXP(-(I71+Inputs!$B$9)*B71)</f>
        <v>0.80110051464902188</v>
      </c>
    </row>
    <row r="72" spans="1:10" x14ac:dyDescent="0.35">
      <c r="A72">
        <v>69</v>
      </c>
      <c r="B72">
        <f>A72/Inputs!$B$6</f>
        <v>5.75</v>
      </c>
      <c r="C72">
        <f>IF(B72&lt;=INDEX(YieldCurve!$A$4:$A$63,1),1,IF(B72&gt;=INDEX(YieldCurve!$A$4:$A$63,ROWS(YieldCurve!$A$4:$A$63)),ROWS(YieldCurve!$A$4:$A$63)-1,MATCH(B72,YieldCurve!$A$4:$A$63,1)))</f>
        <v>11</v>
      </c>
      <c r="D72">
        <f>INDEX(YieldCurve!$A$4:$A$63,C72)</f>
        <v>5.5</v>
      </c>
      <c r="E72">
        <f>INDEX(YieldCurve!$A$4:$A$63,C72+1)</f>
        <v>6</v>
      </c>
      <c r="F72">
        <f>INDEX(YieldCurve!$B$4:$B$63,C72)</f>
        <v>3.8973830000000001E-2</v>
      </c>
      <c r="G72">
        <f>INDEX(YieldCurve!$B$4:$B$63,C72+1)</f>
        <v>3.9459380000000002E-2</v>
      </c>
      <c r="H72">
        <f t="shared" si="1"/>
        <v>0.5</v>
      </c>
      <c r="I72">
        <f>IF(B72&lt;=INDEX(YieldCurve!$A$4:$A$63,1),INDEX(YieldCurve!$B$4:$B$63,1),IF(B72&gt;=INDEX(YieldCurve!$A$4:$A$63,ROWS(YieldCurve!$A$4:$A$63)),INDEX(YieldCurve!$B$4:$B$63,ROWS(YieldCurve!$B$4:$B$63)),F72+H72*(G72-F72)))</f>
        <v>3.9216605000000002E-2</v>
      </c>
      <c r="J72">
        <f>EXP(-(I72+Inputs!$B$9)*B72)</f>
        <v>0.79812066894280798</v>
      </c>
    </row>
    <row r="73" spans="1:10" x14ac:dyDescent="0.35">
      <c r="A73">
        <v>70</v>
      </c>
      <c r="B73">
        <f>A73/Inputs!$B$6</f>
        <v>5.833333333333333</v>
      </c>
      <c r="C73">
        <f>IF(B73&lt;=INDEX(YieldCurve!$A$4:$A$63,1),1,IF(B73&gt;=INDEX(YieldCurve!$A$4:$A$63,ROWS(YieldCurve!$A$4:$A$63)),ROWS(YieldCurve!$A$4:$A$63)-1,MATCH(B73,YieldCurve!$A$4:$A$63,1)))</f>
        <v>11</v>
      </c>
      <c r="D73">
        <f>INDEX(YieldCurve!$A$4:$A$63,C73)</f>
        <v>5.5</v>
      </c>
      <c r="E73">
        <f>INDEX(YieldCurve!$A$4:$A$63,C73+1)</f>
        <v>6</v>
      </c>
      <c r="F73">
        <f>INDEX(YieldCurve!$B$4:$B$63,C73)</f>
        <v>3.8973830000000001E-2</v>
      </c>
      <c r="G73">
        <f>INDEX(YieldCurve!$B$4:$B$63,C73+1)</f>
        <v>3.9459380000000002E-2</v>
      </c>
      <c r="H73">
        <f t="shared" si="1"/>
        <v>0.66666666666666607</v>
      </c>
      <c r="I73">
        <f>IF(B73&lt;=INDEX(YieldCurve!$A$4:$A$63,1),INDEX(YieldCurve!$B$4:$B$63,1),IF(B73&gt;=INDEX(YieldCurve!$A$4:$A$63,ROWS(YieldCurve!$A$4:$A$63)),INDEX(YieldCurve!$B$4:$B$63,ROWS(YieldCurve!$B$4:$B$63)),F73+H73*(G73-F73)))</f>
        <v>3.9297530000000004E-2</v>
      </c>
      <c r="J73">
        <f>EXP(-(I73+Inputs!$B$9)*B73)</f>
        <v>0.79514118280033685</v>
      </c>
    </row>
    <row r="74" spans="1:10" x14ac:dyDescent="0.35">
      <c r="A74">
        <v>71</v>
      </c>
      <c r="B74">
        <f>A74/Inputs!$B$6</f>
        <v>5.916666666666667</v>
      </c>
      <c r="C74">
        <f>IF(B74&lt;=INDEX(YieldCurve!$A$4:$A$63,1),1,IF(B74&gt;=INDEX(YieldCurve!$A$4:$A$63,ROWS(YieldCurve!$A$4:$A$63)),ROWS(YieldCurve!$A$4:$A$63)-1,MATCH(B74,YieldCurve!$A$4:$A$63,1)))</f>
        <v>11</v>
      </c>
      <c r="D74">
        <f>INDEX(YieldCurve!$A$4:$A$63,C74)</f>
        <v>5.5</v>
      </c>
      <c r="E74">
        <f>INDEX(YieldCurve!$A$4:$A$63,C74+1)</f>
        <v>6</v>
      </c>
      <c r="F74">
        <f>INDEX(YieldCurve!$B$4:$B$63,C74)</f>
        <v>3.8973830000000001E-2</v>
      </c>
      <c r="G74">
        <f>INDEX(YieldCurve!$B$4:$B$63,C74+1)</f>
        <v>3.9459380000000002E-2</v>
      </c>
      <c r="H74">
        <f t="shared" si="1"/>
        <v>0.83333333333333393</v>
      </c>
      <c r="I74">
        <f>IF(B74&lt;=INDEX(YieldCurve!$A$4:$A$63,1),INDEX(YieldCurve!$B$4:$B$63,1),IF(B74&gt;=INDEX(YieldCurve!$A$4:$A$63,ROWS(YieldCurve!$A$4:$A$63)),INDEX(YieldCurve!$B$4:$B$63,ROWS(YieldCurve!$B$4:$B$63)),F74+H74*(G74-F74)))</f>
        <v>3.9378455E-2</v>
      </c>
      <c r="J74">
        <f>EXP(-(I74+Inputs!$B$9)*B74)</f>
        <v>0.79216213510039013</v>
      </c>
    </row>
    <row r="75" spans="1:10" x14ac:dyDescent="0.35">
      <c r="A75">
        <v>72</v>
      </c>
      <c r="B75">
        <f>A75/Inputs!$B$6</f>
        <v>6</v>
      </c>
      <c r="C75">
        <f>IF(B75&lt;=INDEX(YieldCurve!$A$4:$A$63,1),1,IF(B75&gt;=INDEX(YieldCurve!$A$4:$A$63,ROWS(YieldCurve!$A$4:$A$63)),ROWS(YieldCurve!$A$4:$A$63)-1,MATCH(B75,YieldCurve!$A$4:$A$63,1)))</f>
        <v>12</v>
      </c>
      <c r="D75">
        <f>INDEX(YieldCurve!$A$4:$A$63,C75)</f>
        <v>6</v>
      </c>
      <c r="E75">
        <f>INDEX(YieldCurve!$A$4:$A$63,C75+1)</f>
        <v>6.5</v>
      </c>
      <c r="F75">
        <f>INDEX(YieldCurve!$B$4:$B$63,C75)</f>
        <v>3.9459380000000002E-2</v>
      </c>
      <c r="G75">
        <f>INDEX(YieldCurve!$B$4:$B$63,C75+1)</f>
        <v>3.9948450000000003E-2</v>
      </c>
      <c r="H75">
        <f t="shared" si="1"/>
        <v>0</v>
      </c>
      <c r="I75">
        <f>IF(B75&lt;=INDEX(YieldCurve!$A$4:$A$63,1),INDEX(YieldCurve!$B$4:$B$63,1),IF(B75&gt;=INDEX(YieldCurve!$A$4:$A$63,ROWS(YieldCurve!$A$4:$A$63)),INDEX(YieldCurve!$B$4:$B$63,ROWS(YieldCurve!$B$4:$B$63)),F75+H75*(G75-F75)))</f>
        <v>3.9459380000000002E-2</v>
      </c>
      <c r="J75">
        <f>EXP(-(I75+Inputs!$B$9)*B75)</f>
        <v>0.78918360440904889</v>
      </c>
    </row>
    <row r="76" spans="1:10" x14ac:dyDescent="0.35">
      <c r="A76">
        <v>73</v>
      </c>
      <c r="B76">
        <f>A76/Inputs!$B$6</f>
        <v>6.083333333333333</v>
      </c>
      <c r="C76">
        <f>IF(B76&lt;=INDEX(YieldCurve!$A$4:$A$63,1),1,IF(B76&gt;=INDEX(YieldCurve!$A$4:$A$63,ROWS(YieldCurve!$A$4:$A$63)),ROWS(YieldCurve!$A$4:$A$63)-1,MATCH(B76,YieldCurve!$A$4:$A$63,1)))</f>
        <v>12</v>
      </c>
      <c r="D76">
        <f>INDEX(YieldCurve!$A$4:$A$63,C76)</f>
        <v>6</v>
      </c>
      <c r="E76">
        <f>INDEX(YieldCurve!$A$4:$A$63,C76+1)</f>
        <v>6.5</v>
      </c>
      <c r="F76">
        <f>INDEX(YieldCurve!$B$4:$B$63,C76)</f>
        <v>3.9459380000000002E-2</v>
      </c>
      <c r="G76">
        <f>INDEX(YieldCurve!$B$4:$B$63,C76+1)</f>
        <v>3.9948450000000003E-2</v>
      </c>
      <c r="H76">
        <f t="shared" si="1"/>
        <v>0.16666666666666607</v>
      </c>
      <c r="I76">
        <f>IF(B76&lt;=INDEX(YieldCurve!$A$4:$A$63,1),INDEX(YieldCurve!$B$4:$B$63,1),IF(B76&gt;=INDEX(YieldCurve!$A$4:$A$63,ROWS(YieldCurve!$A$4:$A$63)),INDEX(YieldCurve!$B$4:$B$63,ROWS(YieldCurve!$B$4:$B$63)),F76+H76*(G76-F76)))</f>
        <v>3.9540891666666668E-2</v>
      </c>
      <c r="J76">
        <f>EXP(-(I76+Inputs!$B$9)*B76)</f>
        <v>0.78620286310096477</v>
      </c>
    </row>
    <row r="77" spans="1:10" x14ac:dyDescent="0.35">
      <c r="A77">
        <v>74</v>
      </c>
      <c r="B77">
        <f>A77/Inputs!$B$6</f>
        <v>6.166666666666667</v>
      </c>
      <c r="C77">
        <f>IF(B77&lt;=INDEX(YieldCurve!$A$4:$A$63,1),1,IF(B77&gt;=INDEX(YieldCurve!$A$4:$A$63,ROWS(YieldCurve!$A$4:$A$63)),ROWS(YieldCurve!$A$4:$A$63)-1,MATCH(B77,YieldCurve!$A$4:$A$63,1)))</f>
        <v>12</v>
      </c>
      <c r="D77">
        <f>INDEX(YieldCurve!$A$4:$A$63,C77)</f>
        <v>6</v>
      </c>
      <c r="E77">
        <f>INDEX(YieldCurve!$A$4:$A$63,C77+1)</f>
        <v>6.5</v>
      </c>
      <c r="F77">
        <f>INDEX(YieldCurve!$B$4:$B$63,C77)</f>
        <v>3.9459380000000002E-2</v>
      </c>
      <c r="G77">
        <f>INDEX(YieldCurve!$B$4:$B$63,C77+1)</f>
        <v>3.9948450000000003E-2</v>
      </c>
      <c r="H77">
        <f t="shared" si="1"/>
        <v>0.33333333333333393</v>
      </c>
      <c r="I77">
        <f>IF(B77&lt;=INDEX(YieldCurve!$A$4:$A$63,1),INDEX(YieldCurve!$B$4:$B$63,1),IF(B77&gt;=INDEX(YieldCurve!$A$4:$A$63,ROWS(YieldCurve!$A$4:$A$63)),INDEX(YieldCurve!$B$4:$B$63,ROWS(YieldCurve!$B$4:$B$63)),F77+H77*(G77-F77)))</f>
        <v>3.9622403333333334E-2</v>
      </c>
      <c r="J77">
        <f>EXP(-(I77+Inputs!$B$9)*B77)</f>
        <v>0.78322273966253397</v>
      </c>
    </row>
    <row r="78" spans="1:10" x14ac:dyDescent="0.35">
      <c r="A78">
        <v>75</v>
      </c>
      <c r="B78">
        <f>A78/Inputs!$B$6</f>
        <v>6.25</v>
      </c>
      <c r="C78">
        <f>IF(B78&lt;=INDEX(YieldCurve!$A$4:$A$63,1),1,IF(B78&gt;=INDEX(YieldCurve!$A$4:$A$63,ROWS(YieldCurve!$A$4:$A$63)),ROWS(YieldCurve!$A$4:$A$63)-1,MATCH(B78,YieldCurve!$A$4:$A$63,1)))</f>
        <v>12</v>
      </c>
      <c r="D78">
        <f>INDEX(YieldCurve!$A$4:$A$63,C78)</f>
        <v>6</v>
      </c>
      <c r="E78">
        <f>INDEX(YieldCurve!$A$4:$A$63,C78+1)</f>
        <v>6.5</v>
      </c>
      <c r="F78">
        <f>INDEX(YieldCurve!$B$4:$B$63,C78)</f>
        <v>3.9459380000000002E-2</v>
      </c>
      <c r="G78">
        <f>INDEX(YieldCurve!$B$4:$B$63,C78+1)</f>
        <v>3.9948450000000003E-2</v>
      </c>
      <c r="H78">
        <f t="shared" si="1"/>
        <v>0.5</v>
      </c>
      <c r="I78">
        <f>IF(B78&lt;=INDEX(YieldCurve!$A$4:$A$63,1),INDEX(YieldCurve!$B$4:$B$63,1),IF(B78&gt;=INDEX(YieldCurve!$A$4:$A$63,ROWS(YieldCurve!$A$4:$A$63)),INDEX(YieldCurve!$B$4:$B$63,ROWS(YieldCurve!$B$4:$B$63)),F78+H78*(G78-F78)))</f>
        <v>3.9703915000000006E-2</v>
      </c>
      <c r="J78">
        <f>EXP(-(I78+Inputs!$B$9)*B78)</f>
        <v>0.78024331256930268</v>
      </c>
    </row>
    <row r="79" spans="1:10" x14ac:dyDescent="0.35">
      <c r="A79">
        <v>76</v>
      </c>
      <c r="B79">
        <f>A79/Inputs!$B$6</f>
        <v>6.333333333333333</v>
      </c>
      <c r="C79">
        <f>IF(B79&lt;=INDEX(YieldCurve!$A$4:$A$63,1),1,IF(B79&gt;=INDEX(YieldCurve!$A$4:$A$63,ROWS(YieldCurve!$A$4:$A$63)),ROWS(YieldCurve!$A$4:$A$63)-1,MATCH(B79,YieldCurve!$A$4:$A$63,1)))</f>
        <v>12</v>
      </c>
      <c r="D79">
        <f>INDEX(YieldCurve!$A$4:$A$63,C79)</f>
        <v>6</v>
      </c>
      <c r="E79">
        <f>INDEX(YieldCurve!$A$4:$A$63,C79+1)</f>
        <v>6.5</v>
      </c>
      <c r="F79">
        <f>INDEX(YieldCurve!$B$4:$B$63,C79)</f>
        <v>3.9459380000000002E-2</v>
      </c>
      <c r="G79">
        <f>INDEX(YieldCurve!$B$4:$B$63,C79+1)</f>
        <v>3.9948450000000003E-2</v>
      </c>
      <c r="H79">
        <f t="shared" si="1"/>
        <v>0.66666666666666607</v>
      </c>
      <c r="I79">
        <f>IF(B79&lt;=INDEX(YieldCurve!$A$4:$A$63,1),INDEX(YieldCurve!$B$4:$B$63,1),IF(B79&gt;=INDEX(YieldCurve!$A$4:$A$63,ROWS(YieldCurve!$A$4:$A$63)),INDEX(YieldCurve!$B$4:$B$63,ROWS(YieldCurve!$B$4:$B$63)),F79+H79*(G79-F79)))</f>
        <v>3.9785426666666672E-2</v>
      </c>
      <c r="J79">
        <f>EXP(-(I79+Inputs!$B$9)*B79)</f>
        <v>0.77726465997049721</v>
      </c>
    </row>
    <row r="80" spans="1:10" x14ac:dyDescent="0.35">
      <c r="A80">
        <v>77</v>
      </c>
      <c r="B80">
        <f>A80/Inputs!$B$6</f>
        <v>6.416666666666667</v>
      </c>
      <c r="C80">
        <f>IF(B80&lt;=INDEX(YieldCurve!$A$4:$A$63,1),1,IF(B80&gt;=INDEX(YieldCurve!$A$4:$A$63,ROWS(YieldCurve!$A$4:$A$63)),ROWS(YieldCurve!$A$4:$A$63)-1,MATCH(B80,YieldCurve!$A$4:$A$63,1)))</f>
        <v>12</v>
      </c>
      <c r="D80">
        <f>INDEX(YieldCurve!$A$4:$A$63,C80)</f>
        <v>6</v>
      </c>
      <c r="E80">
        <f>INDEX(YieldCurve!$A$4:$A$63,C80+1)</f>
        <v>6.5</v>
      </c>
      <c r="F80">
        <f>INDEX(YieldCurve!$B$4:$B$63,C80)</f>
        <v>3.9459380000000002E-2</v>
      </c>
      <c r="G80">
        <f>INDEX(YieldCurve!$B$4:$B$63,C80+1)</f>
        <v>3.9948450000000003E-2</v>
      </c>
      <c r="H80">
        <f t="shared" si="1"/>
        <v>0.83333333333333393</v>
      </c>
      <c r="I80">
        <f>IF(B80&lt;=INDEX(YieldCurve!$A$4:$A$63,1),INDEX(YieldCurve!$B$4:$B$63,1),IF(B80&gt;=INDEX(YieldCurve!$A$4:$A$63,ROWS(YieldCurve!$A$4:$A$63)),INDEX(YieldCurve!$B$4:$B$63,ROWS(YieldCurve!$B$4:$B$63)),F80+H80*(G80-F80)))</f>
        <v>3.9866938333333338E-2</v>
      </c>
      <c r="J80">
        <f>EXP(-(I80+Inputs!$B$9)*B80)</f>
        <v>0.77428685968602706</v>
      </c>
    </row>
    <row r="81" spans="1:10" x14ac:dyDescent="0.35">
      <c r="A81">
        <v>78</v>
      </c>
      <c r="B81">
        <f>A81/Inputs!$B$6</f>
        <v>6.5</v>
      </c>
      <c r="C81">
        <f>IF(B81&lt;=INDEX(YieldCurve!$A$4:$A$63,1),1,IF(B81&gt;=INDEX(YieldCurve!$A$4:$A$63,ROWS(YieldCurve!$A$4:$A$63)),ROWS(YieldCurve!$A$4:$A$63)-1,MATCH(B81,YieldCurve!$A$4:$A$63,1)))</f>
        <v>13</v>
      </c>
      <c r="D81">
        <f>INDEX(YieldCurve!$A$4:$A$63,C81)</f>
        <v>6.5</v>
      </c>
      <c r="E81">
        <f>INDEX(YieldCurve!$A$4:$A$63,C81+1)</f>
        <v>7</v>
      </c>
      <c r="F81">
        <f>INDEX(YieldCurve!$B$4:$B$63,C81)</f>
        <v>3.9948450000000003E-2</v>
      </c>
      <c r="G81">
        <f>INDEX(YieldCurve!$B$4:$B$63,C81+1)</f>
        <v>4.044147E-2</v>
      </c>
      <c r="H81">
        <f t="shared" si="1"/>
        <v>0</v>
      </c>
      <c r="I81">
        <f>IF(B81&lt;=INDEX(YieldCurve!$A$4:$A$63,1),INDEX(YieldCurve!$B$4:$B$63,1),IF(B81&gt;=INDEX(YieldCurve!$A$4:$A$63,ROWS(YieldCurve!$A$4:$A$63)),INDEX(YieldCurve!$B$4:$B$63,ROWS(YieldCurve!$B$4:$B$63)),F81+H81*(G81-F81)))</f>
        <v>3.9948450000000003E-2</v>
      </c>
      <c r="J81">
        <f>EXP(-(I81+Inputs!$B$9)*B81)</f>
        <v>0.77130998920352134</v>
      </c>
    </row>
    <row r="82" spans="1:10" x14ac:dyDescent="0.35">
      <c r="A82">
        <v>79</v>
      </c>
      <c r="B82">
        <f>A82/Inputs!$B$6</f>
        <v>6.583333333333333</v>
      </c>
      <c r="C82">
        <f>IF(B82&lt;=INDEX(YieldCurve!$A$4:$A$63,1),1,IF(B82&gt;=INDEX(YieldCurve!$A$4:$A$63,ROWS(YieldCurve!$A$4:$A$63)),ROWS(YieldCurve!$A$4:$A$63)-1,MATCH(B82,YieldCurve!$A$4:$A$63,1)))</f>
        <v>13</v>
      </c>
      <c r="D82">
        <f>INDEX(YieldCurve!$A$4:$A$63,C82)</f>
        <v>6.5</v>
      </c>
      <c r="E82">
        <f>INDEX(YieldCurve!$A$4:$A$63,C82+1)</f>
        <v>7</v>
      </c>
      <c r="F82">
        <f>INDEX(YieldCurve!$B$4:$B$63,C82)</f>
        <v>3.9948450000000003E-2</v>
      </c>
      <c r="G82">
        <f>INDEX(YieldCurve!$B$4:$B$63,C82+1)</f>
        <v>4.044147E-2</v>
      </c>
      <c r="H82">
        <f t="shared" si="1"/>
        <v>0.16666666666666607</v>
      </c>
      <c r="I82">
        <f>IF(B82&lt;=INDEX(YieldCurve!$A$4:$A$63,1),INDEX(YieldCurve!$B$4:$B$63,1),IF(B82&gt;=INDEX(YieldCurve!$A$4:$A$63,ROWS(YieldCurve!$A$4:$A$63)),INDEX(YieldCurve!$B$4:$B$63,ROWS(YieldCurve!$B$4:$B$63)),F82+H82*(G82-F82)))</f>
        <v>4.0030620000000003E-2</v>
      </c>
      <c r="J82">
        <f>EXP(-(I82+Inputs!$B$9)*B82)</f>
        <v>0.76833079570117147</v>
      </c>
    </row>
    <row r="83" spans="1:10" x14ac:dyDescent="0.35">
      <c r="A83">
        <v>80</v>
      </c>
      <c r="B83">
        <f>A83/Inputs!$B$6</f>
        <v>6.666666666666667</v>
      </c>
      <c r="C83">
        <f>IF(B83&lt;=INDEX(YieldCurve!$A$4:$A$63,1),1,IF(B83&gt;=INDEX(YieldCurve!$A$4:$A$63,ROWS(YieldCurve!$A$4:$A$63)),ROWS(YieldCurve!$A$4:$A$63)-1,MATCH(B83,YieldCurve!$A$4:$A$63,1)))</f>
        <v>13</v>
      </c>
      <c r="D83">
        <f>INDEX(YieldCurve!$A$4:$A$63,C83)</f>
        <v>6.5</v>
      </c>
      <c r="E83">
        <f>INDEX(YieldCurve!$A$4:$A$63,C83+1)</f>
        <v>7</v>
      </c>
      <c r="F83">
        <f>INDEX(YieldCurve!$B$4:$B$63,C83)</f>
        <v>3.9948450000000003E-2</v>
      </c>
      <c r="G83">
        <f>INDEX(YieldCurve!$B$4:$B$63,C83+1)</f>
        <v>4.044147E-2</v>
      </c>
      <c r="H83">
        <f t="shared" si="1"/>
        <v>0.33333333333333393</v>
      </c>
      <c r="I83">
        <f>IF(B83&lt;=INDEX(YieldCurve!$A$4:$A$63,1),INDEX(YieldCurve!$B$4:$B$63,1),IF(B83&gt;=INDEX(YieldCurve!$A$4:$A$63,ROWS(YieldCurve!$A$4:$A$63)),INDEX(YieldCurve!$B$4:$B$63,ROWS(YieldCurve!$B$4:$B$63)),F83+H83*(G83-F83)))</f>
        <v>4.0112790000000002E-2</v>
      </c>
      <c r="J83">
        <f>EXP(-(I83+Inputs!$B$9)*B83)</f>
        <v>0.76535262779119873</v>
      </c>
    </row>
    <row r="84" spans="1:10" x14ac:dyDescent="0.35">
      <c r="A84">
        <v>81</v>
      </c>
      <c r="B84">
        <f>A84/Inputs!$B$6</f>
        <v>6.75</v>
      </c>
      <c r="C84">
        <f>IF(B84&lt;=INDEX(YieldCurve!$A$4:$A$63,1),1,IF(B84&gt;=INDEX(YieldCurve!$A$4:$A$63,ROWS(YieldCurve!$A$4:$A$63)),ROWS(YieldCurve!$A$4:$A$63)-1,MATCH(B84,YieldCurve!$A$4:$A$63,1)))</f>
        <v>13</v>
      </c>
      <c r="D84">
        <f>INDEX(YieldCurve!$A$4:$A$63,C84)</f>
        <v>6.5</v>
      </c>
      <c r="E84">
        <f>INDEX(YieldCurve!$A$4:$A$63,C84+1)</f>
        <v>7</v>
      </c>
      <c r="F84">
        <f>INDEX(YieldCurve!$B$4:$B$63,C84)</f>
        <v>3.9948450000000003E-2</v>
      </c>
      <c r="G84">
        <f>INDEX(YieldCurve!$B$4:$B$63,C84+1)</f>
        <v>4.044147E-2</v>
      </c>
      <c r="H84">
        <f t="shared" si="1"/>
        <v>0.5</v>
      </c>
      <c r="I84">
        <f>IF(B84&lt;=INDEX(YieldCurve!$A$4:$A$63,1),INDEX(YieldCurve!$B$4:$B$63,1),IF(B84&gt;=INDEX(YieldCurve!$A$4:$A$63,ROWS(YieldCurve!$A$4:$A$63)),INDEX(YieldCurve!$B$4:$B$63,ROWS(YieldCurve!$B$4:$B$63)),F84+H84*(G84-F84)))</f>
        <v>4.0194960000000002E-2</v>
      </c>
      <c r="J84">
        <f>EXP(-(I84+Inputs!$B$9)*B84)</f>
        <v>0.76237556291161857</v>
      </c>
    </row>
    <row r="85" spans="1:10" x14ac:dyDescent="0.35">
      <c r="A85">
        <v>82</v>
      </c>
      <c r="B85">
        <f>A85/Inputs!$B$6</f>
        <v>6.833333333333333</v>
      </c>
      <c r="C85">
        <f>IF(B85&lt;=INDEX(YieldCurve!$A$4:$A$63,1),1,IF(B85&gt;=INDEX(YieldCurve!$A$4:$A$63,ROWS(YieldCurve!$A$4:$A$63)),ROWS(YieldCurve!$A$4:$A$63)-1,MATCH(B85,YieldCurve!$A$4:$A$63,1)))</f>
        <v>13</v>
      </c>
      <c r="D85">
        <f>INDEX(YieldCurve!$A$4:$A$63,C85)</f>
        <v>6.5</v>
      </c>
      <c r="E85">
        <f>INDEX(YieldCurve!$A$4:$A$63,C85+1)</f>
        <v>7</v>
      </c>
      <c r="F85">
        <f>INDEX(YieldCurve!$B$4:$B$63,C85)</f>
        <v>3.9948450000000003E-2</v>
      </c>
      <c r="G85">
        <f>INDEX(YieldCurve!$B$4:$B$63,C85+1)</f>
        <v>4.044147E-2</v>
      </c>
      <c r="H85">
        <f t="shared" si="1"/>
        <v>0.66666666666666607</v>
      </c>
      <c r="I85">
        <f>IF(B85&lt;=INDEX(YieldCurve!$A$4:$A$63,1),INDEX(YieldCurve!$B$4:$B$63,1),IF(B85&gt;=INDEX(YieldCurve!$A$4:$A$63,ROWS(YieldCurve!$A$4:$A$63)),INDEX(YieldCurve!$B$4:$B$63,ROWS(YieldCurve!$B$4:$B$63)),F85+H85*(G85-F85)))</f>
        <v>4.0277130000000001E-2</v>
      </c>
      <c r="J85">
        <f>EXP(-(I85+Inputs!$B$9)*B85)</f>
        <v>0.75939967815452825</v>
      </c>
    </row>
    <row r="86" spans="1:10" x14ac:dyDescent="0.35">
      <c r="A86">
        <v>83</v>
      </c>
      <c r="B86">
        <f>A86/Inputs!$B$6</f>
        <v>6.916666666666667</v>
      </c>
      <c r="C86">
        <f>IF(B86&lt;=INDEX(YieldCurve!$A$4:$A$63,1),1,IF(B86&gt;=INDEX(YieldCurve!$A$4:$A$63,ROWS(YieldCurve!$A$4:$A$63)),ROWS(YieldCurve!$A$4:$A$63)-1,MATCH(B86,YieldCurve!$A$4:$A$63,1)))</f>
        <v>13</v>
      </c>
      <c r="D86">
        <f>INDEX(YieldCurve!$A$4:$A$63,C86)</f>
        <v>6.5</v>
      </c>
      <c r="E86">
        <f>INDEX(YieldCurve!$A$4:$A$63,C86+1)</f>
        <v>7</v>
      </c>
      <c r="F86">
        <f>INDEX(YieldCurve!$B$4:$B$63,C86)</f>
        <v>3.9948450000000003E-2</v>
      </c>
      <c r="G86">
        <f>INDEX(YieldCurve!$B$4:$B$63,C86+1)</f>
        <v>4.044147E-2</v>
      </c>
      <c r="H86">
        <f t="shared" si="1"/>
        <v>0.83333333333333393</v>
      </c>
      <c r="I86">
        <f>IF(B86&lt;=INDEX(YieldCurve!$A$4:$A$63,1),INDEX(YieldCurve!$B$4:$B$63,1),IF(B86&gt;=INDEX(YieldCurve!$A$4:$A$63,ROWS(YieldCurve!$A$4:$A$63)),INDEX(YieldCurve!$B$4:$B$63,ROWS(YieldCurve!$B$4:$B$63)),F86+H86*(G86-F86)))</f>
        <v>4.0359300000000001E-2</v>
      </c>
      <c r="J86">
        <f>EXP(-(I86+Inputs!$B$9)*B86)</f>
        <v>0.75642505026323703</v>
      </c>
    </row>
    <row r="87" spans="1:10" x14ac:dyDescent="0.35">
      <c r="A87">
        <v>84</v>
      </c>
      <c r="B87">
        <f>A87/Inputs!$B$6</f>
        <v>7</v>
      </c>
      <c r="C87">
        <f>IF(B87&lt;=INDEX(YieldCurve!$A$4:$A$63,1),1,IF(B87&gt;=INDEX(YieldCurve!$A$4:$A$63,ROWS(YieldCurve!$A$4:$A$63)),ROWS(YieldCurve!$A$4:$A$63)-1,MATCH(B87,YieldCurve!$A$4:$A$63,1)))</f>
        <v>14</v>
      </c>
      <c r="D87">
        <f>INDEX(YieldCurve!$A$4:$A$63,C87)</f>
        <v>7</v>
      </c>
      <c r="E87">
        <f>INDEX(YieldCurve!$A$4:$A$63,C87+1)</f>
        <v>7.5</v>
      </c>
      <c r="F87">
        <f>INDEX(YieldCurve!$B$4:$B$63,C87)</f>
        <v>4.044147E-2</v>
      </c>
      <c r="G87">
        <f>INDEX(YieldCurve!$B$4:$B$63,C87+1)</f>
        <v>4.0786360000000001E-2</v>
      </c>
      <c r="H87">
        <f t="shared" si="1"/>
        <v>0</v>
      </c>
      <c r="I87">
        <f>IF(B87&lt;=INDEX(YieldCurve!$A$4:$A$63,1),INDEX(YieldCurve!$B$4:$B$63,1),IF(B87&gt;=INDEX(YieldCurve!$A$4:$A$63,ROWS(YieldCurve!$A$4:$A$63)),INDEX(YieldCurve!$B$4:$B$63,ROWS(YieldCurve!$B$4:$B$63)),F87+H87*(G87-F87)))</f>
        <v>4.044147E-2</v>
      </c>
      <c r="J87">
        <f>EXP(-(I87+Inputs!$B$9)*B87)</f>
        <v>0.75345175562943267</v>
      </c>
    </row>
    <row r="88" spans="1:10" x14ac:dyDescent="0.35">
      <c r="A88">
        <v>85</v>
      </c>
      <c r="B88">
        <f>A88/Inputs!$B$6</f>
        <v>7.083333333333333</v>
      </c>
      <c r="C88">
        <f>IF(B88&lt;=INDEX(YieldCurve!$A$4:$A$63,1),1,IF(B88&gt;=INDEX(YieldCurve!$A$4:$A$63,ROWS(YieldCurve!$A$4:$A$63)),ROWS(YieldCurve!$A$4:$A$63)-1,MATCH(B88,YieldCurve!$A$4:$A$63,1)))</f>
        <v>14</v>
      </c>
      <c r="D88">
        <f>INDEX(YieldCurve!$A$4:$A$63,C88)</f>
        <v>7</v>
      </c>
      <c r="E88">
        <f>INDEX(YieldCurve!$A$4:$A$63,C88+1)</f>
        <v>7.5</v>
      </c>
      <c r="F88">
        <f>INDEX(YieldCurve!$B$4:$B$63,C88)</f>
        <v>4.044147E-2</v>
      </c>
      <c r="G88">
        <f>INDEX(YieldCurve!$B$4:$B$63,C88+1)</f>
        <v>4.0786360000000001E-2</v>
      </c>
      <c r="H88">
        <f t="shared" si="1"/>
        <v>0.16666666666666607</v>
      </c>
      <c r="I88">
        <f>IF(B88&lt;=INDEX(YieldCurve!$A$4:$A$63,1),INDEX(YieldCurve!$B$4:$B$63,1),IF(B88&gt;=INDEX(YieldCurve!$A$4:$A$63,ROWS(YieldCurve!$A$4:$A$63)),INDEX(YieldCurve!$B$4:$B$63,ROWS(YieldCurve!$B$4:$B$63)),F88+H88*(G88-F88)))</f>
        <v>4.0498951666666665E-2</v>
      </c>
      <c r="J88">
        <f>EXP(-(I88+Inputs!$B$9)*B88)</f>
        <v>0.75061112245493711</v>
      </c>
    </row>
    <row r="89" spans="1:10" x14ac:dyDescent="0.35">
      <c r="A89">
        <v>86</v>
      </c>
      <c r="B89">
        <f>A89/Inputs!$B$6</f>
        <v>7.166666666666667</v>
      </c>
      <c r="C89">
        <f>IF(B89&lt;=INDEX(YieldCurve!$A$4:$A$63,1),1,IF(B89&gt;=INDEX(YieldCurve!$A$4:$A$63,ROWS(YieldCurve!$A$4:$A$63)),ROWS(YieldCurve!$A$4:$A$63)-1,MATCH(B89,YieldCurve!$A$4:$A$63,1)))</f>
        <v>14</v>
      </c>
      <c r="D89">
        <f>INDEX(YieldCurve!$A$4:$A$63,C89)</f>
        <v>7</v>
      </c>
      <c r="E89">
        <f>INDEX(YieldCurve!$A$4:$A$63,C89+1)</f>
        <v>7.5</v>
      </c>
      <c r="F89">
        <f>INDEX(YieldCurve!$B$4:$B$63,C89)</f>
        <v>4.044147E-2</v>
      </c>
      <c r="G89">
        <f>INDEX(YieldCurve!$B$4:$B$63,C89+1)</f>
        <v>4.0786360000000001E-2</v>
      </c>
      <c r="H89">
        <f t="shared" si="1"/>
        <v>0.33333333333333393</v>
      </c>
      <c r="I89">
        <f>IF(B89&lt;=INDEX(YieldCurve!$A$4:$A$63,1),INDEX(YieldCurve!$B$4:$B$63,1),IF(B89&gt;=INDEX(YieldCurve!$A$4:$A$63,ROWS(YieldCurve!$A$4:$A$63)),INDEX(YieldCurve!$B$4:$B$63,ROWS(YieldCurve!$B$4:$B$63)),F89+H89*(G89-F89)))</f>
        <v>4.0556433333333336E-2</v>
      </c>
      <c r="J89">
        <f>EXP(-(I89+Inputs!$B$9)*B89)</f>
        <v>0.74777403500285233</v>
      </c>
    </row>
    <row r="90" spans="1:10" x14ac:dyDescent="0.35">
      <c r="A90">
        <v>87</v>
      </c>
      <c r="B90">
        <f>A90/Inputs!$B$6</f>
        <v>7.25</v>
      </c>
      <c r="C90">
        <f>IF(B90&lt;=INDEX(YieldCurve!$A$4:$A$63,1),1,IF(B90&gt;=INDEX(YieldCurve!$A$4:$A$63,ROWS(YieldCurve!$A$4:$A$63)),ROWS(YieldCurve!$A$4:$A$63)-1,MATCH(B90,YieldCurve!$A$4:$A$63,1)))</f>
        <v>14</v>
      </c>
      <c r="D90">
        <f>INDEX(YieldCurve!$A$4:$A$63,C90)</f>
        <v>7</v>
      </c>
      <c r="E90">
        <f>INDEX(YieldCurve!$A$4:$A$63,C90+1)</f>
        <v>7.5</v>
      </c>
      <c r="F90">
        <f>INDEX(YieldCurve!$B$4:$B$63,C90)</f>
        <v>4.044147E-2</v>
      </c>
      <c r="G90">
        <f>INDEX(YieldCurve!$B$4:$B$63,C90+1)</f>
        <v>4.0786360000000001E-2</v>
      </c>
      <c r="H90">
        <f t="shared" si="1"/>
        <v>0.5</v>
      </c>
      <c r="I90">
        <f>IF(B90&lt;=INDEX(YieldCurve!$A$4:$A$63,1),INDEX(YieldCurve!$B$4:$B$63,1),IF(B90&gt;=INDEX(YieldCurve!$A$4:$A$63,ROWS(YieldCurve!$A$4:$A$63)),INDEX(YieldCurve!$B$4:$B$63,ROWS(YieldCurve!$B$4:$B$63)),F90+H90*(G90-F90)))</f>
        <v>4.0613915E-2</v>
      </c>
      <c r="J90">
        <f>EXP(-(I90+Inputs!$B$9)*B90)</f>
        <v>0.7449405341285783</v>
      </c>
    </row>
    <row r="91" spans="1:10" x14ac:dyDescent="0.35">
      <c r="A91">
        <v>88</v>
      </c>
      <c r="B91">
        <f>A91/Inputs!$B$6</f>
        <v>7.333333333333333</v>
      </c>
      <c r="C91">
        <f>IF(B91&lt;=INDEX(YieldCurve!$A$4:$A$63,1),1,IF(B91&gt;=INDEX(YieldCurve!$A$4:$A$63,ROWS(YieldCurve!$A$4:$A$63)),ROWS(YieldCurve!$A$4:$A$63)-1,MATCH(B91,YieldCurve!$A$4:$A$63,1)))</f>
        <v>14</v>
      </c>
      <c r="D91">
        <f>INDEX(YieldCurve!$A$4:$A$63,C91)</f>
        <v>7</v>
      </c>
      <c r="E91">
        <f>INDEX(YieldCurve!$A$4:$A$63,C91+1)</f>
        <v>7.5</v>
      </c>
      <c r="F91">
        <f>INDEX(YieldCurve!$B$4:$B$63,C91)</f>
        <v>4.044147E-2</v>
      </c>
      <c r="G91">
        <f>INDEX(YieldCurve!$B$4:$B$63,C91+1)</f>
        <v>4.0786360000000001E-2</v>
      </c>
      <c r="H91">
        <f t="shared" si="1"/>
        <v>0.66666666666666607</v>
      </c>
      <c r="I91">
        <f>IF(B91&lt;=INDEX(YieldCurve!$A$4:$A$63,1),INDEX(YieldCurve!$B$4:$B$63,1),IF(B91&gt;=INDEX(YieldCurve!$A$4:$A$63,ROWS(YieldCurve!$A$4:$A$63)),INDEX(YieldCurve!$B$4:$B$63,ROWS(YieldCurve!$B$4:$B$63)),F91+H91*(G91-F91)))</f>
        <v>4.0671396666666665E-2</v>
      </c>
      <c r="J91">
        <f>EXP(-(I91+Inputs!$B$9)*B91)</f>
        <v>0.74211066043001372</v>
      </c>
    </row>
    <row r="92" spans="1:10" x14ac:dyDescent="0.35">
      <c r="A92">
        <v>89</v>
      </c>
      <c r="B92">
        <f>A92/Inputs!$B$6</f>
        <v>7.416666666666667</v>
      </c>
      <c r="C92">
        <f>IF(B92&lt;=INDEX(YieldCurve!$A$4:$A$63,1),1,IF(B92&gt;=INDEX(YieldCurve!$A$4:$A$63,ROWS(YieldCurve!$A$4:$A$63)),ROWS(YieldCurve!$A$4:$A$63)-1,MATCH(B92,YieldCurve!$A$4:$A$63,1)))</f>
        <v>14</v>
      </c>
      <c r="D92">
        <f>INDEX(YieldCurve!$A$4:$A$63,C92)</f>
        <v>7</v>
      </c>
      <c r="E92">
        <f>INDEX(YieldCurve!$A$4:$A$63,C92+1)</f>
        <v>7.5</v>
      </c>
      <c r="F92">
        <f>INDEX(YieldCurve!$B$4:$B$63,C92)</f>
        <v>4.044147E-2</v>
      </c>
      <c r="G92">
        <f>INDEX(YieldCurve!$B$4:$B$63,C92+1)</f>
        <v>4.0786360000000001E-2</v>
      </c>
      <c r="H92">
        <f t="shared" si="1"/>
        <v>0.83333333333333393</v>
      </c>
      <c r="I92">
        <f>IF(B92&lt;=INDEX(YieldCurve!$A$4:$A$63,1),INDEX(YieldCurve!$B$4:$B$63,1),IF(B92&gt;=INDEX(YieldCurve!$A$4:$A$63,ROWS(YieldCurve!$A$4:$A$63)),INDEX(YieldCurve!$B$4:$B$63,ROWS(YieldCurve!$B$4:$B$63)),F92+H92*(G92-F92)))</f>
        <v>4.0728878333333336E-2</v>
      </c>
      <c r="J92">
        <f>EXP(-(I92+Inputs!$B$9)*B92)</f>
        <v>0.73928445424697831</v>
      </c>
    </row>
    <row r="93" spans="1:10" x14ac:dyDescent="0.35">
      <c r="A93">
        <v>90</v>
      </c>
      <c r="B93">
        <f>A93/Inputs!$B$6</f>
        <v>7.5</v>
      </c>
      <c r="C93">
        <f>IF(B93&lt;=INDEX(YieldCurve!$A$4:$A$63,1),1,IF(B93&gt;=INDEX(YieldCurve!$A$4:$A$63,ROWS(YieldCurve!$A$4:$A$63)),ROWS(YieldCurve!$A$4:$A$63)-1,MATCH(B93,YieldCurve!$A$4:$A$63,1)))</f>
        <v>15</v>
      </c>
      <c r="D93">
        <f>INDEX(YieldCurve!$A$4:$A$63,C93)</f>
        <v>7.5</v>
      </c>
      <c r="E93">
        <f>INDEX(YieldCurve!$A$4:$A$63,C93+1)</f>
        <v>8</v>
      </c>
      <c r="F93">
        <f>INDEX(YieldCurve!$B$4:$B$63,C93)</f>
        <v>4.0786360000000001E-2</v>
      </c>
      <c r="G93">
        <f>INDEX(YieldCurve!$B$4:$B$63,C93+1)</f>
        <v>4.1134749999999998E-2</v>
      </c>
      <c r="H93">
        <f t="shared" si="1"/>
        <v>0</v>
      </c>
      <c r="I93">
        <f>IF(B93&lt;=INDEX(YieldCurve!$A$4:$A$63,1),INDEX(YieldCurve!$B$4:$B$63,1),IF(B93&gt;=INDEX(YieldCurve!$A$4:$A$63,ROWS(YieldCurve!$A$4:$A$63)),INDEX(YieldCurve!$B$4:$B$63,ROWS(YieldCurve!$B$4:$B$63)),F93+H93*(G93-F93)))</f>
        <v>4.0786360000000001E-2</v>
      </c>
      <c r="J93">
        <f>EXP(-(I93+Inputs!$B$9)*B93)</f>
        <v>0.73646195566065165</v>
      </c>
    </row>
    <row r="94" spans="1:10" x14ac:dyDescent="0.35">
      <c r="A94">
        <v>91</v>
      </c>
      <c r="B94">
        <f>A94/Inputs!$B$6</f>
        <v>7.583333333333333</v>
      </c>
      <c r="C94">
        <f>IF(B94&lt;=INDEX(YieldCurve!$A$4:$A$63,1),1,IF(B94&gt;=INDEX(YieldCurve!$A$4:$A$63,ROWS(YieldCurve!$A$4:$A$63)),ROWS(YieldCurve!$A$4:$A$63)-1,MATCH(B94,YieldCurve!$A$4:$A$63,1)))</f>
        <v>15</v>
      </c>
      <c r="D94">
        <f>INDEX(YieldCurve!$A$4:$A$63,C94)</f>
        <v>7.5</v>
      </c>
      <c r="E94">
        <f>INDEX(YieldCurve!$A$4:$A$63,C94+1)</f>
        <v>8</v>
      </c>
      <c r="F94">
        <f>INDEX(YieldCurve!$B$4:$B$63,C94)</f>
        <v>4.0786360000000001E-2</v>
      </c>
      <c r="G94">
        <f>INDEX(YieldCurve!$B$4:$B$63,C94+1)</f>
        <v>4.1134749999999998E-2</v>
      </c>
      <c r="H94">
        <f t="shared" si="1"/>
        <v>0.16666666666666607</v>
      </c>
      <c r="I94">
        <f>IF(B94&lt;=INDEX(YieldCurve!$A$4:$A$63,1),INDEX(YieldCurve!$B$4:$B$63,1),IF(B94&gt;=INDEX(YieldCurve!$A$4:$A$63,ROWS(YieldCurve!$A$4:$A$63)),INDEX(YieldCurve!$B$4:$B$63,ROWS(YieldCurve!$B$4:$B$63)),F94+H94*(G94-F94)))</f>
        <v>4.0844424999999997E-2</v>
      </c>
      <c r="J94">
        <f>EXP(-(I94+Inputs!$B$9)*B94)</f>
        <v>0.73363995914797075</v>
      </c>
    </row>
    <row r="95" spans="1:10" x14ac:dyDescent="0.35">
      <c r="A95">
        <v>92</v>
      </c>
      <c r="B95">
        <f>A95/Inputs!$B$6</f>
        <v>7.666666666666667</v>
      </c>
      <c r="C95">
        <f>IF(B95&lt;=INDEX(YieldCurve!$A$4:$A$63,1),1,IF(B95&gt;=INDEX(YieldCurve!$A$4:$A$63,ROWS(YieldCurve!$A$4:$A$63)),ROWS(YieldCurve!$A$4:$A$63)-1,MATCH(B95,YieldCurve!$A$4:$A$63,1)))</f>
        <v>15</v>
      </c>
      <c r="D95">
        <f>INDEX(YieldCurve!$A$4:$A$63,C95)</f>
        <v>7.5</v>
      </c>
      <c r="E95">
        <f>INDEX(YieldCurve!$A$4:$A$63,C95+1)</f>
        <v>8</v>
      </c>
      <c r="F95">
        <f>INDEX(YieldCurve!$B$4:$B$63,C95)</f>
        <v>4.0786360000000001E-2</v>
      </c>
      <c r="G95">
        <f>INDEX(YieldCurve!$B$4:$B$63,C95+1)</f>
        <v>4.1134749999999998E-2</v>
      </c>
      <c r="H95">
        <f t="shared" si="1"/>
        <v>0.33333333333333393</v>
      </c>
      <c r="I95">
        <f>IF(B95&lt;=INDEX(YieldCurve!$A$4:$A$63,1),INDEX(YieldCurve!$B$4:$B$63,1),IF(B95&gt;=INDEX(YieldCurve!$A$4:$A$63,ROWS(YieldCurve!$A$4:$A$63)),INDEX(YieldCurve!$B$4:$B$63,ROWS(YieldCurve!$B$4:$B$63)),F95+H95*(G95-F95)))</f>
        <v>4.090249E-2</v>
      </c>
      <c r="J95">
        <f>EXP(-(I95+Inputs!$B$9)*B95)</f>
        <v>0.73082170348300235</v>
      </c>
    </row>
    <row r="96" spans="1:10" x14ac:dyDescent="0.35">
      <c r="A96">
        <v>93</v>
      </c>
      <c r="B96">
        <f>A96/Inputs!$B$6</f>
        <v>7.75</v>
      </c>
      <c r="C96">
        <f>IF(B96&lt;=INDEX(YieldCurve!$A$4:$A$63,1),1,IF(B96&gt;=INDEX(YieldCurve!$A$4:$A$63,ROWS(YieldCurve!$A$4:$A$63)),ROWS(YieldCurve!$A$4:$A$63)-1,MATCH(B96,YieldCurve!$A$4:$A$63,1)))</f>
        <v>15</v>
      </c>
      <c r="D96">
        <f>INDEX(YieldCurve!$A$4:$A$63,C96)</f>
        <v>7.5</v>
      </c>
      <c r="E96">
        <f>INDEX(YieldCurve!$A$4:$A$63,C96+1)</f>
        <v>8</v>
      </c>
      <c r="F96">
        <f>INDEX(YieldCurve!$B$4:$B$63,C96)</f>
        <v>4.0786360000000001E-2</v>
      </c>
      <c r="G96">
        <f>INDEX(YieldCurve!$B$4:$B$63,C96+1)</f>
        <v>4.1134749999999998E-2</v>
      </c>
      <c r="H96">
        <f t="shared" si="1"/>
        <v>0.5</v>
      </c>
      <c r="I96">
        <f>IF(B96&lt;=INDEX(YieldCurve!$A$4:$A$63,1),INDEX(YieldCurve!$B$4:$B$63,1),IF(B96&gt;=INDEX(YieldCurve!$A$4:$A$63,ROWS(YieldCurve!$A$4:$A$63)),INDEX(YieldCurve!$B$4:$B$63,ROWS(YieldCurve!$B$4:$B$63)),F96+H96*(G96-F96)))</f>
        <v>4.0960554999999996E-2</v>
      </c>
      <c r="J96">
        <f>EXP(-(I96+Inputs!$B$9)*B96)</f>
        <v>0.72800722873769741</v>
      </c>
    </row>
    <row r="97" spans="1:10" x14ac:dyDescent="0.35">
      <c r="A97">
        <v>94</v>
      </c>
      <c r="B97">
        <f>A97/Inputs!$B$6</f>
        <v>7.833333333333333</v>
      </c>
      <c r="C97">
        <f>IF(B97&lt;=INDEX(YieldCurve!$A$4:$A$63,1),1,IF(B97&gt;=INDEX(YieldCurve!$A$4:$A$63,ROWS(YieldCurve!$A$4:$A$63)),ROWS(YieldCurve!$A$4:$A$63)-1,MATCH(B97,YieldCurve!$A$4:$A$63,1)))</f>
        <v>15</v>
      </c>
      <c r="D97">
        <f>INDEX(YieldCurve!$A$4:$A$63,C97)</f>
        <v>7.5</v>
      </c>
      <c r="E97">
        <f>INDEX(YieldCurve!$A$4:$A$63,C97+1)</f>
        <v>8</v>
      </c>
      <c r="F97">
        <f>INDEX(YieldCurve!$B$4:$B$63,C97)</f>
        <v>4.0786360000000001E-2</v>
      </c>
      <c r="G97">
        <f>INDEX(YieldCurve!$B$4:$B$63,C97+1)</f>
        <v>4.1134749999999998E-2</v>
      </c>
      <c r="H97">
        <f t="shared" si="1"/>
        <v>0.66666666666666607</v>
      </c>
      <c r="I97">
        <f>IF(B97&lt;=INDEX(YieldCurve!$A$4:$A$63,1),INDEX(YieldCurve!$B$4:$B$63,1),IF(B97&gt;=INDEX(YieldCurve!$A$4:$A$63,ROWS(YieldCurve!$A$4:$A$63)),INDEX(YieldCurve!$B$4:$B$63,ROWS(YieldCurve!$B$4:$B$63)),F97+H97*(G97-F97)))</f>
        <v>4.1018619999999999E-2</v>
      </c>
      <c r="J97">
        <f>EXP(-(I97+Inputs!$B$9)*B97)</f>
        <v>0.72519657472032095</v>
      </c>
    </row>
    <row r="98" spans="1:10" x14ac:dyDescent="0.35">
      <c r="A98">
        <v>95</v>
      </c>
      <c r="B98">
        <f>A98/Inputs!$B$6</f>
        <v>7.916666666666667</v>
      </c>
      <c r="C98">
        <f>IF(B98&lt;=INDEX(YieldCurve!$A$4:$A$63,1),1,IF(B98&gt;=INDEX(YieldCurve!$A$4:$A$63,ROWS(YieldCurve!$A$4:$A$63)),ROWS(YieldCurve!$A$4:$A$63)-1,MATCH(B98,YieldCurve!$A$4:$A$63,1)))</f>
        <v>15</v>
      </c>
      <c r="D98">
        <f>INDEX(YieldCurve!$A$4:$A$63,C98)</f>
        <v>7.5</v>
      </c>
      <c r="E98">
        <f>INDEX(YieldCurve!$A$4:$A$63,C98+1)</f>
        <v>8</v>
      </c>
      <c r="F98">
        <f>INDEX(YieldCurve!$B$4:$B$63,C98)</f>
        <v>4.0786360000000001E-2</v>
      </c>
      <c r="G98">
        <f>INDEX(YieldCurve!$B$4:$B$63,C98+1)</f>
        <v>4.1134749999999998E-2</v>
      </c>
      <c r="H98">
        <f t="shared" si="1"/>
        <v>0.83333333333333393</v>
      </c>
      <c r="I98">
        <f>IF(B98&lt;=INDEX(YieldCurve!$A$4:$A$63,1),INDEX(YieldCurve!$B$4:$B$63,1),IF(B98&gt;=INDEX(YieldCurve!$A$4:$A$63,ROWS(YieldCurve!$A$4:$A$63)),INDEX(YieldCurve!$B$4:$B$63,ROWS(YieldCurve!$B$4:$B$63)),F98+H98*(G98-F98)))</f>
        <v>4.1076685000000002E-2</v>
      </c>
      <c r="J98">
        <f>EXP(-(I98+Inputs!$B$9)*B98)</f>
        <v>0.72238978097493023</v>
      </c>
    </row>
    <row r="99" spans="1:10" x14ac:dyDescent="0.35">
      <c r="A99">
        <v>96</v>
      </c>
      <c r="B99">
        <f>A99/Inputs!$B$6</f>
        <v>8</v>
      </c>
      <c r="C99">
        <f>IF(B99&lt;=INDEX(YieldCurve!$A$4:$A$63,1),1,IF(B99&gt;=INDEX(YieldCurve!$A$4:$A$63,ROWS(YieldCurve!$A$4:$A$63)),ROWS(YieldCurve!$A$4:$A$63)-1,MATCH(B99,YieldCurve!$A$4:$A$63,1)))</f>
        <v>16</v>
      </c>
      <c r="D99">
        <f>INDEX(YieldCurve!$A$4:$A$63,C99)</f>
        <v>8</v>
      </c>
      <c r="E99">
        <f>INDEX(YieldCurve!$A$4:$A$63,C99+1)</f>
        <v>8.5</v>
      </c>
      <c r="F99">
        <f>INDEX(YieldCurve!$B$4:$B$63,C99)</f>
        <v>4.1134749999999998E-2</v>
      </c>
      <c r="G99">
        <f>INDEX(YieldCurve!$B$4:$B$63,C99+1)</f>
        <v>4.1486750000000003E-2</v>
      </c>
      <c r="H99">
        <f t="shared" si="1"/>
        <v>0</v>
      </c>
      <c r="I99">
        <f>IF(B99&lt;=INDEX(YieldCurve!$A$4:$A$63,1),INDEX(YieldCurve!$B$4:$B$63,1),IF(B99&gt;=INDEX(YieldCurve!$A$4:$A$63,ROWS(YieldCurve!$A$4:$A$63)),INDEX(YieldCurve!$B$4:$B$63,ROWS(YieldCurve!$B$4:$B$63)),F99+H99*(G99-F99)))</f>
        <v>4.1134749999999998E-2</v>
      </c>
      <c r="J99">
        <f>EXP(-(I99+Inputs!$B$9)*B99)</f>
        <v>0.71958688678086624</v>
      </c>
    </row>
    <row r="100" spans="1:10" x14ac:dyDescent="0.35">
      <c r="A100">
        <v>97</v>
      </c>
      <c r="B100">
        <f>A100/Inputs!$B$6</f>
        <v>8.0833333333333339</v>
      </c>
      <c r="C100">
        <f>IF(B100&lt;=INDEX(YieldCurve!$A$4:$A$63,1),1,IF(B100&gt;=INDEX(YieldCurve!$A$4:$A$63,ROWS(YieldCurve!$A$4:$A$63)),ROWS(YieldCurve!$A$4:$A$63)-1,MATCH(B100,YieldCurve!$A$4:$A$63,1)))</f>
        <v>16</v>
      </c>
      <c r="D100">
        <f>INDEX(YieldCurve!$A$4:$A$63,C100)</f>
        <v>8</v>
      </c>
      <c r="E100">
        <f>INDEX(YieldCurve!$A$4:$A$63,C100+1)</f>
        <v>8.5</v>
      </c>
      <c r="F100">
        <f>INDEX(YieldCurve!$B$4:$B$63,C100)</f>
        <v>4.1134749999999998E-2</v>
      </c>
      <c r="G100">
        <f>INDEX(YieldCurve!$B$4:$B$63,C100+1)</f>
        <v>4.1486750000000003E-2</v>
      </c>
      <c r="H100">
        <f t="shared" si="1"/>
        <v>0.16666666666666785</v>
      </c>
      <c r="I100">
        <f>IF(B100&lt;=INDEX(YieldCurve!$A$4:$A$63,1),INDEX(YieldCurve!$B$4:$B$63,1),IF(B100&gt;=INDEX(YieldCurve!$A$4:$A$63,ROWS(YieldCurve!$A$4:$A$63)),INDEX(YieldCurve!$B$4:$B$63,ROWS(YieldCurve!$B$4:$B$63)),F100+H100*(G100-F100)))</f>
        <v>4.1193416666666663E-2</v>
      </c>
      <c r="J100">
        <f>EXP(-(I100+Inputs!$B$9)*B100)</f>
        <v>0.71678444508254624</v>
      </c>
    </row>
    <row r="101" spans="1:10" x14ac:dyDescent="0.35">
      <c r="A101">
        <v>98</v>
      </c>
      <c r="B101">
        <f>A101/Inputs!$B$6</f>
        <v>8.1666666666666661</v>
      </c>
      <c r="C101">
        <f>IF(B101&lt;=INDEX(YieldCurve!$A$4:$A$63,1),1,IF(B101&gt;=INDEX(YieldCurve!$A$4:$A$63,ROWS(YieldCurve!$A$4:$A$63)),ROWS(YieldCurve!$A$4:$A$63)-1,MATCH(B101,YieldCurve!$A$4:$A$63,1)))</f>
        <v>16</v>
      </c>
      <c r="D101">
        <f>INDEX(YieldCurve!$A$4:$A$63,C101)</f>
        <v>8</v>
      </c>
      <c r="E101">
        <f>INDEX(YieldCurve!$A$4:$A$63,C101+1)</f>
        <v>8.5</v>
      </c>
      <c r="F101">
        <f>INDEX(YieldCurve!$B$4:$B$63,C101)</f>
        <v>4.1134749999999998E-2</v>
      </c>
      <c r="G101">
        <f>INDEX(YieldCurve!$B$4:$B$63,C101+1)</f>
        <v>4.1486750000000003E-2</v>
      </c>
      <c r="H101">
        <f t="shared" si="1"/>
        <v>0.33333333333333215</v>
      </c>
      <c r="I101">
        <f>IF(B101&lt;=INDEX(YieldCurve!$A$4:$A$63,1),INDEX(YieldCurve!$B$4:$B$63,1),IF(B101&gt;=INDEX(YieldCurve!$A$4:$A$63,ROWS(YieldCurve!$A$4:$A$63)),INDEX(YieldCurve!$B$4:$B$63,ROWS(YieldCurve!$B$4:$B$63)),F101+H101*(G101-F101)))</f>
        <v>4.1252083333333335E-2</v>
      </c>
      <c r="J101">
        <f>EXP(-(I101+Inputs!$B$9)*B101)</f>
        <v>0.71398593630462437</v>
      </c>
    </row>
    <row r="102" spans="1:10" x14ac:dyDescent="0.35">
      <c r="A102">
        <v>99</v>
      </c>
      <c r="B102">
        <f>A102/Inputs!$B$6</f>
        <v>8.25</v>
      </c>
      <c r="C102">
        <f>IF(B102&lt;=INDEX(YieldCurve!$A$4:$A$63,1),1,IF(B102&gt;=INDEX(YieldCurve!$A$4:$A$63,ROWS(YieldCurve!$A$4:$A$63)),ROWS(YieldCurve!$A$4:$A$63)-1,MATCH(B102,YieldCurve!$A$4:$A$63,1)))</f>
        <v>16</v>
      </c>
      <c r="D102">
        <f>INDEX(YieldCurve!$A$4:$A$63,C102)</f>
        <v>8</v>
      </c>
      <c r="E102">
        <f>INDEX(YieldCurve!$A$4:$A$63,C102+1)</f>
        <v>8.5</v>
      </c>
      <c r="F102">
        <f>INDEX(YieldCurve!$B$4:$B$63,C102)</f>
        <v>4.1134749999999998E-2</v>
      </c>
      <c r="G102">
        <f>INDEX(YieldCurve!$B$4:$B$63,C102+1)</f>
        <v>4.1486750000000003E-2</v>
      </c>
      <c r="H102">
        <f t="shared" si="1"/>
        <v>0.5</v>
      </c>
      <c r="I102">
        <f>IF(B102&lt;=INDEX(YieldCurve!$A$4:$A$63,1),INDEX(YieldCurve!$B$4:$B$63,1),IF(B102&gt;=INDEX(YieldCurve!$A$4:$A$63,ROWS(YieldCurve!$A$4:$A$63)),INDEX(YieldCurve!$B$4:$B$63,ROWS(YieldCurve!$B$4:$B$63)),F102+H102*(G102-F102)))</f>
        <v>4.131075E-2</v>
      </c>
      <c r="J102">
        <f>EXP(-(I102+Inputs!$B$9)*B102)</f>
        <v>0.71119139971127343</v>
      </c>
    </row>
    <row r="103" spans="1:10" x14ac:dyDescent="0.35">
      <c r="A103">
        <v>100</v>
      </c>
      <c r="B103">
        <f>A103/Inputs!$B$6</f>
        <v>8.3333333333333339</v>
      </c>
      <c r="C103">
        <f>IF(B103&lt;=INDEX(YieldCurve!$A$4:$A$63,1),1,IF(B103&gt;=INDEX(YieldCurve!$A$4:$A$63,ROWS(YieldCurve!$A$4:$A$63)),ROWS(YieldCurve!$A$4:$A$63)-1,MATCH(B103,YieldCurve!$A$4:$A$63,1)))</f>
        <v>16</v>
      </c>
      <c r="D103">
        <f>INDEX(YieldCurve!$A$4:$A$63,C103)</f>
        <v>8</v>
      </c>
      <c r="E103">
        <f>INDEX(YieldCurve!$A$4:$A$63,C103+1)</f>
        <v>8.5</v>
      </c>
      <c r="F103">
        <f>INDEX(YieldCurve!$B$4:$B$63,C103)</f>
        <v>4.1134749999999998E-2</v>
      </c>
      <c r="G103">
        <f>INDEX(YieldCurve!$B$4:$B$63,C103+1)</f>
        <v>4.1486750000000003E-2</v>
      </c>
      <c r="H103">
        <f t="shared" si="1"/>
        <v>0.66666666666666785</v>
      </c>
      <c r="I103">
        <f>IF(B103&lt;=INDEX(YieldCurve!$A$4:$A$63,1),INDEX(YieldCurve!$B$4:$B$63,1),IF(B103&gt;=INDEX(YieldCurve!$A$4:$A$63,ROWS(YieldCurve!$A$4:$A$63)),INDEX(YieldCurve!$B$4:$B$63,ROWS(YieldCurve!$B$4:$B$63)),F103+H103*(G103-F103)))</f>
        <v>4.1369416666666665E-2</v>
      </c>
      <c r="J103">
        <f>EXP(-(I103+Inputs!$B$9)*B103)</f>
        <v>0.70840087429688869</v>
      </c>
    </row>
    <row r="104" spans="1:10" x14ac:dyDescent="0.35">
      <c r="A104">
        <v>101</v>
      </c>
      <c r="B104">
        <f>A104/Inputs!$B$6</f>
        <v>8.4166666666666661</v>
      </c>
      <c r="C104">
        <f>IF(B104&lt;=INDEX(YieldCurve!$A$4:$A$63,1),1,IF(B104&gt;=INDEX(YieldCurve!$A$4:$A$63,ROWS(YieldCurve!$A$4:$A$63)),ROWS(YieldCurve!$A$4:$A$63)-1,MATCH(B104,YieldCurve!$A$4:$A$63,1)))</f>
        <v>16</v>
      </c>
      <c r="D104">
        <f>INDEX(YieldCurve!$A$4:$A$63,C104)</f>
        <v>8</v>
      </c>
      <c r="E104">
        <f>INDEX(YieldCurve!$A$4:$A$63,C104+1)</f>
        <v>8.5</v>
      </c>
      <c r="F104">
        <f>INDEX(YieldCurve!$B$4:$B$63,C104)</f>
        <v>4.1134749999999998E-2</v>
      </c>
      <c r="G104">
        <f>INDEX(YieldCurve!$B$4:$B$63,C104+1)</f>
        <v>4.1486750000000003E-2</v>
      </c>
      <c r="H104">
        <f t="shared" si="1"/>
        <v>0.83333333333333215</v>
      </c>
      <c r="I104">
        <f>IF(B104&lt;=INDEX(YieldCurve!$A$4:$A$63,1),INDEX(YieldCurve!$B$4:$B$63,1),IF(B104&gt;=INDEX(YieldCurve!$A$4:$A$63,ROWS(YieldCurve!$A$4:$A$63)),INDEX(YieldCurve!$B$4:$B$63,ROWS(YieldCurve!$B$4:$B$63)),F104+H104*(G104-F104)))</f>
        <v>4.1428083333333338E-2</v>
      </c>
      <c r="J104">
        <f>EXP(-(I104+Inputs!$B$9)*B104)</f>
        <v>0.70561439878562238</v>
      </c>
    </row>
    <row r="105" spans="1:10" x14ac:dyDescent="0.35">
      <c r="A105">
        <v>102</v>
      </c>
      <c r="B105">
        <f>A105/Inputs!$B$6</f>
        <v>8.5</v>
      </c>
      <c r="C105">
        <f>IF(B105&lt;=INDEX(YieldCurve!$A$4:$A$63,1),1,IF(B105&gt;=INDEX(YieldCurve!$A$4:$A$63,ROWS(YieldCurve!$A$4:$A$63)),ROWS(YieldCurve!$A$4:$A$63)-1,MATCH(B105,YieldCurve!$A$4:$A$63,1)))</f>
        <v>17</v>
      </c>
      <c r="D105">
        <f>INDEX(YieldCurve!$A$4:$A$63,C105)</f>
        <v>8.5</v>
      </c>
      <c r="E105">
        <f>INDEX(YieldCurve!$A$4:$A$63,C105+1)</f>
        <v>9</v>
      </c>
      <c r="F105">
        <f>INDEX(YieldCurve!$B$4:$B$63,C105)</f>
        <v>4.1486750000000003E-2</v>
      </c>
      <c r="G105">
        <f>INDEX(YieldCurve!$B$4:$B$63,C105+1)</f>
        <v>4.184247E-2</v>
      </c>
      <c r="H105">
        <f t="shared" si="1"/>
        <v>0</v>
      </c>
      <c r="I105">
        <f>IF(B105&lt;=INDEX(YieldCurve!$A$4:$A$63,1),INDEX(YieldCurve!$B$4:$B$63,1),IF(B105&gt;=INDEX(YieldCurve!$A$4:$A$63,ROWS(YieldCurve!$A$4:$A$63)),INDEX(YieldCurve!$B$4:$B$63,ROWS(YieldCurve!$B$4:$B$63)),F105+H105*(G105-F105)))</f>
        <v>4.1486750000000003E-2</v>
      </c>
      <c r="J105">
        <f>EXP(-(I105+Inputs!$B$9)*B105)</f>
        <v>0.70283201163093223</v>
      </c>
    </row>
    <row r="106" spans="1:10" x14ac:dyDescent="0.35">
      <c r="A106">
        <v>103</v>
      </c>
      <c r="B106">
        <f>A106/Inputs!$B$6</f>
        <v>8.5833333333333339</v>
      </c>
      <c r="C106">
        <f>IF(B106&lt;=INDEX(YieldCurve!$A$4:$A$63,1),1,IF(B106&gt;=INDEX(YieldCurve!$A$4:$A$63,ROWS(YieldCurve!$A$4:$A$63)),ROWS(YieldCurve!$A$4:$A$63)-1,MATCH(B106,YieldCurve!$A$4:$A$63,1)))</f>
        <v>17</v>
      </c>
      <c r="D106">
        <f>INDEX(YieldCurve!$A$4:$A$63,C106)</f>
        <v>8.5</v>
      </c>
      <c r="E106">
        <f>INDEX(YieldCurve!$A$4:$A$63,C106+1)</f>
        <v>9</v>
      </c>
      <c r="F106">
        <f>INDEX(YieldCurve!$B$4:$B$63,C106)</f>
        <v>4.1486750000000003E-2</v>
      </c>
      <c r="G106">
        <f>INDEX(YieldCurve!$B$4:$B$63,C106+1)</f>
        <v>4.184247E-2</v>
      </c>
      <c r="H106">
        <f t="shared" si="1"/>
        <v>0.16666666666666785</v>
      </c>
      <c r="I106">
        <f>IF(B106&lt;=INDEX(YieldCurve!$A$4:$A$63,1),INDEX(YieldCurve!$B$4:$B$63,1),IF(B106&gt;=INDEX(YieldCurve!$A$4:$A$63,ROWS(YieldCurve!$A$4:$A$63)),INDEX(YieldCurve!$B$4:$B$63,ROWS(YieldCurve!$B$4:$B$63)),F106+H106*(G106-F106)))</f>
        <v>4.1546036666666668E-2</v>
      </c>
      <c r="J106">
        <f>EXP(-(I106+Inputs!$B$9)*B106)</f>
        <v>0.70005002557234663</v>
      </c>
    </row>
    <row r="107" spans="1:10" x14ac:dyDescent="0.35">
      <c r="A107">
        <v>104</v>
      </c>
      <c r="B107">
        <f>A107/Inputs!$B$6</f>
        <v>8.6666666666666661</v>
      </c>
      <c r="C107">
        <f>IF(B107&lt;=INDEX(YieldCurve!$A$4:$A$63,1),1,IF(B107&gt;=INDEX(YieldCurve!$A$4:$A$63,ROWS(YieldCurve!$A$4:$A$63)),ROWS(YieldCurve!$A$4:$A$63)-1,MATCH(B107,YieldCurve!$A$4:$A$63,1)))</f>
        <v>17</v>
      </c>
      <c r="D107">
        <f>INDEX(YieldCurve!$A$4:$A$63,C107)</f>
        <v>8.5</v>
      </c>
      <c r="E107">
        <f>INDEX(YieldCurve!$A$4:$A$63,C107+1)</f>
        <v>9</v>
      </c>
      <c r="F107">
        <f>INDEX(YieldCurve!$B$4:$B$63,C107)</f>
        <v>4.1486750000000003E-2</v>
      </c>
      <c r="G107">
        <f>INDEX(YieldCurve!$B$4:$B$63,C107+1)</f>
        <v>4.184247E-2</v>
      </c>
      <c r="H107">
        <f t="shared" si="1"/>
        <v>0.33333333333333215</v>
      </c>
      <c r="I107">
        <f>IF(B107&lt;=INDEX(YieldCurve!$A$4:$A$63,1),INDEX(YieldCurve!$B$4:$B$63,1),IF(B107&gt;=INDEX(YieldCurve!$A$4:$A$63,ROWS(YieldCurve!$A$4:$A$63)),INDEX(YieldCurve!$B$4:$B$63,ROWS(YieldCurve!$B$4:$B$63)),F107+H107*(G107-F107)))</f>
        <v>4.1605323333333333E-2</v>
      </c>
      <c r="J107">
        <f>EXP(-(I107+Inputs!$B$9)*B107)</f>
        <v>0.69727216145727777</v>
      </c>
    </row>
    <row r="108" spans="1:10" x14ac:dyDescent="0.35">
      <c r="A108">
        <v>105</v>
      </c>
      <c r="B108">
        <f>A108/Inputs!$B$6</f>
        <v>8.75</v>
      </c>
      <c r="C108">
        <f>IF(B108&lt;=INDEX(YieldCurve!$A$4:$A$63,1),1,IF(B108&gt;=INDEX(YieldCurve!$A$4:$A$63,ROWS(YieldCurve!$A$4:$A$63)),ROWS(YieldCurve!$A$4:$A$63)-1,MATCH(B108,YieldCurve!$A$4:$A$63,1)))</f>
        <v>17</v>
      </c>
      <c r="D108">
        <f>INDEX(YieldCurve!$A$4:$A$63,C108)</f>
        <v>8.5</v>
      </c>
      <c r="E108">
        <f>INDEX(YieldCurve!$A$4:$A$63,C108+1)</f>
        <v>9</v>
      </c>
      <c r="F108">
        <f>INDEX(YieldCurve!$B$4:$B$63,C108)</f>
        <v>4.1486750000000003E-2</v>
      </c>
      <c r="G108">
        <f>INDEX(YieldCurve!$B$4:$B$63,C108+1)</f>
        <v>4.184247E-2</v>
      </c>
      <c r="H108">
        <f t="shared" si="1"/>
        <v>0.5</v>
      </c>
      <c r="I108">
        <f>IF(B108&lt;=INDEX(YieldCurve!$A$4:$A$63,1),INDEX(YieldCurve!$B$4:$B$63,1),IF(B108&gt;=INDEX(YieldCurve!$A$4:$A$63,ROWS(YieldCurve!$A$4:$A$63)),INDEX(YieldCurve!$B$4:$B$63,ROWS(YieldCurve!$B$4:$B$63)),F108+H108*(G108-F108)))</f>
        <v>4.1664610000000005E-2</v>
      </c>
      <c r="J108">
        <f>EXP(-(I108+Inputs!$B$9)*B108)</f>
        <v>0.69449845771704688</v>
      </c>
    </row>
    <row r="109" spans="1:10" x14ac:dyDescent="0.35">
      <c r="A109">
        <v>106</v>
      </c>
      <c r="B109">
        <f>A109/Inputs!$B$6</f>
        <v>8.8333333333333339</v>
      </c>
      <c r="C109">
        <f>IF(B109&lt;=INDEX(YieldCurve!$A$4:$A$63,1),1,IF(B109&gt;=INDEX(YieldCurve!$A$4:$A$63,ROWS(YieldCurve!$A$4:$A$63)),ROWS(YieldCurve!$A$4:$A$63)-1,MATCH(B109,YieldCurve!$A$4:$A$63,1)))</f>
        <v>17</v>
      </c>
      <c r="D109">
        <f>INDEX(YieldCurve!$A$4:$A$63,C109)</f>
        <v>8.5</v>
      </c>
      <c r="E109">
        <f>INDEX(YieldCurve!$A$4:$A$63,C109+1)</f>
        <v>9</v>
      </c>
      <c r="F109">
        <f>INDEX(YieldCurve!$B$4:$B$63,C109)</f>
        <v>4.1486750000000003E-2</v>
      </c>
      <c r="G109">
        <f>INDEX(YieldCurve!$B$4:$B$63,C109+1)</f>
        <v>4.184247E-2</v>
      </c>
      <c r="H109">
        <f t="shared" si="1"/>
        <v>0.66666666666666785</v>
      </c>
      <c r="I109">
        <f>IF(B109&lt;=INDEX(YieldCurve!$A$4:$A$63,1),INDEX(YieldCurve!$B$4:$B$63,1),IF(B109&gt;=INDEX(YieldCurve!$A$4:$A$63,ROWS(YieldCurve!$A$4:$A$63)),INDEX(YieldCurve!$B$4:$B$63,ROWS(YieldCurve!$B$4:$B$63)),F109+H109*(G109-F109)))</f>
        <v>4.172389666666667E-2</v>
      </c>
      <c r="J109">
        <f>EXP(-(I109+Inputs!$B$9)*B109)</f>
        <v>0.69172895250720612</v>
      </c>
    </row>
    <row r="110" spans="1:10" x14ac:dyDescent="0.35">
      <c r="A110">
        <v>107</v>
      </c>
      <c r="B110">
        <f>A110/Inputs!$B$6</f>
        <v>8.9166666666666661</v>
      </c>
      <c r="C110">
        <f>IF(B110&lt;=INDEX(YieldCurve!$A$4:$A$63,1),1,IF(B110&gt;=INDEX(YieldCurve!$A$4:$A$63,ROWS(YieldCurve!$A$4:$A$63)),ROWS(YieldCurve!$A$4:$A$63)-1,MATCH(B110,YieldCurve!$A$4:$A$63,1)))</f>
        <v>17</v>
      </c>
      <c r="D110">
        <f>INDEX(YieldCurve!$A$4:$A$63,C110)</f>
        <v>8.5</v>
      </c>
      <c r="E110">
        <f>INDEX(YieldCurve!$A$4:$A$63,C110+1)</f>
        <v>9</v>
      </c>
      <c r="F110">
        <f>INDEX(YieldCurve!$B$4:$B$63,C110)</f>
        <v>4.1486750000000003E-2</v>
      </c>
      <c r="G110">
        <f>INDEX(YieldCurve!$B$4:$B$63,C110+1)</f>
        <v>4.184247E-2</v>
      </c>
      <c r="H110">
        <f t="shared" si="1"/>
        <v>0.83333333333333215</v>
      </c>
      <c r="I110">
        <f>IF(B110&lt;=INDEX(YieldCurve!$A$4:$A$63,1),INDEX(YieldCurve!$B$4:$B$63,1),IF(B110&gt;=INDEX(YieldCurve!$A$4:$A$63,ROWS(YieldCurve!$A$4:$A$63)),INDEX(YieldCurve!$B$4:$B$63,ROWS(YieldCurve!$B$4:$B$63)),F110+H110*(G110-F110)))</f>
        <v>4.1783183333333335E-2</v>
      </c>
      <c r="J110">
        <f>EXP(-(I110+Inputs!$B$9)*B110)</f>
        <v>0.68896368370712979</v>
      </c>
    </row>
    <row r="111" spans="1:10" x14ac:dyDescent="0.35">
      <c r="A111">
        <v>108</v>
      </c>
      <c r="B111">
        <f>A111/Inputs!$B$6</f>
        <v>9</v>
      </c>
      <c r="C111">
        <f>IF(B111&lt;=INDEX(YieldCurve!$A$4:$A$63,1),1,IF(B111&gt;=INDEX(YieldCurve!$A$4:$A$63,ROWS(YieldCurve!$A$4:$A$63)),ROWS(YieldCurve!$A$4:$A$63)-1,MATCH(B111,YieldCurve!$A$4:$A$63,1)))</f>
        <v>18</v>
      </c>
      <c r="D111">
        <f>INDEX(YieldCurve!$A$4:$A$63,C111)</f>
        <v>9</v>
      </c>
      <c r="E111">
        <f>INDEX(YieldCurve!$A$4:$A$63,C111+1)</f>
        <v>9.5</v>
      </c>
      <c r="F111">
        <f>INDEX(YieldCurve!$B$4:$B$63,C111)</f>
        <v>4.184247E-2</v>
      </c>
      <c r="G111">
        <f>INDEX(YieldCurve!$B$4:$B$63,C111+1)</f>
        <v>4.2202040000000003E-2</v>
      </c>
      <c r="H111">
        <f t="shared" si="1"/>
        <v>0</v>
      </c>
      <c r="I111">
        <f>IF(B111&lt;=INDEX(YieldCurve!$A$4:$A$63,1),INDEX(YieldCurve!$B$4:$B$63,1),IF(B111&gt;=INDEX(YieldCurve!$A$4:$A$63,ROWS(YieldCurve!$A$4:$A$63)),INDEX(YieldCurve!$B$4:$B$63,ROWS(YieldCurve!$B$4:$B$63)),F111+H111*(G111-F111)))</f>
        <v>4.184247E-2</v>
      </c>
      <c r="J111">
        <f>EXP(-(I111+Inputs!$B$9)*B111)</f>
        <v>0.68620268891962222</v>
      </c>
    </row>
    <row r="112" spans="1:10" x14ac:dyDescent="0.35">
      <c r="A112">
        <v>109</v>
      </c>
      <c r="B112">
        <f>A112/Inputs!$B$6</f>
        <v>9.0833333333333339</v>
      </c>
      <c r="C112">
        <f>IF(B112&lt;=INDEX(YieldCurve!$A$4:$A$63,1),1,IF(B112&gt;=INDEX(YieldCurve!$A$4:$A$63,ROWS(YieldCurve!$A$4:$A$63)),ROWS(YieldCurve!$A$4:$A$63)-1,MATCH(B112,YieldCurve!$A$4:$A$63,1)))</f>
        <v>18</v>
      </c>
      <c r="D112">
        <f>INDEX(YieldCurve!$A$4:$A$63,C112)</f>
        <v>9</v>
      </c>
      <c r="E112">
        <f>INDEX(YieldCurve!$A$4:$A$63,C112+1)</f>
        <v>9.5</v>
      </c>
      <c r="F112">
        <f>INDEX(YieldCurve!$B$4:$B$63,C112)</f>
        <v>4.184247E-2</v>
      </c>
      <c r="G112">
        <f>INDEX(YieldCurve!$B$4:$B$63,C112+1)</f>
        <v>4.2202040000000003E-2</v>
      </c>
      <c r="H112">
        <f t="shared" si="1"/>
        <v>0.16666666666666785</v>
      </c>
      <c r="I112">
        <f>IF(B112&lt;=INDEX(YieldCurve!$A$4:$A$63,1),INDEX(YieldCurve!$B$4:$B$63,1),IF(B112&gt;=INDEX(YieldCurve!$A$4:$A$63,ROWS(YieldCurve!$A$4:$A$63)),INDEX(YieldCurve!$B$4:$B$63,ROWS(YieldCurve!$B$4:$B$63)),F112+H112*(G112-F112)))</f>
        <v>4.1902398333333334E-2</v>
      </c>
      <c r="J112">
        <f>EXP(-(I112+Inputs!$B$9)*B112)</f>
        <v>0.68344202203609028</v>
      </c>
    </row>
    <row r="113" spans="1:10" x14ac:dyDescent="0.35">
      <c r="A113">
        <v>110</v>
      </c>
      <c r="B113">
        <f>A113/Inputs!$B$6</f>
        <v>9.1666666666666661</v>
      </c>
      <c r="C113">
        <f>IF(B113&lt;=INDEX(YieldCurve!$A$4:$A$63,1),1,IF(B113&gt;=INDEX(YieldCurve!$A$4:$A$63,ROWS(YieldCurve!$A$4:$A$63)),ROWS(YieldCurve!$A$4:$A$63)-1,MATCH(B113,YieldCurve!$A$4:$A$63,1)))</f>
        <v>18</v>
      </c>
      <c r="D113">
        <f>INDEX(YieldCurve!$A$4:$A$63,C113)</f>
        <v>9</v>
      </c>
      <c r="E113">
        <f>INDEX(YieldCurve!$A$4:$A$63,C113+1)</f>
        <v>9.5</v>
      </c>
      <c r="F113">
        <f>INDEX(YieldCurve!$B$4:$B$63,C113)</f>
        <v>4.184247E-2</v>
      </c>
      <c r="G113">
        <f>INDEX(YieldCurve!$B$4:$B$63,C113+1)</f>
        <v>4.2202040000000003E-2</v>
      </c>
      <c r="H113">
        <f t="shared" si="1"/>
        <v>0.33333333333333215</v>
      </c>
      <c r="I113">
        <f>IF(B113&lt;=INDEX(YieldCurve!$A$4:$A$63,1),INDEX(YieldCurve!$B$4:$B$63,1),IF(B113&gt;=INDEX(YieldCurve!$A$4:$A$63,ROWS(YieldCurve!$A$4:$A$63)),INDEX(YieldCurve!$B$4:$B$63,ROWS(YieldCurve!$B$4:$B$63)),F113+H113*(G113-F113)))</f>
        <v>4.1962326666666667E-2</v>
      </c>
      <c r="J113">
        <f>EXP(-(I113+Inputs!$B$9)*B113)</f>
        <v>0.68068566285082299</v>
      </c>
    </row>
    <row r="114" spans="1:10" x14ac:dyDescent="0.35">
      <c r="A114">
        <v>111</v>
      </c>
      <c r="B114">
        <f>A114/Inputs!$B$6</f>
        <v>9.25</v>
      </c>
      <c r="C114">
        <f>IF(B114&lt;=INDEX(YieldCurve!$A$4:$A$63,1),1,IF(B114&gt;=INDEX(YieldCurve!$A$4:$A$63,ROWS(YieldCurve!$A$4:$A$63)),ROWS(YieldCurve!$A$4:$A$63)-1,MATCH(B114,YieldCurve!$A$4:$A$63,1)))</f>
        <v>18</v>
      </c>
      <c r="D114">
        <f>INDEX(YieldCurve!$A$4:$A$63,C114)</f>
        <v>9</v>
      </c>
      <c r="E114">
        <f>INDEX(YieldCurve!$A$4:$A$63,C114+1)</f>
        <v>9.5</v>
      </c>
      <c r="F114">
        <f>INDEX(YieldCurve!$B$4:$B$63,C114)</f>
        <v>4.184247E-2</v>
      </c>
      <c r="G114">
        <f>INDEX(YieldCurve!$B$4:$B$63,C114+1)</f>
        <v>4.2202040000000003E-2</v>
      </c>
      <c r="H114">
        <f t="shared" si="1"/>
        <v>0.5</v>
      </c>
      <c r="I114">
        <f>IF(B114&lt;=INDEX(YieldCurve!$A$4:$A$63,1),INDEX(YieldCurve!$B$4:$B$63,1),IF(B114&gt;=INDEX(YieldCurve!$A$4:$A$63,ROWS(YieldCurve!$A$4:$A$63)),INDEX(YieldCurve!$B$4:$B$63,ROWS(YieldCurve!$B$4:$B$63)),F114+H114*(G114-F114)))</f>
        <v>4.2022255000000001E-2</v>
      </c>
      <c r="J114">
        <f>EXP(-(I114+Inputs!$B$9)*B114)</f>
        <v>0.67793364894066677</v>
      </c>
    </row>
    <row r="115" spans="1:10" x14ac:dyDescent="0.35">
      <c r="A115">
        <v>112</v>
      </c>
      <c r="B115">
        <f>A115/Inputs!$B$6</f>
        <v>9.3333333333333339</v>
      </c>
      <c r="C115">
        <f>IF(B115&lt;=INDEX(YieldCurve!$A$4:$A$63,1),1,IF(B115&gt;=INDEX(YieldCurve!$A$4:$A$63,ROWS(YieldCurve!$A$4:$A$63)),ROWS(YieldCurve!$A$4:$A$63)-1,MATCH(B115,YieldCurve!$A$4:$A$63,1)))</f>
        <v>18</v>
      </c>
      <c r="D115">
        <f>INDEX(YieldCurve!$A$4:$A$63,C115)</f>
        <v>9</v>
      </c>
      <c r="E115">
        <f>INDEX(YieldCurve!$A$4:$A$63,C115+1)</f>
        <v>9.5</v>
      </c>
      <c r="F115">
        <f>INDEX(YieldCurve!$B$4:$B$63,C115)</f>
        <v>4.184247E-2</v>
      </c>
      <c r="G115">
        <f>INDEX(YieldCurve!$B$4:$B$63,C115+1)</f>
        <v>4.2202040000000003E-2</v>
      </c>
      <c r="H115">
        <f t="shared" si="1"/>
        <v>0.66666666666666785</v>
      </c>
      <c r="I115">
        <f>IF(B115&lt;=INDEX(YieldCurve!$A$4:$A$63,1),INDEX(YieldCurve!$B$4:$B$63,1),IF(B115&gt;=INDEX(YieldCurve!$A$4:$A$63,ROWS(YieldCurve!$A$4:$A$63)),INDEX(YieldCurve!$B$4:$B$63,ROWS(YieldCurve!$B$4:$B$63)),F115+H115*(G115-F115)))</f>
        <v>4.2082183333333335E-2</v>
      </c>
      <c r="J115">
        <f>EXP(-(I115+Inputs!$B$9)*B115)</f>
        <v>0.67518601760079366</v>
      </c>
    </row>
    <row r="116" spans="1:10" x14ac:dyDescent="0.35">
      <c r="A116">
        <v>113</v>
      </c>
      <c r="B116">
        <f>A116/Inputs!$B$6</f>
        <v>9.4166666666666661</v>
      </c>
      <c r="C116">
        <f>IF(B116&lt;=INDEX(YieldCurve!$A$4:$A$63,1),1,IF(B116&gt;=INDEX(YieldCurve!$A$4:$A$63,ROWS(YieldCurve!$A$4:$A$63)),ROWS(YieldCurve!$A$4:$A$63)-1,MATCH(B116,YieldCurve!$A$4:$A$63,1)))</f>
        <v>18</v>
      </c>
      <c r="D116">
        <f>INDEX(YieldCurve!$A$4:$A$63,C116)</f>
        <v>9</v>
      </c>
      <c r="E116">
        <f>INDEX(YieldCurve!$A$4:$A$63,C116+1)</f>
        <v>9.5</v>
      </c>
      <c r="F116">
        <f>INDEX(YieldCurve!$B$4:$B$63,C116)</f>
        <v>4.184247E-2</v>
      </c>
      <c r="G116">
        <f>INDEX(YieldCurve!$B$4:$B$63,C116+1)</f>
        <v>4.2202040000000003E-2</v>
      </c>
      <c r="H116">
        <f t="shared" si="1"/>
        <v>0.83333333333333215</v>
      </c>
      <c r="I116">
        <f>IF(B116&lt;=INDEX(YieldCurve!$A$4:$A$63,1),INDEX(YieldCurve!$B$4:$B$63,1),IF(B116&gt;=INDEX(YieldCurve!$A$4:$A$63,ROWS(YieldCurve!$A$4:$A$63)),INDEX(YieldCurve!$B$4:$B$63,ROWS(YieldCurve!$B$4:$B$63)),F116+H116*(G116-F116)))</f>
        <v>4.2142111666666669E-2</v>
      </c>
      <c r="J116">
        <f>EXP(-(I116+Inputs!$B$9)*B116)</f>
        <v>0.67244280584435279</v>
      </c>
    </row>
    <row r="117" spans="1:10" x14ac:dyDescent="0.35">
      <c r="A117">
        <v>114</v>
      </c>
      <c r="B117">
        <f>A117/Inputs!$B$6</f>
        <v>9.5</v>
      </c>
      <c r="C117">
        <f>IF(B117&lt;=INDEX(YieldCurve!$A$4:$A$63,1),1,IF(B117&gt;=INDEX(YieldCurve!$A$4:$A$63,ROWS(YieldCurve!$A$4:$A$63)),ROWS(YieldCurve!$A$4:$A$63)-1,MATCH(B117,YieldCurve!$A$4:$A$63,1)))</f>
        <v>19</v>
      </c>
      <c r="D117">
        <f>INDEX(YieldCurve!$A$4:$A$63,C117)</f>
        <v>9.5</v>
      </c>
      <c r="E117">
        <f>INDEX(YieldCurve!$A$4:$A$63,C117+1)</f>
        <v>10</v>
      </c>
      <c r="F117">
        <f>INDEX(YieldCurve!$B$4:$B$63,C117)</f>
        <v>4.2202040000000003E-2</v>
      </c>
      <c r="G117">
        <f>INDEX(YieldCurve!$B$4:$B$63,C117+1)</f>
        <v>4.2565600000000002E-2</v>
      </c>
      <c r="H117">
        <f t="shared" si="1"/>
        <v>0</v>
      </c>
      <c r="I117">
        <f>IF(B117&lt;=INDEX(YieldCurve!$A$4:$A$63,1),INDEX(YieldCurve!$B$4:$B$63,1),IF(B117&gt;=INDEX(YieldCurve!$A$4:$A$63,ROWS(YieldCurve!$A$4:$A$63)),INDEX(YieldCurve!$B$4:$B$63,ROWS(YieldCurve!$B$4:$B$63)),F117+H117*(G117-F117)))</f>
        <v>4.2202040000000003E-2</v>
      </c>
      <c r="J117">
        <f>EXP(-(I117+Inputs!$B$9)*B117)</f>
        <v>0.66970405040213743</v>
      </c>
    </row>
    <row r="118" spans="1:10" x14ac:dyDescent="0.35">
      <c r="A118">
        <v>115</v>
      </c>
      <c r="B118">
        <f>A118/Inputs!$B$6</f>
        <v>9.5833333333333339</v>
      </c>
      <c r="C118">
        <f>IF(B118&lt;=INDEX(YieldCurve!$A$4:$A$63,1),1,IF(B118&gt;=INDEX(YieldCurve!$A$4:$A$63,ROWS(YieldCurve!$A$4:$A$63)),ROWS(YieldCurve!$A$4:$A$63)-1,MATCH(B118,YieldCurve!$A$4:$A$63,1)))</f>
        <v>19</v>
      </c>
      <c r="D118">
        <f>INDEX(YieldCurve!$A$4:$A$63,C118)</f>
        <v>9.5</v>
      </c>
      <c r="E118">
        <f>INDEX(YieldCurve!$A$4:$A$63,C118+1)</f>
        <v>10</v>
      </c>
      <c r="F118">
        <f>INDEX(YieldCurve!$B$4:$B$63,C118)</f>
        <v>4.2202040000000003E-2</v>
      </c>
      <c r="G118">
        <f>INDEX(YieldCurve!$B$4:$B$63,C118+1)</f>
        <v>4.2565600000000002E-2</v>
      </c>
      <c r="H118">
        <f t="shared" si="1"/>
        <v>0.16666666666666785</v>
      </c>
      <c r="I118">
        <f>IF(B118&lt;=INDEX(YieldCurve!$A$4:$A$63,1),INDEX(YieldCurve!$B$4:$B$63,1),IF(B118&gt;=INDEX(YieldCurve!$A$4:$A$63,ROWS(YieldCurve!$A$4:$A$63)),INDEX(YieldCurve!$B$4:$B$63,ROWS(YieldCurve!$B$4:$B$63)),F118+H118*(G118-F118)))</f>
        <v>4.2262633333333334E-2</v>
      </c>
      <c r="J118">
        <f>EXP(-(I118+Inputs!$B$9)*B118)</f>
        <v>0.66696553719293594</v>
      </c>
    </row>
    <row r="119" spans="1:10" x14ac:dyDescent="0.35">
      <c r="A119">
        <v>116</v>
      </c>
      <c r="B119">
        <f>A119/Inputs!$B$6</f>
        <v>9.6666666666666661</v>
      </c>
      <c r="C119">
        <f>IF(B119&lt;=INDEX(YieldCurve!$A$4:$A$63,1),1,IF(B119&gt;=INDEX(YieldCurve!$A$4:$A$63,ROWS(YieldCurve!$A$4:$A$63)),ROWS(YieldCurve!$A$4:$A$63)-1,MATCH(B119,YieldCurve!$A$4:$A$63,1)))</f>
        <v>19</v>
      </c>
      <c r="D119">
        <f>INDEX(YieldCurve!$A$4:$A$63,C119)</f>
        <v>9.5</v>
      </c>
      <c r="E119">
        <f>INDEX(YieldCurve!$A$4:$A$63,C119+1)</f>
        <v>10</v>
      </c>
      <c r="F119">
        <f>INDEX(YieldCurve!$B$4:$B$63,C119)</f>
        <v>4.2202040000000003E-2</v>
      </c>
      <c r="G119">
        <f>INDEX(YieldCurve!$B$4:$B$63,C119+1)</f>
        <v>4.2565600000000002E-2</v>
      </c>
      <c r="H119">
        <f t="shared" si="1"/>
        <v>0.33333333333333215</v>
      </c>
      <c r="I119">
        <f>IF(B119&lt;=INDEX(YieldCurve!$A$4:$A$63,1),INDEX(YieldCurve!$B$4:$B$63,1),IF(B119&gt;=INDEX(YieldCurve!$A$4:$A$63,ROWS(YieldCurve!$A$4:$A$63)),INDEX(YieldCurve!$B$4:$B$63,ROWS(YieldCurve!$B$4:$B$63)),F119+H119*(G119-F119)))</f>
        <v>4.2323226666666672E-2</v>
      </c>
      <c r="J119">
        <f>EXP(-(I119+Inputs!$B$9)*B119)</f>
        <v>0.66423151411182679</v>
      </c>
    </row>
    <row r="120" spans="1:10" x14ac:dyDescent="0.35">
      <c r="A120">
        <v>117</v>
      </c>
      <c r="B120">
        <f>A120/Inputs!$B$6</f>
        <v>9.75</v>
      </c>
      <c r="C120">
        <f>IF(B120&lt;=INDEX(YieldCurve!$A$4:$A$63,1),1,IF(B120&gt;=INDEX(YieldCurve!$A$4:$A$63,ROWS(YieldCurve!$A$4:$A$63)),ROWS(YieldCurve!$A$4:$A$63)-1,MATCH(B120,YieldCurve!$A$4:$A$63,1)))</f>
        <v>19</v>
      </c>
      <c r="D120">
        <f>INDEX(YieldCurve!$A$4:$A$63,C120)</f>
        <v>9.5</v>
      </c>
      <c r="E120">
        <f>INDEX(YieldCurve!$A$4:$A$63,C120+1)</f>
        <v>10</v>
      </c>
      <c r="F120">
        <f>INDEX(YieldCurve!$B$4:$B$63,C120)</f>
        <v>4.2202040000000003E-2</v>
      </c>
      <c r="G120">
        <f>INDEX(YieldCurve!$B$4:$B$63,C120+1)</f>
        <v>4.2565600000000002E-2</v>
      </c>
      <c r="H120">
        <f t="shared" si="1"/>
        <v>0.5</v>
      </c>
      <c r="I120">
        <f>IF(B120&lt;=INDEX(YieldCurve!$A$4:$A$63,1),INDEX(YieldCurve!$B$4:$B$63,1),IF(B120&gt;=INDEX(YieldCurve!$A$4:$A$63,ROWS(YieldCurve!$A$4:$A$63)),INDEX(YieldCurve!$B$4:$B$63,ROWS(YieldCurve!$B$4:$B$63)),F120+H120*(G120-F120)))</f>
        <v>4.2383820000000003E-2</v>
      </c>
      <c r="J120">
        <f>EXP(-(I120+Inputs!$B$9)*B120)</f>
        <v>0.6615020178606219</v>
      </c>
    </row>
    <row r="121" spans="1:10" x14ac:dyDescent="0.35">
      <c r="A121">
        <v>118</v>
      </c>
      <c r="B121">
        <f>A121/Inputs!$B$6</f>
        <v>9.8333333333333339</v>
      </c>
      <c r="C121">
        <f>IF(B121&lt;=INDEX(YieldCurve!$A$4:$A$63,1),1,IF(B121&gt;=INDEX(YieldCurve!$A$4:$A$63,ROWS(YieldCurve!$A$4:$A$63)),ROWS(YieldCurve!$A$4:$A$63)-1,MATCH(B121,YieldCurve!$A$4:$A$63,1)))</f>
        <v>19</v>
      </c>
      <c r="D121">
        <f>INDEX(YieldCurve!$A$4:$A$63,C121)</f>
        <v>9.5</v>
      </c>
      <c r="E121">
        <f>INDEX(YieldCurve!$A$4:$A$63,C121+1)</f>
        <v>10</v>
      </c>
      <c r="F121">
        <f>INDEX(YieldCurve!$B$4:$B$63,C121)</f>
        <v>4.2202040000000003E-2</v>
      </c>
      <c r="G121">
        <f>INDEX(YieldCurve!$B$4:$B$63,C121+1)</f>
        <v>4.2565600000000002E-2</v>
      </c>
      <c r="H121">
        <f t="shared" si="1"/>
        <v>0.66666666666666785</v>
      </c>
      <c r="I121">
        <f>IF(B121&lt;=INDEX(YieldCurve!$A$4:$A$63,1),INDEX(YieldCurve!$B$4:$B$63,1),IF(B121&gt;=INDEX(YieldCurve!$A$4:$A$63,ROWS(YieldCurve!$A$4:$A$63)),INDEX(YieldCurve!$B$4:$B$63,ROWS(YieldCurve!$B$4:$B$63)),F121+H121*(G121-F121)))</f>
        <v>4.2444413333333333E-2</v>
      </c>
      <c r="J121">
        <f>EXP(-(I121+Inputs!$B$9)*B121)</f>
        <v>0.65877708485363562</v>
      </c>
    </row>
    <row r="122" spans="1:10" x14ac:dyDescent="0.35">
      <c r="A122">
        <v>119</v>
      </c>
      <c r="B122">
        <f>A122/Inputs!$B$6</f>
        <v>9.9166666666666661</v>
      </c>
      <c r="C122">
        <f>IF(B122&lt;=INDEX(YieldCurve!$A$4:$A$63,1),1,IF(B122&gt;=INDEX(YieldCurve!$A$4:$A$63,ROWS(YieldCurve!$A$4:$A$63)),ROWS(YieldCurve!$A$4:$A$63)-1,MATCH(B122,YieldCurve!$A$4:$A$63,1)))</f>
        <v>19</v>
      </c>
      <c r="D122">
        <f>INDEX(YieldCurve!$A$4:$A$63,C122)</f>
        <v>9.5</v>
      </c>
      <c r="E122">
        <f>INDEX(YieldCurve!$A$4:$A$63,C122+1)</f>
        <v>10</v>
      </c>
      <c r="F122">
        <f>INDEX(YieldCurve!$B$4:$B$63,C122)</f>
        <v>4.2202040000000003E-2</v>
      </c>
      <c r="G122">
        <f>INDEX(YieldCurve!$B$4:$B$63,C122+1)</f>
        <v>4.2565600000000002E-2</v>
      </c>
      <c r="H122">
        <f t="shared" si="1"/>
        <v>0.83333333333333215</v>
      </c>
      <c r="I122">
        <f>IF(B122&lt;=INDEX(YieldCurve!$A$4:$A$63,1),INDEX(YieldCurve!$B$4:$B$63,1),IF(B122&gt;=INDEX(YieldCurve!$A$4:$A$63,ROWS(YieldCurve!$A$4:$A$63)),INDEX(YieldCurve!$B$4:$B$63,ROWS(YieldCurve!$B$4:$B$63)),F122+H122*(G122-F122)))</f>
        <v>4.2505006666666671E-2</v>
      </c>
      <c r="J122">
        <f>EXP(-(I122+Inputs!$B$9)*B122)</f>
        <v>0.65605675121739804</v>
      </c>
    </row>
    <row r="123" spans="1:10" x14ac:dyDescent="0.35">
      <c r="A123">
        <v>120</v>
      </c>
      <c r="B123">
        <f>A123/Inputs!$B$6</f>
        <v>10</v>
      </c>
      <c r="C123">
        <f>IF(B123&lt;=INDEX(YieldCurve!$A$4:$A$63,1),1,IF(B123&gt;=INDEX(YieldCurve!$A$4:$A$63,ROWS(YieldCurve!$A$4:$A$63)),ROWS(YieldCurve!$A$4:$A$63)-1,MATCH(B123,YieldCurve!$A$4:$A$63,1)))</f>
        <v>20</v>
      </c>
      <c r="D123">
        <f>INDEX(YieldCurve!$A$4:$A$63,C123)</f>
        <v>10</v>
      </c>
      <c r="E123">
        <f>INDEX(YieldCurve!$A$4:$A$63,C123+1)</f>
        <v>10.5</v>
      </c>
      <c r="F123">
        <f>INDEX(YieldCurve!$B$4:$B$63,C123)</f>
        <v>4.2565600000000002E-2</v>
      </c>
      <c r="G123">
        <f>INDEX(YieldCurve!$B$4:$B$63,C123+1)</f>
        <v>4.289403E-2</v>
      </c>
      <c r="H123">
        <f t="shared" si="1"/>
        <v>0</v>
      </c>
      <c r="I123">
        <f>IF(B123&lt;=INDEX(YieldCurve!$A$4:$A$63,1),INDEX(YieldCurve!$B$4:$B$63,1),IF(B123&gt;=INDEX(YieldCurve!$A$4:$A$63,ROWS(YieldCurve!$A$4:$A$63)),INDEX(YieldCurve!$B$4:$B$63,ROWS(YieldCurve!$B$4:$B$63)),F123+H123*(G123-F123)))</f>
        <v>4.2565600000000002E-2</v>
      </c>
      <c r="J123">
        <f>EXP(-(I123+Inputs!$B$9)*B123)</f>
        <v>0.65334105279038435</v>
      </c>
    </row>
    <row r="124" spans="1:10" x14ac:dyDescent="0.35">
      <c r="A124">
        <v>121</v>
      </c>
      <c r="B124">
        <f>A124/Inputs!$B$6</f>
        <v>10.083333333333334</v>
      </c>
      <c r="C124">
        <f>IF(B124&lt;=INDEX(YieldCurve!$A$4:$A$63,1),1,IF(B124&gt;=INDEX(YieldCurve!$A$4:$A$63,ROWS(YieldCurve!$A$4:$A$63)),ROWS(YieldCurve!$A$4:$A$63)-1,MATCH(B124,YieldCurve!$A$4:$A$63,1)))</f>
        <v>20</v>
      </c>
      <c r="D124">
        <f>INDEX(YieldCurve!$A$4:$A$63,C124)</f>
        <v>10</v>
      </c>
      <c r="E124">
        <f>INDEX(YieldCurve!$A$4:$A$63,C124+1)</f>
        <v>10.5</v>
      </c>
      <c r="F124">
        <f>INDEX(YieldCurve!$B$4:$B$63,C124)</f>
        <v>4.2565600000000002E-2</v>
      </c>
      <c r="G124">
        <f>INDEX(YieldCurve!$B$4:$B$63,C124+1)</f>
        <v>4.289403E-2</v>
      </c>
      <c r="H124">
        <f t="shared" si="1"/>
        <v>0.16666666666666785</v>
      </c>
      <c r="I124">
        <f>IF(B124&lt;=INDEX(YieldCurve!$A$4:$A$63,1),INDEX(YieldCurve!$B$4:$B$63,1),IF(B124&gt;=INDEX(YieldCurve!$A$4:$A$63,ROWS(YieldCurve!$A$4:$A$63)),INDEX(YieldCurve!$B$4:$B$63,ROWS(YieldCurve!$B$4:$B$63)),F124+H124*(G124-F124)))</f>
        <v>4.2620338333333334E-2</v>
      </c>
      <c r="J124">
        <f>EXP(-(I124+Inputs!$B$9)*B124)</f>
        <v>0.65066843809786346</v>
      </c>
    </row>
    <row r="125" spans="1:10" x14ac:dyDescent="0.35">
      <c r="A125">
        <v>122</v>
      </c>
      <c r="B125">
        <f>A125/Inputs!$B$6</f>
        <v>10.166666666666666</v>
      </c>
      <c r="C125">
        <f>IF(B125&lt;=INDEX(YieldCurve!$A$4:$A$63,1),1,IF(B125&gt;=INDEX(YieldCurve!$A$4:$A$63,ROWS(YieldCurve!$A$4:$A$63)),ROWS(YieldCurve!$A$4:$A$63)-1,MATCH(B125,YieldCurve!$A$4:$A$63,1)))</f>
        <v>20</v>
      </c>
      <c r="D125">
        <f>INDEX(YieldCurve!$A$4:$A$63,C125)</f>
        <v>10</v>
      </c>
      <c r="E125">
        <f>INDEX(YieldCurve!$A$4:$A$63,C125+1)</f>
        <v>10.5</v>
      </c>
      <c r="F125">
        <f>INDEX(YieldCurve!$B$4:$B$63,C125)</f>
        <v>4.2565600000000002E-2</v>
      </c>
      <c r="G125">
        <f>INDEX(YieldCurve!$B$4:$B$63,C125+1)</f>
        <v>4.289403E-2</v>
      </c>
      <c r="H125">
        <f t="shared" si="1"/>
        <v>0.33333333333333215</v>
      </c>
      <c r="I125">
        <f>IF(B125&lt;=INDEX(YieldCurve!$A$4:$A$63,1),INDEX(YieldCurve!$B$4:$B$63,1),IF(B125&gt;=INDEX(YieldCurve!$A$4:$A$63,ROWS(YieldCurve!$A$4:$A$63)),INDEX(YieldCurve!$B$4:$B$63,ROWS(YieldCurve!$B$4:$B$63)),F125+H125*(G125-F125)))</f>
        <v>4.2675076666666666E-2</v>
      </c>
      <c r="J125">
        <f>EXP(-(I125+Inputs!$B$9)*B125)</f>
        <v>0.64800084446470108</v>
      </c>
    </row>
    <row r="126" spans="1:10" x14ac:dyDescent="0.35">
      <c r="A126">
        <v>123</v>
      </c>
      <c r="B126">
        <f>A126/Inputs!$B$6</f>
        <v>10.25</v>
      </c>
      <c r="C126">
        <f>IF(B126&lt;=INDEX(YieldCurve!$A$4:$A$63,1),1,IF(B126&gt;=INDEX(YieldCurve!$A$4:$A$63,ROWS(YieldCurve!$A$4:$A$63)),ROWS(YieldCurve!$A$4:$A$63)-1,MATCH(B126,YieldCurve!$A$4:$A$63,1)))</f>
        <v>20</v>
      </c>
      <c r="D126">
        <f>INDEX(YieldCurve!$A$4:$A$63,C126)</f>
        <v>10</v>
      </c>
      <c r="E126">
        <f>INDEX(YieldCurve!$A$4:$A$63,C126+1)</f>
        <v>10.5</v>
      </c>
      <c r="F126">
        <f>INDEX(YieldCurve!$B$4:$B$63,C126)</f>
        <v>4.2565600000000002E-2</v>
      </c>
      <c r="G126">
        <f>INDEX(YieldCurve!$B$4:$B$63,C126+1)</f>
        <v>4.289403E-2</v>
      </c>
      <c r="H126">
        <f t="shared" si="1"/>
        <v>0.5</v>
      </c>
      <c r="I126">
        <f>IF(B126&lt;=INDEX(YieldCurve!$A$4:$A$63,1),INDEX(YieldCurve!$B$4:$B$63,1),IF(B126&gt;=INDEX(YieldCurve!$A$4:$A$63,ROWS(YieldCurve!$A$4:$A$63)),INDEX(YieldCurve!$B$4:$B$63,ROWS(YieldCurve!$B$4:$B$63)),F126+H126*(G126-F126)))</f>
        <v>4.2729815000000004E-2</v>
      </c>
      <c r="J126">
        <f>EXP(-(I126+Inputs!$B$9)*B126)</f>
        <v>0.64533829987890157</v>
      </c>
    </row>
    <row r="127" spans="1:10" x14ac:dyDescent="0.35">
      <c r="A127">
        <v>124</v>
      </c>
      <c r="B127">
        <f>A127/Inputs!$B$6</f>
        <v>10.333333333333334</v>
      </c>
      <c r="C127">
        <f>IF(B127&lt;=INDEX(YieldCurve!$A$4:$A$63,1),1,IF(B127&gt;=INDEX(YieldCurve!$A$4:$A$63,ROWS(YieldCurve!$A$4:$A$63)),ROWS(YieldCurve!$A$4:$A$63)-1,MATCH(B127,YieldCurve!$A$4:$A$63,1)))</f>
        <v>20</v>
      </c>
      <c r="D127">
        <f>INDEX(YieldCurve!$A$4:$A$63,C127)</f>
        <v>10</v>
      </c>
      <c r="E127">
        <f>INDEX(YieldCurve!$A$4:$A$63,C127+1)</f>
        <v>10.5</v>
      </c>
      <c r="F127">
        <f>INDEX(YieldCurve!$B$4:$B$63,C127)</f>
        <v>4.2565600000000002E-2</v>
      </c>
      <c r="G127">
        <f>INDEX(YieldCurve!$B$4:$B$63,C127+1)</f>
        <v>4.289403E-2</v>
      </c>
      <c r="H127">
        <f t="shared" si="1"/>
        <v>0.66666666666666785</v>
      </c>
      <c r="I127">
        <f>IF(B127&lt;=INDEX(YieldCurve!$A$4:$A$63,1),INDEX(YieldCurve!$B$4:$B$63,1),IF(B127&gt;=INDEX(YieldCurve!$A$4:$A$63,ROWS(YieldCurve!$A$4:$A$63)),INDEX(YieldCurve!$B$4:$B$63,ROWS(YieldCurve!$B$4:$B$63)),F127+H127*(G127-F127)))</f>
        <v>4.2784553333333336E-2</v>
      </c>
      <c r="J127">
        <f>EXP(-(I127+Inputs!$B$9)*B127)</f>
        <v>0.64268083207569426</v>
      </c>
    </row>
    <row r="128" spans="1:10" x14ac:dyDescent="0.35">
      <c r="A128">
        <v>125</v>
      </c>
      <c r="B128">
        <f>A128/Inputs!$B$6</f>
        <v>10.416666666666666</v>
      </c>
      <c r="C128">
        <f>IF(B128&lt;=INDEX(YieldCurve!$A$4:$A$63,1),1,IF(B128&gt;=INDEX(YieldCurve!$A$4:$A$63,ROWS(YieldCurve!$A$4:$A$63)),ROWS(YieldCurve!$A$4:$A$63)-1,MATCH(B128,YieldCurve!$A$4:$A$63,1)))</f>
        <v>20</v>
      </c>
      <c r="D128">
        <f>INDEX(YieldCurve!$A$4:$A$63,C128)</f>
        <v>10</v>
      </c>
      <c r="E128">
        <f>INDEX(YieldCurve!$A$4:$A$63,C128+1)</f>
        <v>10.5</v>
      </c>
      <c r="F128">
        <f>INDEX(YieldCurve!$B$4:$B$63,C128)</f>
        <v>4.2565600000000002E-2</v>
      </c>
      <c r="G128">
        <f>INDEX(YieldCurve!$B$4:$B$63,C128+1)</f>
        <v>4.289403E-2</v>
      </c>
      <c r="H128">
        <f t="shared" si="1"/>
        <v>0.83333333333333215</v>
      </c>
      <c r="I128">
        <f>IF(B128&lt;=INDEX(YieldCurve!$A$4:$A$63,1),INDEX(YieldCurve!$B$4:$B$63,1),IF(B128&gt;=INDEX(YieldCurve!$A$4:$A$63,ROWS(YieldCurve!$A$4:$A$63)),INDEX(YieldCurve!$B$4:$B$63,ROWS(YieldCurve!$B$4:$B$63)),F128+H128*(G128-F128)))</f>
        <v>4.2839291666666668E-2</v>
      </c>
      <c r="J128">
        <f>EXP(-(I128+Inputs!$B$9)*B128)</f>
        <v>0.64002846853756201</v>
      </c>
    </row>
    <row r="129" spans="1:10" x14ac:dyDescent="0.35">
      <c r="A129">
        <v>126</v>
      </c>
      <c r="B129">
        <f>A129/Inputs!$B$6</f>
        <v>10.5</v>
      </c>
      <c r="C129">
        <f>IF(B129&lt;=INDEX(YieldCurve!$A$4:$A$63,1),1,IF(B129&gt;=INDEX(YieldCurve!$A$4:$A$63,ROWS(YieldCurve!$A$4:$A$63)),ROWS(YieldCurve!$A$4:$A$63)-1,MATCH(B129,YieldCurve!$A$4:$A$63,1)))</f>
        <v>21</v>
      </c>
      <c r="D129">
        <f>INDEX(YieldCurve!$A$4:$A$63,C129)</f>
        <v>10.5</v>
      </c>
      <c r="E129">
        <f>INDEX(YieldCurve!$A$4:$A$63,C129+1)</f>
        <v>11</v>
      </c>
      <c r="F129">
        <f>INDEX(YieldCurve!$B$4:$B$63,C129)</f>
        <v>4.289403E-2</v>
      </c>
      <c r="G129">
        <f>INDEX(YieldCurve!$B$4:$B$63,C129+1)</f>
        <v>4.3226420000000002E-2</v>
      </c>
      <c r="H129">
        <f t="shared" si="1"/>
        <v>0</v>
      </c>
      <c r="I129">
        <f>IF(B129&lt;=INDEX(YieldCurve!$A$4:$A$63,1),INDEX(YieldCurve!$B$4:$B$63,1),IF(B129&gt;=INDEX(YieldCurve!$A$4:$A$63,ROWS(YieldCurve!$A$4:$A$63)),INDEX(YieldCurve!$B$4:$B$63,ROWS(YieldCurve!$B$4:$B$63)),F129+H129*(G129-F129)))</f>
        <v>4.289403E-2</v>
      </c>
      <c r="J129">
        <f>EXP(-(I129+Inputs!$B$9)*B129)</f>
        <v>0.63738123649428091</v>
      </c>
    </row>
    <row r="130" spans="1:10" x14ac:dyDescent="0.35">
      <c r="A130">
        <v>127</v>
      </c>
      <c r="B130">
        <f>A130/Inputs!$B$6</f>
        <v>10.583333333333334</v>
      </c>
      <c r="C130">
        <f>IF(B130&lt;=INDEX(YieldCurve!$A$4:$A$63,1),1,IF(B130&gt;=INDEX(YieldCurve!$A$4:$A$63,ROWS(YieldCurve!$A$4:$A$63)),ROWS(YieldCurve!$A$4:$A$63)-1,MATCH(B130,YieldCurve!$A$4:$A$63,1)))</f>
        <v>21</v>
      </c>
      <c r="D130">
        <f>INDEX(YieldCurve!$A$4:$A$63,C130)</f>
        <v>10.5</v>
      </c>
      <c r="E130">
        <f>INDEX(YieldCurve!$A$4:$A$63,C130+1)</f>
        <v>11</v>
      </c>
      <c r="F130">
        <f>INDEX(YieldCurve!$B$4:$B$63,C130)</f>
        <v>4.289403E-2</v>
      </c>
      <c r="G130">
        <f>INDEX(YieldCurve!$B$4:$B$63,C130+1)</f>
        <v>4.3226420000000002E-2</v>
      </c>
      <c r="H130">
        <f t="shared" si="1"/>
        <v>0.16666666666666785</v>
      </c>
      <c r="I130">
        <f>IF(B130&lt;=INDEX(YieldCurve!$A$4:$A$63,1),INDEX(YieldCurve!$B$4:$B$63,1),IF(B130&gt;=INDEX(YieldCurve!$A$4:$A$63,ROWS(YieldCurve!$A$4:$A$63)),INDEX(YieldCurve!$B$4:$B$63,ROWS(YieldCurve!$B$4:$B$63)),F130+H130*(G130-F130)))</f>
        <v>4.2949428333333331E-2</v>
      </c>
      <c r="J130">
        <f>EXP(-(I130+Inputs!$B$9)*B130)</f>
        <v>0.63473472928540364</v>
      </c>
    </row>
    <row r="131" spans="1:10" x14ac:dyDescent="0.35">
      <c r="A131">
        <v>128</v>
      </c>
      <c r="B131">
        <f>A131/Inputs!$B$6</f>
        <v>10.666666666666666</v>
      </c>
      <c r="C131">
        <f>IF(B131&lt;=INDEX(YieldCurve!$A$4:$A$63,1),1,IF(B131&gt;=INDEX(YieldCurve!$A$4:$A$63,ROWS(YieldCurve!$A$4:$A$63)),ROWS(YieldCurve!$A$4:$A$63)-1,MATCH(B131,YieldCurve!$A$4:$A$63,1)))</f>
        <v>21</v>
      </c>
      <c r="D131">
        <f>INDEX(YieldCurve!$A$4:$A$63,C131)</f>
        <v>10.5</v>
      </c>
      <c r="E131">
        <f>INDEX(YieldCurve!$A$4:$A$63,C131+1)</f>
        <v>11</v>
      </c>
      <c r="F131">
        <f>INDEX(YieldCurve!$B$4:$B$63,C131)</f>
        <v>4.289403E-2</v>
      </c>
      <c r="G131">
        <f>INDEX(YieldCurve!$B$4:$B$63,C131+1)</f>
        <v>4.3226420000000002E-2</v>
      </c>
      <c r="H131">
        <f t="shared" si="1"/>
        <v>0.33333333333333215</v>
      </c>
      <c r="I131">
        <f>IF(B131&lt;=INDEX(YieldCurve!$A$4:$A$63,1),INDEX(YieldCurve!$B$4:$B$63,1),IF(B131&gt;=INDEX(YieldCurve!$A$4:$A$63,ROWS(YieldCurve!$A$4:$A$63)),INDEX(YieldCurve!$B$4:$B$63,ROWS(YieldCurve!$B$4:$B$63)),F131+H131*(G131-F131)))</f>
        <v>4.3004826666666669E-2</v>
      </c>
      <c r="J131">
        <f>EXP(-(I131+Inputs!$B$9)*B131)</f>
        <v>0.63209337461079418</v>
      </c>
    </row>
    <row r="132" spans="1:10" x14ac:dyDescent="0.35">
      <c r="A132">
        <v>129</v>
      </c>
      <c r="B132">
        <f>A132/Inputs!$B$6</f>
        <v>10.75</v>
      </c>
      <c r="C132">
        <f>IF(B132&lt;=INDEX(YieldCurve!$A$4:$A$63,1),1,IF(B132&gt;=INDEX(YieldCurve!$A$4:$A$63,ROWS(YieldCurve!$A$4:$A$63)),ROWS(YieldCurve!$A$4:$A$63)-1,MATCH(B132,YieldCurve!$A$4:$A$63,1)))</f>
        <v>21</v>
      </c>
      <c r="D132">
        <f>INDEX(YieldCurve!$A$4:$A$63,C132)</f>
        <v>10.5</v>
      </c>
      <c r="E132">
        <f>INDEX(YieldCurve!$A$4:$A$63,C132+1)</f>
        <v>11</v>
      </c>
      <c r="F132">
        <f>INDEX(YieldCurve!$B$4:$B$63,C132)</f>
        <v>4.289403E-2</v>
      </c>
      <c r="G132">
        <f>INDEX(YieldCurve!$B$4:$B$63,C132+1)</f>
        <v>4.3226420000000002E-2</v>
      </c>
      <c r="H132">
        <f t="shared" ref="H132:H195" si="2">IF(E132=D132,0,(B132-D132)/(E132-D132))</f>
        <v>0.5</v>
      </c>
      <c r="I132">
        <f>IF(B132&lt;=INDEX(YieldCurve!$A$4:$A$63,1),INDEX(YieldCurve!$B$4:$B$63,1),IF(B132&gt;=INDEX(YieldCurve!$A$4:$A$63,ROWS(YieldCurve!$A$4:$A$63)),INDEX(YieldCurve!$B$4:$B$63,ROWS(YieldCurve!$B$4:$B$63)),F132+H132*(G132-F132)))</f>
        <v>4.3060225000000001E-2</v>
      </c>
      <c r="J132">
        <f>EXP(-(I132+Inputs!$B$9)*B132)</f>
        <v>0.62945719970278147</v>
      </c>
    </row>
    <row r="133" spans="1:10" x14ac:dyDescent="0.35">
      <c r="A133">
        <v>130</v>
      </c>
      <c r="B133">
        <f>A133/Inputs!$B$6</f>
        <v>10.833333333333334</v>
      </c>
      <c r="C133">
        <f>IF(B133&lt;=INDEX(YieldCurve!$A$4:$A$63,1),1,IF(B133&gt;=INDEX(YieldCurve!$A$4:$A$63,ROWS(YieldCurve!$A$4:$A$63)),ROWS(YieldCurve!$A$4:$A$63)-1,MATCH(B133,YieldCurve!$A$4:$A$63,1)))</f>
        <v>21</v>
      </c>
      <c r="D133">
        <f>INDEX(YieldCurve!$A$4:$A$63,C133)</f>
        <v>10.5</v>
      </c>
      <c r="E133">
        <f>INDEX(YieldCurve!$A$4:$A$63,C133+1)</f>
        <v>11</v>
      </c>
      <c r="F133">
        <f>INDEX(YieldCurve!$B$4:$B$63,C133)</f>
        <v>4.289403E-2</v>
      </c>
      <c r="G133">
        <f>INDEX(YieldCurve!$B$4:$B$63,C133+1)</f>
        <v>4.3226420000000002E-2</v>
      </c>
      <c r="H133">
        <f t="shared" si="2"/>
        <v>0.66666666666666785</v>
      </c>
      <c r="I133">
        <f>IF(B133&lt;=INDEX(YieldCurve!$A$4:$A$63,1),INDEX(YieldCurve!$B$4:$B$63,1),IF(B133&gt;=INDEX(YieldCurve!$A$4:$A$63,ROWS(YieldCurve!$A$4:$A$63)),INDEX(YieldCurve!$B$4:$B$63,ROWS(YieldCurve!$B$4:$B$63)),F133+H133*(G133-F133)))</f>
        <v>4.3115623333333332E-2</v>
      </c>
      <c r="J133">
        <f>EXP(-(I133+Inputs!$B$9)*B133)</f>
        <v>0.62682623153707095</v>
      </c>
    </row>
    <row r="134" spans="1:10" x14ac:dyDescent="0.35">
      <c r="A134">
        <v>131</v>
      </c>
      <c r="B134">
        <f>A134/Inputs!$B$6</f>
        <v>10.916666666666666</v>
      </c>
      <c r="C134">
        <f>IF(B134&lt;=INDEX(YieldCurve!$A$4:$A$63,1),1,IF(B134&gt;=INDEX(YieldCurve!$A$4:$A$63,ROWS(YieldCurve!$A$4:$A$63)),ROWS(YieldCurve!$A$4:$A$63)-1,MATCH(B134,YieldCurve!$A$4:$A$63,1)))</f>
        <v>21</v>
      </c>
      <c r="D134">
        <f>INDEX(YieldCurve!$A$4:$A$63,C134)</f>
        <v>10.5</v>
      </c>
      <c r="E134">
        <f>INDEX(YieldCurve!$A$4:$A$63,C134+1)</f>
        <v>11</v>
      </c>
      <c r="F134">
        <f>INDEX(YieldCurve!$B$4:$B$63,C134)</f>
        <v>4.289403E-2</v>
      </c>
      <c r="G134">
        <f>INDEX(YieldCurve!$B$4:$B$63,C134+1)</f>
        <v>4.3226420000000002E-2</v>
      </c>
      <c r="H134">
        <f t="shared" si="2"/>
        <v>0.83333333333333215</v>
      </c>
      <c r="I134">
        <f>IF(B134&lt;=INDEX(YieldCurve!$A$4:$A$63,1),INDEX(YieldCurve!$B$4:$B$63,1),IF(B134&gt;=INDEX(YieldCurve!$A$4:$A$63,ROWS(YieldCurve!$A$4:$A$63)),INDEX(YieldCurve!$B$4:$B$63,ROWS(YieldCurve!$B$4:$B$63)),F134+H134*(G134-F134)))</f>
        <v>4.317102166666667E-2</v>
      </c>
      <c r="J134">
        <f>EXP(-(I134+Inputs!$B$9)*B134)</f>
        <v>0.62420049683282042</v>
      </c>
    </row>
    <row r="135" spans="1:10" x14ac:dyDescent="0.35">
      <c r="A135">
        <v>132</v>
      </c>
      <c r="B135">
        <f>A135/Inputs!$B$6</f>
        <v>11</v>
      </c>
      <c r="C135">
        <f>IF(B135&lt;=INDEX(YieldCurve!$A$4:$A$63,1),1,IF(B135&gt;=INDEX(YieldCurve!$A$4:$A$63,ROWS(YieldCurve!$A$4:$A$63)),ROWS(YieldCurve!$A$4:$A$63)-1,MATCH(B135,YieldCurve!$A$4:$A$63,1)))</f>
        <v>22</v>
      </c>
      <c r="D135">
        <f>INDEX(YieldCurve!$A$4:$A$63,C135)</f>
        <v>11</v>
      </c>
      <c r="E135">
        <f>INDEX(YieldCurve!$A$4:$A$63,C135+1)</f>
        <v>11.5</v>
      </c>
      <c r="F135">
        <f>INDEX(YieldCurve!$B$4:$B$63,C135)</f>
        <v>4.3226420000000002E-2</v>
      </c>
      <c r="G135">
        <f>INDEX(YieldCurve!$B$4:$B$63,C135+1)</f>
        <v>4.356289E-2</v>
      </c>
      <c r="H135">
        <f t="shared" si="2"/>
        <v>0</v>
      </c>
      <c r="I135">
        <f>IF(B135&lt;=INDEX(YieldCurve!$A$4:$A$63,1),INDEX(YieldCurve!$B$4:$B$63,1),IF(B135&gt;=INDEX(YieldCurve!$A$4:$A$63,ROWS(YieldCurve!$A$4:$A$63)),INDEX(YieldCurve!$B$4:$B$63,ROWS(YieldCurve!$B$4:$B$63)),F135+H135*(G135-F135)))</f>
        <v>4.3226420000000002E-2</v>
      </c>
      <c r="J135">
        <f>EXP(-(I135+Inputs!$B$9)*B135)</f>
        <v>0.62158002205272755</v>
      </c>
    </row>
    <row r="136" spans="1:10" x14ac:dyDescent="0.35">
      <c r="A136">
        <v>133</v>
      </c>
      <c r="B136">
        <f>A136/Inputs!$B$6</f>
        <v>11.083333333333334</v>
      </c>
      <c r="C136">
        <f>IF(B136&lt;=INDEX(YieldCurve!$A$4:$A$63,1),1,IF(B136&gt;=INDEX(YieldCurve!$A$4:$A$63,ROWS(YieldCurve!$A$4:$A$63)),ROWS(YieldCurve!$A$4:$A$63)-1,MATCH(B136,YieldCurve!$A$4:$A$63,1)))</f>
        <v>22</v>
      </c>
      <c r="D136">
        <f>INDEX(YieldCurve!$A$4:$A$63,C136)</f>
        <v>11</v>
      </c>
      <c r="E136">
        <f>INDEX(YieldCurve!$A$4:$A$63,C136+1)</f>
        <v>11.5</v>
      </c>
      <c r="F136">
        <f>INDEX(YieldCurve!$B$4:$B$63,C136)</f>
        <v>4.3226420000000002E-2</v>
      </c>
      <c r="G136">
        <f>INDEX(YieldCurve!$B$4:$B$63,C136+1)</f>
        <v>4.356289E-2</v>
      </c>
      <c r="H136">
        <f t="shared" si="2"/>
        <v>0.16666666666666785</v>
      </c>
      <c r="I136">
        <f>IF(B136&lt;=INDEX(YieldCurve!$A$4:$A$63,1),INDEX(YieldCurve!$B$4:$B$63,1),IF(B136&gt;=INDEX(YieldCurve!$A$4:$A$63,ROWS(YieldCurve!$A$4:$A$63)),INDEX(YieldCurve!$B$4:$B$63,ROWS(YieldCurve!$B$4:$B$63)),F136+H136*(G136-F136)))</f>
        <v>4.3282498333333336E-2</v>
      </c>
      <c r="J136">
        <f>EXP(-(I136+Inputs!$B$9)*B136)</f>
        <v>0.61896016848908053</v>
      </c>
    </row>
    <row r="137" spans="1:10" x14ac:dyDescent="0.35">
      <c r="A137">
        <v>134</v>
      </c>
      <c r="B137">
        <f>A137/Inputs!$B$6</f>
        <v>11.166666666666666</v>
      </c>
      <c r="C137">
        <f>IF(B137&lt;=INDEX(YieldCurve!$A$4:$A$63,1),1,IF(B137&gt;=INDEX(YieldCurve!$A$4:$A$63,ROWS(YieldCurve!$A$4:$A$63)),ROWS(YieldCurve!$A$4:$A$63)-1,MATCH(B137,YieldCurve!$A$4:$A$63,1)))</f>
        <v>22</v>
      </c>
      <c r="D137">
        <f>INDEX(YieldCurve!$A$4:$A$63,C137)</f>
        <v>11</v>
      </c>
      <c r="E137">
        <f>INDEX(YieldCurve!$A$4:$A$63,C137+1)</f>
        <v>11.5</v>
      </c>
      <c r="F137">
        <f>INDEX(YieldCurve!$B$4:$B$63,C137)</f>
        <v>4.3226420000000002E-2</v>
      </c>
      <c r="G137">
        <f>INDEX(YieldCurve!$B$4:$B$63,C137+1)</f>
        <v>4.356289E-2</v>
      </c>
      <c r="H137">
        <f t="shared" si="2"/>
        <v>0.33333333333333215</v>
      </c>
      <c r="I137">
        <f>IF(B137&lt;=INDEX(YieldCurve!$A$4:$A$63,1),INDEX(YieldCurve!$B$4:$B$63,1),IF(B137&gt;=INDEX(YieldCurve!$A$4:$A$63,ROWS(YieldCurve!$A$4:$A$63)),INDEX(YieldCurve!$B$4:$B$63,ROWS(YieldCurve!$B$4:$B$63)),F137+H137*(G137-F137)))</f>
        <v>4.333857666666667E-2</v>
      </c>
      <c r="J137">
        <f>EXP(-(I137+Inputs!$B$9)*B137)</f>
        <v>0.61634559652791043</v>
      </c>
    </row>
    <row r="138" spans="1:10" x14ac:dyDescent="0.35">
      <c r="A138">
        <v>135</v>
      </c>
      <c r="B138">
        <f>A138/Inputs!$B$6</f>
        <v>11.25</v>
      </c>
      <c r="C138">
        <f>IF(B138&lt;=INDEX(YieldCurve!$A$4:$A$63,1),1,IF(B138&gt;=INDEX(YieldCurve!$A$4:$A$63,ROWS(YieldCurve!$A$4:$A$63)),ROWS(YieldCurve!$A$4:$A$63)-1,MATCH(B138,YieldCurve!$A$4:$A$63,1)))</f>
        <v>22</v>
      </c>
      <c r="D138">
        <f>INDEX(YieldCurve!$A$4:$A$63,C138)</f>
        <v>11</v>
      </c>
      <c r="E138">
        <f>INDEX(YieldCurve!$A$4:$A$63,C138+1)</f>
        <v>11.5</v>
      </c>
      <c r="F138">
        <f>INDEX(YieldCurve!$B$4:$B$63,C138)</f>
        <v>4.3226420000000002E-2</v>
      </c>
      <c r="G138">
        <f>INDEX(YieldCurve!$B$4:$B$63,C138+1)</f>
        <v>4.356289E-2</v>
      </c>
      <c r="H138">
        <f t="shared" si="2"/>
        <v>0.5</v>
      </c>
      <c r="I138">
        <f>IF(B138&lt;=INDEX(YieldCurve!$A$4:$A$63,1),INDEX(YieldCurve!$B$4:$B$63,1),IF(B138&gt;=INDEX(YieldCurve!$A$4:$A$63,ROWS(YieldCurve!$A$4:$A$63)),INDEX(YieldCurve!$B$4:$B$63,ROWS(YieldCurve!$B$4:$B$63)),F138+H138*(G138-F138)))</f>
        <v>4.3394655000000004E-2</v>
      </c>
      <c r="J138">
        <f>EXP(-(I138+Inputs!$B$9)*B138)</f>
        <v>0.61373633262916993</v>
      </c>
    </row>
    <row r="139" spans="1:10" x14ac:dyDescent="0.35">
      <c r="A139">
        <v>136</v>
      </c>
      <c r="B139">
        <f>A139/Inputs!$B$6</f>
        <v>11.333333333333334</v>
      </c>
      <c r="C139">
        <f>IF(B139&lt;=INDEX(YieldCurve!$A$4:$A$63,1),1,IF(B139&gt;=INDEX(YieldCurve!$A$4:$A$63,ROWS(YieldCurve!$A$4:$A$63)),ROWS(YieldCurve!$A$4:$A$63)-1,MATCH(B139,YieldCurve!$A$4:$A$63,1)))</f>
        <v>22</v>
      </c>
      <c r="D139">
        <f>INDEX(YieldCurve!$A$4:$A$63,C139)</f>
        <v>11</v>
      </c>
      <c r="E139">
        <f>INDEX(YieldCurve!$A$4:$A$63,C139+1)</f>
        <v>11.5</v>
      </c>
      <c r="F139">
        <f>INDEX(YieldCurve!$B$4:$B$63,C139)</f>
        <v>4.3226420000000002E-2</v>
      </c>
      <c r="G139">
        <f>INDEX(YieldCurve!$B$4:$B$63,C139+1)</f>
        <v>4.356289E-2</v>
      </c>
      <c r="H139">
        <f t="shared" si="2"/>
        <v>0.66666666666666785</v>
      </c>
      <c r="I139">
        <f>IF(B139&lt;=INDEX(YieldCurve!$A$4:$A$63,1),INDEX(YieldCurve!$B$4:$B$63,1),IF(B139&gt;=INDEX(YieldCurve!$A$4:$A$63,ROWS(YieldCurve!$A$4:$A$63)),INDEX(YieldCurve!$B$4:$B$63,ROWS(YieldCurve!$B$4:$B$63)),F139+H139*(G139-F139)))</f>
        <v>4.3450733333333331E-2</v>
      </c>
      <c r="J139">
        <f>EXP(-(I139+Inputs!$B$9)*B139)</f>
        <v>0.6111324029924009</v>
      </c>
    </row>
    <row r="140" spans="1:10" x14ac:dyDescent="0.35">
      <c r="A140">
        <v>137</v>
      </c>
      <c r="B140">
        <f>A140/Inputs!$B$6</f>
        <v>11.416666666666666</v>
      </c>
      <c r="C140">
        <f>IF(B140&lt;=INDEX(YieldCurve!$A$4:$A$63,1),1,IF(B140&gt;=INDEX(YieldCurve!$A$4:$A$63,ROWS(YieldCurve!$A$4:$A$63)),ROWS(YieldCurve!$A$4:$A$63)-1,MATCH(B140,YieldCurve!$A$4:$A$63,1)))</f>
        <v>22</v>
      </c>
      <c r="D140">
        <f>INDEX(YieldCurve!$A$4:$A$63,C140)</f>
        <v>11</v>
      </c>
      <c r="E140">
        <f>INDEX(YieldCurve!$A$4:$A$63,C140+1)</f>
        <v>11.5</v>
      </c>
      <c r="F140">
        <f>INDEX(YieldCurve!$B$4:$B$63,C140)</f>
        <v>4.3226420000000002E-2</v>
      </c>
      <c r="G140">
        <f>INDEX(YieldCurve!$B$4:$B$63,C140+1)</f>
        <v>4.356289E-2</v>
      </c>
      <c r="H140">
        <f t="shared" si="2"/>
        <v>0.83333333333333215</v>
      </c>
      <c r="I140">
        <f>IF(B140&lt;=INDEX(YieldCurve!$A$4:$A$63,1),INDEX(YieldCurve!$B$4:$B$63,1),IF(B140&gt;=INDEX(YieldCurve!$A$4:$A$63,ROWS(YieldCurve!$A$4:$A$63)),INDEX(YieldCurve!$B$4:$B$63,ROWS(YieldCurve!$B$4:$B$63)),F140+H140*(G140-F140)))</f>
        <v>4.3506811666666666E-2</v>
      </c>
      <c r="J140">
        <f>EXP(-(I140+Inputs!$B$9)*B140)</f>
        <v>0.60853383355685875</v>
      </c>
    </row>
    <row r="141" spans="1:10" x14ac:dyDescent="0.35">
      <c r="A141">
        <v>138</v>
      </c>
      <c r="B141">
        <f>A141/Inputs!$B$6</f>
        <v>11.5</v>
      </c>
      <c r="C141">
        <f>IF(B141&lt;=INDEX(YieldCurve!$A$4:$A$63,1),1,IF(B141&gt;=INDEX(YieldCurve!$A$4:$A$63,ROWS(YieldCurve!$A$4:$A$63)),ROWS(YieldCurve!$A$4:$A$63)-1,MATCH(B141,YieldCurve!$A$4:$A$63,1)))</f>
        <v>23</v>
      </c>
      <c r="D141">
        <f>INDEX(YieldCurve!$A$4:$A$63,C141)</f>
        <v>11.5</v>
      </c>
      <c r="E141">
        <f>INDEX(YieldCurve!$A$4:$A$63,C141+1)</f>
        <v>12</v>
      </c>
      <c r="F141">
        <f>INDEX(YieldCurve!$B$4:$B$63,C141)</f>
        <v>4.356289E-2</v>
      </c>
      <c r="G141">
        <f>INDEX(YieldCurve!$B$4:$B$63,C141+1)</f>
        <v>4.3903560000000001E-2</v>
      </c>
      <c r="H141">
        <f t="shared" si="2"/>
        <v>0</v>
      </c>
      <c r="I141">
        <f>IF(B141&lt;=INDEX(YieldCurve!$A$4:$A$63,1),INDEX(YieldCurve!$B$4:$B$63,1),IF(B141&gt;=INDEX(YieldCurve!$A$4:$A$63,ROWS(YieldCurve!$A$4:$A$63)),INDEX(YieldCurve!$B$4:$B$63,ROWS(YieldCurve!$B$4:$B$63)),F141+H141*(G141-F141)))</f>
        <v>4.356289E-2</v>
      </c>
      <c r="J141">
        <f>EXP(-(I141+Inputs!$B$9)*B141)</f>
        <v>0.60594065000164932</v>
      </c>
    </row>
    <row r="142" spans="1:10" x14ac:dyDescent="0.35">
      <c r="A142">
        <v>139</v>
      </c>
      <c r="B142">
        <f>A142/Inputs!$B$6</f>
        <v>11.583333333333334</v>
      </c>
      <c r="C142">
        <f>IF(B142&lt;=INDEX(YieldCurve!$A$4:$A$63,1),1,IF(B142&gt;=INDEX(YieldCurve!$A$4:$A$63,ROWS(YieldCurve!$A$4:$A$63)),ROWS(YieldCurve!$A$4:$A$63)-1,MATCH(B142,YieldCurve!$A$4:$A$63,1)))</f>
        <v>23</v>
      </c>
      <c r="D142">
        <f>INDEX(YieldCurve!$A$4:$A$63,C142)</f>
        <v>11.5</v>
      </c>
      <c r="E142">
        <f>INDEX(YieldCurve!$A$4:$A$63,C142+1)</f>
        <v>12</v>
      </c>
      <c r="F142">
        <f>INDEX(YieldCurve!$B$4:$B$63,C142)</f>
        <v>4.356289E-2</v>
      </c>
      <c r="G142">
        <f>INDEX(YieldCurve!$B$4:$B$63,C142+1)</f>
        <v>4.3903560000000001E-2</v>
      </c>
      <c r="H142">
        <f t="shared" si="2"/>
        <v>0.16666666666666785</v>
      </c>
      <c r="I142">
        <f>IF(B142&lt;=INDEX(YieldCurve!$A$4:$A$63,1),INDEX(YieldCurve!$B$4:$B$63,1),IF(B142&gt;=INDEX(YieldCurve!$A$4:$A$63,ROWS(YieldCurve!$A$4:$A$63)),INDEX(YieldCurve!$B$4:$B$63,ROWS(YieldCurve!$B$4:$B$63)),F142+H142*(G142-F142)))</f>
        <v>4.3619668333333333E-2</v>
      </c>
      <c r="J142">
        <f>EXP(-(I142+Inputs!$B$9)*B142)</f>
        <v>0.60334798557946057</v>
      </c>
    </row>
    <row r="143" spans="1:10" x14ac:dyDescent="0.35">
      <c r="A143">
        <v>140</v>
      </c>
      <c r="B143">
        <f>A143/Inputs!$B$6</f>
        <v>11.666666666666666</v>
      </c>
      <c r="C143">
        <f>IF(B143&lt;=INDEX(YieldCurve!$A$4:$A$63,1),1,IF(B143&gt;=INDEX(YieldCurve!$A$4:$A$63,ROWS(YieldCurve!$A$4:$A$63)),ROWS(YieldCurve!$A$4:$A$63)-1,MATCH(B143,YieldCurve!$A$4:$A$63,1)))</f>
        <v>23</v>
      </c>
      <c r="D143">
        <f>INDEX(YieldCurve!$A$4:$A$63,C143)</f>
        <v>11.5</v>
      </c>
      <c r="E143">
        <f>INDEX(YieldCurve!$A$4:$A$63,C143+1)</f>
        <v>12</v>
      </c>
      <c r="F143">
        <f>INDEX(YieldCurve!$B$4:$B$63,C143)</f>
        <v>4.356289E-2</v>
      </c>
      <c r="G143">
        <f>INDEX(YieldCurve!$B$4:$B$63,C143+1)</f>
        <v>4.3903560000000001E-2</v>
      </c>
      <c r="H143">
        <f t="shared" si="2"/>
        <v>0.33333333333333215</v>
      </c>
      <c r="I143">
        <f>IF(B143&lt;=INDEX(YieldCurve!$A$4:$A$63,1),INDEX(YieldCurve!$B$4:$B$63,1),IF(B143&gt;=INDEX(YieldCurve!$A$4:$A$63,ROWS(YieldCurve!$A$4:$A$63)),INDEX(YieldCurve!$B$4:$B$63,ROWS(YieldCurve!$B$4:$B$63)),F143+H143*(G143-F143)))</f>
        <v>4.3676446666666667E-2</v>
      </c>
      <c r="J143">
        <f>EXP(-(I143+Inputs!$B$9)*B143)</f>
        <v>0.60076072944342274</v>
      </c>
    </row>
    <row r="144" spans="1:10" x14ac:dyDescent="0.35">
      <c r="A144">
        <v>141</v>
      </c>
      <c r="B144">
        <f>A144/Inputs!$B$6</f>
        <v>11.75</v>
      </c>
      <c r="C144">
        <f>IF(B144&lt;=INDEX(YieldCurve!$A$4:$A$63,1),1,IF(B144&gt;=INDEX(YieldCurve!$A$4:$A$63,ROWS(YieldCurve!$A$4:$A$63)),ROWS(YieldCurve!$A$4:$A$63)-1,MATCH(B144,YieldCurve!$A$4:$A$63,1)))</f>
        <v>23</v>
      </c>
      <c r="D144">
        <f>INDEX(YieldCurve!$A$4:$A$63,C144)</f>
        <v>11.5</v>
      </c>
      <c r="E144">
        <f>INDEX(YieldCurve!$A$4:$A$63,C144+1)</f>
        <v>12</v>
      </c>
      <c r="F144">
        <f>INDEX(YieldCurve!$B$4:$B$63,C144)</f>
        <v>4.356289E-2</v>
      </c>
      <c r="G144">
        <f>INDEX(YieldCurve!$B$4:$B$63,C144+1)</f>
        <v>4.3903560000000001E-2</v>
      </c>
      <c r="H144">
        <f t="shared" si="2"/>
        <v>0.5</v>
      </c>
      <c r="I144">
        <f>IF(B144&lt;=INDEX(YieldCurve!$A$4:$A$63,1),INDEX(YieldCurve!$B$4:$B$63,1),IF(B144&gt;=INDEX(YieldCurve!$A$4:$A$63,ROWS(YieldCurve!$A$4:$A$63)),INDEX(YieldCurve!$B$4:$B$63,ROWS(YieldCurve!$B$4:$B$63)),F144+H144*(G144-F144)))</f>
        <v>4.3733225000000001E-2</v>
      </c>
      <c r="J144">
        <f>EXP(-(I144+Inputs!$B$9)*B144)</f>
        <v>0.59817890726338563</v>
      </c>
    </row>
    <row r="145" spans="1:10" x14ac:dyDescent="0.35">
      <c r="A145">
        <v>142</v>
      </c>
      <c r="B145">
        <f>A145/Inputs!$B$6</f>
        <v>11.833333333333334</v>
      </c>
      <c r="C145">
        <f>IF(B145&lt;=INDEX(YieldCurve!$A$4:$A$63,1),1,IF(B145&gt;=INDEX(YieldCurve!$A$4:$A$63,ROWS(YieldCurve!$A$4:$A$63)),ROWS(YieldCurve!$A$4:$A$63)-1,MATCH(B145,YieldCurve!$A$4:$A$63,1)))</f>
        <v>23</v>
      </c>
      <c r="D145">
        <f>INDEX(YieldCurve!$A$4:$A$63,C145)</f>
        <v>11.5</v>
      </c>
      <c r="E145">
        <f>INDEX(YieldCurve!$A$4:$A$63,C145+1)</f>
        <v>12</v>
      </c>
      <c r="F145">
        <f>INDEX(YieldCurve!$B$4:$B$63,C145)</f>
        <v>4.356289E-2</v>
      </c>
      <c r="G145">
        <f>INDEX(YieldCurve!$B$4:$B$63,C145+1)</f>
        <v>4.3903560000000001E-2</v>
      </c>
      <c r="H145">
        <f t="shared" si="2"/>
        <v>0.66666666666666785</v>
      </c>
      <c r="I145">
        <f>IF(B145&lt;=INDEX(YieldCurve!$A$4:$A$63,1),INDEX(YieldCurve!$B$4:$B$63,1),IF(B145&gt;=INDEX(YieldCurve!$A$4:$A$63,ROWS(YieldCurve!$A$4:$A$63)),INDEX(YieldCurve!$B$4:$B$63,ROWS(YieldCurve!$B$4:$B$63)),F145+H145*(G145-F145)))</f>
        <v>4.3790003333333334E-2</v>
      </c>
      <c r="J145">
        <f>EXP(-(I145+Inputs!$B$9)*B145)</f>
        <v>0.59560254444506899</v>
      </c>
    </row>
    <row r="146" spans="1:10" x14ac:dyDescent="0.35">
      <c r="A146">
        <v>143</v>
      </c>
      <c r="B146">
        <f>A146/Inputs!$B$6</f>
        <v>11.916666666666666</v>
      </c>
      <c r="C146">
        <f>IF(B146&lt;=INDEX(YieldCurve!$A$4:$A$63,1),1,IF(B146&gt;=INDEX(YieldCurve!$A$4:$A$63,ROWS(YieldCurve!$A$4:$A$63)),ROWS(YieldCurve!$A$4:$A$63)-1,MATCH(B146,YieldCurve!$A$4:$A$63,1)))</f>
        <v>23</v>
      </c>
      <c r="D146">
        <f>INDEX(YieldCurve!$A$4:$A$63,C146)</f>
        <v>11.5</v>
      </c>
      <c r="E146">
        <f>INDEX(YieldCurve!$A$4:$A$63,C146+1)</f>
        <v>12</v>
      </c>
      <c r="F146">
        <f>INDEX(YieldCurve!$B$4:$B$63,C146)</f>
        <v>4.356289E-2</v>
      </c>
      <c r="G146">
        <f>INDEX(YieldCurve!$B$4:$B$63,C146+1)</f>
        <v>4.3903560000000001E-2</v>
      </c>
      <c r="H146">
        <f t="shared" si="2"/>
        <v>0.83333333333333215</v>
      </c>
      <c r="I146">
        <f>IF(B146&lt;=INDEX(YieldCurve!$A$4:$A$63,1),INDEX(YieldCurve!$B$4:$B$63,1),IF(B146&gt;=INDEX(YieldCurve!$A$4:$A$63,ROWS(YieldCurve!$A$4:$A$63)),INDEX(YieldCurve!$B$4:$B$63,ROWS(YieldCurve!$B$4:$B$63)),F146+H146*(G146-F146)))</f>
        <v>4.3846781666666668E-2</v>
      </c>
      <c r="J146">
        <f>EXP(-(I146+Inputs!$B$9)*B146)</f>
        <v>0.5930316661302375</v>
      </c>
    </row>
    <row r="147" spans="1:10" x14ac:dyDescent="0.35">
      <c r="A147">
        <v>144</v>
      </c>
      <c r="B147">
        <f>A147/Inputs!$B$6</f>
        <v>12</v>
      </c>
      <c r="C147">
        <f>IF(B147&lt;=INDEX(YieldCurve!$A$4:$A$63,1),1,IF(B147&gt;=INDEX(YieldCurve!$A$4:$A$63,ROWS(YieldCurve!$A$4:$A$63)),ROWS(YieldCurve!$A$4:$A$63)-1,MATCH(B147,YieldCurve!$A$4:$A$63,1)))</f>
        <v>24</v>
      </c>
      <c r="D147">
        <f>INDEX(YieldCurve!$A$4:$A$63,C147)</f>
        <v>12</v>
      </c>
      <c r="E147">
        <f>INDEX(YieldCurve!$A$4:$A$63,C147+1)</f>
        <v>12.5</v>
      </c>
      <c r="F147">
        <f>INDEX(YieldCurve!$B$4:$B$63,C147)</f>
        <v>4.3903560000000001E-2</v>
      </c>
      <c r="G147">
        <f>INDEX(YieldCurve!$B$4:$B$63,C147+1)</f>
        <v>4.4248589999999997E-2</v>
      </c>
      <c r="H147">
        <f t="shared" si="2"/>
        <v>0</v>
      </c>
      <c r="I147">
        <f>IF(B147&lt;=INDEX(YieldCurve!$A$4:$A$63,1),INDEX(YieldCurve!$B$4:$B$63,1),IF(B147&gt;=INDEX(YieldCurve!$A$4:$A$63,ROWS(YieldCurve!$A$4:$A$63)),INDEX(YieldCurve!$B$4:$B$63,ROWS(YieldCurve!$B$4:$B$63)),F147+H147*(G147-F147)))</f>
        <v>4.3903560000000001E-2</v>
      </c>
      <c r="J147">
        <f>EXP(-(I147+Inputs!$B$9)*B147)</f>
        <v>0.59046629719688803</v>
      </c>
    </row>
    <row r="148" spans="1:10" x14ac:dyDescent="0.35">
      <c r="A148">
        <v>145</v>
      </c>
      <c r="B148">
        <f>A148/Inputs!$B$6</f>
        <v>12.083333333333334</v>
      </c>
      <c r="C148">
        <f>IF(B148&lt;=INDEX(YieldCurve!$A$4:$A$63,1),1,IF(B148&gt;=INDEX(YieldCurve!$A$4:$A$63,ROWS(YieldCurve!$A$4:$A$63)),ROWS(YieldCurve!$A$4:$A$63)-1,MATCH(B148,YieldCurve!$A$4:$A$63,1)))</f>
        <v>24</v>
      </c>
      <c r="D148">
        <f>INDEX(YieldCurve!$A$4:$A$63,C148)</f>
        <v>12</v>
      </c>
      <c r="E148">
        <f>INDEX(YieldCurve!$A$4:$A$63,C148+1)</f>
        <v>12.5</v>
      </c>
      <c r="F148">
        <f>INDEX(YieldCurve!$B$4:$B$63,C148)</f>
        <v>4.3903560000000001E-2</v>
      </c>
      <c r="G148">
        <f>INDEX(YieldCurve!$B$4:$B$63,C148+1)</f>
        <v>4.4248589999999997E-2</v>
      </c>
      <c r="H148">
        <f t="shared" si="2"/>
        <v>0.16666666666666785</v>
      </c>
      <c r="I148">
        <f>IF(B148&lt;=INDEX(YieldCurve!$A$4:$A$63,1),INDEX(YieldCurve!$B$4:$B$63,1),IF(B148&gt;=INDEX(YieldCurve!$A$4:$A$63,ROWS(YieldCurve!$A$4:$A$63)),INDEX(YieldCurve!$B$4:$B$63,ROWS(YieldCurve!$B$4:$B$63)),F148+H148*(G148-F148)))</f>
        <v>4.3961065000000001E-2</v>
      </c>
      <c r="J148">
        <f>EXP(-(I148+Inputs!$B$9)*B148)</f>
        <v>0.58790130013675812</v>
      </c>
    </row>
    <row r="149" spans="1:10" x14ac:dyDescent="0.35">
      <c r="A149">
        <v>146</v>
      </c>
      <c r="B149">
        <f>A149/Inputs!$B$6</f>
        <v>12.166666666666666</v>
      </c>
      <c r="C149">
        <f>IF(B149&lt;=INDEX(YieldCurve!$A$4:$A$63,1),1,IF(B149&gt;=INDEX(YieldCurve!$A$4:$A$63,ROWS(YieldCurve!$A$4:$A$63)),ROWS(YieldCurve!$A$4:$A$63)-1,MATCH(B149,YieldCurve!$A$4:$A$63,1)))</f>
        <v>24</v>
      </c>
      <c r="D149">
        <f>INDEX(YieldCurve!$A$4:$A$63,C149)</f>
        <v>12</v>
      </c>
      <c r="E149">
        <f>INDEX(YieldCurve!$A$4:$A$63,C149+1)</f>
        <v>12.5</v>
      </c>
      <c r="F149">
        <f>INDEX(YieldCurve!$B$4:$B$63,C149)</f>
        <v>4.3903560000000001E-2</v>
      </c>
      <c r="G149">
        <f>INDEX(YieldCurve!$B$4:$B$63,C149+1)</f>
        <v>4.4248589999999997E-2</v>
      </c>
      <c r="H149">
        <f t="shared" si="2"/>
        <v>0.33333333333333215</v>
      </c>
      <c r="I149">
        <f>IF(B149&lt;=INDEX(YieldCurve!$A$4:$A$63,1),INDEX(YieldCurve!$B$4:$B$63,1),IF(B149&gt;=INDEX(YieldCurve!$A$4:$A$63,ROWS(YieldCurve!$A$4:$A$63)),INDEX(YieldCurve!$B$4:$B$63,ROWS(YieldCurve!$B$4:$B$63)),F149+H149*(G149-F149)))</f>
        <v>4.401857E-2</v>
      </c>
      <c r="J149">
        <f>EXP(-(I149+Inputs!$B$9)*B149)</f>
        <v>0.58534183543307061</v>
      </c>
    </row>
    <row r="150" spans="1:10" x14ac:dyDescent="0.35">
      <c r="A150">
        <v>147</v>
      </c>
      <c r="B150">
        <f>A150/Inputs!$B$6</f>
        <v>12.25</v>
      </c>
      <c r="C150">
        <f>IF(B150&lt;=INDEX(YieldCurve!$A$4:$A$63,1),1,IF(B150&gt;=INDEX(YieldCurve!$A$4:$A$63,ROWS(YieldCurve!$A$4:$A$63)),ROWS(YieldCurve!$A$4:$A$63)-1,MATCH(B150,YieldCurve!$A$4:$A$63,1)))</f>
        <v>24</v>
      </c>
      <c r="D150">
        <f>INDEX(YieldCurve!$A$4:$A$63,C150)</f>
        <v>12</v>
      </c>
      <c r="E150">
        <f>INDEX(YieldCurve!$A$4:$A$63,C150+1)</f>
        <v>12.5</v>
      </c>
      <c r="F150">
        <f>INDEX(YieldCurve!$B$4:$B$63,C150)</f>
        <v>4.3903560000000001E-2</v>
      </c>
      <c r="G150">
        <f>INDEX(YieldCurve!$B$4:$B$63,C150+1)</f>
        <v>4.4248589999999997E-2</v>
      </c>
      <c r="H150">
        <f t="shared" si="2"/>
        <v>0.5</v>
      </c>
      <c r="I150">
        <f>IF(B150&lt;=INDEX(YieldCurve!$A$4:$A$63,1),INDEX(YieldCurve!$B$4:$B$63,1),IF(B150&gt;=INDEX(YieldCurve!$A$4:$A$63,ROWS(YieldCurve!$A$4:$A$63)),INDEX(YieldCurve!$B$4:$B$63,ROWS(YieldCurve!$B$4:$B$63)),F150+H150*(G150-F150)))</f>
        <v>4.4076074999999999E-2</v>
      </c>
      <c r="J150">
        <f>EXP(-(I150+Inputs!$B$9)*B150)</f>
        <v>0.5827879279540128</v>
      </c>
    </row>
    <row r="151" spans="1:10" x14ac:dyDescent="0.35">
      <c r="A151">
        <v>148</v>
      </c>
      <c r="B151">
        <f>A151/Inputs!$B$6</f>
        <v>12.333333333333334</v>
      </c>
      <c r="C151">
        <f>IF(B151&lt;=INDEX(YieldCurve!$A$4:$A$63,1),1,IF(B151&gt;=INDEX(YieldCurve!$A$4:$A$63,ROWS(YieldCurve!$A$4:$A$63)),ROWS(YieldCurve!$A$4:$A$63)-1,MATCH(B151,YieldCurve!$A$4:$A$63,1)))</f>
        <v>24</v>
      </c>
      <c r="D151">
        <f>INDEX(YieldCurve!$A$4:$A$63,C151)</f>
        <v>12</v>
      </c>
      <c r="E151">
        <f>INDEX(YieldCurve!$A$4:$A$63,C151+1)</f>
        <v>12.5</v>
      </c>
      <c r="F151">
        <f>INDEX(YieldCurve!$B$4:$B$63,C151)</f>
        <v>4.3903560000000001E-2</v>
      </c>
      <c r="G151">
        <f>INDEX(YieldCurve!$B$4:$B$63,C151+1)</f>
        <v>4.4248589999999997E-2</v>
      </c>
      <c r="H151">
        <f t="shared" si="2"/>
        <v>0.66666666666666785</v>
      </c>
      <c r="I151">
        <f>IF(B151&lt;=INDEX(YieldCurve!$A$4:$A$63,1),INDEX(YieldCurve!$B$4:$B$63,1),IF(B151&gt;=INDEX(YieldCurve!$A$4:$A$63,ROWS(YieldCurve!$A$4:$A$63)),INDEX(YieldCurve!$B$4:$B$63,ROWS(YieldCurve!$B$4:$B$63)),F151+H151*(G151-F151)))</f>
        <v>4.4133579999999999E-2</v>
      </c>
      <c r="J151">
        <f>EXP(-(I151+Inputs!$B$9)*B151)</f>
        <v>0.58023960229995386</v>
      </c>
    </row>
    <row r="152" spans="1:10" x14ac:dyDescent="0.35">
      <c r="A152">
        <v>149</v>
      </c>
      <c r="B152">
        <f>A152/Inputs!$B$6</f>
        <v>12.416666666666666</v>
      </c>
      <c r="C152">
        <f>IF(B152&lt;=INDEX(YieldCurve!$A$4:$A$63,1),1,IF(B152&gt;=INDEX(YieldCurve!$A$4:$A$63,ROWS(YieldCurve!$A$4:$A$63)),ROWS(YieldCurve!$A$4:$A$63)-1,MATCH(B152,YieldCurve!$A$4:$A$63,1)))</f>
        <v>24</v>
      </c>
      <c r="D152">
        <f>INDEX(YieldCurve!$A$4:$A$63,C152)</f>
        <v>12</v>
      </c>
      <c r="E152">
        <f>INDEX(YieldCurve!$A$4:$A$63,C152+1)</f>
        <v>12.5</v>
      </c>
      <c r="F152">
        <f>INDEX(YieldCurve!$B$4:$B$63,C152)</f>
        <v>4.3903560000000001E-2</v>
      </c>
      <c r="G152">
        <f>INDEX(YieldCurve!$B$4:$B$63,C152+1)</f>
        <v>4.4248589999999997E-2</v>
      </c>
      <c r="H152">
        <f t="shared" si="2"/>
        <v>0.83333333333333215</v>
      </c>
      <c r="I152">
        <f>IF(B152&lt;=INDEX(YieldCurve!$A$4:$A$63,1),INDEX(YieldCurve!$B$4:$B$63,1),IF(B152&gt;=INDEX(YieldCurve!$A$4:$A$63,ROWS(YieldCurve!$A$4:$A$63)),INDEX(YieldCurve!$B$4:$B$63,ROWS(YieldCurve!$B$4:$B$63)),F152+H152*(G152-F152)))</f>
        <v>4.4191084999999998E-2</v>
      </c>
      <c r="J152">
        <f>EXP(-(I152+Inputs!$B$9)*B152)</f>
        <v>0.57769688280367204</v>
      </c>
    </row>
    <row r="153" spans="1:10" x14ac:dyDescent="0.35">
      <c r="A153">
        <v>150</v>
      </c>
      <c r="B153">
        <f>A153/Inputs!$B$6</f>
        <v>12.5</v>
      </c>
      <c r="C153">
        <f>IF(B153&lt;=INDEX(YieldCurve!$A$4:$A$63,1),1,IF(B153&gt;=INDEX(YieldCurve!$A$4:$A$63,ROWS(YieldCurve!$A$4:$A$63)),ROWS(YieldCurve!$A$4:$A$63)-1,MATCH(B153,YieldCurve!$A$4:$A$63,1)))</f>
        <v>25</v>
      </c>
      <c r="D153">
        <f>INDEX(YieldCurve!$A$4:$A$63,C153)</f>
        <v>12.5</v>
      </c>
      <c r="E153">
        <f>INDEX(YieldCurve!$A$4:$A$63,C153+1)</f>
        <v>13</v>
      </c>
      <c r="F153">
        <f>INDEX(YieldCurve!$B$4:$B$63,C153)</f>
        <v>4.4248589999999997E-2</v>
      </c>
      <c r="G153">
        <f>INDEX(YieldCurve!$B$4:$B$63,C153+1)</f>
        <v>4.459813E-2</v>
      </c>
      <c r="H153">
        <f t="shared" si="2"/>
        <v>0</v>
      </c>
      <c r="I153">
        <f>IF(B153&lt;=INDEX(YieldCurve!$A$4:$A$63,1),INDEX(YieldCurve!$B$4:$B$63,1),IF(B153&gt;=INDEX(YieldCurve!$A$4:$A$63,ROWS(YieldCurve!$A$4:$A$63)),INDEX(YieldCurve!$B$4:$B$63,ROWS(YieldCurve!$B$4:$B$63)),F153+H153*(G153-F153)))</f>
        <v>4.4248589999999997E-2</v>
      </c>
      <c r="J153">
        <f>EXP(-(I153+Inputs!$B$9)*B153)</f>
        <v>0.57515979353059388</v>
      </c>
    </row>
    <row r="154" spans="1:10" x14ac:dyDescent="0.35">
      <c r="A154">
        <v>151</v>
      </c>
      <c r="B154">
        <f>A154/Inputs!$B$6</f>
        <v>12.583333333333334</v>
      </c>
      <c r="C154">
        <f>IF(B154&lt;=INDEX(YieldCurve!$A$4:$A$63,1),1,IF(B154&gt;=INDEX(YieldCurve!$A$4:$A$63,ROWS(YieldCurve!$A$4:$A$63)),ROWS(YieldCurve!$A$4:$A$63)-1,MATCH(B154,YieldCurve!$A$4:$A$63,1)))</f>
        <v>25</v>
      </c>
      <c r="D154">
        <f>INDEX(YieldCurve!$A$4:$A$63,C154)</f>
        <v>12.5</v>
      </c>
      <c r="E154">
        <f>INDEX(YieldCurve!$A$4:$A$63,C154+1)</f>
        <v>13</v>
      </c>
      <c r="F154">
        <f>INDEX(YieldCurve!$B$4:$B$63,C154)</f>
        <v>4.4248589999999997E-2</v>
      </c>
      <c r="G154">
        <f>INDEX(YieldCurve!$B$4:$B$63,C154+1)</f>
        <v>4.459813E-2</v>
      </c>
      <c r="H154">
        <f t="shared" si="2"/>
        <v>0.16666666666666785</v>
      </c>
      <c r="I154">
        <f>IF(B154&lt;=INDEX(YieldCurve!$A$4:$A$63,1),INDEX(YieldCurve!$B$4:$B$63,1),IF(B154&gt;=INDEX(YieldCurve!$A$4:$A$63,ROWS(YieldCurve!$A$4:$A$63)),INDEX(YieldCurve!$B$4:$B$63,ROWS(YieldCurve!$B$4:$B$63)),F154+H154*(G154-F154)))</f>
        <v>4.4306846666666663E-2</v>
      </c>
      <c r="J154">
        <f>EXP(-(I154+Inputs!$B$9)*B154)</f>
        <v>0.57262294211523934</v>
      </c>
    </row>
    <row r="155" spans="1:10" x14ac:dyDescent="0.35">
      <c r="A155">
        <v>152</v>
      </c>
      <c r="B155">
        <f>A155/Inputs!$B$6</f>
        <v>12.666666666666666</v>
      </c>
      <c r="C155">
        <f>IF(B155&lt;=INDEX(YieldCurve!$A$4:$A$63,1),1,IF(B155&gt;=INDEX(YieldCurve!$A$4:$A$63,ROWS(YieldCurve!$A$4:$A$63)),ROWS(YieldCurve!$A$4:$A$63)-1,MATCH(B155,YieldCurve!$A$4:$A$63,1)))</f>
        <v>25</v>
      </c>
      <c r="D155">
        <f>INDEX(YieldCurve!$A$4:$A$63,C155)</f>
        <v>12.5</v>
      </c>
      <c r="E155">
        <f>INDEX(YieldCurve!$A$4:$A$63,C155+1)</f>
        <v>13</v>
      </c>
      <c r="F155">
        <f>INDEX(YieldCurve!$B$4:$B$63,C155)</f>
        <v>4.4248589999999997E-2</v>
      </c>
      <c r="G155">
        <f>INDEX(YieldCurve!$B$4:$B$63,C155+1)</f>
        <v>4.459813E-2</v>
      </c>
      <c r="H155">
        <f t="shared" si="2"/>
        <v>0.33333333333333215</v>
      </c>
      <c r="I155">
        <f>IF(B155&lt;=INDEX(YieldCurve!$A$4:$A$63,1),INDEX(YieldCurve!$B$4:$B$63,1),IF(B155&gt;=INDEX(YieldCurve!$A$4:$A$63,ROWS(YieldCurve!$A$4:$A$63)),INDEX(YieldCurve!$B$4:$B$63,ROWS(YieldCurve!$B$4:$B$63)),F155+H155*(G155-F155)))</f>
        <v>4.4365103333333329E-2</v>
      </c>
      <c r="J155">
        <f>EXP(-(I155+Inputs!$B$9)*B155)</f>
        <v>0.57009174466346613</v>
      </c>
    </row>
    <row r="156" spans="1:10" x14ac:dyDescent="0.35">
      <c r="A156">
        <v>153</v>
      </c>
      <c r="B156">
        <f>A156/Inputs!$B$6</f>
        <v>12.75</v>
      </c>
      <c r="C156">
        <f>IF(B156&lt;=INDEX(YieldCurve!$A$4:$A$63,1),1,IF(B156&gt;=INDEX(YieldCurve!$A$4:$A$63,ROWS(YieldCurve!$A$4:$A$63)),ROWS(YieldCurve!$A$4:$A$63)-1,MATCH(B156,YieldCurve!$A$4:$A$63,1)))</f>
        <v>25</v>
      </c>
      <c r="D156">
        <f>INDEX(YieldCurve!$A$4:$A$63,C156)</f>
        <v>12.5</v>
      </c>
      <c r="E156">
        <f>INDEX(YieldCurve!$A$4:$A$63,C156+1)</f>
        <v>13</v>
      </c>
      <c r="F156">
        <f>INDEX(YieldCurve!$B$4:$B$63,C156)</f>
        <v>4.4248589999999997E-2</v>
      </c>
      <c r="G156">
        <f>INDEX(YieldCurve!$B$4:$B$63,C156+1)</f>
        <v>4.459813E-2</v>
      </c>
      <c r="H156">
        <f t="shared" si="2"/>
        <v>0.5</v>
      </c>
      <c r="I156">
        <f>IF(B156&lt;=INDEX(YieldCurve!$A$4:$A$63,1),INDEX(YieldCurve!$B$4:$B$63,1),IF(B156&gt;=INDEX(YieldCurve!$A$4:$A$63,ROWS(YieldCurve!$A$4:$A$63)),INDEX(YieldCurve!$B$4:$B$63,ROWS(YieldCurve!$B$4:$B$63)),F156+H156*(G156-F156)))</f>
        <v>4.4423359999999995E-2</v>
      </c>
      <c r="J156">
        <f>EXP(-(I156+Inputs!$B$9)*B156)</f>
        <v>0.56756622522690714</v>
      </c>
    </row>
    <row r="157" spans="1:10" x14ac:dyDescent="0.35">
      <c r="A157">
        <v>154</v>
      </c>
      <c r="B157">
        <f>A157/Inputs!$B$6</f>
        <v>12.833333333333334</v>
      </c>
      <c r="C157">
        <f>IF(B157&lt;=INDEX(YieldCurve!$A$4:$A$63,1),1,IF(B157&gt;=INDEX(YieldCurve!$A$4:$A$63,ROWS(YieldCurve!$A$4:$A$63)),ROWS(YieldCurve!$A$4:$A$63)-1,MATCH(B157,YieldCurve!$A$4:$A$63,1)))</f>
        <v>25</v>
      </c>
      <c r="D157">
        <f>INDEX(YieldCurve!$A$4:$A$63,C157)</f>
        <v>12.5</v>
      </c>
      <c r="E157">
        <f>INDEX(YieldCurve!$A$4:$A$63,C157+1)</f>
        <v>13</v>
      </c>
      <c r="F157">
        <f>INDEX(YieldCurve!$B$4:$B$63,C157)</f>
        <v>4.4248589999999997E-2</v>
      </c>
      <c r="G157">
        <f>INDEX(YieldCurve!$B$4:$B$63,C157+1)</f>
        <v>4.459813E-2</v>
      </c>
      <c r="H157">
        <f t="shared" si="2"/>
        <v>0.66666666666666785</v>
      </c>
      <c r="I157">
        <f>IF(B157&lt;=INDEX(YieldCurve!$A$4:$A$63,1),INDEX(YieldCurve!$B$4:$B$63,1),IF(B157&gt;=INDEX(YieldCurve!$A$4:$A$63,ROWS(YieldCurve!$A$4:$A$63)),INDEX(YieldCurve!$B$4:$B$63,ROWS(YieldCurve!$B$4:$B$63)),F157+H157*(G157-F157)))</f>
        <v>4.4481616666666668E-2</v>
      </c>
      <c r="J157">
        <f>EXP(-(I157+Inputs!$B$9)*B157)</f>
        <v>0.5650464075857391</v>
      </c>
    </row>
    <row r="158" spans="1:10" x14ac:dyDescent="0.35">
      <c r="A158">
        <v>155</v>
      </c>
      <c r="B158">
        <f>A158/Inputs!$B$6</f>
        <v>12.916666666666666</v>
      </c>
      <c r="C158">
        <f>IF(B158&lt;=INDEX(YieldCurve!$A$4:$A$63,1),1,IF(B158&gt;=INDEX(YieldCurve!$A$4:$A$63,ROWS(YieldCurve!$A$4:$A$63)),ROWS(YieldCurve!$A$4:$A$63)-1,MATCH(B158,YieldCurve!$A$4:$A$63,1)))</f>
        <v>25</v>
      </c>
      <c r="D158">
        <f>INDEX(YieldCurve!$A$4:$A$63,C158)</f>
        <v>12.5</v>
      </c>
      <c r="E158">
        <f>INDEX(YieldCurve!$A$4:$A$63,C158+1)</f>
        <v>13</v>
      </c>
      <c r="F158">
        <f>INDEX(YieldCurve!$B$4:$B$63,C158)</f>
        <v>4.4248589999999997E-2</v>
      </c>
      <c r="G158">
        <f>INDEX(YieldCurve!$B$4:$B$63,C158+1)</f>
        <v>4.459813E-2</v>
      </c>
      <c r="H158">
        <f t="shared" si="2"/>
        <v>0.83333333333333215</v>
      </c>
      <c r="I158">
        <f>IF(B158&lt;=INDEX(YieldCurve!$A$4:$A$63,1),INDEX(YieldCurve!$B$4:$B$63,1),IF(B158&gt;=INDEX(YieldCurve!$A$4:$A$63,ROWS(YieldCurve!$A$4:$A$63)),INDEX(YieldCurve!$B$4:$B$63,ROWS(YieldCurve!$B$4:$B$63)),F158+H158*(G158-F158)))</f>
        <v>4.4539873333333334E-2</v>
      </c>
      <c r="J158">
        <f>EXP(-(I158+Inputs!$B$9)*B158)</f>
        <v>0.56253231524896274</v>
      </c>
    </row>
    <row r="159" spans="1:10" x14ac:dyDescent="0.35">
      <c r="A159">
        <v>156</v>
      </c>
      <c r="B159">
        <f>A159/Inputs!$B$6</f>
        <v>13</v>
      </c>
      <c r="C159">
        <f>IF(B159&lt;=INDEX(YieldCurve!$A$4:$A$63,1),1,IF(B159&gt;=INDEX(YieldCurve!$A$4:$A$63,ROWS(YieldCurve!$A$4:$A$63)),ROWS(YieldCurve!$A$4:$A$63)-1,MATCH(B159,YieldCurve!$A$4:$A$63,1)))</f>
        <v>26</v>
      </c>
      <c r="D159">
        <f>INDEX(YieldCurve!$A$4:$A$63,C159)</f>
        <v>13</v>
      </c>
      <c r="E159">
        <f>INDEX(YieldCurve!$A$4:$A$63,C159+1)</f>
        <v>13.5</v>
      </c>
      <c r="F159">
        <f>INDEX(YieldCurve!$B$4:$B$63,C159)</f>
        <v>4.459813E-2</v>
      </c>
      <c r="G159">
        <f>INDEX(YieldCurve!$B$4:$B$63,C159+1)</f>
        <v>4.4952359999999997E-2</v>
      </c>
      <c r="H159">
        <f t="shared" si="2"/>
        <v>0</v>
      </c>
      <c r="I159">
        <f>IF(B159&lt;=INDEX(YieldCurve!$A$4:$A$63,1),INDEX(YieldCurve!$B$4:$B$63,1),IF(B159&gt;=INDEX(YieldCurve!$A$4:$A$63,ROWS(YieldCurve!$A$4:$A$63)),INDEX(YieldCurve!$B$4:$B$63,ROWS(YieldCurve!$B$4:$B$63)),F159+H159*(G159-F159)))</f>
        <v>4.459813E-2</v>
      </c>
      <c r="J159">
        <f>EXP(-(I159+Inputs!$B$9)*B159)</f>
        <v>0.56002397145469607</v>
      </c>
    </row>
    <row r="160" spans="1:10" x14ac:dyDescent="0.35">
      <c r="A160">
        <v>157</v>
      </c>
      <c r="B160">
        <f>A160/Inputs!$B$6</f>
        <v>13.083333333333334</v>
      </c>
      <c r="C160">
        <f>IF(B160&lt;=INDEX(YieldCurve!$A$4:$A$63,1),1,IF(B160&gt;=INDEX(YieldCurve!$A$4:$A$63,ROWS(YieldCurve!$A$4:$A$63)),ROWS(YieldCurve!$A$4:$A$63)-1,MATCH(B160,YieldCurve!$A$4:$A$63,1)))</f>
        <v>26</v>
      </c>
      <c r="D160">
        <f>INDEX(YieldCurve!$A$4:$A$63,C160)</f>
        <v>13</v>
      </c>
      <c r="E160">
        <f>INDEX(YieldCurve!$A$4:$A$63,C160+1)</f>
        <v>13.5</v>
      </c>
      <c r="F160">
        <f>INDEX(YieldCurve!$B$4:$B$63,C160)</f>
        <v>4.459813E-2</v>
      </c>
      <c r="G160">
        <f>INDEX(YieldCurve!$B$4:$B$63,C160+1)</f>
        <v>4.4952359999999997E-2</v>
      </c>
      <c r="H160">
        <f t="shared" si="2"/>
        <v>0.16666666666666785</v>
      </c>
      <c r="I160">
        <f>IF(B160&lt;=INDEX(YieldCurve!$A$4:$A$63,1),INDEX(YieldCurve!$B$4:$B$63,1),IF(B160&gt;=INDEX(YieldCurve!$A$4:$A$63,ROWS(YieldCurve!$A$4:$A$63)),INDEX(YieldCurve!$B$4:$B$63,ROWS(YieldCurve!$B$4:$B$63)),F160+H160*(G160-F160)))</f>
        <v>4.465716833333333E-2</v>
      </c>
      <c r="J160">
        <f>EXP(-(I160+Inputs!$B$9)*B160)</f>
        <v>0.55751569753669139</v>
      </c>
    </row>
    <row r="161" spans="1:10" x14ac:dyDescent="0.35">
      <c r="A161">
        <v>158</v>
      </c>
      <c r="B161">
        <f>A161/Inputs!$B$6</f>
        <v>13.166666666666666</v>
      </c>
      <c r="C161">
        <f>IF(B161&lt;=INDEX(YieldCurve!$A$4:$A$63,1),1,IF(B161&gt;=INDEX(YieldCurve!$A$4:$A$63,ROWS(YieldCurve!$A$4:$A$63)),ROWS(YieldCurve!$A$4:$A$63)-1,MATCH(B161,YieldCurve!$A$4:$A$63,1)))</f>
        <v>26</v>
      </c>
      <c r="D161">
        <f>INDEX(YieldCurve!$A$4:$A$63,C161)</f>
        <v>13</v>
      </c>
      <c r="E161">
        <f>INDEX(YieldCurve!$A$4:$A$63,C161+1)</f>
        <v>13.5</v>
      </c>
      <c r="F161">
        <f>INDEX(YieldCurve!$B$4:$B$63,C161)</f>
        <v>4.459813E-2</v>
      </c>
      <c r="G161">
        <f>INDEX(YieldCurve!$B$4:$B$63,C161+1)</f>
        <v>4.4952359999999997E-2</v>
      </c>
      <c r="H161">
        <f t="shared" si="2"/>
        <v>0.33333333333333215</v>
      </c>
      <c r="I161">
        <f>IF(B161&lt;=INDEX(YieldCurve!$A$4:$A$63,1),INDEX(YieldCurve!$B$4:$B$63,1),IF(B161&gt;=INDEX(YieldCurve!$A$4:$A$63,ROWS(YieldCurve!$A$4:$A$63)),INDEX(YieldCurve!$B$4:$B$63,ROWS(YieldCurve!$B$4:$B$63)),F161+H161*(G161-F161)))</f>
        <v>4.4716206666666668E-2</v>
      </c>
      <c r="J161">
        <f>EXP(-(I161+Inputs!$B$9)*B161)</f>
        <v>0.55501319664603899</v>
      </c>
    </row>
    <row r="162" spans="1:10" x14ac:dyDescent="0.35">
      <c r="A162">
        <v>159</v>
      </c>
      <c r="B162">
        <f>A162/Inputs!$B$6</f>
        <v>13.25</v>
      </c>
      <c r="C162">
        <f>IF(B162&lt;=INDEX(YieldCurve!$A$4:$A$63,1),1,IF(B162&gt;=INDEX(YieldCurve!$A$4:$A$63,ROWS(YieldCurve!$A$4:$A$63)),ROWS(YieldCurve!$A$4:$A$63)-1,MATCH(B162,YieldCurve!$A$4:$A$63,1)))</f>
        <v>26</v>
      </c>
      <c r="D162">
        <f>INDEX(YieldCurve!$A$4:$A$63,C162)</f>
        <v>13</v>
      </c>
      <c r="E162">
        <f>INDEX(YieldCurve!$A$4:$A$63,C162+1)</f>
        <v>13.5</v>
      </c>
      <c r="F162">
        <f>INDEX(YieldCurve!$B$4:$B$63,C162)</f>
        <v>4.459813E-2</v>
      </c>
      <c r="G162">
        <f>INDEX(YieldCurve!$B$4:$B$63,C162+1)</f>
        <v>4.4952359999999997E-2</v>
      </c>
      <c r="H162">
        <f t="shared" si="2"/>
        <v>0.5</v>
      </c>
      <c r="I162">
        <f>IF(B162&lt;=INDEX(YieldCurve!$A$4:$A$63,1),INDEX(YieldCurve!$B$4:$B$63,1),IF(B162&gt;=INDEX(YieldCurve!$A$4:$A$63,ROWS(YieldCurve!$A$4:$A$63)),INDEX(YieldCurve!$B$4:$B$63,ROWS(YieldCurve!$B$4:$B$63)),F162+H162*(G162-F162)))</f>
        <v>4.4775244999999998E-2</v>
      </c>
      <c r="J162">
        <f>EXP(-(I162+Inputs!$B$9)*B162)</f>
        <v>0.55251649200661324</v>
      </c>
    </row>
    <row r="163" spans="1:10" x14ac:dyDescent="0.35">
      <c r="A163">
        <v>160</v>
      </c>
      <c r="B163">
        <f>A163/Inputs!$B$6</f>
        <v>13.333333333333334</v>
      </c>
      <c r="C163">
        <f>IF(B163&lt;=INDEX(YieldCurve!$A$4:$A$63,1),1,IF(B163&gt;=INDEX(YieldCurve!$A$4:$A$63,ROWS(YieldCurve!$A$4:$A$63)),ROWS(YieldCurve!$A$4:$A$63)-1,MATCH(B163,YieldCurve!$A$4:$A$63,1)))</f>
        <v>26</v>
      </c>
      <c r="D163">
        <f>INDEX(YieldCurve!$A$4:$A$63,C163)</f>
        <v>13</v>
      </c>
      <c r="E163">
        <f>INDEX(YieldCurve!$A$4:$A$63,C163+1)</f>
        <v>13.5</v>
      </c>
      <c r="F163">
        <f>INDEX(YieldCurve!$B$4:$B$63,C163)</f>
        <v>4.459813E-2</v>
      </c>
      <c r="G163">
        <f>INDEX(YieldCurve!$B$4:$B$63,C163+1)</f>
        <v>4.4952359999999997E-2</v>
      </c>
      <c r="H163">
        <f t="shared" si="2"/>
        <v>0.66666666666666785</v>
      </c>
      <c r="I163">
        <f>IF(B163&lt;=INDEX(YieldCurve!$A$4:$A$63,1),INDEX(YieldCurve!$B$4:$B$63,1),IF(B163&gt;=INDEX(YieldCurve!$A$4:$A$63,ROWS(YieldCurve!$A$4:$A$63)),INDEX(YieldCurve!$B$4:$B$63,ROWS(YieldCurve!$B$4:$B$63)),F163+H163*(G163-F163)))</f>
        <v>4.4834283333333329E-2</v>
      </c>
      <c r="J163">
        <f>EXP(-(I163+Inputs!$B$9)*B163)</f>
        <v>0.55002560656721589</v>
      </c>
    </row>
    <row r="164" spans="1:10" x14ac:dyDescent="0.35">
      <c r="A164">
        <v>161</v>
      </c>
      <c r="B164">
        <f>A164/Inputs!$B$6</f>
        <v>13.416666666666666</v>
      </c>
      <c r="C164">
        <f>IF(B164&lt;=INDEX(YieldCurve!$A$4:$A$63,1),1,IF(B164&gt;=INDEX(YieldCurve!$A$4:$A$63,ROWS(YieldCurve!$A$4:$A$63)),ROWS(YieldCurve!$A$4:$A$63)-1,MATCH(B164,YieldCurve!$A$4:$A$63,1)))</f>
        <v>26</v>
      </c>
      <c r="D164">
        <f>INDEX(YieldCurve!$A$4:$A$63,C164)</f>
        <v>13</v>
      </c>
      <c r="E164">
        <f>INDEX(YieldCurve!$A$4:$A$63,C164+1)</f>
        <v>13.5</v>
      </c>
      <c r="F164">
        <f>INDEX(YieldCurve!$B$4:$B$63,C164)</f>
        <v>4.459813E-2</v>
      </c>
      <c r="G164">
        <f>INDEX(YieldCurve!$B$4:$B$63,C164+1)</f>
        <v>4.4952359999999997E-2</v>
      </c>
      <c r="H164">
        <f t="shared" si="2"/>
        <v>0.83333333333333215</v>
      </c>
      <c r="I164">
        <f>IF(B164&lt;=INDEX(YieldCurve!$A$4:$A$63,1),INDEX(YieldCurve!$B$4:$B$63,1),IF(B164&gt;=INDEX(YieldCurve!$A$4:$A$63,ROWS(YieldCurve!$A$4:$A$63)),INDEX(YieldCurve!$B$4:$B$63,ROWS(YieldCurve!$B$4:$B$63)),F164+H164*(G164-F164)))</f>
        <v>4.4893321666666666E-2</v>
      </c>
      <c r="J164">
        <f>EXP(-(I164+Inputs!$B$9)*B164)</f>
        <v>0.54754056300191267</v>
      </c>
    </row>
    <row r="165" spans="1:10" x14ac:dyDescent="0.35">
      <c r="A165">
        <v>162</v>
      </c>
      <c r="B165">
        <f>A165/Inputs!$B$6</f>
        <v>13.5</v>
      </c>
      <c r="C165">
        <f>IF(B165&lt;=INDEX(YieldCurve!$A$4:$A$63,1),1,IF(B165&gt;=INDEX(YieldCurve!$A$4:$A$63,ROWS(YieldCurve!$A$4:$A$63)),ROWS(YieldCurve!$A$4:$A$63)-1,MATCH(B165,YieldCurve!$A$4:$A$63,1)))</f>
        <v>27</v>
      </c>
      <c r="D165">
        <f>INDEX(YieldCurve!$A$4:$A$63,C165)</f>
        <v>13.5</v>
      </c>
      <c r="E165">
        <f>INDEX(YieldCurve!$A$4:$A$63,C165+1)</f>
        <v>14</v>
      </c>
      <c r="F165">
        <f>INDEX(YieldCurve!$B$4:$B$63,C165)</f>
        <v>4.4952359999999997E-2</v>
      </c>
      <c r="G165">
        <f>INDEX(YieldCurve!$B$4:$B$63,C165+1)</f>
        <v>4.5311450000000003E-2</v>
      </c>
      <c r="H165">
        <f t="shared" si="2"/>
        <v>0</v>
      </c>
      <c r="I165">
        <f>IF(B165&lt;=INDEX(YieldCurve!$A$4:$A$63,1),INDEX(YieldCurve!$B$4:$B$63,1),IF(B165&gt;=INDEX(YieldCurve!$A$4:$A$63,ROWS(YieldCurve!$A$4:$A$63)),INDEX(YieldCurve!$B$4:$B$63,ROWS(YieldCurve!$B$4:$B$63)),F165+H165*(G165-F165)))</f>
        <v>4.4952359999999997E-2</v>
      </c>
      <c r="J165">
        <f>EXP(-(I165+Inputs!$B$9)*B165)</f>
        <v>0.54506138371038115</v>
      </c>
    </row>
    <row r="166" spans="1:10" x14ac:dyDescent="0.35">
      <c r="A166">
        <v>163</v>
      </c>
      <c r="B166">
        <f>A166/Inputs!$B$6</f>
        <v>13.583333333333334</v>
      </c>
      <c r="C166">
        <f>IF(B166&lt;=INDEX(YieldCurve!$A$4:$A$63,1),1,IF(B166&gt;=INDEX(YieldCurve!$A$4:$A$63,ROWS(YieldCurve!$A$4:$A$63)),ROWS(YieldCurve!$A$4:$A$63)-1,MATCH(B166,YieldCurve!$A$4:$A$63,1)))</f>
        <v>27</v>
      </c>
      <c r="D166">
        <f>INDEX(YieldCurve!$A$4:$A$63,C166)</f>
        <v>13.5</v>
      </c>
      <c r="E166">
        <f>INDEX(YieldCurve!$A$4:$A$63,C166+1)</f>
        <v>14</v>
      </c>
      <c r="F166">
        <f>INDEX(YieldCurve!$B$4:$B$63,C166)</f>
        <v>4.4952359999999997E-2</v>
      </c>
      <c r="G166">
        <f>INDEX(YieldCurve!$B$4:$B$63,C166+1)</f>
        <v>4.5311450000000003E-2</v>
      </c>
      <c r="H166">
        <f t="shared" si="2"/>
        <v>0.16666666666666785</v>
      </c>
      <c r="I166">
        <f>IF(B166&lt;=INDEX(YieldCurve!$A$4:$A$63,1),INDEX(YieldCurve!$B$4:$B$63,1),IF(B166&gt;=INDEX(YieldCurve!$A$4:$A$63,ROWS(YieldCurve!$A$4:$A$63)),INDEX(YieldCurve!$B$4:$B$63,ROWS(YieldCurve!$B$4:$B$63)),F166+H166*(G166-F166)))</f>
        <v>4.5012208333333331E-2</v>
      </c>
      <c r="J166">
        <f>EXP(-(I166+Inputs!$B$9)*B166)</f>
        <v>0.54258212102564274</v>
      </c>
    </row>
    <row r="167" spans="1:10" x14ac:dyDescent="0.35">
      <c r="A167">
        <v>164</v>
      </c>
      <c r="B167">
        <f>A167/Inputs!$B$6</f>
        <v>13.666666666666666</v>
      </c>
      <c r="C167">
        <f>IF(B167&lt;=INDEX(YieldCurve!$A$4:$A$63,1),1,IF(B167&gt;=INDEX(YieldCurve!$A$4:$A$63,ROWS(YieldCurve!$A$4:$A$63)),ROWS(YieldCurve!$A$4:$A$63)-1,MATCH(B167,YieldCurve!$A$4:$A$63,1)))</f>
        <v>27</v>
      </c>
      <c r="D167">
        <f>INDEX(YieldCurve!$A$4:$A$63,C167)</f>
        <v>13.5</v>
      </c>
      <c r="E167">
        <f>INDEX(YieldCurve!$A$4:$A$63,C167+1)</f>
        <v>14</v>
      </c>
      <c r="F167">
        <f>INDEX(YieldCurve!$B$4:$B$63,C167)</f>
        <v>4.4952359999999997E-2</v>
      </c>
      <c r="G167">
        <f>INDEX(YieldCurve!$B$4:$B$63,C167+1)</f>
        <v>4.5311450000000003E-2</v>
      </c>
      <c r="H167">
        <f t="shared" si="2"/>
        <v>0.33333333333333215</v>
      </c>
      <c r="I167">
        <f>IF(B167&lt;=INDEX(YieldCurve!$A$4:$A$63,1),INDEX(YieldCurve!$B$4:$B$63,1),IF(B167&gt;=INDEX(YieldCurve!$A$4:$A$63,ROWS(YieldCurve!$A$4:$A$63)),INDEX(YieldCurve!$B$4:$B$63,ROWS(YieldCurve!$B$4:$B$63)),F167+H167*(G167-F167)))</f>
        <v>4.5072056666666666E-2</v>
      </c>
      <c r="J167">
        <f>EXP(-(I167+Inputs!$B$9)*B167)</f>
        <v>0.54010874803751685</v>
      </c>
    </row>
    <row r="168" spans="1:10" x14ac:dyDescent="0.35">
      <c r="A168">
        <v>165</v>
      </c>
      <c r="B168">
        <f>A168/Inputs!$B$6</f>
        <v>13.75</v>
      </c>
      <c r="C168">
        <f>IF(B168&lt;=INDEX(YieldCurve!$A$4:$A$63,1),1,IF(B168&gt;=INDEX(YieldCurve!$A$4:$A$63,ROWS(YieldCurve!$A$4:$A$63)),ROWS(YieldCurve!$A$4:$A$63)-1,MATCH(B168,YieldCurve!$A$4:$A$63,1)))</f>
        <v>27</v>
      </c>
      <c r="D168">
        <f>INDEX(YieldCurve!$A$4:$A$63,C168)</f>
        <v>13.5</v>
      </c>
      <c r="E168">
        <f>INDEX(YieldCurve!$A$4:$A$63,C168+1)</f>
        <v>14</v>
      </c>
      <c r="F168">
        <f>INDEX(YieldCurve!$B$4:$B$63,C168)</f>
        <v>4.4952359999999997E-2</v>
      </c>
      <c r="G168">
        <f>INDEX(YieldCurve!$B$4:$B$63,C168+1)</f>
        <v>4.5311450000000003E-2</v>
      </c>
      <c r="H168">
        <f t="shared" si="2"/>
        <v>0.5</v>
      </c>
      <c r="I168">
        <f>IF(B168&lt;=INDEX(YieldCurve!$A$4:$A$63,1),INDEX(YieldCurve!$B$4:$B$63,1),IF(B168&gt;=INDEX(YieldCurve!$A$4:$A$63,ROWS(YieldCurve!$A$4:$A$63)),INDEX(YieldCurve!$B$4:$B$63,ROWS(YieldCurve!$B$4:$B$63)),F168+H168*(G168-F168)))</f>
        <v>4.5131905E-2</v>
      </c>
      <c r="J168">
        <f>EXP(-(I168+Inputs!$B$9)*B168)</f>
        <v>0.53764128712739412</v>
      </c>
    </row>
    <row r="169" spans="1:10" x14ac:dyDescent="0.35">
      <c r="A169">
        <v>166</v>
      </c>
      <c r="B169">
        <f>A169/Inputs!$B$6</f>
        <v>13.833333333333334</v>
      </c>
      <c r="C169">
        <f>IF(B169&lt;=INDEX(YieldCurve!$A$4:$A$63,1),1,IF(B169&gt;=INDEX(YieldCurve!$A$4:$A$63,ROWS(YieldCurve!$A$4:$A$63)),ROWS(YieldCurve!$A$4:$A$63)-1,MATCH(B169,YieldCurve!$A$4:$A$63,1)))</f>
        <v>27</v>
      </c>
      <c r="D169">
        <f>INDEX(YieldCurve!$A$4:$A$63,C169)</f>
        <v>13.5</v>
      </c>
      <c r="E169">
        <f>INDEX(YieldCurve!$A$4:$A$63,C169+1)</f>
        <v>14</v>
      </c>
      <c r="F169">
        <f>INDEX(YieldCurve!$B$4:$B$63,C169)</f>
        <v>4.4952359999999997E-2</v>
      </c>
      <c r="G169">
        <f>INDEX(YieldCurve!$B$4:$B$63,C169+1)</f>
        <v>4.5311450000000003E-2</v>
      </c>
      <c r="H169">
        <f t="shared" si="2"/>
        <v>0.66666666666666785</v>
      </c>
      <c r="I169">
        <f>IF(B169&lt;=INDEX(YieldCurve!$A$4:$A$63,1),INDEX(YieldCurve!$B$4:$B$63,1),IF(B169&gt;=INDEX(YieldCurve!$A$4:$A$63,ROWS(YieldCurve!$A$4:$A$63)),INDEX(YieldCurve!$B$4:$B$63,ROWS(YieldCurve!$B$4:$B$63)),F169+H169*(G169-F169)))</f>
        <v>4.5191753333333334E-2</v>
      </c>
      <c r="J169">
        <f>EXP(-(I169+Inputs!$B$9)*B169)</f>
        <v>0.5351797603980194</v>
      </c>
    </row>
    <row r="170" spans="1:10" x14ac:dyDescent="0.35">
      <c r="A170">
        <v>167</v>
      </c>
      <c r="B170">
        <f>A170/Inputs!$B$6</f>
        <v>13.916666666666666</v>
      </c>
      <c r="C170">
        <f>IF(B170&lt;=INDEX(YieldCurve!$A$4:$A$63,1),1,IF(B170&gt;=INDEX(YieldCurve!$A$4:$A$63,ROWS(YieldCurve!$A$4:$A$63)),ROWS(YieldCurve!$A$4:$A$63)-1,MATCH(B170,YieldCurve!$A$4:$A$63,1)))</f>
        <v>27</v>
      </c>
      <c r="D170">
        <f>INDEX(YieldCurve!$A$4:$A$63,C170)</f>
        <v>13.5</v>
      </c>
      <c r="E170">
        <f>INDEX(YieldCurve!$A$4:$A$63,C170+1)</f>
        <v>14</v>
      </c>
      <c r="F170">
        <f>INDEX(YieldCurve!$B$4:$B$63,C170)</f>
        <v>4.4952359999999997E-2</v>
      </c>
      <c r="G170">
        <f>INDEX(YieldCurve!$B$4:$B$63,C170+1)</f>
        <v>4.5311450000000003E-2</v>
      </c>
      <c r="H170">
        <f t="shared" si="2"/>
        <v>0.83333333333333215</v>
      </c>
      <c r="I170">
        <f>IF(B170&lt;=INDEX(YieldCurve!$A$4:$A$63,1),INDEX(YieldCurve!$B$4:$B$63,1),IF(B170&gt;=INDEX(YieldCurve!$A$4:$A$63,ROWS(YieldCurve!$A$4:$A$63)),INDEX(YieldCurve!$B$4:$B$63,ROWS(YieldCurve!$B$4:$B$63)),F170+H170*(G170-F170)))</f>
        <v>4.5251601666666669E-2</v>
      </c>
      <c r="J170">
        <f>EXP(-(I170+Inputs!$B$9)*B170)</f>
        <v>0.53272418967388457</v>
      </c>
    </row>
    <row r="171" spans="1:10" x14ac:dyDescent="0.35">
      <c r="A171">
        <v>168</v>
      </c>
      <c r="B171">
        <f>A171/Inputs!$B$6</f>
        <v>14</v>
      </c>
      <c r="C171">
        <f>IF(B171&lt;=INDEX(YieldCurve!$A$4:$A$63,1),1,IF(B171&gt;=INDEX(YieldCurve!$A$4:$A$63,ROWS(YieldCurve!$A$4:$A$63)),ROWS(YieldCurve!$A$4:$A$63)-1,MATCH(B171,YieldCurve!$A$4:$A$63,1)))</f>
        <v>28</v>
      </c>
      <c r="D171">
        <f>INDEX(YieldCurve!$A$4:$A$63,C171)</f>
        <v>14</v>
      </c>
      <c r="E171">
        <f>INDEX(YieldCurve!$A$4:$A$63,C171+1)</f>
        <v>14.5</v>
      </c>
      <c r="F171">
        <f>INDEX(YieldCurve!$B$4:$B$63,C171)</f>
        <v>4.5311450000000003E-2</v>
      </c>
      <c r="G171">
        <f>INDEX(YieldCurve!$B$4:$B$63,C171+1)</f>
        <v>4.5675609999999998E-2</v>
      </c>
      <c r="H171">
        <f t="shared" si="2"/>
        <v>0</v>
      </c>
      <c r="I171">
        <f>IF(B171&lt;=INDEX(YieldCurve!$A$4:$A$63,1),INDEX(YieldCurve!$B$4:$B$63,1),IF(B171&gt;=INDEX(YieldCurve!$A$4:$A$63,ROWS(YieldCurve!$A$4:$A$63)),INDEX(YieldCurve!$B$4:$B$63,ROWS(YieldCurve!$B$4:$B$63)),F171+H171*(G171-F171)))</f>
        <v>4.5311450000000003E-2</v>
      </c>
      <c r="J171">
        <f>EXP(-(I171+Inputs!$B$9)*B171)</f>
        <v>0.53027459650163389</v>
      </c>
    </row>
    <row r="172" spans="1:10" x14ac:dyDescent="0.35">
      <c r="A172">
        <v>169</v>
      </c>
      <c r="B172">
        <f>A172/Inputs!$B$6</f>
        <v>14.083333333333334</v>
      </c>
      <c r="C172">
        <f>IF(B172&lt;=INDEX(YieldCurve!$A$4:$A$63,1),1,IF(B172&gt;=INDEX(YieldCurve!$A$4:$A$63,ROWS(YieldCurve!$A$4:$A$63)),ROWS(YieldCurve!$A$4:$A$63)-1,MATCH(B172,YieldCurve!$A$4:$A$63,1)))</f>
        <v>28</v>
      </c>
      <c r="D172">
        <f>INDEX(YieldCurve!$A$4:$A$63,C172)</f>
        <v>14</v>
      </c>
      <c r="E172">
        <f>INDEX(YieldCurve!$A$4:$A$63,C172+1)</f>
        <v>14.5</v>
      </c>
      <c r="F172">
        <f>INDEX(YieldCurve!$B$4:$B$63,C172)</f>
        <v>4.5311450000000003E-2</v>
      </c>
      <c r="G172">
        <f>INDEX(YieldCurve!$B$4:$B$63,C172+1)</f>
        <v>4.5675609999999998E-2</v>
      </c>
      <c r="H172">
        <f t="shared" si="2"/>
        <v>0.16666666666666785</v>
      </c>
      <c r="I172">
        <f>IF(B172&lt;=INDEX(YieldCurve!$A$4:$A$63,1),INDEX(YieldCurve!$B$4:$B$63,1),IF(B172&gt;=INDEX(YieldCurve!$A$4:$A$63,ROWS(YieldCurve!$A$4:$A$63)),INDEX(YieldCurve!$B$4:$B$63,ROWS(YieldCurve!$B$4:$B$63)),F172+H172*(G172-F172)))</f>
        <v>4.5372143333333337E-2</v>
      </c>
      <c r="J172">
        <f>EXP(-(I172+Inputs!$B$9)*B172)</f>
        <v>0.52782472077900155</v>
      </c>
    </row>
    <row r="173" spans="1:10" x14ac:dyDescent="0.35">
      <c r="A173">
        <v>170</v>
      </c>
      <c r="B173">
        <f>A173/Inputs!$B$6</f>
        <v>14.166666666666666</v>
      </c>
      <c r="C173">
        <f>IF(B173&lt;=INDEX(YieldCurve!$A$4:$A$63,1),1,IF(B173&gt;=INDEX(YieldCurve!$A$4:$A$63,ROWS(YieldCurve!$A$4:$A$63)),ROWS(YieldCurve!$A$4:$A$63)-1,MATCH(B173,YieldCurve!$A$4:$A$63,1)))</f>
        <v>28</v>
      </c>
      <c r="D173">
        <f>INDEX(YieldCurve!$A$4:$A$63,C173)</f>
        <v>14</v>
      </c>
      <c r="E173">
        <f>INDEX(YieldCurve!$A$4:$A$63,C173+1)</f>
        <v>14.5</v>
      </c>
      <c r="F173">
        <f>INDEX(YieldCurve!$B$4:$B$63,C173)</f>
        <v>4.5311450000000003E-2</v>
      </c>
      <c r="G173">
        <f>INDEX(YieldCurve!$B$4:$B$63,C173+1)</f>
        <v>4.5675609999999998E-2</v>
      </c>
      <c r="H173">
        <f t="shared" si="2"/>
        <v>0.33333333333333215</v>
      </c>
      <c r="I173">
        <f>IF(B173&lt;=INDEX(YieldCurve!$A$4:$A$63,1),INDEX(YieldCurve!$B$4:$B$63,1),IF(B173&gt;=INDEX(YieldCurve!$A$4:$A$63,ROWS(YieldCurve!$A$4:$A$63)),INDEX(YieldCurve!$B$4:$B$63,ROWS(YieldCurve!$B$4:$B$63)),F173+H173*(G173-F173)))</f>
        <v>4.5432836666666671E-2</v>
      </c>
      <c r="J173">
        <f>EXP(-(I173+Inputs!$B$9)*B173)</f>
        <v>0.52538084896890369</v>
      </c>
    </row>
    <row r="174" spans="1:10" x14ac:dyDescent="0.35">
      <c r="A174">
        <v>171</v>
      </c>
      <c r="B174">
        <f>A174/Inputs!$B$6</f>
        <v>14.25</v>
      </c>
      <c r="C174">
        <f>IF(B174&lt;=INDEX(YieldCurve!$A$4:$A$63,1),1,IF(B174&gt;=INDEX(YieldCurve!$A$4:$A$63,ROWS(YieldCurve!$A$4:$A$63)),ROWS(YieldCurve!$A$4:$A$63)-1,MATCH(B174,YieldCurve!$A$4:$A$63,1)))</f>
        <v>28</v>
      </c>
      <c r="D174">
        <f>INDEX(YieldCurve!$A$4:$A$63,C174)</f>
        <v>14</v>
      </c>
      <c r="E174">
        <f>INDEX(YieldCurve!$A$4:$A$63,C174+1)</f>
        <v>14.5</v>
      </c>
      <c r="F174">
        <f>INDEX(YieldCurve!$B$4:$B$63,C174)</f>
        <v>4.5311450000000003E-2</v>
      </c>
      <c r="G174">
        <f>INDEX(YieldCurve!$B$4:$B$63,C174+1)</f>
        <v>4.5675609999999998E-2</v>
      </c>
      <c r="H174">
        <f t="shared" si="2"/>
        <v>0.5</v>
      </c>
      <c r="I174">
        <f>IF(B174&lt;=INDEX(YieldCurve!$A$4:$A$63,1),INDEX(YieldCurve!$B$4:$B$63,1),IF(B174&gt;=INDEX(YieldCurve!$A$4:$A$63,ROWS(YieldCurve!$A$4:$A$63)),INDEX(YieldCurve!$B$4:$B$63,ROWS(YieldCurve!$B$4:$B$63)),F174+H174*(G174-F174)))</f>
        <v>4.5493530000000004E-2</v>
      </c>
      <c r="J174">
        <f>EXP(-(I174+Inputs!$B$9)*B174)</f>
        <v>0.52294300260026383</v>
      </c>
    </row>
    <row r="175" spans="1:10" x14ac:dyDescent="0.35">
      <c r="A175">
        <v>172</v>
      </c>
      <c r="B175">
        <f>A175/Inputs!$B$6</f>
        <v>14.333333333333334</v>
      </c>
      <c r="C175">
        <f>IF(B175&lt;=INDEX(YieldCurve!$A$4:$A$63,1),1,IF(B175&gt;=INDEX(YieldCurve!$A$4:$A$63,ROWS(YieldCurve!$A$4:$A$63)),ROWS(YieldCurve!$A$4:$A$63)-1,MATCH(B175,YieldCurve!$A$4:$A$63,1)))</f>
        <v>28</v>
      </c>
      <c r="D175">
        <f>INDEX(YieldCurve!$A$4:$A$63,C175)</f>
        <v>14</v>
      </c>
      <c r="E175">
        <f>INDEX(YieldCurve!$A$4:$A$63,C175+1)</f>
        <v>14.5</v>
      </c>
      <c r="F175">
        <f>INDEX(YieldCurve!$B$4:$B$63,C175)</f>
        <v>4.5311450000000003E-2</v>
      </c>
      <c r="G175">
        <f>INDEX(YieldCurve!$B$4:$B$63,C175+1)</f>
        <v>4.5675609999999998E-2</v>
      </c>
      <c r="H175">
        <f t="shared" si="2"/>
        <v>0.66666666666666785</v>
      </c>
      <c r="I175">
        <f>IF(B175&lt;=INDEX(YieldCurve!$A$4:$A$63,1),INDEX(YieldCurve!$B$4:$B$63,1),IF(B175&gt;=INDEX(YieldCurve!$A$4:$A$63,ROWS(YieldCurve!$A$4:$A$63)),INDEX(YieldCurve!$B$4:$B$63,ROWS(YieldCurve!$B$4:$B$63)),F175+H175*(G175-F175)))</f>
        <v>4.5554223333333331E-2</v>
      </c>
      <c r="J175">
        <f>EXP(-(I175+Inputs!$B$9)*B175)</f>
        <v>0.52051120291978981</v>
      </c>
    </row>
    <row r="176" spans="1:10" x14ac:dyDescent="0.35">
      <c r="A176">
        <v>173</v>
      </c>
      <c r="B176">
        <f>A176/Inputs!$B$6</f>
        <v>14.416666666666666</v>
      </c>
      <c r="C176">
        <f>IF(B176&lt;=INDEX(YieldCurve!$A$4:$A$63,1),1,IF(B176&gt;=INDEX(YieldCurve!$A$4:$A$63,ROWS(YieldCurve!$A$4:$A$63)),ROWS(YieldCurve!$A$4:$A$63)-1,MATCH(B176,YieldCurve!$A$4:$A$63,1)))</f>
        <v>28</v>
      </c>
      <c r="D176">
        <f>INDEX(YieldCurve!$A$4:$A$63,C176)</f>
        <v>14</v>
      </c>
      <c r="E176">
        <f>INDEX(YieldCurve!$A$4:$A$63,C176+1)</f>
        <v>14.5</v>
      </c>
      <c r="F176">
        <f>INDEX(YieldCurve!$B$4:$B$63,C176)</f>
        <v>4.5311450000000003E-2</v>
      </c>
      <c r="G176">
        <f>INDEX(YieldCurve!$B$4:$B$63,C176+1)</f>
        <v>4.5675609999999998E-2</v>
      </c>
      <c r="H176">
        <f t="shared" si="2"/>
        <v>0.83333333333333215</v>
      </c>
      <c r="I176">
        <f>IF(B176&lt;=INDEX(YieldCurve!$A$4:$A$63,1),INDEX(YieldCurve!$B$4:$B$63,1),IF(B176&gt;=INDEX(YieldCurve!$A$4:$A$63,ROWS(YieldCurve!$A$4:$A$63)),INDEX(YieldCurve!$B$4:$B$63,ROWS(YieldCurve!$B$4:$B$63)),F176+H176*(G176-F176)))</f>
        <v>4.5614916666666665E-2</v>
      </c>
      <c r="J176">
        <f>EXP(-(I176+Inputs!$B$9)*B176)</f>
        <v>0.51808547089242596</v>
      </c>
    </row>
    <row r="177" spans="1:10" x14ac:dyDescent="0.35">
      <c r="A177">
        <v>174</v>
      </c>
      <c r="B177">
        <f>A177/Inputs!$B$6</f>
        <v>14.5</v>
      </c>
      <c r="C177">
        <f>IF(B177&lt;=INDEX(YieldCurve!$A$4:$A$63,1),1,IF(B177&gt;=INDEX(YieldCurve!$A$4:$A$63,ROWS(YieldCurve!$A$4:$A$63)),ROWS(YieldCurve!$A$4:$A$63)-1,MATCH(B177,YieldCurve!$A$4:$A$63,1)))</f>
        <v>29</v>
      </c>
      <c r="D177">
        <f>INDEX(YieldCurve!$A$4:$A$63,C177)</f>
        <v>14.5</v>
      </c>
      <c r="E177">
        <f>INDEX(YieldCurve!$A$4:$A$63,C177+1)</f>
        <v>15</v>
      </c>
      <c r="F177">
        <f>INDEX(YieldCurve!$B$4:$B$63,C177)</f>
        <v>4.5675609999999998E-2</v>
      </c>
      <c r="G177">
        <f>INDEX(YieldCurve!$B$4:$B$63,C177+1)</f>
        <v>4.6045049999999997E-2</v>
      </c>
      <c r="H177">
        <f t="shared" si="2"/>
        <v>0</v>
      </c>
      <c r="I177">
        <f>IF(B177&lt;=INDEX(YieldCurve!$A$4:$A$63,1),INDEX(YieldCurve!$B$4:$B$63,1),IF(B177&gt;=INDEX(YieldCurve!$A$4:$A$63,ROWS(YieldCurve!$A$4:$A$63)),INDEX(YieldCurve!$B$4:$B$63,ROWS(YieldCurve!$B$4:$B$63)),F177+H177*(G177-F177)))</f>
        <v>4.5675609999999998E-2</v>
      </c>
      <c r="J177">
        <f>EXP(-(I177+Inputs!$B$9)*B177)</f>
        <v>0.51566582720181608</v>
      </c>
    </row>
    <row r="178" spans="1:10" x14ac:dyDescent="0.35">
      <c r="A178">
        <v>175</v>
      </c>
      <c r="B178">
        <f>A178/Inputs!$B$6</f>
        <v>14.583333333333334</v>
      </c>
      <c r="C178">
        <f>IF(B178&lt;=INDEX(YieldCurve!$A$4:$A$63,1),1,IF(B178&gt;=INDEX(YieldCurve!$A$4:$A$63,ROWS(YieldCurve!$A$4:$A$63)),ROWS(YieldCurve!$A$4:$A$63)-1,MATCH(B178,YieldCurve!$A$4:$A$63,1)))</f>
        <v>29</v>
      </c>
      <c r="D178">
        <f>INDEX(YieldCurve!$A$4:$A$63,C178)</f>
        <v>14.5</v>
      </c>
      <c r="E178">
        <f>INDEX(YieldCurve!$A$4:$A$63,C178+1)</f>
        <v>15</v>
      </c>
      <c r="F178">
        <f>INDEX(YieldCurve!$B$4:$B$63,C178)</f>
        <v>4.5675609999999998E-2</v>
      </c>
      <c r="G178">
        <f>INDEX(YieldCurve!$B$4:$B$63,C178+1)</f>
        <v>4.6045049999999997E-2</v>
      </c>
      <c r="H178">
        <f t="shared" si="2"/>
        <v>0.16666666666666785</v>
      </c>
      <c r="I178">
        <f>IF(B178&lt;=INDEX(YieldCurve!$A$4:$A$63,1),INDEX(YieldCurve!$B$4:$B$63,1),IF(B178&gt;=INDEX(YieldCurve!$A$4:$A$63,ROWS(YieldCurve!$A$4:$A$63)),INDEX(YieldCurve!$B$4:$B$63,ROWS(YieldCurve!$B$4:$B$63)),F178+H178*(G178-F178)))</f>
        <v>4.5737183333333334E-2</v>
      </c>
      <c r="J178">
        <f>EXP(-(I178+Inputs!$B$9)*B178)</f>
        <v>0.51324570555529481</v>
      </c>
    </row>
    <row r="179" spans="1:10" x14ac:dyDescent="0.35">
      <c r="A179">
        <v>176</v>
      </c>
      <c r="B179">
        <f>A179/Inputs!$B$6</f>
        <v>14.666666666666666</v>
      </c>
      <c r="C179">
        <f>IF(B179&lt;=INDEX(YieldCurve!$A$4:$A$63,1),1,IF(B179&gt;=INDEX(YieldCurve!$A$4:$A$63,ROWS(YieldCurve!$A$4:$A$63)),ROWS(YieldCurve!$A$4:$A$63)-1,MATCH(B179,YieldCurve!$A$4:$A$63,1)))</f>
        <v>29</v>
      </c>
      <c r="D179">
        <f>INDEX(YieldCurve!$A$4:$A$63,C179)</f>
        <v>14.5</v>
      </c>
      <c r="E179">
        <f>INDEX(YieldCurve!$A$4:$A$63,C179+1)</f>
        <v>15</v>
      </c>
      <c r="F179">
        <f>INDEX(YieldCurve!$B$4:$B$63,C179)</f>
        <v>4.5675609999999998E-2</v>
      </c>
      <c r="G179">
        <f>INDEX(YieldCurve!$B$4:$B$63,C179+1)</f>
        <v>4.6045049999999997E-2</v>
      </c>
      <c r="H179">
        <f t="shared" si="2"/>
        <v>0.33333333333333215</v>
      </c>
      <c r="I179">
        <f>IF(B179&lt;=INDEX(YieldCurve!$A$4:$A$63,1),INDEX(YieldCurve!$B$4:$B$63,1),IF(B179&gt;=INDEX(YieldCurve!$A$4:$A$63,ROWS(YieldCurve!$A$4:$A$63)),INDEX(YieldCurve!$B$4:$B$63,ROWS(YieldCurve!$B$4:$B$63)),F179+H179*(G179-F179)))</f>
        <v>4.5798756666666662E-2</v>
      </c>
      <c r="J179">
        <f>EXP(-(I179+Inputs!$B$9)*B179)</f>
        <v>0.51083169972266951</v>
      </c>
    </row>
    <row r="180" spans="1:10" x14ac:dyDescent="0.35">
      <c r="A180">
        <v>177</v>
      </c>
      <c r="B180">
        <f>A180/Inputs!$B$6</f>
        <v>14.75</v>
      </c>
      <c r="C180">
        <f>IF(B180&lt;=INDEX(YieldCurve!$A$4:$A$63,1),1,IF(B180&gt;=INDEX(YieldCurve!$A$4:$A$63,ROWS(YieldCurve!$A$4:$A$63)),ROWS(YieldCurve!$A$4:$A$63)-1,MATCH(B180,YieldCurve!$A$4:$A$63,1)))</f>
        <v>29</v>
      </c>
      <c r="D180">
        <f>INDEX(YieldCurve!$A$4:$A$63,C180)</f>
        <v>14.5</v>
      </c>
      <c r="E180">
        <f>INDEX(YieldCurve!$A$4:$A$63,C180+1)</f>
        <v>15</v>
      </c>
      <c r="F180">
        <f>INDEX(YieldCurve!$B$4:$B$63,C180)</f>
        <v>4.5675609999999998E-2</v>
      </c>
      <c r="G180">
        <f>INDEX(YieldCurve!$B$4:$B$63,C180+1)</f>
        <v>4.6045049999999997E-2</v>
      </c>
      <c r="H180">
        <f t="shared" si="2"/>
        <v>0.5</v>
      </c>
      <c r="I180">
        <f>IF(B180&lt;=INDEX(YieldCurve!$A$4:$A$63,1),INDEX(YieldCurve!$B$4:$B$63,1),IF(B180&gt;=INDEX(YieldCurve!$A$4:$A$63,ROWS(YieldCurve!$A$4:$A$63)),INDEX(YieldCurve!$B$4:$B$63,ROWS(YieldCurve!$B$4:$B$63)),F180+H180*(G180-F180)))</f>
        <v>4.5860329999999998E-2</v>
      </c>
      <c r="J180">
        <f>EXP(-(I180+Inputs!$B$9)*B180)</f>
        <v>0.50842383036810668</v>
      </c>
    </row>
    <row r="181" spans="1:10" x14ac:dyDescent="0.35">
      <c r="A181">
        <v>178</v>
      </c>
      <c r="B181">
        <f>A181/Inputs!$B$6</f>
        <v>14.833333333333334</v>
      </c>
      <c r="C181">
        <f>IF(B181&lt;=INDEX(YieldCurve!$A$4:$A$63,1),1,IF(B181&gt;=INDEX(YieldCurve!$A$4:$A$63,ROWS(YieldCurve!$A$4:$A$63)),ROWS(YieldCurve!$A$4:$A$63)-1,MATCH(B181,YieldCurve!$A$4:$A$63,1)))</f>
        <v>29</v>
      </c>
      <c r="D181">
        <f>INDEX(YieldCurve!$A$4:$A$63,C181)</f>
        <v>14.5</v>
      </c>
      <c r="E181">
        <f>INDEX(YieldCurve!$A$4:$A$63,C181+1)</f>
        <v>15</v>
      </c>
      <c r="F181">
        <f>INDEX(YieldCurve!$B$4:$B$63,C181)</f>
        <v>4.5675609999999998E-2</v>
      </c>
      <c r="G181">
        <f>INDEX(YieldCurve!$B$4:$B$63,C181+1)</f>
        <v>4.6045049999999997E-2</v>
      </c>
      <c r="H181">
        <f t="shared" si="2"/>
        <v>0.66666666666666785</v>
      </c>
      <c r="I181">
        <f>IF(B181&lt;=INDEX(YieldCurve!$A$4:$A$63,1),INDEX(YieldCurve!$B$4:$B$63,1),IF(B181&gt;=INDEX(YieldCurve!$A$4:$A$63,ROWS(YieldCurve!$A$4:$A$63)),INDEX(YieldCurve!$B$4:$B$63,ROWS(YieldCurve!$B$4:$B$63)),F181+H181*(G181-F181)))</f>
        <v>4.5921903333333333E-2</v>
      </c>
      <c r="J181">
        <f>EXP(-(I181+Inputs!$B$9)*B181)</f>
        <v>0.50602211787000018</v>
      </c>
    </row>
    <row r="182" spans="1:10" x14ac:dyDescent="0.35">
      <c r="A182">
        <v>179</v>
      </c>
      <c r="B182">
        <f>A182/Inputs!$B$6</f>
        <v>14.916666666666666</v>
      </c>
      <c r="C182">
        <f>IF(B182&lt;=INDEX(YieldCurve!$A$4:$A$63,1),1,IF(B182&gt;=INDEX(YieldCurve!$A$4:$A$63,ROWS(YieldCurve!$A$4:$A$63)),ROWS(YieldCurve!$A$4:$A$63)-1,MATCH(B182,YieldCurve!$A$4:$A$63,1)))</f>
        <v>29</v>
      </c>
      <c r="D182">
        <f>INDEX(YieldCurve!$A$4:$A$63,C182)</f>
        <v>14.5</v>
      </c>
      <c r="E182">
        <f>INDEX(YieldCurve!$A$4:$A$63,C182+1)</f>
        <v>15</v>
      </c>
      <c r="F182">
        <f>INDEX(YieldCurve!$B$4:$B$63,C182)</f>
        <v>4.5675609999999998E-2</v>
      </c>
      <c r="G182">
        <f>INDEX(YieldCurve!$B$4:$B$63,C182+1)</f>
        <v>4.6045049999999997E-2</v>
      </c>
      <c r="H182">
        <f t="shared" si="2"/>
        <v>0.83333333333333215</v>
      </c>
      <c r="I182">
        <f>IF(B182&lt;=INDEX(YieldCurve!$A$4:$A$63,1),INDEX(YieldCurve!$B$4:$B$63,1),IF(B182&gt;=INDEX(YieldCurve!$A$4:$A$63,ROWS(YieldCurve!$A$4:$A$63)),INDEX(YieldCurve!$B$4:$B$63,ROWS(YieldCurve!$B$4:$B$63)),F182+H182*(G182-F182)))</f>
        <v>4.5983476666666662E-2</v>
      </c>
      <c r="J182">
        <f>EXP(-(I182+Inputs!$B$9)*B182)</f>
        <v>0.50362658232148383</v>
      </c>
    </row>
    <row r="183" spans="1:10" x14ac:dyDescent="0.35">
      <c r="A183">
        <v>180</v>
      </c>
      <c r="B183">
        <f>A183/Inputs!$B$6</f>
        <v>15</v>
      </c>
      <c r="C183">
        <f>IF(B183&lt;=INDEX(YieldCurve!$A$4:$A$63,1),1,IF(B183&gt;=INDEX(YieldCurve!$A$4:$A$63,ROWS(YieldCurve!$A$4:$A$63)),ROWS(YieldCurve!$A$4:$A$63)-1,MATCH(B183,YieldCurve!$A$4:$A$63,1)))</f>
        <v>30</v>
      </c>
      <c r="D183">
        <f>INDEX(YieldCurve!$A$4:$A$63,C183)</f>
        <v>15</v>
      </c>
      <c r="E183">
        <f>INDEX(YieldCurve!$A$4:$A$63,C183+1)</f>
        <v>15.5</v>
      </c>
      <c r="F183">
        <f>INDEX(YieldCurve!$B$4:$B$63,C183)</f>
        <v>4.6045049999999997E-2</v>
      </c>
      <c r="G183">
        <f>INDEX(YieldCurve!$B$4:$B$63,C183+1)</f>
        <v>4.6420000000000003E-2</v>
      </c>
      <c r="H183">
        <f t="shared" si="2"/>
        <v>0</v>
      </c>
      <c r="I183">
        <f>IF(B183&lt;=INDEX(YieldCurve!$A$4:$A$63,1),INDEX(YieldCurve!$B$4:$B$63,1),IF(B183&gt;=INDEX(YieldCurve!$A$4:$A$63,ROWS(YieldCurve!$A$4:$A$63)),INDEX(YieldCurve!$B$4:$B$63,ROWS(YieldCurve!$B$4:$B$63)),F183+H183*(G183-F183)))</f>
        <v>4.6045049999999997E-2</v>
      </c>
      <c r="J183">
        <f>EXP(-(I183+Inputs!$B$9)*B183)</f>
        <v>0.50123724353095522</v>
      </c>
    </row>
    <row r="184" spans="1:10" x14ac:dyDescent="0.35">
      <c r="A184">
        <v>181</v>
      </c>
      <c r="B184">
        <f>A184/Inputs!$B$6</f>
        <v>15.083333333333334</v>
      </c>
      <c r="C184">
        <f>IF(B184&lt;=INDEX(YieldCurve!$A$4:$A$63,1),1,IF(B184&gt;=INDEX(YieldCurve!$A$4:$A$63,ROWS(YieldCurve!$A$4:$A$63)),ROWS(YieldCurve!$A$4:$A$63)-1,MATCH(B184,YieldCurve!$A$4:$A$63,1)))</f>
        <v>30</v>
      </c>
      <c r="D184">
        <f>INDEX(YieldCurve!$A$4:$A$63,C184)</f>
        <v>15</v>
      </c>
      <c r="E184">
        <f>INDEX(YieldCurve!$A$4:$A$63,C184+1)</f>
        <v>15.5</v>
      </c>
      <c r="F184">
        <f>INDEX(YieldCurve!$B$4:$B$63,C184)</f>
        <v>4.6045049999999997E-2</v>
      </c>
      <c r="G184">
        <f>INDEX(YieldCurve!$B$4:$B$63,C184+1)</f>
        <v>4.6420000000000003E-2</v>
      </c>
      <c r="H184">
        <f t="shared" si="2"/>
        <v>0.16666666666666785</v>
      </c>
      <c r="I184">
        <f>IF(B184&lt;=INDEX(YieldCurve!$A$4:$A$63,1),INDEX(YieldCurve!$B$4:$B$63,1),IF(B184&gt;=INDEX(YieldCurve!$A$4:$A$63,ROWS(YieldCurve!$A$4:$A$63)),INDEX(YieldCurve!$B$4:$B$63,ROWS(YieldCurve!$B$4:$B$63)),F184+H184*(G184-F184)))</f>
        <v>4.6107541666666668E-2</v>
      </c>
      <c r="J184">
        <f>EXP(-(I184+Inputs!$B$9)*B184)</f>
        <v>0.49884721117875519</v>
      </c>
    </row>
    <row r="185" spans="1:10" x14ac:dyDescent="0.35">
      <c r="A185">
        <v>182</v>
      </c>
      <c r="B185">
        <f>A185/Inputs!$B$6</f>
        <v>15.166666666666666</v>
      </c>
      <c r="C185">
        <f>IF(B185&lt;=INDEX(YieldCurve!$A$4:$A$63,1),1,IF(B185&gt;=INDEX(YieldCurve!$A$4:$A$63,ROWS(YieldCurve!$A$4:$A$63)),ROWS(YieldCurve!$A$4:$A$63)-1,MATCH(B185,YieldCurve!$A$4:$A$63,1)))</f>
        <v>30</v>
      </c>
      <c r="D185">
        <f>INDEX(YieldCurve!$A$4:$A$63,C185)</f>
        <v>15</v>
      </c>
      <c r="E185">
        <f>INDEX(YieldCurve!$A$4:$A$63,C185+1)</f>
        <v>15.5</v>
      </c>
      <c r="F185">
        <f>INDEX(YieldCurve!$B$4:$B$63,C185)</f>
        <v>4.6045049999999997E-2</v>
      </c>
      <c r="G185">
        <f>INDEX(YieldCurve!$B$4:$B$63,C185+1)</f>
        <v>4.6420000000000003E-2</v>
      </c>
      <c r="H185">
        <f t="shared" si="2"/>
        <v>0.33333333333333215</v>
      </c>
      <c r="I185">
        <f>IF(B185&lt;=INDEX(YieldCurve!$A$4:$A$63,1),INDEX(YieldCurve!$B$4:$B$63,1),IF(B185&gt;=INDEX(YieldCurve!$A$4:$A$63,ROWS(YieldCurve!$A$4:$A$63)),INDEX(YieldCurve!$B$4:$B$63,ROWS(YieldCurve!$B$4:$B$63)),F185+H185*(G185-F185)))</f>
        <v>4.6170033333333332E-2</v>
      </c>
      <c r="J185">
        <f>EXP(-(I185+Inputs!$B$9)*B185)</f>
        <v>0.49646340430463437</v>
      </c>
    </row>
    <row r="186" spans="1:10" x14ac:dyDescent="0.35">
      <c r="A186">
        <v>183</v>
      </c>
      <c r="B186">
        <f>A186/Inputs!$B$6</f>
        <v>15.25</v>
      </c>
      <c r="C186">
        <f>IF(B186&lt;=INDEX(YieldCurve!$A$4:$A$63,1),1,IF(B186&gt;=INDEX(YieldCurve!$A$4:$A$63,ROWS(YieldCurve!$A$4:$A$63)),ROWS(YieldCurve!$A$4:$A$63)-1,MATCH(B186,YieldCurve!$A$4:$A$63,1)))</f>
        <v>30</v>
      </c>
      <c r="D186">
        <f>INDEX(YieldCurve!$A$4:$A$63,C186)</f>
        <v>15</v>
      </c>
      <c r="E186">
        <f>INDEX(YieldCurve!$A$4:$A$63,C186+1)</f>
        <v>15.5</v>
      </c>
      <c r="F186">
        <f>INDEX(YieldCurve!$B$4:$B$63,C186)</f>
        <v>4.6045049999999997E-2</v>
      </c>
      <c r="G186">
        <f>INDEX(YieldCurve!$B$4:$B$63,C186+1)</f>
        <v>4.6420000000000003E-2</v>
      </c>
      <c r="H186">
        <f t="shared" si="2"/>
        <v>0.5</v>
      </c>
      <c r="I186">
        <f>IF(B186&lt;=INDEX(YieldCurve!$A$4:$A$63,1),INDEX(YieldCurve!$B$4:$B$63,1),IF(B186&gt;=INDEX(YieldCurve!$A$4:$A$63,ROWS(YieldCurve!$A$4:$A$63)),INDEX(YieldCurve!$B$4:$B$63,ROWS(YieldCurve!$B$4:$B$63)),F186+H186*(G186-F186)))</f>
        <v>4.6232524999999997E-2</v>
      </c>
      <c r="J186">
        <f>EXP(-(I186+Inputs!$B$9)*B186)</f>
        <v>0.49408584269644829</v>
      </c>
    </row>
    <row r="187" spans="1:10" x14ac:dyDescent="0.35">
      <c r="A187">
        <v>184</v>
      </c>
      <c r="B187">
        <f>A187/Inputs!$B$6</f>
        <v>15.333333333333334</v>
      </c>
      <c r="C187">
        <f>IF(B187&lt;=INDEX(YieldCurve!$A$4:$A$63,1),1,IF(B187&gt;=INDEX(YieldCurve!$A$4:$A$63,ROWS(YieldCurve!$A$4:$A$63)),ROWS(YieldCurve!$A$4:$A$63)-1,MATCH(B187,YieldCurve!$A$4:$A$63,1)))</f>
        <v>30</v>
      </c>
      <c r="D187">
        <f>INDEX(YieldCurve!$A$4:$A$63,C187)</f>
        <v>15</v>
      </c>
      <c r="E187">
        <f>INDEX(YieldCurve!$A$4:$A$63,C187+1)</f>
        <v>15.5</v>
      </c>
      <c r="F187">
        <f>INDEX(YieldCurve!$B$4:$B$63,C187)</f>
        <v>4.6045049999999997E-2</v>
      </c>
      <c r="G187">
        <f>INDEX(YieldCurve!$B$4:$B$63,C187+1)</f>
        <v>4.6420000000000003E-2</v>
      </c>
      <c r="H187">
        <f t="shared" si="2"/>
        <v>0.66666666666666785</v>
      </c>
      <c r="I187">
        <f>IF(B187&lt;=INDEX(YieldCurve!$A$4:$A$63,1),INDEX(YieldCurve!$B$4:$B$63,1),IF(B187&gt;=INDEX(YieldCurve!$A$4:$A$63,ROWS(YieldCurve!$A$4:$A$63)),INDEX(YieldCurve!$B$4:$B$63,ROWS(YieldCurve!$B$4:$B$63)),F187+H187*(G187-F187)))</f>
        <v>4.6295016666666668E-2</v>
      </c>
      <c r="J187">
        <f>EXP(-(I187+Inputs!$B$9)*B187)</f>
        <v>0.4917145458527209</v>
      </c>
    </row>
    <row r="188" spans="1:10" x14ac:dyDescent="0.35">
      <c r="A188">
        <v>185</v>
      </c>
      <c r="B188">
        <f>A188/Inputs!$B$6</f>
        <v>15.416666666666666</v>
      </c>
      <c r="C188">
        <f>IF(B188&lt;=INDEX(YieldCurve!$A$4:$A$63,1),1,IF(B188&gt;=INDEX(YieldCurve!$A$4:$A$63,ROWS(YieldCurve!$A$4:$A$63)),ROWS(YieldCurve!$A$4:$A$63)-1,MATCH(B188,YieldCurve!$A$4:$A$63,1)))</f>
        <v>30</v>
      </c>
      <c r="D188">
        <f>INDEX(YieldCurve!$A$4:$A$63,C188)</f>
        <v>15</v>
      </c>
      <c r="E188">
        <f>INDEX(YieldCurve!$A$4:$A$63,C188+1)</f>
        <v>15.5</v>
      </c>
      <c r="F188">
        <f>INDEX(YieldCurve!$B$4:$B$63,C188)</f>
        <v>4.6045049999999997E-2</v>
      </c>
      <c r="G188">
        <f>INDEX(YieldCurve!$B$4:$B$63,C188+1)</f>
        <v>4.6420000000000003E-2</v>
      </c>
      <c r="H188">
        <f t="shared" si="2"/>
        <v>0.83333333333333215</v>
      </c>
      <c r="I188">
        <f>IF(B188&lt;=INDEX(YieldCurve!$A$4:$A$63,1),INDEX(YieldCurve!$B$4:$B$63,1),IF(B188&gt;=INDEX(YieldCurve!$A$4:$A$63,ROWS(YieldCurve!$A$4:$A$63)),INDEX(YieldCurve!$B$4:$B$63,ROWS(YieldCurve!$B$4:$B$63)),F188+H188*(G188-F188)))</f>
        <v>4.6357508333333332E-2</v>
      </c>
      <c r="J188">
        <f>EXP(-(I188+Inputs!$B$9)*B188)</f>
        <v>0.48934953298322043</v>
      </c>
    </row>
    <row r="189" spans="1:10" x14ac:dyDescent="0.35">
      <c r="A189">
        <v>186</v>
      </c>
      <c r="B189">
        <f>A189/Inputs!$B$6</f>
        <v>15.5</v>
      </c>
      <c r="C189">
        <f>IF(B189&lt;=INDEX(YieldCurve!$A$4:$A$63,1),1,IF(B189&gt;=INDEX(YieldCurve!$A$4:$A$63,ROWS(YieldCurve!$A$4:$A$63)),ROWS(YieldCurve!$A$4:$A$63)-1,MATCH(B189,YieldCurve!$A$4:$A$63,1)))</f>
        <v>31</v>
      </c>
      <c r="D189">
        <f>INDEX(YieldCurve!$A$4:$A$63,C189)</f>
        <v>15.5</v>
      </c>
      <c r="E189">
        <f>INDEX(YieldCurve!$A$4:$A$63,C189+1)</f>
        <v>16</v>
      </c>
      <c r="F189">
        <f>INDEX(YieldCurve!$B$4:$B$63,C189)</f>
        <v>4.6420000000000003E-2</v>
      </c>
      <c r="G189">
        <f>INDEX(YieldCurve!$B$4:$B$63,C189+1)</f>
        <v>4.6800679999999997E-2</v>
      </c>
      <c r="H189">
        <f t="shared" si="2"/>
        <v>0</v>
      </c>
      <c r="I189">
        <f>IF(B189&lt;=INDEX(YieldCurve!$A$4:$A$63,1),INDEX(YieldCurve!$B$4:$B$63,1),IF(B189&gt;=INDEX(YieldCurve!$A$4:$A$63,ROWS(YieldCurve!$A$4:$A$63)),INDEX(YieldCurve!$B$4:$B$63,ROWS(YieldCurve!$B$4:$B$63)),F189+H189*(G189-F189)))</f>
        <v>4.6420000000000003E-2</v>
      </c>
      <c r="J189">
        <f>EXP(-(I189+Inputs!$B$9)*B189)</f>
        <v>0.48699082300954583</v>
      </c>
    </row>
    <row r="190" spans="1:10" x14ac:dyDescent="0.35">
      <c r="A190">
        <v>187</v>
      </c>
      <c r="B190">
        <f>A190/Inputs!$B$6</f>
        <v>15.583333333333334</v>
      </c>
      <c r="C190">
        <f>IF(B190&lt;=INDEX(YieldCurve!$A$4:$A$63,1),1,IF(B190&gt;=INDEX(YieldCurve!$A$4:$A$63,ROWS(YieldCurve!$A$4:$A$63)),ROWS(YieldCurve!$A$4:$A$63)-1,MATCH(B190,YieldCurve!$A$4:$A$63,1)))</f>
        <v>31</v>
      </c>
      <c r="D190">
        <f>INDEX(YieldCurve!$A$4:$A$63,C190)</f>
        <v>15.5</v>
      </c>
      <c r="E190">
        <f>INDEX(YieldCurve!$A$4:$A$63,C190+1)</f>
        <v>16</v>
      </c>
      <c r="F190">
        <f>INDEX(YieldCurve!$B$4:$B$63,C190)</f>
        <v>4.6420000000000003E-2</v>
      </c>
      <c r="G190">
        <f>INDEX(YieldCurve!$B$4:$B$63,C190+1)</f>
        <v>4.6800679999999997E-2</v>
      </c>
      <c r="H190">
        <f t="shared" si="2"/>
        <v>0.16666666666666785</v>
      </c>
      <c r="I190">
        <f>IF(B190&lt;=INDEX(YieldCurve!$A$4:$A$63,1),INDEX(YieldCurve!$B$4:$B$63,1),IF(B190&gt;=INDEX(YieldCurve!$A$4:$A$63,ROWS(YieldCurve!$A$4:$A$63)),INDEX(YieldCurve!$B$4:$B$63,ROWS(YieldCurve!$B$4:$B$63)),F190+H190*(G190-F190)))</f>
        <v>4.6483446666666671E-2</v>
      </c>
      <c r="J190">
        <f>EXP(-(I190+Inputs!$B$9)*B190)</f>
        <v>0.48463122218982541</v>
      </c>
    </row>
    <row r="191" spans="1:10" x14ac:dyDescent="0.35">
      <c r="A191">
        <v>188</v>
      </c>
      <c r="B191">
        <f>A191/Inputs!$B$6</f>
        <v>15.666666666666666</v>
      </c>
      <c r="C191">
        <f>IF(B191&lt;=INDEX(YieldCurve!$A$4:$A$63,1),1,IF(B191&gt;=INDEX(YieldCurve!$A$4:$A$63,ROWS(YieldCurve!$A$4:$A$63)),ROWS(YieldCurve!$A$4:$A$63)-1,MATCH(B191,YieldCurve!$A$4:$A$63,1)))</f>
        <v>31</v>
      </c>
      <c r="D191">
        <f>INDEX(YieldCurve!$A$4:$A$63,C191)</f>
        <v>15.5</v>
      </c>
      <c r="E191">
        <f>INDEX(YieldCurve!$A$4:$A$63,C191+1)</f>
        <v>16</v>
      </c>
      <c r="F191">
        <f>INDEX(YieldCurve!$B$4:$B$63,C191)</f>
        <v>4.6420000000000003E-2</v>
      </c>
      <c r="G191">
        <f>INDEX(YieldCurve!$B$4:$B$63,C191+1)</f>
        <v>4.6800679999999997E-2</v>
      </c>
      <c r="H191">
        <f t="shared" si="2"/>
        <v>0.33333333333333215</v>
      </c>
      <c r="I191">
        <f>IF(B191&lt;=INDEX(YieldCurve!$A$4:$A$63,1),INDEX(YieldCurve!$B$4:$B$63,1),IF(B191&gt;=INDEX(YieldCurve!$A$4:$A$63,ROWS(YieldCurve!$A$4:$A$63)),INDEX(YieldCurve!$B$4:$B$63,ROWS(YieldCurve!$B$4:$B$63)),F191+H191*(G191-F191)))</f>
        <v>4.6546893333333332E-2</v>
      </c>
      <c r="J191">
        <f>EXP(-(I191+Inputs!$B$9)*B191)</f>
        <v>0.48227795441892907</v>
      </c>
    </row>
    <row r="192" spans="1:10" x14ac:dyDescent="0.35">
      <c r="A192">
        <v>189</v>
      </c>
      <c r="B192">
        <f>A192/Inputs!$B$6</f>
        <v>15.75</v>
      </c>
      <c r="C192">
        <f>IF(B192&lt;=INDEX(YieldCurve!$A$4:$A$63,1),1,IF(B192&gt;=INDEX(YieldCurve!$A$4:$A$63,ROWS(YieldCurve!$A$4:$A$63)),ROWS(YieldCurve!$A$4:$A$63)-1,MATCH(B192,YieldCurve!$A$4:$A$63,1)))</f>
        <v>31</v>
      </c>
      <c r="D192">
        <f>INDEX(YieldCurve!$A$4:$A$63,C192)</f>
        <v>15.5</v>
      </c>
      <c r="E192">
        <f>INDEX(YieldCurve!$A$4:$A$63,C192+1)</f>
        <v>16</v>
      </c>
      <c r="F192">
        <f>INDEX(YieldCurve!$B$4:$B$63,C192)</f>
        <v>4.6420000000000003E-2</v>
      </c>
      <c r="G192">
        <f>INDEX(YieldCurve!$B$4:$B$63,C192+1)</f>
        <v>4.6800679999999997E-2</v>
      </c>
      <c r="H192">
        <f t="shared" si="2"/>
        <v>0.5</v>
      </c>
      <c r="I192">
        <f>IF(B192&lt;=INDEX(YieldCurve!$A$4:$A$63,1),INDEX(YieldCurve!$B$4:$B$63,1),IF(B192&gt;=INDEX(YieldCurve!$A$4:$A$63,ROWS(YieldCurve!$A$4:$A$63)),INDEX(YieldCurve!$B$4:$B$63,ROWS(YieldCurve!$B$4:$B$63)),F192+H192*(G192-F192)))</f>
        <v>4.661034E-2</v>
      </c>
      <c r="J192">
        <f>EXP(-(I192+Inputs!$B$9)*B192)</f>
        <v>0.47993103859279956</v>
      </c>
    </row>
    <row r="193" spans="1:10" x14ac:dyDescent="0.35">
      <c r="A193">
        <v>190</v>
      </c>
      <c r="B193">
        <f>A193/Inputs!$B$6</f>
        <v>15.833333333333334</v>
      </c>
      <c r="C193">
        <f>IF(B193&lt;=INDEX(YieldCurve!$A$4:$A$63,1),1,IF(B193&gt;=INDEX(YieldCurve!$A$4:$A$63,ROWS(YieldCurve!$A$4:$A$63)),ROWS(YieldCurve!$A$4:$A$63)-1,MATCH(B193,YieldCurve!$A$4:$A$63,1)))</f>
        <v>31</v>
      </c>
      <c r="D193">
        <f>INDEX(YieldCurve!$A$4:$A$63,C193)</f>
        <v>15.5</v>
      </c>
      <c r="E193">
        <f>INDEX(YieldCurve!$A$4:$A$63,C193+1)</f>
        <v>16</v>
      </c>
      <c r="F193">
        <f>INDEX(YieldCurve!$B$4:$B$63,C193)</f>
        <v>4.6420000000000003E-2</v>
      </c>
      <c r="G193">
        <f>INDEX(YieldCurve!$B$4:$B$63,C193+1)</f>
        <v>4.6800679999999997E-2</v>
      </c>
      <c r="H193">
        <f t="shared" si="2"/>
        <v>0.66666666666666785</v>
      </c>
      <c r="I193">
        <f>IF(B193&lt;=INDEX(YieldCurve!$A$4:$A$63,1),INDEX(YieldCurve!$B$4:$B$63,1),IF(B193&gt;=INDEX(YieldCurve!$A$4:$A$63,ROWS(YieldCurve!$A$4:$A$63)),INDEX(YieldCurve!$B$4:$B$63,ROWS(YieldCurve!$B$4:$B$63)),F193+H193*(G193-F193)))</f>
        <v>4.6673786666666668E-2</v>
      </c>
      <c r="J193">
        <f>EXP(-(I193+Inputs!$B$9)*B193)</f>
        <v>0.4775904933145122</v>
      </c>
    </row>
    <row r="194" spans="1:10" x14ac:dyDescent="0.35">
      <c r="A194">
        <v>191</v>
      </c>
      <c r="B194">
        <f>A194/Inputs!$B$6</f>
        <v>15.916666666666666</v>
      </c>
      <c r="C194">
        <f>IF(B194&lt;=INDEX(YieldCurve!$A$4:$A$63,1),1,IF(B194&gt;=INDEX(YieldCurve!$A$4:$A$63,ROWS(YieldCurve!$A$4:$A$63)),ROWS(YieldCurve!$A$4:$A$63)-1,MATCH(B194,YieldCurve!$A$4:$A$63,1)))</f>
        <v>31</v>
      </c>
      <c r="D194">
        <f>INDEX(YieldCurve!$A$4:$A$63,C194)</f>
        <v>15.5</v>
      </c>
      <c r="E194">
        <f>INDEX(YieldCurve!$A$4:$A$63,C194+1)</f>
        <v>16</v>
      </c>
      <c r="F194">
        <f>INDEX(YieldCurve!$B$4:$B$63,C194)</f>
        <v>4.6420000000000003E-2</v>
      </c>
      <c r="G194">
        <f>INDEX(YieldCurve!$B$4:$B$63,C194+1)</f>
        <v>4.6800679999999997E-2</v>
      </c>
      <c r="H194">
        <f t="shared" si="2"/>
        <v>0.83333333333333215</v>
      </c>
      <c r="I194">
        <f>IF(B194&lt;=INDEX(YieldCurve!$A$4:$A$63,1),INDEX(YieldCurve!$B$4:$B$63,1),IF(B194&gt;=INDEX(YieldCurve!$A$4:$A$63,ROWS(YieldCurve!$A$4:$A$63)),INDEX(YieldCurve!$B$4:$B$63,ROWS(YieldCurve!$B$4:$B$63)),F194+H194*(G194-F194)))</f>
        <v>4.6737233333333329E-2</v>
      </c>
      <c r="J194">
        <f>EXP(-(I194+Inputs!$B$9)*B194)</f>
        <v>0.47525633689491537</v>
      </c>
    </row>
    <row r="195" spans="1:10" x14ac:dyDescent="0.35">
      <c r="A195">
        <v>192</v>
      </c>
      <c r="B195">
        <f>A195/Inputs!$B$6</f>
        <v>16</v>
      </c>
      <c r="C195">
        <f>IF(B195&lt;=INDEX(YieldCurve!$A$4:$A$63,1),1,IF(B195&gt;=INDEX(YieldCurve!$A$4:$A$63,ROWS(YieldCurve!$A$4:$A$63)),ROWS(YieldCurve!$A$4:$A$63)-1,MATCH(B195,YieldCurve!$A$4:$A$63,1)))</f>
        <v>32</v>
      </c>
      <c r="D195">
        <f>INDEX(YieldCurve!$A$4:$A$63,C195)</f>
        <v>16</v>
      </c>
      <c r="E195">
        <f>INDEX(YieldCurve!$A$4:$A$63,C195+1)</f>
        <v>16.5</v>
      </c>
      <c r="F195">
        <f>INDEX(YieldCurve!$B$4:$B$63,C195)</f>
        <v>4.6800679999999997E-2</v>
      </c>
      <c r="G195">
        <f>INDEX(YieldCurve!$B$4:$B$63,C195+1)</f>
        <v>4.7187369999999999E-2</v>
      </c>
      <c r="H195">
        <f t="shared" si="2"/>
        <v>0</v>
      </c>
      <c r="I195">
        <f>IF(B195&lt;=INDEX(YieldCurve!$A$4:$A$63,1),INDEX(YieldCurve!$B$4:$B$63,1),IF(B195&gt;=INDEX(YieldCurve!$A$4:$A$63,ROWS(YieldCurve!$A$4:$A$63)),INDEX(YieldCurve!$B$4:$B$63,ROWS(YieldCurve!$B$4:$B$63)),F195+H195*(G195-F195)))</f>
        <v>4.6800679999999997E-2</v>
      </c>
      <c r="J195">
        <f>EXP(-(I195+Inputs!$B$9)*B195)</f>
        <v>0.47292858735328247</v>
      </c>
    </row>
    <row r="196" spans="1:10" x14ac:dyDescent="0.35">
      <c r="A196">
        <v>193</v>
      </c>
      <c r="B196">
        <f>A196/Inputs!$B$6</f>
        <v>16.083333333333332</v>
      </c>
      <c r="C196">
        <f>IF(B196&lt;=INDEX(YieldCurve!$A$4:$A$63,1),1,IF(B196&gt;=INDEX(YieldCurve!$A$4:$A$63,ROWS(YieldCurve!$A$4:$A$63)),ROWS(YieldCurve!$A$4:$A$63)-1,MATCH(B196,YieldCurve!$A$4:$A$63,1)))</f>
        <v>32</v>
      </c>
      <c r="D196">
        <f>INDEX(YieldCurve!$A$4:$A$63,C196)</f>
        <v>16</v>
      </c>
      <c r="E196">
        <f>INDEX(YieldCurve!$A$4:$A$63,C196+1)</f>
        <v>16.5</v>
      </c>
      <c r="F196">
        <f>INDEX(YieldCurve!$B$4:$B$63,C196)</f>
        <v>4.6800679999999997E-2</v>
      </c>
      <c r="G196">
        <f>INDEX(YieldCurve!$B$4:$B$63,C196+1)</f>
        <v>4.7187369999999999E-2</v>
      </c>
      <c r="H196">
        <f t="shared" ref="H196:H259" si="3">IF(E196=D196,0,(B196-D196)/(E196-D196))</f>
        <v>0.1666666666666643</v>
      </c>
      <c r="I196">
        <f>IF(B196&lt;=INDEX(YieldCurve!$A$4:$A$63,1),INDEX(YieldCurve!$B$4:$B$63,1),IF(B196&gt;=INDEX(YieldCurve!$A$4:$A$63,ROWS(YieldCurve!$A$4:$A$63)),INDEX(YieldCurve!$B$4:$B$63,ROWS(YieldCurve!$B$4:$B$63)),F196+H196*(G196-F196)))</f>
        <v>4.6865128333333332E-2</v>
      </c>
      <c r="J196">
        <f>EXP(-(I196+Inputs!$B$9)*B196)</f>
        <v>0.47059968093068716</v>
      </c>
    </row>
    <row r="197" spans="1:10" x14ac:dyDescent="0.35">
      <c r="A197">
        <v>194</v>
      </c>
      <c r="B197">
        <f>A197/Inputs!$B$6</f>
        <v>16.166666666666668</v>
      </c>
      <c r="C197">
        <f>IF(B197&lt;=INDEX(YieldCurve!$A$4:$A$63,1),1,IF(B197&gt;=INDEX(YieldCurve!$A$4:$A$63,ROWS(YieldCurve!$A$4:$A$63)),ROWS(YieldCurve!$A$4:$A$63)-1,MATCH(B197,YieldCurve!$A$4:$A$63,1)))</f>
        <v>32</v>
      </c>
      <c r="D197">
        <f>INDEX(YieldCurve!$A$4:$A$63,C197)</f>
        <v>16</v>
      </c>
      <c r="E197">
        <f>INDEX(YieldCurve!$A$4:$A$63,C197+1)</f>
        <v>16.5</v>
      </c>
      <c r="F197">
        <f>INDEX(YieldCurve!$B$4:$B$63,C197)</f>
        <v>4.6800679999999997E-2</v>
      </c>
      <c r="G197">
        <f>INDEX(YieldCurve!$B$4:$B$63,C197+1)</f>
        <v>4.7187369999999999E-2</v>
      </c>
      <c r="H197">
        <f t="shared" si="3"/>
        <v>0.3333333333333357</v>
      </c>
      <c r="I197">
        <f>IF(B197&lt;=INDEX(YieldCurve!$A$4:$A$63,1),INDEX(YieldCurve!$B$4:$B$63,1),IF(B197&gt;=INDEX(YieldCurve!$A$4:$A$63,ROWS(YieldCurve!$A$4:$A$63)),INDEX(YieldCurve!$B$4:$B$63,ROWS(YieldCurve!$B$4:$B$63)),F197+H197*(G197-F197)))</f>
        <v>4.6929576666666667E-2</v>
      </c>
      <c r="J197">
        <f>EXP(-(I197+Inputs!$B$9)*B197)</f>
        <v>0.46827721308337039</v>
      </c>
    </row>
    <row r="198" spans="1:10" x14ac:dyDescent="0.35">
      <c r="A198">
        <v>195</v>
      </c>
      <c r="B198">
        <f>A198/Inputs!$B$6</f>
        <v>16.25</v>
      </c>
      <c r="C198">
        <f>IF(B198&lt;=INDEX(YieldCurve!$A$4:$A$63,1),1,IF(B198&gt;=INDEX(YieldCurve!$A$4:$A$63,ROWS(YieldCurve!$A$4:$A$63)),ROWS(YieldCurve!$A$4:$A$63)-1,MATCH(B198,YieldCurve!$A$4:$A$63,1)))</f>
        <v>32</v>
      </c>
      <c r="D198">
        <f>INDEX(YieldCurve!$A$4:$A$63,C198)</f>
        <v>16</v>
      </c>
      <c r="E198">
        <f>INDEX(YieldCurve!$A$4:$A$63,C198+1)</f>
        <v>16.5</v>
      </c>
      <c r="F198">
        <f>INDEX(YieldCurve!$B$4:$B$63,C198)</f>
        <v>4.6800679999999997E-2</v>
      </c>
      <c r="G198">
        <f>INDEX(YieldCurve!$B$4:$B$63,C198+1)</f>
        <v>4.7187369999999999E-2</v>
      </c>
      <c r="H198">
        <f t="shared" si="3"/>
        <v>0.5</v>
      </c>
      <c r="I198">
        <f>IF(B198&lt;=INDEX(YieldCurve!$A$4:$A$63,1),INDEX(YieldCurve!$B$4:$B$63,1),IF(B198&gt;=INDEX(YieldCurve!$A$4:$A$63,ROWS(YieldCurve!$A$4:$A$63)),INDEX(YieldCurve!$B$4:$B$63,ROWS(YieldCurve!$B$4:$B$63)),F198+H198*(G198-F198)))</f>
        <v>4.6994024999999995E-2</v>
      </c>
      <c r="J198">
        <f>EXP(-(I198+Inputs!$B$9)*B198)</f>
        <v>0.46596120180584322</v>
      </c>
    </row>
    <row r="199" spans="1:10" x14ac:dyDescent="0.35">
      <c r="A199">
        <v>196</v>
      </c>
      <c r="B199">
        <f>A199/Inputs!$B$6</f>
        <v>16.333333333333332</v>
      </c>
      <c r="C199">
        <f>IF(B199&lt;=INDEX(YieldCurve!$A$4:$A$63,1),1,IF(B199&gt;=INDEX(YieldCurve!$A$4:$A$63,ROWS(YieldCurve!$A$4:$A$63)),ROWS(YieldCurve!$A$4:$A$63)-1,MATCH(B199,YieldCurve!$A$4:$A$63,1)))</f>
        <v>32</v>
      </c>
      <c r="D199">
        <f>INDEX(YieldCurve!$A$4:$A$63,C199)</f>
        <v>16</v>
      </c>
      <c r="E199">
        <f>INDEX(YieldCurve!$A$4:$A$63,C199+1)</f>
        <v>16.5</v>
      </c>
      <c r="F199">
        <f>INDEX(YieldCurve!$B$4:$B$63,C199)</f>
        <v>4.6800679999999997E-2</v>
      </c>
      <c r="G199">
        <f>INDEX(YieldCurve!$B$4:$B$63,C199+1)</f>
        <v>4.7187369999999999E-2</v>
      </c>
      <c r="H199">
        <f t="shared" si="3"/>
        <v>0.6666666666666643</v>
      </c>
      <c r="I199">
        <f>IF(B199&lt;=INDEX(YieldCurve!$A$4:$A$63,1),INDEX(YieldCurve!$B$4:$B$63,1),IF(B199&gt;=INDEX(YieldCurve!$A$4:$A$63,ROWS(YieldCurve!$A$4:$A$63)),INDEX(YieldCurve!$B$4:$B$63,ROWS(YieldCurve!$B$4:$B$63)),F199+H199*(G199-F199)))</f>
        <v>4.705847333333333E-2</v>
      </c>
      <c r="J199">
        <f>EXP(-(I199+Inputs!$B$9)*B199)</f>
        <v>0.4636516647961732</v>
      </c>
    </row>
    <row r="200" spans="1:10" x14ac:dyDescent="0.35">
      <c r="A200">
        <v>197</v>
      </c>
      <c r="B200">
        <f>A200/Inputs!$B$6</f>
        <v>16.416666666666668</v>
      </c>
      <c r="C200">
        <f>IF(B200&lt;=INDEX(YieldCurve!$A$4:$A$63,1),1,IF(B200&gt;=INDEX(YieldCurve!$A$4:$A$63,ROWS(YieldCurve!$A$4:$A$63)),ROWS(YieldCurve!$A$4:$A$63)-1,MATCH(B200,YieldCurve!$A$4:$A$63,1)))</f>
        <v>32</v>
      </c>
      <c r="D200">
        <f>INDEX(YieldCurve!$A$4:$A$63,C200)</f>
        <v>16</v>
      </c>
      <c r="E200">
        <f>INDEX(YieldCurve!$A$4:$A$63,C200+1)</f>
        <v>16.5</v>
      </c>
      <c r="F200">
        <f>INDEX(YieldCurve!$B$4:$B$63,C200)</f>
        <v>4.6800679999999997E-2</v>
      </c>
      <c r="G200">
        <f>INDEX(YieldCurve!$B$4:$B$63,C200+1)</f>
        <v>4.7187369999999999E-2</v>
      </c>
      <c r="H200">
        <f t="shared" si="3"/>
        <v>0.8333333333333357</v>
      </c>
      <c r="I200">
        <f>IF(B200&lt;=INDEX(YieldCurve!$A$4:$A$63,1),INDEX(YieldCurve!$B$4:$B$63,1),IF(B200&gt;=INDEX(YieldCurve!$A$4:$A$63,ROWS(YieldCurve!$A$4:$A$63)),INDEX(YieldCurve!$B$4:$B$63,ROWS(YieldCurve!$B$4:$B$63)),F200+H200*(G200-F200)))</f>
        <v>4.7122921666666664E-2</v>
      </c>
      <c r="J200">
        <f>EXP(-(I200+Inputs!$B$9)*B200)</f>
        <v>0.46134861945669287</v>
      </c>
    </row>
    <row r="201" spans="1:10" x14ac:dyDescent="0.35">
      <c r="A201">
        <v>198</v>
      </c>
      <c r="B201">
        <f>A201/Inputs!$B$6</f>
        <v>16.5</v>
      </c>
      <c r="C201">
        <f>IF(B201&lt;=INDEX(YieldCurve!$A$4:$A$63,1),1,IF(B201&gt;=INDEX(YieldCurve!$A$4:$A$63,ROWS(YieldCurve!$A$4:$A$63)),ROWS(YieldCurve!$A$4:$A$63)-1,MATCH(B201,YieldCurve!$A$4:$A$63,1)))</f>
        <v>33</v>
      </c>
      <c r="D201">
        <f>INDEX(YieldCurve!$A$4:$A$63,C201)</f>
        <v>16.5</v>
      </c>
      <c r="E201">
        <f>INDEX(YieldCurve!$A$4:$A$63,C201+1)</f>
        <v>17</v>
      </c>
      <c r="F201">
        <f>INDEX(YieldCurve!$B$4:$B$63,C201)</f>
        <v>4.7187369999999999E-2</v>
      </c>
      <c r="G201">
        <f>INDEX(YieldCurve!$B$4:$B$63,C201+1)</f>
        <v>4.7580339999999999E-2</v>
      </c>
      <c r="H201">
        <f t="shared" si="3"/>
        <v>0</v>
      </c>
      <c r="I201">
        <f>IF(B201&lt;=INDEX(YieldCurve!$A$4:$A$63,1),INDEX(YieldCurve!$B$4:$B$63,1),IF(B201&gt;=INDEX(YieldCurve!$A$4:$A$63,ROWS(YieldCurve!$A$4:$A$63)),INDEX(YieldCurve!$B$4:$B$63,ROWS(YieldCurve!$B$4:$B$63)),F201+H201*(G201-F201)))</f>
        <v>4.7187369999999999E-2</v>
      </c>
      <c r="J201">
        <f>EXP(-(I201+Inputs!$B$9)*B201)</f>
        <v>0.45905208289471955</v>
      </c>
    </row>
    <row r="202" spans="1:10" x14ac:dyDescent="0.35">
      <c r="A202">
        <v>199</v>
      </c>
      <c r="B202">
        <f>A202/Inputs!$B$6</f>
        <v>16.583333333333332</v>
      </c>
      <c r="C202">
        <f>IF(B202&lt;=INDEX(YieldCurve!$A$4:$A$63,1),1,IF(B202&gt;=INDEX(YieldCurve!$A$4:$A$63,ROWS(YieldCurve!$A$4:$A$63)),ROWS(YieldCurve!$A$4:$A$63)-1,MATCH(B202,YieldCurve!$A$4:$A$63,1)))</f>
        <v>33</v>
      </c>
      <c r="D202">
        <f>INDEX(YieldCurve!$A$4:$A$63,C202)</f>
        <v>16.5</v>
      </c>
      <c r="E202">
        <f>INDEX(YieldCurve!$A$4:$A$63,C202+1)</f>
        <v>17</v>
      </c>
      <c r="F202">
        <f>INDEX(YieldCurve!$B$4:$B$63,C202)</f>
        <v>4.7187369999999999E-2</v>
      </c>
      <c r="G202">
        <f>INDEX(YieldCurve!$B$4:$B$63,C202+1)</f>
        <v>4.7580339999999999E-2</v>
      </c>
      <c r="H202">
        <f t="shared" si="3"/>
        <v>0.1666666666666643</v>
      </c>
      <c r="I202">
        <f>IF(B202&lt;=INDEX(YieldCurve!$A$4:$A$63,1),INDEX(YieldCurve!$B$4:$B$63,1),IF(B202&gt;=INDEX(YieldCurve!$A$4:$A$63,ROWS(YieldCurve!$A$4:$A$63)),INDEX(YieldCurve!$B$4:$B$63,ROWS(YieldCurve!$B$4:$B$63)),F202+H202*(G202-F202)))</f>
        <v>4.7252864999999998E-2</v>
      </c>
      <c r="J202">
        <f>EXP(-(I202+Inputs!$B$9)*B202)</f>
        <v>0.45675414387130664</v>
      </c>
    </row>
    <row r="203" spans="1:10" x14ac:dyDescent="0.35">
      <c r="A203">
        <v>200</v>
      </c>
      <c r="B203">
        <f>A203/Inputs!$B$6</f>
        <v>16.666666666666668</v>
      </c>
      <c r="C203">
        <f>IF(B203&lt;=INDEX(YieldCurve!$A$4:$A$63,1),1,IF(B203&gt;=INDEX(YieldCurve!$A$4:$A$63,ROWS(YieldCurve!$A$4:$A$63)),ROWS(YieldCurve!$A$4:$A$63)-1,MATCH(B203,YieldCurve!$A$4:$A$63,1)))</f>
        <v>33</v>
      </c>
      <c r="D203">
        <f>INDEX(YieldCurve!$A$4:$A$63,C203)</f>
        <v>16.5</v>
      </c>
      <c r="E203">
        <f>INDEX(YieldCurve!$A$4:$A$63,C203+1)</f>
        <v>17</v>
      </c>
      <c r="F203">
        <f>INDEX(YieldCurve!$B$4:$B$63,C203)</f>
        <v>4.7187369999999999E-2</v>
      </c>
      <c r="G203">
        <f>INDEX(YieldCurve!$B$4:$B$63,C203+1)</f>
        <v>4.7580339999999999E-2</v>
      </c>
      <c r="H203">
        <f t="shared" si="3"/>
        <v>0.3333333333333357</v>
      </c>
      <c r="I203">
        <f>IF(B203&lt;=INDEX(YieldCurve!$A$4:$A$63,1),INDEX(YieldCurve!$B$4:$B$63,1),IF(B203&gt;=INDEX(YieldCurve!$A$4:$A$63,ROWS(YieldCurve!$A$4:$A$63)),INDEX(YieldCurve!$B$4:$B$63,ROWS(YieldCurve!$B$4:$B$63)),F203+H203*(G203-F203)))</f>
        <v>4.7318359999999997E-2</v>
      </c>
      <c r="J203">
        <f>EXP(-(I203+Inputs!$B$9)*B203)</f>
        <v>0.45446274708500606</v>
      </c>
    </row>
    <row r="204" spans="1:10" x14ac:dyDescent="0.35">
      <c r="A204">
        <v>201</v>
      </c>
      <c r="B204">
        <f>A204/Inputs!$B$6</f>
        <v>16.75</v>
      </c>
      <c r="C204">
        <f>IF(B204&lt;=INDEX(YieldCurve!$A$4:$A$63,1),1,IF(B204&gt;=INDEX(YieldCurve!$A$4:$A$63,ROWS(YieldCurve!$A$4:$A$63)),ROWS(YieldCurve!$A$4:$A$63)-1,MATCH(B204,YieldCurve!$A$4:$A$63,1)))</f>
        <v>33</v>
      </c>
      <c r="D204">
        <f>INDEX(YieldCurve!$A$4:$A$63,C204)</f>
        <v>16.5</v>
      </c>
      <c r="E204">
        <f>INDEX(YieldCurve!$A$4:$A$63,C204+1)</f>
        <v>17</v>
      </c>
      <c r="F204">
        <f>INDEX(YieldCurve!$B$4:$B$63,C204)</f>
        <v>4.7187369999999999E-2</v>
      </c>
      <c r="G204">
        <f>INDEX(YieldCurve!$B$4:$B$63,C204+1)</f>
        <v>4.7580339999999999E-2</v>
      </c>
      <c r="H204">
        <f t="shared" si="3"/>
        <v>0.5</v>
      </c>
      <c r="I204">
        <f>IF(B204&lt;=INDEX(YieldCurve!$A$4:$A$63,1),INDEX(YieldCurve!$B$4:$B$63,1),IF(B204&gt;=INDEX(YieldCurve!$A$4:$A$63,ROWS(YieldCurve!$A$4:$A$63)),INDEX(YieldCurve!$B$4:$B$63,ROWS(YieldCurve!$B$4:$B$63)),F204+H204*(G204-F204)))</f>
        <v>4.7383855000000002E-2</v>
      </c>
      <c r="J204">
        <f>EXP(-(I204+Inputs!$B$9)*B204)</f>
        <v>0.45217790961465998</v>
      </c>
    </row>
    <row r="205" spans="1:10" x14ac:dyDescent="0.35">
      <c r="A205">
        <v>202</v>
      </c>
      <c r="B205">
        <f>A205/Inputs!$B$6</f>
        <v>16.833333333333332</v>
      </c>
      <c r="C205">
        <f>IF(B205&lt;=INDEX(YieldCurve!$A$4:$A$63,1),1,IF(B205&gt;=INDEX(YieldCurve!$A$4:$A$63,ROWS(YieldCurve!$A$4:$A$63)),ROWS(YieldCurve!$A$4:$A$63)-1,MATCH(B205,YieldCurve!$A$4:$A$63,1)))</f>
        <v>33</v>
      </c>
      <c r="D205">
        <f>INDEX(YieldCurve!$A$4:$A$63,C205)</f>
        <v>16.5</v>
      </c>
      <c r="E205">
        <f>INDEX(YieldCurve!$A$4:$A$63,C205+1)</f>
        <v>17</v>
      </c>
      <c r="F205">
        <f>INDEX(YieldCurve!$B$4:$B$63,C205)</f>
        <v>4.7187369999999999E-2</v>
      </c>
      <c r="G205">
        <f>INDEX(YieldCurve!$B$4:$B$63,C205+1)</f>
        <v>4.7580339999999999E-2</v>
      </c>
      <c r="H205">
        <f t="shared" si="3"/>
        <v>0.6666666666666643</v>
      </c>
      <c r="I205">
        <f>IF(B205&lt;=INDEX(YieldCurve!$A$4:$A$63,1),INDEX(YieldCurve!$B$4:$B$63,1),IF(B205&gt;=INDEX(YieldCurve!$A$4:$A$63,ROWS(YieldCurve!$A$4:$A$63)),INDEX(YieldCurve!$B$4:$B$63,ROWS(YieldCurve!$B$4:$B$63)),F205+H205*(G205-F205)))</f>
        <v>4.7449350000000001E-2</v>
      </c>
      <c r="J205">
        <f>EXP(-(I205+Inputs!$B$9)*B205)</f>
        <v>0.44989964823907874</v>
      </c>
    </row>
    <row r="206" spans="1:10" x14ac:dyDescent="0.35">
      <c r="A206">
        <v>203</v>
      </c>
      <c r="B206">
        <f>A206/Inputs!$B$6</f>
        <v>16.916666666666668</v>
      </c>
      <c r="C206">
        <f>IF(B206&lt;=INDEX(YieldCurve!$A$4:$A$63,1),1,IF(B206&gt;=INDEX(YieldCurve!$A$4:$A$63,ROWS(YieldCurve!$A$4:$A$63)),ROWS(YieldCurve!$A$4:$A$63)-1,MATCH(B206,YieldCurve!$A$4:$A$63,1)))</f>
        <v>33</v>
      </c>
      <c r="D206">
        <f>INDEX(YieldCurve!$A$4:$A$63,C206)</f>
        <v>16.5</v>
      </c>
      <c r="E206">
        <f>INDEX(YieldCurve!$A$4:$A$63,C206+1)</f>
        <v>17</v>
      </c>
      <c r="F206">
        <f>INDEX(YieldCurve!$B$4:$B$63,C206)</f>
        <v>4.7187369999999999E-2</v>
      </c>
      <c r="G206">
        <f>INDEX(YieldCurve!$B$4:$B$63,C206+1)</f>
        <v>4.7580339999999999E-2</v>
      </c>
      <c r="H206">
        <f t="shared" si="3"/>
        <v>0.8333333333333357</v>
      </c>
      <c r="I206">
        <f>IF(B206&lt;=INDEX(YieldCurve!$A$4:$A$63,1),INDEX(YieldCurve!$B$4:$B$63,1),IF(B206&gt;=INDEX(YieldCurve!$A$4:$A$63,ROWS(YieldCurve!$A$4:$A$63)),INDEX(YieldCurve!$B$4:$B$63,ROWS(YieldCurve!$B$4:$B$63)),F206+H206*(G206-F206)))</f>
        <v>4.7514845E-2</v>
      </c>
      <c r="J206">
        <f>EXP(-(I206+Inputs!$B$9)*B206)</f>
        <v>0.44762797943781829</v>
      </c>
    </row>
    <row r="207" spans="1:10" x14ac:dyDescent="0.35">
      <c r="A207">
        <v>204</v>
      </c>
      <c r="B207">
        <f>A207/Inputs!$B$6</f>
        <v>17</v>
      </c>
      <c r="C207">
        <f>IF(B207&lt;=INDEX(YieldCurve!$A$4:$A$63,1),1,IF(B207&gt;=INDEX(YieldCurve!$A$4:$A$63,ROWS(YieldCurve!$A$4:$A$63)),ROWS(YieldCurve!$A$4:$A$63)-1,MATCH(B207,YieldCurve!$A$4:$A$63,1)))</f>
        <v>34</v>
      </c>
      <c r="D207">
        <f>INDEX(YieldCurve!$A$4:$A$63,C207)</f>
        <v>17</v>
      </c>
      <c r="E207">
        <f>INDEX(YieldCurve!$A$4:$A$63,C207+1)</f>
        <v>17.5</v>
      </c>
      <c r="F207">
        <f>INDEX(YieldCurve!$B$4:$B$63,C207)</f>
        <v>4.7580339999999999E-2</v>
      </c>
      <c r="G207">
        <f>INDEX(YieldCurve!$B$4:$B$63,C207+1)</f>
        <v>4.7979870000000001E-2</v>
      </c>
      <c r="H207">
        <f t="shared" si="3"/>
        <v>0</v>
      </c>
      <c r="I207">
        <f>IF(B207&lt;=INDEX(YieldCurve!$A$4:$A$63,1),INDEX(YieldCurve!$B$4:$B$63,1),IF(B207&gt;=INDEX(YieldCurve!$A$4:$A$63,ROWS(YieldCurve!$A$4:$A$63)),INDEX(YieldCurve!$B$4:$B$63,ROWS(YieldCurve!$B$4:$B$63)),F207+H207*(G207-F207)))</f>
        <v>4.7580339999999999E-2</v>
      </c>
      <c r="J207">
        <f>EXP(-(I207+Inputs!$B$9)*B207)</f>
        <v>0.44536291939197065</v>
      </c>
    </row>
    <row r="208" spans="1:10" x14ac:dyDescent="0.35">
      <c r="A208">
        <v>205</v>
      </c>
      <c r="B208">
        <f>A208/Inputs!$B$6</f>
        <v>17.083333333333332</v>
      </c>
      <c r="C208">
        <f>IF(B208&lt;=INDEX(YieldCurve!$A$4:$A$63,1),1,IF(B208&gt;=INDEX(YieldCurve!$A$4:$A$63,ROWS(YieldCurve!$A$4:$A$63)),ROWS(YieldCurve!$A$4:$A$63)-1,MATCH(B208,YieldCurve!$A$4:$A$63,1)))</f>
        <v>34</v>
      </c>
      <c r="D208">
        <f>INDEX(YieldCurve!$A$4:$A$63,C208)</f>
        <v>17</v>
      </c>
      <c r="E208">
        <f>INDEX(YieldCurve!$A$4:$A$63,C208+1)</f>
        <v>17.5</v>
      </c>
      <c r="F208">
        <f>INDEX(YieldCurve!$B$4:$B$63,C208)</f>
        <v>4.7580339999999999E-2</v>
      </c>
      <c r="G208">
        <f>INDEX(YieldCurve!$B$4:$B$63,C208+1)</f>
        <v>4.7979870000000001E-2</v>
      </c>
      <c r="H208">
        <f t="shared" si="3"/>
        <v>0.1666666666666643</v>
      </c>
      <c r="I208">
        <f>IF(B208&lt;=INDEX(YieldCurve!$A$4:$A$63,1),INDEX(YieldCurve!$B$4:$B$63,1),IF(B208&gt;=INDEX(YieldCurve!$A$4:$A$63,ROWS(YieldCurve!$A$4:$A$63)),INDEX(YieldCurve!$B$4:$B$63,ROWS(YieldCurve!$B$4:$B$63)),F208+H208*(G208-F208)))</f>
        <v>4.7646928333333331E-2</v>
      </c>
      <c r="J208">
        <f>EXP(-(I208+Inputs!$B$9)*B208)</f>
        <v>0.44309620785517156</v>
      </c>
    </row>
    <row r="209" spans="1:10" x14ac:dyDescent="0.35">
      <c r="A209">
        <v>206</v>
      </c>
      <c r="B209">
        <f>A209/Inputs!$B$6</f>
        <v>17.166666666666668</v>
      </c>
      <c r="C209">
        <f>IF(B209&lt;=INDEX(YieldCurve!$A$4:$A$63,1),1,IF(B209&gt;=INDEX(YieldCurve!$A$4:$A$63,ROWS(YieldCurve!$A$4:$A$63)),ROWS(YieldCurve!$A$4:$A$63)-1,MATCH(B209,YieldCurve!$A$4:$A$63,1)))</f>
        <v>34</v>
      </c>
      <c r="D209">
        <f>INDEX(YieldCurve!$A$4:$A$63,C209)</f>
        <v>17</v>
      </c>
      <c r="E209">
        <f>INDEX(YieldCurve!$A$4:$A$63,C209+1)</f>
        <v>17.5</v>
      </c>
      <c r="F209">
        <f>INDEX(YieldCurve!$B$4:$B$63,C209)</f>
        <v>4.7580339999999999E-2</v>
      </c>
      <c r="G209">
        <f>INDEX(YieldCurve!$B$4:$B$63,C209+1)</f>
        <v>4.7979870000000001E-2</v>
      </c>
      <c r="H209">
        <f t="shared" si="3"/>
        <v>0.3333333333333357</v>
      </c>
      <c r="I209">
        <f>IF(B209&lt;=INDEX(YieldCurve!$A$4:$A$63,1),INDEX(YieldCurve!$B$4:$B$63,1),IF(B209&gt;=INDEX(YieldCurve!$A$4:$A$63,ROWS(YieldCurve!$A$4:$A$63)),INDEX(YieldCurve!$B$4:$B$63,ROWS(YieldCurve!$B$4:$B$63)),F209+H209*(G209-F209)))</f>
        <v>4.7713516666666664E-2</v>
      </c>
      <c r="J209">
        <f>EXP(-(I209+Inputs!$B$9)*B209)</f>
        <v>0.44083614048371633</v>
      </c>
    </row>
    <row r="210" spans="1:10" x14ac:dyDescent="0.35">
      <c r="A210">
        <v>207</v>
      </c>
      <c r="B210">
        <f>A210/Inputs!$B$6</f>
        <v>17.25</v>
      </c>
      <c r="C210">
        <f>IF(B210&lt;=INDEX(YieldCurve!$A$4:$A$63,1),1,IF(B210&gt;=INDEX(YieldCurve!$A$4:$A$63,ROWS(YieldCurve!$A$4:$A$63)),ROWS(YieldCurve!$A$4:$A$63)-1,MATCH(B210,YieldCurve!$A$4:$A$63,1)))</f>
        <v>34</v>
      </c>
      <c r="D210">
        <f>INDEX(YieldCurve!$A$4:$A$63,C210)</f>
        <v>17</v>
      </c>
      <c r="E210">
        <f>INDEX(YieldCurve!$A$4:$A$63,C210+1)</f>
        <v>17.5</v>
      </c>
      <c r="F210">
        <f>INDEX(YieldCurve!$B$4:$B$63,C210)</f>
        <v>4.7580339999999999E-2</v>
      </c>
      <c r="G210">
        <f>INDEX(YieldCurve!$B$4:$B$63,C210+1)</f>
        <v>4.7979870000000001E-2</v>
      </c>
      <c r="H210">
        <f t="shared" si="3"/>
        <v>0.5</v>
      </c>
      <c r="I210">
        <f>IF(B210&lt;=INDEX(YieldCurve!$A$4:$A$63,1),INDEX(YieldCurve!$B$4:$B$63,1),IF(B210&gt;=INDEX(YieldCurve!$A$4:$A$63,ROWS(YieldCurve!$A$4:$A$63)),INDEX(YieldCurve!$B$4:$B$63,ROWS(YieldCurve!$B$4:$B$63)),F210+H210*(G210-F210)))</f>
        <v>4.7780105000000003E-2</v>
      </c>
      <c r="J210">
        <f>EXP(-(I210+Inputs!$B$9)*B210)</f>
        <v>0.43858273342470561</v>
      </c>
    </row>
    <row r="211" spans="1:10" x14ac:dyDescent="0.35">
      <c r="A211">
        <v>208</v>
      </c>
      <c r="B211">
        <f>A211/Inputs!$B$6</f>
        <v>17.333333333333332</v>
      </c>
      <c r="C211">
        <f>IF(B211&lt;=INDEX(YieldCurve!$A$4:$A$63,1),1,IF(B211&gt;=INDEX(YieldCurve!$A$4:$A$63,ROWS(YieldCurve!$A$4:$A$63)),ROWS(YieldCurve!$A$4:$A$63)-1,MATCH(B211,YieldCurve!$A$4:$A$63,1)))</f>
        <v>34</v>
      </c>
      <c r="D211">
        <f>INDEX(YieldCurve!$A$4:$A$63,C211)</f>
        <v>17</v>
      </c>
      <c r="E211">
        <f>INDEX(YieldCurve!$A$4:$A$63,C211+1)</f>
        <v>17.5</v>
      </c>
      <c r="F211">
        <f>INDEX(YieldCurve!$B$4:$B$63,C211)</f>
        <v>4.7580339999999999E-2</v>
      </c>
      <c r="G211">
        <f>INDEX(YieldCurve!$B$4:$B$63,C211+1)</f>
        <v>4.7979870000000001E-2</v>
      </c>
      <c r="H211">
        <f t="shared" si="3"/>
        <v>0.6666666666666643</v>
      </c>
      <c r="I211">
        <f>IF(B211&lt;=INDEX(YieldCurve!$A$4:$A$63,1),INDEX(YieldCurve!$B$4:$B$63,1),IF(B211&gt;=INDEX(YieldCurve!$A$4:$A$63,ROWS(YieldCurve!$A$4:$A$63)),INDEX(YieldCurve!$B$4:$B$63,ROWS(YieldCurve!$B$4:$B$63)),F211+H211*(G211-F211)))</f>
        <v>4.7846693333333336E-2</v>
      </c>
      <c r="J211">
        <f>EXP(-(I211+Inputs!$B$9)*B211)</f>
        <v>0.43633600252160948</v>
      </c>
    </row>
    <row r="212" spans="1:10" x14ac:dyDescent="0.35">
      <c r="A212">
        <v>209</v>
      </c>
      <c r="B212">
        <f>A212/Inputs!$B$6</f>
        <v>17.416666666666668</v>
      </c>
      <c r="C212">
        <f>IF(B212&lt;=INDEX(YieldCurve!$A$4:$A$63,1),1,IF(B212&gt;=INDEX(YieldCurve!$A$4:$A$63,ROWS(YieldCurve!$A$4:$A$63)),ROWS(YieldCurve!$A$4:$A$63)-1,MATCH(B212,YieldCurve!$A$4:$A$63,1)))</f>
        <v>34</v>
      </c>
      <c r="D212">
        <f>INDEX(YieldCurve!$A$4:$A$63,C212)</f>
        <v>17</v>
      </c>
      <c r="E212">
        <f>INDEX(YieldCurve!$A$4:$A$63,C212+1)</f>
        <v>17.5</v>
      </c>
      <c r="F212">
        <f>INDEX(YieldCurve!$B$4:$B$63,C212)</f>
        <v>4.7580339999999999E-2</v>
      </c>
      <c r="G212">
        <f>INDEX(YieldCurve!$B$4:$B$63,C212+1)</f>
        <v>4.7979870000000001E-2</v>
      </c>
      <c r="H212">
        <f t="shared" si="3"/>
        <v>0.8333333333333357</v>
      </c>
      <c r="I212">
        <f>IF(B212&lt;=INDEX(YieldCurve!$A$4:$A$63,1),INDEX(YieldCurve!$B$4:$B$63,1),IF(B212&gt;=INDEX(YieldCurve!$A$4:$A$63,ROWS(YieldCurve!$A$4:$A$63)),INDEX(YieldCurve!$B$4:$B$63,ROWS(YieldCurve!$B$4:$B$63)),F212+H212*(G212-F212)))</f>
        <v>4.7913281666666668E-2</v>
      </c>
      <c r="J212">
        <f>EXP(-(I212+Inputs!$B$9)*B212)</f>
        <v>0.43409596331511763</v>
      </c>
    </row>
    <row r="213" spans="1:10" x14ac:dyDescent="0.35">
      <c r="A213">
        <v>210</v>
      </c>
      <c r="B213">
        <f>A213/Inputs!$B$6</f>
        <v>17.5</v>
      </c>
      <c r="C213">
        <f>IF(B213&lt;=INDEX(YieldCurve!$A$4:$A$63,1),1,IF(B213&gt;=INDEX(YieldCurve!$A$4:$A$63,ROWS(YieldCurve!$A$4:$A$63)),ROWS(YieldCurve!$A$4:$A$63)-1,MATCH(B213,YieldCurve!$A$4:$A$63,1)))</f>
        <v>35</v>
      </c>
      <c r="D213">
        <f>INDEX(YieldCurve!$A$4:$A$63,C213)</f>
        <v>17.5</v>
      </c>
      <c r="E213">
        <f>INDEX(YieldCurve!$A$4:$A$63,C213+1)</f>
        <v>18</v>
      </c>
      <c r="F213">
        <f>INDEX(YieldCurve!$B$4:$B$63,C213)</f>
        <v>4.7979870000000001E-2</v>
      </c>
      <c r="G213">
        <f>INDEX(YieldCurve!$B$4:$B$63,C213+1)</f>
        <v>4.8386279999999997E-2</v>
      </c>
      <c r="H213">
        <f t="shared" si="3"/>
        <v>0</v>
      </c>
      <c r="I213">
        <f>IF(B213&lt;=INDEX(YieldCurve!$A$4:$A$63,1),INDEX(YieldCurve!$B$4:$B$63,1),IF(B213&gt;=INDEX(YieldCurve!$A$4:$A$63,ROWS(YieldCurve!$A$4:$A$63)),INDEX(YieldCurve!$B$4:$B$63,ROWS(YieldCurve!$B$4:$B$63)),F213+H213*(G213-F213)))</f>
        <v>4.7979870000000001E-2</v>
      </c>
      <c r="J213">
        <f>EXP(-(I213+Inputs!$B$9)*B213)</f>
        <v>0.43186263104400263</v>
      </c>
    </row>
    <row r="214" spans="1:10" x14ac:dyDescent="0.35">
      <c r="A214">
        <v>211</v>
      </c>
      <c r="B214">
        <f>A214/Inputs!$B$6</f>
        <v>17.583333333333332</v>
      </c>
      <c r="C214">
        <f>IF(B214&lt;=INDEX(YieldCurve!$A$4:$A$63,1),1,IF(B214&gt;=INDEX(YieldCurve!$A$4:$A$63,ROWS(YieldCurve!$A$4:$A$63)),ROWS(YieldCurve!$A$4:$A$63)-1,MATCH(B214,YieldCurve!$A$4:$A$63,1)))</f>
        <v>35</v>
      </c>
      <c r="D214">
        <f>INDEX(YieldCurve!$A$4:$A$63,C214)</f>
        <v>17.5</v>
      </c>
      <c r="E214">
        <f>INDEX(YieldCurve!$A$4:$A$63,C214+1)</f>
        <v>18</v>
      </c>
      <c r="F214">
        <f>INDEX(YieldCurve!$B$4:$B$63,C214)</f>
        <v>4.7979870000000001E-2</v>
      </c>
      <c r="G214">
        <f>INDEX(YieldCurve!$B$4:$B$63,C214+1)</f>
        <v>4.8386279999999997E-2</v>
      </c>
      <c r="H214">
        <f t="shared" si="3"/>
        <v>0.1666666666666643</v>
      </c>
      <c r="I214">
        <f>IF(B214&lt;=INDEX(YieldCurve!$A$4:$A$63,1),INDEX(YieldCurve!$B$4:$B$63,1),IF(B214&gt;=INDEX(YieldCurve!$A$4:$A$63,ROWS(YieldCurve!$A$4:$A$63)),INDEX(YieldCurve!$B$4:$B$63,ROWS(YieldCurve!$B$4:$B$63)),F214+H214*(G214-F214)))</f>
        <v>4.8047605E-2</v>
      </c>
      <c r="J214">
        <f>EXP(-(I214+Inputs!$B$9)*B214)</f>
        <v>0.42962735831639837</v>
      </c>
    </row>
    <row r="215" spans="1:10" x14ac:dyDescent="0.35">
      <c r="A215">
        <v>212</v>
      </c>
      <c r="B215">
        <f>A215/Inputs!$B$6</f>
        <v>17.666666666666668</v>
      </c>
      <c r="C215">
        <f>IF(B215&lt;=INDEX(YieldCurve!$A$4:$A$63,1),1,IF(B215&gt;=INDEX(YieldCurve!$A$4:$A$63,ROWS(YieldCurve!$A$4:$A$63)),ROWS(YieldCurve!$A$4:$A$63)-1,MATCH(B215,YieldCurve!$A$4:$A$63,1)))</f>
        <v>35</v>
      </c>
      <c r="D215">
        <f>INDEX(YieldCurve!$A$4:$A$63,C215)</f>
        <v>17.5</v>
      </c>
      <c r="E215">
        <f>INDEX(YieldCurve!$A$4:$A$63,C215+1)</f>
        <v>18</v>
      </c>
      <c r="F215">
        <f>INDEX(YieldCurve!$B$4:$B$63,C215)</f>
        <v>4.7979870000000001E-2</v>
      </c>
      <c r="G215">
        <f>INDEX(YieldCurve!$B$4:$B$63,C215+1)</f>
        <v>4.8386279999999997E-2</v>
      </c>
      <c r="H215">
        <f t="shared" si="3"/>
        <v>0.3333333333333357</v>
      </c>
      <c r="I215">
        <f>IF(B215&lt;=INDEX(YieldCurve!$A$4:$A$63,1),INDEX(YieldCurve!$B$4:$B$63,1),IF(B215&gt;=INDEX(YieldCurve!$A$4:$A$63,ROWS(YieldCurve!$A$4:$A$63)),INDEX(YieldCurve!$B$4:$B$63,ROWS(YieldCurve!$B$4:$B$63)),F215+H215*(G215-F215)))</f>
        <v>4.8115339999999999E-2</v>
      </c>
      <c r="J215">
        <f>EXP(-(I215+Inputs!$B$9)*B215)</f>
        <v>0.42739883010683066</v>
      </c>
    </row>
    <row r="216" spans="1:10" x14ac:dyDescent="0.35">
      <c r="A216">
        <v>213</v>
      </c>
      <c r="B216">
        <f>A216/Inputs!$B$6</f>
        <v>17.75</v>
      </c>
      <c r="C216">
        <f>IF(B216&lt;=INDEX(YieldCurve!$A$4:$A$63,1),1,IF(B216&gt;=INDEX(YieldCurve!$A$4:$A$63,ROWS(YieldCurve!$A$4:$A$63)),ROWS(YieldCurve!$A$4:$A$63)-1,MATCH(B216,YieldCurve!$A$4:$A$63,1)))</f>
        <v>35</v>
      </c>
      <c r="D216">
        <f>INDEX(YieldCurve!$A$4:$A$63,C216)</f>
        <v>17.5</v>
      </c>
      <c r="E216">
        <f>INDEX(YieldCurve!$A$4:$A$63,C216+1)</f>
        <v>18</v>
      </c>
      <c r="F216">
        <f>INDEX(YieldCurve!$B$4:$B$63,C216)</f>
        <v>4.7979870000000001E-2</v>
      </c>
      <c r="G216">
        <f>INDEX(YieldCurve!$B$4:$B$63,C216+1)</f>
        <v>4.8386279999999997E-2</v>
      </c>
      <c r="H216">
        <f t="shared" si="3"/>
        <v>0.5</v>
      </c>
      <c r="I216">
        <f>IF(B216&lt;=INDEX(YieldCurve!$A$4:$A$63,1),INDEX(YieldCurve!$B$4:$B$63,1),IF(B216&gt;=INDEX(YieldCurve!$A$4:$A$63,ROWS(YieldCurve!$A$4:$A$63)),INDEX(YieldCurve!$B$4:$B$63,ROWS(YieldCurve!$B$4:$B$63)),F216+H216*(G216-F216)))</f>
        <v>4.8183074999999999E-2</v>
      </c>
      <c r="J216">
        <f>EXP(-(I216+Inputs!$B$9)*B216)</f>
        <v>0.42517706161635316</v>
      </c>
    </row>
    <row r="217" spans="1:10" x14ac:dyDescent="0.35">
      <c r="A217">
        <v>214</v>
      </c>
      <c r="B217">
        <f>A217/Inputs!$B$6</f>
        <v>17.833333333333332</v>
      </c>
      <c r="C217">
        <f>IF(B217&lt;=INDEX(YieldCurve!$A$4:$A$63,1),1,IF(B217&gt;=INDEX(YieldCurve!$A$4:$A$63,ROWS(YieldCurve!$A$4:$A$63)),ROWS(YieldCurve!$A$4:$A$63)-1,MATCH(B217,YieldCurve!$A$4:$A$63,1)))</f>
        <v>35</v>
      </c>
      <c r="D217">
        <f>INDEX(YieldCurve!$A$4:$A$63,C217)</f>
        <v>17.5</v>
      </c>
      <c r="E217">
        <f>INDEX(YieldCurve!$A$4:$A$63,C217+1)</f>
        <v>18</v>
      </c>
      <c r="F217">
        <f>INDEX(YieldCurve!$B$4:$B$63,C217)</f>
        <v>4.7979870000000001E-2</v>
      </c>
      <c r="G217">
        <f>INDEX(YieldCurve!$B$4:$B$63,C217+1)</f>
        <v>4.8386279999999997E-2</v>
      </c>
      <c r="H217">
        <f t="shared" si="3"/>
        <v>0.6666666666666643</v>
      </c>
      <c r="I217">
        <f>IF(B217&lt;=INDEX(YieldCurve!$A$4:$A$63,1),INDEX(YieldCurve!$B$4:$B$63,1),IF(B217&gt;=INDEX(YieldCurve!$A$4:$A$63,ROWS(YieldCurve!$A$4:$A$63)),INDEX(YieldCurve!$B$4:$B$63,ROWS(YieldCurve!$B$4:$B$63)),F217+H217*(G217-F217)))</f>
        <v>4.8250809999999998E-2</v>
      </c>
      <c r="J217">
        <f>EXP(-(I217+Inputs!$B$9)*B217)</f>
        <v>0.42296206773874606</v>
      </c>
    </row>
    <row r="218" spans="1:10" x14ac:dyDescent="0.35">
      <c r="A218">
        <v>215</v>
      </c>
      <c r="B218">
        <f>A218/Inputs!$B$6</f>
        <v>17.916666666666668</v>
      </c>
      <c r="C218">
        <f>IF(B218&lt;=INDEX(YieldCurve!$A$4:$A$63,1),1,IF(B218&gt;=INDEX(YieldCurve!$A$4:$A$63,ROWS(YieldCurve!$A$4:$A$63)),ROWS(YieldCurve!$A$4:$A$63)-1,MATCH(B218,YieldCurve!$A$4:$A$63,1)))</f>
        <v>35</v>
      </c>
      <c r="D218">
        <f>INDEX(YieldCurve!$A$4:$A$63,C218)</f>
        <v>17.5</v>
      </c>
      <c r="E218">
        <f>INDEX(YieldCurve!$A$4:$A$63,C218+1)</f>
        <v>18</v>
      </c>
      <c r="F218">
        <f>INDEX(YieldCurve!$B$4:$B$63,C218)</f>
        <v>4.7979870000000001E-2</v>
      </c>
      <c r="G218">
        <f>INDEX(YieldCurve!$B$4:$B$63,C218+1)</f>
        <v>4.8386279999999997E-2</v>
      </c>
      <c r="H218">
        <f t="shared" si="3"/>
        <v>0.8333333333333357</v>
      </c>
      <c r="I218">
        <f>IF(B218&lt;=INDEX(YieldCurve!$A$4:$A$63,1),INDEX(YieldCurve!$B$4:$B$63,1),IF(B218&gt;=INDEX(YieldCurve!$A$4:$A$63,ROWS(YieldCurve!$A$4:$A$63)),INDEX(YieldCurve!$B$4:$B$63,ROWS(YieldCurve!$B$4:$B$63)),F218+H218*(G218-F218)))</f>
        <v>4.8318544999999997E-2</v>
      </c>
      <c r="J218">
        <f>EXP(-(I218+Inputs!$B$9)*B218)</f>
        <v>0.42075386306144297</v>
      </c>
    </row>
    <row r="219" spans="1:10" x14ac:dyDescent="0.35">
      <c r="A219">
        <v>216</v>
      </c>
      <c r="B219">
        <f>A219/Inputs!$B$6</f>
        <v>18</v>
      </c>
      <c r="C219">
        <f>IF(B219&lt;=INDEX(YieldCurve!$A$4:$A$63,1),1,IF(B219&gt;=INDEX(YieldCurve!$A$4:$A$63,ROWS(YieldCurve!$A$4:$A$63)),ROWS(YieldCurve!$A$4:$A$63)-1,MATCH(B219,YieldCurve!$A$4:$A$63,1)))</f>
        <v>36</v>
      </c>
      <c r="D219">
        <f>INDEX(YieldCurve!$A$4:$A$63,C219)</f>
        <v>18</v>
      </c>
      <c r="E219">
        <f>INDEX(YieldCurve!$A$4:$A$63,C219+1)</f>
        <v>18.5</v>
      </c>
      <c r="F219">
        <f>INDEX(YieldCurve!$B$4:$B$63,C219)</f>
        <v>4.8386279999999997E-2</v>
      </c>
      <c r="G219">
        <f>INDEX(YieldCurve!$B$4:$B$63,C219+1)</f>
        <v>4.8799910000000002E-2</v>
      </c>
      <c r="H219">
        <f t="shared" si="3"/>
        <v>0</v>
      </c>
      <c r="I219">
        <f>IF(B219&lt;=INDEX(YieldCurve!$A$4:$A$63,1),INDEX(YieldCurve!$B$4:$B$63,1),IF(B219&gt;=INDEX(YieldCurve!$A$4:$A$63,ROWS(YieldCurve!$A$4:$A$63)),INDEX(YieldCurve!$B$4:$B$63,ROWS(YieldCurve!$B$4:$B$63)),F219+H219*(G219-F219)))</f>
        <v>4.8386279999999997E-2</v>
      </c>
      <c r="J219">
        <f>EXP(-(I219+Inputs!$B$9)*B219)</f>
        <v>0.41855246186646999</v>
      </c>
    </row>
    <row r="220" spans="1:10" x14ac:dyDescent="0.35">
      <c r="A220">
        <v>217</v>
      </c>
      <c r="B220">
        <f>A220/Inputs!$B$6</f>
        <v>18.083333333333332</v>
      </c>
      <c r="C220">
        <f>IF(B220&lt;=INDEX(YieldCurve!$A$4:$A$63,1),1,IF(B220&gt;=INDEX(YieldCurve!$A$4:$A$63,ROWS(YieldCurve!$A$4:$A$63)),ROWS(YieldCurve!$A$4:$A$63)-1,MATCH(B220,YieldCurve!$A$4:$A$63,1)))</f>
        <v>36</v>
      </c>
      <c r="D220">
        <f>INDEX(YieldCurve!$A$4:$A$63,C220)</f>
        <v>18</v>
      </c>
      <c r="E220">
        <f>INDEX(YieldCurve!$A$4:$A$63,C220+1)</f>
        <v>18.5</v>
      </c>
      <c r="F220">
        <f>INDEX(YieldCurve!$B$4:$B$63,C220)</f>
        <v>4.8386279999999997E-2</v>
      </c>
      <c r="G220">
        <f>INDEX(YieldCurve!$B$4:$B$63,C220+1)</f>
        <v>4.8799910000000002E-2</v>
      </c>
      <c r="H220">
        <f t="shared" si="3"/>
        <v>0.1666666666666643</v>
      </c>
      <c r="I220">
        <f>IF(B220&lt;=INDEX(YieldCurve!$A$4:$A$63,1),INDEX(YieldCurve!$B$4:$B$63,1),IF(B220&gt;=INDEX(YieldCurve!$A$4:$A$63,ROWS(YieldCurve!$A$4:$A$63)),INDEX(YieldCurve!$B$4:$B$63,ROWS(YieldCurve!$B$4:$B$63)),F220+H220*(G220-F220)))</f>
        <v>4.8455218333333328E-2</v>
      </c>
      <c r="J220">
        <f>EXP(-(I220+Inputs!$B$9)*B220)</f>
        <v>0.41634881816688735</v>
      </c>
    </row>
    <row r="221" spans="1:10" x14ac:dyDescent="0.35">
      <c r="A221">
        <v>218</v>
      </c>
      <c r="B221">
        <f>A221/Inputs!$B$6</f>
        <v>18.166666666666668</v>
      </c>
      <c r="C221">
        <f>IF(B221&lt;=INDEX(YieldCurve!$A$4:$A$63,1),1,IF(B221&gt;=INDEX(YieldCurve!$A$4:$A$63,ROWS(YieldCurve!$A$4:$A$63)),ROWS(YieldCurve!$A$4:$A$63)-1,MATCH(B221,YieldCurve!$A$4:$A$63,1)))</f>
        <v>36</v>
      </c>
      <c r="D221">
        <f>INDEX(YieldCurve!$A$4:$A$63,C221)</f>
        <v>18</v>
      </c>
      <c r="E221">
        <f>INDEX(YieldCurve!$A$4:$A$63,C221+1)</f>
        <v>18.5</v>
      </c>
      <c r="F221">
        <f>INDEX(YieldCurve!$B$4:$B$63,C221)</f>
        <v>4.8386279999999997E-2</v>
      </c>
      <c r="G221">
        <f>INDEX(YieldCurve!$B$4:$B$63,C221+1)</f>
        <v>4.8799910000000002E-2</v>
      </c>
      <c r="H221">
        <f t="shared" si="3"/>
        <v>0.3333333333333357</v>
      </c>
      <c r="I221">
        <f>IF(B221&lt;=INDEX(YieldCurve!$A$4:$A$63,1),INDEX(YieldCurve!$B$4:$B$63,1),IF(B221&gt;=INDEX(YieldCurve!$A$4:$A$63,ROWS(YieldCurve!$A$4:$A$63)),INDEX(YieldCurve!$B$4:$B$63,ROWS(YieldCurve!$B$4:$B$63)),F221+H221*(G221-F221)))</f>
        <v>4.8524156666666665E-2</v>
      </c>
      <c r="J221">
        <f>EXP(-(I221+Inputs!$B$9)*B221)</f>
        <v>0.41415201794806589</v>
      </c>
    </row>
    <row r="222" spans="1:10" x14ac:dyDescent="0.35">
      <c r="A222">
        <v>219</v>
      </c>
      <c r="B222">
        <f>A222/Inputs!$B$6</f>
        <v>18.25</v>
      </c>
      <c r="C222">
        <f>IF(B222&lt;=INDEX(YieldCurve!$A$4:$A$63,1),1,IF(B222&gt;=INDEX(YieldCurve!$A$4:$A$63,ROWS(YieldCurve!$A$4:$A$63)),ROWS(YieldCurve!$A$4:$A$63)-1,MATCH(B222,YieldCurve!$A$4:$A$63,1)))</f>
        <v>36</v>
      </c>
      <c r="D222">
        <f>INDEX(YieldCurve!$A$4:$A$63,C222)</f>
        <v>18</v>
      </c>
      <c r="E222">
        <f>INDEX(YieldCurve!$A$4:$A$63,C222+1)</f>
        <v>18.5</v>
      </c>
      <c r="F222">
        <f>INDEX(YieldCurve!$B$4:$B$63,C222)</f>
        <v>4.8386279999999997E-2</v>
      </c>
      <c r="G222">
        <f>INDEX(YieldCurve!$B$4:$B$63,C222+1)</f>
        <v>4.8799910000000002E-2</v>
      </c>
      <c r="H222">
        <f t="shared" si="3"/>
        <v>0.5</v>
      </c>
      <c r="I222">
        <f>IF(B222&lt;=INDEX(YieldCurve!$A$4:$A$63,1),INDEX(YieldCurve!$B$4:$B$63,1),IF(B222&gt;=INDEX(YieldCurve!$A$4:$A$63,ROWS(YieldCurve!$A$4:$A$63)),INDEX(YieldCurve!$B$4:$B$63,ROWS(YieldCurve!$B$4:$B$63)),F222+H222*(G222-F222)))</f>
        <v>4.8593095000000003E-2</v>
      </c>
      <c r="J222">
        <f>EXP(-(I222+Inputs!$B$9)*B222)</f>
        <v>0.41196207544921787</v>
      </c>
    </row>
    <row r="223" spans="1:10" x14ac:dyDescent="0.35">
      <c r="A223">
        <v>220</v>
      </c>
      <c r="B223">
        <f>A223/Inputs!$B$6</f>
        <v>18.333333333333332</v>
      </c>
      <c r="C223">
        <f>IF(B223&lt;=INDEX(YieldCurve!$A$4:$A$63,1),1,IF(B223&gt;=INDEX(YieldCurve!$A$4:$A$63,ROWS(YieldCurve!$A$4:$A$63)),ROWS(YieldCurve!$A$4:$A$63)-1,MATCH(B223,YieldCurve!$A$4:$A$63,1)))</f>
        <v>36</v>
      </c>
      <c r="D223">
        <f>INDEX(YieldCurve!$A$4:$A$63,C223)</f>
        <v>18</v>
      </c>
      <c r="E223">
        <f>INDEX(YieldCurve!$A$4:$A$63,C223+1)</f>
        <v>18.5</v>
      </c>
      <c r="F223">
        <f>INDEX(YieldCurve!$B$4:$B$63,C223)</f>
        <v>4.8386279999999997E-2</v>
      </c>
      <c r="G223">
        <f>INDEX(YieldCurve!$B$4:$B$63,C223+1)</f>
        <v>4.8799910000000002E-2</v>
      </c>
      <c r="H223">
        <f t="shared" si="3"/>
        <v>0.6666666666666643</v>
      </c>
      <c r="I223">
        <f>IF(B223&lt;=INDEX(YieldCurve!$A$4:$A$63,1),INDEX(YieldCurve!$B$4:$B$63,1),IF(B223&gt;=INDEX(YieldCurve!$A$4:$A$63,ROWS(YieldCurve!$A$4:$A$63)),INDEX(YieldCurve!$B$4:$B$63,ROWS(YieldCurve!$B$4:$B$63)),F223+H223*(G223-F223)))</f>
        <v>4.8662033333333334E-2</v>
      </c>
      <c r="J223">
        <f>EXP(-(I223+Inputs!$B$9)*B223)</f>
        <v>0.40977900459858974</v>
      </c>
    </row>
    <row r="224" spans="1:10" x14ac:dyDescent="0.35">
      <c r="A224">
        <v>221</v>
      </c>
      <c r="B224">
        <f>A224/Inputs!$B$6</f>
        <v>18.416666666666668</v>
      </c>
      <c r="C224">
        <f>IF(B224&lt;=INDEX(YieldCurve!$A$4:$A$63,1),1,IF(B224&gt;=INDEX(YieldCurve!$A$4:$A$63,ROWS(YieldCurve!$A$4:$A$63)),ROWS(YieldCurve!$A$4:$A$63)-1,MATCH(B224,YieldCurve!$A$4:$A$63,1)))</f>
        <v>36</v>
      </c>
      <c r="D224">
        <f>INDEX(YieldCurve!$A$4:$A$63,C224)</f>
        <v>18</v>
      </c>
      <c r="E224">
        <f>INDEX(YieldCurve!$A$4:$A$63,C224+1)</f>
        <v>18.5</v>
      </c>
      <c r="F224">
        <f>INDEX(YieldCurve!$B$4:$B$63,C224)</f>
        <v>4.8386279999999997E-2</v>
      </c>
      <c r="G224">
        <f>INDEX(YieldCurve!$B$4:$B$63,C224+1)</f>
        <v>4.8799910000000002E-2</v>
      </c>
      <c r="H224">
        <f t="shared" si="3"/>
        <v>0.8333333333333357</v>
      </c>
      <c r="I224">
        <f>IF(B224&lt;=INDEX(YieldCurve!$A$4:$A$63,1),INDEX(YieldCurve!$B$4:$B$63,1),IF(B224&gt;=INDEX(YieldCurve!$A$4:$A$63,ROWS(YieldCurve!$A$4:$A$63)),INDEX(YieldCurve!$B$4:$B$63,ROWS(YieldCurve!$B$4:$B$63)),F224+H224*(G224-F224)))</f>
        <v>4.8730971666666671E-2</v>
      </c>
      <c r="J224">
        <f>EXP(-(I224+Inputs!$B$9)*B224)</f>
        <v>0.40760281901446804</v>
      </c>
    </row>
    <row r="225" spans="1:10" x14ac:dyDescent="0.35">
      <c r="A225">
        <v>222</v>
      </c>
      <c r="B225">
        <f>A225/Inputs!$B$6</f>
        <v>18.5</v>
      </c>
      <c r="C225">
        <f>IF(B225&lt;=INDEX(YieldCurve!$A$4:$A$63,1),1,IF(B225&gt;=INDEX(YieldCurve!$A$4:$A$63,ROWS(YieldCurve!$A$4:$A$63)),ROWS(YieldCurve!$A$4:$A$63)-1,MATCH(B225,YieldCurve!$A$4:$A$63,1)))</f>
        <v>37</v>
      </c>
      <c r="D225">
        <f>INDEX(YieldCurve!$A$4:$A$63,C225)</f>
        <v>18.5</v>
      </c>
      <c r="E225">
        <f>INDEX(YieldCurve!$A$4:$A$63,C225+1)</f>
        <v>19</v>
      </c>
      <c r="F225">
        <f>INDEX(YieldCurve!$B$4:$B$63,C225)</f>
        <v>4.8799910000000002E-2</v>
      </c>
      <c r="G225">
        <f>INDEX(YieldCurve!$B$4:$B$63,C225+1)</f>
        <v>4.922112E-2</v>
      </c>
      <c r="H225">
        <f t="shared" si="3"/>
        <v>0</v>
      </c>
      <c r="I225">
        <f>IF(B225&lt;=INDEX(YieldCurve!$A$4:$A$63,1),INDEX(YieldCurve!$B$4:$B$63,1),IF(B225&gt;=INDEX(YieldCurve!$A$4:$A$63,ROWS(YieldCurve!$A$4:$A$63)),INDEX(YieldCurve!$B$4:$B$63,ROWS(YieldCurve!$B$4:$B$63)),F225+H225*(G225-F225)))</f>
        <v>4.8799910000000002E-2</v>
      </c>
      <c r="J225">
        <f>EXP(-(I225+Inputs!$B$9)*B225)</f>
        <v>0.40543353200619819</v>
      </c>
    </row>
    <row r="226" spans="1:10" x14ac:dyDescent="0.35">
      <c r="A226">
        <v>223</v>
      </c>
      <c r="B226">
        <f>A226/Inputs!$B$6</f>
        <v>18.583333333333332</v>
      </c>
      <c r="C226">
        <f>IF(B226&lt;=INDEX(YieldCurve!$A$4:$A$63,1),1,IF(B226&gt;=INDEX(YieldCurve!$A$4:$A$63,ROWS(YieldCurve!$A$4:$A$63)),ROWS(YieldCurve!$A$4:$A$63)-1,MATCH(B226,YieldCurve!$A$4:$A$63,1)))</f>
        <v>37</v>
      </c>
      <c r="D226">
        <f>INDEX(YieldCurve!$A$4:$A$63,C226)</f>
        <v>18.5</v>
      </c>
      <c r="E226">
        <f>INDEX(YieldCurve!$A$4:$A$63,C226+1)</f>
        <v>19</v>
      </c>
      <c r="F226">
        <f>INDEX(YieldCurve!$B$4:$B$63,C226)</f>
        <v>4.8799910000000002E-2</v>
      </c>
      <c r="G226">
        <f>INDEX(YieldCurve!$B$4:$B$63,C226+1)</f>
        <v>4.922112E-2</v>
      </c>
      <c r="H226">
        <f t="shared" si="3"/>
        <v>0.1666666666666643</v>
      </c>
      <c r="I226">
        <f>IF(B226&lt;=INDEX(YieldCurve!$A$4:$A$63,1),INDEX(YieldCurve!$B$4:$B$63,1),IF(B226&gt;=INDEX(YieldCurve!$A$4:$A$63,ROWS(YieldCurve!$A$4:$A$63)),INDEX(YieldCurve!$B$4:$B$63,ROWS(YieldCurve!$B$4:$B$63)),F226+H226*(G226-F226)))</f>
        <v>4.8870111666666667E-2</v>
      </c>
      <c r="J226">
        <f>EXP(-(I226+Inputs!$B$9)*B226)</f>
        <v>0.40326168911180965</v>
      </c>
    </row>
    <row r="227" spans="1:10" x14ac:dyDescent="0.35">
      <c r="A227">
        <v>224</v>
      </c>
      <c r="B227">
        <f>A227/Inputs!$B$6</f>
        <v>18.666666666666668</v>
      </c>
      <c r="C227">
        <f>IF(B227&lt;=INDEX(YieldCurve!$A$4:$A$63,1),1,IF(B227&gt;=INDEX(YieldCurve!$A$4:$A$63,ROWS(YieldCurve!$A$4:$A$63)),ROWS(YieldCurve!$A$4:$A$63)-1,MATCH(B227,YieldCurve!$A$4:$A$63,1)))</f>
        <v>37</v>
      </c>
      <c r="D227">
        <f>INDEX(YieldCurve!$A$4:$A$63,C227)</f>
        <v>18.5</v>
      </c>
      <c r="E227">
        <f>INDEX(YieldCurve!$A$4:$A$63,C227+1)</f>
        <v>19</v>
      </c>
      <c r="F227">
        <f>INDEX(YieldCurve!$B$4:$B$63,C227)</f>
        <v>4.8799910000000002E-2</v>
      </c>
      <c r="G227">
        <f>INDEX(YieldCurve!$B$4:$B$63,C227+1)</f>
        <v>4.922112E-2</v>
      </c>
      <c r="H227">
        <f t="shared" si="3"/>
        <v>0.3333333333333357</v>
      </c>
      <c r="I227">
        <f>IF(B227&lt;=INDEX(YieldCurve!$A$4:$A$63,1),INDEX(YieldCurve!$B$4:$B$63,1),IF(B227&gt;=INDEX(YieldCurve!$A$4:$A$63,ROWS(YieldCurve!$A$4:$A$63)),INDEX(YieldCurve!$B$4:$B$63,ROWS(YieldCurve!$B$4:$B$63)),F227+H227*(G227-F227)))</f>
        <v>4.8940313333333332E-2</v>
      </c>
      <c r="J227">
        <f>EXP(-(I227+Inputs!$B$9)*B227)</f>
        <v>0.40109678746281052</v>
      </c>
    </row>
    <row r="228" spans="1:10" x14ac:dyDescent="0.35">
      <c r="A228">
        <v>225</v>
      </c>
      <c r="B228">
        <f>A228/Inputs!$B$6</f>
        <v>18.75</v>
      </c>
      <c r="C228">
        <f>IF(B228&lt;=INDEX(YieldCurve!$A$4:$A$63,1),1,IF(B228&gt;=INDEX(YieldCurve!$A$4:$A$63,ROWS(YieldCurve!$A$4:$A$63)),ROWS(YieldCurve!$A$4:$A$63)-1,MATCH(B228,YieldCurve!$A$4:$A$63,1)))</f>
        <v>37</v>
      </c>
      <c r="D228">
        <f>INDEX(YieldCurve!$A$4:$A$63,C228)</f>
        <v>18.5</v>
      </c>
      <c r="E228">
        <f>INDEX(YieldCurve!$A$4:$A$63,C228+1)</f>
        <v>19</v>
      </c>
      <c r="F228">
        <f>INDEX(YieldCurve!$B$4:$B$63,C228)</f>
        <v>4.8799910000000002E-2</v>
      </c>
      <c r="G228">
        <f>INDEX(YieldCurve!$B$4:$B$63,C228+1)</f>
        <v>4.922112E-2</v>
      </c>
      <c r="H228">
        <f t="shared" si="3"/>
        <v>0.5</v>
      </c>
      <c r="I228">
        <f>IF(B228&lt;=INDEX(YieldCurve!$A$4:$A$63,1),INDEX(YieldCurve!$B$4:$B$63,1),IF(B228&gt;=INDEX(YieldCurve!$A$4:$A$63,ROWS(YieldCurve!$A$4:$A$63)),INDEX(YieldCurve!$B$4:$B$63,ROWS(YieldCurve!$B$4:$B$63)),F228+H228*(G228-F228)))</f>
        <v>4.9010515000000004E-2</v>
      </c>
      <c r="J228">
        <f>EXP(-(I228+Inputs!$B$9)*B228)</f>
        <v>0.39893884031889776</v>
      </c>
    </row>
    <row r="229" spans="1:10" x14ac:dyDescent="0.35">
      <c r="A229">
        <v>226</v>
      </c>
      <c r="B229">
        <f>A229/Inputs!$B$6</f>
        <v>18.833333333333332</v>
      </c>
      <c r="C229">
        <f>IF(B229&lt;=INDEX(YieldCurve!$A$4:$A$63,1),1,IF(B229&gt;=INDEX(YieldCurve!$A$4:$A$63,ROWS(YieldCurve!$A$4:$A$63)),ROWS(YieldCurve!$A$4:$A$63)-1,MATCH(B229,YieldCurve!$A$4:$A$63,1)))</f>
        <v>37</v>
      </c>
      <c r="D229">
        <f>INDEX(YieldCurve!$A$4:$A$63,C229)</f>
        <v>18.5</v>
      </c>
      <c r="E229">
        <f>INDEX(YieldCurve!$A$4:$A$63,C229+1)</f>
        <v>19</v>
      </c>
      <c r="F229">
        <f>INDEX(YieldCurve!$B$4:$B$63,C229)</f>
        <v>4.8799910000000002E-2</v>
      </c>
      <c r="G229">
        <f>INDEX(YieldCurve!$B$4:$B$63,C229+1)</f>
        <v>4.922112E-2</v>
      </c>
      <c r="H229">
        <f t="shared" si="3"/>
        <v>0.6666666666666643</v>
      </c>
      <c r="I229">
        <f>IF(B229&lt;=INDEX(YieldCurve!$A$4:$A$63,1),INDEX(YieldCurve!$B$4:$B$63,1),IF(B229&gt;=INDEX(YieldCurve!$A$4:$A$63,ROWS(YieldCurve!$A$4:$A$63)),INDEX(YieldCurve!$B$4:$B$63,ROWS(YieldCurve!$B$4:$B$63)),F229+H229*(G229-F229)))</f>
        <v>4.908071666666667E-2</v>
      </c>
      <c r="J229">
        <f>EXP(-(I229+Inputs!$B$9)*B229)</f>
        <v>0.39678786062505622</v>
      </c>
    </row>
    <row r="230" spans="1:10" x14ac:dyDescent="0.35">
      <c r="A230">
        <v>227</v>
      </c>
      <c r="B230">
        <f>A230/Inputs!$B$6</f>
        <v>18.916666666666668</v>
      </c>
      <c r="C230">
        <f>IF(B230&lt;=INDEX(YieldCurve!$A$4:$A$63,1),1,IF(B230&gt;=INDEX(YieldCurve!$A$4:$A$63,ROWS(YieldCurve!$A$4:$A$63)),ROWS(YieldCurve!$A$4:$A$63)-1,MATCH(B230,YieldCurve!$A$4:$A$63,1)))</f>
        <v>37</v>
      </c>
      <c r="D230">
        <f>INDEX(YieldCurve!$A$4:$A$63,C230)</f>
        <v>18.5</v>
      </c>
      <c r="E230">
        <f>INDEX(YieldCurve!$A$4:$A$63,C230+1)</f>
        <v>19</v>
      </c>
      <c r="F230">
        <f>INDEX(YieldCurve!$B$4:$B$63,C230)</f>
        <v>4.8799910000000002E-2</v>
      </c>
      <c r="G230">
        <f>INDEX(YieldCurve!$B$4:$B$63,C230+1)</f>
        <v>4.922112E-2</v>
      </c>
      <c r="H230">
        <f t="shared" si="3"/>
        <v>0.8333333333333357</v>
      </c>
      <c r="I230">
        <f>IF(B230&lt;=INDEX(YieldCurve!$A$4:$A$63,1),INDEX(YieldCurve!$B$4:$B$63,1),IF(B230&gt;=INDEX(YieldCurve!$A$4:$A$63,ROWS(YieldCurve!$A$4:$A$63)),INDEX(YieldCurve!$B$4:$B$63,ROWS(YieldCurve!$B$4:$B$63)),F230+H230*(G230-F230)))</f>
        <v>4.9150918333333335E-2</v>
      </c>
      <c r="J230">
        <f>EXP(-(I230+Inputs!$B$9)*B230)</f>
        <v>0.39464386101264748</v>
      </c>
    </row>
    <row r="231" spans="1:10" x14ac:dyDescent="0.35">
      <c r="A231">
        <v>228</v>
      </c>
      <c r="B231">
        <f>A231/Inputs!$B$6</f>
        <v>19</v>
      </c>
      <c r="C231">
        <f>IF(B231&lt;=INDEX(YieldCurve!$A$4:$A$63,1),1,IF(B231&gt;=INDEX(YieldCurve!$A$4:$A$63,ROWS(YieldCurve!$A$4:$A$63)),ROWS(YieldCurve!$A$4:$A$63)-1,MATCH(B231,YieldCurve!$A$4:$A$63,1)))</f>
        <v>38</v>
      </c>
      <c r="D231">
        <f>INDEX(YieldCurve!$A$4:$A$63,C231)</f>
        <v>19</v>
      </c>
      <c r="E231">
        <f>INDEX(YieldCurve!$A$4:$A$63,C231+1)</f>
        <v>19.5</v>
      </c>
      <c r="F231">
        <f>INDEX(YieldCurve!$B$4:$B$63,C231)</f>
        <v>4.922112E-2</v>
      </c>
      <c r="G231">
        <f>INDEX(YieldCurve!$B$4:$B$63,C231+1)</f>
        <v>4.9650279999999998E-2</v>
      </c>
      <c r="H231">
        <f t="shared" si="3"/>
        <v>0</v>
      </c>
      <c r="I231">
        <f>IF(B231&lt;=INDEX(YieldCurve!$A$4:$A$63,1),INDEX(YieldCurve!$B$4:$B$63,1),IF(B231&gt;=INDEX(YieldCurve!$A$4:$A$63,ROWS(YieldCurve!$A$4:$A$63)),INDEX(YieldCurve!$B$4:$B$63,ROWS(YieldCurve!$B$4:$B$63)),F231+H231*(G231-F231)))</f>
        <v>4.922112E-2</v>
      </c>
      <c r="J231">
        <f>EXP(-(I231+Inputs!$B$9)*B231)</f>
        <v>0.39250685380051153</v>
      </c>
    </row>
    <row r="232" spans="1:10" x14ac:dyDescent="0.35">
      <c r="A232">
        <v>229</v>
      </c>
      <c r="B232">
        <f>A232/Inputs!$B$6</f>
        <v>19.083333333333332</v>
      </c>
      <c r="C232">
        <f>IF(B232&lt;=INDEX(YieldCurve!$A$4:$A$63,1),1,IF(B232&gt;=INDEX(YieldCurve!$A$4:$A$63,ROWS(YieldCurve!$A$4:$A$63)),ROWS(YieldCurve!$A$4:$A$63)-1,MATCH(B232,YieldCurve!$A$4:$A$63,1)))</f>
        <v>38</v>
      </c>
      <c r="D232">
        <f>INDEX(YieldCurve!$A$4:$A$63,C232)</f>
        <v>19</v>
      </c>
      <c r="E232">
        <f>INDEX(YieldCurve!$A$4:$A$63,C232+1)</f>
        <v>19.5</v>
      </c>
      <c r="F232">
        <f>INDEX(YieldCurve!$B$4:$B$63,C232)</f>
        <v>4.922112E-2</v>
      </c>
      <c r="G232">
        <f>INDEX(YieldCurve!$B$4:$B$63,C232+1)</f>
        <v>4.9650279999999998E-2</v>
      </c>
      <c r="H232">
        <f t="shared" si="3"/>
        <v>0.1666666666666643</v>
      </c>
      <c r="I232">
        <f>IF(B232&lt;=INDEX(YieldCurve!$A$4:$A$63,1),INDEX(YieldCurve!$B$4:$B$63,1),IF(B232&gt;=INDEX(YieldCurve!$A$4:$A$63,ROWS(YieldCurve!$A$4:$A$63)),INDEX(YieldCurve!$B$4:$B$63,ROWS(YieldCurve!$B$4:$B$63)),F232+H232*(G232-F232)))</f>
        <v>4.9292646666666669E-2</v>
      </c>
      <c r="J232">
        <f>EXP(-(I232+Inputs!$B$9)*B232)</f>
        <v>0.39036698027953914</v>
      </c>
    </row>
    <row r="233" spans="1:10" x14ac:dyDescent="0.35">
      <c r="A233">
        <v>230</v>
      </c>
      <c r="B233">
        <f>A233/Inputs!$B$6</f>
        <v>19.166666666666668</v>
      </c>
      <c r="C233">
        <f>IF(B233&lt;=INDEX(YieldCurve!$A$4:$A$63,1),1,IF(B233&gt;=INDEX(YieldCurve!$A$4:$A$63,ROWS(YieldCurve!$A$4:$A$63)),ROWS(YieldCurve!$A$4:$A$63)-1,MATCH(B233,YieldCurve!$A$4:$A$63,1)))</f>
        <v>38</v>
      </c>
      <c r="D233">
        <f>INDEX(YieldCurve!$A$4:$A$63,C233)</f>
        <v>19</v>
      </c>
      <c r="E233">
        <f>INDEX(YieldCurve!$A$4:$A$63,C233+1)</f>
        <v>19.5</v>
      </c>
      <c r="F233">
        <f>INDEX(YieldCurve!$B$4:$B$63,C233)</f>
        <v>4.922112E-2</v>
      </c>
      <c r="G233">
        <f>INDEX(YieldCurve!$B$4:$B$63,C233+1)</f>
        <v>4.9650279999999998E-2</v>
      </c>
      <c r="H233">
        <f t="shared" si="3"/>
        <v>0.3333333333333357</v>
      </c>
      <c r="I233">
        <f>IF(B233&lt;=INDEX(YieldCurve!$A$4:$A$63,1),INDEX(YieldCurve!$B$4:$B$63,1),IF(B233&gt;=INDEX(YieldCurve!$A$4:$A$63,ROWS(YieldCurve!$A$4:$A$63)),INDEX(YieldCurve!$B$4:$B$63,ROWS(YieldCurve!$B$4:$B$63)),F233+H233*(G233-F233)))</f>
        <v>4.936417333333333E-2</v>
      </c>
      <c r="J233">
        <f>EXP(-(I233+Inputs!$B$9)*B233)</f>
        <v>0.38823414473644563</v>
      </c>
    </row>
    <row r="234" spans="1:10" x14ac:dyDescent="0.35">
      <c r="A234">
        <v>231</v>
      </c>
      <c r="B234">
        <f>A234/Inputs!$B$6</f>
        <v>19.25</v>
      </c>
      <c r="C234">
        <f>IF(B234&lt;=INDEX(YieldCurve!$A$4:$A$63,1),1,IF(B234&gt;=INDEX(YieldCurve!$A$4:$A$63,ROWS(YieldCurve!$A$4:$A$63)),ROWS(YieldCurve!$A$4:$A$63)-1,MATCH(B234,YieldCurve!$A$4:$A$63,1)))</f>
        <v>38</v>
      </c>
      <c r="D234">
        <f>INDEX(YieldCurve!$A$4:$A$63,C234)</f>
        <v>19</v>
      </c>
      <c r="E234">
        <f>INDEX(YieldCurve!$A$4:$A$63,C234+1)</f>
        <v>19.5</v>
      </c>
      <c r="F234">
        <f>INDEX(YieldCurve!$B$4:$B$63,C234)</f>
        <v>4.922112E-2</v>
      </c>
      <c r="G234">
        <f>INDEX(YieldCurve!$B$4:$B$63,C234+1)</f>
        <v>4.9650279999999998E-2</v>
      </c>
      <c r="H234">
        <f t="shared" si="3"/>
        <v>0.5</v>
      </c>
      <c r="I234">
        <f>IF(B234&lt;=INDEX(YieldCurve!$A$4:$A$63,1),INDEX(YieldCurve!$B$4:$B$63,1),IF(B234&gt;=INDEX(YieldCurve!$A$4:$A$63,ROWS(YieldCurve!$A$4:$A$63)),INDEX(YieldCurve!$B$4:$B$63,ROWS(YieldCurve!$B$4:$B$63)),F234+H234*(G234-F234)))</f>
        <v>4.9435699999999999E-2</v>
      </c>
      <c r="J234">
        <f>EXP(-(I234+Inputs!$B$9)*B234)</f>
        <v>0.38610835943037597</v>
      </c>
    </row>
    <row r="235" spans="1:10" x14ac:dyDescent="0.35">
      <c r="A235">
        <v>232</v>
      </c>
      <c r="B235">
        <f>A235/Inputs!$B$6</f>
        <v>19.333333333333332</v>
      </c>
      <c r="C235">
        <f>IF(B235&lt;=INDEX(YieldCurve!$A$4:$A$63,1),1,IF(B235&gt;=INDEX(YieldCurve!$A$4:$A$63,ROWS(YieldCurve!$A$4:$A$63)),ROWS(YieldCurve!$A$4:$A$63)-1,MATCH(B235,YieldCurve!$A$4:$A$63,1)))</f>
        <v>38</v>
      </c>
      <c r="D235">
        <f>INDEX(YieldCurve!$A$4:$A$63,C235)</f>
        <v>19</v>
      </c>
      <c r="E235">
        <f>INDEX(YieldCurve!$A$4:$A$63,C235+1)</f>
        <v>19.5</v>
      </c>
      <c r="F235">
        <f>INDEX(YieldCurve!$B$4:$B$63,C235)</f>
        <v>4.922112E-2</v>
      </c>
      <c r="G235">
        <f>INDEX(YieldCurve!$B$4:$B$63,C235+1)</f>
        <v>4.9650279999999998E-2</v>
      </c>
      <c r="H235">
        <f t="shared" si="3"/>
        <v>0.6666666666666643</v>
      </c>
      <c r="I235">
        <f>IF(B235&lt;=INDEX(YieldCurve!$A$4:$A$63,1),INDEX(YieldCurve!$B$4:$B$63,1),IF(B235&gt;=INDEX(YieldCurve!$A$4:$A$63,ROWS(YieldCurve!$A$4:$A$63)),INDEX(YieldCurve!$B$4:$B$63,ROWS(YieldCurve!$B$4:$B$63)),F235+H235*(G235-F235)))</f>
        <v>4.9507226666666668E-2</v>
      </c>
      <c r="J235">
        <f>EXP(-(I235+Inputs!$B$9)*B235)</f>
        <v>0.38398963630197458</v>
      </c>
    </row>
    <row r="236" spans="1:10" x14ac:dyDescent="0.35">
      <c r="A236">
        <v>233</v>
      </c>
      <c r="B236">
        <f>A236/Inputs!$B$6</f>
        <v>19.416666666666668</v>
      </c>
      <c r="C236">
        <f>IF(B236&lt;=INDEX(YieldCurve!$A$4:$A$63,1),1,IF(B236&gt;=INDEX(YieldCurve!$A$4:$A$63,ROWS(YieldCurve!$A$4:$A$63)),ROWS(YieldCurve!$A$4:$A$63)-1,MATCH(B236,YieldCurve!$A$4:$A$63,1)))</f>
        <v>38</v>
      </c>
      <c r="D236">
        <f>INDEX(YieldCurve!$A$4:$A$63,C236)</f>
        <v>19</v>
      </c>
      <c r="E236">
        <f>INDEX(YieldCurve!$A$4:$A$63,C236+1)</f>
        <v>19.5</v>
      </c>
      <c r="F236">
        <f>INDEX(YieldCurve!$B$4:$B$63,C236)</f>
        <v>4.922112E-2</v>
      </c>
      <c r="G236">
        <f>INDEX(YieldCurve!$B$4:$B$63,C236+1)</f>
        <v>4.9650279999999998E-2</v>
      </c>
      <c r="H236">
        <f t="shared" si="3"/>
        <v>0.8333333333333357</v>
      </c>
      <c r="I236">
        <f>IF(B236&lt;=INDEX(YieldCurve!$A$4:$A$63,1),INDEX(YieldCurve!$B$4:$B$63,1),IF(B236&gt;=INDEX(YieldCurve!$A$4:$A$63,ROWS(YieldCurve!$A$4:$A$63)),INDEX(YieldCurve!$B$4:$B$63,ROWS(YieldCurve!$B$4:$B$63)),F236+H236*(G236-F236)))</f>
        <v>4.9578753333333329E-2</v>
      </c>
      <c r="J236">
        <f>EXP(-(I236+Inputs!$B$9)*B236)</f>
        <v>0.3818779869745616</v>
      </c>
    </row>
    <row r="237" spans="1:10" x14ac:dyDescent="0.35">
      <c r="A237">
        <v>234</v>
      </c>
      <c r="B237">
        <f>A237/Inputs!$B$6</f>
        <v>19.5</v>
      </c>
      <c r="C237">
        <f>IF(B237&lt;=INDEX(YieldCurve!$A$4:$A$63,1),1,IF(B237&gt;=INDEX(YieldCurve!$A$4:$A$63,ROWS(YieldCurve!$A$4:$A$63)),ROWS(YieldCurve!$A$4:$A$63)-1,MATCH(B237,YieldCurve!$A$4:$A$63,1)))</f>
        <v>39</v>
      </c>
      <c r="D237">
        <f>INDEX(YieldCurve!$A$4:$A$63,C237)</f>
        <v>19.5</v>
      </c>
      <c r="E237">
        <f>INDEX(YieldCurve!$A$4:$A$63,C237+1)</f>
        <v>20</v>
      </c>
      <c r="F237">
        <f>INDEX(YieldCurve!$B$4:$B$63,C237)</f>
        <v>4.9650279999999998E-2</v>
      </c>
      <c r="G237">
        <f>INDEX(YieldCurve!$B$4:$B$63,C237+1)</f>
        <v>5.0087800000000002E-2</v>
      </c>
      <c r="H237">
        <f t="shared" si="3"/>
        <v>0</v>
      </c>
      <c r="I237">
        <f>IF(B237&lt;=INDEX(YieldCurve!$A$4:$A$63,1),INDEX(YieldCurve!$B$4:$B$63,1),IF(B237&gt;=INDEX(YieldCurve!$A$4:$A$63,ROWS(YieldCurve!$A$4:$A$63)),INDEX(YieldCurve!$B$4:$B$63,ROWS(YieldCurve!$B$4:$B$63)),F237+H237*(G237-F237)))</f>
        <v>4.9650279999999998E-2</v>
      </c>
      <c r="J237">
        <f>EXP(-(I237+Inputs!$B$9)*B237)</f>
        <v>0.37977342275532144</v>
      </c>
    </row>
    <row r="238" spans="1:10" x14ac:dyDescent="0.35">
      <c r="A238">
        <v>235</v>
      </c>
      <c r="B238">
        <f>A238/Inputs!$B$6</f>
        <v>19.583333333333332</v>
      </c>
      <c r="C238">
        <f>IF(B238&lt;=INDEX(YieldCurve!$A$4:$A$63,1),1,IF(B238&gt;=INDEX(YieldCurve!$A$4:$A$63,ROWS(YieldCurve!$A$4:$A$63)),ROWS(YieldCurve!$A$4:$A$63)-1,MATCH(B238,YieldCurve!$A$4:$A$63,1)))</f>
        <v>39</v>
      </c>
      <c r="D238">
        <f>INDEX(YieldCurve!$A$4:$A$63,C238)</f>
        <v>19.5</v>
      </c>
      <c r="E238">
        <f>INDEX(YieldCurve!$A$4:$A$63,C238+1)</f>
        <v>20</v>
      </c>
      <c r="F238">
        <f>INDEX(YieldCurve!$B$4:$B$63,C238)</f>
        <v>4.9650279999999998E-2</v>
      </c>
      <c r="G238">
        <f>INDEX(YieldCurve!$B$4:$B$63,C238+1)</f>
        <v>5.0087800000000002E-2</v>
      </c>
      <c r="H238">
        <f t="shared" si="3"/>
        <v>0.1666666666666643</v>
      </c>
      <c r="I238">
        <f>IF(B238&lt;=INDEX(YieldCurve!$A$4:$A$63,1),INDEX(YieldCurve!$B$4:$B$63,1),IF(B238&gt;=INDEX(YieldCurve!$A$4:$A$63,ROWS(YieldCurve!$A$4:$A$63)),INDEX(YieldCurve!$B$4:$B$63,ROWS(YieldCurve!$B$4:$B$63)),F238+H238*(G238-F238)))</f>
        <v>4.9723199999999995E-2</v>
      </c>
      <c r="J238">
        <f>EXP(-(I238+Inputs!$B$9)*B238)</f>
        <v>0.37766564946903602</v>
      </c>
    </row>
    <row r="239" spans="1:10" x14ac:dyDescent="0.35">
      <c r="A239">
        <v>236</v>
      </c>
      <c r="B239">
        <f>A239/Inputs!$B$6</f>
        <v>19.666666666666668</v>
      </c>
      <c r="C239">
        <f>IF(B239&lt;=INDEX(YieldCurve!$A$4:$A$63,1),1,IF(B239&gt;=INDEX(YieldCurve!$A$4:$A$63,ROWS(YieldCurve!$A$4:$A$63)),ROWS(YieldCurve!$A$4:$A$63)-1,MATCH(B239,YieldCurve!$A$4:$A$63,1)))</f>
        <v>39</v>
      </c>
      <c r="D239">
        <f>INDEX(YieldCurve!$A$4:$A$63,C239)</f>
        <v>19.5</v>
      </c>
      <c r="E239">
        <f>INDEX(YieldCurve!$A$4:$A$63,C239+1)</f>
        <v>20</v>
      </c>
      <c r="F239">
        <f>INDEX(YieldCurve!$B$4:$B$63,C239)</f>
        <v>4.9650279999999998E-2</v>
      </c>
      <c r="G239">
        <f>INDEX(YieldCurve!$B$4:$B$63,C239+1)</f>
        <v>5.0087800000000002E-2</v>
      </c>
      <c r="H239">
        <f t="shared" si="3"/>
        <v>0.3333333333333357</v>
      </c>
      <c r="I239">
        <f>IF(B239&lt;=INDEX(YieldCurve!$A$4:$A$63,1),INDEX(YieldCurve!$B$4:$B$63,1),IF(B239&gt;=INDEX(YieldCurve!$A$4:$A$63,ROWS(YieldCurve!$A$4:$A$63)),INDEX(YieldCurve!$B$4:$B$63,ROWS(YieldCurve!$B$4:$B$63)),F239+H239*(G239-F239)))</f>
        <v>4.9796119999999999E-2</v>
      </c>
      <c r="J239">
        <f>EXP(-(I239+Inputs!$B$9)*B239)</f>
        <v>0.37556501010088406</v>
      </c>
    </row>
    <row r="240" spans="1:10" x14ac:dyDescent="0.35">
      <c r="A240">
        <v>237</v>
      </c>
      <c r="B240">
        <f>A240/Inputs!$B$6</f>
        <v>19.75</v>
      </c>
      <c r="C240">
        <f>IF(B240&lt;=INDEX(YieldCurve!$A$4:$A$63,1),1,IF(B240&gt;=INDEX(YieldCurve!$A$4:$A$63,ROWS(YieldCurve!$A$4:$A$63)),ROWS(YieldCurve!$A$4:$A$63)-1,MATCH(B240,YieldCurve!$A$4:$A$63,1)))</f>
        <v>39</v>
      </c>
      <c r="D240">
        <f>INDEX(YieldCurve!$A$4:$A$63,C240)</f>
        <v>19.5</v>
      </c>
      <c r="E240">
        <f>INDEX(YieldCurve!$A$4:$A$63,C240+1)</f>
        <v>20</v>
      </c>
      <c r="F240">
        <f>INDEX(YieldCurve!$B$4:$B$63,C240)</f>
        <v>4.9650279999999998E-2</v>
      </c>
      <c r="G240">
        <f>INDEX(YieldCurve!$B$4:$B$63,C240+1)</f>
        <v>5.0087800000000002E-2</v>
      </c>
      <c r="H240">
        <f t="shared" si="3"/>
        <v>0.5</v>
      </c>
      <c r="I240">
        <f>IF(B240&lt;=INDEX(YieldCurve!$A$4:$A$63,1),INDEX(YieldCurve!$B$4:$B$63,1),IF(B240&gt;=INDEX(YieldCurve!$A$4:$A$63,ROWS(YieldCurve!$A$4:$A$63)),INDEX(YieldCurve!$B$4:$B$63,ROWS(YieldCurve!$B$4:$B$63)),F240+H240*(G240-F240)))</f>
        <v>4.9869040000000003E-2</v>
      </c>
      <c r="J240">
        <f>EXP(-(I240+Inputs!$B$9)*B240)</f>
        <v>0.37347151588805311</v>
      </c>
    </row>
    <row r="241" spans="1:10" x14ac:dyDescent="0.35">
      <c r="A241">
        <v>238</v>
      </c>
      <c r="B241">
        <f>A241/Inputs!$B$6</f>
        <v>19.833333333333332</v>
      </c>
      <c r="C241">
        <f>IF(B241&lt;=INDEX(YieldCurve!$A$4:$A$63,1),1,IF(B241&gt;=INDEX(YieldCurve!$A$4:$A$63,ROWS(YieldCurve!$A$4:$A$63)),ROWS(YieldCurve!$A$4:$A$63)-1,MATCH(B241,YieldCurve!$A$4:$A$63,1)))</f>
        <v>39</v>
      </c>
      <c r="D241">
        <f>INDEX(YieldCurve!$A$4:$A$63,C241)</f>
        <v>19.5</v>
      </c>
      <c r="E241">
        <f>INDEX(YieldCurve!$A$4:$A$63,C241+1)</f>
        <v>20</v>
      </c>
      <c r="F241">
        <f>INDEX(YieldCurve!$B$4:$B$63,C241)</f>
        <v>4.9650279999999998E-2</v>
      </c>
      <c r="G241">
        <f>INDEX(YieldCurve!$B$4:$B$63,C241+1)</f>
        <v>5.0087800000000002E-2</v>
      </c>
      <c r="H241">
        <f t="shared" si="3"/>
        <v>0.6666666666666643</v>
      </c>
      <c r="I241">
        <f>IF(B241&lt;=INDEX(YieldCurve!$A$4:$A$63,1),INDEX(YieldCurve!$B$4:$B$63,1),IF(B241&gt;=INDEX(YieldCurve!$A$4:$A$63,ROWS(YieldCurve!$A$4:$A$63)),INDEX(YieldCurve!$B$4:$B$63,ROWS(YieldCurve!$B$4:$B$63)),F241+H241*(G241-F241)))</f>
        <v>4.9941960000000001E-2</v>
      </c>
      <c r="J241">
        <f>EXP(-(I241+Inputs!$B$9)*B241)</f>
        <v>0.37138517774537527</v>
      </c>
    </row>
    <row r="242" spans="1:10" x14ac:dyDescent="0.35">
      <c r="A242">
        <v>239</v>
      </c>
      <c r="B242">
        <f>A242/Inputs!$B$6</f>
        <v>19.916666666666668</v>
      </c>
      <c r="C242">
        <f>IF(B242&lt;=INDEX(YieldCurve!$A$4:$A$63,1),1,IF(B242&gt;=INDEX(YieldCurve!$A$4:$A$63,ROWS(YieldCurve!$A$4:$A$63)),ROWS(YieldCurve!$A$4:$A$63)-1,MATCH(B242,YieldCurve!$A$4:$A$63,1)))</f>
        <v>39</v>
      </c>
      <c r="D242">
        <f>INDEX(YieldCurve!$A$4:$A$63,C242)</f>
        <v>19.5</v>
      </c>
      <c r="E242">
        <f>INDEX(YieldCurve!$A$4:$A$63,C242+1)</f>
        <v>20</v>
      </c>
      <c r="F242">
        <f>INDEX(YieldCurve!$B$4:$B$63,C242)</f>
        <v>4.9650279999999998E-2</v>
      </c>
      <c r="G242">
        <f>INDEX(YieldCurve!$B$4:$B$63,C242+1)</f>
        <v>5.0087800000000002E-2</v>
      </c>
      <c r="H242">
        <f t="shared" si="3"/>
        <v>0.8333333333333357</v>
      </c>
      <c r="I242">
        <f>IF(B242&lt;=INDEX(YieldCurve!$A$4:$A$63,1),INDEX(YieldCurve!$B$4:$B$63,1),IF(B242&gt;=INDEX(YieldCurve!$A$4:$A$63,ROWS(YieldCurve!$A$4:$A$63)),INDEX(YieldCurve!$B$4:$B$63,ROWS(YieldCurve!$B$4:$B$63)),F242+H242*(G242-F242)))</f>
        <v>5.0014880000000005E-2</v>
      </c>
      <c r="J242">
        <f>EXP(-(I242+Inputs!$B$9)*B242)</f>
        <v>0.36930600626659482</v>
      </c>
    </row>
    <row r="243" spans="1:10" x14ac:dyDescent="0.35">
      <c r="A243">
        <v>240</v>
      </c>
      <c r="B243">
        <f>A243/Inputs!$B$6</f>
        <v>20</v>
      </c>
      <c r="C243">
        <f>IF(B243&lt;=INDEX(YieldCurve!$A$4:$A$63,1),1,IF(B243&gt;=INDEX(YieldCurve!$A$4:$A$63,ROWS(YieldCurve!$A$4:$A$63)),ROWS(YieldCurve!$A$4:$A$63)-1,MATCH(B243,YieldCurve!$A$4:$A$63,1)))</f>
        <v>40</v>
      </c>
      <c r="D243">
        <f>INDEX(YieldCurve!$A$4:$A$63,C243)</f>
        <v>20</v>
      </c>
      <c r="E243">
        <f>INDEX(YieldCurve!$A$4:$A$63,C243+1)</f>
        <v>20.5</v>
      </c>
      <c r="F243">
        <f>INDEX(YieldCurve!$B$4:$B$63,C243)</f>
        <v>5.0087800000000002E-2</v>
      </c>
      <c r="G243">
        <f>INDEX(YieldCurve!$B$4:$B$63,C243+1)</f>
        <v>5.0036659999999997E-2</v>
      </c>
      <c r="H243">
        <f t="shared" si="3"/>
        <v>0</v>
      </c>
      <c r="I243">
        <f>IF(B243&lt;=INDEX(YieldCurve!$A$4:$A$63,1),INDEX(YieldCurve!$B$4:$B$63,1),IF(B243&gt;=INDEX(YieldCurve!$A$4:$A$63,ROWS(YieldCurve!$A$4:$A$63)),INDEX(YieldCurve!$B$4:$B$63,ROWS(YieldCurve!$B$4:$B$63)),F243+H243*(G243-F243)))</f>
        <v>5.0087800000000002E-2</v>
      </c>
      <c r="J243">
        <f>EXP(-(I243+Inputs!$B$9)*B243)</f>
        <v>0.36723401172564907</v>
      </c>
    </row>
    <row r="244" spans="1:10" x14ac:dyDescent="0.35">
      <c r="A244">
        <v>241</v>
      </c>
      <c r="B244">
        <f>A244/Inputs!$B$6</f>
        <v>20.083333333333332</v>
      </c>
      <c r="C244">
        <f>IF(B244&lt;=INDEX(YieldCurve!$A$4:$A$63,1),1,IF(B244&gt;=INDEX(YieldCurve!$A$4:$A$63,ROWS(YieldCurve!$A$4:$A$63)),ROWS(YieldCurve!$A$4:$A$63)-1,MATCH(B244,YieldCurve!$A$4:$A$63,1)))</f>
        <v>40</v>
      </c>
      <c r="D244">
        <f>INDEX(YieldCurve!$A$4:$A$63,C244)</f>
        <v>20</v>
      </c>
      <c r="E244">
        <f>INDEX(YieldCurve!$A$4:$A$63,C244+1)</f>
        <v>20.5</v>
      </c>
      <c r="F244">
        <f>INDEX(YieldCurve!$B$4:$B$63,C244)</f>
        <v>5.0087800000000002E-2</v>
      </c>
      <c r="G244">
        <f>INDEX(YieldCurve!$B$4:$B$63,C244+1)</f>
        <v>5.0036659999999997E-2</v>
      </c>
      <c r="H244">
        <f t="shared" si="3"/>
        <v>0.1666666666666643</v>
      </c>
      <c r="I244">
        <f>IF(B244&lt;=INDEX(YieldCurve!$A$4:$A$63,1),INDEX(YieldCurve!$B$4:$B$63,1),IF(B244&gt;=INDEX(YieldCurve!$A$4:$A$63,ROWS(YieldCurve!$A$4:$A$63)),INDEX(YieldCurve!$B$4:$B$63,ROWS(YieldCurve!$B$4:$B$63)),F244+H244*(G244-F244)))</f>
        <v>5.0079276666666665E-2</v>
      </c>
      <c r="J244">
        <f>EXP(-(I244+Inputs!$B$9)*B244)</f>
        <v>0.36576698315175382</v>
      </c>
    </row>
    <row r="245" spans="1:10" x14ac:dyDescent="0.35">
      <c r="A245">
        <v>242</v>
      </c>
      <c r="B245">
        <f>A245/Inputs!$B$6</f>
        <v>20.166666666666668</v>
      </c>
      <c r="C245">
        <f>IF(B245&lt;=INDEX(YieldCurve!$A$4:$A$63,1),1,IF(B245&gt;=INDEX(YieldCurve!$A$4:$A$63,ROWS(YieldCurve!$A$4:$A$63)),ROWS(YieldCurve!$A$4:$A$63)-1,MATCH(B245,YieldCurve!$A$4:$A$63,1)))</f>
        <v>40</v>
      </c>
      <c r="D245">
        <f>INDEX(YieldCurve!$A$4:$A$63,C245)</f>
        <v>20</v>
      </c>
      <c r="E245">
        <f>INDEX(YieldCurve!$A$4:$A$63,C245+1)</f>
        <v>20.5</v>
      </c>
      <c r="F245">
        <f>INDEX(YieldCurve!$B$4:$B$63,C245)</f>
        <v>5.0087800000000002E-2</v>
      </c>
      <c r="G245">
        <f>INDEX(YieldCurve!$B$4:$B$63,C245+1)</f>
        <v>5.0036659999999997E-2</v>
      </c>
      <c r="H245">
        <f t="shared" si="3"/>
        <v>0.3333333333333357</v>
      </c>
      <c r="I245">
        <f>IF(B245&lt;=INDEX(YieldCurve!$A$4:$A$63,1),INDEX(YieldCurve!$B$4:$B$63,1),IF(B245&gt;=INDEX(YieldCurve!$A$4:$A$63,ROWS(YieldCurve!$A$4:$A$63)),INDEX(YieldCurve!$B$4:$B$63,ROWS(YieldCurve!$B$4:$B$63)),F245+H245*(G245-F245)))</f>
        <v>5.0070753333333336E-2</v>
      </c>
      <c r="J245">
        <f>EXP(-(I245+Inputs!$B$9)*B245)</f>
        <v>0.36430633258918671</v>
      </c>
    </row>
    <row r="246" spans="1:10" x14ac:dyDescent="0.35">
      <c r="A246">
        <v>243</v>
      </c>
      <c r="B246">
        <f>A246/Inputs!$B$6</f>
        <v>20.25</v>
      </c>
      <c r="C246">
        <f>IF(B246&lt;=INDEX(YieldCurve!$A$4:$A$63,1),1,IF(B246&gt;=INDEX(YieldCurve!$A$4:$A$63,ROWS(YieldCurve!$A$4:$A$63)),ROWS(YieldCurve!$A$4:$A$63)-1,MATCH(B246,YieldCurve!$A$4:$A$63,1)))</f>
        <v>40</v>
      </c>
      <c r="D246">
        <f>INDEX(YieldCurve!$A$4:$A$63,C246)</f>
        <v>20</v>
      </c>
      <c r="E246">
        <f>INDEX(YieldCurve!$A$4:$A$63,C246+1)</f>
        <v>20.5</v>
      </c>
      <c r="F246">
        <f>INDEX(YieldCurve!$B$4:$B$63,C246)</f>
        <v>5.0087800000000002E-2</v>
      </c>
      <c r="G246">
        <f>INDEX(YieldCurve!$B$4:$B$63,C246+1)</f>
        <v>5.0036659999999997E-2</v>
      </c>
      <c r="H246">
        <f t="shared" si="3"/>
        <v>0.5</v>
      </c>
      <c r="I246">
        <f>IF(B246&lt;=INDEX(YieldCurve!$A$4:$A$63,1),INDEX(YieldCurve!$B$4:$B$63,1),IF(B246&gt;=INDEX(YieldCurve!$A$4:$A$63,ROWS(YieldCurve!$A$4:$A$63)),INDEX(YieldCurve!$B$4:$B$63,ROWS(YieldCurve!$B$4:$B$63)),F246+H246*(G246-F246)))</f>
        <v>5.0062229999999999E-2</v>
      </c>
      <c r="J246">
        <f>EXP(-(I246+Inputs!$B$9)*B246)</f>
        <v>0.36285203042646796</v>
      </c>
    </row>
    <row r="247" spans="1:10" x14ac:dyDescent="0.35">
      <c r="A247">
        <v>244</v>
      </c>
      <c r="B247">
        <f>A247/Inputs!$B$6</f>
        <v>20.333333333333332</v>
      </c>
      <c r="C247">
        <f>IF(B247&lt;=INDEX(YieldCurve!$A$4:$A$63,1),1,IF(B247&gt;=INDEX(YieldCurve!$A$4:$A$63,ROWS(YieldCurve!$A$4:$A$63)),ROWS(YieldCurve!$A$4:$A$63)-1,MATCH(B247,YieldCurve!$A$4:$A$63,1)))</f>
        <v>40</v>
      </c>
      <c r="D247">
        <f>INDEX(YieldCurve!$A$4:$A$63,C247)</f>
        <v>20</v>
      </c>
      <c r="E247">
        <f>INDEX(YieldCurve!$A$4:$A$63,C247+1)</f>
        <v>20.5</v>
      </c>
      <c r="F247">
        <f>INDEX(YieldCurve!$B$4:$B$63,C247)</f>
        <v>5.0087800000000002E-2</v>
      </c>
      <c r="G247">
        <f>INDEX(YieldCurve!$B$4:$B$63,C247+1)</f>
        <v>5.0036659999999997E-2</v>
      </c>
      <c r="H247">
        <f t="shared" si="3"/>
        <v>0.6666666666666643</v>
      </c>
      <c r="I247">
        <f>IF(B247&lt;=INDEX(YieldCurve!$A$4:$A$63,1),INDEX(YieldCurve!$B$4:$B$63,1),IF(B247&gt;=INDEX(YieldCurve!$A$4:$A$63,ROWS(YieldCurve!$A$4:$A$63)),INDEX(YieldCurve!$B$4:$B$63,ROWS(YieldCurve!$B$4:$B$63)),F247+H247*(G247-F247)))</f>
        <v>5.0053706666666663E-2</v>
      </c>
      <c r="J247">
        <f>EXP(-(I247+Inputs!$B$9)*B247)</f>
        <v>0.3614040471973472</v>
      </c>
    </row>
    <row r="248" spans="1:10" x14ac:dyDescent="0.35">
      <c r="A248">
        <v>245</v>
      </c>
      <c r="B248">
        <f>A248/Inputs!$B$6</f>
        <v>20.416666666666668</v>
      </c>
      <c r="C248">
        <f>IF(B248&lt;=INDEX(YieldCurve!$A$4:$A$63,1),1,IF(B248&gt;=INDEX(YieldCurve!$A$4:$A$63,ROWS(YieldCurve!$A$4:$A$63)),ROWS(YieldCurve!$A$4:$A$63)-1,MATCH(B248,YieldCurve!$A$4:$A$63,1)))</f>
        <v>40</v>
      </c>
      <c r="D248">
        <f>INDEX(YieldCurve!$A$4:$A$63,C248)</f>
        <v>20</v>
      </c>
      <c r="E248">
        <f>INDEX(YieldCurve!$A$4:$A$63,C248+1)</f>
        <v>20.5</v>
      </c>
      <c r="F248">
        <f>INDEX(YieldCurve!$B$4:$B$63,C248)</f>
        <v>5.0087800000000002E-2</v>
      </c>
      <c r="G248">
        <f>INDEX(YieldCurve!$B$4:$B$63,C248+1)</f>
        <v>5.0036659999999997E-2</v>
      </c>
      <c r="H248">
        <f t="shared" si="3"/>
        <v>0.8333333333333357</v>
      </c>
      <c r="I248">
        <f>IF(B248&lt;=INDEX(YieldCurve!$A$4:$A$63,1),INDEX(YieldCurve!$B$4:$B$63,1),IF(B248&gt;=INDEX(YieldCurve!$A$4:$A$63,ROWS(YieldCurve!$A$4:$A$63)),INDEX(YieldCurve!$B$4:$B$63,ROWS(YieldCurve!$B$4:$B$63)),F248+H248*(G248-F248)))</f>
        <v>5.0045183333333333E-2</v>
      </c>
      <c r="J248">
        <f>EXP(-(I248+Inputs!$B$9)*B248)</f>
        <v>0.3599623535800574</v>
      </c>
    </row>
    <row r="249" spans="1:10" x14ac:dyDescent="0.35">
      <c r="A249">
        <v>246</v>
      </c>
      <c r="B249">
        <f>A249/Inputs!$B$6</f>
        <v>20.5</v>
      </c>
      <c r="C249">
        <f>IF(B249&lt;=INDEX(YieldCurve!$A$4:$A$63,1),1,IF(B249&gt;=INDEX(YieldCurve!$A$4:$A$63,ROWS(YieldCurve!$A$4:$A$63)),ROWS(YieldCurve!$A$4:$A$63)-1,MATCH(B249,YieldCurve!$A$4:$A$63,1)))</f>
        <v>41</v>
      </c>
      <c r="D249">
        <f>INDEX(YieldCurve!$A$4:$A$63,C249)</f>
        <v>20.5</v>
      </c>
      <c r="E249">
        <f>INDEX(YieldCurve!$A$4:$A$63,C249+1)</f>
        <v>21</v>
      </c>
      <c r="F249">
        <f>INDEX(YieldCurve!$B$4:$B$63,C249)</f>
        <v>5.0036659999999997E-2</v>
      </c>
      <c r="G249">
        <f>INDEX(YieldCurve!$B$4:$B$63,C249+1)</f>
        <v>4.9988390000000001E-2</v>
      </c>
      <c r="H249">
        <f t="shared" si="3"/>
        <v>0</v>
      </c>
      <c r="I249">
        <f>IF(B249&lt;=INDEX(YieldCurve!$A$4:$A$63,1),INDEX(YieldCurve!$B$4:$B$63,1),IF(B249&gt;=INDEX(YieldCurve!$A$4:$A$63,ROWS(YieldCurve!$A$4:$A$63)),INDEX(YieldCurve!$B$4:$B$63,ROWS(YieldCurve!$B$4:$B$63)),F249+H249*(G249-F249)))</f>
        <v>5.0036659999999997E-2</v>
      </c>
      <c r="J249">
        <f>EXP(-(I249+Inputs!$B$9)*B249)</f>
        <v>0.35852692039657202</v>
      </c>
    </row>
    <row r="250" spans="1:10" x14ac:dyDescent="0.35">
      <c r="A250">
        <v>247</v>
      </c>
      <c r="B250">
        <f>A250/Inputs!$B$6</f>
        <v>20.583333333333332</v>
      </c>
      <c r="C250">
        <f>IF(B250&lt;=INDEX(YieldCurve!$A$4:$A$63,1),1,IF(B250&gt;=INDEX(YieldCurve!$A$4:$A$63,ROWS(YieldCurve!$A$4:$A$63)),ROWS(YieldCurve!$A$4:$A$63)-1,MATCH(B250,YieldCurve!$A$4:$A$63,1)))</f>
        <v>41</v>
      </c>
      <c r="D250">
        <f>INDEX(YieldCurve!$A$4:$A$63,C250)</f>
        <v>20.5</v>
      </c>
      <c r="E250">
        <f>INDEX(YieldCurve!$A$4:$A$63,C250+1)</f>
        <v>21</v>
      </c>
      <c r="F250">
        <f>INDEX(YieldCurve!$B$4:$B$63,C250)</f>
        <v>5.0036659999999997E-2</v>
      </c>
      <c r="G250">
        <f>INDEX(YieldCurve!$B$4:$B$63,C250+1)</f>
        <v>4.9988390000000001E-2</v>
      </c>
      <c r="H250">
        <f t="shared" si="3"/>
        <v>0.1666666666666643</v>
      </c>
      <c r="I250">
        <f>IF(B250&lt;=INDEX(YieldCurve!$A$4:$A$63,1),INDEX(YieldCurve!$B$4:$B$63,1),IF(B250&gt;=INDEX(YieldCurve!$A$4:$A$63,ROWS(YieldCurve!$A$4:$A$63)),INDEX(YieldCurve!$B$4:$B$63,ROWS(YieldCurve!$B$4:$B$63)),F250+H250*(G250-F250)))</f>
        <v>5.0028614999999999E-2</v>
      </c>
      <c r="J250">
        <f>EXP(-(I250+Inputs!$B$9)*B250)</f>
        <v>0.35709420275414983</v>
      </c>
    </row>
    <row r="251" spans="1:10" x14ac:dyDescent="0.35">
      <c r="A251">
        <v>248</v>
      </c>
      <c r="B251">
        <f>A251/Inputs!$B$6</f>
        <v>20.666666666666668</v>
      </c>
      <c r="C251">
        <f>IF(B251&lt;=INDEX(YieldCurve!$A$4:$A$63,1),1,IF(B251&gt;=INDEX(YieldCurve!$A$4:$A$63,ROWS(YieldCurve!$A$4:$A$63)),ROWS(YieldCurve!$A$4:$A$63)-1,MATCH(B251,YieldCurve!$A$4:$A$63,1)))</f>
        <v>41</v>
      </c>
      <c r="D251">
        <f>INDEX(YieldCurve!$A$4:$A$63,C251)</f>
        <v>20.5</v>
      </c>
      <c r="E251">
        <f>INDEX(YieldCurve!$A$4:$A$63,C251+1)</f>
        <v>21</v>
      </c>
      <c r="F251">
        <f>INDEX(YieldCurve!$B$4:$B$63,C251)</f>
        <v>5.0036659999999997E-2</v>
      </c>
      <c r="G251">
        <f>INDEX(YieldCurve!$B$4:$B$63,C251+1)</f>
        <v>4.9988390000000001E-2</v>
      </c>
      <c r="H251">
        <f t="shared" si="3"/>
        <v>0.3333333333333357</v>
      </c>
      <c r="I251">
        <f>IF(B251&lt;=INDEX(YieldCurve!$A$4:$A$63,1),INDEX(YieldCurve!$B$4:$B$63,1),IF(B251&gt;=INDEX(YieldCurve!$A$4:$A$63,ROWS(YieldCurve!$A$4:$A$63)),INDEX(YieldCurve!$B$4:$B$63,ROWS(YieldCurve!$B$4:$B$63)),F251+H251*(G251-F251)))</f>
        <v>5.002057E-2</v>
      </c>
      <c r="J251">
        <f>EXP(-(I251+Inputs!$B$9)*B251)</f>
        <v>0.35566768731830084</v>
      </c>
    </row>
    <row r="252" spans="1:10" x14ac:dyDescent="0.35">
      <c r="A252">
        <v>249</v>
      </c>
      <c r="B252">
        <f>A252/Inputs!$B$6</f>
        <v>20.75</v>
      </c>
      <c r="C252">
        <f>IF(B252&lt;=INDEX(YieldCurve!$A$4:$A$63,1),1,IF(B252&gt;=INDEX(YieldCurve!$A$4:$A$63,ROWS(YieldCurve!$A$4:$A$63)),ROWS(YieldCurve!$A$4:$A$63)-1,MATCH(B252,YieldCurve!$A$4:$A$63,1)))</f>
        <v>41</v>
      </c>
      <c r="D252">
        <f>INDEX(YieldCurve!$A$4:$A$63,C252)</f>
        <v>20.5</v>
      </c>
      <c r="E252">
        <f>INDEX(YieldCurve!$A$4:$A$63,C252+1)</f>
        <v>21</v>
      </c>
      <c r="F252">
        <f>INDEX(YieldCurve!$B$4:$B$63,C252)</f>
        <v>5.0036659999999997E-2</v>
      </c>
      <c r="G252">
        <f>INDEX(YieldCurve!$B$4:$B$63,C252+1)</f>
        <v>4.9988390000000001E-2</v>
      </c>
      <c r="H252">
        <f t="shared" si="3"/>
        <v>0.5</v>
      </c>
      <c r="I252">
        <f>IF(B252&lt;=INDEX(YieldCurve!$A$4:$A$63,1),INDEX(YieldCurve!$B$4:$B$63,1),IF(B252&gt;=INDEX(YieldCurve!$A$4:$A$63,ROWS(YieldCurve!$A$4:$A$63)),INDEX(YieldCurve!$B$4:$B$63,ROWS(YieldCurve!$B$4:$B$63)),F252+H252*(G252-F252)))</f>
        <v>5.0012525000000002E-2</v>
      </c>
      <c r="J252">
        <f>EXP(-(I252+Inputs!$B$9)*B252)</f>
        <v>0.35424734549472781</v>
      </c>
    </row>
    <row r="253" spans="1:10" x14ac:dyDescent="0.35">
      <c r="A253">
        <v>250</v>
      </c>
      <c r="B253">
        <f>A253/Inputs!$B$6</f>
        <v>20.833333333333332</v>
      </c>
      <c r="C253">
        <f>IF(B253&lt;=INDEX(YieldCurve!$A$4:$A$63,1),1,IF(B253&gt;=INDEX(YieldCurve!$A$4:$A$63,ROWS(YieldCurve!$A$4:$A$63)),ROWS(YieldCurve!$A$4:$A$63)-1,MATCH(B253,YieldCurve!$A$4:$A$63,1)))</f>
        <v>41</v>
      </c>
      <c r="D253">
        <f>INDEX(YieldCurve!$A$4:$A$63,C253)</f>
        <v>20.5</v>
      </c>
      <c r="E253">
        <f>INDEX(YieldCurve!$A$4:$A$63,C253+1)</f>
        <v>21</v>
      </c>
      <c r="F253">
        <f>INDEX(YieldCurve!$B$4:$B$63,C253)</f>
        <v>5.0036659999999997E-2</v>
      </c>
      <c r="G253">
        <f>INDEX(YieldCurve!$B$4:$B$63,C253+1)</f>
        <v>4.9988390000000001E-2</v>
      </c>
      <c r="H253">
        <f t="shared" si="3"/>
        <v>0.6666666666666643</v>
      </c>
      <c r="I253">
        <f>IF(B253&lt;=INDEX(YieldCurve!$A$4:$A$63,1),INDEX(YieldCurve!$B$4:$B$63,1),IF(B253&gt;=INDEX(YieldCurve!$A$4:$A$63,ROWS(YieldCurve!$A$4:$A$63)),INDEX(YieldCurve!$B$4:$B$63,ROWS(YieldCurve!$B$4:$B$63)),F253+H253*(G253-F253)))</f>
        <v>5.0004479999999997E-2</v>
      </c>
      <c r="J253">
        <f>EXP(-(I253+Inputs!$B$9)*B253)</f>
        <v>0.35283314882812616</v>
      </c>
    </row>
    <row r="254" spans="1:10" x14ac:dyDescent="0.35">
      <c r="A254">
        <v>251</v>
      </c>
      <c r="B254">
        <f>A254/Inputs!$B$6</f>
        <v>20.916666666666668</v>
      </c>
      <c r="C254">
        <f>IF(B254&lt;=INDEX(YieldCurve!$A$4:$A$63,1),1,IF(B254&gt;=INDEX(YieldCurve!$A$4:$A$63,ROWS(YieldCurve!$A$4:$A$63)),ROWS(YieldCurve!$A$4:$A$63)-1,MATCH(B254,YieldCurve!$A$4:$A$63,1)))</f>
        <v>41</v>
      </c>
      <c r="D254">
        <f>INDEX(YieldCurve!$A$4:$A$63,C254)</f>
        <v>20.5</v>
      </c>
      <c r="E254">
        <f>INDEX(YieldCurve!$A$4:$A$63,C254+1)</f>
        <v>21</v>
      </c>
      <c r="F254">
        <f>INDEX(YieldCurve!$B$4:$B$63,C254)</f>
        <v>5.0036659999999997E-2</v>
      </c>
      <c r="G254">
        <f>INDEX(YieldCurve!$B$4:$B$63,C254+1)</f>
        <v>4.9988390000000001E-2</v>
      </c>
      <c r="H254">
        <f t="shared" si="3"/>
        <v>0.8333333333333357</v>
      </c>
      <c r="I254">
        <f>IF(B254&lt;=INDEX(YieldCurve!$A$4:$A$63,1),INDEX(YieldCurve!$B$4:$B$63,1),IF(B254&gt;=INDEX(YieldCurve!$A$4:$A$63,ROWS(YieldCurve!$A$4:$A$63)),INDEX(YieldCurve!$B$4:$B$63,ROWS(YieldCurve!$B$4:$B$63)),F254+H254*(G254-F254)))</f>
        <v>4.9996434999999999E-2</v>
      </c>
      <c r="J254">
        <f>EXP(-(I254+Inputs!$B$9)*B254)</f>
        <v>0.35142506900147646</v>
      </c>
    </row>
    <row r="255" spans="1:10" x14ac:dyDescent="0.35">
      <c r="A255">
        <v>252</v>
      </c>
      <c r="B255">
        <f>A255/Inputs!$B$6</f>
        <v>21</v>
      </c>
      <c r="C255">
        <f>IF(B255&lt;=INDEX(YieldCurve!$A$4:$A$63,1),1,IF(B255&gt;=INDEX(YieldCurve!$A$4:$A$63,ROWS(YieldCurve!$A$4:$A$63)),ROWS(YieldCurve!$A$4:$A$63)-1,MATCH(B255,YieldCurve!$A$4:$A$63,1)))</f>
        <v>42</v>
      </c>
      <c r="D255">
        <f>INDEX(YieldCurve!$A$4:$A$63,C255)</f>
        <v>21</v>
      </c>
      <c r="E255">
        <f>INDEX(YieldCurve!$A$4:$A$63,C255+1)</f>
        <v>21.5</v>
      </c>
      <c r="F255">
        <f>INDEX(YieldCurve!$B$4:$B$63,C255)</f>
        <v>4.9988390000000001E-2</v>
      </c>
      <c r="G255">
        <f>INDEX(YieldCurve!$B$4:$B$63,C255+1)</f>
        <v>4.9942800000000002E-2</v>
      </c>
      <c r="H255">
        <f t="shared" si="3"/>
        <v>0</v>
      </c>
      <c r="I255">
        <f>IF(B255&lt;=INDEX(YieldCurve!$A$4:$A$63,1),INDEX(YieldCurve!$B$4:$B$63,1),IF(B255&gt;=INDEX(YieldCurve!$A$4:$A$63,ROWS(YieldCurve!$A$4:$A$63)),INDEX(YieldCurve!$B$4:$B$63,ROWS(YieldCurve!$B$4:$B$63)),F255+H255*(G255-F255)))</f>
        <v>4.9988390000000001E-2</v>
      </c>
      <c r="J255">
        <f>EXP(-(I255+Inputs!$B$9)*B255)</f>
        <v>0.35002307783534153</v>
      </c>
    </row>
    <row r="256" spans="1:10" x14ac:dyDescent="0.35">
      <c r="A256">
        <v>253</v>
      </c>
      <c r="B256">
        <f>A256/Inputs!$B$6</f>
        <v>21.083333333333332</v>
      </c>
      <c r="C256">
        <f>IF(B256&lt;=INDEX(YieldCurve!$A$4:$A$63,1),1,IF(B256&gt;=INDEX(YieldCurve!$A$4:$A$63,ROWS(YieldCurve!$A$4:$A$63)),ROWS(YieldCurve!$A$4:$A$63)-1,MATCH(B256,YieldCurve!$A$4:$A$63,1)))</f>
        <v>42</v>
      </c>
      <c r="D256">
        <f>INDEX(YieldCurve!$A$4:$A$63,C256)</f>
        <v>21</v>
      </c>
      <c r="E256">
        <f>INDEX(YieldCurve!$A$4:$A$63,C256+1)</f>
        <v>21.5</v>
      </c>
      <c r="F256">
        <f>INDEX(YieldCurve!$B$4:$B$63,C256)</f>
        <v>4.9988390000000001E-2</v>
      </c>
      <c r="G256">
        <f>INDEX(YieldCurve!$B$4:$B$63,C256+1)</f>
        <v>4.9942800000000002E-2</v>
      </c>
      <c r="H256">
        <f t="shared" si="3"/>
        <v>0.1666666666666643</v>
      </c>
      <c r="I256">
        <f>IF(B256&lt;=INDEX(YieldCurve!$A$4:$A$63,1),INDEX(YieldCurve!$B$4:$B$63,1),IF(B256&gt;=INDEX(YieldCurve!$A$4:$A$63,ROWS(YieldCurve!$A$4:$A$63)),INDEX(YieldCurve!$B$4:$B$63,ROWS(YieldCurve!$B$4:$B$63)),F256+H256*(G256-F256)))</f>
        <v>4.998079166666667E-2</v>
      </c>
      <c r="J256">
        <f>EXP(-(I256+Inputs!$B$9)*B256)</f>
        <v>0.34862386420330616</v>
      </c>
    </row>
    <row r="257" spans="1:10" x14ac:dyDescent="0.35">
      <c r="A257">
        <v>254</v>
      </c>
      <c r="B257">
        <f>A257/Inputs!$B$6</f>
        <v>21.166666666666668</v>
      </c>
      <c r="C257">
        <f>IF(B257&lt;=INDEX(YieldCurve!$A$4:$A$63,1),1,IF(B257&gt;=INDEX(YieldCurve!$A$4:$A$63,ROWS(YieldCurve!$A$4:$A$63)),ROWS(YieldCurve!$A$4:$A$63)-1,MATCH(B257,YieldCurve!$A$4:$A$63,1)))</f>
        <v>42</v>
      </c>
      <c r="D257">
        <f>INDEX(YieldCurve!$A$4:$A$63,C257)</f>
        <v>21</v>
      </c>
      <c r="E257">
        <f>INDEX(YieldCurve!$A$4:$A$63,C257+1)</f>
        <v>21.5</v>
      </c>
      <c r="F257">
        <f>INDEX(YieldCurve!$B$4:$B$63,C257)</f>
        <v>4.9988390000000001E-2</v>
      </c>
      <c r="G257">
        <f>INDEX(YieldCurve!$B$4:$B$63,C257+1)</f>
        <v>4.9942800000000002E-2</v>
      </c>
      <c r="H257">
        <f t="shared" si="3"/>
        <v>0.3333333333333357</v>
      </c>
      <c r="I257">
        <f>IF(B257&lt;=INDEX(YieldCurve!$A$4:$A$63,1),INDEX(YieldCurve!$B$4:$B$63,1),IF(B257&gt;=INDEX(YieldCurve!$A$4:$A$63,ROWS(YieldCurve!$A$4:$A$63)),INDEX(YieldCurve!$B$4:$B$63,ROWS(YieldCurve!$B$4:$B$63)),F257+H257*(G257-F257)))</f>
        <v>4.9973193333333332E-2</v>
      </c>
      <c r="J257">
        <f>EXP(-(I257+Inputs!$B$9)*B257)</f>
        <v>0.3472306836420887</v>
      </c>
    </row>
    <row r="258" spans="1:10" x14ac:dyDescent="0.35">
      <c r="A258">
        <v>255</v>
      </c>
      <c r="B258">
        <f>A258/Inputs!$B$6</f>
        <v>21.25</v>
      </c>
      <c r="C258">
        <f>IF(B258&lt;=INDEX(YieldCurve!$A$4:$A$63,1),1,IF(B258&gt;=INDEX(YieldCurve!$A$4:$A$63,ROWS(YieldCurve!$A$4:$A$63)),ROWS(YieldCurve!$A$4:$A$63)-1,MATCH(B258,YieldCurve!$A$4:$A$63,1)))</f>
        <v>42</v>
      </c>
      <c r="D258">
        <f>INDEX(YieldCurve!$A$4:$A$63,C258)</f>
        <v>21</v>
      </c>
      <c r="E258">
        <f>INDEX(YieldCurve!$A$4:$A$63,C258+1)</f>
        <v>21.5</v>
      </c>
      <c r="F258">
        <f>INDEX(YieldCurve!$B$4:$B$63,C258)</f>
        <v>4.9988390000000001E-2</v>
      </c>
      <c r="G258">
        <f>INDEX(YieldCurve!$B$4:$B$63,C258+1)</f>
        <v>4.9942800000000002E-2</v>
      </c>
      <c r="H258">
        <f t="shared" si="3"/>
        <v>0.5</v>
      </c>
      <c r="I258">
        <f>IF(B258&lt;=INDEX(YieldCurve!$A$4:$A$63,1),INDEX(YieldCurve!$B$4:$B$63,1),IF(B258&gt;=INDEX(YieldCurve!$A$4:$A$63,ROWS(YieldCurve!$A$4:$A$63)),INDEX(YieldCurve!$B$4:$B$63,ROWS(YieldCurve!$B$4:$B$63)),F258+H258*(G258-F258)))</f>
        <v>4.9965595000000002E-2</v>
      </c>
      <c r="J258">
        <f>EXP(-(I258+Inputs!$B$9)*B258)</f>
        <v>0.34584350852059226</v>
      </c>
    </row>
    <row r="259" spans="1:10" x14ac:dyDescent="0.35">
      <c r="A259">
        <v>256</v>
      </c>
      <c r="B259">
        <f>A259/Inputs!$B$6</f>
        <v>21.333333333333332</v>
      </c>
      <c r="C259">
        <f>IF(B259&lt;=INDEX(YieldCurve!$A$4:$A$63,1),1,IF(B259&gt;=INDEX(YieldCurve!$A$4:$A$63,ROWS(YieldCurve!$A$4:$A$63)),ROWS(YieldCurve!$A$4:$A$63)-1,MATCH(B259,YieldCurve!$A$4:$A$63,1)))</f>
        <v>42</v>
      </c>
      <c r="D259">
        <f>INDEX(YieldCurve!$A$4:$A$63,C259)</f>
        <v>21</v>
      </c>
      <c r="E259">
        <f>INDEX(YieldCurve!$A$4:$A$63,C259+1)</f>
        <v>21.5</v>
      </c>
      <c r="F259">
        <f>INDEX(YieldCurve!$B$4:$B$63,C259)</f>
        <v>4.9988390000000001E-2</v>
      </c>
      <c r="G259">
        <f>INDEX(YieldCurve!$B$4:$B$63,C259+1)</f>
        <v>4.9942800000000002E-2</v>
      </c>
      <c r="H259">
        <f t="shared" si="3"/>
        <v>0.6666666666666643</v>
      </c>
      <c r="I259">
        <f>IF(B259&lt;=INDEX(YieldCurve!$A$4:$A$63,1),INDEX(YieldCurve!$B$4:$B$63,1),IF(B259&gt;=INDEX(YieldCurve!$A$4:$A$63,ROWS(YieldCurve!$A$4:$A$63)),INDEX(YieldCurve!$B$4:$B$63,ROWS(YieldCurve!$B$4:$B$63)),F259+H259*(G259-F259)))</f>
        <v>4.9957996666666671E-2</v>
      </c>
      <c r="J259">
        <f>EXP(-(I259+Inputs!$B$9)*B259)</f>
        <v>0.34446231134089272</v>
      </c>
    </row>
    <row r="260" spans="1:10" x14ac:dyDescent="0.35">
      <c r="A260">
        <v>257</v>
      </c>
      <c r="B260">
        <f>A260/Inputs!$B$6</f>
        <v>21.416666666666668</v>
      </c>
      <c r="C260">
        <f>IF(B260&lt;=INDEX(YieldCurve!$A$4:$A$63,1),1,IF(B260&gt;=INDEX(YieldCurve!$A$4:$A$63,ROWS(YieldCurve!$A$4:$A$63)),ROWS(YieldCurve!$A$4:$A$63)-1,MATCH(B260,YieldCurve!$A$4:$A$63,1)))</f>
        <v>42</v>
      </c>
      <c r="D260">
        <f>INDEX(YieldCurve!$A$4:$A$63,C260)</f>
        <v>21</v>
      </c>
      <c r="E260">
        <f>INDEX(YieldCurve!$A$4:$A$63,C260+1)</f>
        <v>21.5</v>
      </c>
      <c r="F260">
        <f>INDEX(YieldCurve!$B$4:$B$63,C260)</f>
        <v>4.9988390000000001E-2</v>
      </c>
      <c r="G260">
        <f>INDEX(YieldCurve!$B$4:$B$63,C260+1)</f>
        <v>4.9942800000000002E-2</v>
      </c>
      <c r="H260">
        <f t="shared" ref="H260:H323" si="4">IF(E260=D260,0,(B260-D260)/(E260-D260))</f>
        <v>0.8333333333333357</v>
      </c>
      <c r="I260">
        <f>IF(B260&lt;=INDEX(YieldCurve!$A$4:$A$63,1),INDEX(YieldCurve!$B$4:$B$63,1),IF(B260&gt;=INDEX(YieldCurve!$A$4:$A$63,ROWS(YieldCurve!$A$4:$A$63)),INDEX(YieldCurve!$B$4:$B$63,ROWS(YieldCurve!$B$4:$B$63)),F260+H260*(G260-F260)))</f>
        <v>4.9950398333333333E-2</v>
      </c>
      <c r="J260">
        <f>EXP(-(I260+Inputs!$B$9)*B260)</f>
        <v>0.34308706473756795</v>
      </c>
    </row>
    <row r="261" spans="1:10" x14ac:dyDescent="0.35">
      <c r="A261">
        <v>258</v>
      </c>
      <c r="B261">
        <f>A261/Inputs!$B$6</f>
        <v>21.5</v>
      </c>
      <c r="C261">
        <f>IF(B261&lt;=INDEX(YieldCurve!$A$4:$A$63,1),1,IF(B261&gt;=INDEX(YieldCurve!$A$4:$A$63,ROWS(YieldCurve!$A$4:$A$63)),ROWS(YieldCurve!$A$4:$A$63)-1,MATCH(B261,YieldCurve!$A$4:$A$63,1)))</f>
        <v>43</v>
      </c>
      <c r="D261">
        <f>INDEX(YieldCurve!$A$4:$A$63,C261)</f>
        <v>21.5</v>
      </c>
      <c r="E261">
        <f>INDEX(YieldCurve!$A$4:$A$63,C261+1)</f>
        <v>22</v>
      </c>
      <c r="F261">
        <f>INDEX(YieldCurve!$B$4:$B$63,C261)</f>
        <v>4.9942800000000002E-2</v>
      </c>
      <c r="G261">
        <f>INDEX(YieldCurve!$B$4:$B$63,C261+1)</f>
        <v>4.9899720000000002E-2</v>
      </c>
      <c r="H261">
        <f t="shared" si="4"/>
        <v>0</v>
      </c>
      <c r="I261">
        <f>IF(B261&lt;=INDEX(YieldCurve!$A$4:$A$63,1),INDEX(YieldCurve!$B$4:$B$63,1),IF(B261&gt;=INDEX(YieldCurve!$A$4:$A$63,ROWS(YieldCurve!$A$4:$A$63)),INDEX(YieldCurve!$B$4:$B$63,ROWS(YieldCurve!$B$4:$B$63)),F261+H261*(G261-F261)))</f>
        <v>4.9942800000000002E-2</v>
      </c>
      <c r="J261">
        <f>EXP(-(I261+Inputs!$B$9)*B261)</f>
        <v>0.34171774147702993</v>
      </c>
    </row>
    <row r="262" spans="1:10" x14ac:dyDescent="0.35">
      <c r="A262">
        <v>259</v>
      </c>
      <c r="B262">
        <f>A262/Inputs!$B$6</f>
        <v>21.583333333333332</v>
      </c>
      <c r="C262">
        <f>IF(B262&lt;=INDEX(YieldCurve!$A$4:$A$63,1),1,IF(B262&gt;=INDEX(YieldCurve!$A$4:$A$63,ROWS(YieldCurve!$A$4:$A$63)),ROWS(YieldCurve!$A$4:$A$63)-1,MATCH(B262,YieldCurve!$A$4:$A$63,1)))</f>
        <v>43</v>
      </c>
      <c r="D262">
        <f>INDEX(YieldCurve!$A$4:$A$63,C262)</f>
        <v>21.5</v>
      </c>
      <c r="E262">
        <f>INDEX(YieldCurve!$A$4:$A$63,C262+1)</f>
        <v>22</v>
      </c>
      <c r="F262">
        <f>INDEX(YieldCurve!$B$4:$B$63,C262)</f>
        <v>4.9942800000000002E-2</v>
      </c>
      <c r="G262">
        <f>INDEX(YieldCurve!$B$4:$B$63,C262+1)</f>
        <v>4.9899720000000002E-2</v>
      </c>
      <c r="H262">
        <f t="shared" si="4"/>
        <v>0.1666666666666643</v>
      </c>
      <c r="I262">
        <f>IF(B262&lt;=INDEX(YieldCurve!$A$4:$A$63,1),INDEX(YieldCurve!$B$4:$B$63,1),IF(B262&gt;=INDEX(YieldCurve!$A$4:$A$63,ROWS(YieldCurve!$A$4:$A$63)),INDEX(YieldCurve!$B$4:$B$63,ROWS(YieldCurve!$B$4:$B$63)),F262+H262*(G262-F262)))</f>
        <v>4.993562E-2</v>
      </c>
      <c r="J262">
        <f>EXP(-(I262+Inputs!$B$9)*B262)</f>
        <v>0.34035124140217488</v>
      </c>
    </row>
    <row r="263" spans="1:10" x14ac:dyDescent="0.35">
      <c r="A263">
        <v>260</v>
      </c>
      <c r="B263">
        <f>A263/Inputs!$B$6</f>
        <v>21.666666666666668</v>
      </c>
      <c r="C263">
        <f>IF(B263&lt;=INDEX(YieldCurve!$A$4:$A$63,1),1,IF(B263&gt;=INDEX(YieldCurve!$A$4:$A$63,ROWS(YieldCurve!$A$4:$A$63)),ROWS(YieldCurve!$A$4:$A$63)-1,MATCH(B263,YieldCurve!$A$4:$A$63,1)))</f>
        <v>43</v>
      </c>
      <c r="D263">
        <f>INDEX(YieldCurve!$A$4:$A$63,C263)</f>
        <v>21.5</v>
      </c>
      <c r="E263">
        <f>INDEX(YieldCurve!$A$4:$A$63,C263+1)</f>
        <v>22</v>
      </c>
      <c r="F263">
        <f>INDEX(YieldCurve!$B$4:$B$63,C263)</f>
        <v>4.9942800000000002E-2</v>
      </c>
      <c r="G263">
        <f>INDEX(YieldCurve!$B$4:$B$63,C263+1)</f>
        <v>4.9899720000000002E-2</v>
      </c>
      <c r="H263">
        <f t="shared" si="4"/>
        <v>0.3333333333333357</v>
      </c>
      <c r="I263">
        <f>IF(B263&lt;=INDEX(YieldCurve!$A$4:$A$63,1),INDEX(YieldCurve!$B$4:$B$63,1),IF(B263&gt;=INDEX(YieldCurve!$A$4:$A$63,ROWS(YieldCurve!$A$4:$A$63)),INDEX(YieldCurve!$B$4:$B$63,ROWS(YieldCurve!$B$4:$B$63)),F263+H263*(G263-F263)))</f>
        <v>4.9928440000000004E-2</v>
      </c>
      <c r="J263">
        <f>EXP(-(I263+Inputs!$B$9)*B263)</f>
        <v>0.33899061150297988</v>
      </c>
    </row>
    <row r="264" spans="1:10" x14ac:dyDescent="0.35">
      <c r="A264">
        <v>261</v>
      </c>
      <c r="B264">
        <f>A264/Inputs!$B$6</f>
        <v>21.75</v>
      </c>
      <c r="C264">
        <f>IF(B264&lt;=INDEX(YieldCurve!$A$4:$A$63,1),1,IF(B264&gt;=INDEX(YieldCurve!$A$4:$A$63,ROWS(YieldCurve!$A$4:$A$63)),ROWS(YieldCurve!$A$4:$A$63)-1,MATCH(B264,YieldCurve!$A$4:$A$63,1)))</f>
        <v>43</v>
      </c>
      <c r="D264">
        <f>INDEX(YieldCurve!$A$4:$A$63,C264)</f>
        <v>21.5</v>
      </c>
      <c r="E264">
        <f>INDEX(YieldCurve!$A$4:$A$63,C264+1)</f>
        <v>22</v>
      </c>
      <c r="F264">
        <f>INDEX(YieldCurve!$B$4:$B$63,C264)</f>
        <v>4.9942800000000002E-2</v>
      </c>
      <c r="G264">
        <f>INDEX(YieldCurve!$B$4:$B$63,C264+1)</f>
        <v>4.9899720000000002E-2</v>
      </c>
      <c r="H264">
        <f t="shared" si="4"/>
        <v>0.5</v>
      </c>
      <c r="I264">
        <f>IF(B264&lt;=INDEX(YieldCurve!$A$4:$A$63,1),INDEX(YieldCurve!$B$4:$B$63,1),IF(B264&gt;=INDEX(YieldCurve!$A$4:$A$63,ROWS(YieldCurve!$A$4:$A$63)),INDEX(YieldCurve!$B$4:$B$63,ROWS(YieldCurve!$B$4:$B$63)),F264+H264*(G264-F264)))</f>
        <v>4.9921260000000002E-2</v>
      </c>
      <c r="J264">
        <f>EXP(-(I264+Inputs!$B$9)*B264)</f>
        <v>0.33763582506217671</v>
      </c>
    </row>
    <row r="265" spans="1:10" x14ac:dyDescent="0.35">
      <c r="A265">
        <v>262</v>
      </c>
      <c r="B265">
        <f>A265/Inputs!$B$6</f>
        <v>21.833333333333332</v>
      </c>
      <c r="C265">
        <f>IF(B265&lt;=INDEX(YieldCurve!$A$4:$A$63,1),1,IF(B265&gt;=INDEX(YieldCurve!$A$4:$A$63,ROWS(YieldCurve!$A$4:$A$63)),ROWS(YieldCurve!$A$4:$A$63)-1,MATCH(B265,YieldCurve!$A$4:$A$63,1)))</f>
        <v>43</v>
      </c>
      <c r="D265">
        <f>INDEX(YieldCurve!$A$4:$A$63,C265)</f>
        <v>21.5</v>
      </c>
      <c r="E265">
        <f>INDEX(YieldCurve!$A$4:$A$63,C265+1)</f>
        <v>22</v>
      </c>
      <c r="F265">
        <f>INDEX(YieldCurve!$B$4:$B$63,C265)</f>
        <v>4.9942800000000002E-2</v>
      </c>
      <c r="G265">
        <f>INDEX(YieldCurve!$B$4:$B$63,C265+1)</f>
        <v>4.9899720000000002E-2</v>
      </c>
      <c r="H265">
        <f t="shared" si="4"/>
        <v>0.6666666666666643</v>
      </c>
      <c r="I265">
        <f>IF(B265&lt;=INDEX(YieldCurve!$A$4:$A$63,1),INDEX(YieldCurve!$B$4:$B$63,1),IF(B265&gt;=INDEX(YieldCurve!$A$4:$A$63,ROWS(YieldCurve!$A$4:$A$63)),INDEX(YieldCurve!$B$4:$B$63,ROWS(YieldCurve!$B$4:$B$63)),F265+H265*(G265-F265)))</f>
        <v>4.991408E-2</v>
      </c>
      <c r="J265">
        <f>EXP(-(I265+Inputs!$B$9)*B265)</f>
        <v>0.3362868554902253</v>
      </c>
    </row>
    <row r="266" spans="1:10" x14ac:dyDescent="0.35">
      <c r="A266">
        <v>263</v>
      </c>
      <c r="B266">
        <f>A266/Inputs!$B$6</f>
        <v>21.916666666666668</v>
      </c>
      <c r="C266">
        <f>IF(B266&lt;=INDEX(YieldCurve!$A$4:$A$63,1),1,IF(B266&gt;=INDEX(YieldCurve!$A$4:$A$63,ROWS(YieldCurve!$A$4:$A$63)),ROWS(YieldCurve!$A$4:$A$63)-1,MATCH(B266,YieldCurve!$A$4:$A$63,1)))</f>
        <v>43</v>
      </c>
      <c r="D266">
        <f>INDEX(YieldCurve!$A$4:$A$63,C266)</f>
        <v>21.5</v>
      </c>
      <c r="E266">
        <f>INDEX(YieldCurve!$A$4:$A$63,C266+1)</f>
        <v>22</v>
      </c>
      <c r="F266">
        <f>INDEX(YieldCurve!$B$4:$B$63,C266)</f>
        <v>4.9942800000000002E-2</v>
      </c>
      <c r="G266">
        <f>INDEX(YieldCurve!$B$4:$B$63,C266+1)</f>
        <v>4.9899720000000002E-2</v>
      </c>
      <c r="H266">
        <f t="shared" si="4"/>
        <v>0.8333333333333357</v>
      </c>
      <c r="I266">
        <f>IF(B266&lt;=INDEX(YieldCurve!$A$4:$A$63,1),INDEX(YieldCurve!$B$4:$B$63,1),IF(B266&gt;=INDEX(YieldCurve!$A$4:$A$63,ROWS(YieldCurve!$A$4:$A$63)),INDEX(YieldCurve!$B$4:$B$63,ROWS(YieldCurve!$B$4:$B$63)),F266+H266*(G266-F266)))</f>
        <v>4.9906900000000004E-2</v>
      </c>
      <c r="J266">
        <f>EXP(-(I266+Inputs!$B$9)*B266)</f>
        <v>0.33494367632467636</v>
      </c>
    </row>
    <row r="267" spans="1:10" x14ac:dyDescent="0.35">
      <c r="A267">
        <v>264</v>
      </c>
      <c r="B267">
        <f>A267/Inputs!$B$6</f>
        <v>22</v>
      </c>
      <c r="C267">
        <f>IF(B267&lt;=INDEX(YieldCurve!$A$4:$A$63,1),1,IF(B267&gt;=INDEX(YieldCurve!$A$4:$A$63,ROWS(YieldCurve!$A$4:$A$63)),ROWS(YieldCurve!$A$4:$A$63)-1,MATCH(B267,YieldCurve!$A$4:$A$63,1)))</f>
        <v>44</v>
      </c>
      <c r="D267">
        <f>INDEX(YieldCurve!$A$4:$A$63,C267)</f>
        <v>22</v>
      </c>
      <c r="E267">
        <f>INDEX(YieldCurve!$A$4:$A$63,C267+1)</f>
        <v>22.5</v>
      </c>
      <c r="F267">
        <f>INDEX(YieldCurve!$B$4:$B$63,C267)</f>
        <v>4.9899720000000002E-2</v>
      </c>
      <c r="G267">
        <f>INDEX(YieldCurve!$B$4:$B$63,C267+1)</f>
        <v>4.9859000000000001E-2</v>
      </c>
      <c r="H267">
        <f t="shared" si="4"/>
        <v>0</v>
      </c>
      <c r="I267">
        <f>IF(B267&lt;=INDEX(YieldCurve!$A$4:$A$63,1),INDEX(YieldCurve!$B$4:$B$63,1),IF(B267&gt;=INDEX(YieldCurve!$A$4:$A$63,ROWS(YieldCurve!$A$4:$A$63)),INDEX(YieldCurve!$B$4:$B$63,ROWS(YieldCurve!$B$4:$B$63)),F267+H267*(G267-F267)))</f>
        <v>4.9899720000000002E-2</v>
      </c>
      <c r="J267">
        <f>EXP(-(I267+Inputs!$B$9)*B267)</f>
        <v>0.3336062612295379</v>
      </c>
    </row>
    <row r="268" spans="1:10" x14ac:dyDescent="0.35">
      <c r="A268">
        <v>265</v>
      </c>
      <c r="B268">
        <f>A268/Inputs!$B$6</f>
        <v>22.083333333333332</v>
      </c>
      <c r="C268">
        <f>IF(B268&lt;=INDEX(YieldCurve!$A$4:$A$63,1),1,IF(B268&gt;=INDEX(YieldCurve!$A$4:$A$63,ROWS(YieldCurve!$A$4:$A$63)),ROWS(YieldCurve!$A$4:$A$63)-1,MATCH(B268,YieldCurve!$A$4:$A$63,1)))</f>
        <v>44</v>
      </c>
      <c r="D268">
        <f>INDEX(YieldCurve!$A$4:$A$63,C268)</f>
        <v>22</v>
      </c>
      <c r="E268">
        <f>INDEX(YieldCurve!$A$4:$A$63,C268+1)</f>
        <v>22.5</v>
      </c>
      <c r="F268">
        <f>INDEX(YieldCurve!$B$4:$B$63,C268)</f>
        <v>4.9899720000000002E-2</v>
      </c>
      <c r="G268">
        <f>INDEX(YieldCurve!$B$4:$B$63,C268+1)</f>
        <v>4.9859000000000001E-2</v>
      </c>
      <c r="H268">
        <f t="shared" si="4"/>
        <v>0.1666666666666643</v>
      </c>
      <c r="I268">
        <f>IF(B268&lt;=INDEX(YieldCurve!$A$4:$A$63,1),INDEX(YieldCurve!$B$4:$B$63,1),IF(B268&gt;=INDEX(YieldCurve!$A$4:$A$63,ROWS(YieldCurve!$A$4:$A$63)),INDEX(YieldCurve!$B$4:$B$63,ROWS(YieldCurve!$B$4:$B$63)),F268+H268*(G268-F268)))</f>
        <v>4.9892933333333334E-2</v>
      </c>
      <c r="J268">
        <f>EXP(-(I268+Inputs!$B$9)*B268)</f>
        <v>0.33227169783322202</v>
      </c>
    </row>
    <row r="269" spans="1:10" x14ac:dyDescent="0.35">
      <c r="A269">
        <v>266</v>
      </c>
      <c r="B269">
        <f>A269/Inputs!$B$6</f>
        <v>22.166666666666668</v>
      </c>
      <c r="C269">
        <f>IF(B269&lt;=INDEX(YieldCurve!$A$4:$A$63,1),1,IF(B269&gt;=INDEX(YieldCurve!$A$4:$A$63,ROWS(YieldCurve!$A$4:$A$63)),ROWS(YieldCurve!$A$4:$A$63)-1,MATCH(B269,YieldCurve!$A$4:$A$63,1)))</f>
        <v>44</v>
      </c>
      <c r="D269">
        <f>INDEX(YieldCurve!$A$4:$A$63,C269)</f>
        <v>22</v>
      </c>
      <c r="E269">
        <f>INDEX(YieldCurve!$A$4:$A$63,C269+1)</f>
        <v>22.5</v>
      </c>
      <c r="F269">
        <f>INDEX(YieldCurve!$B$4:$B$63,C269)</f>
        <v>4.9899720000000002E-2</v>
      </c>
      <c r="G269">
        <f>INDEX(YieldCurve!$B$4:$B$63,C269+1)</f>
        <v>4.9859000000000001E-2</v>
      </c>
      <c r="H269">
        <f t="shared" si="4"/>
        <v>0.3333333333333357</v>
      </c>
      <c r="I269">
        <f>IF(B269&lt;=INDEX(YieldCurve!$A$4:$A$63,1),INDEX(YieldCurve!$B$4:$B$63,1),IF(B269&gt;=INDEX(YieldCurve!$A$4:$A$63,ROWS(YieldCurve!$A$4:$A$63)),INDEX(YieldCurve!$B$4:$B$63,ROWS(YieldCurve!$B$4:$B$63)),F269+H269*(G269-F269)))</f>
        <v>4.9886146666666666E-2</v>
      </c>
      <c r="J269">
        <f>EXP(-(I269+Inputs!$B$9)*B269)</f>
        <v>0.33094284757687464</v>
      </c>
    </row>
    <row r="270" spans="1:10" x14ac:dyDescent="0.35">
      <c r="A270">
        <v>267</v>
      </c>
      <c r="B270">
        <f>A270/Inputs!$B$6</f>
        <v>22.25</v>
      </c>
      <c r="C270">
        <f>IF(B270&lt;=INDEX(YieldCurve!$A$4:$A$63,1),1,IF(B270&gt;=INDEX(YieldCurve!$A$4:$A$63,ROWS(YieldCurve!$A$4:$A$63)),ROWS(YieldCurve!$A$4:$A$63)-1,MATCH(B270,YieldCurve!$A$4:$A$63,1)))</f>
        <v>44</v>
      </c>
      <c r="D270">
        <f>INDEX(YieldCurve!$A$4:$A$63,C270)</f>
        <v>22</v>
      </c>
      <c r="E270">
        <f>INDEX(YieldCurve!$A$4:$A$63,C270+1)</f>
        <v>22.5</v>
      </c>
      <c r="F270">
        <f>INDEX(YieldCurve!$B$4:$B$63,C270)</f>
        <v>4.9899720000000002E-2</v>
      </c>
      <c r="G270">
        <f>INDEX(YieldCurve!$B$4:$B$63,C270+1)</f>
        <v>4.9859000000000001E-2</v>
      </c>
      <c r="H270">
        <f t="shared" si="4"/>
        <v>0.5</v>
      </c>
      <c r="I270">
        <f>IF(B270&lt;=INDEX(YieldCurve!$A$4:$A$63,1),INDEX(YieldCurve!$B$4:$B$63,1),IF(B270&gt;=INDEX(YieldCurve!$A$4:$A$63,ROWS(YieldCurve!$A$4:$A$63)),INDEX(YieldCurve!$B$4:$B$63,ROWS(YieldCurve!$B$4:$B$63)),F270+H270*(G270-F270)))</f>
        <v>4.9879359999999998E-2</v>
      </c>
      <c r="J270">
        <f>EXP(-(I270+Inputs!$B$9)*B270)</f>
        <v>0.32961968461185798</v>
      </c>
    </row>
    <row r="271" spans="1:10" x14ac:dyDescent="0.35">
      <c r="A271">
        <v>268</v>
      </c>
      <c r="B271">
        <f>A271/Inputs!$B$6</f>
        <v>22.333333333333332</v>
      </c>
      <c r="C271">
        <f>IF(B271&lt;=INDEX(YieldCurve!$A$4:$A$63,1),1,IF(B271&gt;=INDEX(YieldCurve!$A$4:$A$63,ROWS(YieldCurve!$A$4:$A$63)),ROWS(YieldCurve!$A$4:$A$63)-1,MATCH(B271,YieldCurve!$A$4:$A$63,1)))</f>
        <v>44</v>
      </c>
      <c r="D271">
        <f>INDEX(YieldCurve!$A$4:$A$63,C271)</f>
        <v>22</v>
      </c>
      <c r="E271">
        <f>INDEX(YieldCurve!$A$4:$A$63,C271+1)</f>
        <v>22.5</v>
      </c>
      <c r="F271">
        <f>INDEX(YieldCurve!$B$4:$B$63,C271)</f>
        <v>4.9899720000000002E-2</v>
      </c>
      <c r="G271">
        <f>INDEX(YieldCurve!$B$4:$B$63,C271+1)</f>
        <v>4.9859000000000001E-2</v>
      </c>
      <c r="H271">
        <f t="shared" si="4"/>
        <v>0.6666666666666643</v>
      </c>
      <c r="I271">
        <f>IF(B271&lt;=INDEX(YieldCurve!$A$4:$A$63,1),INDEX(YieldCurve!$B$4:$B$63,1),IF(B271&gt;=INDEX(YieldCurve!$A$4:$A$63,ROWS(YieldCurve!$A$4:$A$63)),INDEX(YieldCurve!$B$4:$B$63,ROWS(YieldCurve!$B$4:$B$63)),F271+H271*(G271-F271)))</f>
        <v>4.9872573333333337E-2</v>
      </c>
      <c r="J271">
        <f>EXP(-(I271+Inputs!$B$9)*B271)</f>
        <v>0.32830218321215604</v>
      </c>
    </row>
    <row r="272" spans="1:10" x14ac:dyDescent="0.35">
      <c r="A272">
        <v>269</v>
      </c>
      <c r="B272">
        <f>A272/Inputs!$B$6</f>
        <v>22.416666666666668</v>
      </c>
      <c r="C272">
        <f>IF(B272&lt;=INDEX(YieldCurve!$A$4:$A$63,1),1,IF(B272&gt;=INDEX(YieldCurve!$A$4:$A$63,ROWS(YieldCurve!$A$4:$A$63)),ROWS(YieldCurve!$A$4:$A$63)-1,MATCH(B272,YieldCurve!$A$4:$A$63,1)))</f>
        <v>44</v>
      </c>
      <c r="D272">
        <f>INDEX(YieldCurve!$A$4:$A$63,C272)</f>
        <v>22</v>
      </c>
      <c r="E272">
        <f>INDEX(YieldCurve!$A$4:$A$63,C272+1)</f>
        <v>22.5</v>
      </c>
      <c r="F272">
        <f>INDEX(YieldCurve!$B$4:$B$63,C272)</f>
        <v>4.9899720000000002E-2</v>
      </c>
      <c r="G272">
        <f>INDEX(YieldCurve!$B$4:$B$63,C272+1)</f>
        <v>4.9859000000000001E-2</v>
      </c>
      <c r="H272">
        <f t="shared" si="4"/>
        <v>0.8333333333333357</v>
      </c>
      <c r="I272">
        <f>IF(B272&lt;=INDEX(YieldCurve!$A$4:$A$63,1),INDEX(YieldCurve!$B$4:$B$63,1),IF(B272&gt;=INDEX(YieldCurve!$A$4:$A$63,ROWS(YieldCurve!$A$4:$A$63)),INDEX(YieldCurve!$B$4:$B$63,ROWS(YieldCurve!$B$4:$B$63)),F272+H272*(G272-F272)))</f>
        <v>4.9865786666666669E-2</v>
      </c>
      <c r="J272">
        <f>EXP(-(I272+Inputs!$B$9)*B272)</f>
        <v>0.32699031777376819</v>
      </c>
    </row>
    <row r="273" spans="1:10" x14ac:dyDescent="0.35">
      <c r="A273">
        <v>270</v>
      </c>
      <c r="B273">
        <f>A273/Inputs!$B$6</f>
        <v>22.5</v>
      </c>
      <c r="C273">
        <f>IF(B273&lt;=INDEX(YieldCurve!$A$4:$A$63,1),1,IF(B273&gt;=INDEX(YieldCurve!$A$4:$A$63,ROWS(YieldCurve!$A$4:$A$63)),ROWS(YieldCurve!$A$4:$A$63)-1,MATCH(B273,YieldCurve!$A$4:$A$63,1)))</f>
        <v>45</v>
      </c>
      <c r="D273">
        <f>INDEX(YieldCurve!$A$4:$A$63,C273)</f>
        <v>22.5</v>
      </c>
      <c r="E273">
        <f>INDEX(YieldCurve!$A$4:$A$63,C273+1)</f>
        <v>23</v>
      </c>
      <c r="F273">
        <f>INDEX(YieldCurve!$B$4:$B$63,C273)</f>
        <v>4.9859000000000001E-2</v>
      </c>
      <c r="G273">
        <f>INDEX(YieldCurve!$B$4:$B$63,C273+1)</f>
        <v>4.982048E-2</v>
      </c>
      <c r="H273">
        <f t="shared" si="4"/>
        <v>0</v>
      </c>
      <c r="I273">
        <f>IF(B273&lt;=INDEX(YieldCurve!$A$4:$A$63,1),INDEX(YieldCurve!$B$4:$B$63,1),IF(B273&gt;=INDEX(YieldCurve!$A$4:$A$63,ROWS(YieldCurve!$A$4:$A$63)),INDEX(YieldCurve!$B$4:$B$63,ROWS(YieldCurve!$B$4:$B$63)),F273+H273*(G273-F273)))</f>
        <v>4.9859000000000001E-2</v>
      </c>
      <c r="J273">
        <f>EXP(-(I273+Inputs!$B$9)*B273)</f>
        <v>0.32568406281410622</v>
      </c>
    </row>
    <row r="274" spans="1:10" x14ac:dyDescent="0.35">
      <c r="A274">
        <v>271</v>
      </c>
      <c r="B274">
        <f>A274/Inputs!$B$6</f>
        <v>22.583333333333332</v>
      </c>
      <c r="C274">
        <f>IF(B274&lt;=INDEX(YieldCurve!$A$4:$A$63,1),1,IF(B274&gt;=INDEX(YieldCurve!$A$4:$A$63,ROWS(YieldCurve!$A$4:$A$63)),ROWS(YieldCurve!$A$4:$A$63)-1,MATCH(B274,YieldCurve!$A$4:$A$63,1)))</f>
        <v>45</v>
      </c>
      <c r="D274">
        <f>INDEX(YieldCurve!$A$4:$A$63,C274)</f>
        <v>22.5</v>
      </c>
      <c r="E274">
        <f>INDEX(YieldCurve!$A$4:$A$63,C274+1)</f>
        <v>23</v>
      </c>
      <c r="F274">
        <f>INDEX(YieldCurve!$B$4:$B$63,C274)</f>
        <v>4.9859000000000001E-2</v>
      </c>
      <c r="G274">
        <f>INDEX(YieldCurve!$B$4:$B$63,C274+1)</f>
        <v>4.982048E-2</v>
      </c>
      <c r="H274">
        <f t="shared" si="4"/>
        <v>0.1666666666666643</v>
      </c>
      <c r="I274">
        <f>IF(B274&lt;=INDEX(YieldCurve!$A$4:$A$63,1),INDEX(YieldCurve!$B$4:$B$63,1),IF(B274&gt;=INDEX(YieldCurve!$A$4:$A$63,ROWS(YieldCurve!$A$4:$A$63)),INDEX(YieldCurve!$B$4:$B$63,ROWS(YieldCurve!$B$4:$B$63)),F274+H274*(G274-F274)))</f>
        <v>4.9852580000000001E-2</v>
      </c>
      <c r="J274">
        <f>EXP(-(I274+Inputs!$B$9)*B274)</f>
        <v>0.32438070690780785</v>
      </c>
    </row>
    <row r="275" spans="1:10" x14ac:dyDescent="0.35">
      <c r="A275">
        <v>272</v>
      </c>
      <c r="B275">
        <f>A275/Inputs!$B$6</f>
        <v>22.666666666666668</v>
      </c>
      <c r="C275">
        <f>IF(B275&lt;=INDEX(YieldCurve!$A$4:$A$63,1),1,IF(B275&gt;=INDEX(YieldCurve!$A$4:$A$63,ROWS(YieldCurve!$A$4:$A$63)),ROWS(YieldCurve!$A$4:$A$63)-1,MATCH(B275,YieldCurve!$A$4:$A$63,1)))</f>
        <v>45</v>
      </c>
      <c r="D275">
        <f>INDEX(YieldCurve!$A$4:$A$63,C275)</f>
        <v>22.5</v>
      </c>
      <c r="E275">
        <f>INDEX(YieldCurve!$A$4:$A$63,C275+1)</f>
        <v>23</v>
      </c>
      <c r="F275">
        <f>INDEX(YieldCurve!$B$4:$B$63,C275)</f>
        <v>4.9859000000000001E-2</v>
      </c>
      <c r="G275">
        <f>INDEX(YieldCurve!$B$4:$B$63,C275+1)</f>
        <v>4.982048E-2</v>
      </c>
      <c r="H275">
        <f t="shared" si="4"/>
        <v>0.3333333333333357</v>
      </c>
      <c r="I275">
        <f>IF(B275&lt;=INDEX(YieldCurve!$A$4:$A$63,1),INDEX(YieldCurve!$B$4:$B$63,1),IF(B275&gt;=INDEX(YieldCurve!$A$4:$A$63,ROWS(YieldCurve!$A$4:$A$63)),INDEX(YieldCurve!$B$4:$B$63,ROWS(YieldCurve!$B$4:$B$63)),F275+H275*(G275-F275)))</f>
        <v>4.984616E-2</v>
      </c>
      <c r="J275">
        <f>EXP(-(I275+Inputs!$B$9)*B275)</f>
        <v>0.32308291260346539</v>
      </c>
    </row>
    <row r="276" spans="1:10" x14ac:dyDescent="0.35">
      <c r="A276">
        <v>273</v>
      </c>
      <c r="B276">
        <f>A276/Inputs!$B$6</f>
        <v>22.75</v>
      </c>
      <c r="C276">
        <f>IF(B276&lt;=INDEX(YieldCurve!$A$4:$A$63,1),1,IF(B276&gt;=INDEX(YieldCurve!$A$4:$A$63,ROWS(YieldCurve!$A$4:$A$63)),ROWS(YieldCurve!$A$4:$A$63)-1,MATCH(B276,YieldCurve!$A$4:$A$63,1)))</f>
        <v>45</v>
      </c>
      <c r="D276">
        <f>INDEX(YieldCurve!$A$4:$A$63,C276)</f>
        <v>22.5</v>
      </c>
      <c r="E276">
        <f>INDEX(YieldCurve!$A$4:$A$63,C276+1)</f>
        <v>23</v>
      </c>
      <c r="F276">
        <f>INDEX(YieldCurve!$B$4:$B$63,C276)</f>
        <v>4.9859000000000001E-2</v>
      </c>
      <c r="G276">
        <f>INDEX(YieldCurve!$B$4:$B$63,C276+1)</f>
        <v>4.982048E-2</v>
      </c>
      <c r="H276">
        <f t="shared" si="4"/>
        <v>0.5</v>
      </c>
      <c r="I276">
        <f>IF(B276&lt;=INDEX(YieldCurve!$A$4:$A$63,1),INDEX(YieldCurve!$B$4:$B$63,1),IF(B276&gt;=INDEX(YieldCurve!$A$4:$A$63,ROWS(YieldCurve!$A$4:$A$63)),INDEX(YieldCurve!$B$4:$B$63,ROWS(YieldCurve!$B$4:$B$63)),F276+H276*(G276-F276)))</f>
        <v>4.983974E-2</v>
      </c>
      <c r="J276">
        <f>EXP(-(I276+Inputs!$B$9)*B276)</f>
        <v>0.32179065487829078</v>
      </c>
    </row>
    <row r="277" spans="1:10" x14ac:dyDescent="0.35">
      <c r="A277">
        <v>274</v>
      </c>
      <c r="B277">
        <f>A277/Inputs!$B$6</f>
        <v>22.833333333333332</v>
      </c>
      <c r="C277">
        <f>IF(B277&lt;=INDEX(YieldCurve!$A$4:$A$63,1),1,IF(B277&gt;=INDEX(YieldCurve!$A$4:$A$63,ROWS(YieldCurve!$A$4:$A$63)),ROWS(YieldCurve!$A$4:$A$63)-1,MATCH(B277,YieldCurve!$A$4:$A$63,1)))</f>
        <v>45</v>
      </c>
      <c r="D277">
        <f>INDEX(YieldCurve!$A$4:$A$63,C277)</f>
        <v>22.5</v>
      </c>
      <c r="E277">
        <f>INDEX(YieldCurve!$A$4:$A$63,C277+1)</f>
        <v>23</v>
      </c>
      <c r="F277">
        <f>INDEX(YieldCurve!$B$4:$B$63,C277)</f>
        <v>4.9859000000000001E-2</v>
      </c>
      <c r="G277">
        <f>INDEX(YieldCurve!$B$4:$B$63,C277+1)</f>
        <v>4.982048E-2</v>
      </c>
      <c r="H277">
        <f t="shared" si="4"/>
        <v>0.6666666666666643</v>
      </c>
      <c r="I277">
        <f>IF(B277&lt;=INDEX(YieldCurve!$A$4:$A$63,1),INDEX(YieldCurve!$B$4:$B$63,1),IF(B277&gt;=INDEX(YieldCurve!$A$4:$A$63,ROWS(YieldCurve!$A$4:$A$63)),INDEX(YieldCurve!$B$4:$B$63,ROWS(YieldCurve!$B$4:$B$63)),F277+H277*(G277-F277)))</f>
        <v>4.983332E-2</v>
      </c>
      <c r="J277">
        <f>EXP(-(I277+Inputs!$B$9)*B277)</f>
        <v>0.32050390882733187</v>
      </c>
    </row>
    <row r="278" spans="1:10" x14ac:dyDescent="0.35">
      <c r="A278">
        <v>275</v>
      </c>
      <c r="B278">
        <f>A278/Inputs!$B$6</f>
        <v>22.916666666666668</v>
      </c>
      <c r="C278">
        <f>IF(B278&lt;=INDEX(YieldCurve!$A$4:$A$63,1),1,IF(B278&gt;=INDEX(YieldCurve!$A$4:$A$63,ROWS(YieldCurve!$A$4:$A$63)),ROWS(YieldCurve!$A$4:$A$63)-1,MATCH(B278,YieldCurve!$A$4:$A$63,1)))</f>
        <v>45</v>
      </c>
      <c r="D278">
        <f>INDEX(YieldCurve!$A$4:$A$63,C278)</f>
        <v>22.5</v>
      </c>
      <c r="E278">
        <f>INDEX(YieldCurve!$A$4:$A$63,C278+1)</f>
        <v>23</v>
      </c>
      <c r="F278">
        <f>INDEX(YieldCurve!$B$4:$B$63,C278)</f>
        <v>4.9859000000000001E-2</v>
      </c>
      <c r="G278">
        <f>INDEX(YieldCurve!$B$4:$B$63,C278+1)</f>
        <v>4.982048E-2</v>
      </c>
      <c r="H278">
        <f t="shared" si="4"/>
        <v>0.8333333333333357</v>
      </c>
      <c r="I278">
        <f>IF(B278&lt;=INDEX(YieldCurve!$A$4:$A$63,1),INDEX(YieldCurve!$B$4:$B$63,1),IF(B278&gt;=INDEX(YieldCurve!$A$4:$A$63,ROWS(YieldCurve!$A$4:$A$63)),INDEX(YieldCurve!$B$4:$B$63,ROWS(YieldCurve!$B$4:$B$63)),F278+H278*(G278-F278)))</f>
        <v>4.98269E-2</v>
      </c>
      <c r="J278">
        <f>EXP(-(I278+Inputs!$B$9)*B278)</f>
        <v>0.31922264966289421</v>
      </c>
    </row>
    <row r="279" spans="1:10" x14ac:dyDescent="0.35">
      <c r="A279">
        <v>276</v>
      </c>
      <c r="B279">
        <f>A279/Inputs!$B$6</f>
        <v>23</v>
      </c>
      <c r="C279">
        <f>IF(B279&lt;=INDEX(YieldCurve!$A$4:$A$63,1),1,IF(B279&gt;=INDEX(YieldCurve!$A$4:$A$63,ROWS(YieldCurve!$A$4:$A$63)),ROWS(YieldCurve!$A$4:$A$63)-1,MATCH(B279,YieldCurve!$A$4:$A$63,1)))</f>
        <v>46</v>
      </c>
      <c r="D279">
        <f>INDEX(YieldCurve!$A$4:$A$63,C279)</f>
        <v>23</v>
      </c>
      <c r="E279">
        <f>INDEX(YieldCurve!$A$4:$A$63,C279+1)</f>
        <v>23.5</v>
      </c>
      <c r="F279">
        <f>INDEX(YieldCurve!$B$4:$B$63,C279)</f>
        <v>4.982048E-2</v>
      </c>
      <c r="G279">
        <f>INDEX(YieldCurve!$B$4:$B$63,C279+1)</f>
        <v>4.978403E-2</v>
      </c>
      <c r="H279">
        <f t="shared" si="4"/>
        <v>0</v>
      </c>
      <c r="I279">
        <f>IF(B279&lt;=INDEX(YieldCurve!$A$4:$A$63,1),INDEX(YieldCurve!$B$4:$B$63,1),IF(B279&gt;=INDEX(YieldCurve!$A$4:$A$63,ROWS(YieldCurve!$A$4:$A$63)),INDEX(YieldCurve!$B$4:$B$63,ROWS(YieldCurve!$B$4:$B$63)),F279+H279*(G279-F279)))</f>
        <v>4.982048E-2</v>
      </c>
      <c r="J279">
        <f>EXP(-(I279+Inputs!$B$9)*B279)</f>
        <v>0.31794685271396667</v>
      </c>
    </row>
    <row r="280" spans="1:10" x14ac:dyDescent="0.35">
      <c r="A280">
        <v>277</v>
      </c>
      <c r="B280">
        <f>A280/Inputs!$B$6</f>
        <v>23.083333333333332</v>
      </c>
      <c r="C280">
        <f>IF(B280&lt;=INDEX(YieldCurve!$A$4:$A$63,1),1,IF(B280&gt;=INDEX(YieldCurve!$A$4:$A$63,ROWS(YieldCurve!$A$4:$A$63)),ROWS(YieldCurve!$A$4:$A$63)-1,MATCH(B280,YieldCurve!$A$4:$A$63,1)))</f>
        <v>46</v>
      </c>
      <c r="D280">
        <f>INDEX(YieldCurve!$A$4:$A$63,C280)</f>
        <v>23</v>
      </c>
      <c r="E280">
        <f>INDEX(YieldCurve!$A$4:$A$63,C280+1)</f>
        <v>23.5</v>
      </c>
      <c r="F280">
        <f>INDEX(YieldCurve!$B$4:$B$63,C280)</f>
        <v>4.982048E-2</v>
      </c>
      <c r="G280">
        <f>INDEX(YieldCurve!$B$4:$B$63,C280+1)</f>
        <v>4.978403E-2</v>
      </c>
      <c r="H280">
        <f t="shared" si="4"/>
        <v>0.1666666666666643</v>
      </c>
      <c r="I280">
        <f>IF(B280&lt;=INDEX(YieldCurve!$A$4:$A$63,1),INDEX(YieldCurve!$B$4:$B$63,1),IF(B280&gt;=INDEX(YieldCurve!$A$4:$A$63,ROWS(YieldCurve!$A$4:$A$63)),INDEX(YieldCurve!$B$4:$B$63,ROWS(YieldCurve!$B$4:$B$63)),F280+H280*(G280-F280)))</f>
        <v>4.9814404999999999E-2</v>
      </c>
      <c r="J280">
        <f>EXP(-(I280+Inputs!$B$9)*B280)</f>
        <v>0.31667397150326704</v>
      </c>
    </row>
    <row r="281" spans="1:10" x14ac:dyDescent="0.35">
      <c r="A281">
        <v>278</v>
      </c>
      <c r="B281">
        <f>A281/Inputs!$B$6</f>
        <v>23.166666666666668</v>
      </c>
      <c r="C281">
        <f>IF(B281&lt;=INDEX(YieldCurve!$A$4:$A$63,1),1,IF(B281&gt;=INDEX(YieldCurve!$A$4:$A$63,ROWS(YieldCurve!$A$4:$A$63)),ROWS(YieldCurve!$A$4:$A$63)-1,MATCH(B281,YieldCurve!$A$4:$A$63,1)))</f>
        <v>46</v>
      </c>
      <c r="D281">
        <f>INDEX(YieldCurve!$A$4:$A$63,C281)</f>
        <v>23</v>
      </c>
      <c r="E281">
        <f>INDEX(YieldCurve!$A$4:$A$63,C281+1)</f>
        <v>23.5</v>
      </c>
      <c r="F281">
        <f>INDEX(YieldCurve!$B$4:$B$63,C281)</f>
        <v>4.982048E-2</v>
      </c>
      <c r="G281">
        <f>INDEX(YieldCurve!$B$4:$B$63,C281+1)</f>
        <v>4.978403E-2</v>
      </c>
      <c r="H281">
        <f t="shared" si="4"/>
        <v>0.3333333333333357</v>
      </c>
      <c r="I281">
        <f>IF(B281&lt;=INDEX(YieldCurve!$A$4:$A$63,1),INDEX(YieldCurve!$B$4:$B$63,1),IF(B281&gt;=INDEX(YieldCurve!$A$4:$A$63,ROWS(YieldCurve!$A$4:$A$63)),INDEX(YieldCurve!$B$4:$B$63,ROWS(YieldCurve!$B$4:$B$63)),F281+H281*(G281-F281)))</f>
        <v>4.9808329999999998E-2</v>
      </c>
      <c r="J281">
        <f>EXP(-(I281+Inputs!$B$9)*B281)</f>
        <v>0.31540650554529748</v>
      </c>
    </row>
    <row r="282" spans="1:10" x14ac:dyDescent="0.35">
      <c r="A282">
        <v>279</v>
      </c>
      <c r="B282">
        <f>A282/Inputs!$B$6</f>
        <v>23.25</v>
      </c>
      <c r="C282">
        <f>IF(B282&lt;=INDEX(YieldCurve!$A$4:$A$63,1),1,IF(B282&gt;=INDEX(YieldCurve!$A$4:$A$63,ROWS(YieldCurve!$A$4:$A$63)),ROWS(YieldCurve!$A$4:$A$63)-1,MATCH(B282,YieldCurve!$A$4:$A$63,1)))</f>
        <v>46</v>
      </c>
      <c r="D282">
        <f>INDEX(YieldCurve!$A$4:$A$63,C282)</f>
        <v>23</v>
      </c>
      <c r="E282">
        <f>INDEX(YieldCurve!$A$4:$A$63,C282+1)</f>
        <v>23.5</v>
      </c>
      <c r="F282">
        <f>INDEX(YieldCurve!$B$4:$B$63,C282)</f>
        <v>4.982048E-2</v>
      </c>
      <c r="G282">
        <f>INDEX(YieldCurve!$B$4:$B$63,C282+1)</f>
        <v>4.978403E-2</v>
      </c>
      <c r="H282">
        <f t="shared" si="4"/>
        <v>0.5</v>
      </c>
      <c r="I282">
        <f>IF(B282&lt;=INDEX(YieldCurve!$A$4:$A$63,1),INDEX(YieldCurve!$B$4:$B$63,1),IF(B282&gt;=INDEX(YieldCurve!$A$4:$A$63,ROWS(YieldCurve!$A$4:$A$63)),INDEX(YieldCurve!$B$4:$B$63,ROWS(YieldCurve!$B$4:$B$63)),F282+H282*(G282-F282)))</f>
        <v>4.9802255000000004E-2</v>
      </c>
      <c r="J282">
        <f>EXP(-(I282+Inputs!$B$9)*B282)</f>
        <v>0.31414443060439523</v>
      </c>
    </row>
    <row r="283" spans="1:10" x14ac:dyDescent="0.35">
      <c r="A283">
        <v>280</v>
      </c>
      <c r="B283">
        <f>A283/Inputs!$B$6</f>
        <v>23.333333333333332</v>
      </c>
      <c r="C283">
        <f>IF(B283&lt;=INDEX(YieldCurve!$A$4:$A$63,1),1,IF(B283&gt;=INDEX(YieldCurve!$A$4:$A$63,ROWS(YieldCurve!$A$4:$A$63)),ROWS(YieldCurve!$A$4:$A$63)-1,MATCH(B283,YieldCurve!$A$4:$A$63,1)))</f>
        <v>46</v>
      </c>
      <c r="D283">
        <f>INDEX(YieldCurve!$A$4:$A$63,C283)</f>
        <v>23</v>
      </c>
      <c r="E283">
        <f>INDEX(YieldCurve!$A$4:$A$63,C283+1)</f>
        <v>23.5</v>
      </c>
      <c r="F283">
        <f>INDEX(YieldCurve!$B$4:$B$63,C283)</f>
        <v>4.982048E-2</v>
      </c>
      <c r="G283">
        <f>INDEX(YieldCurve!$B$4:$B$63,C283+1)</f>
        <v>4.978403E-2</v>
      </c>
      <c r="H283">
        <f t="shared" si="4"/>
        <v>0.6666666666666643</v>
      </c>
      <c r="I283">
        <f>IF(B283&lt;=INDEX(YieldCurve!$A$4:$A$63,1),INDEX(YieldCurve!$B$4:$B$63,1),IF(B283&gt;=INDEX(YieldCurve!$A$4:$A$63,ROWS(YieldCurve!$A$4:$A$63)),INDEX(YieldCurve!$B$4:$B$63,ROWS(YieldCurve!$B$4:$B$63)),F283+H283*(G283-F283)))</f>
        <v>4.9796180000000002E-2</v>
      </c>
      <c r="J283">
        <f>EXP(-(I283+Inputs!$B$9)*B283)</f>
        <v>0.31288772255822928</v>
      </c>
    </row>
    <row r="284" spans="1:10" x14ac:dyDescent="0.35">
      <c r="A284">
        <v>281</v>
      </c>
      <c r="B284">
        <f>A284/Inputs!$B$6</f>
        <v>23.416666666666668</v>
      </c>
      <c r="C284">
        <f>IF(B284&lt;=INDEX(YieldCurve!$A$4:$A$63,1),1,IF(B284&gt;=INDEX(YieldCurve!$A$4:$A$63,ROWS(YieldCurve!$A$4:$A$63)),ROWS(YieldCurve!$A$4:$A$63)-1,MATCH(B284,YieldCurve!$A$4:$A$63,1)))</f>
        <v>46</v>
      </c>
      <c r="D284">
        <f>INDEX(YieldCurve!$A$4:$A$63,C284)</f>
        <v>23</v>
      </c>
      <c r="E284">
        <f>INDEX(YieldCurve!$A$4:$A$63,C284+1)</f>
        <v>23.5</v>
      </c>
      <c r="F284">
        <f>INDEX(YieldCurve!$B$4:$B$63,C284)</f>
        <v>4.982048E-2</v>
      </c>
      <c r="G284">
        <f>INDEX(YieldCurve!$B$4:$B$63,C284+1)</f>
        <v>4.978403E-2</v>
      </c>
      <c r="H284">
        <f t="shared" si="4"/>
        <v>0.8333333333333357</v>
      </c>
      <c r="I284">
        <f>IF(B284&lt;=INDEX(YieldCurve!$A$4:$A$63,1),INDEX(YieldCurve!$B$4:$B$63,1),IF(B284&gt;=INDEX(YieldCurve!$A$4:$A$63,ROWS(YieldCurve!$A$4:$A$63)),INDEX(YieldCurve!$B$4:$B$63,ROWS(YieldCurve!$B$4:$B$63)),F284+H284*(G284-F284)))</f>
        <v>4.9790105000000001E-2</v>
      </c>
      <c r="J284">
        <f>EXP(-(I284+Inputs!$B$9)*B284)</f>
        <v>0.31163635739724904</v>
      </c>
    </row>
    <row r="285" spans="1:10" x14ac:dyDescent="0.35">
      <c r="A285">
        <v>282</v>
      </c>
      <c r="B285">
        <f>A285/Inputs!$B$6</f>
        <v>23.5</v>
      </c>
      <c r="C285">
        <f>IF(B285&lt;=INDEX(YieldCurve!$A$4:$A$63,1),1,IF(B285&gt;=INDEX(YieldCurve!$A$4:$A$63,ROWS(YieldCurve!$A$4:$A$63)),ROWS(YieldCurve!$A$4:$A$63)-1,MATCH(B285,YieldCurve!$A$4:$A$63,1)))</f>
        <v>47</v>
      </c>
      <c r="D285">
        <f>INDEX(YieldCurve!$A$4:$A$63,C285)</f>
        <v>23.5</v>
      </c>
      <c r="E285">
        <f>INDEX(YieldCurve!$A$4:$A$63,C285+1)</f>
        <v>24</v>
      </c>
      <c r="F285">
        <f>INDEX(YieldCurve!$B$4:$B$63,C285)</f>
        <v>4.978403E-2</v>
      </c>
      <c r="G285">
        <f>INDEX(YieldCurve!$B$4:$B$63,C285+1)</f>
        <v>4.974953E-2</v>
      </c>
      <c r="H285">
        <f t="shared" si="4"/>
        <v>0</v>
      </c>
      <c r="I285">
        <f>IF(B285&lt;=INDEX(YieldCurve!$A$4:$A$63,1),INDEX(YieldCurve!$B$4:$B$63,1),IF(B285&gt;=INDEX(YieldCurve!$A$4:$A$63,ROWS(YieldCurve!$A$4:$A$63)),INDEX(YieldCurve!$B$4:$B$63,ROWS(YieldCurve!$B$4:$B$63)),F285+H285*(G285-F285)))</f>
        <v>4.978403E-2</v>
      </c>
      <c r="J285">
        <f>EXP(-(I285+Inputs!$B$9)*B285)</f>
        <v>0.31039031122413713</v>
      </c>
    </row>
    <row r="286" spans="1:10" x14ac:dyDescent="0.35">
      <c r="A286">
        <v>283</v>
      </c>
      <c r="B286">
        <f>A286/Inputs!$B$6</f>
        <v>23.583333333333332</v>
      </c>
      <c r="C286">
        <f>IF(B286&lt;=INDEX(YieldCurve!$A$4:$A$63,1),1,IF(B286&gt;=INDEX(YieldCurve!$A$4:$A$63,ROWS(YieldCurve!$A$4:$A$63)),ROWS(YieldCurve!$A$4:$A$63)-1,MATCH(B286,YieldCurve!$A$4:$A$63,1)))</f>
        <v>47</v>
      </c>
      <c r="D286">
        <f>INDEX(YieldCurve!$A$4:$A$63,C286)</f>
        <v>23.5</v>
      </c>
      <c r="E286">
        <f>INDEX(YieldCurve!$A$4:$A$63,C286+1)</f>
        <v>24</v>
      </c>
      <c r="F286">
        <f>INDEX(YieldCurve!$B$4:$B$63,C286)</f>
        <v>4.978403E-2</v>
      </c>
      <c r="G286">
        <f>INDEX(YieldCurve!$B$4:$B$63,C286+1)</f>
        <v>4.974953E-2</v>
      </c>
      <c r="H286">
        <f t="shared" si="4"/>
        <v>0.1666666666666643</v>
      </c>
      <c r="I286">
        <f>IF(B286&lt;=INDEX(YieldCurve!$A$4:$A$63,1),INDEX(YieldCurve!$B$4:$B$63,1),IF(B286&gt;=INDEX(YieldCurve!$A$4:$A$63,ROWS(YieldCurve!$A$4:$A$63)),INDEX(YieldCurve!$B$4:$B$63,ROWS(YieldCurve!$B$4:$B$63)),F286+H286*(G286-F286)))</f>
        <v>4.9778280000000001E-2</v>
      </c>
      <c r="J286">
        <f>EXP(-(I286+Inputs!$B$9)*B286)</f>
        <v>0.30914719075977631</v>
      </c>
    </row>
    <row r="287" spans="1:10" x14ac:dyDescent="0.35">
      <c r="A287">
        <v>284</v>
      </c>
      <c r="B287">
        <f>A287/Inputs!$B$6</f>
        <v>23.666666666666668</v>
      </c>
      <c r="C287">
        <f>IF(B287&lt;=INDEX(YieldCurve!$A$4:$A$63,1),1,IF(B287&gt;=INDEX(YieldCurve!$A$4:$A$63,ROWS(YieldCurve!$A$4:$A$63)),ROWS(YieldCurve!$A$4:$A$63)-1,MATCH(B287,YieldCurve!$A$4:$A$63,1)))</f>
        <v>47</v>
      </c>
      <c r="D287">
        <f>INDEX(YieldCurve!$A$4:$A$63,C287)</f>
        <v>23.5</v>
      </c>
      <c r="E287">
        <f>INDEX(YieldCurve!$A$4:$A$63,C287+1)</f>
        <v>24</v>
      </c>
      <c r="F287">
        <f>INDEX(YieldCurve!$B$4:$B$63,C287)</f>
        <v>4.978403E-2</v>
      </c>
      <c r="G287">
        <f>INDEX(YieldCurve!$B$4:$B$63,C287+1)</f>
        <v>4.974953E-2</v>
      </c>
      <c r="H287">
        <f t="shared" si="4"/>
        <v>0.3333333333333357</v>
      </c>
      <c r="I287">
        <f>IF(B287&lt;=INDEX(YieldCurve!$A$4:$A$63,1),INDEX(YieldCurve!$B$4:$B$63,1),IF(B287&gt;=INDEX(YieldCurve!$A$4:$A$63,ROWS(YieldCurve!$A$4:$A$63)),INDEX(YieldCurve!$B$4:$B$63,ROWS(YieldCurve!$B$4:$B$63)),F287+H287*(G287-F287)))</f>
        <v>4.9772530000000002E-2</v>
      </c>
      <c r="J287">
        <f>EXP(-(I287+Inputs!$B$9)*B287)</f>
        <v>0.30790934410163012</v>
      </c>
    </row>
    <row r="288" spans="1:10" x14ac:dyDescent="0.35">
      <c r="A288">
        <v>285</v>
      </c>
      <c r="B288">
        <f>A288/Inputs!$B$6</f>
        <v>23.75</v>
      </c>
      <c r="C288">
        <f>IF(B288&lt;=INDEX(YieldCurve!$A$4:$A$63,1),1,IF(B288&gt;=INDEX(YieldCurve!$A$4:$A$63,ROWS(YieldCurve!$A$4:$A$63)),ROWS(YieldCurve!$A$4:$A$63)-1,MATCH(B288,YieldCurve!$A$4:$A$63,1)))</f>
        <v>47</v>
      </c>
      <c r="D288">
        <f>INDEX(YieldCurve!$A$4:$A$63,C288)</f>
        <v>23.5</v>
      </c>
      <c r="E288">
        <f>INDEX(YieldCurve!$A$4:$A$63,C288+1)</f>
        <v>24</v>
      </c>
      <c r="F288">
        <f>INDEX(YieldCurve!$B$4:$B$63,C288)</f>
        <v>4.978403E-2</v>
      </c>
      <c r="G288">
        <f>INDEX(YieldCurve!$B$4:$B$63,C288+1)</f>
        <v>4.974953E-2</v>
      </c>
      <c r="H288">
        <f t="shared" si="4"/>
        <v>0.5</v>
      </c>
      <c r="I288">
        <f>IF(B288&lt;=INDEX(YieldCurve!$A$4:$A$63,1),INDEX(YieldCurve!$B$4:$B$63,1),IF(B288&gt;=INDEX(YieldCurve!$A$4:$A$63,ROWS(YieldCurve!$A$4:$A$63)),INDEX(YieldCurve!$B$4:$B$63,ROWS(YieldCurve!$B$4:$B$63)),F288+H288*(G288-F288)))</f>
        <v>4.9766779999999997E-2</v>
      </c>
      <c r="J288">
        <f>EXP(-(I288+Inputs!$B$9)*B288)</f>
        <v>0.30667674776522441</v>
      </c>
    </row>
    <row r="289" spans="1:10" x14ac:dyDescent="0.35">
      <c r="A289">
        <v>286</v>
      </c>
      <c r="B289">
        <f>A289/Inputs!$B$6</f>
        <v>23.833333333333332</v>
      </c>
      <c r="C289">
        <f>IF(B289&lt;=INDEX(YieldCurve!$A$4:$A$63,1),1,IF(B289&gt;=INDEX(YieldCurve!$A$4:$A$63,ROWS(YieldCurve!$A$4:$A$63)),ROWS(YieldCurve!$A$4:$A$63)-1,MATCH(B289,YieldCurve!$A$4:$A$63,1)))</f>
        <v>47</v>
      </c>
      <c r="D289">
        <f>INDEX(YieldCurve!$A$4:$A$63,C289)</f>
        <v>23.5</v>
      </c>
      <c r="E289">
        <f>INDEX(YieldCurve!$A$4:$A$63,C289+1)</f>
        <v>24</v>
      </c>
      <c r="F289">
        <f>INDEX(YieldCurve!$B$4:$B$63,C289)</f>
        <v>4.978403E-2</v>
      </c>
      <c r="G289">
        <f>INDEX(YieldCurve!$B$4:$B$63,C289+1)</f>
        <v>4.974953E-2</v>
      </c>
      <c r="H289">
        <f t="shared" si="4"/>
        <v>0.6666666666666643</v>
      </c>
      <c r="I289">
        <f>IF(B289&lt;=INDEX(YieldCurve!$A$4:$A$63,1),INDEX(YieldCurve!$B$4:$B$63,1),IF(B289&gt;=INDEX(YieldCurve!$A$4:$A$63,ROWS(YieldCurve!$A$4:$A$63)),INDEX(YieldCurve!$B$4:$B$63,ROWS(YieldCurve!$B$4:$B$63)),F289+H289*(G289-F289)))</f>
        <v>4.9761029999999998E-2</v>
      </c>
      <c r="J289">
        <f>EXP(-(I289+Inputs!$B$9)*B289)</f>
        <v>0.30544937837517155</v>
      </c>
    </row>
    <row r="290" spans="1:10" x14ac:dyDescent="0.35">
      <c r="A290">
        <v>287</v>
      </c>
      <c r="B290">
        <f>A290/Inputs!$B$6</f>
        <v>23.916666666666668</v>
      </c>
      <c r="C290">
        <f>IF(B290&lt;=INDEX(YieldCurve!$A$4:$A$63,1),1,IF(B290&gt;=INDEX(YieldCurve!$A$4:$A$63,ROWS(YieldCurve!$A$4:$A$63)),ROWS(YieldCurve!$A$4:$A$63)-1,MATCH(B290,YieldCurve!$A$4:$A$63,1)))</f>
        <v>47</v>
      </c>
      <c r="D290">
        <f>INDEX(YieldCurve!$A$4:$A$63,C290)</f>
        <v>23.5</v>
      </c>
      <c r="E290">
        <f>INDEX(YieldCurve!$A$4:$A$63,C290+1)</f>
        <v>24</v>
      </c>
      <c r="F290">
        <f>INDEX(YieldCurve!$B$4:$B$63,C290)</f>
        <v>4.978403E-2</v>
      </c>
      <c r="G290">
        <f>INDEX(YieldCurve!$B$4:$B$63,C290+1)</f>
        <v>4.974953E-2</v>
      </c>
      <c r="H290">
        <f t="shared" si="4"/>
        <v>0.8333333333333357</v>
      </c>
      <c r="I290">
        <f>IF(B290&lt;=INDEX(YieldCurve!$A$4:$A$63,1),INDEX(YieldCurve!$B$4:$B$63,1),IF(B290&gt;=INDEX(YieldCurve!$A$4:$A$63,ROWS(YieldCurve!$A$4:$A$63)),INDEX(YieldCurve!$B$4:$B$63,ROWS(YieldCurve!$B$4:$B$63)),F290+H290*(G290-F290)))</f>
        <v>4.9755279999999999E-2</v>
      </c>
      <c r="J290">
        <f>EXP(-(I290+Inputs!$B$9)*B290)</f>
        <v>0.30422721266464464</v>
      </c>
    </row>
    <row r="291" spans="1:10" x14ac:dyDescent="0.35">
      <c r="A291">
        <v>288</v>
      </c>
      <c r="B291">
        <f>A291/Inputs!$B$6</f>
        <v>24</v>
      </c>
      <c r="C291">
        <f>IF(B291&lt;=INDEX(YieldCurve!$A$4:$A$63,1),1,IF(B291&gt;=INDEX(YieldCurve!$A$4:$A$63,ROWS(YieldCurve!$A$4:$A$63)),ROWS(YieldCurve!$A$4:$A$63)-1,MATCH(B291,YieldCurve!$A$4:$A$63,1)))</f>
        <v>48</v>
      </c>
      <c r="D291">
        <f>INDEX(YieldCurve!$A$4:$A$63,C291)</f>
        <v>24</v>
      </c>
      <c r="E291">
        <f>INDEX(YieldCurve!$A$4:$A$63,C291+1)</f>
        <v>24.5</v>
      </c>
      <c r="F291">
        <f>INDEX(YieldCurve!$B$4:$B$63,C291)</f>
        <v>4.974953E-2</v>
      </c>
      <c r="G291">
        <f>INDEX(YieldCurve!$B$4:$B$63,C291+1)</f>
        <v>4.9716870000000003E-2</v>
      </c>
      <c r="H291">
        <f t="shared" si="4"/>
        <v>0</v>
      </c>
      <c r="I291">
        <f>IF(B291&lt;=INDEX(YieldCurve!$A$4:$A$63,1),INDEX(YieldCurve!$B$4:$B$63,1),IF(B291&gt;=INDEX(YieldCurve!$A$4:$A$63,ROWS(YieldCurve!$A$4:$A$63)),INDEX(YieldCurve!$B$4:$B$63,ROWS(YieldCurve!$B$4:$B$63)),F291+H291*(G291-F291)))</f>
        <v>4.974953E-2</v>
      </c>
      <c r="J291">
        <f>EXP(-(I291+Inputs!$B$9)*B291)</f>
        <v>0.30301022747485407</v>
      </c>
    </row>
    <row r="292" spans="1:10" x14ac:dyDescent="0.35">
      <c r="A292">
        <v>289</v>
      </c>
      <c r="B292">
        <f>A292/Inputs!$B$6</f>
        <v>24.083333333333332</v>
      </c>
      <c r="C292">
        <f>IF(B292&lt;=INDEX(YieldCurve!$A$4:$A$63,1),1,IF(B292&gt;=INDEX(YieldCurve!$A$4:$A$63,ROWS(YieldCurve!$A$4:$A$63)),ROWS(YieldCurve!$A$4:$A$63)-1,MATCH(B292,YieldCurve!$A$4:$A$63,1)))</f>
        <v>48</v>
      </c>
      <c r="D292">
        <f>INDEX(YieldCurve!$A$4:$A$63,C292)</f>
        <v>24</v>
      </c>
      <c r="E292">
        <f>INDEX(YieldCurve!$A$4:$A$63,C292+1)</f>
        <v>24.5</v>
      </c>
      <c r="F292">
        <f>INDEX(YieldCurve!$B$4:$B$63,C292)</f>
        <v>4.974953E-2</v>
      </c>
      <c r="G292">
        <f>INDEX(YieldCurve!$B$4:$B$63,C292+1)</f>
        <v>4.9716870000000003E-2</v>
      </c>
      <c r="H292">
        <f t="shared" si="4"/>
        <v>0.1666666666666643</v>
      </c>
      <c r="I292">
        <f>IF(B292&lt;=INDEX(YieldCurve!$A$4:$A$63,1),INDEX(YieldCurve!$B$4:$B$63,1),IF(B292&gt;=INDEX(YieldCurve!$A$4:$A$63,ROWS(YieldCurve!$A$4:$A$63)),INDEX(YieldCurve!$B$4:$B$63,ROWS(YieldCurve!$B$4:$B$63)),F292+H292*(G292-F292)))</f>
        <v>4.9744086666666666E-2</v>
      </c>
      <c r="J292">
        <f>EXP(-(I292+Inputs!$B$9)*B292)</f>
        <v>0.30179617081390925</v>
      </c>
    </row>
    <row r="293" spans="1:10" x14ac:dyDescent="0.35">
      <c r="A293">
        <v>290</v>
      </c>
      <c r="B293">
        <f>A293/Inputs!$B$6</f>
        <v>24.166666666666668</v>
      </c>
      <c r="C293">
        <f>IF(B293&lt;=INDEX(YieldCurve!$A$4:$A$63,1),1,IF(B293&gt;=INDEX(YieldCurve!$A$4:$A$63,ROWS(YieldCurve!$A$4:$A$63)),ROWS(YieldCurve!$A$4:$A$63)-1,MATCH(B293,YieldCurve!$A$4:$A$63,1)))</f>
        <v>48</v>
      </c>
      <c r="D293">
        <f>INDEX(YieldCurve!$A$4:$A$63,C293)</f>
        <v>24</v>
      </c>
      <c r="E293">
        <f>INDEX(YieldCurve!$A$4:$A$63,C293+1)</f>
        <v>24.5</v>
      </c>
      <c r="F293">
        <f>INDEX(YieldCurve!$B$4:$B$63,C293)</f>
        <v>4.974953E-2</v>
      </c>
      <c r="G293">
        <f>INDEX(YieldCurve!$B$4:$B$63,C293+1)</f>
        <v>4.9716870000000003E-2</v>
      </c>
      <c r="H293">
        <f t="shared" si="4"/>
        <v>0.3333333333333357</v>
      </c>
      <c r="I293">
        <f>IF(B293&lt;=INDEX(YieldCurve!$A$4:$A$63,1),INDEX(YieldCurve!$B$4:$B$63,1),IF(B293&gt;=INDEX(YieldCurve!$A$4:$A$63,ROWS(YieldCurve!$A$4:$A$63)),INDEX(YieldCurve!$B$4:$B$63,ROWS(YieldCurve!$B$4:$B$63)),F293+H293*(G293-F293)))</f>
        <v>4.9738643333333332E-2</v>
      </c>
      <c r="J293">
        <f>EXP(-(I293+Inputs!$B$9)*B293)</f>
        <v>0.30058725115533219</v>
      </c>
    </row>
    <row r="294" spans="1:10" x14ac:dyDescent="0.35">
      <c r="A294">
        <v>291</v>
      </c>
      <c r="B294">
        <f>A294/Inputs!$B$6</f>
        <v>24.25</v>
      </c>
      <c r="C294">
        <f>IF(B294&lt;=INDEX(YieldCurve!$A$4:$A$63,1),1,IF(B294&gt;=INDEX(YieldCurve!$A$4:$A$63,ROWS(YieldCurve!$A$4:$A$63)),ROWS(YieldCurve!$A$4:$A$63)-1,MATCH(B294,YieldCurve!$A$4:$A$63,1)))</f>
        <v>48</v>
      </c>
      <c r="D294">
        <f>INDEX(YieldCurve!$A$4:$A$63,C294)</f>
        <v>24</v>
      </c>
      <c r="E294">
        <f>INDEX(YieldCurve!$A$4:$A$63,C294+1)</f>
        <v>24.5</v>
      </c>
      <c r="F294">
        <f>INDEX(YieldCurve!$B$4:$B$63,C294)</f>
        <v>4.974953E-2</v>
      </c>
      <c r="G294">
        <f>INDEX(YieldCurve!$B$4:$B$63,C294+1)</f>
        <v>4.9716870000000003E-2</v>
      </c>
      <c r="H294">
        <f t="shared" si="4"/>
        <v>0.5</v>
      </c>
      <c r="I294">
        <f>IF(B294&lt;=INDEX(YieldCurve!$A$4:$A$63,1),INDEX(YieldCurve!$B$4:$B$63,1),IF(B294&gt;=INDEX(YieldCurve!$A$4:$A$63,ROWS(YieldCurve!$A$4:$A$63)),INDEX(YieldCurve!$B$4:$B$63,ROWS(YieldCurve!$B$4:$B$63)),F294+H294*(G294-F294)))</f>
        <v>4.9733200000000005E-2</v>
      </c>
      <c r="J294">
        <f>EXP(-(I294+Inputs!$B$9)*B294)</f>
        <v>0.29938344573245651</v>
      </c>
    </row>
    <row r="295" spans="1:10" x14ac:dyDescent="0.35">
      <c r="A295">
        <v>292</v>
      </c>
      <c r="B295">
        <f>A295/Inputs!$B$6</f>
        <v>24.333333333333332</v>
      </c>
      <c r="C295">
        <f>IF(B295&lt;=INDEX(YieldCurve!$A$4:$A$63,1),1,IF(B295&gt;=INDEX(YieldCurve!$A$4:$A$63,ROWS(YieldCurve!$A$4:$A$63)),ROWS(YieldCurve!$A$4:$A$63)-1,MATCH(B295,YieldCurve!$A$4:$A$63,1)))</f>
        <v>48</v>
      </c>
      <c r="D295">
        <f>INDEX(YieldCurve!$A$4:$A$63,C295)</f>
        <v>24</v>
      </c>
      <c r="E295">
        <f>INDEX(YieldCurve!$A$4:$A$63,C295+1)</f>
        <v>24.5</v>
      </c>
      <c r="F295">
        <f>INDEX(YieldCurve!$B$4:$B$63,C295)</f>
        <v>4.974953E-2</v>
      </c>
      <c r="G295">
        <f>INDEX(YieldCurve!$B$4:$B$63,C295+1)</f>
        <v>4.9716870000000003E-2</v>
      </c>
      <c r="H295">
        <f t="shared" si="4"/>
        <v>0.6666666666666643</v>
      </c>
      <c r="I295">
        <f>IF(B295&lt;=INDEX(YieldCurve!$A$4:$A$63,1),INDEX(YieldCurve!$B$4:$B$63,1),IF(B295&gt;=INDEX(YieldCurve!$A$4:$A$63,ROWS(YieldCurve!$A$4:$A$63)),INDEX(YieldCurve!$B$4:$B$63,ROWS(YieldCurve!$B$4:$B$63)),F295+H295*(G295-F295)))</f>
        <v>4.9727756666666671E-2</v>
      </c>
      <c r="J295">
        <f>EXP(-(I295+Inputs!$B$9)*B295)</f>
        <v>0.29818473188369449</v>
      </c>
    </row>
    <row r="296" spans="1:10" x14ac:dyDescent="0.35">
      <c r="A296">
        <v>293</v>
      </c>
      <c r="B296">
        <f>A296/Inputs!$B$6</f>
        <v>24.416666666666668</v>
      </c>
      <c r="C296">
        <f>IF(B296&lt;=INDEX(YieldCurve!$A$4:$A$63,1),1,IF(B296&gt;=INDEX(YieldCurve!$A$4:$A$63,ROWS(YieldCurve!$A$4:$A$63)),ROWS(YieldCurve!$A$4:$A$63)-1,MATCH(B296,YieldCurve!$A$4:$A$63,1)))</f>
        <v>48</v>
      </c>
      <c r="D296">
        <f>INDEX(YieldCurve!$A$4:$A$63,C296)</f>
        <v>24</v>
      </c>
      <c r="E296">
        <f>INDEX(YieldCurve!$A$4:$A$63,C296+1)</f>
        <v>24.5</v>
      </c>
      <c r="F296">
        <f>INDEX(YieldCurve!$B$4:$B$63,C296)</f>
        <v>4.974953E-2</v>
      </c>
      <c r="G296">
        <f>INDEX(YieldCurve!$B$4:$B$63,C296+1)</f>
        <v>4.9716870000000003E-2</v>
      </c>
      <c r="H296">
        <f t="shared" si="4"/>
        <v>0.8333333333333357</v>
      </c>
      <c r="I296">
        <f>IF(B296&lt;=INDEX(YieldCurve!$A$4:$A$63,1),INDEX(YieldCurve!$B$4:$B$63,1),IF(B296&gt;=INDEX(YieldCurve!$A$4:$A$63,ROWS(YieldCurve!$A$4:$A$63)),INDEX(YieldCurve!$B$4:$B$63,ROWS(YieldCurve!$B$4:$B$63)),F296+H296*(G296-F296)))</f>
        <v>4.9722313333333337E-2</v>
      </c>
      <c r="J296">
        <f>EXP(-(I296+Inputs!$B$9)*B296)</f>
        <v>0.29699108705203403</v>
      </c>
    </row>
    <row r="297" spans="1:10" x14ac:dyDescent="0.35">
      <c r="A297">
        <v>294</v>
      </c>
      <c r="B297">
        <f>A297/Inputs!$B$6</f>
        <v>24.5</v>
      </c>
      <c r="C297">
        <f>IF(B297&lt;=INDEX(YieldCurve!$A$4:$A$63,1),1,IF(B297&gt;=INDEX(YieldCurve!$A$4:$A$63,ROWS(YieldCurve!$A$4:$A$63)),ROWS(YieldCurve!$A$4:$A$63)-1,MATCH(B297,YieldCurve!$A$4:$A$63,1)))</f>
        <v>49</v>
      </c>
      <c r="D297">
        <f>INDEX(YieldCurve!$A$4:$A$63,C297)</f>
        <v>24.5</v>
      </c>
      <c r="E297">
        <f>INDEX(YieldCurve!$A$4:$A$63,C297+1)</f>
        <v>25</v>
      </c>
      <c r="F297">
        <f>INDEX(YieldCurve!$B$4:$B$63,C297)</f>
        <v>4.9716870000000003E-2</v>
      </c>
      <c r="G297">
        <f>INDEX(YieldCurve!$B$4:$B$63,C297+1)</f>
        <v>4.968595E-2</v>
      </c>
      <c r="H297">
        <f t="shared" si="4"/>
        <v>0</v>
      </c>
      <c r="I297">
        <f>IF(B297&lt;=INDEX(YieldCurve!$A$4:$A$63,1),INDEX(YieldCurve!$B$4:$B$63,1),IF(B297&gt;=INDEX(YieldCurve!$A$4:$A$63,ROWS(YieldCurve!$A$4:$A$63)),INDEX(YieldCurve!$B$4:$B$63,ROWS(YieldCurve!$B$4:$B$63)),F297+H297*(G297-F297)))</f>
        <v>4.9716870000000003E-2</v>
      </c>
      <c r="J297">
        <f>EXP(-(I297+Inputs!$B$9)*B297)</f>
        <v>0.29580248878453841</v>
      </c>
    </row>
    <row r="298" spans="1:10" x14ac:dyDescent="0.35">
      <c r="A298">
        <v>295</v>
      </c>
      <c r="B298">
        <f>A298/Inputs!$B$6</f>
        <v>24.583333333333332</v>
      </c>
      <c r="C298">
        <f>IF(B298&lt;=INDEX(YieldCurve!$A$4:$A$63,1),1,IF(B298&gt;=INDEX(YieldCurve!$A$4:$A$63,ROWS(YieldCurve!$A$4:$A$63)),ROWS(YieldCurve!$A$4:$A$63)-1,MATCH(B298,YieldCurve!$A$4:$A$63,1)))</f>
        <v>49</v>
      </c>
      <c r="D298">
        <f>INDEX(YieldCurve!$A$4:$A$63,C298)</f>
        <v>24.5</v>
      </c>
      <c r="E298">
        <f>INDEX(YieldCurve!$A$4:$A$63,C298+1)</f>
        <v>25</v>
      </c>
      <c r="F298">
        <f>INDEX(YieldCurve!$B$4:$B$63,C298)</f>
        <v>4.9716870000000003E-2</v>
      </c>
      <c r="G298">
        <f>INDEX(YieldCurve!$B$4:$B$63,C298+1)</f>
        <v>4.968595E-2</v>
      </c>
      <c r="H298">
        <f t="shared" si="4"/>
        <v>0.1666666666666643</v>
      </c>
      <c r="I298">
        <f>IF(B298&lt;=INDEX(YieldCurve!$A$4:$A$63,1),INDEX(YieldCurve!$B$4:$B$63,1),IF(B298&gt;=INDEX(YieldCurve!$A$4:$A$63,ROWS(YieldCurve!$A$4:$A$63)),INDEX(YieldCurve!$B$4:$B$63,ROWS(YieldCurve!$B$4:$B$63)),F298+H298*(G298-F298)))</f>
        <v>4.9711716666666669E-2</v>
      </c>
      <c r="J298">
        <f>EXP(-(I298+Inputs!$B$9)*B298)</f>
        <v>0.29461681435198894</v>
      </c>
    </row>
    <row r="299" spans="1:10" x14ac:dyDescent="0.35">
      <c r="A299">
        <v>296</v>
      </c>
      <c r="B299">
        <f>A299/Inputs!$B$6</f>
        <v>24.666666666666668</v>
      </c>
      <c r="C299">
        <f>IF(B299&lt;=INDEX(YieldCurve!$A$4:$A$63,1),1,IF(B299&gt;=INDEX(YieldCurve!$A$4:$A$63,ROWS(YieldCurve!$A$4:$A$63)),ROWS(YieldCurve!$A$4:$A$63)-1,MATCH(B299,YieldCurve!$A$4:$A$63,1)))</f>
        <v>49</v>
      </c>
      <c r="D299">
        <f>INDEX(YieldCurve!$A$4:$A$63,C299)</f>
        <v>24.5</v>
      </c>
      <c r="E299">
        <f>INDEX(YieldCurve!$A$4:$A$63,C299+1)</f>
        <v>25</v>
      </c>
      <c r="F299">
        <f>INDEX(YieldCurve!$B$4:$B$63,C299)</f>
        <v>4.9716870000000003E-2</v>
      </c>
      <c r="G299">
        <f>INDEX(YieldCurve!$B$4:$B$63,C299+1)</f>
        <v>4.968595E-2</v>
      </c>
      <c r="H299">
        <f t="shared" si="4"/>
        <v>0.3333333333333357</v>
      </c>
      <c r="I299">
        <f>IF(B299&lt;=INDEX(YieldCurve!$A$4:$A$63,1),INDEX(YieldCurve!$B$4:$B$63,1),IF(B299&gt;=INDEX(YieldCurve!$A$4:$A$63,ROWS(YieldCurve!$A$4:$A$63)),INDEX(YieldCurve!$B$4:$B$63,ROWS(YieldCurve!$B$4:$B$63)),F299+H299*(G299-F299)))</f>
        <v>4.9706563333333335E-2</v>
      </c>
      <c r="J299">
        <f>EXP(-(I299+Inputs!$B$9)*B299)</f>
        <v>0.29343614452454803</v>
      </c>
    </row>
    <row r="300" spans="1:10" x14ac:dyDescent="0.35">
      <c r="A300">
        <v>297</v>
      </c>
      <c r="B300">
        <f>A300/Inputs!$B$6</f>
        <v>24.75</v>
      </c>
      <c r="C300">
        <f>IF(B300&lt;=INDEX(YieldCurve!$A$4:$A$63,1),1,IF(B300&gt;=INDEX(YieldCurve!$A$4:$A$63,ROWS(YieldCurve!$A$4:$A$63)),ROWS(YieldCurve!$A$4:$A$63)-1,MATCH(B300,YieldCurve!$A$4:$A$63,1)))</f>
        <v>49</v>
      </c>
      <c r="D300">
        <f>INDEX(YieldCurve!$A$4:$A$63,C300)</f>
        <v>24.5</v>
      </c>
      <c r="E300">
        <f>INDEX(YieldCurve!$A$4:$A$63,C300+1)</f>
        <v>25</v>
      </c>
      <c r="F300">
        <f>INDEX(YieldCurve!$B$4:$B$63,C300)</f>
        <v>4.9716870000000003E-2</v>
      </c>
      <c r="G300">
        <f>INDEX(YieldCurve!$B$4:$B$63,C300+1)</f>
        <v>4.968595E-2</v>
      </c>
      <c r="H300">
        <f t="shared" si="4"/>
        <v>0.5</v>
      </c>
      <c r="I300">
        <f>IF(B300&lt;=INDEX(YieldCurve!$A$4:$A$63,1),INDEX(YieldCurve!$B$4:$B$63,1),IF(B300&gt;=INDEX(YieldCurve!$A$4:$A$63,ROWS(YieldCurve!$A$4:$A$63)),INDEX(YieldCurve!$B$4:$B$63,ROWS(YieldCurve!$B$4:$B$63)),F300+H300*(G300-F300)))</f>
        <v>4.9701410000000001E-2</v>
      </c>
      <c r="J300">
        <f>EXP(-(I300+Inputs!$B$9)*B300)</f>
        <v>0.29226045722231508</v>
      </c>
    </row>
    <row r="301" spans="1:10" x14ac:dyDescent="0.35">
      <c r="A301">
        <v>298</v>
      </c>
      <c r="B301">
        <f>A301/Inputs!$B$6</f>
        <v>24.833333333333332</v>
      </c>
      <c r="C301">
        <f>IF(B301&lt;=INDEX(YieldCurve!$A$4:$A$63,1),1,IF(B301&gt;=INDEX(YieldCurve!$A$4:$A$63,ROWS(YieldCurve!$A$4:$A$63)),ROWS(YieldCurve!$A$4:$A$63)-1,MATCH(B301,YieldCurve!$A$4:$A$63,1)))</f>
        <v>49</v>
      </c>
      <c r="D301">
        <f>INDEX(YieldCurve!$A$4:$A$63,C301)</f>
        <v>24.5</v>
      </c>
      <c r="E301">
        <f>INDEX(YieldCurve!$A$4:$A$63,C301+1)</f>
        <v>25</v>
      </c>
      <c r="F301">
        <f>INDEX(YieldCurve!$B$4:$B$63,C301)</f>
        <v>4.9716870000000003E-2</v>
      </c>
      <c r="G301">
        <f>INDEX(YieldCurve!$B$4:$B$63,C301+1)</f>
        <v>4.968595E-2</v>
      </c>
      <c r="H301">
        <f t="shared" si="4"/>
        <v>0.6666666666666643</v>
      </c>
      <c r="I301">
        <f>IF(B301&lt;=INDEX(YieldCurve!$A$4:$A$63,1),INDEX(YieldCurve!$B$4:$B$63,1),IF(B301&gt;=INDEX(YieldCurve!$A$4:$A$63,ROWS(YieldCurve!$A$4:$A$63)),INDEX(YieldCurve!$B$4:$B$63,ROWS(YieldCurve!$B$4:$B$63)),F301+H301*(G301-F301)))</f>
        <v>4.9696256666666667E-2</v>
      </c>
      <c r="J301">
        <f>EXP(-(I301+Inputs!$B$9)*B301)</f>
        <v>0.29108973046667747</v>
      </c>
    </row>
    <row r="302" spans="1:10" x14ac:dyDescent="0.35">
      <c r="A302">
        <v>299</v>
      </c>
      <c r="B302">
        <f>A302/Inputs!$B$6</f>
        <v>24.916666666666668</v>
      </c>
      <c r="C302">
        <f>IF(B302&lt;=INDEX(YieldCurve!$A$4:$A$63,1),1,IF(B302&gt;=INDEX(YieldCurve!$A$4:$A$63,ROWS(YieldCurve!$A$4:$A$63)),ROWS(YieldCurve!$A$4:$A$63)-1,MATCH(B302,YieldCurve!$A$4:$A$63,1)))</f>
        <v>49</v>
      </c>
      <c r="D302">
        <f>INDEX(YieldCurve!$A$4:$A$63,C302)</f>
        <v>24.5</v>
      </c>
      <c r="E302">
        <f>INDEX(YieldCurve!$A$4:$A$63,C302+1)</f>
        <v>25</v>
      </c>
      <c r="F302">
        <f>INDEX(YieldCurve!$B$4:$B$63,C302)</f>
        <v>4.9716870000000003E-2</v>
      </c>
      <c r="G302">
        <f>INDEX(YieldCurve!$B$4:$B$63,C302+1)</f>
        <v>4.968595E-2</v>
      </c>
      <c r="H302">
        <f t="shared" si="4"/>
        <v>0.8333333333333357</v>
      </c>
      <c r="I302">
        <f>IF(B302&lt;=INDEX(YieldCurve!$A$4:$A$63,1),INDEX(YieldCurve!$B$4:$B$63,1),IF(B302&gt;=INDEX(YieldCurve!$A$4:$A$63,ROWS(YieldCurve!$A$4:$A$63)),INDEX(YieldCurve!$B$4:$B$63,ROWS(YieldCurve!$B$4:$B$63)),F302+H302*(G302-F302)))</f>
        <v>4.9691103333333334E-2</v>
      </c>
      <c r="J302">
        <f>EXP(-(I302+Inputs!$B$9)*B302)</f>
        <v>0.28992394237982894</v>
      </c>
    </row>
    <row r="303" spans="1:10" x14ac:dyDescent="0.35">
      <c r="A303">
        <v>300</v>
      </c>
      <c r="B303">
        <f>A303/Inputs!$B$6</f>
        <v>25</v>
      </c>
      <c r="C303">
        <f>IF(B303&lt;=INDEX(YieldCurve!$A$4:$A$63,1),1,IF(B303&gt;=INDEX(YieldCurve!$A$4:$A$63,ROWS(YieldCurve!$A$4:$A$63)),ROWS(YieldCurve!$A$4:$A$63)-1,MATCH(B303,YieldCurve!$A$4:$A$63,1)))</f>
        <v>50</v>
      </c>
      <c r="D303">
        <f>INDEX(YieldCurve!$A$4:$A$63,C303)</f>
        <v>25</v>
      </c>
      <c r="E303">
        <f>INDEX(YieldCurve!$A$4:$A$63,C303+1)</f>
        <v>25.5</v>
      </c>
      <c r="F303">
        <f>INDEX(YieldCurve!$B$4:$B$63,C303)</f>
        <v>4.968595E-2</v>
      </c>
      <c r="G303">
        <f>INDEX(YieldCurve!$B$4:$B$63,C303+1)</f>
        <v>4.9656659999999998E-2</v>
      </c>
      <c r="H303">
        <f t="shared" si="4"/>
        <v>0</v>
      </c>
      <c r="I303">
        <f>IF(B303&lt;=INDEX(YieldCurve!$A$4:$A$63,1),INDEX(YieldCurve!$B$4:$B$63,1),IF(B303&gt;=INDEX(YieldCurve!$A$4:$A$63,ROWS(YieldCurve!$A$4:$A$63)),INDEX(YieldCurve!$B$4:$B$63,ROWS(YieldCurve!$B$4:$B$63)),F303+H303*(G303-F303)))</f>
        <v>4.968595E-2</v>
      </c>
      <c r="J303">
        <f>EXP(-(I303+Inputs!$B$9)*B303)</f>
        <v>0.28876307118429151</v>
      </c>
    </row>
    <row r="304" spans="1:10" x14ac:dyDescent="0.35">
      <c r="A304">
        <v>301</v>
      </c>
      <c r="B304">
        <f>A304/Inputs!$B$6</f>
        <v>25.083333333333332</v>
      </c>
      <c r="C304">
        <f>IF(B304&lt;=INDEX(YieldCurve!$A$4:$A$63,1),1,IF(B304&gt;=INDEX(YieldCurve!$A$4:$A$63,ROWS(YieldCurve!$A$4:$A$63)),ROWS(YieldCurve!$A$4:$A$63)-1,MATCH(B304,YieldCurve!$A$4:$A$63,1)))</f>
        <v>50</v>
      </c>
      <c r="D304">
        <f>INDEX(YieldCurve!$A$4:$A$63,C304)</f>
        <v>25</v>
      </c>
      <c r="E304">
        <f>INDEX(YieldCurve!$A$4:$A$63,C304+1)</f>
        <v>25.5</v>
      </c>
      <c r="F304">
        <f>INDEX(YieldCurve!$B$4:$B$63,C304)</f>
        <v>4.968595E-2</v>
      </c>
      <c r="G304">
        <f>INDEX(YieldCurve!$B$4:$B$63,C304+1)</f>
        <v>4.9656659999999998E-2</v>
      </c>
      <c r="H304">
        <f t="shared" si="4"/>
        <v>0.1666666666666643</v>
      </c>
      <c r="I304">
        <f>IF(B304&lt;=INDEX(YieldCurve!$A$4:$A$63,1),INDEX(YieldCurve!$B$4:$B$63,1),IF(B304&gt;=INDEX(YieldCurve!$A$4:$A$63,ROWS(YieldCurve!$A$4:$A$63)),INDEX(YieldCurve!$B$4:$B$63,ROWS(YieldCurve!$B$4:$B$63)),F304+H304*(G304-F304)))</f>
        <v>4.9681068333333335E-2</v>
      </c>
      <c r="J304">
        <f>EXP(-(I304+Inputs!$B$9)*B304)</f>
        <v>0.28760513536648891</v>
      </c>
    </row>
    <row r="305" spans="1:10" x14ac:dyDescent="0.35">
      <c r="A305">
        <v>302</v>
      </c>
      <c r="B305">
        <f>A305/Inputs!$B$6</f>
        <v>25.166666666666668</v>
      </c>
      <c r="C305">
        <f>IF(B305&lt;=INDEX(YieldCurve!$A$4:$A$63,1),1,IF(B305&gt;=INDEX(YieldCurve!$A$4:$A$63,ROWS(YieldCurve!$A$4:$A$63)),ROWS(YieldCurve!$A$4:$A$63)-1,MATCH(B305,YieldCurve!$A$4:$A$63,1)))</f>
        <v>50</v>
      </c>
      <c r="D305">
        <f>INDEX(YieldCurve!$A$4:$A$63,C305)</f>
        <v>25</v>
      </c>
      <c r="E305">
        <f>INDEX(YieldCurve!$A$4:$A$63,C305+1)</f>
        <v>25.5</v>
      </c>
      <c r="F305">
        <f>INDEX(YieldCurve!$B$4:$B$63,C305)</f>
        <v>4.968595E-2</v>
      </c>
      <c r="G305">
        <f>INDEX(YieldCurve!$B$4:$B$63,C305+1)</f>
        <v>4.9656659999999998E-2</v>
      </c>
      <c r="H305">
        <f t="shared" si="4"/>
        <v>0.3333333333333357</v>
      </c>
      <c r="I305">
        <f>IF(B305&lt;=INDEX(YieldCurve!$A$4:$A$63,1),INDEX(YieldCurve!$B$4:$B$63,1),IF(B305&gt;=INDEX(YieldCurve!$A$4:$A$63,ROWS(YieldCurve!$A$4:$A$63)),INDEX(YieldCurve!$B$4:$B$63,ROWS(YieldCurve!$B$4:$B$63)),F305+H305*(G305-F305)))</f>
        <v>4.9676186666666663E-2</v>
      </c>
      <c r="J305">
        <f>EXP(-(I305+Inputs!$B$9)*B305)</f>
        <v>0.28645207591538113</v>
      </c>
    </row>
    <row r="306" spans="1:10" x14ac:dyDescent="0.35">
      <c r="A306">
        <v>303</v>
      </c>
      <c r="B306">
        <f>A306/Inputs!$B$6</f>
        <v>25.25</v>
      </c>
      <c r="C306">
        <f>IF(B306&lt;=INDEX(YieldCurve!$A$4:$A$63,1),1,IF(B306&gt;=INDEX(YieldCurve!$A$4:$A$63,ROWS(YieldCurve!$A$4:$A$63)),ROWS(YieldCurve!$A$4:$A$63)-1,MATCH(B306,YieldCurve!$A$4:$A$63,1)))</f>
        <v>50</v>
      </c>
      <c r="D306">
        <f>INDEX(YieldCurve!$A$4:$A$63,C306)</f>
        <v>25</v>
      </c>
      <c r="E306">
        <f>INDEX(YieldCurve!$A$4:$A$63,C306+1)</f>
        <v>25.5</v>
      </c>
      <c r="F306">
        <f>INDEX(YieldCurve!$B$4:$B$63,C306)</f>
        <v>4.968595E-2</v>
      </c>
      <c r="G306">
        <f>INDEX(YieldCurve!$B$4:$B$63,C306+1)</f>
        <v>4.9656659999999998E-2</v>
      </c>
      <c r="H306">
        <f t="shared" si="4"/>
        <v>0.5</v>
      </c>
      <c r="I306">
        <f>IF(B306&lt;=INDEX(YieldCurve!$A$4:$A$63,1),INDEX(YieldCurve!$B$4:$B$63,1),IF(B306&gt;=INDEX(YieldCurve!$A$4:$A$63,ROWS(YieldCurve!$A$4:$A$63)),INDEX(YieldCurve!$B$4:$B$63,ROWS(YieldCurve!$B$4:$B$63)),F306+H306*(G306-F306)))</f>
        <v>4.9671304999999999E-2</v>
      </c>
      <c r="J306">
        <f>EXP(-(I306+Inputs!$B$9)*B306)</f>
        <v>0.28530387140823488</v>
      </c>
    </row>
    <row r="307" spans="1:10" x14ac:dyDescent="0.35">
      <c r="A307">
        <v>304</v>
      </c>
      <c r="B307">
        <f>A307/Inputs!$B$6</f>
        <v>25.333333333333332</v>
      </c>
      <c r="C307">
        <f>IF(B307&lt;=INDEX(YieldCurve!$A$4:$A$63,1),1,IF(B307&gt;=INDEX(YieldCurve!$A$4:$A$63,ROWS(YieldCurve!$A$4:$A$63)),ROWS(YieldCurve!$A$4:$A$63)-1,MATCH(B307,YieldCurve!$A$4:$A$63,1)))</f>
        <v>50</v>
      </c>
      <c r="D307">
        <f>INDEX(YieldCurve!$A$4:$A$63,C307)</f>
        <v>25</v>
      </c>
      <c r="E307">
        <f>INDEX(YieldCurve!$A$4:$A$63,C307+1)</f>
        <v>25.5</v>
      </c>
      <c r="F307">
        <f>INDEX(YieldCurve!$B$4:$B$63,C307)</f>
        <v>4.968595E-2</v>
      </c>
      <c r="G307">
        <f>INDEX(YieldCurve!$B$4:$B$63,C307+1)</f>
        <v>4.9656659999999998E-2</v>
      </c>
      <c r="H307">
        <f t="shared" si="4"/>
        <v>0.6666666666666643</v>
      </c>
      <c r="I307">
        <f>IF(B307&lt;=INDEX(YieldCurve!$A$4:$A$63,1),INDEX(YieldCurve!$B$4:$B$63,1),IF(B307&gt;=INDEX(YieldCurve!$A$4:$A$63,ROWS(YieldCurve!$A$4:$A$63)),INDEX(YieldCurve!$B$4:$B$63,ROWS(YieldCurve!$B$4:$B$63)),F307+H307*(G307-F307)))</f>
        <v>4.9666423333333334E-2</v>
      </c>
      <c r="J307">
        <f>EXP(-(I307+Inputs!$B$9)*B307)</f>
        <v>0.28416050052002229</v>
      </c>
    </row>
    <row r="308" spans="1:10" x14ac:dyDescent="0.35">
      <c r="A308">
        <v>305</v>
      </c>
      <c r="B308">
        <f>A308/Inputs!$B$6</f>
        <v>25.416666666666668</v>
      </c>
      <c r="C308">
        <f>IF(B308&lt;=INDEX(YieldCurve!$A$4:$A$63,1),1,IF(B308&gt;=INDEX(YieldCurve!$A$4:$A$63,ROWS(YieldCurve!$A$4:$A$63)),ROWS(YieldCurve!$A$4:$A$63)-1,MATCH(B308,YieldCurve!$A$4:$A$63,1)))</f>
        <v>50</v>
      </c>
      <c r="D308">
        <f>INDEX(YieldCurve!$A$4:$A$63,C308)</f>
        <v>25</v>
      </c>
      <c r="E308">
        <f>INDEX(YieldCurve!$A$4:$A$63,C308+1)</f>
        <v>25.5</v>
      </c>
      <c r="F308">
        <f>INDEX(YieldCurve!$B$4:$B$63,C308)</f>
        <v>4.968595E-2</v>
      </c>
      <c r="G308">
        <f>INDEX(YieldCurve!$B$4:$B$63,C308+1)</f>
        <v>4.9656659999999998E-2</v>
      </c>
      <c r="H308">
        <f t="shared" si="4"/>
        <v>0.8333333333333357</v>
      </c>
      <c r="I308">
        <f>IF(B308&lt;=INDEX(YieldCurve!$A$4:$A$63,1),INDEX(YieldCurve!$B$4:$B$63,1),IF(B308&gt;=INDEX(YieldCurve!$A$4:$A$63,ROWS(YieldCurve!$A$4:$A$63)),INDEX(YieldCurve!$B$4:$B$63,ROWS(YieldCurve!$B$4:$B$63)),F308+H308*(G308-F308)))</f>
        <v>4.9661541666666663E-2</v>
      </c>
      <c r="J308">
        <f>EXP(-(I308+Inputs!$B$9)*B308)</f>
        <v>0.28302194202295938</v>
      </c>
    </row>
    <row r="309" spans="1:10" x14ac:dyDescent="0.35">
      <c r="A309">
        <v>306</v>
      </c>
      <c r="B309">
        <f>A309/Inputs!$B$6</f>
        <v>25.5</v>
      </c>
      <c r="C309">
        <f>IF(B309&lt;=INDEX(YieldCurve!$A$4:$A$63,1),1,IF(B309&gt;=INDEX(YieldCurve!$A$4:$A$63,ROWS(YieldCurve!$A$4:$A$63)),ROWS(YieldCurve!$A$4:$A$63)-1,MATCH(B309,YieldCurve!$A$4:$A$63,1)))</f>
        <v>51</v>
      </c>
      <c r="D309">
        <f>INDEX(YieldCurve!$A$4:$A$63,C309)</f>
        <v>25.5</v>
      </c>
      <c r="E309">
        <f>INDEX(YieldCurve!$A$4:$A$63,C309+1)</f>
        <v>26</v>
      </c>
      <c r="F309">
        <f>INDEX(YieldCurve!$B$4:$B$63,C309)</f>
        <v>4.9656659999999998E-2</v>
      </c>
      <c r="G309">
        <f>INDEX(YieldCurve!$B$4:$B$63,C309+1)</f>
        <v>4.9628940000000003E-2</v>
      </c>
      <c r="H309">
        <f t="shared" si="4"/>
        <v>0</v>
      </c>
      <c r="I309">
        <f>IF(B309&lt;=INDEX(YieldCurve!$A$4:$A$63,1),INDEX(YieldCurve!$B$4:$B$63,1),IF(B309&gt;=INDEX(YieldCurve!$A$4:$A$63,ROWS(YieldCurve!$A$4:$A$63)),INDEX(YieldCurve!$B$4:$B$63,ROWS(YieldCurve!$B$4:$B$63)),F309+H309*(G309-F309)))</f>
        <v>4.9656659999999998E-2</v>
      </c>
      <c r="J309">
        <f>EXP(-(I309+Inputs!$B$9)*B309)</f>
        <v>0.28188817478604811</v>
      </c>
    </row>
    <row r="310" spans="1:10" x14ac:dyDescent="0.35">
      <c r="A310">
        <v>307</v>
      </c>
      <c r="B310">
        <f>A310/Inputs!$B$6</f>
        <v>25.583333333333332</v>
      </c>
      <c r="C310">
        <f>IF(B310&lt;=INDEX(YieldCurve!$A$4:$A$63,1),1,IF(B310&gt;=INDEX(YieldCurve!$A$4:$A$63,ROWS(YieldCurve!$A$4:$A$63)),ROWS(YieldCurve!$A$4:$A$63)-1,MATCH(B310,YieldCurve!$A$4:$A$63,1)))</f>
        <v>51</v>
      </c>
      <c r="D310">
        <f>INDEX(YieldCurve!$A$4:$A$63,C310)</f>
        <v>25.5</v>
      </c>
      <c r="E310">
        <f>INDEX(YieldCurve!$A$4:$A$63,C310+1)</f>
        <v>26</v>
      </c>
      <c r="F310">
        <f>INDEX(YieldCurve!$B$4:$B$63,C310)</f>
        <v>4.9656659999999998E-2</v>
      </c>
      <c r="G310">
        <f>INDEX(YieldCurve!$B$4:$B$63,C310+1)</f>
        <v>4.9628940000000003E-2</v>
      </c>
      <c r="H310">
        <f t="shared" si="4"/>
        <v>0.1666666666666643</v>
      </c>
      <c r="I310">
        <f>IF(B310&lt;=INDEX(YieldCurve!$A$4:$A$63,1),INDEX(YieldCurve!$B$4:$B$63,1),IF(B310&gt;=INDEX(YieldCurve!$A$4:$A$63,ROWS(YieldCurve!$A$4:$A$63)),INDEX(YieldCurve!$B$4:$B$63,ROWS(YieldCurve!$B$4:$B$63)),F310+H310*(G310-F310)))</f>
        <v>4.9652040000000001E-2</v>
      </c>
      <c r="J310">
        <f>EXP(-(I310+Inputs!$B$9)*B310)</f>
        <v>0.2807572982931868</v>
      </c>
    </row>
    <row r="311" spans="1:10" x14ac:dyDescent="0.35">
      <c r="A311">
        <v>308</v>
      </c>
      <c r="B311">
        <f>A311/Inputs!$B$6</f>
        <v>25.666666666666668</v>
      </c>
      <c r="C311">
        <f>IF(B311&lt;=INDEX(YieldCurve!$A$4:$A$63,1),1,IF(B311&gt;=INDEX(YieldCurve!$A$4:$A$63,ROWS(YieldCurve!$A$4:$A$63)),ROWS(YieldCurve!$A$4:$A$63)-1,MATCH(B311,YieldCurve!$A$4:$A$63,1)))</f>
        <v>51</v>
      </c>
      <c r="D311">
        <f>INDEX(YieldCurve!$A$4:$A$63,C311)</f>
        <v>25.5</v>
      </c>
      <c r="E311">
        <f>INDEX(YieldCurve!$A$4:$A$63,C311+1)</f>
        <v>26</v>
      </c>
      <c r="F311">
        <f>INDEX(YieldCurve!$B$4:$B$63,C311)</f>
        <v>4.9656659999999998E-2</v>
      </c>
      <c r="G311">
        <f>INDEX(YieldCurve!$B$4:$B$63,C311+1)</f>
        <v>4.9628940000000003E-2</v>
      </c>
      <c r="H311">
        <f t="shared" si="4"/>
        <v>0.3333333333333357</v>
      </c>
      <c r="I311">
        <f>IF(B311&lt;=INDEX(YieldCurve!$A$4:$A$63,1),INDEX(YieldCurve!$B$4:$B$63,1),IF(B311&gt;=INDEX(YieldCurve!$A$4:$A$63,ROWS(YieldCurve!$A$4:$A$63)),INDEX(YieldCurve!$B$4:$B$63,ROWS(YieldCurve!$B$4:$B$63)),F311+H311*(G311-F311)))</f>
        <v>4.9647419999999998E-2</v>
      </c>
      <c r="J311">
        <f>EXP(-(I311+Inputs!$B$9)*B311)</f>
        <v>0.27963117395658438</v>
      </c>
    </row>
    <row r="312" spans="1:10" x14ac:dyDescent="0.35">
      <c r="A312">
        <v>309</v>
      </c>
      <c r="B312">
        <f>A312/Inputs!$B$6</f>
        <v>25.75</v>
      </c>
      <c r="C312">
        <f>IF(B312&lt;=INDEX(YieldCurve!$A$4:$A$63,1),1,IF(B312&gt;=INDEX(YieldCurve!$A$4:$A$63,ROWS(YieldCurve!$A$4:$A$63)),ROWS(YieldCurve!$A$4:$A$63)-1,MATCH(B312,YieldCurve!$A$4:$A$63,1)))</f>
        <v>51</v>
      </c>
      <c r="D312">
        <f>INDEX(YieldCurve!$A$4:$A$63,C312)</f>
        <v>25.5</v>
      </c>
      <c r="E312">
        <f>INDEX(YieldCurve!$A$4:$A$63,C312+1)</f>
        <v>26</v>
      </c>
      <c r="F312">
        <f>INDEX(YieldCurve!$B$4:$B$63,C312)</f>
        <v>4.9656659999999998E-2</v>
      </c>
      <c r="G312">
        <f>INDEX(YieldCurve!$B$4:$B$63,C312+1)</f>
        <v>4.9628940000000003E-2</v>
      </c>
      <c r="H312">
        <f t="shared" si="4"/>
        <v>0.5</v>
      </c>
      <c r="I312">
        <f>IF(B312&lt;=INDEX(YieldCurve!$A$4:$A$63,1),INDEX(YieldCurve!$B$4:$B$63,1),IF(B312&gt;=INDEX(YieldCurve!$A$4:$A$63,ROWS(YieldCurve!$A$4:$A$63)),INDEX(YieldCurve!$B$4:$B$63,ROWS(YieldCurve!$B$4:$B$63)),F312+H312*(G312-F312)))</f>
        <v>4.9642800000000001E-2</v>
      </c>
      <c r="J312">
        <f>EXP(-(I312+Inputs!$B$9)*B312)</f>
        <v>0.27850978098447249</v>
      </c>
    </row>
    <row r="313" spans="1:10" x14ac:dyDescent="0.35">
      <c r="A313">
        <v>310</v>
      </c>
      <c r="B313">
        <f>A313/Inputs!$B$6</f>
        <v>25.833333333333332</v>
      </c>
      <c r="C313">
        <f>IF(B313&lt;=INDEX(YieldCurve!$A$4:$A$63,1),1,IF(B313&gt;=INDEX(YieldCurve!$A$4:$A$63,ROWS(YieldCurve!$A$4:$A$63)),ROWS(YieldCurve!$A$4:$A$63)-1,MATCH(B313,YieldCurve!$A$4:$A$63,1)))</f>
        <v>51</v>
      </c>
      <c r="D313">
        <f>INDEX(YieldCurve!$A$4:$A$63,C313)</f>
        <v>25.5</v>
      </c>
      <c r="E313">
        <f>INDEX(YieldCurve!$A$4:$A$63,C313+1)</f>
        <v>26</v>
      </c>
      <c r="F313">
        <f>INDEX(YieldCurve!$B$4:$B$63,C313)</f>
        <v>4.9656659999999998E-2</v>
      </c>
      <c r="G313">
        <f>INDEX(YieldCurve!$B$4:$B$63,C313+1)</f>
        <v>4.9628940000000003E-2</v>
      </c>
      <c r="H313">
        <f t="shared" si="4"/>
        <v>0.6666666666666643</v>
      </c>
      <c r="I313">
        <f>IF(B313&lt;=INDEX(YieldCurve!$A$4:$A$63,1),INDEX(YieldCurve!$B$4:$B$63,1),IF(B313&gt;=INDEX(YieldCurve!$A$4:$A$63,ROWS(YieldCurve!$A$4:$A$63)),INDEX(YieldCurve!$B$4:$B$63,ROWS(YieldCurve!$B$4:$B$63)),F313+H313*(G313-F313)))</f>
        <v>4.9638180000000004E-2</v>
      </c>
      <c r="J313">
        <f>EXP(-(I313+Inputs!$B$9)*B313)</f>
        <v>0.27739309867937895</v>
      </c>
    </row>
    <row r="314" spans="1:10" x14ac:dyDescent="0.35">
      <c r="A314">
        <v>311</v>
      </c>
      <c r="B314">
        <f>A314/Inputs!$B$6</f>
        <v>25.916666666666668</v>
      </c>
      <c r="C314">
        <f>IF(B314&lt;=INDEX(YieldCurve!$A$4:$A$63,1),1,IF(B314&gt;=INDEX(YieldCurve!$A$4:$A$63,ROWS(YieldCurve!$A$4:$A$63)),ROWS(YieldCurve!$A$4:$A$63)-1,MATCH(B314,YieldCurve!$A$4:$A$63,1)))</f>
        <v>51</v>
      </c>
      <c r="D314">
        <f>INDEX(YieldCurve!$A$4:$A$63,C314)</f>
        <v>25.5</v>
      </c>
      <c r="E314">
        <f>INDEX(YieldCurve!$A$4:$A$63,C314+1)</f>
        <v>26</v>
      </c>
      <c r="F314">
        <f>INDEX(YieldCurve!$B$4:$B$63,C314)</f>
        <v>4.9656659999999998E-2</v>
      </c>
      <c r="G314">
        <f>INDEX(YieldCurve!$B$4:$B$63,C314+1)</f>
        <v>4.9628940000000003E-2</v>
      </c>
      <c r="H314">
        <f t="shared" si="4"/>
        <v>0.8333333333333357</v>
      </c>
      <c r="I314">
        <f>IF(B314&lt;=INDEX(YieldCurve!$A$4:$A$63,1),INDEX(YieldCurve!$B$4:$B$63,1),IF(B314&gt;=INDEX(YieldCurve!$A$4:$A$63,ROWS(YieldCurve!$A$4:$A$63)),INDEX(YieldCurve!$B$4:$B$63,ROWS(YieldCurve!$B$4:$B$63)),F314+H314*(G314-F314)))</f>
        <v>4.963356E-2</v>
      </c>
      <c r="J314">
        <f>EXP(-(I314+Inputs!$B$9)*B314)</f>
        <v>0.27628110643768539</v>
      </c>
    </row>
    <row r="315" spans="1:10" x14ac:dyDescent="0.35">
      <c r="A315">
        <v>312</v>
      </c>
      <c r="B315">
        <f>A315/Inputs!$B$6</f>
        <v>26</v>
      </c>
      <c r="C315">
        <f>IF(B315&lt;=INDEX(YieldCurve!$A$4:$A$63,1),1,IF(B315&gt;=INDEX(YieldCurve!$A$4:$A$63,ROWS(YieldCurve!$A$4:$A$63)),ROWS(YieldCurve!$A$4:$A$63)-1,MATCH(B315,YieldCurve!$A$4:$A$63,1)))</f>
        <v>52</v>
      </c>
      <c r="D315">
        <f>INDEX(YieldCurve!$A$4:$A$63,C315)</f>
        <v>26</v>
      </c>
      <c r="E315">
        <f>INDEX(YieldCurve!$A$4:$A$63,C315+1)</f>
        <v>26.5</v>
      </c>
      <c r="F315">
        <f>INDEX(YieldCurve!$B$4:$B$63,C315)</f>
        <v>4.9628940000000003E-2</v>
      </c>
      <c r="G315">
        <f>INDEX(YieldCurve!$B$4:$B$63,C315+1)</f>
        <v>4.9602689999999998E-2</v>
      </c>
      <c r="H315">
        <f t="shared" si="4"/>
        <v>0</v>
      </c>
      <c r="I315">
        <f>IF(B315&lt;=INDEX(YieldCurve!$A$4:$A$63,1),INDEX(YieldCurve!$B$4:$B$63,1),IF(B315&gt;=INDEX(YieldCurve!$A$4:$A$63,ROWS(YieldCurve!$A$4:$A$63)),INDEX(YieldCurve!$B$4:$B$63,ROWS(YieldCurve!$B$4:$B$63)),F315+H315*(G315-F315)))</f>
        <v>4.9628940000000003E-2</v>
      </c>
      <c r="J315">
        <f>EXP(-(I315+Inputs!$B$9)*B315)</f>
        <v>0.27517378374918799</v>
      </c>
    </row>
    <row r="316" spans="1:10" x14ac:dyDescent="0.35">
      <c r="A316">
        <v>313</v>
      </c>
      <c r="B316">
        <f>A316/Inputs!$B$6</f>
        <v>26.083333333333332</v>
      </c>
      <c r="C316">
        <f>IF(B316&lt;=INDEX(YieldCurve!$A$4:$A$63,1),1,IF(B316&gt;=INDEX(YieldCurve!$A$4:$A$63,ROWS(YieldCurve!$A$4:$A$63)),ROWS(YieldCurve!$A$4:$A$63)-1,MATCH(B316,YieldCurve!$A$4:$A$63,1)))</f>
        <v>52</v>
      </c>
      <c r="D316">
        <f>INDEX(YieldCurve!$A$4:$A$63,C316)</f>
        <v>26</v>
      </c>
      <c r="E316">
        <f>INDEX(YieldCurve!$A$4:$A$63,C316+1)</f>
        <v>26.5</v>
      </c>
      <c r="F316">
        <f>INDEX(YieldCurve!$B$4:$B$63,C316)</f>
        <v>4.9628940000000003E-2</v>
      </c>
      <c r="G316">
        <f>INDEX(YieldCurve!$B$4:$B$63,C316+1)</f>
        <v>4.9602689999999998E-2</v>
      </c>
      <c r="H316">
        <f t="shared" si="4"/>
        <v>0.1666666666666643</v>
      </c>
      <c r="I316">
        <f>IF(B316&lt;=INDEX(YieldCurve!$A$4:$A$63,1),INDEX(YieldCurve!$B$4:$B$63,1),IF(B316&gt;=INDEX(YieldCurve!$A$4:$A$63,ROWS(YieldCurve!$A$4:$A$63)),INDEX(YieldCurve!$B$4:$B$63,ROWS(YieldCurve!$B$4:$B$63)),F316+H316*(G316-F316)))</f>
        <v>4.9624565000000002E-2</v>
      </c>
      <c r="J316">
        <f>EXP(-(I316+Inputs!$B$9)*B316)</f>
        <v>0.27406935877366573</v>
      </c>
    </row>
    <row r="317" spans="1:10" x14ac:dyDescent="0.35">
      <c r="A317">
        <v>314</v>
      </c>
      <c r="B317">
        <f>A317/Inputs!$B$6</f>
        <v>26.166666666666668</v>
      </c>
      <c r="C317">
        <f>IF(B317&lt;=INDEX(YieldCurve!$A$4:$A$63,1),1,IF(B317&gt;=INDEX(YieldCurve!$A$4:$A$63,ROWS(YieldCurve!$A$4:$A$63)),ROWS(YieldCurve!$A$4:$A$63)-1,MATCH(B317,YieldCurve!$A$4:$A$63,1)))</f>
        <v>52</v>
      </c>
      <c r="D317">
        <f>INDEX(YieldCurve!$A$4:$A$63,C317)</f>
        <v>26</v>
      </c>
      <c r="E317">
        <f>INDEX(YieldCurve!$A$4:$A$63,C317+1)</f>
        <v>26.5</v>
      </c>
      <c r="F317">
        <f>INDEX(YieldCurve!$B$4:$B$63,C317)</f>
        <v>4.9628940000000003E-2</v>
      </c>
      <c r="G317">
        <f>INDEX(YieldCurve!$B$4:$B$63,C317+1)</f>
        <v>4.9602689999999998E-2</v>
      </c>
      <c r="H317">
        <f t="shared" si="4"/>
        <v>0.3333333333333357</v>
      </c>
      <c r="I317">
        <f>IF(B317&lt;=INDEX(YieldCurve!$A$4:$A$63,1),INDEX(YieldCurve!$B$4:$B$63,1),IF(B317&gt;=INDEX(YieldCurve!$A$4:$A$63,ROWS(YieldCurve!$A$4:$A$63)),INDEX(YieldCurve!$B$4:$B$63,ROWS(YieldCurve!$B$4:$B$63)),F317+H317*(G317-F317)))</f>
        <v>4.9620190000000002E-2</v>
      </c>
      <c r="J317">
        <f>EXP(-(I317+Inputs!$B$9)*B317)</f>
        <v>0.27296956550819923</v>
      </c>
    </row>
    <row r="318" spans="1:10" x14ac:dyDescent="0.35">
      <c r="A318">
        <v>315</v>
      </c>
      <c r="B318">
        <f>A318/Inputs!$B$6</f>
        <v>26.25</v>
      </c>
      <c r="C318">
        <f>IF(B318&lt;=INDEX(YieldCurve!$A$4:$A$63,1),1,IF(B318&gt;=INDEX(YieldCurve!$A$4:$A$63,ROWS(YieldCurve!$A$4:$A$63)),ROWS(YieldCurve!$A$4:$A$63)-1,MATCH(B318,YieldCurve!$A$4:$A$63,1)))</f>
        <v>52</v>
      </c>
      <c r="D318">
        <f>INDEX(YieldCurve!$A$4:$A$63,C318)</f>
        <v>26</v>
      </c>
      <c r="E318">
        <f>INDEX(YieldCurve!$A$4:$A$63,C318+1)</f>
        <v>26.5</v>
      </c>
      <c r="F318">
        <f>INDEX(YieldCurve!$B$4:$B$63,C318)</f>
        <v>4.9628940000000003E-2</v>
      </c>
      <c r="G318">
        <f>INDEX(YieldCurve!$B$4:$B$63,C318+1)</f>
        <v>4.9602689999999998E-2</v>
      </c>
      <c r="H318">
        <f t="shared" si="4"/>
        <v>0.5</v>
      </c>
      <c r="I318">
        <f>IF(B318&lt;=INDEX(YieldCurve!$A$4:$A$63,1),INDEX(YieldCurve!$B$4:$B$63,1),IF(B318&gt;=INDEX(YieldCurve!$A$4:$A$63,ROWS(YieldCurve!$A$4:$A$63)),INDEX(YieldCurve!$B$4:$B$63,ROWS(YieldCurve!$B$4:$B$63)),F318+H318*(G318-F318)))</f>
        <v>4.9615815000000001E-2</v>
      </c>
      <c r="J318">
        <f>EXP(-(I318+Inputs!$B$9)*B318)</f>
        <v>0.27187438376588402</v>
      </c>
    </row>
    <row r="319" spans="1:10" x14ac:dyDescent="0.35">
      <c r="A319">
        <v>316</v>
      </c>
      <c r="B319">
        <f>A319/Inputs!$B$6</f>
        <v>26.333333333333332</v>
      </c>
      <c r="C319">
        <f>IF(B319&lt;=INDEX(YieldCurve!$A$4:$A$63,1),1,IF(B319&gt;=INDEX(YieldCurve!$A$4:$A$63,ROWS(YieldCurve!$A$4:$A$63)),ROWS(YieldCurve!$A$4:$A$63)-1,MATCH(B319,YieldCurve!$A$4:$A$63,1)))</f>
        <v>52</v>
      </c>
      <c r="D319">
        <f>INDEX(YieldCurve!$A$4:$A$63,C319)</f>
        <v>26</v>
      </c>
      <c r="E319">
        <f>INDEX(YieldCurve!$A$4:$A$63,C319+1)</f>
        <v>26.5</v>
      </c>
      <c r="F319">
        <f>INDEX(YieldCurve!$B$4:$B$63,C319)</f>
        <v>4.9628940000000003E-2</v>
      </c>
      <c r="G319">
        <f>INDEX(YieldCurve!$B$4:$B$63,C319+1)</f>
        <v>4.9602689999999998E-2</v>
      </c>
      <c r="H319">
        <f t="shared" si="4"/>
        <v>0.6666666666666643</v>
      </c>
      <c r="I319">
        <f>IF(B319&lt;=INDEX(YieldCurve!$A$4:$A$63,1),INDEX(YieldCurve!$B$4:$B$63,1),IF(B319&gt;=INDEX(YieldCurve!$A$4:$A$63,ROWS(YieldCurve!$A$4:$A$63)),INDEX(YieldCurve!$B$4:$B$63,ROWS(YieldCurve!$B$4:$B$63)),F319+H319*(G319-F319)))</f>
        <v>4.961144E-2</v>
      </c>
      <c r="J319">
        <f>EXP(-(I319+Inputs!$B$9)*B319)</f>
        <v>0.27078379345088199</v>
      </c>
    </row>
    <row r="320" spans="1:10" x14ac:dyDescent="0.35">
      <c r="A320">
        <v>317</v>
      </c>
      <c r="B320">
        <f>A320/Inputs!$B$6</f>
        <v>26.416666666666668</v>
      </c>
      <c r="C320">
        <f>IF(B320&lt;=INDEX(YieldCurve!$A$4:$A$63,1),1,IF(B320&gt;=INDEX(YieldCurve!$A$4:$A$63,ROWS(YieldCurve!$A$4:$A$63)),ROWS(YieldCurve!$A$4:$A$63)-1,MATCH(B320,YieldCurve!$A$4:$A$63,1)))</f>
        <v>52</v>
      </c>
      <c r="D320">
        <f>INDEX(YieldCurve!$A$4:$A$63,C320)</f>
        <v>26</v>
      </c>
      <c r="E320">
        <f>INDEX(YieldCurve!$A$4:$A$63,C320+1)</f>
        <v>26.5</v>
      </c>
      <c r="F320">
        <f>INDEX(YieldCurve!$B$4:$B$63,C320)</f>
        <v>4.9628940000000003E-2</v>
      </c>
      <c r="G320">
        <f>INDEX(YieldCurve!$B$4:$B$63,C320+1)</f>
        <v>4.9602689999999998E-2</v>
      </c>
      <c r="H320">
        <f t="shared" si="4"/>
        <v>0.8333333333333357</v>
      </c>
      <c r="I320">
        <f>IF(B320&lt;=INDEX(YieldCurve!$A$4:$A$63,1),INDEX(YieldCurve!$B$4:$B$63,1),IF(B320&gt;=INDEX(YieldCurve!$A$4:$A$63,ROWS(YieldCurve!$A$4:$A$63)),INDEX(YieldCurve!$B$4:$B$63,ROWS(YieldCurve!$B$4:$B$63)),F320+H320*(G320-F320)))</f>
        <v>4.9607064999999999E-2</v>
      </c>
      <c r="J320">
        <f>EXP(-(I320+Inputs!$B$9)*B320)</f>
        <v>0.26969777455799804</v>
      </c>
    </row>
    <row r="321" spans="1:10" x14ac:dyDescent="0.35">
      <c r="A321">
        <v>318</v>
      </c>
      <c r="B321">
        <f>A321/Inputs!$B$6</f>
        <v>26.5</v>
      </c>
      <c r="C321">
        <f>IF(B321&lt;=INDEX(YieldCurve!$A$4:$A$63,1),1,IF(B321&gt;=INDEX(YieldCurve!$A$4:$A$63,ROWS(YieldCurve!$A$4:$A$63)),ROWS(YieldCurve!$A$4:$A$63)-1,MATCH(B321,YieldCurve!$A$4:$A$63,1)))</f>
        <v>53</v>
      </c>
      <c r="D321">
        <f>INDEX(YieldCurve!$A$4:$A$63,C321)</f>
        <v>26.5</v>
      </c>
      <c r="E321">
        <f>INDEX(YieldCurve!$A$4:$A$63,C321+1)</f>
        <v>27</v>
      </c>
      <c r="F321">
        <f>INDEX(YieldCurve!$B$4:$B$63,C321)</f>
        <v>4.9602689999999998E-2</v>
      </c>
      <c r="G321">
        <f>INDEX(YieldCurve!$B$4:$B$63,C321+1)</f>
        <v>4.9577839999999998E-2</v>
      </c>
      <c r="H321">
        <f t="shared" si="4"/>
        <v>0</v>
      </c>
      <c r="I321">
        <f>IF(B321&lt;=INDEX(YieldCurve!$A$4:$A$63,1),INDEX(YieldCurve!$B$4:$B$63,1),IF(B321&gt;=INDEX(YieldCurve!$A$4:$A$63,ROWS(YieldCurve!$A$4:$A$63)),INDEX(YieldCurve!$B$4:$B$63,ROWS(YieldCurve!$B$4:$B$63)),F321+H321*(G321-F321)))</f>
        <v>4.9602689999999998E-2</v>
      </c>
      <c r="J321">
        <f>EXP(-(I321+Inputs!$B$9)*B321)</f>
        <v>0.2686163071722581</v>
      </c>
    </row>
    <row r="322" spans="1:10" x14ac:dyDescent="0.35">
      <c r="A322">
        <v>319</v>
      </c>
      <c r="B322">
        <f>A322/Inputs!$B$6</f>
        <v>26.583333333333332</v>
      </c>
      <c r="C322">
        <f>IF(B322&lt;=INDEX(YieldCurve!$A$4:$A$63,1),1,IF(B322&gt;=INDEX(YieldCurve!$A$4:$A$63,ROWS(YieldCurve!$A$4:$A$63)),ROWS(YieldCurve!$A$4:$A$63)-1,MATCH(B322,YieldCurve!$A$4:$A$63,1)))</f>
        <v>53</v>
      </c>
      <c r="D322">
        <f>INDEX(YieldCurve!$A$4:$A$63,C322)</f>
        <v>26.5</v>
      </c>
      <c r="E322">
        <f>INDEX(YieldCurve!$A$4:$A$63,C322+1)</f>
        <v>27</v>
      </c>
      <c r="F322">
        <f>INDEX(YieldCurve!$B$4:$B$63,C322)</f>
        <v>4.9602689999999998E-2</v>
      </c>
      <c r="G322">
        <f>INDEX(YieldCurve!$B$4:$B$63,C322+1)</f>
        <v>4.9577839999999998E-2</v>
      </c>
      <c r="H322">
        <f t="shared" si="4"/>
        <v>0.1666666666666643</v>
      </c>
      <c r="I322">
        <f>IF(B322&lt;=INDEX(YieldCurve!$A$4:$A$63,1),INDEX(YieldCurve!$B$4:$B$63,1),IF(B322&gt;=INDEX(YieldCurve!$A$4:$A$63,ROWS(YieldCurve!$A$4:$A$63)),INDEX(YieldCurve!$B$4:$B$63,ROWS(YieldCurve!$B$4:$B$63)),F322+H322*(G322-F322)))</f>
        <v>4.9598548333333332E-2</v>
      </c>
      <c r="J322">
        <f>EXP(-(I322+Inputs!$B$9)*B322)</f>
        <v>0.267537711986368</v>
      </c>
    </row>
    <row r="323" spans="1:10" x14ac:dyDescent="0.35">
      <c r="A323">
        <v>320</v>
      </c>
      <c r="B323">
        <f>A323/Inputs!$B$6</f>
        <v>26.666666666666668</v>
      </c>
      <c r="C323">
        <f>IF(B323&lt;=INDEX(YieldCurve!$A$4:$A$63,1),1,IF(B323&gt;=INDEX(YieldCurve!$A$4:$A$63,ROWS(YieldCurve!$A$4:$A$63)),ROWS(YieldCurve!$A$4:$A$63)-1,MATCH(B323,YieldCurve!$A$4:$A$63,1)))</f>
        <v>53</v>
      </c>
      <c r="D323">
        <f>INDEX(YieldCurve!$A$4:$A$63,C323)</f>
        <v>26.5</v>
      </c>
      <c r="E323">
        <f>INDEX(YieldCurve!$A$4:$A$63,C323+1)</f>
        <v>27</v>
      </c>
      <c r="F323">
        <f>INDEX(YieldCurve!$B$4:$B$63,C323)</f>
        <v>4.9602689999999998E-2</v>
      </c>
      <c r="G323">
        <f>INDEX(YieldCurve!$B$4:$B$63,C323+1)</f>
        <v>4.9577839999999998E-2</v>
      </c>
      <c r="H323">
        <f t="shared" si="4"/>
        <v>0.3333333333333357</v>
      </c>
      <c r="I323">
        <f>IF(B323&lt;=INDEX(YieldCurve!$A$4:$A$63,1),INDEX(YieldCurve!$B$4:$B$63,1),IF(B323&gt;=INDEX(YieldCurve!$A$4:$A$63,ROWS(YieldCurve!$A$4:$A$63)),INDEX(YieldCurve!$B$4:$B$63,ROWS(YieldCurve!$B$4:$B$63)),F323+H323*(G323-F323)))</f>
        <v>4.9594406666666667E-2</v>
      </c>
      <c r="J323">
        <f>EXP(-(I323+Inputs!$B$9)*B323)</f>
        <v>0.26646363169840803</v>
      </c>
    </row>
    <row r="324" spans="1:10" x14ac:dyDescent="0.35">
      <c r="A324">
        <v>321</v>
      </c>
      <c r="B324">
        <f>A324/Inputs!$B$6</f>
        <v>26.75</v>
      </c>
      <c r="C324">
        <f>IF(B324&lt;=INDEX(YieldCurve!$A$4:$A$63,1),1,IF(B324&gt;=INDEX(YieldCurve!$A$4:$A$63,ROWS(YieldCurve!$A$4:$A$63)),ROWS(YieldCurve!$A$4:$A$63)-1,MATCH(B324,YieldCurve!$A$4:$A$63,1)))</f>
        <v>53</v>
      </c>
      <c r="D324">
        <f>INDEX(YieldCurve!$A$4:$A$63,C324)</f>
        <v>26.5</v>
      </c>
      <c r="E324">
        <f>INDEX(YieldCurve!$A$4:$A$63,C324+1)</f>
        <v>27</v>
      </c>
      <c r="F324">
        <f>INDEX(YieldCurve!$B$4:$B$63,C324)</f>
        <v>4.9602689999999998E-2</v>
      </c>
      <c r="G324">
        <f>INDEX(YieldCurve!$B$4:$B$63,C324+1)</f>
        <v>4.9577839999999998E-2</v>
      </c>
      <c r="H324">
        <f t="shared" ref="H324:H387" si="5">IF(E324=D324,0,(B324-D324)/(E324-D324))</f>
        <v>0.5</v>
      </c>
      <c r="I324">
        <f>IF(B324&lt;=INDEX(YieldCurve!$A$4:$A$63,1),INDEX(YieldCurve!$B$4:$B$63,1),IF(B324&gt;=INDEX(YieldCurve!$A$4:$A$63,ROWS(YieldCurve!$A$4:$A$63)),INDEX(YieldCurve!$B$4:$B$63,ROWS(YieldCurve!$B$4:$B$63)),F324+H324*(G324-F324)))</f>
        <v>4.9590264999999994E-2</v>
      </c>
      <c r="J324">
        <f>EXP(-(I324+Inputs!$B$9)*B324)</f>
        <v>0.26539404670262307</v>
      </c>
    </row>
    <row r="325" spans="1:10" x14ac:dyDescent="0.35">
      <c r="A325">
        <v>322</v>
      </c>
      <c r="B325">
        <f>A325/Inputs!$B$6</f>
        <v>26.833333333333332</v>
      </c>
      <c r="C325">
        <f>IF(B325&lt;=INDEX(YieldCurve!$A$4:$A$63,1),1,IF(B325&gt;=INDEX(YieldCurve!$A$4:$A$63,ROWS(YieldCurve!$A$4:$A$63)),ROWS(YieldCurve!$A$4:$A$63)-1,MATCH(B325,YieldCurve!$A$4:$A$63,1)))</f>
        <v>53</v>
      </c>
      <c r="D325">
        <f>INDEX(YieldCurve!$A$4:$A$63,C325)</f>
        <v>26.5</v>
      </c>
      <c r="E325">
        <f>INDEX(YieldCurve!$A$4:$A$63,C325+1)</f>
        <v>27</v>
      </c>
      <c r="F325">
        <f>INDEX(YieldCurve!$B$4:$B$63,C325)</f>
        <v>4.9602689999999998E-2</v>
      </c>
      <c r="G325">
        <f>INDEX(YieldCurve!$B$4:$B$63,C325+1)</f>
        <v>4.9577839999999998E-2</v>
      </c>
      <c r="H325">
        <f t="shared" si="5"/>
        <v>0.6666666666666643</v>
      </c>
      <c r="I325">
        <f>IF(B325&lt;=INDEX(YieldCurve!$A$4:$A$63,1),INDEX(YieldCurve!$B$4:$B$63,1),IF(B325&gt;=INDEX(YieldCurve!$A$4:$A$63,ROWS(YieldCurve!$A$4:$A$63)),INDEX(YieldCurve!$B$4:$B$63,ROWS(YieldCurve!$B$4:$B$63)),F325+H325*(G325-F325)))</f>
        <v>4.9586123333333329E-2</v>
      </c>
      <c r="J325">
        <f>EXP(-(I325+Inputs!$B$9)*B325)</f>
        <v>0.26432893748125186</v>
      </c>
    </row>
    <row r="326" spans="1:10" x14ac:dyDescent="0.35">
      <c r="A326">
        <v>323</v>
      </c>
      <c r="B326">
        <f>A326/Inputs!$B$6</f>
        <v>26.916666666666668</v>
      </c>
      <c r="C326">
        <f>IF(B326&lt;=INDEX(YieldCurve!$A$4:$A$63,1),1,IF(B326&gt;=INDEX(YieldCurve!$A$4:$A$63,ROWS(YieldCurve!$A$4:$A$63)),ROWS(YieldCurve!$A$4:$A$63)-1,MATCH(B326,YieldCurve!$A$4:$A$63,1)))</f>
        <v>53</v>
      </c>
      <c r="D326">
        <f>INDEX(YieldCurve!$A$4:$A$63,C326)</f>
        <v>26.5</v>
      </c>
      <c r="E326">
        <f>INDEX(YieldCurve!$A$4:$A$63,C326+1)</f>
        <v>27</v>
      </c>
      <c r="F326">
        <f>INDEX(YieldCurve!$B$4:$B$63,C326)</f>
        <v>4.9602689999999998E-2</v>
      </c>
      <c r="G326">
        <f>INDEX(YieldCurve!$B$4:$B$63,C326+1)</f>
        <v>4.9577839999999998E-2</v>
      </c>
      <c r="H326">
        <f t="shared" si="5"/>
        <v>0.8333333333333357</v>
      </c>
      <c r="I326">
        <f>IF(B326&lt;=INDEX(YieldCurve!$A$4:$A$63,1),INDEX(YieldCurve!$B$4:$B$63,1),IF(B326&gt;=INDEX(YieldCurve!$A$4:$A$63,ROWS(YieldCurve!$A$4:$A$63)),INDEX(YieldCurve!$B$4:$B$63,ROWS(YieldCurve!$B$4:$B$63)),F326+H326*(G326-F326)))</f>
        <v>4.9581981666666664E-2</v>
      </c>
      <c r="J326">
        <f>EXP(-(I326+Inputs!$B$9)*B326)</f>
        <v>0.26326828460412138</v>
      </c>
    </row>
    <row r="327" spans="1:10" x14ac:dyDescent="0.35">
      <c r="A327">
        <v>324</v>
      </c>
      <c r="B327">
        <f>A327/Inputs!$B$6</f>
        <v>27</v>
      </c>
      <c r="C327">
        <f>IF(B327&lt;=INDEX(YieldCurve!$A$4:$A$63,1),1,IF(B327&gt;=INDEX(YieldCurve!$A$4:$A$63,ROWS(YieldCurve!$A$4:$A$63)),ROWS(YieldCurve!$A$4:$A$63)-1,MATCH(B327,YieldCurve!$A$4:$A$63,1)))</f>
        <v>54</v>
      </c>
      <c r="D327">
        <f>INDEX(YieldCurve!$A$4:$A$63,C327)</f>
        <v>27</v>
      </c>
      <c r="E327">
        <f>INDEX(YieldCurve!$A$4:$A$63,C327+1)</f>
        <v>27.5</v>
      </c>
      <c r="F327">
        <f>INDEX(YieldCurve!$B$4:$B$63,C327)</f>
        <v>4.9577839999999998E-2</v>
      </c>
      <c r="G327">
        <f>INDEX(YieldCurve!$B$4:$B$63,C327+1)</f>
        <v>4.9554330000000001E-2</v>
      </c>
      <c r="H327">
        <f t="shared" si="5"/>
        <v>0</v>
      </c>
      <c r="I327">
        <f>IF(B327&lt;=INDEX(YieldCurve!$A$4:$A$63,1),INDEX(YieldCurve!$B$4:$B$63,1),IF(B327&gt;=INDEX(YieldCurve!$A$4:$A$63,ROWS(YieldCurve!$A$4:$A$63)),INDEX(YieldCurve!$B$4:$B$63,ROWS(YieldCurve!$B$4:$B$63)),F327+H327*(G327-F327)))</f>
        <v>4.9577839999999998E-2</v>
      </c>
      <c r="J327">
        <f>EXP(-(I327+Inputs!$B$9)*B327)</f>
        <v>0.26221206872824082</v>
      </c>
    </row>
    <row r="328" spans="1:10" x14ac:dyDescent="0.35">
      <c r="A328">
        <v>325</v>
      </c>
      <c r="B328">
        <f>A328/Inputs!$B$6</f>
        <v>27.083333333333332</v>
      </c>
      <c r="C328">
        <f>IF(B328&lt;=INDEX(YieldCurve!$A$4:$A$63,1),1,IF(B328&gt;=INDEX(YieldCurve!$A$4:$A$63,ROWS(YieldCurve!$A$4:$A$63)),ROWS(YieldCurve!$A$4:$A$63)-1,MATCH(B328,YieldCurve!$A$4:$A$63,1)))</f>
        <v>54</v>
      </c>
      <c r="D328">
        <f>INDEX(YieldCurve!$A$4:$A$63,C328)</f>
        <v>27</v>
      </c>
      <c r="E328">
        <f>INDEX(YieldCurve!$A$4:$A$63,C328+1)</f>
        <v>27.5</v>
      </c>
      <c r="F328">
        <f>INDEX(YieldCurve!$B$4:$B$63,C328)</f>
        <v>4.9577839999999998E-2</v>
      </c>
      <c r="G328">
        <f>INDEX(YieldCurve!$B$4:$B$63,C328+1)</f>
        <v>4.9554330000000001E-2</v>
      </c>
      <c r="H328">
        <f t="shared" si="5"/>
        <v>0.1666666666666643</v>
      </c>
      <c r="I328">
        <f>IF(B328&lt;=INDEX(YieldCurve!$A$4:$A$63,1),INDEX(YieldCurve!$B$4:$B$63,1),IF(B328&gt;=INDEX(YieldCurve!$A$4:$A$63,ROWS(YieldCurve!$A$4:$A$63)),INDEX(YieldCurve!$B$4:$B$63,ROWS(YieldCurve!$B$4:$B$63)),F328+H328*(G328-F328)))</f>
        <v>4.9573921666666666E-2</v>
      </c>
      <c r="J328">
        <f>EXP(-(I328+Inputs!$B$9)*B328)</f>
        <v>0.26115869094526162</v>
      </c>
    </row>
    <row r="329" spans="1:10" x14ac:dyDescent="0.35">
      <c r="A329">
        <v>326</v>
      </c>
      <c r="B329">
        <f>A329/Inputs!$B$6</f>
        <v>27.166666666666668</v>
      </c>
      <c r="C329">
        <f>IF(B329&lt;=INDEX(YieldCurve!$A$4:$A$63,1),1,IF(B329&gt;=INDEX(YieldCurve!$A$4:$A$63,ROWS(YieldCurve!$A$4:$A$63)),ROWS(YieldCurve!$A$4:$A$63)-1,MATCH(B329,YieldCurve!$A$4:$A$63,1)))</f>
        <v>54</v>
      </c>
      <c r="D329">
        <f>INDEX(YieldCurve!$A$4:$A$63,C329)</f>
        <v>27</v>
      </c>
      <c r="E329">
        <f>INDEX(YieldCurve!$A$4:$A$63,C329+1)</f>
        <v>27.5</v>
      </c>
      <c r="F329">
        <f>INDEX(YieldCurve!$B$4:$B$63,C329)</f>
        <v>4.9577839999999998E-2</v>
      </c>
      <c r="G329">
        <f>INDEX(YieldCurve!$B$4:$B$63,C329+1)</f>
        <v>4.9554330000000001E-2</v>
      </c>
      <c r="H329">
        <f t="shared" si="5"/>
        <v>0.3333333333333357</v>
      </c>
      <c r="I329">
        <f>IF(B329&lt;=INDEX(YieldCurve!$A$4:$A$63,1),INDEX(YieldCurve!$B$4:$B$63,1),IF(B329&gt;=INDEX(YieldCurve!$A$4:$A$63,ROWS(YieldCurve!$A$4:$A$63)),INDEX(YieldCurve!$B$4:$B$63,ROWS(YieldCurve!$B$4:$B$63)),F329+H329*(G329-F329)))</f>
        <v>4.9570003333333335E-2</v>
      </c>
      <c r="J329">
        <f>EXP(-(I329+Inputs!$B$9)*B329)</f>
        <v>0.26010971473572903</v>
      </c>
    </row>
    <row r="330" spans="1:10" x14ac:dyDescent="0.35">
      <c r="A330">
        <v>327</v>
      </c>
      <c r="B330">
        <f>A330/Inputs!$B$6</f>
        <v>27.25</v>
      </c>
      <c r="C330">
        <f>IF(B330&lt;=INDEX(YieldCurve!$A$4:$A$63,1),1,IF(B330&gt;=INDEX(YieldCurve!$A$4:$A$63,ROWS(YieldCurve!$A$4:$A$63)),ROWS(YieldCurve!$A$4:$A$63)-1,MATCH(B330,YieldCurve!$A$4:$A$63,1)))</f>
        <v>54</v>
      </c>
      <c r="D330">
        <f>INDEX(YieldCurve!$A$4:$A$63,C330)</f>
        <v>27</v>
      </c>
      <c r="E330">
        <f>INDEX(YieldCurve!$A$4:$A$63,C330+1)</f>
        <v>27.5</v>
      </c>
      <c r="F330">
        <f>INDEX(YieldCurve!$B$4:$B$63,C330)</f>
        <v>4.9577839999999998E-2</v>
      </c>
      <c r="G330">
        <f>INDEX(YieldCurve!$B$4:$B$63,C330+1)</f>
        <v>4.9554330000000001E-2</v>
      </c>
      <c r="H330">
        <f t="shared" si="5"/>
        <v>0.5</v>
      </c>
      <c r="I330">
        <f>IF(B330&lt;=INDEX(YieldCurve!$A$4:$A$63,1),INDEX(YieldCurve!$B$4:$B$63,1),IF(B330&gt;=INDEX(YieldCurve!$A$4:$A$63,ROWS(YieldCurve!$A$4:$A$63)),INDEX(YieldCurve!$B$4:$B$63,ROWS(YieldCurve!$B$4:$B$63)),F330+H330*(G330-F330)))</f>
        <v>4.9566084999999996E-2</v>
      </c>
      <c r="J330">
        <f>EXP(-(I330+Inputs!$B$9)*B330)</f>
        <v>0.25906512105285023</v>
      </c>
    </row>
    <row r="331" spans="1:10" x14ac:dyDescent="0.35">
      <c r="A331">
        <v>328</v>
      </c>
      <c r="B331">
        <f>A331/Inputs!$B$6</f>
        <v>27.333333333333332</v>
      </c>
      <c r="C331">
        <f>IF(B331&lt;=INDEX(YieldCurve!$A$4:$A$63,1),1,IF(B331&gt;=INDEX(YieldCurve!$A$4:$A$63,ROWS(YieldCurve!$A$4:$A$63)),ROWS(YieldCurve!$A$4:$A$63)-1,MATCH(B331,YieldCurve!$A$4:$A$63,1)))</f>
        <v>54</v>
      </c>
      <c r="D331">
        <f>INDEX(YieldCurve!$A$4:$A$63,C331)</f>
        <v>27</v>
      </c>
      <c r="E331">
        <f>INDEX(YieldCurve!$A$4:$A$63,C331+1)</f>
        <v>27.5</v>
      </c>
      <c r="F331">
        <f>INDEX(YieldCurve!$B$4:$B$63,C331)</f>
        <v>4.9577839999999998E-2</v>
      </c>
      <c r="G331">
        <f>INDEX(YieldCurve!$B$4:$B$63,C331+1)</f>
        <v>4.9554330000000001E-2</v>
      </c>
      <c r="H331">
        <f t="shared" si="5"/>
        <v>0.6666666666666643</v>
      </c>
      <c r="I331">
        <f>IF(B331&lt;=INDEX(YieldCurve!$A$4:$A$63,1),INDEX(YieldCurve!$B$4:$B$63,1),IF(B331&gt;=INDEX(YieldCurve!$A$4:$A$63,ROWS(YieldCurve!$A$4:$A$63)),INDEX(YieldCurve!$B$4:$B$63,ROWS(YieldCurve!$B$4:$B$63)),F331+H331*(G331-F331)))</f>
        <v>4.9562166666666664E-2</v>
      </c>
      <c r="J331">
        <f>EXP(-(I331+Inputs!$B$9)*B331)</f>
        <v>0.25802489093489861</v>
      </c>
    </row>
    <row r="332" spans="1:10" x14ac:dyDescent="0.35">
      <c r="A332">
        <v>329</v>
      </c>
      <c r="B332">
        <f>A332/Inputs!$B$6</f>
        <v>27.416666666666668</v>
      </c>
      <c r="C332">
        <f>IF(B332&lt;=INDEX(YieldCurve!$A$4:$A$63,1),1,IF(B332&gt;=INDEX(YieldCurve!$A$4:$A$63,ROWS(YieldCurve!$A$4:$A$63)),ROWS(YieldCurve!$A$4:$A$63)-1,MATCH(B332,YieldCurve!$A$4:$A$63,1)))</f>
        <v>54</v>
      </c>
      <c r="D332">
        <f>INDEX(YieldCurve!$A$4:$A$63,C332)</f>
        <v>27</v>
      </c>
      <c r="E332">
        <f>INDEX(YieldCurve!$A$4:$A$63,C332+1)</f>
        <v>27.5</v>
      </c>
      <c r="F332">
        <f>INDEX(YieldCurve!$B$4:$B$63,C332)</f>
        <v>4.9577839999999998E-2</v>
      </c>
      <c r="G332">
        <f>INDEX(YieldCurve!$B$4:$B$63,C332+1)</f>
        <v>4.9554330000000001E-2</v>
      </c>
      <c r="H332">
        <f t="shared" si="5"/>
        <v>0.8333333333333357</v>
      </c>
      <c r="I332">
        <f>IF(B332&lt;=INDEX(YieldCurve!$A$4:$A$63,1),INDEX(YieldCurve!$B$4:$B$63,1),IF(B332&gt;=INDEX(YieldCurve!$A$4:$A$63,ROWS(YieldCurve!$A$4:$A$63)),INDEX(YieldCurve!$B$4:$B$63,ROWS(YieldCurve!$B$4:$B$63)),F332+H332*(G332-F332)))</f>
        <v>4.9558248333333332E-2</v>
      </c>
      <c r="J332">
        <f>EXP(-(I332+Inputs!$B$9)*B332)</f>
        <v>0.25698900550482301</v>
      </c>
    </row>
    <row r="333" spans="1:10" x14ac:dyDescent="0.35">
      <c r="A333">
        <v>330</v>
      </c>
      <c r="B333">
        <f>A333/Inputs!$B$6</f>
        <v>27.5</v>
      </c>
      <c r="C333">
        <f>IF(B333&lt;=INDEX(YieldCurve!$A$4:$A$63,1),1,IF(B333&gt;=INDEX(YieldCurve!$A$4:$A$63,ROWS(YieldCurve!$A$4:$A$63)),ROWS(YieldCurve!$A$4:$A$63)-1,MATCH(B333,YieldCurve!$A$4:$A$63,1)))</f>
        <v>55</v>
      </c>
      <c r="D333">
        <f>INDEX(YieldCurve!$A$4:$A$63,C333)</f>
        <v>27.5</v>
      </c>
      <c r="E333">
        <f>INDEX(YieldCurve!$A$4:$A$63,C333+1)</f>
        <v>28</v>
      </c>
      <c r="F333">
        <f>INDEX(YieldCurve!$B$4:$B$63,C333)</f>
        <v>4.9554330000000001E-2</v>
      </c>
      <c r="G333">
        <f>INDEX(YieldCurve!$B$4:$B$63,C333+1)</f>
        <v>4.9532079999999999E-2</v>
      </c>
      <c r="H333">
        <f t="shared" si="5"/>
        <v>0</v>
      </c>
      <c r="I333">
        <f>IF(B333&lt;=INDEX(YieldCurve!$A$4:$A$63,1),INDEX(YieldCurve!$B$4:$B$63,1),IF(B333&gt;=INDEX(YieldCurve!$A$4:$A$63,ROWS(YieldCurve!$A$4:$A$63)),INDEX(YieldCurve!$B$4:$B$63,ROWS(YieldCurve!$B$4:$B$63)),F333+H333*(G333-F333)))</f>
        <v>4.9554330000000001E-2</v>
      </c>
      <c r="J333">
        <f>EXP(-(I333+Inputs!$B$9)*B333)</f>
        <v>0.2559574459698587</v>
      </c>
    </row>
    <row r="334" spans="1:10" x14ac:dyDescent="0.35">
      <c r="A334">
        <v>331</v>
      </c>
      <c r="B334">
        <f>A334/Inputs!$B$6</f>
        <v>27.583333333333332</v>
      </c>
      <c r="C334">
        <f>IF(B334&lt;=INDEX(YieldCurve!$A$4:$A$63,1),1,IF(B334&gt;=INDEX(YieldCurve!$A$4:$A$63,ROWS(YieldCurve!$A$4:$A$63)),ROWS(YieldCurve!$A$4:$A$63)-1,MATCH(B334,YieldCurve!$A$4:$A$63,1)))</f>
        <v>55</v>
      </c>
      <c r="D334">
        <f>INDEX(YieldCurve!$A$4:$A$63,C334)</f>
        <v>27.5</v>
      </c>
      <c r="E334">
        <f>INDEX(YieldCurve!$A$4:$A$63,C334+1)</f>
        <v>28</v>
      </c>
      <c r="F334">
        <f>INDEX(YieldCurve!$B$4:$B$63,C334)</f>
        <v>4.9554330000000001E-2</v>
      </c>
      <c r="G334">
        <f>INDEX(YieldCurve!$B$4:$B$63,C334+1)</f>
        <v>4.9532079999999999E-2</v>
      </c>
      <c r="H334">
        <f t="shared" si="5"/>
        <v>0.1666666666666643</v>
      </c>
      <c r="I334">
        <f>IF(B334&lt;=INDEX(YieldCurve!$A$4:$A$63,1),INDEX(YieldCurve!$B$4:$B$63,1),IF(B334&gt;=INDEX(YieldCurve!$A$4:$A$63,ROWS(YieldCurve!$A$4:$A$63)),INDEX(YieldCurve!$B$4:$B$63,ROWS(YieldCurve!$B$4:$B$63)),F334+H334*(G334-F334)))</f>
        <v>4.9550621666666669E-2</v>
      </c>
      <c r="J334">
        <f>EXP(-(I334+Inputs!$B$9)*B334)</f>
        <v>0.25492871694226976</v>
      </c>
    </row>
    <row r="335" spans="1:10" x14ac:dyDescent="0.35">
      <c r="A335">
        <v>332</v>
      </c>
      <c r="B335">
        <f>A335/Inputs!$B$6</f>
        <v>27.666666666666668</v>
      </c>
      <c r="C335">
        <f>IF(B335&lt;=INDEX(YieldCurve!$A$4:$A$63,1),1,IF(B335&gt;=INDEX(YieldCurve!$A$4:$A$63,ROWS(YieldCurve!$A$4:$A$63)),ROWS(YieldCurve!$A$4:$A$63)-1,MATCH(B335,YieldCurve!$A$4:$A$63,1)))</f>
        <v>55</v>
      </c>
      <c r="D335">
        <f>INDEX(YieldCurve!$A$4:$A$63,C335)</f>
        <v>27.5</v>
      </c>
      <c r="E335">
        <f>INDEX(YieldCurve!$A$4:$A$63,C335+1)</f>
        <v>28</v>
      </c>
      <c r="F335">
        <f>INDEX(YieldCurve!$B$4:$B$63,C335)</f>
        <v>4.9554330000000001E-2</v>
      </c>
      <c r="G335">
        <f>INDEX(YieldCurve!$B$4:$B$63,C335+1)</f>
        <v>4.9532079999999999E-2</v>
      </c>
      <c r="H335">
        <f t="shared" si="5"/>
        <v>0.3333333333333357</v>
      </c>
      <c r="I335">
        <f>IF(B335&lt;=INDEX(YieldCurve!$A$4:$A$63,1),INDEX(YieldCurve!$B$4:$B$63,1),IF(B335&gt;=INDEX(YieldCurve!$A$4:$A$63,ROWS(YieldCurve!$A$4:$A$63)),INDEX(YieldCurve!$B$4:$B$63,ROWS(YieldCurve!$B$4:$B$63)),F335+H335*(G335-F335)))</f>
        <v>4.9546913333333331E-2</v>
      </c>
      <c r="J335">
        <f>EXP(-(I335+Inputs!$B$9)*B335)</f>
        <v>0.25390427944844374</v>
      </c>
    </row>
    <row r="336" spans="1:10" x14ac:dyDescent="0.35">
      <c r="A336">
        <v>333</v>
      </c>
      <c r="B336">
        <f>A336/Inputs!$B$6</f>
        <v>27.75</v>
      </c>
      <c r="C336">
        <f>IF(B336&lt;=INDEX(YieldCurve!$A$4:$A$63,1),1,IF(B336&gt;=INDEX(YieldCurve!$A$4:$A$63,ROWS(YieldCurve!$A$4:$A$63)),ROWS(YieldCurve!$A$4:$A$63)-1,MATCH(B336,YieldCurve!$A$4:$A$63,1)))</f>
        <v>55</v>
      </c>
      <c r="D336">
        <f>INDEX(YieldCurve!$A$4:$A$63,C336)</f>
        <v>27.5</v>
      </c>
      <c r="E336">
        <f>INDEX(YieldCurve!$A$4:$A$63,C336+1)</f>
        <v>28</v>
      </c>
      <c r="F336">
        <f>INDEX(YieldCurve!$B$4:$B$63,C336)</f>
        <v>4.9554330000000001E-2</v>
      </c>
      <c r="G336">
        <f>INDEX(YieldCurve!$B$4:$B$63,C336+1)</f>
        <v>4.9532079999999999E-2</v>
      </c>
      <c r="H336">
        <f t="shared" si="5"/>
        <v>0.5</v>
      </c>
      <c r="I336">
        <f>IF(B336&lt;=INDEX(YieldCurve!$A$4:$A$63,1),INDEX(YieldCurve!$B$4:$B$63,1),IF(B336&gt;=INDEX(YieldCurve!$A$4:$A$63,ROWS(YieldCurve!$A$4:$A$63)),INDEX(YieldCurve!$B$4:$B$63,ROWS(YieldCurve!$B$4:$B$63)),F336+H336*(G336-F336)))</f>
        <v>4.9543205E-2</v>
      </c>
      <c r="J336">
        <f>EXP(-(I336+Inputs!$B$9)*B336)</f>
        <v>0.25288411497896907</v>
      </c>
    </row>
    <row r="337" spans="1:10" x14ac:dyDescent="0.35">
      <c r="A337">
        <v>334</v>
      </c>
      <c r="B337">
        <f>A337/Inputs!$B$6</f>
        <v>27.833333333333332</v>
      </c>
      <c r="C337">
        <f>IF(B337&lt;=INDEX(YieldCurve!$A$4:$A$63,1),1,IF(B337&gt;=INDEX(YieldCurve!$A$4:$A$63,ROWS(YieldCurve!$A$4:$A$63)),ROWS(YieldCurve!$A$4:$A$63)-1,MATCH(B337,YieldCurve!$A$4:$A$63,1)))</f>
        <v>55</v>
      </c>
      <c r="D337">
        <f>INDEX(YieldCurve!$A$4:$A$63,C337)</f>
        <v>27.5</v>
      </c>
      <c r="E337">
        <f>INDEX(YieldCurve!$A$4:$A$63,C337+1)</f>
        <v>28</v>
      </c>
      <c r="F337">
        <f>INDEX(YieldCurve!$B$4:$B$63,C337)</f>
        <v>4.9554330000000001E-2</v>
      </c>
      <c r="G337">
        <f>INDEX(YieldCurve!$B$4:$B$63,C337+1)</f>
        <v>4.9532079999999999E-2</v>
      </c>
      <c r="H337">
        <f t="shared" si="5"/>
        <v>0.6666666666666643</v>
      </c>
      <c r="I337">
        <f>IF(B337&lt;=INDEX(YieldCurve!$A$4:$A$63,1),INDEX(YieldCurve!$B$4:$B$63,1),IF(B337&gt;=INDEX(YieldCurve!$A$4:$A$63,ROWS(YieldCurve!$A$4:$A$63)),INDEX(YieldCurve!$B$4:$B$63,ROWS(YieldCurve!$B$4:$B$63)),F337+H337*(G337-F337)))</f>
        <v>4.9539496666666669E-2</v>
      </c>
      <c r="J337">
        <f>EXP(-(I337+Inputs!$B$9)*B337)</f>
        <v>0.25186820510671615</v>
      </c>
    </row>
    <row r="338" spans="1:10" x14ac:dyDescent="0.35">
      <c r="A338">
        <v>335</v>
      </c>
      <c r="B338">
        <f>A338/Inputs!$B$6</f>
        <v>27.916666666666668</v>
      </c>
      <c r="C338">
        <f>IF(B338&lt;=INDEX(YieldCurve!$A$4:$A$63,1),1,IF(B338&gt;=INDEX(YieldCurve!$A$4:$A$63,ROWS(YieldCurve!$A$4:$A$63)),ROWS(YieldCurve!$A$4:$A$63)-1,MATCH(B338,YieldCurve!$A$4:$A$63,1)))</f>
        <v>55</v>
      </c>
      <c r="D338">
        <f>INDEX(YieldCurve!$A$4:$A$63,C338)</f>
        <v>27.5</v>
      </c>
      <c r="E338">
        <f>INDEX(YieldCurve!$A$4:$A$63,C338+1)</f>
        <v>28</v>
      </c>
      <c r="F338">
        <f>INDEX(YieldCurve!$B$4:$B$63,C338)</f>
        <v>4.9554330000000001E-2</v>
      </c>
      <c r="G338">
        <f>INDEX(YieldCurve!$B$4:$B$63,C338+1)</f>
        <v>4.9532079999999999E-2</v>
      </c>
      <c r="H338">
        <f t="shared" si="5"/>
        <v>0.8333333333333357</v>
      </c>
      <c r="I338">
        <f>IF(B338&lt;=INDEX(YieldCurve!$A$4:$A$63,1),INDEX(YieldCurve!$B$4:$B$63,1),IF(B338&gt;=INDEX(YieldCurve!$A$4:$A$63,ROWS(YieldCurve!$A$4:$A$63)),INDEX(YieldCurve!$B$4:$B$63,ROWS(YieldCurve!$B$4:$B$63)),F338+H338*(G338-F338)))</f>
        <v>4.953578833333333E-2</v>
      </c>
      <c r="J338">
        <f>EXP(-(I338+Inputs!$B$9)*B338)</f>
        <v>0.25085653148646098</v>
      </c>
    </row>
    <row r="339" spans="1:10" x14ac:dyDescent="0.35">
      <c r="A339">
        <v>336</v>
      </c>
      <c r="B339">
        <f>A339/Inputs!$B$6</f>
        <v>28</v>
      </c>
      <c r="C339">
        <f>IF(B339&lt;=INDEX(YieldCurve!$A$4:$A$63,1),1,IF(B339&gt;=INDEX(YieldCurve!$A$4:$A$63,ROWS(YieldCurve!$A$4:$A$63)),ROWS(YieldCurve!$A$4:$A$63)-1,MATCH(B339,YieldCurve!$A$4:$A$63,1)))</f>
        <v>56</v>
      </c>
      <c r="D339">
        <f>INDEX(YieldCurve!$A$4:$A$63,C339)</f>
        <v>28</v>
      </c>
      <c r="E339">
        <f>INDEX(YieldCurve!$A$4:$A$63,C339+1)</f>
        <v>28.5</v>
      </c>
      <c r="F339">
        <f>INDEX(YieldCurve!$B$4:$B$63,C339)</f>
        <v>4.9532079999999999E-2</v>
      </c>
      <c r="G339">
        <f>INDEX(YieldCurve!$B$4:$B$63,C339+1)</f>
        <v>4.9511050000000001E-2</v>
      </c>
      <c r="H339">
        <f t="shared" si="5"/>
        <v>0</v>
      </c>
      <c r="I339">
        <f>IF(B339&lt;=INDEX(YieldCurve!$A$4:$A$63,1),INDEX(YieldCurve!$B$4:$B$63,1),IF(B339&gt;=INDEX(YieldCurve!$A$4:$A$63,ROWS(YieldCurve!$A$4:$A$63)),INDEX(YieldCurve!$B$4:$B$63,ROWS(YieldCurve!$B$4:$B$63)),F339+H339*(G339-F339)))</f>
        <v>4.9532079999999999E-2</v>
      </c>
      <c r="J339">
        <f>EXP(-(I339+Inputs!$B$9)*B339)</f>
        <v>0.24984907585451108</v>
      </c>
    </row>
    <row r="340" spans="1:10" x14ac:dyDescent="0.35">
      <c r="A340">
        <v>337</v>
      </c>
      <c r="B340">
        <f>A340/Inputs!$B$6</f>
        <v>28.083333333333332</v>
      </c>
      <c r="C340">
        <f>IF(B340&lt;=INDEX(YieldCurve!$A$4:$A$63,1),1,IF(B340&gt;=INDEX(YieldCurve!$A$4:$A$63,ROWS(YieldCurve!$A$4:$A$63)),ROWS(YieldCurve!$A$4:$A$63)-1,MATCH(B340,YieldCurve!$A$4:$A$63,1)))</f>
        <v>56</v>
      </c>
      <c r="D340">
        <f>INDEX(YieldCurve!$A$4:$A$63,C340)</f>
        <v>28</v>
      </c>
      <c r="E340">
        <f>INDEX(YieldCurve!$A$4:$A$63,C340+1)</f>
        <v>28.5</v>
      </c>
      <c r="F340">
        <f>INDEX(YieldCurve!$B$4:$B$63,C340)</f>
        <v>4.9532079999999999E-2</v>
      </c>
      <c r="G340">
        <f>INDEX(YieldCurve!$B$4:$B$63,C340+1)</f>
        <v>4.9511050000000001E-2</v>
      </c>
      <c r="H340">
        <f t="shared" si="5"/>
        <v>0.1666666666666643</v>
      </c>
      <c r="I340">
        <f>IF(B340&lt;=INDEX(YieldCurve!$A$4:$A$63,1),INDEX(YieldCurve!$B$4:$B$63,1),IF(B340&gt;=INDEX(YieldCurve!$A$4:$A$63,ROWS(YieldCurve!$A$4:$A$63)),INDEX(YieldCurve!$B$4:$B$63,ROWS(YieldCurve!$B$4:$B$63)),F340+H340*(G340-F340)))</f>
        <v>4.9528574999999998E-2</v>
      </c>
      <c r="J340">
        <f>EXP(-(I340+Inputs!$B$9)*B340)</f>
        <v>0.24884439905363387</v>
      </c>
    </row>
    <row r="341" spans="1:10" x14ac:dyDescent="0.35">
      <c r="A341">
        <v>338</v>
      </c>
      <c r="B341">
        <f>A341/Inputs!$B$6</f>
        <v>28.166666666666668</v>
      </c>
      <c r="C341">
        <f>IF(B341&lt;=INDEX(YieldCurve!$A$4:$A$63,1),1,IF(B341&gt;=INDEX(YieldCurve!$A$4:$A$63,ROWS(YieldCurve!$A$4:$A$63)),ROWS(YieldCurve!$A$4:$A$63)-1,MATCH(B341,YieldCurve!$A$4:$A$63,1)))</f>
        <v>56</v>
      </c>
      <c r="D341">
        <f>INDEX(YieldCurve!$A$4:$A$63,C341)</f>
        <v>28</v>
      </c>
      <c r="E341">
        <f>INDEX(YieldCurve!$A$4:$A$63,C341+1)</f>
        <v>28.5</v>
      </c>
      <c r="F341">
        <f>INDEX(YieldCurve!$B$4:$B$63,C341)</f>
        <v>4.9532079999999999E-2</v>
      </c>
      <c r="G341">
        <f>INDEX(YieldCurve!$B$4:$B$63,C341+1)</f>
        <v>4.9511050000000001E-2</v>
      </c>
      <c r="H341">
        <f t="shared" si="5"/>
        <v>0.3333333333333357</v>
      </c>
      <c r="I341">
        <f>IF(B341&lt;=INDEX(YieldCurve!$A$4:$A$63,1),INDEX(YieldCurve!$B$4:$B$63,1),IF(B341&gt;=INDEX(YieldCurve!$A$4:$A$63,ROWS(YieldCurve!$A$4:$A$63)),INDEX(YieldCurve!$B$4:$B$63,ROWS(YieldCurve!$B$4:$B$63)),F341+H341*(G341-F341)))</f>
        <v>4.9525069999999997E-2</v>
      </c>
      <c r="J341">
        <f>EXP(-(I341+Inputs!$B$9)*B341)</f>
        <v>0.24784390697565864</v>
      </c>
    </row>
    <row r="342" spans="1:10" x14ac:dyDescent="0.35">
      <c r="A342">
        <v>339</v>
      </c>
      <c r="B342">
        <f>A342/Inputs!$B$6</f>
        <v>28.25</v>
      </c>
      <c r="C342">
        <f>IF(B342&lt;=INDEX(YieldCurve!$A$4:$A$63,1),1,IF(B342&gt;=INDEX(YieldCurve!$A$4:$A$63,ROWS(YieldCurve!$A$4:$A$63)),ROWS(YieldCurve!$A$4:$A$63)-1,MATCH(B342,YieldCurve!$A$4:$A$63,1)))</f>
        <v>56</v>
      </c>
      <c r="D342">
        <f>INDEX(YieldCurve!$A$4:$A$63,C342)</f>
        <v>28</v>
      </c>
      <c r="E342">
        <f>INDEX(YieldCurve!$A$4:$A$63,C342+1)</f>
        <v>28.5</v>
      </c>
      <c r="F342">
        <f>INDEX(YieldCurve!$B$4:$B$63,C342)</f>
        <v>4.9532079999999999E-2</v>
      </c>
      <c r="G342">
        <f>INDEX(YieldCurve!$B$4:$B$63,C342+1)</f>
        <v>4.9511050000000001E-2</v>
      </c>
      <c r="H342">
        <f t="shared" si="5"/>
        <v>0.5</v>
      </c>
      <c r="I342">
        <f>IF(B342&lt;=INDEX(YieldCurve!$A$4:$A$63,1),INDEX(YieldCurve!$B$4:$B$63,1),IF(B342&gt;=INDEX(YieldCurve!$A$4:$A$63,ROWS(YieldCurve!$A$4:$A$63)),INDEX(YieldCurve!$B$4:$B$63,ROWS(YieldCurve!$B$4:$B$63)),F342+H342*(G342-F342)))</f>
        <v>4.9521565000000003E-2</v>
      </c>
      <c r="J342">
        <f>EXP(-(I342+Inputs!$B$9)*B342)</f>
        <v>0.24684758162912673</v>
      </c>
    </row>
    <row r="343" spans="1:10" x14ac:dyDescent="0.35">
      <c r="A343">
        <v>340</v>
      </c>
      <c r="B343">
        <f>A343/Inputs!$B$6</f>
        <v>28.333333333333332</v>
      </c>
      <c r="C343">
        <f>IF(B343&lt;=INDEX(YieldCurve!$A$4:$A$63,1),1,IF(B343&gt;=INDEX(YieldCurve!$A$4:$A$63,ROWS(YieldCurve!$A$4:$A$63)),ROWS(YieldCurve!$A$4:$A$63)-1,MATCH(B343,YieldCurve!$A$4:$A$63,1)))</f>
        <v>56</v>
      </c>
      <c r="D343">
        <f>INDEX(YieldCurve!$A$4:$A$63,C343)</f>
        <v>28</v>
      </c>
      <c r="E343">
        <f>INDEX(YieldCurve!$A$4:$A$63,C343+1)</f>
        <v>28.5</v>
      </c>
      <c r="F343">
        <f>INDEX(YieldCurve!$B$4:$B$63,C343)</f>
        <v>4.9532079999999999E-2</v>
      </c>
      <c r="G343">
        <f>INDEX(YieldCurve!$B$4:$B$63,C343+1)</f>
        <v>4.9511050000000001E-2</v>
      </c>
      <c r="H343">
        <f t="shared" si="5"/>
        <v>0.6666666666666643</v>
      </c>
      <c r="I343">
        <f>IF(B343&lt;=INDEX(YieldCurve!$A$4:$A$63,1),INDEX(YieldCurve!$B$4:$B$63,1),IF(B343&gt;=INDEX(YieldCurve!$A$4:$A$63,ROWS(YieldCurve!$A$4:$A$63)),INDEX(YieldCurve!$B$4:$B$63,ROWS(YieldCurve!$B$4:$B$63)),F343+H343*(G343-F343)))</f>
        <v>4.9518060000000003E-2</v>
      </c>
      <c r="J343">
        <f>EXP(-(I343+Inputs!$B$9)*B343)</f>
        <v>0.2458554051021975</v>
      </c>
    </row>
    <row r="344" spans="1:10" x14ac:dyDescent="0.35">
      <c r="A344">
        <v>341</v>
      </c>
      <c r="B344">
        <f>A344/Inputs!$B$6</f>
        <v>28.416666666666668</v>
      </c>
      <c r="C344">
        <f>IF(B344&lt;=INDEX(YieldCurve!$A$4:$A$63,1),1,IF(B344&gt;=INDEX(YieldCurve!$A$4:$A$63,ROWS(YieldCurve!$A$4:$A$63)),ROWS(YieldCurve!$A$4:$A$63)-1,MATCH(B344,YieldCurve!$A$4:$A$63,1)))</f>
        <v>56</v>
      </c>
      <c r="D344">
        <f>INDEX(YieldCurve!$A$4:$A$63,C344)</f>
        <v>28</v>
      </c>
      <c r="E344">
        <f>INDEX(YieldCurve!$A$4:$A$63,C344+1)</f>
        <v>28.5</v>
      </c>
      <c r="F344">
        <f>INDEX(YieldCurve!$B$4:$B$63,C344)</f>
        <v>4.9532079999999999E-2</v>
      </c>
      <c r="G344">
        <f>INDEX(YieldCurve!$B$4:$B$63,C344+1)</f>
        <v>4.9511050000000001E-2</v>
      </c>
      <c r="H344">
        <f t="shared" si="5"/>
        <v>0.8333333333333357</v>
      </c>
      <c r="I344">
        <f>IF(B344&lt;=INDEX(YieldCurve!$A$4:$A$63,1),INDEX(YieldCurve!$B$4:$B$63,1),IF(B344&gt;=INDEX(YieldCurve!$A$4:$A$63,ROWS(YieldCurve!$A$4:$A$63)),INDEX(YieldCurve!$B$4:$B$63,ROWS(YieldCurve!$B$4:$B$63)),F344+H344*(G344-F344)))</f>
        <v>4.9514555000000002E-2</v>
      </c>
      <c r="J344">
        <f>EXP(-(I344+Inputs!$B$9)*B344)</f>
        <v>0.24486735956228603</v>
      </c>
    </row>
    <row r="345" spans="1:10" x14ac:dyDescent="0.35">
      <c r="A345">
        <v>342</v>
      </c>
      <c r="B345">
        <f>A345/Inputs!$B$6</f>
        <v>28.5</v>
      </c>
      <c r="C345">
        <f>IF(B345&lt;=INDEX(YieldCurve!$A$4:$A$63,1),1,IF(B345&gt;=INDEX(YieldCurve!$A$4:$A$63,ROWS(YieldCurve!$A$4:$A$63)),ROWS(YieldCurve!$A$4:$A$63)-1,MATCH(B345,YieldCurve!$A$4:$A$63,1)))</f>
        <v>57</v>
      </c>
      <c r="D345">
        <f>INDEX(YieldCurve!$A$4:$A$63,C345)</f>
        <v>28.5</v>
      </c>
      <c r="E345">
        <f>INDEX(YieldCurve!$A$4:$A$63,C345+1)</f>
        <v>29</v>
      </c>
      <c r="F345">
        <f>INDEX(YieldCurve!$B$4:$B$63,C345)</f>
        <v>4.9511050000000001E-2</v>
      </c>
      <c r="G345">
        <f>INDEX(YieldCurve!$B$4:$B$63,C345+1)</f>
        <v>4.9491180000000003E-2</v>
      </c>
      <c r="H345">
        <f t="shared" si="5"/>
        <v>0</v>
      </c>
      <c r="I345">
        <f>IF(B345&lt;=INDEX(YieldCurve!$A$4:$A$63,1),INDEX(YieldCurve!$B$4:$B$63,1),IF(B345&gt;=INDEX(YieldCurve!$A$4:$A$63,ROWS(YieldCurve!$A$4:$A$63)),INDEX(YieldCurve!$B$4:$B$63,ROWS(YieldCurve!$B$4:$B$63)),F345+H345*(G345-F345)))</f>
        <v>4.9511050000000001E-2</v>
      </c>
      <c r="J345">
        <f>EXP(-(I345+Inputs!$B$9)*B345)</f>
        <v>0.24388342725570364</v>
      </c>
    </row>
    <row r="346" spans="1:10" x14ac:dyDescent="0.35">
      <c r="A346">
        <v>343</v>
      </c>
      <c r="B346">
        <f>A346/Inputs!$B$6</f>
        <v>28.583333333333332</v>
      </c>
      <c r="C346">
        <f>IF(B346&lt;=INDEX(YieldCurve!$A$4:$A$63,1),1,IF(B346&gt;=INDEX(YieldCurve!$A$4:$A$63,ROWS(YieldCurve!$A$4:$A$63)),ROWS(YieldCurve!$A$4:$A$63)-1,MATCH(B346,YieldCurve!$A$4:$A$63,1)))</f>
        <v>57</v>
      </c>
      <c r="D346">
        <f>INDEX(YieldCurve!$A$4:$A$63,C346)</f>
        <v>28.5</v>
      </c>
      <c r="E346">
        <f>INDEX(YieldCurve!$A$4:$A$63,C346+1)</f>
        <v>29</v>
      </c>
      <c r="F346">
        <f>INDEX(YieldCurve!$B$4:$B$63,C346)</f>
        <v>4.9511050000000001E-2</v>
      </c>
      <c r="G346">
        <f>INDEX(YieldCurve!$B$4:$B$63,C346+1)</f>
        <v>4.9491180000000003E-2</v>
      </c>
      <c r="H346">
        <f t="shared" si="5"/>
        <v>0.1666666666666643</v>
      </c>
      <c r="I346">
        <f>IF(B346&lt;=INDEX(YieldCurve!$A$4:$A$63,1),INDEX(YieldCurve!$B$4:$B$63,1),IF(B346&gt;=INDEX(YieldCurve!$A$4:$A$63,ROWS(YieldCurve!$A$4:$A$63)),INDEX(YieldCurve!$B$4:$B$63,ROWS(YieldCurve!$B$4:$B$63)),F346+H346*(G346-F346)))</f>
        <v>4.9507738333333336E-2</v>
      </c>
      <c r="J346">
        <f>EXP(-(I346+Inputs!$B$9)*B346)</f>
        <v>0.2429022481987774</v>
      </c>
    </row>
    <row r="347" spans="1:10" x14ac:dyDescent="0.35">
      <c r="A347">
        <v>344</v>
      </c>
      <c r="B347">
        <f>A347/Inputs!$B$6</f>
        <v>28.666666666666668</v>
      </c>
      <c r="C347">
        <f>IF(B347&lt;=INDEX(YieldCurve!$A$4:$A$63,1),1,IF(B347&gt;=INDEX(YieldCurve!$A$4:$A$63,ROWS(YieldCurve!$A$4:$A$63)),ROWS(YieldCurve!$A$4:$A$63)-1,MATCH(B347,YieldCurve!$A$4:$A$63,1)))</f>
        <v>57</v>
      </c>
      <c r="D347">
        <f>INDEX(YieldCurve!$A$4:$A$63,C347)</f>
        <v>28.5</v>
      </c>
      <c r="E347">
        <f>INDEX(YieldCurve!$A$4:$A$63,C347+1)</f>
        <v>29</v>
      </c>
      <c r="F347">
        <f>INDEX(YieldCurve!$B$4:$B$63,C347)</f>
        <v>4.9511050000000001E-2</v>
      </c>
      <c r="G347">
        <f>INDEX(YieldCurve!$B$4:$B$63,C347+1)</f>
        <v>4.9491180000000003E-2</v>
      </c>
      <c r="H347">
        <f t="shared" si="5"/>
        <v>0.3333333333333357</v>
      </c>
      <c r="I347">
        <f>IF(B347&lt;=INDEX(YieldCurve!$A$4:$A$63,1),INDEX(YieldCurve!$B$4:$B$63,1),IF(B347&gt;=INDEX(YieldCurve!$A$4:$A$63,ROWS(YieldCurve!$A$4:$A$63)),INDEX(YieldCurve!$B$4:$B$63,ROWS(YieldCurve!$B$4:$B$63)),F347+H347*(G347-F347)))</f>
        <v>4.950442666666667E-2</v>
      </c>
      <c r="J347">
        <f>EXP(-(I347+Inputs!$B$9)*B347)</f>
        <v>0.24192515009935314</v>
      </c>
    </row>
    <row r="348" spans="1:10" x14ac:dyDescent="0.35">
      <c r="A348">
        <v>345</v>
      </c>
      <c r="B348">
        <f>A348/Inputs!$B$6</f>
        <v>28.75</v>
      </c>
      <c r="C348">
        <f>IF(B348&lt;=INDEX(YieldCurve!$A$4:$A$63,1),1,IF(B348&gt;=INDEX(YieldCurve!$A$4:$A$63,ROWS(YieldCurve!$A$4:$A$63)),ROWS(YieldCurve!$A$4:$A$63)-1,MATCH(B348,YieldCurve!$A$4:$A$63,1)))</f>
        <v>57</v>
      </c>
      <c r="D348">
        <f>INDEX(YieldCurve!$A$4:$A$63,C348)</f>
        <v>28.5</v>
      </c>
      <c r="E348">
        <f>INDEX(YieldCurve!$A$4:$A$63,C348+1)</f>
        <v>29</v>
      </c>
      <c r="F348">
        <f>INDEX(YieldCurve!$B$4:$B$63,C348)</f>
        <v>4.9511050000000001E-2</v>
      </c>
      <c r="G348">
        <f>INDEX(YieldCurve!$B$4:$B$63,C348+1)</f>
        <v>4.9491180000000003E-2</v>
      </c>
      <c r="H348">
        <f t="shared" si="5"/>
        <v>0.5</v>
      </c>
      <c r="I348">
        <f>IF(B348&lt;=INDEX(YieldCurve!$A$4:$A$63,1),INDEX(YieldCurve!$B$4:$B$63,1),IF(B348&gt;=INDEX(YieldCurve!$A$4:$A$63,ROWS(YieldCurve!$A$4:$A$63)),INDEX(YieldCurve!$B$4:$B$63,ROWS(YieldCurve!$B$4:$B$63)),F348+H348*(G348-F348)))</f>
        <v>4.9501114999999998E-2</v>
      </c>
      <c r="J348">
        <f>EXP(-(I348+Inputs!$B$9)*B348)</f>
        <v>0.24095211546494089</v>
      </c>
    </row>
    <row r="349" spans="1:10" x14ac:dyDescent="0.35">
      <c r="A349">
        <v>346</v>
      </c>
      <c r="B349">
        <f>A349/Inputs!$B$6</f>
        <v>28.833333333333332</v>
      </c>
      <c r="C349">
        <f>IF(B349&lt;=INDEX(YieldCurve!$A$4:$A$63,1),1,IF(B349&gt;=INDEX(YieldCurve!$A$4:$A$63,ROWS(YieldCurve!$A$4:$A$63)),ROWS(YieldCurve!$A$4:$A$63)-1,MATCH(B349,YieldCurve!$A$4:$A$63,1)))</f>
        <v>57</v>
      </c>
      <c r="D349">
        <f>INDEX(YieldCurve!$A$4:$A$63,C349)</f>
        <v>28.5</v>
      </c>
      <c r="E349">
        <f>INDEX(YieldCurve!$A$4:$A$63,C349+1)</f>
        <v>29</v>
      </c>
      <c r="F349">
        <f>INDEX(YieldCurve!$B$4:$B$63,C349)</f>
        <v>4.9511050000000001E-2</v>
      </c>
      <c r="G349">
        <f>INDEX(YieldCurve!$B$4:$B$63,C349+1)</f>
        <v>4.9491180000000003E-2</v>
      </c>
      <c r="H349">
        <f t="shared" si="5"/>
        <v>0.6666666666666643</v>
      </c>
      <c r="I349">
        <f>IF(B349&lt;=INDEX(YieldCurve!$A$4:$A$63,1),INDEX(YieldCurve!$B$4:$B$63,1),IF(B349&gt;=INDEX(YieldCurve!$A$4:$A$63,ROWS(YieldCurve!$A$4:$A$63)),INDEX(YieldCurve!$B$4:$B$63,ROWS(YieldCurve!$B$4:$B$63)),F349+H349*(G349-F349)))</f>
        <v>4.9497803333333333E-2</v>
      </c>
      <c r="J349">
        <f>EXP(-(I349+Inputs!$B$9)*B349)</f>
        <v>0.23998312688012569</v>
      </c>
    </row>
    <row r="350" spans="1:10" x14ac:dyDescent="0.35">
      <c r="A350">
        <v>347</v>
      </c>
      <c r="B350">
        <f>A350/Inputs!$B$6</f>
        <v>28.916666666666668</v>
      </c>
      <c r="C350">
        <f>IF(B350&lt;=INDEX(YieldCurve!$A$4:$A$63,1),1,IF(B350&gt;=INDEX(YieldCurve!$A$4:$A$63,ROWS(YieldCurve!$A$4:$A$63)),ROWS(YieldCurve!$A$4:$A$63)-1,MATCH(B350,YieldCurve!$A$4:$A$63,1)))</f>
        <v>57</v>
      </c>
      <c r="D350">
        <f>INDEX(YieldCurve!$A$4:$A$63,C350)</f>
        <v>28.5</v>
      </c>
      <c r="E350">
        <f>INDEX(YieldCurve!$A$4:$A$63,C350+1)</f>
        <v>29</v>
      </c>
      <c r="F350">
        <f>INDEX(YieldCurve!$B$4:$B$63,C350)</f>
        <v>4.9511050000000001E-2</v>
      </c>
      <c r="G350">
        <f>INDEX(YieldCurve!$B$4:$B$63,C350+1)</f>
        <v>4.9491180000000003E-2</v>
      </c>
      <c r="H350">
        <f t="shared" si="5"/>
        <v>0.8333333333333357</v>
      </c>
      <c r="I350">
        <f>IF(B350&lt;=INDEX(YieldCurve!$A$4:$A$63,1),INDEX(YieldCurve!$B$4:$B$63,1),IF(B350&gt;=INDEX(YieldCurve!$A$4:$A$63,ROWS(YieldCurve!$A$4:$A$63)),INDEX(YieldCurve!$B$4:$B$63,ROWS(YieldCurve!$B$4:$B$63)),F350+H350*(G350-F350)))</f>
        <v>4.9494491666666668E-2</v>
      </c>
      <c r="J350">
        <f>EXP(-(I350+Inputs!$B$9)*B350)</f>
        <v>0.23901816700621961</v>
      </c>
    </row>
    <row r="351" spans="1:10" x14ac:dyDescent="0.35">
      <c r="A351">
        <v>348</v>
      </c>
      <c r="B351">
        <f>A351/Inputs!$B$6</f>
        <v>29</v>
      </c>
      <c r="C351">
        <f>IF(B351&lt;=INDEX(YieldCurve!$A$4:$A$63,1),1,IF(B351&gt;=INDEX(YieldCurve!$A$4:$A$63,ROWS(YieldCurve!$A$4:$A$63)),ROWS(YieldCurve!$A$4:$A$63)-1,MATCH(B351,YieldCurve!$A$4:$A$63,1)))</f>
        <v>58</v>
      </c>
      <c r="D351">
        <f>INDEX(YieldCurve!$A$4:$A$63,C351)</f>
        <v>29</v>
      </c>
      <c r="E351">
        <f>INDEX(YieldCurve!$A$4:$A$63,C351+1)</f>
        <v>29.5</v>
      </c>
      <c r="F351">
        <f>INDEX(YieldCurve!$B$4:$B$63,C351)</f>
        <v>4.9491180000000003E-2</v>
      </c>
      <c r="G351">
        <f>INDEX(YieldCurve!$B$4:$B$63,C351+1)</f>
        <v>4.9472420000000003E-2</v>
      </c>
      <c r="H351">
        <f t="shared" si="5"/>
        <v>0</v>
      </c>
      <c r="I351">
        <f>IF(B351&lt;=INDEX(YieldCurve!$A$4:$A$63,1),INDEX(YieldCurve!$B$4:$B$63,1),IF(B351&gt;=INDEX(YieldCurve!$A$4:$A$63,ROWS(YieldCurve!$A$4:$A$63)),INDEX(YieldCurve!$B$4:$B$63,ROWS(YieldCurve!$B$4:$B$63)),F351+H351*(G351-F351)))</f>
        <v>4.9491180000000003E-2</v>
      </c>
      <c r="J351">
        <f>EXP(-(I351+Inputs!$B$9)*B351)</f>
        <v>0.23805721858091525</v>
      </c>
    </row>
    <row r="352" spans="1:10" x14ac:dyDescent="0.35">
      <c r="A352">
        <v>349</v>
      </c>
      <c r="B352">
        <f>A352/Inputs!$B$6</f>
        <v>29.083333333333332</v>
      </c>
      <c r="C352">
        <f>IF(B352&lt;=INDEX(YieldCurve!$A$4:$A$63,1),1,IF(B352&gt;=INDEX(YieldCurve!$A$4:$A$63,ROWS(YieldCurve!$A$4:$A$63)),ROWS(YieldCurve!$A$4:$A$63)-1,MATCH(B352,YieldCurve!$A$4:$A$63,1)))</f>
        <v>58</v>
      </c>
      <c r="D352">
        <f>INDEX(YieldCurve!$A$4:$A$63,C352)</f>
        <v>29</v>
      </c>
      <c r="E352">
        <f>INDEX(YieldCurve!$A$4:$A$63,C352+1)</f>
        <v>29.5</v>
      </c>
      <c r="F352">
        <f>INDEX(YieldCurve!$B$4:$B$63,C352)</f>
        <v>4.9491180000000003E-2</v>
      </c>
      <c r="G352">
        <f>INDEX(YieldCurve!$B$4:$B$63,C352+1)</f>
        <v>4.9472420000000003E-2</v>
      </c>
      <c r="H352">
        <f t="shared" si="5"/>
        <v>0.1666666666666643</v>
      </c>
      <c r="I352">
        <f>IF(B352&lt;=INDEX(YieldCurve!$A$4:$A$63,1),INDEX(YieldCurve!$B$4:$B$63,1),IF(B352&gt;=INDEX(YieldCurve!$A$4:$A$63,ROWS(YieldCurve!$A$4:$A$63)),INDEX(YieldCurve!$B$4:$B$63,ROWS(YieldCurve!$B$4:$B$63)),F352+H352*(G352-F352)))</f>
        <v>4.9488053333333337E-2</v>
      </c>
      <c r="J352">
        <f>EXP(-(I352+Inputs!$B$9)*B352)</f>
        <v>0.23709898872315749</v>
      </c>
    </row>
    <row r="353" spans="1:10" x14ac:dyDescent="0.35">
      <c r="A353">
        <v>350</v>
      </c>
      <c r="B353">
        <f>A353/Inputs!$B$6</f>
        <v>29.166666666666668</v>
      </c>
      <c r="C353">
        <f>IF(B353&lt;=INDEX(YieldCurve!$A$4:$A$63,1),1,IF(B353&gt;=INDEX(YieldCurve!$A$4:$A$63,ROWS(YieldCurve!$A$4:$A$63)),ROWS(YieldCurve!$A$4:$A$63)-1,MATCH(B353,YieldCurve!$A$4:$A$63,1)))</f>
        <v>58</v>
      </c>
      <c r="D353">
        <f>INDEX(YieldCurve!$A$4:$A$63,C353)</f>
        <v>29</v>
      </c>
      <c r="E353">
        <f>INDEX(YieldCurve!$A$4:$A$63,C353+1)</f>
        <v>29.5</v>
      </c>
      <c r="F353">
        <f>INDEX(YieldCurve!$B$4:$B$63,C353)</f>
        <v>4.9491180000000003E-2</v>
      </c>
      <c r="G353">
        <f>INDEX(YieldCurve!$B$4:$B$63,C353+1)</f>
        <v>4.9472420000000003E-2</v>
      </c>
      <c r="H353">
        <f t="shared" si="5"/>
        <v>0.3333333333333357</v>
      </c>
      <c r="I353">
        <f>IF(B353&lt;=INDEX(YieldCurve!$A$4:$A$63,1),INDEX(YieldCurve!$B$4:$B$63,1),IF(B353&gt;=INDEX(YieldCurve!$A$4:$A$63,ROWS(YieldCurve!$A$4:$A$63)),INDEX(YieldCurve!$B$4:$B$63,ROWS(YieldCurve!$B$4:$B$63)),F353+H353*(G353-F353)))</f>
        <v>4.9484926666666672E-2</v>
      </c>
      <c r="J353">
        <f>EXP(-(I353+Inputs!$B$9)*B353)</f>
        <v>0.2361447389976534</v>
      </c>
    </row>
    <row r="354" spans="1:10" x14ac:dyDescent="0.35">
      <c r="A354">
        <v>351</v>
      </c>
      <c r="B354">
        <f>A354/Inputs!$B$6</f>
        <v>29.25</v>
      </c>
      <c r="C354">
        <f>IF(B354&lt;=INDEX(YieldCurve!$A$4:$A$63,1),1,IF(B354&gt;=INDEX(YieldCurve!$A$4:$A$63,ROWS(YieldCurve!$A$4:$A$63)),ROWS(YieldCurve!$A$4:$A$63)-1,MATCH(B354,YieldCurve!$A$4:$A$63,1)))</f>
        <v>58</v>
      </c>
      <c r="D354">
        <f>INDEX(YieldCurve!$A$4:$A$63,C354)</f>
        <v>29</v>
      </c>
      <c r="E354">
        <f>INDEX(YieldCurve!$A$4:$A$63,C354+1)</f>
        <v>29.5</v>
      </c>
      <c r="F354">
        <f>INDEX(YieldCurve!$B$4:$B$63,C354)</f>
        <v>4.9491180000000003E-2</v>
      </c>
      <c r="G354">
        <f>INDEX(YieldCurve!$B$4:$B$63,C354+1)</f>
        <v>4.9472420000000003E-2</v>
      </c>
      <c r="H354">
        <f t="shared" si="5"/>
        <v>0.5</v>
      </c>
      <c r="I354">
        <f>IF(B354&lt;=INDEX(YieldCurve!$A$4:$A$63,1),INDEX(YieldCurve!$B$4:$B$63,1),IF(B354&gt;=INDEX(YieldCurve!$A$4:$A$63,ROWS(YieldCurve!$A$4:$A$63)),INDEX(YieldCurve!$B$4:$B$63,ROWS(YieldCurve!$B$4:$B$63)),F354+H354*(G354-F354)))</f>
        <v>4.9481800000000006E-2</v>
      </c>
      <c r="J354">
        <f>EXP(-(I354+Inputs!$B$9)*B354)</f>
        <v>0.23519445239306888</v>
      </c>
    </row>
    <row r="355" spans="1:10" x14ac:dyDescent="0.35">
      <c r="A355">
        <v>352</v>
      </c>
      <c r="B355">
        <f>A355/Inputs!$B$6</f>
        <v>29.333333333333332</v>
      </c>
      <c r="C355">
        <f>IF(B355&lt;=INDEX(YieldCurve!$A$4:$A$63,1),1,IF(B355&gt;=INDEX(YieldCurve!$A$4:$A$63,ROWS(YieldCurve!$A$4:$A$63)),ROWS(YieldCurve!$A$4:$A$63)-1,MATCH(B355,YieldCurve!$A$4:$A$63,1)))</f>
        <v>58</v>
      </c>
      <c r="D355">
        <f>INDEX(YieldCurve!$A$4:$A$63,C355)</f>
        <v>29</v>
      </c>
      <c r="E355">
        <f>INDEX(YieldCurve!$A$4:$A$63,C355+1)</f>
        <v>29.5</v>
      </c>
      <c r="F355">
        <f>INDEX(YieldCurve!$B$4:$B$63,C355)</f>
        <v>4.9491180000000003E-2</v>
      </c>
      <c r="G355">
        <f>INDEX(YieldCurve!$B$4:$B$63,C355+1)</f>
        <v>4.9472420000000003E-2</v>
      </c>
      <c r="H355">
        <f t="shared" si="5"/>
        <v>0.6666666666666643</v>
      </c>
      <c r="I355">
        <f>IF(B355&lt;=INDEX(YieldCurve!$A$4:$A$63,1),INDEX(YieldCurve!$B$4:$B$63,1),IF(B355&gt;=INDEX(YieldCurve!$A$4:$A$63,ROWS(YieldCurve!$A$4:$A$63)),INDEX(YieldCurve!$B$4:$B$63,ROWS(YieldCurve!$B$4:$B$63)),F355+H355*(G355-F355)))</f>
        <v>4.9478673333333334E-2</v>
      </c>
      <c r="J355">
        <f>EXP(-(I355+Inputs!$B$9)*B355)</f>
        <v>0.23424811197271386</v>
      </c>
    </row>
    <row r="356" spans="1:10" x14ac:dyDescent="0.35">
      <c r="A356">
        <v>353</v>
      </c>
      <c r="B356">
        <f>A356/Inputs!$B$6</f>
        <v>29.416666666666668</v>
      </c>
      <c r="C356">
        <f>IF(B356&lt;=INDEX(YieldCurve!$A$4:$A$63,1),1,IF(B356&gt;=INDEX(YieldCurve!$A$4:$A$63,ROWS(YieldCurve!$A$4:$A$63)),ROWS(YieldCurve!$A$4:$A$63)-1,MATCH(B356,YieldCurve!$A$4:$A$63,1)))</f>
        <v>58</v>
      </c>
      <c r="D356">
        <f>INDEX(YieldCurve!$A$4:$A$63,C356)</f>
        <v>29</v>
      </c>
      <c r="E356">
        <f>INDEX(YieldCurve!$A$4:$A$63,C356+1)</f>
        <v>29.5</v>
      </c>
      <c r="F356">
        <f>INDEX(YieldCurve!$B$4:$B$63,C356)</f>
        <v>4.9491180000000003E-2</v>
      </c>
      <c r="G356">
        <f>INDEX(YieldCurve!$B$4:$B$63,C356+1)</f>
        <v>4.9472420000000003E-2</v>
      </c>
      <c r="H356">
        <f t="shared" si="5"/>
        <v>0.8333333333333357</v>
      </c>
      <c r="I356">
        <f>IF(B356&lt;=INDEX(YieldCurve!$A$4:$A$63,1),INDEX(YieldCurve!$B$4:$B$63,1),IF(B356&gt;=INDEX(YieldCurve!$A$4:$A$63,ROWS(YieldCurve!$A$4:$A$63)),INDEX(YieldCurve!$B$4:$B$63,ROWS(YieldCurve!$B$4:$B$63)),F356+H356*(G356-F356)))</f>
        <v>4.9475546666666669E-2</v>
      </c>
      <c r="J356">
        <f>EXP(-(I356+Inputs!$B$9)*B356)</f>
        <v>0.23330570087420649</v>
      </c>
    </row>
    <row r="357" spans="1:10" x14ac:dyDescent="0.35">
      <c r="A357">
        <v>354</v>
      </c>
      <c r="B357">
        <f>A357/Inputs!$B$6</f>
        <v>29.5</v>
      </c>
      <c r="C357">
        <f>IF(B357&lt;=INDEX(YieldCurve!$A$4:$A$63,1),1,IF(B357&gt;=INDEX(YieldCurve!$A$4:$A$63,ROWS(YieldCurve!$A$4:$A$63)),ROWS(YieldCurve!$A$4:$A$63)-1,MATCH(B357,YieldCurve!$A$4:$A$63,1)))</f>
        <v>59</v>
      </c>
      <c r="D357">
        <f>INDEX(YieldCurve!$A$4:$A$63,C357)</f>
        <v>29.5</v>
      </c>
      <c r="E357">
        <f>INDEX(YieldCurve!$A$4:$A$63,C357+1)</f>
        <v>30</v>
      </c>
      <c r="F357">
        <f>INDEX(YieldCurve!$B$4:$B$63,C357)</f>
        <v>4.9472420000000003E-2</v>
      </c>
      <c r="G357">
        <f>INDEX(YieldCurve!$B$4:$B$63,C357+1)</f>
        <v>4.9454709999999999E-2</v>
      </c>
      <c r="H357">
        <f t="shared" si="5"/>
        <v>0</v>
      </c>
      <c r="I357">
        <f>IF(B357&lt;=INDEX(YieldCurve!$A$4:$A$63,1),INDEX(YieldCurve!$B$4:$B$63,1),IF(B357&gt;=INDEX(YieldCurve!$A$4:$A$63,ROWS(YieldCurve!$A$4:$A$63)),INDEX(YieldCurve!$B$4:$B$63,ROWS(YieldCurve!$B$4:$B$63)),F357+H357*(G357-F357)))</f>
        <v>4.9472420000000003E-2</v>
      </c>
      <c r="J357">
        <f>EXP(-(I357+Inputs!$B$9)*B357)</f>
        <v>0.23236720230913993</v>
      </c>
    </row>
    <row r="358" spans="1:10" x14ac:dyDescent="0.35">
      <c r="A358">
        <v>355</v>
      </c>
      <c r="B358">
        <f>A358/Inputs!$B$6</f>
        <v>29.583333333333332</v>
      </c>
      <c r="C358">
        <f>IF(B358&lt;=INDEX(YieldCurve!$A$4:$A$63,1),1,IF(B358&gt;=INDEX(YieldCurve!$A$4:$A$63,ROWS(YieldCurve!$A$4:$A$63)),ROWS(YieldCurve!$A$4:$A$63)-1,MATCH(B358,YieldCurve!$A$4:$A$63,1)))</f>
        <v>59</v>
      </c>
      <c r="D358">
        <f>INDEX(YieldCurve!$A$4:$A$63,C358)</f>
        <v>29.5</v>
      </c>
      <c r="E358">
        <f>INDEX(YieldCurve!$A$4:$A$63,C358+1)</f>
        <v>30</v>
      </c>
      <c r="F358">
        <f>INDEX(YieldCurve!$B$4:$B$63,C358)</f>
        <v>4.9472420000000003E-2</v>
      </c>
      <c r="G358">
        <f>INDEX(YieldCurve!$B$4:$B$63,C358+1)</f>
        <v>4.9454709999999999E-2</v>
      </c>
      <c r="H358">
        <f t="shared" si="5"/>
        <v>0.1666666666666643</v>
      </c>
      <c r="I358">
        <f>IF(B358&lt;=INDEX(YieldCurve!$A$4:$A$63,1),INDEX(YieldCurve!$B$4:$B$63,1),IF(B358&gt;=INDEX(YieldCurve!$A$4:$A$63,ROWS(YieldCurve!$A$4:$A$63)),INDEX(YieldCurve!$B$4:$B$63,ROWS(YieldCurve!$B$4:$B$63)),F358+H358*(G358-F358)))</f>
        <v>4.9469468333333336E-2</v>
      </c>
      <c r="J358">
        <f>EXP(-(I358+Inputs!$B$9)*B358)</f>
        <v>0.23143140141999624</v>
      </c>
    </row>
    <row r="359" spans="1:10" x14ac:dyDescent="0.35">
      <c r="A359">
        <v>356</v>
      </c>
      <c r="B359">
        <f>A359/Inputs!$B$6</f>
        <v>29.666666666666668</v>
      </c>
      <c r="C359">
        <f>IF(B359&lt;=INDEX(YieldCurve!$A$4:$A$63,1),1,IF(B359&gt;=INDEX(YieldCurve!$A$4:$A$63,ROWS(YieldCurve!$A$4:$A$63)),ROWS(YieldCurve!$A$4:$A$63)-1,MATCH(B359,YieldCurve!$A$4:$A$63,1)))</f>
        <v>59</v>
      </c>
      <c r="D359">
        <f>INDEX(YieldCurve!$A$4:$A$63,C359)</f>
        <v>29.5</v>
      </c>
      <c r="E359">
        <f>INDEX(YieldCurve!$A$4:$A$63,C359+1)</f>
        <v>30</v>
      </c>
      <c r="F359">
        <f>INDEX(YieldCurve!$B$4:$B$63,C359)</f>
        <v>4.9472420000000003E-2</v>
      </c>
      <c r="G359">
        <f>INDEX(YieldCurve!$B$4:$B$63,C359+1)</f>
        <v>4.9454709999999999E-2</v>
      </c>
      <c r="H359">
        <f t="shared" si="5"/>
        <v>0.3333333333333357</v>
      </c>
      <c r="I359">
        <f>IF(B359&lt;=INDEX(YieldCurve!$A$4:$A$63,1),INDEX(YieldCurve!$B$4:$B$63,1),IF(B359&gt;=INDEX(YieldCurve!$A$4:$A$63,ROWS(YieldCurve!$A$4:$A$63)),INDEX(YieldCurve!$B$4:$B$63,ROWS(YieldCurve!$B$4:$B$63)),F359+H359*(G359-F359)))</f>
        <v>4.9466516666666668E-2</v>
      </c>
      <c r="J359">
        <f>EXP(-(I359+Inputs!$B$9)*B359)</f>
        <v>0.230499482628192</v>
      </c>
    </row>
    <row r="360" spans="1:10" x14ac:dyDescent="0.35">
      <c r="A360">
        <v>357</v>
      </c>
      <c r="B360">
        <f>A360/Inputs!$B$6</f>
        <v>29.75</v>
      </c>
      <c r="C360">
        <f>IF(B360&lt;=INDEX(YieldCurve!$A$4:$A$63,1),1,IF(B360&gt;=INDEX(YieldCurve!$A$4:$A$63,ROWS(YieldCurve!$A$4:$A$63)),ROWS(YieldCurve!$A$4:$A$63)-1,MATCH(B360,YieldCurve!$A$4:$A$63,1)))</f>
        <v>59</v>
      </c>
      <c r="D360">
        <f>INDEX(YieldCurve!$A$4:$A$63,C360)</f>
        <v>29.5</v>
      </c>
      <c r="E360">
        <f>INDEX(YieldCurve!$A$4:$A$63,C360+1)</f>
        <v>30</v>
      </c>
      <c r="F360">
        <f>INDEX(YieldCurve!$B$4:$B$63,C360)</f>
        <v>4.9472420000000003E-2</v>
      </c>
      <c r="G360">
        <f>INDEX(YieldCurve!$B$4:$B$63,C360+1)</f>
        <v>4.9454709999999999E-2</v>
      </c>
      <c r="H360">
        <f t="shared" si="5"/>
        <v>0.5</v>
      </c>
      <c r="I360">
        <f>IF(B360&lt;=INDEX(YieldCurve!$A$4:$A$63,1),INDEX(YieldCurve!$B$4:$B$63,1),IF(B360&gt;=INDEX(YieldCurve!$A$4:$A$63,ROWS(YieldCurve!$A$4:$A$63)),INDEX(YieldCurve!$B$4:$B$63,ROWS(YieldCurve!$B$4:$B$63)),F360+H360*(G360-F360)))</f>
        <v>4.9463565000000001E-2</v>
      </c>
      <c r="J360">
        <f>EXP(-(I360+Inputs!$B$9)*B360)</f>
        <v>0.22957142938639286</v>
      </c>
    </row>
    <row r="361" spans="1:10" x14ac:dyDescent="0.35">
      <c r="A361">
        <v>358</v>
      </c>
      <c r="B361">
        <f>A361/Inputs!$B$6</f>
        <v>29.833333333333332</v>
      </c>
      <c r="C361">
        <f>IF(B361&lt;=INDEX(YieldCurve!$A$4:$A$63,1),1,IF(B361&gt;=INDEX(YieldCurve!$A$4:$A$63,ROWS(YieldCurve!$A$4:$A$63)),ROWS(YieldCurve!$A$4:$A$63)-1,MATCH(B361,YieldCurve!$A$4:$A$63,1)))</f>
        <v>59</v>
      </c>
      <c r="D361">
        <f>INDEX(YieldCurve!$A$4:$A$63,C361)</f>
        <v>29.5</v>
      </c>
      <c r="E361">
        <f>INDEX(YieldCurve!$A$4:$A$63,C361+1)</f>
        <v>30</v>
      </c>
      <c r="F361">
        <f>INDEX(YieldCurve!$B$4:$B$63,C361)</f>
        <v>4.9472420000000003E-2</v>
      </c>
      <c r="G361">
        <f>INDEX(YieldCurve!$B$4:$B$63,C361+1)</f>
        <v>4.9454709999999999E-2</v>
      </c>
      <c r="H361">
        <f t="shared" si="5"/>
        <v>0.6666666666666643</v>
      </c>
      <c r="I361">
        <f>IF(B361&lt;=INDEX(YieldCurve!$A$4:$A$63,1),INDEX(YieldCurve!$B$4:$B$63,1),IF(B361&gt;=INDEX(YieldCurve!$A$4:$A$63,ROWS(YieldCurve!$A$4:$A$63)),INDEX(YieldCurve!$B$4:$B$63,ROWS(YieldCurve!$B$4:$B$63)),F361+H361*(G361-F361)))</f>
        <v>4.9460613333333334E-2</v>
      </c>
      <c r="J361">
        <f>EXP(-(I361+Inputs!$B$9)*B361)</f>
        <v>0.22864722521958594</v>
      </c>
    </row>
    <row r="362" spans="1:10" x14ac:dyDescent="0.35">
      <c r="A362">
        <v>359</v>
      </c>
      <c r="B362">
        <f>A362/Inputs!$B$6</f>
        <v>29.916666666666668</v>
      </c>
      <c r="C362">
        <f>IF(B362&lt;=INDEX(YieldCurve!$A$4:$A$63,1),1,IF(B362&gt;=INDEX(YieldCurve!$A$4:$A$63,ROWS(YieldCurve!$A$4:$A$63)),ROWS(YieldCurve!$A$4:$A$63)-1,MATCH(B362,YieldCurve!$A$4:$A$63,1)))</f>
        <v>59</v>
      </c>
      <c r="D362">
        <f>INDEX(YieldCurve!$A$4:$A$63,C362)</f>
        <v>29.5</v>
      </c>
      <c r="E362">
        <f>INDEX(YieldCurve!$A$4:$A$63,C362+1)</f>
        <v>30</v>
      </c>
      <c r="F362">
        <f>INDEX(YieldCurve!$B$4:$B$63,C362)</f>
        <v>4.9472420000000003E-2</v>
      </c>
      <c r="G362">
        <f>INDEX(YieldCurve!$B$4:$B$63,C362+1)</f>
        <v>4.9454709999999999E-2</v>
      </c>
      <c r="H362">
        <f t="shared" si="5"/>
        <v>0.8333333333333357</v>
      </c>
      <c r="I362">
        <f>IF(B362&lt;=INDEX(YieldCurve!$A$4:$A$63,1),INDEX(YieldCurve!$B$4:$B$63,1),IF(B362&gt;=INDEX(YieldCurve!$A$4:$A$63,ROWS(YieldCurve!$A$4:$A$63)),INDEX(YieldCurve!$B$4:$B$63,ROWS(YieldCurve!$B$4:$B$63)),F362+H362*(G362-F362)))</f>
        <v>4.9457661666666666E-2</v>
      </c>
      <c r="J362">
        <f>EXP(-(I362+Inputs!$B$9)*B362)</f>
        <v>0.2277268537247564</v>
      </c>
    </row>
    <row r="363" spans="1:10" x14ac:dyDescent="0.35">
      <c r="A363">
        <v>360</v>
      </c>
      <c r="B363">
        <f>A363/Inputs!$B$6</f>
        <v>30</v>
      </c>
      <c r="C363">
        <f>IF(B363&lt;=INDEX(YieldCurve!$A$4:$A$63,1),1,IF(B363&gt;=INDEX(YieldCurve!$A$4:$A$63,ROWS(YieldCurve!$A$4:$A$63)),ROWS(YieldCurve!$A$4:$A$63)-1,MATCH(B363,YieldCurve!$A$4:$A$63,1)))</f>
        <v>59</v>
      </c>
      <c r="D363">
        <f>INDEX(YieldCurve!$A$4:$A$63,C363)</f>
        <v>29.5</v>
      </c>
      <c r="E363">
        <f>INDEX(YieldCurve!$A$4:$A$63,C363+1)</f>
        <v>30</v>
      </c>
      <c r="F363">
        <f>INDEX(YieldCurve!$B$4:$B$63,C363)</f>
        <v>4.9472420000000003E-2</v>
      </c>
      <c r="G363">
        <f>INDEX(YieldCurve!$B$4:$B$63,C363+1)</f>
        <v>4.9454709999999999E-2</v>
      </c>
      <c r="H363">
        <f t="shared" si="5"/>
        <v>1</v>
      </c>
      <c r="I363">
        <f>IF(B363&lt;=INDEX(YieldCurve!$A$4:$A$63,1),INDEX(YieldCurve!$B$4:$B$63,1),IF(B363&gt;=INDEX(YieldCurve!$A$4:$A$63,ROWS(YieldCurve!$A$4:$A$63)),INDEX(YieldCurve!$B$4:$B$63,ROWS(YieldCurve!$B$4:$B$63)),F363+H363*(G363-F363)))</f>
        <v>4.9454709999999999E-2</v>
      </c>
      <c r="J363">
        <f>EXP(-(I363+Inputs!$B$9)*B363)</f>
        <v>0.22681029857056539</v>
      </c>
    </row>
    <row r="364" spans="1:10" x14ac:dyDescent="0.35">
      <c r="A364">
        <v>361</v>
      </c>
      <c r="B364">
        <f>A364/Inputs!$B$6</f>
        <v>30.083333333333332</v>
      </c>
      <c r="C364">
        <f>IF(B364&lt;=INDEX(YieldCurve!$A$4:$A$63,1),1,IF(B364&gt;=INDEX(YieldCurve!$A$4:$A$63,ROWS(YieldCurve!$A$4:$A$63)),ROWS(YieldCurve!$A$4:$A$63)-1,MATCH(B364,YieldCurve!$A$4:$A$63,1)))</f>
        <v>59</v>
      </c>
      <c r="D364">
        <f>INDEX(YieldCurve!$A$4:$A$63,C364)</f>
        <v>29.5</v>
      </c>
      <c r="E364">
        <f>INDEX(YieldCurve!$A$4:$A$63,C364+1)</f>
        <v>30</v>
      </c>
      <c r="F364">
        <f>INDEX(YieldCurve!$B$4:$B$63,C364)</f>
        <v>4.9472420000000003E-2</v>
      </c>
      <c r="G364">
        <f>INDEX(YieldCurve!$B$4:$B$63,C364+1)</f>
        <v>4.9454709999999999E-2</v>
      </c>
      <c r="H364">
        <f t="shared" si="5"/>
        <v>1.1666666666666643</v>
      </c>
      <c r="I364">
        <f>IF(B364&lt;=INDEX(YieldCurve!$A$4:$A$63,1),INDEX(YieldCurve!$B$4:$B$63,1),IF(B364&gt;=INDEX(YieldCurve!$A$4:$A$63,ROWS(YieldCurve!$A$4:$A$63)),INDEX(YieldCurve!$B$4:$B$63,ROWS(YieldCurve!$B$4:$B$63)),F364+H364*(G364-F364)))</f>
        <v>4.9454709999999999E-2</v>
      </c>
      <c r="J364">
        <f>EXP(-(I364+Inputs!$B$9)*B364)</f>
        <v>0.22587748559557538</v>
      </c>
    </row>
    <row r="365" spans="1:10" x14ac:dyDescent="0.35">
      <c r="A365">
        <v>362</v>
      </c>
      <c r="B365">
        <f>A365/Inputs!$B$6</f>
        <v>30.166666666666668</v>
      </c>
      <c r="C365">
        <f>IF(B365&lt;=INDEX(YieldCurve!$A$4:$A$63,1),1,IF(B365&gt;=INDEX(YieldCurve!$A$4:$A$63,ROWS(YieldCurve!$A$4:$A$63)),ROWS(YieldCurve!$A$4:$A$63)-1,MATCH(B365,YieldCurve!$A$4:$A$63,1)))</f>
        <v>59</v>
      </c>
      <c r="D365">
        <f>INDEX(YieldCurve!$A$4:$A$63,C365)</f>
        <v>29.5</v>
      </c>
      <c r="E365">
        <f>INDEX(YieldCurve!$A$4:$A$63,C365+1)</f>
        <v>30</v>
      </c>
      <c r="F365">
        <f>INDEX(YieldCurve!$B$4:$B$63,C365)</f>
        <v>4.9472420000000003E-2</v>
      </c>
      <c r="G365">
        <f>INDEX(YieldCurve!$B$4:$B$63,C365+1)</f>
        <v>4.9454709999999999E-2</v>
      </c>
      <c r="H365">
        <f t="shared" si="5"/>
        <v>1.3333333333333357</v>
      </c>
      <c r="I365">
        <f>IF(B365&lt;=INDEX(YieldCurve!$A$4:$A$63,1),INDEX(YieldCurve!$B$4:$B$63,1),IF(B365&gt;=INDEX(YieldCurve!$A$4:$A$63,ROWS(YieldCurve!$A$4:$A$63)),INDEX(YieldCurve!$B$4:$B$63,ROWS(YieldCurve!$B$4:$B$63)),F365+H365*(G365-F365)))</f>
        <v>4.9454709999999999E-2</v>
      </c>
      <c r="J365">
        <f>EXP(-(I365+Inputs!$B$9)*B365)</f>
        <v>0.22494850904270464</v>
      </c>
    </row>
    <row r="366" spans="1:10" x14ac:dyDescent="0.35">
      <c r="A366">
        <v>363</v>
      </c>
      <c r="B366">
        <f>A366/Inputs!$B$6</f>
        <v>30.25</v>
      </c>
      <c r="C366">
        <f>IF(B366&lt;=INDEX(YieldCurve!$A$4:$A$63,1),1,IF(B366&gt;=INDEX(YieldCurve!$A$4:$A$63,ROWS(YieldCurve!$A$4:$A$63)),ROWS(YieldCurve!$A$4:$A$63)-1,MATCH(B366,YieldCurve!$A$4:$A$63,1)))</f>
        <v>59</v>
      </c>
      <c r="D366">
        <f>INDEX(YieldCurve!$A$4:$A$63,C366)</f>
        <v>29.5</v>
      </c>
      <c r="E366">
        <f>INDEX(YieldCurve!$A$4:$A$63,C366+1)</f>
        <v>30</v>
      </c>
      <c r="F366">
        <f>INDEX(YieldCurve!$B$4:$B$63,C366)</f>
        <v>4.9472420000000003E-2</v>
      </c>
      <c r="G366">
        <f>INDEX(YieldCurve!$B$4:$B$63,C366+1)</f>
        <v>4.9454709999999999E-2</v>
      </c>
      <c r="H366">
        <f t="shared" si="5"/>
        <v>1.5</v>
      </c>
      <c r="I366">
        <f>IF(B366&lt;=INDEX(YieldCurve!$A$4:$A$63,1),INDEX(YieldCurve!$B$4:$B$63,1),IF(B366&gt;=INDEX(YieldCurve!$A$4:$A$63,ROWS(YieldCurve!$A$4:$A$63)),INDEX(YieldCurve!$B$4:$B$63,ROWS(YieldCurve!$B$4:$B$63)),F366+H366*(G366-F366)))</f>
        <v>4.9454709999999999E-2</v>
      </c>
      <c r="J366">
        <f>EXP(-(I366+Inputs!$B$9)*B366)</f>
        <v>0.22402335313372637</v>
      </c>
    </row>
    <row r="367" spans="1:10" x14ac:dyDescent="0.35">
      <c r="A367">
        <v>364</v>
      </c>
      <c r="B367">
        <f>A367/Inputs!$B$6</f>
        <v>30.333333333333332</v>
      </c>
      <c r="C367">
        <f>IF(B367&lt;=INDEX(YieldCurve!$A$4:$A$63,1),1,IF(B367&gt;=INDEX(YieldCurve!$A$4:$A$63,ROWS(YieldCurve!$A$4:$A$63)),ROWS(YieldCurve!$A$4:$A$63)-1,MATCH(B367,YieldCurve!$A$4:$A$63,1)))</f>
        <v>59</v>
      </c>
      <c r="D367">
        <f>INDEX(YieldCurve!$A$4:$A$63,C367)</f>
        <v>29.5</v>
      </c>
      <c r="E367">
        <f>INDEX(YieldCurve!$A$4:$A$63,C367+1)</f>
        <v>30</v>
      </c>
      <c r="F367">
        <f>INDEX(YieldCurve!$B$4:$B$63,C367)</f>
        <v>4.9472420000000003E-2</v>
      </c>
      <c r="G367">
        <f>INDEX(YieldCurve!$B$4:$B$63,C367+1)</f>
        <v>4.9454709999999999E-2</v>
      </c>
      <c r="H367">
        <f t="shared" si="5"/>
        <v>1.6666666666666643</v>
      </c>
      <c r="I367">
        <f>IF(B367&lt;=INDEX(YieldCurve!$A$4:$A$63,1),INDEX(YieldCurve!$B$4:$B$63,1),IF(B367&gt;=INDEX(YieldCurve!$A$4:$A$63,ROWS(YieldCurve!$A$4:$A$63)),INDEX(YieldCurve!$B$4:$B$63,ROWS(YieldCurve!$B$4:$B$63)),F367+H367*(G367-F367)))</f>
        <v>4.9454709999999999E-2</v>
      </c>
      <c r="J367">
        <f>EXP(-(I367+Inputs!$B$9)*B367)</f>
        <v>0.22310200215530557</v>
      </c>
    </row>
    <row r="368" spans="1:10" x14ac:dyDescent="0.35">
      <c r="A368">
        <v>365</v>
      </c>
      <c r="B368">
        <f>A368/Inputs!$B$6</f>
        <v>30.416666666666668</v>
      </c>
      <c r="C368">
        <f>IF(B368&lt;=INDEX(YieldCurve!$A$4:$A$63,1),1,IF(B368&gt;=INDEX(YieldCurve!$A$4:$A$63,ROWS(YieldCurve!$A$4:$A$63)),ROWS(YieldCurve!$A$4:$A$63)-1,MATCH(B368,YieldCurve!$A$4:$A$63,1)))</f>
        <v>59</v>
      </c>
      <c r="D368">
        <f>INDEX(YieldCurve!$A$4:$A$63,C368)</f>
        <v>29.5</v>
      </c>
      <c r="E368">
        <f>INDEX(YieldCurve!$A$4:$A$63,C368+1)</f>
        <v>30</v>
      </c>
      <c r="F368">
        <f>INDEX(YieldCurve!$B$4:$B$63,C368)</f>
        <v>4.9472420000000003E-2</v>
      </c>
      <c r="G368">
        <f>INDEX(YieldCurve!$B$4:$B$63,C368+1)</f>
        <v>4.9454709999999999E-2</v>
      </c>
      <c r="H368">
        <f t="shared" si="5"/>
        <v>1.8333333333333357</v>
      </c>
      <c r="I368">
        <f>IF(B368&lt;=INDEX(YieldCurve!$A$4:$A$63,1),INDEX(YieldCurve!$B$4:$B$63,1),IF(B368&gt;=INDEX(YieldCurve!$A$4:$A$63,ROWS(YieldCurve!$A$4:$A$63)),INDEX(YieldCurve!$B$4:$B$63,ROWS(YieldCurve!$B$4:$B$63)),F368+H368*(G368-F368)))</f>
        <v>4.9454709999999999E-2</v>
      </c>
      <c r="J368">
        <f>EXP(-(I368+Inputs!$B$9)*B368)</f>
        <v>0.2221844404587322</v>
      </c>
    </row>
    <row r="369" spans="1:10" x14ac:dyDescent="0.35">
      <c r="A369">
        <v>366</v>
      </c>
      <c r="B369">
        <f>A369/Inputs!$B$6</f>
        <v>30.5</v>
      </c>
      <c r="C369">
        <f>IF(B369&lt;=INDEX(YieldCurve!$A$4:$A$63,1),1,IF(B369&gt;=INDEX(YieldCurve!$A$4:$A$63,ROWS(YieldCurve!$A$4:$A$63)),ROWS(YieldCurve!$A$4:$A$63)-1,MATCH(B369,YieldCurve!$A$4:$A$63,1)))</f>
        <v>59</v>
      </c>
      <c r="D369">
        <f>INDEX(YieldCurve!$A$4:$A$63,C369)</f>
        <v>29.5</v>
      </c>
      <c r="E369">
        <f>INDEX(YieldCurve!$A$4:$A$63,C369+1)</f>
        <v>30</v>
      </c>
      <c r="F369">
        <f>INDEX(YieldCurve!$B$4:$B$63,C369)</f>
        <v>4.9472420000000003E-2</v>
      </c>
      <c r="G369">
        <f>INDEX(YieldCurve!$B$4:$B$63,C369+1)</f>
        <v>4.9454709999999999E-2</v>
      </c>
      <c r="H369">
        <f t="shared" si="5"/>
        <v>2</v>
      </c>
      <c r="I369">
        <f>IF(B369&lt;=INDEX(YieldCurve!$A$4:$A$63,1),INDEX(YieldCurve!$B$4:$B$63,1),IF(B369&gt;=INDEX(YieldCurve!$A$4:$A$63,ROWS(YieldCurve!$A$4:$A$63)),INDEX(YieldCurve!$B$4:$B$63,ROWS(YieldCurve!$B$4:$B$63)),F369+H369*(G369-F369)))</f>
        <v>4.9454709999999999E-2</v>
      </c>
      <c r="J369">
        <f>EXP(-(I369+Inputs!$B$9)*B369)</f>
        <v>0.22127065245965549</v>
      </c>
    </row>
    <row r="370" spans="1:10" x14ac:dyDescent="0.35">
      <c r="A370">
        <v>367</v>
      </c>
      <c r="B370">
        <f>A370/Inputs!$B$6</f>
        <v>30.583333333333332</v>
      </c>
      <c r="C370">
        <f>IF(B370&lt;=INDEX(YieldCurve!$A$4:$A$63,1),1,IF(B370&gt;=INDEX(YieldCurve!$A$4:$A$63,ROWS(YieldCurve!$A$4:$A$63)),ROWS(YieldCurve!$A$4:$A$63)-1,MATCH(B370,YieldCurve!$A$4:$A$63,1)))</f>
        <v>59</v>
      </c>
      <c r="D370">
        <f>INDEX(YieldCurve!$A$4:$A$63,C370)</f>
        <v>29.5</v>
      </c>
      <c r="E370">
        <f>INDEX(YieldCurve!$A$4:$A$63,C370+1)</f>
        <v>30</v>
      </c>
      <c r="F370">
        <f>INDEX(YieldCurve!$B$4:$B$63,C370)</f>
        <v>4.9472420000000003E-2</v>
      </c>
      <c r="G370">
        <f>INDEX(YieldCurve!$B$4:$B$63,C370+1)</f>
        <v>4.9454709999999999E-2</v>
      </c>
      <c r="H370">
        <f t="shared" si="5"/>
        <v>2.1666666666666643</v>
      </c>
      <c r="I370">
        <f>IF(B370&lt;=INDEX(YieldCurve!$A$4:$A$63,1),INDEX(YieldCurve!$B$4:$B$63,1),IF(B370&gt;=INDEX(YieldCurve!$A$4:$A$63,ROWS(YieldCurve!$A$4:$A$63)),INDEX(YieldCurve!$B$4:$B$63,ROWS(YieldCurve!$B$4:$B$63)),F370+H370*(G370-F370)))</f>
        <v>4.9454709999999999E-2</v>
      </c>
      <c r="J370">
        <f>EXP(-(I370+Inputs!$B$9)*B370)</f>
        <v>0.22036062263781897</v>
      </c>
    </row>
    <row r="371" spans="1:10" x14ac:dyDescent="0.35">
      <c r="A371">
        <v>368</v>
      </c>
      <c r="B371">
        <f>A371/Inputs!$B$6</f>
        <v>30.666666666666668</v>
      </c>
      <c r="C371">
        <f>IF(B371&lt;=INDEX(YieldCurve!$A$4:$A$63,1),1,IF(B371&gt;=INDEX(YieldCurve!$A$4:$A$63,ROWS(YieldCurve!$A$4:$A$63)),ROWS(YieldCurve!$A$4:$A$63)-1,MATCH(B371,YieldCurve!$A$4:$A$63,1)))</f>
        <v>59</v>
      </c>
      <c r="D371">
        <f>INDEX(YieldCurve!$A$4:$A$63,C371)</f>
        <v>29.5</v>
      </c>
      <c r="E371">
        <f>INDEX(YieldCurve!$A$4:$A$63,C371+1)</f>
        <v>30</v>
      </c>
      <c r="F371">
        <f>INDEX(YieldCurve!$B$4:$B$63,C371)</f>
        <v>4.9472420000000003E-2</v>
      </c>
      <c r="G371">
        <f>INDEX(YieldCurve!$B$4:$B$63,C371+1)</f>
        <v>4.9454709999999999E-2</v>
      </c>
      <c r="H371">
        <f t="shared" si="5"/>
        <v>2.3333333333333357</v>
      </c>
      <c r="I371">
        <f>IF(B371&lt;=INDEX(YieldCurve!$A$4:$A$63,1),INDEX(YieldCurve!$B$4:$B$63,1),IF(B371&gt;=INDEX(YieldCurve!$A$4:$A$63,ROWS(YieldCurve!$A$4:$A$63)),INDEX(YieldCurve!$B$4:$B$63,ROWS(YieldCurve!$B$4:$B$63)),F371+H371*(G371-F371)))</f>
        <v>4.9454709999999999E-2</v>
      </c>
      <c r="J371">
        <f>EXP(-(I371+Inputs!$B$9)*B371)</f>
        <v>0.21945433553679702</v>
      </c>
    </row>
    <row r="372" spans="1:10" x14ac:dyDescent="0.35">
      <c r="A372">
        <v>369</v>
      </c>
      <c r="B372">
        <f>A372/Inputs!$B$6</f>
        <v>30.75</v>
      </c>
      <c r="C372">
        <f>IF(B372&lt;=INDEX(YieldCurve!$A$4:$A$63,1),1,IF(B372&gt;=INDEX(YieldCurve!$A$4:$A$63,ROWS(YieldCurve!$A$4:$A$63)),ROWS(YieldCurve!$A$4:$A$63)-1,MATCH(B372,YieldCurve!$A$4:$A$63,1)))</f>
        <v>59</v>
      </c>
      <c r="D372">
        <f>INDEX(YieldCurve!$A$4:$A$63,C372)</f>
        <v>29.5</v>
      </c>
      <c r="E372">
        <f>INDEX(YieldCurve!$A$4:$A$63,C372+1)</f>
        <v>30</v>
      </c>
      <c r="F372">
        <f>INDEX(YieldCurve!$B$4:$B$63,C372)</f>
        <v>4.9472420000000003E-2</v>
      </c>
      <c r="G372">
        <f>INDEX(YieldCurve!$B$4:$B$63,C372+1)</f>
        <v>4.9454709999999999E-2</v>
      </c>
      <c r="H372">
        <f t="shared" si="5"/>
        <v>2.5</v>
      </c>
      <c r="I372">
        <f>IF(B372&lt;=INDEX(YieldCurve!$A$4:$A$63,1),INDEX(YieldCurve!$B$4:$B$63,1),IF(B372&gt;=INDEX(YieldCurve!$A$4:$A$63,ROWS(YieldCurve!$A$4:$A$63)),INDEX(YieldCurve!$B$4:$B$63,ROWS(YieldCurve!$B$4:$B$63)),F372+H372*(G372-F372)))</f>
        <v>4.9454709999999999E-2</v>
      </c>
      <c r="J372">
        <f>EXP(-(I372+Inputs!$B$9)*B372)</f>
        <v>0.21855177576373258</v>
      </c>
    </row>
    <row r="373" spans="1:10" x14ac:dyDescent="0.35">
      <c r="A373">
        <v>370</v>
      </c>
      <c r="B373">
        <f>A373/Inputs!$B$6</f>
        <v>30.833333333333332</v>
      </c>
      <c r="C373">
        <f>IF(B373&lt;=INDEX(YieldCurve!$A$4:$A$63,1),1,IF(B373&gt;=INDEX(YieldCurve!$A$4:$A$63,ROWS(YieldCurve!$A$4:$A$63)),ROWS(YieldCurve!$A$4:$A$63)-1,MATCH(B373,YieldCurve!$A$4:$A$63,1)))</f>
        <v>59</v>
      </c>
      <c r="D373">
        <f>INDEX(YieldCurve!$A$4:$A$63,C373)</f>
        <v>29.5</v>
      </c>
      <c r="E373">
        <f>INDEX(YieldCurve!$A$4:$A$63,C373+1)</f>
        <v>30</v>
      </c>
      <c r="F373">
        <f>INDEX(YieldCurve!$B$4:$B$63,C373)</f>
        <v>4.9472420000000003E-2</v>
      </c>
      <c r="G373">
        <f>INDEX(YieldCurve!$B$4:$B$63,C373+1)</f>
        <v>4.9454709999999999E-2</v>
      </c>
      <c r="H373">
        <f t="shared" si="5"/>
        <v>2.6666666666666643</v>
      </c>
      <c r="I373">
        <f>IF(B373&lt;=INDEX(YieldCurve!$A$4:$A$63,1),INDEX(YieldCurve!$B$4:$B$63,1),IF(B373&gt;=INDEX(YieldCurve!$A$4:$A$63,ROWS(YieldCurve!$A$4:$A$63)),INDEX(YieldCurve!$B$4:$B$63,ROWS(YieldCurve!$B$4:$B$63)),F373+H373*(G373-F373)))</f>
        <v>4.9454709999999999E-2</v>
      </c>
      <c r="J373">
        <f>EXP(-(I373+Inputs!$B$9)*B373)</f>
        <v>0.21765292798907532</v>
      </c>
    </row>
    <row r="374" spans="1:10" x14ac:dyDescent="0.35">
      <c r="A374">
        <v>371</v>
      </c>
      <c r="B374">
        <f>A374/Inputs!$B$6</f>
        <v>30.916666666666668</v>
      </c>
      <c r="C374">
        <f>IF(B374&lt;=INDEX(YieldCurve!$A$4:$A$63,1),1,IF(B374&gt;=INDEX(YieldCurve!$A$4:$A$63,ROWS(YieldCurve!$A$4:$A$63)),ROWS(YieldCurve!$A$4:$A$63)-1,MATCH(B374,YieldCurve!$A$4:$A$63,1)))</f>
        <v>59</v>
      </c>
      <c r="D374">
        <f>INDEX(YieldCurve!$A$4:$A$63,C374)</f>
        <v>29.5</v>
      </c>
      <c r="E374">
        <f>INDEX(YieldCurve!$A$4:$A$63,C374+1)</f>
        <v>30</v>
      </c>
      <c r="F374">
        <f>INDEX(YieldCurve!$B$4:$B$63,C374)</f>
        <v>4.9472420000000003E-2</v>
      </c>
      <c r="G374">
        <f>INDEX(YieldCurve!$B$4:$B$63,C374+1)</f>
        <v>4.9454709999999999E-2</v>
      </c>
      <c r="H374">
        <f t="shared" si="5"/>
        <v>2.8333333333333357</v>
      </c>
      <c r="I374">
        <f>IF(B374&lt;=INDEX(YieldCurve!$A$4:$A$63,1),INDEX(YieldCurve!$B$4:$B$63,1),IF(B374&gt;=INDEX(YieldCurve!$A$4:$A$63,ROWS(YieldCurve!$A$4:$A$63)),INDEX(YieldCurve!$B$4:$B$63,ROWS(YieldCurve!$B$4:$B$63)),F374+H374*(G374-F374)))</f>
        <v>4.9454709999999999E-2</v>
      </c>
      <c r="J374">
        <f>EXP(-(I374+Inputs!$B$9)*B374)</f>
        <v>0.21675777694632131</v>
      </c>
    </row>
    <row r="375" spans="1:10" x14ac:dyDescent="0.35">
      <c r="A375">
        <v>372</v>
      </c>
      <c r="B375">
        <f>A375/Inputs!$B$6</f>
        <v>31</v>
      </c>
      <c r="C375">
        <f>IF(B375&lt;=INDEX(YieldCurve!$A$4:$A$63,1),1,IF(B375&gt;=INDEX(YieldCurve!$A$4:$A$63,ROWS(YieldCurve!$A$4:$A$63)),ROWS(YieldCurve!$A$4:$A$63)-1,MATCH(B375,YieldCurve!$A$4:$A$63,1)))</f>
        <v>59</v>
      </c>
      <c r="D375">
        <f>INDEX(YieldCurve!$A$4:$A$63,C375)</f>
        <v>29.5</v>
      </c>
      <c r="E375">
        <f>INDEX(YieldCurve!$A$4:$A$63,C375+1)</f>
        <v>30</v>
      </c>
      <c r="F375">
        <f>INDEX(YieldCurve!$B$4:$B$63,C375)</f>
        <v>4.9472420000000003E-2</v>
      </c>
      <c r="G375">
        <f>INDEX(YieldCurve!$B$4:$B$63,C375+1)</f>
        <v>4.9454709999999999E-2</v>
      </c>
      <c r="H375">
        <f t="shared" si="5"/>
        <v>3</v>
      </c>
      <c r="I375">
        <f>IF(B375&lt;=INDEX(YieldCurve!$A$4:$A$63,1),INDEX(YieldCurve!$B$4:$B$63,1),IF(B375&gt;=INDEX(YieldCurve!$A$4:$A$63,ROWS(YieldCurve!$A$4:$A$63)),INDEX(YieldCurve!$B$4:$B$63,ROWS(YieldCurve!$B$4:$B$63)),F375+H375*(G375-F375)))</f>
        <v>4.9454709999999999E-2</v>
      </c>
      <c r="J375">
        <f>EXP(-(I375+Inputs!$B$9)*B375)</f>
        <v>0.21586630743175428</v>
      </c>
    </row>
    <row r="376" spans="1:10" x14ac:dyDescent="0.35">
      <c r="A376">
        <v>373</v>
      </c>
      <c r="B376">
        <f>A376/Inputs!$B$6</f>
        <v>31.083333333333332</v>
      </c>
      <c r="C376">
        <f>IF(B376&lt;=INDEX(YieldCurve!$A$4:$A$63,1),1,IF(B376&gt;=INDEX(YieldCurve!$A$4:$A$63,ROWS(YieldCurve!$A$4:$A$63)),ROWS(YieldCurve!$A$4:$A$63)-1,MATCH(B376,YieldCurve!$A$4:$A$63,1)))</f>
        <v>59</v>
      </c>
      <c r="D376">
        <f>INDEX(YieldCurve!$A$4:$A$63,C376)</f>
        <v>29.5</v>
      </c>
      <c r="E376">
        <f>INDEX(YieldCurve!$A$4:$A$63,C376+1)</f>
        <v>30</v>
      </c>
      <c r="F376">
        <f>INDEX(YieldCurve!$B$4:$B$63,C376)</f>
        <v>4.9472420000000003E-2</v>
      </c>
      <c r="G376">
        <f>INDEX(YieldCurve!$B$4:$B$63,C376+1)</f>
        <v>4.9454709999999999E-2</v>
      </c>
      <c r="H376">
        <f t="shared" si="5"/>
        <v>3.1666666666666643</v>
      </c>
      <c r="I376">
        <f>IF(B376&lt;=INDEX(YieldCurve!$A$4:$A$63,1),INDEX(YieldCurve!$B$4:$B$63,1),IF(B376&gt;=INDEX(YieldCurve!$A$4:$A$63,ROWS(YieldCurve!$A$4:$A$63)),INDEX(YieldCurve!$B$4:$B$63,ROWS(YieldCurve!$B$4:$B$63)),F376+H376*(G376-F376)))</f>
        <v>4.9454709999999999E-2</v>
      </c>
      <c r="J376">
        <f>EXP(-(I376+Inputs!$B$9)*B376)</f>
        <v>0.21497850430418658</v>
      </c>
    </row>
    <row r="377" spans="1:10" x14ac:dyDescent="0.35">
      <c r="A377">
        <v>374</v>
      </c>
      <c r="B377">
        <f>A377/Inputs!$B$6</f>
        <v>31.166666666666668</v>
      </c>
      <c r="C377">
        <f>IF(B377&lt;=INDEX(YieldCurve!$A$4:$A$63,1),1,IF(B377&gt;=INDEX(YieldCurve!$A$4:$A$63,ROWS(YieldCurve!$A$4:$A$63)),ROWS(YieldCurve!$A$4:$A$63)-1,MATCH(B377,YieldCurve!$A$4:$A$63,1)))</f>
        <v>59</v>
      </c>
      <c r="D377">
        <f>INDEX(YieldCurve!$A$4:$A$63,C377)</f>
        <v>29.5</v>
      </c>
      <c r="E377">
        <f>INDEX(YieldCurve!$A$4:$A$63,C377+1)</f>
        <v>30</v>
      </c>
      <c r="F377">
        <f>INDEX(YieldCurve!$B$4:$B$63,C377)</f>
        <v>4.9472420000000003E-2</v>
      </c>
      <c r="G377">
        <f>INDEX(YieldCurve!$B$4:$B$63,C377+1)</f>
        <v>4.9454709999999999E-2</v>
      </c>
      <c r="H377">
        <f t="shared" si="5"/>
        <v>3.3333333333333357</v>
      </c>
      <c r="I377">
        <f>IF(B377&lt;=INDEX(YieldCurve!$A$4:$A$63,1),INDEX(YieldCurve!$B$4:$B$63,1),IF(B377&gt;=INDEX(YieldCurve!$A$4:$A$63,ROWS(YieldCurve!$A$4:$A$63)),INDEX(YieldCurve!$B$4:$B$63,ROWS(YieldCurve!$B$4:$B$63)),F377+H377*(G377-F377)))</f>
        <v>4.9454709999999999E-2</v>
      </c>
      <c r="J377">
        <f>EXP(-(I377+Inputs!$B$9)*B377)</f>
        <v>0.21409435248470249</v>
      </c>
    </row>
    <row r="378" spans="1:10" x14ac:dyDescent="0.35">
      <c r="A378">
        <v>375</v>
      </c>
      <c r="B378">
        <f>A378/Inputs!$B$6</f>
        <v>31.25</v>
      </c>
      <c r="C378">
        <f>IF(B378&lt;=INDEX(YieldCurve!$A$4:$A$63,1),1,IF(B378&gt;=INDEX(YieldCurve!$A$4:$A$63,ROWS(YieldCurve!$A$4:$A$63)),ROWS(YieldCurve!$A$4:$A$63)-1,MATCH(B378,YieldCurve!$A$4:$A$63,1)))</f>
        <v>59</v>
      </c>
      <c r="D378">
        <f>INDEX(YieldCurve!$A$4:$A$63,C378)</f>
        <v>29.5</v>
      </c>
      <c r="E378">
        <f>INDEX(YieldCurve!$A$4:$A$63,C378+1)</f>
        <v>30</v>
      </c>
      <c r="F378">
        <f>INDEX(YieldCurve!$B$4:$B$63,C378)</f>
        <v>4.9472420000000003E-2</v>
      </c>
      <c r="G378">
        <f>INDEX(YieldCurve!$B$4:$B$63,C378+1)</f>
        <v>4.9454709999999999E-2</v>
      </c>
      <c r="H378">
        <f t="shared" si="5"/>
        <v>3.5</v>
      </c>
      <c r="I378">
        <f>IF(B378&lt;=INDEX(YieldCurve!$A$4:$A$63,1),INDEX(YieldCurve!$B$4:$B$63,1),IF(B378&gt;=INDEX(YieldCurve!$A$4:$A$63,ROWS(YieldCurve!$A$4:$A$63)),INDEX(YieldCurve!$B$4:$B$63,ROWS(YieldCurve!$B$4:$B$63)),F378+H378*(G378-F378)))</f>
        <v>4.9454709999999999E-2</v>
      </c>
      <c r="J378">
        <f>EXP(-(I378+Inputs!$B$9)*B378)</f>
        <v>0.2132138369564022</v>
      </c>
    </row>
    <row r="379" spans="1:10" x14ac:dyDescent="0.35">
      <c r="A379">
        <v>376</v>
      </c>
      <c r="B379">
        <f>A379/Inputs!$B$6</f>
        <v>31.333333333333332</v>
      </c>
      <c r="C379">
        <f>IF(B379&lt;=INDEX(YieldCurve!$A$4:$A$63,1),1,IF(B379&gt;=INDEX(YieldCurve!$A$4:$A$63,ROWS(YieldCurve!$A$4:$A$63)),ROWS(YieldCurve!$A$4:$A$63)-1,MATCH(B379,YieldCurve!$A$4:$A$63,1)))</f>
        <v>59</v>
      </c>
      <c r="D379">
        <f>INDEX(YieldCurve!$A$4:$A$63,C379)</f>
        <v>29.5</v>
      </c>
      <c r="E379">
        <f>INDEX(YieldCurve!$A$4:$A$63,C379+1)</f>
        <v>30</v>
      </c>
      <c r="F379">
        <f>INDEX(YieldCurve!$B$4:$B$63,C379)</f>
        <v>4.9472420000000003E-2</v>
      </c>
      <c r="G379">
        <f>INDEX(YieldCurve!$B$4:$B$63,C379+1)</f>
        <v>4.9454709999999999E-2</v>
      </c>
      <c r="H379">
        <f t="shared" si="5"/>
        <v>3.6666666666666643</v>
      </c>
      <c r="I379">
        <f>IF(B379&lt;=INDEX(YieldCurve!$A$4:$A$63,1),INDEX(YieldCurve!$B$4:$B$63,1),IF(B379&gt;=INDEX(YieldCurve!$A$4:$A$63,ROWS(YieldCurve!$A$4:$A$63)),INDEX(YieldCurve!$B$4:$B$63,ROWS(YieldCurve!$B$4:$B$63)),F379+H379*(G379-F379)))</f>
        <v>4.9454709999999999E-2</v>
      </c>
      <c r="J379">
        <f>EXP(-(I379+Inputs!$B$9)*B379)</f>
        <v>0.21233694276414644</v>
      </c>
    </row>
    <row r="380" spans="1:10" x14ac:dyDescent="0.35">
      <c r="A380">
        <v>377</v>
      </c>
      <c r="B380">
        <f>A380/Inputs!$B$6</f>
        <v>31.416666666666668</v>
      </c>
      <c r="C380">
        <f>IF(B380&lt;=INDEX(YieldCurve!$A$4:$A$63,1),1,IF(B380&gt;=INDEX(YieldCurve!$A$4:$A$63,ROWS(YieldCurve!$A$4:$A$63)),ROWS(YieldCurve!$A$4:$A$63)-1,MATCH(B380,YieldCurve!$A$4:$A$63,1)))</f>
        <v>59</v>
      </c>
      <c r="D380">
        <f>INDEX(YieldCurve!$A$4:$A$63,C380)</f>
        <v>29.5</v>
      </c>
      <c r="E380">
        <f>INDEX(YieldCurve!$A$4:$A$63,C380+1)</f>
        <v>30</v>
      </c>
      <c r="F380">
        <f>INDEX(YieldCurve!$B$4:$B$63,C380)</f>
        <v>4.9472420000000003E-2</v>
      </c>
      <c r="G380">
        <f>INDEX(YieldCurve!$B$4:$B$63,C380+1)</f>
        <v>4.9454709999999999E-2</v>
      </c>
      <c r="H380">
        <f t="shared" si="5"/>
        <v>3.8333333333333357</v>
      </c>
      <c r="I380">
        <f>IF(B380&lt;=INDEX(YieldCurve!$A$4:$A$63,1),INDEX(YieldCurve!$B$4:$B$63,1),IF(B380&gt;=INDEX(YieldCurve!$A$4:$A$63,ROWS(YieldCurve!$A$4:$A$63)),INDEX(YieldCurve!$B$4:$B$63,ROWS(YieldCurve!$B$4:$B$63)),F380+H380*(G380-F380)))</f>
        <v>4.9454709999999999E-2</v>
      </c>
      <c r="J380">
        <f>EXP(-(I380+Inputs!$B$9)*B380)</f>
        <v>0.21146365501430253</v>
      </c>
    </row>
    <row r="381" spans="1:10" x14ac:dyDescent="0.35">
      <c r="A381">
        <v>378</v>
      </c>
      <c r="B381">
        <f>A381/Inputs!$B$6</f>
        <v>31.5</v>
      </c>
      <c r="C381">
        <f>IF(B381&lt;=INDEX(YieldCurve!$A$4:$A$63,1),1,IF(B381&gt;=INDEX(YieldCurve!$A$4:$A$63,ROWS(YieldCurve!$A$4:$A$63)),ROWS(YieldCurve!$A$4:$A$63)-1,MATCH(B381,YieldCurve!$A$4:$A$63,1)))</f>
        <v>59</v>
      </c>
      <c r="D381">
        <f>INDEX(YieldCurve!$A$4:$A$63,C381)</f>
        <v>29.5</v>
      </c>
      <c r="E381">
        <f>INDEX(YieldCurve!$A$4:$A$63,C381+1)</f>
        <v>30</v>
      </c>
      <c r="F381">
        <f>INDEX(YieldCurve!$B$4:$B$63,C381)</f>
        <v>4.9472420000000003E-2</v>
      </c>
      <c r="G381">
        <f>INDEX(YieldCurve!$B$4:$B$63,C381+1)</f>
        <v>4.9454709999999999E-2</v>
      </c>
      <c r="H381">
        <f t="shared" si="5"/>
        <v>4</v>
      </c>
      <c r="I381">
        <f>IF(B381&lt;=INDEX(YieldCurve!$A$4:$A$63,1),INDEX(YieldCurve!$B$4:$B$63,1),IF(B381&gt;=INDEX(YieldCurve!$A$4:$A$63,ROWS(YieldCurve!$A$4:$A$63)),INDEX(YieldCurve!$B$4:$B$63,ROWS(YieldCurve!$B$4:$B$63)),F381+H381*(G381-F381)))</f>
        <v>4.9454709999999999E-2</v>
      </c>
      <c r="J381">
        <f>EXP(-(I381+Inputs!$B$9)*B381)</f>
        <v>0.21059395887449178</v>
      </c>
    </row>
    <row r="382" spans="1:10" x14ac:dyDescent="0.35">
      <c r="A382">
        <v>379</v>
      </c>
      <c r="B382">
        <f>A382/Inputs!$B$6</f>
        <v>31.583333333333332</v>
      </c>
      <c r="C382">
        <f>IF(B382&lt;=INDEX(YieldCurve!$A$4:$A$63,1),1,IF(B382&gt;=INDEX(YieldCurve!$A$4:$A$63,ROWS(YieldCurve!$A$4:$A$63)),ROWS(YieldCurve!$A$4:$A$63)-1,MATCH(B382,YieldCurve!$A$4:$A$63,1)))</f>
        <v>59</v>
      </c>
      <c r="D382">
        <f>INDEX(YieldCurve!$A$4:$A$63,C382)</f>
        <v>29.5</v>
      </c>
      <c r="E382">
        <f>INDEX(YieldCurve!$A$4:$A$63,C382+1)</f>
        <v>30</v>
      </c>
      <c r="F382">
        <f>INDEX(YieldCurve!$B$4:$B$63,C382)</f>
        <v>4.9472420000000003E-2</v>
      </c>
      <c r="G382">
        <f>INDEX(YieldCurve!$B$4:$B$63,C382+1)</f>
        <v>4.9454709999999999E-2</v>
      </c>
      <c r="H382">
        <f t="shared" si="5"/>
        <v>4.1666666666666643</v>
      </c>
      <c r="I382">
        <f>IF(B382&lt;=INDEX(YieldCurve!$A$4:$A$63,1),INDEX(YieldCurve!$B$4:$B$63,1),IF(B382&gt;=INDEX(YieldCurve!$A$4:$A$63,ROWS(YieldCurve!$A$4:$A$63)),INDEX(YieldCurve!$B$4:$B$63,ROWS(YieldCurve!$B$4:$B$63)),F382+H382*(G382-F382)))</f>
        <v>4.9454709999999999E-2</v>
      </c>
      <c r="J382">
        <f>EXP(-(I382+Inputs!$B$9)*B382)</f>
        <v>0.2097278395733371</v>
      </c>
    </row>
    <row r="383" spans="1:10" x14ac:dyDescent="0.35">
      <c r="A383">
        <v>380</v>
      </c>
      <c r="B383">
        <f>A383/Inputs!$B$6</f>
        <v>31.666666666666668</v>
      </c>
      <c r="C383">
        <f>IF(B383&lt;=INDEX(YieldCurve!$A$4:$A$63,1),1,IF(B383&gt;=INDEX(YieldCurve!$A$4:$A$63,ROWS(YieldCurve!$A$4:$A$63)),ROWS(YieldCurve!$A$4:$A$63)-1,MATCH(B383,YieldCurve!$A$4:$A$63,1)))</f>
        <v>59</v>
      </c>
      <c r="D383">
        <f>INDEX(YieldCurve!$A$4:$A$63,C383)</f>
        <v>29.5</v>
      </c>
      <c r="E383">
        <f>INDEX(YieldCurve!$A$4:$A$63,C383+1)</f>
        <v>30</v>
      </c>
      <c r="F383">
        <f>INDEX(YieldCurve!$B$4:$B$63,C383)</f>
        <v>4.9472420000000003E-2</v>
      </c>
      <c r="G383">
        <f>INDEX(YieldCurve!$B$4:$B$63,C383+1)</f>
        <v>4.9454709999999999E-2</v>
      </c>
      <c r="H383">
        <f t="shared" si="5"/>
        <v>4.3333333333333357</v>
      </c>
      <c r="I383">
        <f>IF(B383&lt;=INDEX(YieldCurve!$A$4:$A$63,1),INDEX(YieldCurve!$B$4:$B$63,1),IF(B383&gt;=INDEX(YieldCurve!$A$4:$A$63,ROWS(YieldCurve!$A$4:$A$63)),INDEX(YieldCurve!$B$4:$B$63,ROWS(YieldCurve!$B$4:$B$63)),F383+H383*(G383-F383)))</f>
        <v>4.9454709999999999E-2</v>
      </c>
      <c r="J383">
        <f>EXP(-(I383+Inputs!$B$9)*B383)</f>
        <v>0.20886528240021221</v>
      </c>
    </row>
    <row r="384" spans="1:10" x14ac:dyDescent="0.35">
      <c r="A384">
        <v>381</v>
      </c>
      <c r="B384">
        <f>A384/Inputs!$B$6</f>
        <v>31.75</v>
      </c>
      <c r="C384">
        <f>IF(B384&lt;=INDEX(YieldCurve!$A$4:$A$63,1),1,IF(B384&gt;=INDEX(YieldCurve!$A$4:$A$63,ROWS(YieldCurve!$A$4:$A$63)),ROWS(YieldCurve!$A$4:$A$63)-1,MATCH(B384,YieldCurve!$A$4:$A$63,1)))</f>
        <v>59</v>
      </c>
      <c r="D384">
        <f>INDEX(YieldCurve!$A$4:$A$63,C384)</f>
        <v>29.5</v>
      </c>
      <c r="E384">
        <f>INDEX(YieldCurve!$A$4:$A$63,C384+1)</f>
        <v>30</v>
      </c>
      <c r="F384">
        <f>INDEX(YieldCurve!$B$4:$B$63,C384)</f>
        <v>4.9472420000000003E-2</v>
      </c>
      <c r="G384">
        <f>INDEX(YieldCurve!$B$4:$B$63,C384+1)</f>
        <v>4.9454709999999999E-2</v>
      </c>
      <c r="H384">
        <f t="shared" si="5"/>
        <v>4.5</v>
      </c>
      <c r="I384">
        <f>IF(B384&lt;=INDEX(YieldCurve!$A$4:$A$63,1),INDEX(YieldCurve!$B$4:$B$63,1),IF(B384&gt;=INDEX(YieldCurve!$A$4:$A$63,ROWS(YieldCurve!$A$4:$A$63)),INDEX(YieldCurve!$B$4:$B$63,ROWS(YieldCurve!$B$4:$B$63)),F384+H384*(G384-F384)))</f>
        <v>4.9454709999999999E-2</v>
      </c>
      <c r="J384">
        <f>EXP(-(I384+Inputs!$B$9)*B384)</f>
        <v>0.2080062727049922</v>
      </c>
    </row>
    <row r="385" spans="1:10" x14ac:dyDescent="0.35">
      <c r="A385">
        <v>382</v>
      </c>
      <c r="B385">
        <f>A385/Inputs!$B$6</f>
        <v>31.833333333333332</v>
      </c>
      <c r="C385">
        <f>IF(B385&lt;=INDEX(YieldCurve!$A$4:$A$63,1),1,IF(B385&gt;=INDEX(YieldCurve!$A$4:$A$63,ROWS(YieldCurve!$A$4:$A$63)),ROWS(YieldCurve!$A$4:$A$63)-1,MATCH(B385,YieldCurve!$A$4:$A$63,1)))</f>
        <v>59</v>
      </c>
      <c r="D385">
        <f>INDEX(YieldCurve!$A$4:$A$63,C385)</f>
        <v>29.5</v>
      </c>
      <c r="E385">
        <f>INDEX(YieldCurve!$A$4:$A$63,C385+1)</f>
        <v>30</v>
      </c>
      <c r="F385">
        <f>INDEX(YieldCurve!$B$4:$B$63,C385)</f>
        <v>4.9472420000000003E-2</v>
      </c>
      <c r="G385">
        <f>INDEX(YieldCurve!$B$4:$B$63,C385+1)</f>
        <v>4.9454709999999999E-2</v>
      </c>
      <c r="H385">
        <f t="shared" si="5"/>
        <v>4.6666666666666643</v>
      </c>
      <c r="I385">
        <f>IF(B385&lt;=INDEX(YieldCurve!$A$4:$A$63,1),INDEX(YieldCurve!$B$4:$B$63,1),IF(B385&gt;=INDEX(YieldCurve!$A$4:$A$63,ROWS(YieldCurve!$A$4:$A$63)),INDEX(YieldCurve!$B$4:$B$63,ROWS(YieldCurve!$B$4:$B$63)),F385+H385*(G385-F385)))</f>
        <v>4.9454709999999999E-2</v>
      </c>
      <c r="J385">
        <f>EXP(-(I385+Inputs!$B$9)*B385)</f>
        <v>0.20715079589780414</v>
      </c>
    </row>
    <row r="386" spans="1:10" x14ac:dyDescent="0.35">
      <c r="A386">
        <v>383</v>
      </c>
      <c r="B386">
        <f>A386/Inputs!$B$6</f>
        <v>31.916666666666668</v>
      </c>
      <c r="C386">
        <f>IF(B386&lt;=INDEX(YieldCurve!$A$4:$A$63,1),1,IF(B386&gt;=INDEX(YieldCurve!$A$4:$A$63,ROWS(YieldCurve!$A$4:$A$63)),ROWS(YieldCurve!$A$4:$A$63)-1,MATCH(B386,YieldCurve!$A$4:$A$63,1)))</f>
        <v>59</v>
      </c>
      <c r="D386">
        <f>INDEX(YieldCurve!$A$4:$A$63,C386)</f>
        <v>29.5</v>
      </c>
      <c r="E386">
        <f>INDEX(YieldCurve!$A$4:$A$63,C386+1)</f>
        <v>30</v>
      </c>
      <c r="F386">
        <f>INDEX(YieldCurve!$B$4:$B$63,C386)</f>
        <v>4.9472420000000003E-2</v>
      </c>
      <c r="G386">
        <f>INDEX(YieldCurve!$B$4:$B$63,C386+1)</f>
        <v>4.9454709999999999E-2</v>
      </c>
      <c r="H386">
        <f t="shared" si="5"/>
        <v>4.8333333333333357</v>
      </c>
      <c r="I386">
        <f>IF(B386&lt;=INDEX(YieldCurve!$A$4:$A$63,1),INDEX(YieldCurve!$B$4:$B$63,1),IF(B386&gt;=INDEX(YieldCurve!$A$4:$A$63,ROWS(YieldCurve!$A$4:$A$63)),INDEX(YieldCurve!$B$4:$B$63,ROWS(YieldCurve!$B$4:$B$63)),F386+H386*(G386-F386)))</f>
        <v>4.9454709999999999E-2</v>
      </c>
      <c r="J386">
        <f>EXP(-(I386+Inputs!$B$9)*B386)</f>
        <v>0.20629883744877953</v>
      </c>
    </row>
    <row r="387" spans="1:10" x14ac:dyDescent="0.35">
      <c r="A387">
        <v>384</v>
      </c>
      <c r="B387">
        <f>A387/Inputs!$B$6</f>
        <v>32</v>
      </c>
      <c r="C387">
        <f>IF(B387&lt;=INDEX(YieldCurve!$A$4:$A$63,1),1,IF(B387&gt;=INDEX(YieldCurve!$A$4:$A$63,ROWS(YieldCurve!$A$4:$A$63)),ROWS(YieldCurve!$A$4:$A$63)-1,MATCH(B387,YieldCurve!$A$4:$A$63,1)))</f>
        <v>59</v>
      </c>
      <c r="D387">
        <f>INDEX(YieldCurve!$A$4:$A$63,C387)</f>
        <v>29.5</v>
      </c>
      <c r="E387">
        <f>INDEX(YieldCurve!$A$4:$A$63,C387+1)</f>
        <v>30</v>
      </c>
      <c r="F387">
        <f>INDEX(YieldCurve!$B$4:$B$63,C387)</f>
        <v>4.9472420000000003E-2</v>
      </c>
      <c r="G387">
        <f>INDEX(YieldCurve!$B$4:$B$63,C387+1)</f>
        <v>4.9454709999999999E-2</v>
      </c>
      <c r="H387">
        <f t="shared" si="5"/>
        <v>5</v>
      </c>
      <c r="I387">
        <f>IF(B387&lt;=INDEX(YieldCurve!$A$4:$A$63,1),INDEX(YieldCurve!$B$4:$B$63,1),IF(B387&gt;=INDEX(YieldCurve!$A$4:$A$63,ROWS(YieldCurve!$A$4:$A$63)),INDEX(YieldCurve!$B$4:$B$63,ROWS(YieldCurve!$B$4:$B$63)),F387+H387*(G387-F387)))</f>
        <v>4.9454709999999999E-2</v>
      </c>
      <c r="J387">
        <f>EXP(-(I387+Inputs!$B$9)*B387)</f>
        <v>0.20545038288780776</v>
      </c>
    </row>
    <row r="388" spans="1:10" x14ac:dyDescent="0.35">
      <c r="A388">
        <v>385</v>
      </c>
      <c r="B388">
        <f>A388/Inputs!$B$6</f>
        <v>32.083333333333336</v>
      </c>
      <c r="C388">
        <f>IF(B388&lt;=INDEX(YieldCurve!$A$4:$A$63,1),1,IF(B388&gt;=INDEX(YieldCurve!$A$4:$A$63,ROWS(YieldCurve!$A$4:$A$63)),ROWS(YieldCurve!$A$4:$A$63)-1,MATCH(B388,YieldCurve!$A$4:$A$63,1)))</f>
        <v>59</v>
      </c>
      <c r="D388">
        <f>INDEX(YieldCurve!$A$4:$A$63,C388)</f>
        <v>29.5</v>
      </c>
      <c r="E388">
        <f>INDEX(YieldCurve!$A$4:$A$63,C388+1)</f>
        <v>30</v>
      </c>
      <c r="F388">
        <f>INDEX(YieldCurve!$B$4:$B$63,C388)</f>
        <v>4.9472420000000003E-2</v>
      </c>
      <c r="G388">
        <f>INDEX(YieldCurve!$B$4:$B$63,C388+1)</f>
        <v>4.9454709999999999E-2</v>
      </c>
      <c r="H388">
        <f t="shared" ref="H388:H451" si="6">IF(E388=D388,0,(B388-D388)/(E388-D388))</f>
        <v>5.1666666666666714</v>
      </c>
      <c r="I388">
        <f>IF(B388&lt;=INDEX(YieldCurve!$A$4:$A$63,1),INDEX(YieldCurve!$B$4:$B$63,1),IF(B388&gt;=INDEX(YieldCurve!$A$4:$A$63,ROWS(YieldCurve!$A$4:$A$63)),INDEX(YieldCurve!$B$4:$B$63,ROWS(YieldCurve!$B$4:$B$63)),F388+H388*(G388-F388)))</f>
        <v>4.9454709999999999E-2</v>
      </c>
      <c r="J388">
        <f>EXP(-(I388+Inputs!$B$9)*B388)</f>
        <v>0.20460541780428981</v>
      </c>
    </row>
    <row r="389" spans="1:10" x14ac:dyDescent="0.35">
      <c r="A389">
        <v>386</v>
      </c>
      <c r="B389">
        <f>A389/Inputs!$B$6</f>
        <v>32.166666666666664</v>
      </c>
      <c r="C389">
        <f>IF(B389&lt;=INDEX(YieldCurve!$A$4:$A$63,1),1,IF(B389&gt;=INDEX(YieldCurve!$A$4:$A$63,ROWS(YieldCurve!$A$4:$A$63)),ROWS(YieldCurve!$A$4:$A$63)-1,MATCH(B389,YieldCurve!$A$4:$A$63,1)))</f>
        <v>59</v>
      </c>
      <c r="D389">
        <f>INDEX(YieldCurve!$A$4:$A$63,C389)</f>
        <v>29.5</v>
      </c>
      <c r="E389">
        <f>INDEX(YieldCurve!$A$4:$A$63,C389+1)</f>
        <v>30</v>
      </c>
      <c r="F389">
        <f>INDEX(YieldCurve!$B$4:$B$63,C389)</f>
        <v>4.9472420000000003E-2</v>
      </c>
      <c r="G389">
        <f>INDEX(YieldCurve!$B$4:$B$63,C389+1)</f>
        <v>4.9454709999999999E-2</v>
      </c>
      <c r="H389">
        <f t="shared" si="6"/>
        <v>5.3333333333333286</v>
      </c>
      <c r="I389">
        <f>IF(B389&lt;=INDEX(YieldCurve!$A$4:$A$63,1),INDEX(YieldCurve!$B$4:$B$63,1),IF(B389&gt;=INDEX(YieldCurve!$A$4:$A$63,ROWS(YieldCurve!$A$4:$A$63)),INDEX(YieldCurve!$B$4:$B$63,ROWS(YieldCurve!$B$4:$B$63)),F389+H389*(G389-F389)))</f>
        <v>4.9454709999999999E-2</v>
      </c>
      <c r="J389">
        <f>EXP(-(I389+Inputs!$B$9)*B389)</f>
        <v>0.20376392784689396</v>
      </c>
    </row>
    <row r="390" spans="1:10" x14ac:dyDescent="0.35">
      <c r="A390">
        <v>387</v>
      </c>
      <c r="B390">
        <f>A390/Inputs!$B$6</f>
        <v>32.25</v>
      </c>
      <c r="C390">
        <f>IF(B390&lt;=INDEX(YieldCurve!$A$4:$A$63,1),1,IF(B390&gt;=INDEX(YieldCurve!$A$4:$A$63,ROWS(YieldCurve!$A$4:$A$63)),ROWS(YieldCurve!$A$4:$A$63)-1,MATCH(B390,YieldCurve!$A$4:$A$63,1)))</f>
        <v>59</v>
      </c>
      <c r="D390">
        <f>INDEX(YieldCurve!$A$4:$A$63,C390)</f>
        <v>29.5</v>
      </c>
      <c r="E390">
        <f>INDEX(YieldCurve!$A$4:$A$63,C390+1)</f>
        <v>30</v>
      </c>
      <c r="F390">
        <f>INDEX(YieldCurve!$B$4:$B$63,C390)</f>
        <v>4.9472420000000003E-2</v>
      </c>
      <c r="G390">
        <f>INDEX(YieldCurve!$B$4:$B$63,C390+1)</f>
        <v>4.9454709999999999E-2</v>
      </c>
      <c r="H390">
        <f t="shared" si="6"/>
        <v>5.5</v>
      </c>
      <c r="I390">
        <f>IF(B390&lt;=INDEX(YieldCurve!$A$4:$A$63,1),INDEX(YieldCurve!$B$4:$B$63,1),IF(B390&gt;=INDEX(YieldCurve!$A$4:$A$63,ROWS(YieldCurve!$A$4:$A$63)),INDEX(YieldCurve!$B$4:$B$63,ROWS(YieldCurve!$B$4:$B$63)),F390+H390*(G390-F390)))</f>
        <v>4.9454709999999999E-2</v>
      </c>
      <c r="J390">
        <f>EXP(-(I390+Inputs!$B$9)*B390)</f>
        <v>0.20292589872331177</v>
      </c>
    </row>
    <row r="391" spans="1:10" x14ac:dyDescent="0.35">
      <c r="A391">
        <v>388</v>
      </c>
      <c r="B391">
        <f>A391/Inputs!$B$6</f>
        <v>32.333333333333336</v>
      </c>
      <c r="C391">
        <f>IF(B391&lt;=INDEX(YieldCurve!$A$4:$A$63,1),1,IF(B391&gt;=INDEX(YieldCurve!$A$4:$A$63,ROWS(YieldCurve!$A$4:$A$63)),ROWS(YieldCurve!$A$4:$A$63)-1,MATCH(B391,YieldCurve!$A$4:$A$63,1)))</f>
        <v>59</v>
      </c>
      <c r="D391">
        <f>INDEX(YieldCurve!$A$4:$A$63,C391)</f>
        <v>29.5</v>
      </c>
      <c r="E391">
        <f>INDEX(YieldCurve!$A$4:$A$63,C391+1)</f>
        <v>30</v>
      </c>
      <c r="F391">
        <f>INDEX(YieldCurve!$B$4:$B$63,C391)</f>
        <v>4.9472420000000003E-2</v>
      </c>
      <c r="G391">
        <f>INDEX(YieldCurve!$B$4:$B$63,C391+1)</f>
        <v>4.9454709999999999E-2</v>
      </c>
      <c r="H391">
        <f t="shared" si="6"/>
        <v>5.6666666666666714</v>
      </c>
      <c r="I391">
        <f>IF(B391&lt;=INDEX(YieldCurve!$A$4:$A$63,1),INDEX(YieldCurve!$B$4:$B$63,1),IF(B391&gt;=INDEX(YieldCurve!$A$4:$A$63,ROWS(YieldCurve!$A$4:$A$63)),INDEX(YieldCurve!$B$4:$B$63,ROWS(YieldCurve!$B$4:$B$63)),F391+H391*(G391-F391)))</f>
        <v>4.9454709999999999E-2</v>
      </c>
      <c r="J391">
        <f>EXP(-(I391+Inputs!$B$9)*B391)</f>
        <v>0.20209131620001544</v>
      </c>
    </row>
    <row r="392" spans="1:10" x14ac:dyDescent="0.35">
      <c r="A392">
        <v>389</v>
      </c>
      <c r="B392">
        <f>A392/Inputs!$B$6</f>
        <v>32.416666666666664</v>
      </c>
      <c r="C392">
        <f>IF(B392&lt;=INDEX(YieldCurve!$A$4:$A$63,1),1,IF(B392&gt;=INDEX(YieldCurve!$A$4:$A$63,ROWS(YieldCurve!$A$4:$A$63)),ROWS(YieldCurve!$A$4:$A$63)-1,MATCH(B392,YieldCurve!$A$4:$A$63,1)))</f>
        <v>59</v>
      </c>
      <c r="D392">
        <f>INDEX(YieldCurve!$A$4:$A$63,C392)</f>
        <v>29.5</v>
      </c>
      <c r="E392">
        <f>INDEX(YieldCurve!$A$4:$A$63,C392+1)</f>
        <v>30</v>
      </c>
      <c r="F392">
        <f>INDEX(YieldCurve!$B$4:$B$63,C392)</f>
        <v>4.9472420000000003E-2</v>
      </c>
      <c r="G392">
        <f>INDEX(YieldCurve!$B$4:$B$63,C392+1)</f>
        <v>4.9454709999999999E-2</v>
      </c>
      <c r="H392">
        <f t="shared" si="6"/>
        <v>5.8333333333333286</v>
      </c>
      <c r="I392">
        <f>IF(B392&lt;=INDEX(YieldCurve!$A$4:$A$63,1),INDEX(YieldCurve!$B$4:$B$63,1),IF(B392&gt;=INDEX(YieldCurve!$A$4:$A$63,ROWS(YieldCurve!$A$4:$A$63)),INDEX(YieldCurve!$B$4:$B$63,ROWS(YieldCurve!$B$4:$B$63)),F392+H392*(G392-F392)))</f>
        <v>4.9454709999999999E-2</v>
      </c>
      <c r="J392">
        <f>EXP(-(I392+Inputs!$B$9)*B392)</f>
        <v>0.20126016610201616</v>
      </c>
    </row>
    <row r="393" spans="1:10" x14ac:dyDescent="0.35">
      <c r="A393">
        <v>390</v>
      </c>
      <c r="B393">
        <f>A393/Inputs!$B$6</f>
        <v>32.5</v>
      </c>
      <c r="C393">
        <f>IF(B393&lt;=INDEX(YieldCurve!$A$4:$A$63,1),1,IF(B393&gt;=INDEX(YieldCurve!$A$4:$A$63,ROWS(YieldCurve!$A$4:$A$63)),ROWS(YieldCurve!$A$4:$A$63)-1,MATCH(B393,YieldCurve!$A$4:$A$63,1)))</f>
        <v>59</v>
      </c>
      <c r="D393">
        <f>INDEX(YieldCurve!$A$4:$A$63,C393)</f>
        <v>29.5</v>
      </c>
      <c r="E393">
        <f>INDEX(YieldCurve!$A$4:$A$63,C393+1)</f>
        <v>30</v>
      </c>
      <c r="F393">
        <f>INDEX(YieldCurve!$B$4:$B$63,C393)</f>
        <v>4.9472420000000003E-2</v>
      </c>
      <c r="G393">
        <f>INDEX(YieldCurve!$B$4:$B$63,C393+1)</f>
        <v>4.9454709999999999E-2</v>
      </c>
      <c r="H393">
        <f t="shared" si="6"/>
        <v>6</v>
      </c>
      <c r="I393">
        <f>IF(B393&lt;=INDEX(YieldCurve!$A$4:$A$63,1),INDEX(YieldCurve!$B$4:$B$63,1),IF(B393&gt;=INDEX(YieldCurve!$A$4:$A$63,ROWS(YieldCurve!$A$4:$A$63)),INDEX(YieldCurve!$B$4:$B$63,ROWS(YieldCurve!$B$4:$B$63)),F393+H393*(G393-F393)))</f>
        <v>4.9454709999999999E-2</v>
      </c>
      <c r="J393">
        <f>EXP(-(I393+Inputs!$B$9)*B393)</f>
        <v>0.20043243431262303</v>
      </c>
    </row>
    <row r="394" spans="1:10" x14ac:dyDescent="0.35">
      <c r="A394">
        <v>391</v>
      </c>
      <c r="B394">
        <f>A394/Inputs!$B$6</f>
        <v>32.583333333333336</v>
      </c>
      <c r="C394">
        <f>IF(B394&lt;=INDEX(YieldCurve!$A$4:$A$63,1),1,IF(B394&gt;=INDEX(YieldCurve!$A$4:$A$63,ROWS(YieldCurve!$A$4:$A$63)),ROWS(YieldCurve!$A$4:$A$63)-1,MATCH(B394,YieldCurve!$A$4:$A$63,1)))</f>
        <v>59</v>
      </c>
      <c r="D394">
        <f>INDEX(YieldCurve!$A$4:$A$63,C394)</f>
        <v>29.5</v>
      </c>
      <c r="E394">
        <f>INDEX(YieldCurve!$A$4:$A$63,C394+1)</f>
        <v>30</v>
      </c>
      <c r="F394">
        <f>INDEX(YieldCurve!$B$4:$B$63,C394)</f>
        <v>4.9472420000000003E-2</v>
      </c>
      <c r="G394">
        <f>INDEX(YieldCurve!$B$4:$B$63,C394+1)</f>
        <v>4.9454709999999999E-2</v>
      </c>
      <c r="H394">
        <f t="shared" si="6"/>
        <v>6.1666666666666714</v>
      </c>
      <c r="I394">
        <f>IF(B394&lt;=INDEX(YieldCurve!$A$4:$A$63,1),INDEX(YieldCurve!$B$4:$B$63,1),IF(B394&gt;=INDEX(YieldCurve!$A$4:$A$63,ROWS(YieldCurve!$A$4:$A$63)),INDEX(YieldCurve!$B$4:$B$63,ROWS(YieldCurve!$B$4:$B$63)),F394+H394*(G394-F394)))</f>
        <v>4.9454709999999999E-2</v>
      </c>
      <c r="J394">
        <f>EXP(-(I394+Inputs!$B$9)*B394)</f>
        <v>0.19960810677320368</v>
      </c>
    </row>
    <row r="395" spans="1:10" x14ac:dyDescent="0.35">
      <c r="A395">
        <v>392</v>
      </c>
      <c r="B395">
        <f>A395/Inputs!$B$6</f>
        <v>32.666666666666664</v>
      </c>
      <c r="C395">
        <f>IF(B395&lt;=INDEX(YieldCurve!$A$4:$A$63,1),1,IF(B395&gt;=INDEX(YieldCurve!$A$4:$A$63,ROWS(YieldCurve!$A$4:$A$63)),ROWS(YieldCurve!$A$4:$A$63)-1,MATCH(B395,YieldCurve!$A$4:$A$63,1)))</f>
        <v>59</v>
      </c>
      <c r="D395">
        <f>INDEX(YieldCurve!$A$4:$A$63,C395)</f>
        <v>29.5</v>
      </c>
      <c r="E395">
        <f>INDEX(YieldCurve!$A$4:$A$63,C395+1)</f>
        <v>30</v>
      </c>
      <c r="F395">
        <f>INDEX(YieldCurve!$B$4:$B$63,C395)</f>
        <v>4.9472420000000003E-2</v>
      </c>
      <c r="G395">
        <f>INDEX(YieldCurve!$B$4:$B$63,C395+1)</f>
        <v>4.9454709999999999E-2</v>
      </c>
      <c r="H395">
        <f t="shared" si="6"/>
        <v>6.3333333333333286</v>
      </c>
      <c r="I395">
        <f>IF(B395&lt;=INDEX(YieldCurve!$A$4:$A$63,1),INDEX(YieldCurve!$B$4:$B$63,1),IF(B395&gt;=INDEX(YieldCurve!$A$4:$A$63,ROWS(YieldCurve!$A$4:$A$63)),INDEX(YieldCurve!$B$4:$B$63,ROWS(YieldCurve!$B$4:$B$63)),F395+H395*(G395-F395)))</f>
        <v>4.9454709999999999E-2</v>
      </c>
      <c r="J395">
        <f>EXP(-(I395+Inputs!$B$9)*B395)</f>
        <v>0.19878716948294525</v>
      </c>
    </row>
    <row r="396" spans="1:10" x14ac:dyDescent="0.35">
      <c r="A396">
        <v>393</v>
      </c>
      <c r="B396">
        <f>A396/Inputs!$B$6</f>
        <v>32.75</v>
      </c>
      <c r="C396">
        <f>IF(B396&lt;=INDEX(YieldCurve!$A$4:$A$63,1),1,IF(B396&gt;=INDEX(YieldCurve!$A$4:$A$63,ROWS(YieldCurve!$A$4:$A$63)),ROWS(YieldCurve!$A$4:$A$63)-1,MATCH(B396,YieldCurve!$A$4:$A$63,1)))</f>
        <v>59</v>
      </c>
      <c r="D396">
        <f>INDEX(YieldCurve!$A$4:$A$63,C396)</f>
        <v>29.5</v>
      </c>
      <c r="E396">
        <f>INDEX(YieldCurve!$A$4:$A$63,C396+1)</f>
        <v>30</v>
      </c>
      <c r="F396">
        <f>INDEX(YieldCurve!$B$4:$B$63,C396)</f>
        <v>4.9472420000000003E-2</v>
      </c>
      <c r="G396">
        <f>INDEX(YieldCurve!$B$4:$B$63,C396+1)</f>
        <v>4.9454709999999999E-2</v>
      </c>
      <c r="H396">
        <f t="shared" si="6"/>
        <v>6.5</v>
      </c>
      <c r="I396">
        <f>IF(B396&lt;=INDEX(YieldCurve!$A$4:$A$63,1),INDEX(YieldCurve!$B$4:$B$63,1),IF(B396&gt;=INDEX(YieldCurve!$A$4:$A$63,ROWS(YieldCurve!$A$4:$A$63)),INDEX(YieldCurve!$B$4:$B$63,ROWS(YieldCurve!$B$4:$B$63)),F396+H396*(G396-F396)))</f>
        <v>4.9454709999999999E-2</v>
      </c>
      <c r="J396">
        <f>EXP(-(I396+Inputs!$B$9)*B396)</f>
        <v>0.19796960849861658</v>
      </c>
    </row>
    <row r="397" spans="1:10" x14ac:dyDescent="0.35">
      <c r="A397">
        <v>394</v>
      </c>
      <c r="B397">
        <f>A397/Inputs!$B$6</f>
        <v>32.833333333333336</v>
      </c>
      <c r="C397">
        <f>IF(B397&lt;=INDEX(YieldCurve!$A$4:$A$63,1),1,IF(B397&gt;=INDEX(YieldCurve!$A$4:$A$63,ROWS(YieldCurve!$A$4:$A$63)),ROWS(YieldCurve!$A$4:$A$63)-1,MATCH(B397,YieldCurve!$A$4:$A$63,1)))</f>
        <v>59</v>
      </c>
      <c r="D397">
        <f>INDEX(YieldCurve!$A$4:$A$63,C397)</f>
        <v>29.5</v>
      </c>
      <c r="E397">
        <f>INDEX(YieldCurve!$A$4:$A$63,C397+1)</f>
        <v>30</v>
      </c>
      <c r="F397">
        <f>INDEX(YieldCurve!$B$4:$B$63,C397)</f>
        <v>4.9472420000000003E-2</v>
      </c>
      <c r="G397">
        <f>INDEX(YieldCurve!$B$4:$B$63,C397+1)</f>
        <v>4.9454709999999999E-2</v>
      </c>
      <c r="H397">
        <f t="shared" si="6"/>
        <v>6.6666666666666714</v>
      </c>
      <c r="I397">
        <f>IF(B397&lt;=INDEX(YieldCurve!$A$4:$A$63,1),INDEX(YieldCurve!$B$4:$B$63,1),IF(B397&gt;=INDEX(YieldCurve!$A$4:$A$63,ROWS(YieldCurve!$A$4:$A$63)),INDEX(YieldCurve!$B$4:$B$63,ROWS(YieldCurve!$B$4:$B$63)),F397+H397*(G397-F397)))</f>
        <v>4.9454709999999999E-2</v>
      </c>
      <c r="J397">
        <f>EXP(-(I397+Inputs!$B$9)*B397)</f>
        <v>0.19715540993433162</v>
      </c>
    </row>
    <row r="398" spans="1:10" x14ac:dyDescent="0.35">
      <c r="A398">
        <v>395</v>
      </c>
      <c r="B398">
        <f>A398/Inputs!$B$6</f>
        <v>32.916666666666664</v>
      </c>
      <c r="C398">
        <f>IF(B398&lt;=INDEX(YieldCurve!$A$4:$A$63,1),1,IF(B398&gt;=INDEX(YieldCurve!$A$4:$A$63,ROWS(YieldCurve!$A$4:$A$63)),ROWS(YieldCurve!$A$4:$A$63)-1,MATCH(B398,YieldCurve!$A$4:$A$63,1)))</f>
        <v>59</v>
      </c>
      <c r="D398">
        <f>INDEX(YieldCurve!$A$4:$A$63,C398)</f>
        <v>29.5</v>
      </c>
      <c r="E398">
        <f>INDEX(YieldCurve!$A$4:$A$63,C398+1)</f>
        <v>30</v>
      </c>
      <c r="F398">
        <f>INDEX(YieldCurve!$B$4:$B$63,C398)</f>
        <v>4.9472420000000003E-2</v>
      </c>
      <c r="G398">
        <f>INDEX(YieldCurve!$B$4:$B$63,C398+1)</f>
        <v>4.9454709999999999E-2</v>
      </c>
      <c r="H398">
        <f t="shared" si="6"/>
        <v>6.8333333333333286</v>
      </c>
      <c r="I398">
        <f>IF(B398&lt;=INDEX(YieldCurve!$A$4:$A$63,1),INDEX(YieldCurve!$B$4:$B$63,1),IF(B398&gt;=INDEX(YieldCurve!$A$4:$A$63,ROWS(YieldCurve!$A$4:$A$63)),INDEX(YieldCurve!$B$4:$B$63,ROWS(YieldCurve!$B$4:$B$63)),F398+H398*(G398-F398)))</f>
        <v>4.9454709999999999E-2</v>
      </c>
      <c r="J398">
        <f>EXP(-(I398+Inputs!$B$9)*B398)</f>
        <v>0.19634455996131334</v>
      </c>
    </row>
    <row r="399" spans="1:10" x14ac:dyDescent="0.35">
      <c r="A399">
        <v>396</v>
      </c>
      <c r="B399">
        <f>A399/Inputs!$B$6</f>
        <v>33</v>
      </c>
      <c r="C399">
        <f>IF(B399&lt;=INDEX(YieldCurve!$A$4:$A$63,1),1,IF(B399&gt;=INDEX(YieldCurve!$A$4:$A$63,ROWS(YieldCurve!$A$4:$A$63)),ROWS(YieldCurve!$A$4:$A$63)-1,MATCH(B399,YieldCurve!$A$4:$A$63,1)))</f>
        <v>59</v>
      </c>
      <c r="D399">
        <f>INDEX(YieldCurve!$A$4:$A$63,C399)</f>
        <v>29.5</v>
      </c>
      <c r="E399">
        <f>INDEX(YieldCurve!$A$4:$A$63,C399+1)</f>
        <v>30</v>
      </c>
      <c r="F399">
        <f>INDEX(YieldCurve!$B$4:$B$63,C399)</f>
        <v>4.9472420000000003E-2</v>
      </c>
      <c r="G399">
        <f>INDEX(YieldCurve!$B$4:$B$63,C399+1)</f>
        <v>4.9454709999999999E-2</v>
      </c>
      <c r="H399">
        <f t="shared" si="6"/>
        <v>7</v>
      </c>
      <c r="I399">
        <f>IF(B399&lt;=INDEX(YieldCurve!$A$4:$A$63,1),INDEX(YieldCurve!$B$4:$B$63,1),IF(B399&gt;=INDEX(YieldCurve!$A$4:$A$63,ROWS(YieldCurve!$A$4:$A$63)),INDEX(YieldCurve!$B$4:$B$63,ROWS(YieldCurve!$B$4:$B$63)),F399+H399*(G399-F399)))</f>
        <v>4.9454709999999999E-2</v>
      </c>
      <c r="J399">
        <f>EXP(-(I399+Inputs!$B$9)*B399)</f>
        <v>0.19553704480765891</v>
      </c>
    </row>
    <row r="400" spans="1:10" x14ac:dyDescent="0.35">
      <c r="A400">
        <v>397</v>
      </c>
      <c r="B400">
        <f>A400/Inputs!$B$6</f>
        <v>33.083333333333336</v>
      </c>
      <c r="C400">
        <f>IF(B400&lt;=INDEX(YieldCurve!$A$4:$A$63,1),1,IF(B400&gt;=INDEX(YieldCurve!$A$4:$A$63,ROWS(YieldCurve!$A$4:$A$63)),ROWS(YieldCurve!$A$4:$A$63)-1,MATCH(B400,YieldCurve!$A$4:$A$63,1)))</f>
        <v>59</v>
      </c>
      <c r="D400">
        <f>INDEX(YieldCurve!$A$4:$A$63,C400)</f>
        <v>29.5</v>
      </c>
      <c r="E400">
        <f>INDEX(YieldCurve!$A$4:$A$63,C400+1)</f>
        <v>30</v>
      </c>
      <c r="F400">
        <f>INDEX(YieldCurve!$B$4:$B$63,C400)</f>
        <v>4.9472420000000003E-2</v>
      </c>
      <c r="G400">
        <f>INDEX(YieldCurve!$B$4:$B$63,C400+1)</f>
        <v>4.9454709999999999E-2</v>
      </c>
      <c r="H400">
        <f t="shared" si="6"/>
        <v>7.1666666666666714</v>
      </c>
      <c r="I400">
        <f>IF(B400&lt;=INDEX(YieldCurve!$A$4:$A$63,1),INDEX(YieldCurve!$B$4:$B$63,1),IF(B400&gt;=INDEX(YieldCurve!$A$4:$A$63,ROWS(YieldCurve!$A$4:$A$63)),INDEX(YieldCurve!$B$4:$B$63,ROWS(YieldCurve!$B$4:$B$63)),F400+H400*(G400-F400)))</f>
        <v>4.9454709999999999E-2</v>
      </c>
      <c r="J400">
        <f>EXP(-(I400+Inputs!$B$9)*B400)</f>
        <v>0.19473285075810592</v>
      </c>
    </row>
    <row r="401" spans="1:10" x14ac:dyDescent="0.35">
      <c r="A401">
        <v>398</v>
      </c>
      <c r="B401">
        <f>A401/Inputs!$B$6</f>
        <v>33.166666666666664</v>
      </c>
      <c r="C401">
        <f>IF(B401&lt;=INDEX(YieldCurve!$A$4:$A$63,1),1,IF(B401&gt;=INDEX(YieldCurve!$A$4:$A$63,ROWS(YieldCurve!$A$4:$A$63)),ROWS(YieldCurve!$A$4:$A$63)-1,MATCH(B401,YieldCurve!$A$4:$A$63,1)))</f>
        <v>59</v>
      </c>
      <c r="D401">
        <f>INDEX(YieldCurve!$A$4:$A$63,C401)</f>
        <v>29.5</v>
      </c>
      <c r="E401">
        <f>INDEX(YieldCurve!$A$4:$A$63,C401+1)</f>
        <v>30</v>
      </c>
      <c r="F401">
        <f>INDEX(YieldCurve!$B$4:$B$63,C401)</f>
        <v>4.9472420000000003E-2</v>
      </c>
      <c r="G401">
        <f>INDEX(YieldCurve!$B$4:$B$63,C401+1)</f>
        <v>4.9454709999999999E-2</v>
      </c>
      <c r="H401">
        <f t="shared" si="6"/>
        <v>7.3333333333333286</v>
      </c>
      <c r="I401">
        <f>IF(B401&lt;=INDEX(YieldCurve!$A$4:$A$63,1),INDEX(YieldCurve!$B$4:$B$63,1),IF(B401&gt;=INDEX(YieldCurve!$A$4:$A$63,ROWS(YieldCurve!$A$4:$A$63)),INDEX(YieldCurve!$B$4:$B$63,ROWS(YieldCurve!$B$4:$B$63)),F401+H401*(G401-F401)))</f>
        <v>4.9454709999999999E-2</v>
      </c>
      <c r="J401">
        <f>EXP(-(I401+Inputs!$B$9)*B401)</f>
        <v>0.19393196415379935</v>
      </c>
    </row>
    <row r="402" spans="1:10" x14ac:dyDescent="0.35">
      <c r="A402">
        <v>399</v>
      </c>
      <c r="B402">
        <f>A402/Inputs!$B$6</f>
        <v>33.25</v>
      </c>
      <c r="C402">
        <f>IF(B402&lt;=INDEX(YieldCurve!$A$4:$A$63,1),1,IF(B402&gt;=INDEX(YieldCurve!$A$4:$A$63,ROWS(YieldCurve!$A$4:$A$63)),ROWS(YieldCurve!$A$4:$A$63)-1,MATCH(B402,YieldCurve!$A$4:$A$63,1)))</f>
        <v>59</v>
      </c>
      <c r="D402">
        <f>INDEX(YieldCurve!$A$4:$A$63,C402)</f>
        <v>29.5</v>
      </c>
      <c r="E402">
        <f>INDEX(YieldCurve!$A$4:$A$63,C402+1)</f>
        <v>30</v>
      </c>
      <c r="F402">
        <f>INDEX(YieldCurve!$B$4:$B$63,C402)</f>
        <v>4.9472420000000003E-2</v>
      </c>
      <c r="G402">
        <f>INDEX(YieldCurve!$B$4:$B$63,C402+1)</f>
        <v>4.9454709999999999E-2</v>
      </c>
      <c r="H402">
        <f t="shared" si="6"/>
        <v>7.5</v>
      </c>
      <c r="I402">
        <f>IF(B402&lt;=INDEX(YieldCurve!$A$4:$A$63,1),INDEX(YieldCurve!$B$4:$B$63,1),IF(B402&gt;=INDEX(YieldCurve!$A$4:$A$63,ROWS(YieldCurve!$A$4:$A$63)),INDEX(YieldCurve!$B$4:$B$63,ROWS(YieldCurve!$B$4:$B$63)),F402+H402*(G402-F402)))</f>
        <v>4.9454709999999999E-2</v>
      </c>
      <c r="J402">
        <f>EXP(-(I402+Inputs!$B$9)*B402)</f>
        <v>0.19313437139205938</v>
      </c>
    </row>
    <row r="403" spans="1:10" x14ac:dyDescent="0.35">
      <c r="A403">
        <v>400</v>
      </c>
      <c r="B403">
        <f>A403/Inputs!$B$6</f>
        <v>33.333333333333336</v>
      </c>
      <c r="C403">
        <f>IF(B403&lt;=INDEX(YieldCurve!$A$4:$A$63,1),1,IF(B403&gt;=INDEX(YieldCurve!$A$4:$A$63,ROWS(YieldCurve!$A$4:$A$63)),ROWS(YieldCurve!$A$4:$A$63)-1,MATCH(B403,YieldCurve!$A$4:$A$63,1)))</f>
        <v>59</v>
      </c>
      <c r="D403">
        <f>INDEX(YieldCurve!$A$4:$A$63,C403)</f>
        <v>29.5</v>
      </c>
      <c r="E403">
        <f>INDEX(YieldCurve!$A$4:$A$63,C403+1)</f>
        <v>30</v>
      </c>
      <c r="F403">
        <f>INDEX(YieldCurve!$B$4:$B$63,C403)</f>
        <v>4.9472420000000003E-2</v>
      </c>
      <c r="G403">
        <f>INDEX(YieldCurve!$B$4:$B$63,C403+1)</f>
        <v>4.9454709999999999E-2</v>
      </c>
      <c r="H403">
        <f t="shared" si="6"/>
        <v>7.6666666666666714</v>
      </c>
      <c r="I403">
        <f>IF(B403&lt;=INDEX(YieldCurve!$A$4:$A$63,1),INDEX(YieldCurve!$B$4:$B$63,1),IF(B403&gt;=INDEX(YieldCurve!$A$4:$A$63,ROWS(YieldCurve!$A$4:$A$63)),INDEX(YieldCurve!$B$4:$B$63,ROWS(YieldCurve!$B$4:$B$63)),F403+H403*(G403-F403)))</f>
        <v>4.9454709999999999E-2</v>
      </c>
      <c r="J403">
        <f>EXP(-(I403+Inputs!$B$9)*B403)</f>
        <v>0.19234005892615078</v>
      </c>
    </row>
    <row r="404" spans="1:10" x14ac:dyDescent="0.35">
      <c r="A404">
        <v>401</v>
      </c>
      <c r="B404">
        <f>A404/Inputs!$B$6</f>
        <v>33.416666666666664</v>
      </c>
      <c r="C404">
        <f>IF(B404&lt;=INDEX(YieldCurve!$A$4:$A$63,1),1,IF(B404&gt;=INDEX(YieldCurve!$A$4:$A$63,ROWS(YieldCurve!$A$4:$A$63)),ROWS(YieldCurve!$A$4:$A$63)-1,MATCH(B404,YieldCurve!$A$4:$A$63,1)))</f>
        <v>59</v>
      </c>
      <c r="D404">
        <f>INDEX(YieldCurve!$A$4:$A$63,C404)</f>
        <v>29.5</v>
      </c>
      <c r="E404">
        <f>INDEX(YieldCurve!$A$4:$A$63,C404+1)</f>
        <v>30</v>
      </c>
      <c r="F404">
        <f>INDEX(YieldCurve!$B$4:$B$63,C404)</f>
        <v>4.9472420000000003E-2</v>
      </c>
      <c r="G404">
        <f>INDEX(YieldCurve!$B$4:$B$63,C404+1)</f>
        <v>4.9454709999999999E-2</v>
      </c>
      <c r="H404">
        <f t="shared" si="6"/>
        <v>7.8333333333333286</v>
      </c>
      <c r="I404">
        <f>IF(B404&lt;=INDEX(YieldCurve!$A$4:$A$63,1),INDEX(YieldCurve!$B$4:$B$63,1),IF(B404&gt;=INDEX(YieldCurve!$A$4:$A$63,ROWS(YieldCurve!$A$4:$A$63)),INDEX(YieldCurve!$B$4:$B$63,ROWS(YieldCurve!$B$4:$B$63)),F404+H404*(G404-F404)))</f>
        <v>4.9454709999999999E-2</v>
      </c>
      <c r="J404">
        <f>EXP(-(I404+Inputs!$B$9)*B404)</f>
        <v>0.19154901326505253</v>
      </c>
    </row>
    <row r="405" spans="1:10" x14ac:dyDescent="0.35">
      <c r="A405">
        <v>402</v>
      </c>
      <c r="B405">
        <f>A405/Inputs!$B$6</f>
        <v>33.5</v>
      </c>
      <c r="C405">
        <f>IF(B405&lt;=INDEX(YieldCurve!$A$4:$A$63,1),1,IF(B405&gt;=INDEX(YieldCurve!$A$4:$A$63,ROWS(YieldCurve!$A$4:$A$63)),ROWS(YieldCurve!$A$4:$A$63)-1,MATCH(B405,YieldCurve!$A$4:$A$63,1)))</f>
        <v>59</v>
      </c>
      <c r="D405">
        <f>INDEX(YieldCurve!$A$4:$A$63,C405)</f>
        <v>29.5</v>
      </c>
      <c r="E405">
        <f>INDEX(YieldCurve!$A$4:$A$63,C405+1)</f>
        <v>30</v>
      </c>
      <c r="F405">
        <f>INDEX(YieldCurve!$B$4:$B$63,C405)</f>
        <v>4.9472420000000003E-2</v>
      </c>
      <c r="G405">
        <f>INDEX(YieldCurve!$B$4:$B$63,C405+1)</f>
        <v>4.9454709999999999E-2</v>
      </c>
      <c r="H405">
        <f t="shared" si="6"/>
        <v>8</v>
      </c>
      <c r="I405">
        <f>IF(B405&lt;=INDEX(YieldCurve!$A$4:$A$63,1),INDEX(YieldCurve!$B$4:$B$63,1),IF(B405&gt;=INDEX(YieldCurve!$A$4:$A$63,ROWS(YieldCurve!$A$4:$A$63)),INDEX(YieldCurve!$B$4:$B$63,ROWS(YieldCurve!$B$4:$B$63)),F405+H405*(G405-F405)))</f>
        <v>4.9454709999999999E-2</v>
      </c>
      <c r="J405">
        <f>EXP(-(I405+Inputs!$B$9)*B405)</f>
        <v>0.19076122097322862</v>
      </c>
    </row>
    <row r="406" spans="1:10" x14ac:dyDescent="0.35">
      <c r="A406">
        <v>403</v>
      </c>
      <c r="B406">
        <f>A406/Inputs!$B$6</f>
        <v>33.583333333333336</v>
      </c>
      <c r="C406">
        <f>IF(B406&lt;=INDEX(YieldCurve!$A$4:$A$63,1),1,IF(B406&gt;=INDEX(YieldCurve!$A$4:$A$63,ROWS(YieldCurve!$A$4:$A$63)),ROWS(YieldCurve!$A$4:$A$63)-1,MATCH(B406,YieldCurve!$A$4:$A$63,1)))</f>
        <v>59</v>
      </c>
      <c r="D406">
        <f>INDEX(YieldCurve!$A$4:$A$63,C406)</f>
        <v>29.5</v>
      </c>
      <c r="E406">
        <f>INDEX(YieldCurve!$A$4:$A$63,C406+1)</f>
        <v>30</v>
      </c>
      <c r="F406">
        <f>INDEX(YieldCurve!$B$4:$B$63,C406)</f>
        <v>4.9472420000000003E-2</v>
      </c>
      <c r="G406">
        <f>INDEX(YieldCurve!$B$4:$B$63,C406+1)</f>
        <v>4.9454709999999999E-2</v>
      </c>
      <c r="H406">
        <f t="shared" si="6"/>
        <v>8.1666666666666714</v>
      </c>
      <c r="I406">
        <f>IF(B406&lt;=INDEX(YieldCurve!$A$4:$A$63,1),INDEX(YieldCurve!$B$4:$B$63,1),IF(B406&gt;=INDEX(YieldCurve!$A$4:$A$63,ROWS(YieldCurve!$A$4:$A$63)),INDEX(YieldCurve!$B$4:$B$63,ROWS(YieldCurve!$B$4:$B$63)),F406+H406*(G406-F406)))</f>
        <v>4.9454709999999999E-2</v>
      </c>
      <c r="J406">
        <f>EXP(-(I406+Inputs!$B$9)*B406)</f>
        <v>0.18997666867040008</v>
      </c>
    </row>
    <row r="407" spans="1:10" x14ac:dyDescent="0.35">
      <c r="A407">
        <v>404</v>
      </c>
      <c r="B407">
        <f>A407/Inputs!$B$6</f>
        <v>33.666666666666664</v>
      </c>
      <c r="C407">
        <f>IF(B407&lt;=INDEX(YieldCurve!$A$4:$A$63,1),1,IF(B407&gt;=INDEX(YieldCurve!$A$4:$A$63,ROWS(YieldCurve!$A$4:$A$63)),ROWS(YieldCurve!$A$4:$A$63)-1,MATCH(B407,YieldCurve!$A$4:$A$63,1)))</f>
        <v>59</v>
      </c>
      <c r="D407">
        <f>INDEX(YieldCurve!$A$4:$A$63,C407)</f>
        <v>29.5</v>
      </c>
      <c r="E407">
        <f>INDEX(YieldCurve!$A$4:$A$63,C407+1)</f>
        <v>30</v>
      </c>
      <c r="F407">
        <f>INDEX(YieldCurve!$B$4:$B$63,C407)</f>
        <v>4.9472420000000003E-2</v>
      </c>
      <c r="G407">
        <f>INDEX(YieldCurve!$B$4:$B$63,C407+1)</f>
        <v>4.9454709999999999E-2</v>
      </c>
      <c r="H407">
        <f t="shared" si="6"/>
        <v>8.3333333333333286</v>
      </c>
      <c r="I407">
        <f>IF(B407&lt;=INDEX(YieldCurve!$A$4:$A$63,1),INDEX(YieldCurve!$B$4:$B$63,1),IF(B407&gt;=INDEX(YieldCurve!$A$4:$A$63,ROWS(YieldCurve!$A$4:$A$63)),INDEX(YieldCurve!$B$4:$B$63,ROWS(YieldCurve!$B$4:$B$63)),F407+H407*(G407-F407)))</f>
        <v>4.9454709999999999E-2</v>
      </c>
      <c r="J407">
        <f>EXP(-(I407+Inputs!$B$9)*B407)</f>
        <v>0.18919534303131769</v>
      </c>
    </row>
    <row r="408" spans="1:10" x14ac:dyDescent="0.35">
      <c r="A408">
        <v>405</v>
      </c>
      <c r="B408">
        <f>A408/Inputs!$B$6</f>
        <v>33.75</v>
      </c>
      <c r="C408">
        <f>IF(B408&lt;=INDEX(YieldCurve!$A$4:$A$63,1),1,IF(B408&gt;=INDEX(YieldCurve!$A$4:$A$63,ROWS(YieldCurve!$A$4:$A$63)),ROWS(YieldCurve!$A$4:$A$63)-1,MATCH(B408,YieldCurve!$A$4:$A$63,1)))</f>
        <v>59</v>
      </c>
      <c r="D408">
        <f>INDEX(YieldCurve!$A$4:$A$63,C408)</f>
        <v>29.5</v>
      </c>
      <c r="E408">
        <f>INDEX(YieldCurve!$A$4:$A$63,C408+1)</f>
        <v>30</v>
      </c>
      <c r="F408">
        <f>INDEX(YieldCurve!$B$4:$B$63,C408)</f>
        <v>4.9472420000000003E-2</v>
      </c>
      <c r="G408">
        <f>INDEX(YieldCurve!$B$4:$B$63,C408+1)</f>
        <v>4.9454709999999999E-2</v>
      </c>
      <c r="H408">
        <f t="shared" si="6"/>
        <v>8.5</v>
      </c>
      <c r="I408">
        <f>IF(B408&lt;=INDEX(YieldCurve!$A$4:$A$63,1),INDEX(YieldCurve!$B$4:$B$63,1),IF(B408&gt;=INDEX(YieldCurve!$A$4:$A$63,ROWS(YieldCurve!$A$4:$A$63)),INDEX(YieldCurve!$B$4:$B$63,ROWS(YieldCurve!$B$4:$B$63)),F408+H408*(G408-F408)))</f>
        <v>4.9454709999999999E-2</v>
      </c>
      <c r="J408">
        <f>EXP(-(I408+Inputs!$B$9)*B408)</f>
        <v>0.18841723078553538</v>
      </c>
    </row>
    <row r="409" spans="1:10" x14ac:dyDescent="0.35">
      <c r="A409">
        <v>406</v>
      </c>
      <c r="B409">
        <f>A409/Inputs!$B$6</f>
        <v>33.833333333333336</v>
      </c>
      <c r="C409">
        <f>IF(B409&lt;=INDEX(YieldCurve!$A$4:$A$63,1),1,IF(B409&gt;=INDEX(YieldCurve!$A$4:$A$63,ROWS(YieldCurve!$A$4:$A$63)),ROWS(YieldCurve!$A$4:$A$63)-1,MATCH(B409,YieldCurve!$A$4:$A$63,1)))</f>
        <v>59</v>
      </c>
      <c r="D409">
        <f>INDEX(YieldCurve!$A$4:$A$63,C409)</f>
        <v>29.5</v>
      </c>
      <c r="E409">
        <f>INDEX(YieldCurve!$A$4:$A$63,C409+1)</f>
        <v>30</v>
      </c>
      <c r="F409">
        <f>INDEX(YieldCurve!$B$4:$B$63,C409)</f>
        <v>4.9472420000000003E-2</v>
      </c>
      <c r="G409">
        <f>INDEX(YieldCurve!$B$4:$B$63,C409+1)</f>
        <v>4.9454709999999999E-2</v>
      </c>
      <c r="H409">
        <f t="shared" si="6"/>
        <v>8.6666666666666714</v>
      </c>
      <c r="I409">
        <f>IF(B409&lt;=INDEX(YieldCurve!$A$4:$A$63,1),INDEX(YieldCurve!$B$4:$B$63,1),IF(B409&gt;=INDEX(YieldCurve!$A$4:$A$63,ROWS(YieldCurve!$A$4:$A$63)),INDEX(YieldCurve!$B$4:$B$63,ROWS(YieldCurve!$B$4:$B$63)),F409+H409*(G409-F409)))</f>
        <v>4.9454709999999999E-2</v>
      </c>
      <c r="J409">
        <f>EXP(-(I409+Inputs!$B$9)*B409)</f>
        <v>0.18764231871718523</v>
      </c>
    </row>
    <row r="410" spans="1:10" x14ac:dyDescent="0.35">
      <c r="A410">
        <v>407</v>
      </c>
      <c r="B410">
        <f>A410/Inputs!$B$6</f>
        <v>33.916666666666664</v>
      </c>
      <c r="C410">
        <f>IF(B410&lt;=INDEX(YieldCurve!$A$4:$A$63,1),1,IF(B410&gt;=INDEX(YieldCurve!$A$4:$A$63,ROWS(YieldCurve!$A$4:$A$63)),ROWS(YieldCurve!$A$4:$A$63)-1,MATCH(B410,YieldCurve!$A$4:$A$63,1)))</f>
        <v>59</v>
      </c>
      <c r="D410">
        <f>INDEX(YieldCurve!$A$4:$A$63,C410)</f>
        <v>29.5</v>
      </c>
      <c r="E410">
        <f>INDEX(YieldCurve!$A$4:$A$63,C410+1)</f>
        <v>30</v>
      </c>
      <c r="F410">
        <f>INDEX(YieldCurve!$B$4:$B$63,C410)</f>
        <v>4.9472420000000003E-2</v>
      </c>
      <c r="G410">
        <f>INDEX(YieldCurve!$B$4:$B$63,C410+1)</f>
        <v>4.9454709999999999E-2</v>
      </c>
      <c r="H410">
        <f t="shared" si="6"/>
        <v>8.8333333333333286</v>
      </c>
      <c r="I410">
        <f>IF(B410&lt;=INDEX(YieldCurve!$A$4:$A$63,1),INDEX(YieldCurve!$B$4:$B$63,1),IF(B410&gt;=INDEX(YieldCurve!$A$4:$A$63,ROWS(YieldCurve!$A$4:$A$63)),INDEX(YieldCurve!$B$4:$B$63,ROWS(YieldCurve!$B$4:$B$63)),F410+H410*(G410-F410)))</f>
        <v>4.9454709999999999E-2</v>
      </c>
      <c r="J410">
        <f>EXP(-(I410+Inputs!$B$9)*B410)</f>
        <v>0.18687059366475278</v>
      </c>
    </row>
    <row r="411" spans="1:10" x14ac:dyDescent="0.35">
      <c r="A411">
        <v>408</v>
      </c>
      <c r="B411">
        <f>A411/Inputs!$B$6</f>
        <v>34</v>
      </c>
      <c r="C411">
        <f>IF(B411&lt;=INDEX(YieldCurve!$A$4:$A$63,1),1,IF(B411&gt;=INDEX(YieldCurve!$A$4:$A$63,ROWS(YieldCurve!$A$4:$A$63)),ROWS(YieldCurve!$A$4:$A$63)-1,MATCH(B411,YieldCurve!$A$4:$A$63,1)))</f>
        <v>59</v>
      </c>
      <c r="D411">
        <f>INDEX(YieldCurve!$A$4:$A$63,C411)</f>
        <v>29.5</v>
      </c>
      <c r="E411">
        <f>INDEX(YieldCurve!$A$4:$A$63,C411+1)</f>
        <v>30</v>
      </c>
      <c r="F411">
        <f>INDEX(YieldCurve!$B$4:$B$63,C411)</f>
        <v>4.9472420000000003E-2</v>
      </c>
      <c r="G411">
        <f>INDEX(YieldCurve!$B$4:$B$63,C411+1)</f>
        <v>4.9454709999999999E-2</v>
      </c>
      <c r="H411">
        <f t="shared" si="6"/>
        <v>9</v>
      </c>
      <c r="I411">
        <f>IF(B411&lt;=INDEX(YieldCurve!$A$4:$A$63,1),INDEX(YieldCurve!$B$4:$B$63,1),IF(B411&gt;=INDEX(YieldCurve!$A$4:$A$63,ROWS(YieldCurve!$A$4:$A$63)),INDEX(YieldCurve!$B$4:$B$63,ROWS(YieldCurve!$B$4:$B$63)),F411+H411*(G411-F411)))</f>
        <v>4.9454709999999999E-2</v>
      </c>
      <c r="J411">
        <f>EXP(-(I411+Inputs!$B$9)*B411)</f>
        <v>0.18610204252085338</v>
      </c>
    </row>
    <row r="412" spans="1:10" x14ac:dyDescent="0.35">
      <c r="A412">
        <v>409</v>
      </c>
      <c r="B412">
        <f>A412/Inputs!$B$6</f>
        <v>34.083333333333336</v>
      </c>
      <c r="C412">
        <f>IF(B412&lt;=INDEX(YieldCurve!$A$4:$A$63,1),1,IF(B412&gt;=INDEX(YieldCurve!$A$4:$A$63,ROWS(YieldCurve!$A$4:$A$63)),ROWS(YieldCurve!$A$4:$A$63)-1,MATCH(B412,YieldCurve!$A$4:$A$63,1)))</f>
        <v>59</v>
      </c>
      <c r="D412">
        <f>INDEX(YieldCurve!$A$4:$A$63,C412)</f>
        <v>29.5</v>
      </c>
      <c r="E412">
        <f>INDEX(YieldCurve!$A$4:$A$63,C412+1)</f>
        <v>30</v>
      </c>
      <c r="F412">
        <f>INDEX(YieldCurve!$B$4:$B$63,C412)</f>
        <v>4.9472420000000003E-2</v>
      </c>
      <c r="G412">
        <f>INDEX(YieldCurve!$B$4:$B$63,C412+1)</f>
        <v>4.9454709999999999E-2</v>
      </c>
      <c r="H412">
        <f t="shared" si="6"/>
        <v>9.1666666666666714</v>
      </c>
      <c r="I412">
        <f>IF(B412&lt;=INDEX(YieldCurve!$A$4:$A$63,1),INDEX(YieldCurve!$B$4:$B$63,1),IF(B412&gt;=INDEX(YieldCurve!$A$4:$A$63,ROWS(YieldCurve!$A$4:$A$63)),INDEX(YieldCurve!$B$4:$B$63,ROWS(YieldCurve!$B$4:$B$63)),F412+H412*(G412-F412)))</f>
        <v>4.9454709999999999E-2</v>
      </c>
      <c r="J412">
        <f>EXP(-(I412+Inputs!$B$9)*B412)</f>
        <v>0.18533665223200996</v>
      </c>
    </row>
    <row r="413" spans="1:10" x14ac:dyDescent="0.35">
      <c r="A413">
        <v>410</v>
      </c>
      <c r="B413">
        <f>A413/Inputs!$B$6</f>
        <v>34.166666666666664</v>
      </c>
      <c r="C413">
        <f>IF(B413&lt;=INDEX(YieldCurve!$A$4:$A$63,1),1,IF(B413&gt;=INDEX(YieldCurve!$A$4:$A$63,ROWS(YieldCurve!$A$4:$A$63)),ROWS(YieldCurve!$A$4:$A$63)-1,MATCH(B413,YieldCurve!$A$4:$A$63,1)))</f>
        <v>59</v>
      </c>
      <c r="D413">
        <f>INDEX(YieldCurve!$A$4:$A$63,C413)</f>
        <v>29.5</v>
      </c>
      <c r="E413">
        <f>INDEX(YieldCurve!$A$4:$A$63,C413+1)</f>
        <v>30</v>
      </c>
      <c r="F413">
        <f>INDEX(YieldCurve!$B$4:$B$63,C413)</f>
        <v>4.9472420000000003E-2</v>
      </c>
      <c r="G413">
        <f>INDEX(YieldCurve!$B$4:$B$63,C413+1)</f>
        <v>4.9454709999999999E-2</v>
      </c>
      <c r="H413">
        <f t="shared" si="6"/>
        <v>9.3333333333333286</v>
      </c>
      <c r="I413">
        <f>IF(B413&lt;=INDEX(YieldCurve!$A$4:$A$63,1),INDEX(YieldCurve!$B$4:$B$63,1),IF(B413&gt;=INDEX(YieldCurve!$A$4:$A$63,ROWS(YieldCurve!$A$4:$A$63)),INDEX(YieldCurve!$B$4:$B$63,ROWS(YieldCurve!$B$4:$B$63)),F413+H413*(G413-F413)))</f>
        <v>4.9454709999999999E-2</v>
      </c>
      <c r="J413">
        <f>EXP(-(I413+Inputs!$B$9)*B413)</f>
        <v>0.1845744097984309</v>
      </c>
    </row>
    <row r="414" spans="1:10" x14ac:dyDescent="0.35">
      <c r="A414">
        <v>411</v>
      </c>
      <c r="B414">
        <f>A414/Inputs!$B$6</f>
        <v>34.25</v>
      </c>
      <c r="C414">
        <f>IF(B414&lt;=INDEX(YieldCurve!$A$4:$A$63,1),1,IF(B414&gt;=INDEX(YieldCurve!$A$4:$A$63,ROWS(YieldCurve!$A$4:$A$63)),ROWS(YieldCurve!$A$4:$A$63)-1,MATCH(B414,YieldCurve!$A$4:$A$63,1)))</f>
        <v>59</v>
      </c>
      <c r="D414">
        <f>INDEX(YieldCurve!$A$4:$A$63,C414)</f>
        <v>29.5</v>
      </c>
      <c r="E414">
        <f>INDEX(YieldCurve!$A$4:$A$63,C414+1)</f>
        <v>30</v>
      </c>
      <c r="F414">
        <f>INDEX(YieldCurve!$B$4:$B$63,C414)</f>
        <v>4.9472420000000003E-2</v>
      </c>
      <c r="G414">
        <f>INDEX(YieldCurve!$B$4:$B$63,C414+1)</f>
        <v>4.9454709999999999E-2</v>
      </c>
      <c r="H414">
        <f t="shared" si="6"/>
        <v>9.5</v>
      </c>
      <c r="I414">
        <f>IF(B414&lt;=INDEX(YieldCurve!$A$4:$A$63,1),INDEX(YieldCurve!$B$4:$B$63,1),IF(B414&gt;=INDEX(YieldCurve!$A$4:$A$63,ROWS(YieldCurve!$A$4:$A$63)),INDEX(YieldCurve!$B$4:$B$63,ROWS(YieldCurve!$B$4:$B$63)),F414+H414*(G414-F414)))</f>
        <v>4.9454709999999999E-2</v>
      </c>
      <c r="J414">
        <f>EXP(-(I414+Inputs!$B$9)*B414)</f>
        <v>0.18381530227378942</v>
      </c>
    </row>
    <row r="415" spans="1:10" x14ac:dyDescent="0.35">
      <c r="A415">
        <v>412</v>
      </c>
      <c r="B415">
        <f>A415/Inputs!$B$6</f>
        <v>34.333333333333336</v>
      </c>
      <c r="C415">
        <f>IF(B415&lt;=INDEX(YieldCurve!$A$4:$A$63,1),1,IF(B415&gt;=INDEX(YieldCurve!$A$4:$A$63,ROWS(YieldCurve!$A$4:$A$63)),ROWS(YieldCurve!$A$4:$A$63)-1,MATCH(B415,YieldCurve!$A$4:$A$63,1)))</f>
        <v>59</v>
      </c>
      <c r="D415">
        <f>INDEX(YieldCurve!$A$4:$A$63,C415)</f>
        <v>29.5</v>
      </c>
      <c r="E415">
        <f>INDEX(YieldCurve!$A$4:$A$63,C415+1)</f>
        <v>30</v>
      </c>
      <c r="F415">
        <f>INDEX(YieldCurve!$B$4:$B$63,C415)</f>
        <v>4.9472420000000003E-2</v>
      </c>
      <c r="G415">
        <f>INDEX(YieldCurve!$B$4:$B$63,C415+1)</f>
        <v>4.9454709999999999E-2</v>
      </c>
      <c r="H415">
        <f t="shared" si="6"/>
        <v>9.6666666666666714</v>
      </c>
      <c r="I415">
        <f>IF(B415&lt;=INDEX(YieldCurve!$A$4:$A$63,1),INDEX(YieldCurve!$B$4:$B$63,1),IF(B415&gt;=INDEX(YieldCurve!$A$4:$A$63,ROWS(YieldCurve!$A$4:$A$63)),INDEX(YieldCurve!$B$4:$B$63,ROWS(YieldCurve!$B$4:$B$63)),F415+H415*(G415-F415)))</f>
        <v>4.9454709999999999E-2</v>
      </c>
      <c r="J415">
        <f>EXP(-(I415+Inputs!$B$9)*B415)</f>
        <v>0.18305931676500373</v>
      </c>
    </row>
    <row r="416" spans="1:10" x14ac:dyDescent="0.35">
      <c r="A416">
        <v>413</v>
      </c>
      <c r="B416">
        <f>A416/Inputs!$B$6</f>
        <v>34.416666666666664</v>
      </c>
      <c r="C416">
        <f>IF(B416&lt;=INDEX(YieldCurve!$A$4:$A$63,1),1,IF(B416&gt;=INDEX(YieldCurve!$A$4:$A$63,ROWS(YieldCurve!$A$4:$A$63)),ROWS(YieldCurve!$A$4:$A$63)-1,MATCH(B416,YieldCurve!$A$4:$A$63,1)))</f>
        <v>59</v>
      </c>
      <c r="D416">
        <f>INDEX(YieldCurve!$A$4:$A$63,C416)</f>
        <v>29.5</v>
      </c>
      <c r="E416">
        <f>INDEX(YieldCurve!$A$4:$A$63,C416+1)</f>
        <v>30</v>
      </c>
      <c r="F416">
        <f>INDEX(YieldCurve!$B$4:$B$63,C416)</f>
        <v>4.9472420000000003E-2</v>
      </c>
      <c r="G416">
        <f>INDEX(YieldCurve!$B$4:$B$63,C416+1)</f>
        <v>4.9454709999999999E-2</v>
      </c>
      <c r="H416">
        <f t="shared" si="6"/>
        <v>9.8333333333333286</v>
      </c>
      <c r="I416">
        <f>IF(B416&lt;=INDEX(YieldCurve!$A$4:$A$63,1),INDEX(YieldCurve!$B$4:$B$63,1),IF(B416&gt;=INDEX(YieldCurve!$A$4:$A$63,ROWS(YieldCurve!$A$4:$A$63)),INDEX(YieldCurve!$B$4:$B$63,ROWS(YieldCurve!$B$4:$B$63)),F416+H416*(G416-F416)))</f>
        <v>4.9454709999999999E-2</v>
      </c>
      <c r="J416">
        <f>EXP(-(I416+Inputs!$B$9)*B416)</f>
        <v>0.18230644043201807</v>
      </c>
    </row>
    <row r="417" spans="1:10" x14ac:dyDescent="0.35">
      <c r="A417">
        <v>414</v>
      </c>
      <c r="B417">
        <f>A417/Inputs!$B$6</f>
        <v>34.5</v>
      </c>
      <c r="C417">
        <f>IF(B417&lt;=INDEX(YieldCurve!$A$4:$A$63,1),1,IF(B417&gt;=INDEX(YieldCurve!$A$4:$A$63,ROWS(YieldCurve!$A$4:$A$63)),ROWS(YieldCurve!$A$4:$A$63)-1,MATCH(B417,YieldCurve!$A$4:$A$63,1)))</f>
        <v>59</v>
      </c>
      <c r="D417">
        <f>INDEX(YieldCurve!$A$4:$A$63,C417)</f>
        <v>29.5</v>
      </c>
      <c r="E417">
        <f>INDEX(YieldCurve!$A$4:$A$63,C417+1)</f>
        <v>30</v>
      </c>
      <c r="F417">
        <f>INDEX(YieldCurve!$B$4:$B$63,C417)</f>
        <v>4.9472420000000003E-2</v>
      </c>
      <c r="G417">
        <f>INDEX(YieldCurve!$B$4:$B$63,C417+1)</f>
        <v>4.9454709999999999E-2</v>
      </c>
      <c r="H417">
        <f t="shared" si="6"/>
        <v>10</v>
      </c>
      <c r="I417">
        <f>IF(B417&lt;=INDEX(YieldCurve!$A$4:$A$63,1),INDEX(YieldCurve!$B$4:$B$63,1),IF(B417&gt;=INDEX(YieldCurve!$A$4:$A$63,ROWS(YieldCurve!$A$4:$A$63)),INDEX(YieldCurve!$B$4:$B$63,ROWS(YieldCurve!$B$4:$B$63)),F417+H417*(G417-F417)))</f>
        <v>4.9454709999999999E-2</v>
      </c>
      <c r="J417">
        <f>EXP(-(I417+Inputs!$B$9)*B417)</f>
        <v>0.18155666048758437</v>
      </c>
    </row>
    <row r="418" spans="1:10" x14ac:dyDescent="0.35">
      <c r="A418">
        <v>415</v>
      </c>
      <c r="B418">
        <f>A418/Inputs!$B$6</f>
        <v>34.583333333333336</v>
      </c>
      <c r="C418">
        <f>IF(B418&lt;=INDEX(YieldCurve!$A$4:$A$63,1),1,IF(B418&gt;=INDEX(YieldCurve!$A$4:$A$63,ROWS(YieldCurve!$A$4:$A$63)),ROWS(YieldCurve!$A$4:$A$63)-1,MATCH(B418,YieldCurve!$A$4:$A$63,1)))</f>
        <v>59</v>
      </c>
      <c r="D418">
        <f>INDEX(YieldCurve!$A$4:$A$63,C418)</f>
        <v>29.5</v>
      </c>
      <c r="E418">
        <f>INDEX(YieldCurve!$A$4:$A$63,C418+1)</f>
        <v>30</v>
      </c>
      <c r="F418">
        <f>INDEX(YieldCurve!$B$4:$B$63,C418)</f>
        <v>4.9472420000000003E-2</v>
      </c>
      <c r="G418">
        <f>INDEX(YieldCurve!$B$4:$B$63,C418+1)</f>
        <v>4.9454709999999999E-2</v>
      </c>
      <c r="H418">
        <f t="shared" si="6"/>
        <v>10.166666666666671</v>
      </c>
      <c r="I418">
        <f>IF(B418&lt;=INDEX(YieldCurve!$A$4:$A$63,1),INDEX(YieldCurve!$B$4:$B$63,1),IF(B418&gt;=INDEX(YieldCurve!$A$4:$A$63,ROWS(YieldCurve!$A$4:$A$63)),INDEX(YieldCurve!$B$4:$B$63,ROWS(YieldCurve!$B$4:$B$63)),F418+H418*(G418-F418)))</f>
        <v>4.9454709999999999E-2</v>
      </c>
      <c r="J418">
        <f>EXP(-(I418+Inputs!$B$9)*B418)</f>
        <v>0.18080996419704543</v>
      </c>
    </row>
    <row r="419" spans="1:10" x14ac:dyDescent="0.35">
      <c r="A419">
        <v>416</v>
      </c>
      <c r="B419">
        <f>A419/Inputs!$B$6</f>
        <v>34.666666666666664</v>
      </c>
      <c r="C419">
        <f>IF(B419&lt;=INDEX(YieldCurve!$A$4:$A$63,1),1,IF(B419&gt;=INDEX(YieldCurve!$A$4:$A$63,ROWS(YieldCurve!$A$4:$A$63)),ROWS(YieldCurve!$A$4:$A$63)-1,MATCH(B419,YieldCurve!$A$4:$A$63,1)))</f>
        <v>59</v>
      </c>
      <c r="D419">
        <f>INDEX(YieldCurve!$A$4:$A$63,C419)</f>
        <v>29.5</v>
      </c>
      <c r="E419">
        <f>INDEX(YieldCurve!$A$4:$A$63,C419+1)</f>
        <v>30</v>
      </c>
      <c r="F419">
        <f>INDEX(YieldCurve!$B$4:$B$63,C419)</f>
        <v>4.9472420000000003E-2</v>
      </c>
      <c r="G419">
        <f>INDEX(YieldCurve!$B$4:$B$63,C419+1)</f>
        <v>4.9454709999999999E-2</v>
      </c>
      <c r="H419">
        <f t="shared" si="6"/>
        <v>10.333333333333329</v>
      </c>
      <c r="I419">
        <f>IF(B419&lt;=INDEX(YieldCurve!$A$4:$A$63,1),INDEX(YieldCurve!$B$4:$B$63,1),IF(B419&gt;=INDEX(YieldCurve!$A$4:$A$63,ROWS(YieldCurve!$A$4:$A$63)),INDEX(YieldCurve!$B$4:$B$63,ROWS(YieldCurve!$B$4:$B$63)),F419+H419*(G419-F419)))</f>
        <v>4.9454709999999999E-2</v>
      </c>
      <c r="J419">
        <f>EXP(-(I419+Inputs!$B$9)*B419)</f>
        <v>0.18006633887811838</v>
      </c>
    </row>
    <row r="420" spans="1:10" x14ac:dyDescent="0.35">
      <c r="A420">
        <v>417</v>
      </c>
      <c r="B420">
        <f>A420/Inputs!$B$6</f>
        <v>34.75</v>
      </c>
      <c r="C420">
        <f>IF(B420&lt;=INDEX(YieldCurve!$A$4:$A$63,1),1,IF(B420&gt;=INDEX(YieldCurve!$A$4:$A$63,ROWS(YieldCurve!$A$4:$A$63)),ROWS(YieldCurve!$A$4:$A$63)-1,MATCH(B420,YieldCurve!$A$4:$A$63,1)))</f>
        <v>59</v>
      </c>
      <c r="D420">
        <f>INDEX(YieldCurve!$A$4:$A$63,C420)</f>
        <v>29.5</v>
      </c>
      <c r="E420">
        <f>INDEX(YieldCurve!$A$4:$A$63,C420+1)</f>
        <v>30</v>
      </c>
      <c r="F420">
        <f>INDEX(YieldCurve!$B$4:$B$63,C420)</f>
        <v>4.9472420000000003E-2</v>
      </c>
      <c r="G420">
        <f>INDEX(YieldCurve!$B$4:$B$63,C420+1)</f>
        <v>4.9454709999999999E-2</v>
      </c>
      <c r="H420">
        <f t="shared" si="6"/>
        <v>10.5</v>
      </c>
      <c r="I420">
        <f>IF(B420&lt;=INDEX(YieldCurve!$A$4:$A$63,1),INDEX(YieldCurve!$B$4:$B$63,1),IF(B420&gt;=INDEX(YieldCurve!$A$4:$A$63,ROWS(YieldCurve!$A$4:$A$63)),INDEX(YieldCurve!$B$4:$B$63,ROWS(YieldCurve!$B$4:$B$63)),F420+H420*(G420-F420)))</f>
        <v>4.9454709999999999E-2</v>
      </c>
      <c r="J420">
        <f>EXP(-(I420+Inputs!$B$9)*B420)</f>
        <v>0.1793257719006793</v>
      </c>
    </row>
    <row r="421" spans="1:10" x14ac:dyDescent="0.35">
      <c r="A421">
        <v>418</v>
      </c>
      <c r="B421">
        <f>A421/Inputs!$B$6</f>
        <v>34.833333333333336</v>
      </c>
      <c r="C421">
        <f>IF(B421&lt;=INDEX(YieldCurve!$A$4:$A$63,1),1,IF(B421&gt;=INDEX(YieldCurve!$A$4:$A$63,ROWS(YieldCurve!$A$4:$A$63)),ROWS(YieldCurve!$A$4:$A$63)-1,MATCH(B421,YieldCurve!$A$4:$A$63,1)))</f>
        <v>59</v>
      </c>
      <c r="D421">
        <f>INDEX(YieldCurve!$A$4:$A$63,C421)</f>
        <v>29.5</v>
      </c>
      <c r="E421">
        <f>INDEX(YieldCurve!$A$4:$A$63,C421+1)</f>
        <v>30</v>
      </c>
      <c r="F421">
        <f>INDEX(YieldCurve!$B$4:$B$63,C421)</f>
        <v>4.9472420000000003E-2</v>
      </c>
      <c r="G421">
        <f>INDEX(YieldCurve!$B$4:$B$63,C421+1)</f>
        <v>4.9454709999999999E-2</v>
      </c>
      <c r="H421">
        <f t="shared" si="6"/>
        <v>10.666666666666671</v>
      </c>
      <c r="I421">
        <f>IF(B421&lt;=INDEX(YieldCurve!$A$4:$A$63,1),INDEX(YieldCurve!$B$4:$B$63,1),IF(B421&gt;=INDEX(YieldCurve!$A$4:$A$63,ROWS(YieldCurve!$A$4:$A$63)),INDEX(YieldCurve!$B$4:$B$63,ROWS(YieldCurve!$B$4:$B$63)),F421+H421*(G421-F421)))</f>
        <v>4.9454709999999999E-2</v>
      </c>
      <c r="J421">
        <f>EXP(-(I421+Inputs!$B$9)*B421)</f>
        <v>0.17858825068654888</v>
      </c>
    </row>
    <row r="422" spans="1:10" x14ac:dyDescent="0.35">
      <c r="A422">
        <v>419</v>
      </c>
      <c r="B422">
        <f>A422/Inputs!$B$6</f>
        <v>34.916666666666664</v>
      </c>
      <c r="C422">
        <f>IF(B422&lt;=INDEX(YieldCurve!$A$4:$A$63,1),1,IF(B422&gt;=INDEX(YieldCurve!$A$4:$A$63,ROWS(YieldCurve!$A$4:$A$63)),ROWS(YieldCurve!$A$4:$A$63)-1,MATCH(B422,YieldCurve!$A$4:$A$63,1)))</f>
        <v>59</v>
      </c>
      <c r="D422">
        <f>INDEX(YieldCurve!$A$4:$A$63,C422)</f>
        <v>29.5</v>
      </c>
      <c r="E422">
        <f>INDEX(YieldCurve!$A$4:$A$63,C422+1)</f>
        <v>30</v>
      </c>
      <c r="F422">
        <f>INDEX(YieldCurve!$B$4:$B$63,C422)</f>
        <v>4.9472420000000003E-2</v>
      </c>
      <c r="G422">
        <f>INDEX(YieldCurve!$B$4:$B$63,C422+1)</f>
        <v>4.9454709999999999E-2</v>
      </c>
      <c r="H422">
        <f t="shared" si="6"/>
        <v>10.833333333333329</v>
      </c>
      <c r="I422">
        <f>IF(B422&lt;=INDEX(YieldCurve!$A$4:$A$63,1),INDEX(YieldCurve!$B$4:$B$63,1),IF(B422&gt;=INDEX(YieldCurve!$A$4:$A$63,ROWS(YieldCurve!$A$4:$A$63)),INDEX(YieldCurve!$B$4:$B$63,ROWS(YieldCurve!$B$4:$B$63)),F422+H422*(G422-F422)))</f>
        <v>4.9454709999999999E-2</v>
      </c>
      <c r="J422">
        <f>EXP(-(I422+Inputs!$B$9)*B422)</f>
        <v>0.17785376270927855</v>
      </c>
    </row>
    <row r="423" spans="1:10" x14ac:dyDescent="0.35">
      <c r="A423">
        <v>420</v>
      </c>
      <c r="B423">
        <f>A423/Inputs!$B$6</f>
        <v>35</v>
      </c>
      <c r="C423">
        <f>IF(B423&lt;=INDEX(YieldCurve!$A$4:$A$63,1),1,IF(B423&gt;=INDEX(YieldCurve!$A$4:$A$63,ROWS(YieldCurve!$A$4:$A$63)),ROWS(YieldCurve!$A$4:$A$63)-1,MATCH(B423,YieldCurve!$A$4:$A$63,1)))</f>
        <v>59</v>
      </c>
      <c r="D423">
        <f>INDEX(YieldCurve!$A$4:$A$63,C423)</f>
        <v>29.5</v>
      </c>
      <c r="E423">
        <f>INDEX(YieldCurve!$A$4:$A$63,C423+1)</f>
        <v>30</v>
      </c>
      <c r="F423">
        <f>INDEX(YieldCurve!$B$4:$B$63,C423)</f>
        <v>4.9472420000000003E-2</v>
      </c>
      <c r="G423">
        <f>INDEX(YieldCurve!$B$4:$B$63,C423+1)</f>
        <v>4.9454709999999999E-2</v>
      </c>
      <c r="H423">
        <f t="shared" si="6"/>
        <v>11</v>
      </c>
      <c r="I423">
        <f>IF(B423&lt;=INDEX(YieldCurve!$A$4:$A$63,1),INDEX(YieldCurve!$B$4:$B$63,1),IF(B423&gt;=INDEX(YieldCurve!$A$4:$A$63,ROWS(YieldCurve!$A$4:$A$63)),INDEX(YieldCurve!$B$4:$B$63,ROWS(YieldCurve!$B$4:$B$63)),F423+H423*(G423-F423)))</f>
        <v>4.9454709999999999E-2</v>
      </c>
      <c r="J423">
        <f>EXP(-(I423+Inputs!$B$9)*B423)</f>
        <v>0.17712229549393782</v>
      </c>
    </row>
    <row r="424" spans="1:10" x14ac:dyDescent="0.35">
      <c r="A424">
        <v>421</v>
      </c>
      <c r="B424">
        <f>A424/Inputs!$B$6</f>
        <v>35.083333333333336</v>
      </c>
      <c r="C424">
        <f>IF(B424&lt;=INDEX(YieldCurve!$A$4:$A$63,1),1,IF(B424&gt;=INDEX(YieldCurve!$A$4:$A$63,ROWS(YieldCurve!$A$4:$A$63)),ROWS(YieldCurve!$A$4:$A$63)-1,MATCH(B424,YieldCurve!$A$4:$A$63,1)))</f>
        <v>59</v>
      </c>
      <c r="D424">
        <f>INDEX(YieldCurve!$A$4:$A$63,C424)</f>
        <v>29.5</v>
      </c>
      <c r="E424">
        <f>INDEX(YieldCurve!$A$4:$A$63,C424+1)</f>
        <v>30</v>
      </c>
      <c r="F424">
        <f>INDEX(YieldCurve!$B$4:$B$63,C424)</f>
        <v>4.9472420000000003E-2</v>
      </c>
      <c r="G424">
        <f>INDEX(YieldCurve!$B$4:$B$63,C424+1)</f>
        <v>4.9454709999999999E-2</v>
      </c>
      <c r="H424">
        <f t="shared" si="6"/>
        <v>11.166666666666671</v>
      </c>
      <c r="I424">
        <f>IF(B424&lt;=INDEX(YieldCurve!$A$4:$A$63,1),INDEX(YieldCurve!$B$4:$B$63,1),IF(B424&gt;=INDEX(YieldCurve!$A$4:$A$63,ROWS(YieldCurve!$A$4:$A$63)),INDEX(YieldCurve!$B$4:$B$63,ROWS(YieldCurve!$B$4:$B$63)),F424+H424*(G424-F424)))</f>
        <v>4.9454709999999999E-2</v>
      </c>
      <c r="J424">
        <f>EXP(-(I424+Inputs!$B$9)*B424)</f>
        <v>0.17639383661690253</v>
      </c>
    </row>
    <row r="425" spans="1:10" x14ac:dyDescent="0.35">
      <c r="A425">
        <v>422</v>
      </c>
      <c r="B425">
        <f>A425/Inputs!$B$6</f>
        <v>35.166666666666664</v>
      </c>
      <c r="C425">
        <f>IF(B425&lt;=INDEX(YieldCurve!$A$4:$A$63,1),1,IF(B425&gt;=INDEX(YieldCurve!$A$4:$A$63,ROWS(YieldCurve!$A$4:$A$63)),ROWS(YieldCurve!$A$4:$A$63)-1,MATCH(B425,YieldCurve!$A$4:$A$63,1)))</f>
        <v>59</v>
      </c>
      <c r="D425">
        <f>INDEX(YieldCurve!$A$4:$A$63,C425)</f>
        <v>29.5</v>
      </c>
      <c r="E425">
        <f>INDEX(YieldCurve!$A$4:$A$63,C425+1)</f>
        <v>30</v>
      </c>
      <c r="F425">
        <f>INDEX(YieldCurve!$B$4:$B$63,C425)</f>
        <v>4.9472420000000003E-2</v>
      </c>
      <c r="G425">
        <f>INDEX(YieldCurve!$B$4:$B$63,C425+1)</f>
        <v>4.9454709999999999E-2</v>
      </c>
      <c r="H425">
        <f t="shared" si="6"/>
        <v>11.333333333333329</v>
      </c>
      <c r="I425">
        <f>IF(B425&lt;=INDEX(YieldCurve!$A$4:$A$63,1),INDEX(YieldCurve!$B$4:$B$63,1),IF(B425&gt;=INDEX(YieldCurve!$A$4:$A$63,ROWS(YieldCurve!$A$4:$A$63)),INDEX(YieldCurve!$B$4:$B$63,ROWS(YieldCurve!$B$4:$B$63)),F425+H425*(G425-F425)))</f>
        <v>4.9454709999999999E-2</v>
      </c>
      <c r="J425">
        <f>EXP(-(I425+Inputs!$B$9)*B425)</f>
        <v>0.17566837370564362</v>
      </c>
    </row>
    <row r="426" spans="1:10" x14ac:dyDescent="0.35">
      <c r="A426">
        <v>423</v>
      </c>
      <c r="B426">
        <f>A426/Inputs!$B$6</f>
        <v>35.25</v>
      </c>
      <c r="C426">
        <f>IF(B426&lt;=INDEX(YieldCurve!$A$4:$A$63,1),1,IF(B426&gt;=INDEX(YieldCurve!$A$4:$A$63,ROWS(YieldCurve!$A$4:$A$63)),ROWS(YieldCurve!$A$4:$A$63)-1,MATCH(B426,YieldCurve!$A$4:$A$63,1)))</f>
        <v>59</v>
      </c>
      <c r="D426">
        <f>INDEX(YieldCurve!$A$4:$A$63,C426)</f>
        <v>29.5</v>
      </c>
      <c r="E426">
        <f>INDEX(YieldCurve!$A$4:$A$63,C426+1)</f>
        <v>30</v>
      </c>
      <c r="F426">
        <f>INDEX(YieldCurve!$B$4:$B$63,C426)</f>
        <v>4.9472420000000003E-2</v>
      </c>
      <c r="G426">
        <f>INDEX(YieldCurve!$B$4:$B$63,C426+1)</f>
        <v>4.9454709999999999E-2</v>
      </c>
      <c r="H426">
        <f t="shared" si="6"/>
        <v>11.5</v>
      </c>
      <c r="I426">
        <f>IF(B426&lt;=INDEX(YieldCurve!$A$4:$A$63,1),INDEX(YieldCurve!$B$4:$B$63,1),IF(B426&gt;=INDEX(YieldCurve!$A$4:$A$63,ROWS(YieldCurve!$A$4:$A$63)),INDEX(YieldCurve!$B$4:$B$63,ROWS(YieldCurve!$B$4:$B$63)),F426+H426*(G426-F426)))</f>
        <v>4.9454709999999999E-2</v>
      </c>
      <c r="J426">
        <f>EXP(-(I426+Inputs!$B$9)*B426)</f>
        <v>0.17494589443851705</v>
      </c>
    </row>
    <row r="427" spans="1:10" x14ac:dyDescent="0.35">
      <c r="A427">
        <v>424</v>
      </c>
      <c r="B427">
        <f>A427/Inputs!$B$6</f>
        <v>35.333333333333336</v>
      </c>
      <c r="C427">
        <f>IF(B427&lt;=INDEX(YieldCurve!$A$4:$A$63,1),1,IF(B427&gt;=INDEX(YieldCurve!$A$4:$A$63,ROWS(YieldCurve!$A$4:$A$63)),ROWS(YieldCurve!$A$4:$A$63)-1,MATCH(B427,YieldCurve!$A$4:$A$63,1)))</f>
        <v>59</v>
      </c>
      <c r="D427">
        <f>INDEX(YieldCurve!$A$4:$A$63,C427)</f>
        <v>29.5</v>
      </c>
      <c r="E427">
        <f>INDEX(YieldCurve!$A$4:$A$63,C427+1)</f>
        <v>30</v>
      </c>
      <c r="F427">
        <f>INDEX(YieldCurve!$B$4:$B$63,C427)</f>
        <v>4.9472420000000003E-2</v>
      </c>
      <c r="G427">
        <f>INDEX(YieldCurve!$B$4:$B$63,C427+1)</f>
        <v>4.9454709999999999E-2</v>
      </c>
      <c r="H427">
        <f t="shared" si="6"/>
        <v>11.666666666666671</v>
      </c>
      <c r="I427">
        <f>IF(B427&lt;=INDEX(YieldCurve!$A$4:$A$63,1),INDEX(YieldCurve!$B$4:$B$63,1),IF(B427&gt;=INDEX(YieldCurve!$A$4:$A$63,ROWS(YieldCurve!$A$4:$A$63)),INDEX(YieldCurve!$B$4:$B$63,ROWS(YieldCurve!$B$4:$B$63)),F427+H427*(G427-F427)))</f>
        <v>4.9454709999999999E-2</v>
      </c>
      <c r="J427">
        <f>EXP(-(I427+Inputs!$B$9)*B427)</f>
        <v>0.17422638654455469</v>
      </c>
    </row>
    <row r="428" spans="1:10" x14ac:dyDescent="0.35">
      <c r="A428">
        <v>425</v>
      </c>
      <c r="B428">
        <f>A428/Inputs!$B$6</f>
        <v>35.416666666666664</v>
      </c>
      <c r="C428">
        <f>IF(B428&lt;=INDEX(YieldCurve!$A$4:$A$63,1),1,IF(B428&gt;=INDEX(YieldCurve!$A$4:$A$63,ROWS(YieldCurve!$A$4:$A$63)),ROWS(YieldCurve!$A$4:$A$63)-1,MATCH(B428,YieldCurve!$A$4:$A$63,1)))</f>
        <v>59</v>
      </c>
      <c r="D428">
        <f>INDEX(YieldCurve!$A$4:$A$63,C428)</f>
        <v>29.5</v>
      </c>
      <c r="E428">
        <f>INDEX(YieldCurve!$A$4:$A$63,C428+1)</f>
        <v>30</v>
      </c>
      <c r="F428">
        <f>INDEX(YieldCurve!$B$4:$B$63,C428)</f>
        <v>4.9472420000000003E-2</v>
      </c>
      <c r="G428">
        <f>INDEX(YieldCurve!$B$4:$B$63,C428+1)</f>
        <v>4.9454709999999999E-2</v>
      </c>
      <c r="H428">
        <f t="shared" si="6"/>
        <v>11.833333333333329</v>
      </c>
      <c r="I428">
        <f>IF(B428&lt;=INDEX(YieldCurve!$A$4:$A$63,1),INDEX(YieldCurve!$B$4:$B$63,1),IF(B428&gt;=INDEX(YieldCurve!$A$4:$A$63,ROWS(YieldCurve!$A$4:$A$63)),INDEX(YieldCurve!$B$4:$B$63,ROWS(YieldCurve!$B$4:$B$63)),F428+H428*(G428-F428)))</f>
        <v>4.9454709999999999E-2</v>
      </c>
      <c r="J428">
        <f>EXP(-(I428+Inputs!$B$9)*B428)</f>
        <v>0.17350983780325577</v>
      </c>
    </row>
    <row r="429" spans="1:10" x14ac:dyDescent="0.35">
      <c r="A429">
        <v>426</v>
      </c>
      <c r="B429">
        <f>A429/Inputs!$B$6</f>
        <v>35.5</v>
      </c>
      <c r="C429">
        <f>IF(B429&lt;=INDEX(YieldCurve!$A$4:$A$63,1),1,IF(B429&gt;=INDEX(YieldCurve!$A$4:$A$63,ROWS(YieldCurve!$A$4:$A$63)),ROWS(YieldCurve!$A$4:$A$63)-1,MATCH(B429,YieldCurve!$A$4:$A$63,1)))</f>
        <v>59</v>
      </c>
      <c r="D429">
        <f>INDEX(YieldCurve!$A$4:$A$63,C429)</f>
        <v>29.5</v>
      </c>
      <c r="E429">
        <f>INDEX(YieldCurve!$A$4:$A$63,C429+1)</f>
        <v>30</v>
      </c>
      <c r="F429">
        <f>INDEX(YieldCurve!$B$4:$B$63,C429)</f>
        <v>4.9472420000000003E-2</v>
      </c>
      <c r="G429">
        <f>INDEX(YieldCurve!$B$4:$B$63,C429+1)</f>
        <v>4.9454709999999999E-2</v>
      </c>
      <c r="H429">
        <f t="shared" si="6"/>
        <v>12</v>
      </c>
      <c r="I429">
        <f>IF(B429&lt;=INDEX(YieldCurve!$A$4:$A$63,1),INDEX(YieldCurve!$B$4:$B$63,1),IF(B429&gt;=INDEX(YieldCurve!$A$4:$A$63,ROWS(YieldCurve!$A$4:$A$63)),INDEX(YieldCurve!$B$4:$B$63,ROWS(YieldCurve!$B$4:$B$63)),F429+H429*(G429-F429)))</f>
        <v>4.9454709999999999E-2</v>
      </c>
      <c r="J429">
        <f>EXP(-(I429+Inputs!$B$9)*B429)</f>
        <v>0.17279623604437913</v>
      </c>
    </row>
    <row r="430" spans="1:10" x14ac:dyDescent="0.35">
      <c r="A430">
        <v>427</v>
      </c>
      <c r="B430">
        <f>A430/Inputs!$B$6</f>
        <v>35.583333333333336</v>
      </c>
      <c r="C430">
        <f>IF(B430&lt;=INDEX(YieldCurve!$A$4:$A$63,1),1,IF(B430&gt;=INDEX(YieldCurve!$A$4:$A$63,ROWS(YieldCurve!$A$4:$A$63)),ROWS(YieldCurve!$A$4:$A$63)-1,MATCH(B430,YieldCurve!$A$4:$A$63,1)))</f>
        <v>59</v>
      </c>
      <c r="D430">
        <f>INDEX(YieldCurve!$A$4:$A$63,C430)</f>
        <v>29.5</v>
      </c>
      <c r="E430">
        <f>INDEX(YieldCurve!$A$4:$A$63,C430+1)</f>
        <v>30</v>
      </c>
      <c r="F430">
        <f>INDEX(YieldCurve!$B$4:$B$63,C430)</f>
        <v>4.9472420000000003E-2</v>
      </c>
      <c r="G430">
        <f>INDEX(YieldCurve!$B$4:$B$63,C430+1)</f>
        <v>4.9454709999999999E-2</v>
      </c>
      <c r="H430">
        <f t="shared" si="6"/>
        <v>12.166666666666671</v>
      </c>
      <c r="I430">
        <f>IF(B430&lt;=INDEX(YieldCurve!$A$4:$A$63,1),INDEX(YieldCurve!$B$4:$B$63,1),IF(B430&gt;=INDEX(YieldCurve!$A$4:$A$63,ROWS(YieldCurve!$A$4:$A$63)),INDEX(YieldCurve!$B$4:$B$63,ROWS(YieldCurve!$B$4:$B$63)),F430+H430*(G430-F430)))</f>
        <v>4.9454709999999999E-2</v>
      </c>
      <c r="J430">
        <f>EXP(-(I430+Inputs!$B$9)*B430)</f>
        <v>0.17208556914773696</v>
      </c>
    </row>
    <row r="431" spans="1:10" x14ac:dyDescent="0.35">
      <c r="A431">
        <v>428</v>
      </c>
      <c r="B431">
        <f>A431/Inputs!$B$6</f>
        <v>35.666666666666664</v>
      </c>
      <c r="C431">
        <f>IF(B431&lt;=INDEX(YieldCurve!$A$4:$A$63,1),1,IF(B431&gt;=INDEX(YieldCurve!$A$4:$A$63,ROWS(YieldCurve!$A$4:$A$63)),ROWS(YieldCurve!$A$4:$A$63)-1,MATCH(B431,YieldCurve!$A$4:$A$63,1)))</f>
        <v>59</v>
      </c>
      <c r="D431">
        <f>INDEX(YieldCurve!$A$4:$A$63,C431)</f>
        <v>29.5</v>
      </c>
      <c r="E431">
        <f>INDEX(YieldCurve!$A$4:$A$63,C431+1)</f>
        <v>30</v>
      </c>
      <c r="F431">
        <f>INDEX(YieldCurve!$B$4:$B$63,C431)</f>
        <v>4.9472420000000003E-2</v>
      </c>
      <c r="G431">
        <f>INDEX(YieldCurve!$B$4:$B$63,C431+1)</f>
        <v>4.9454709999999999E-2</v>
      </c>
      <c r="H431">
        <f t="shared" si="6"/>
        <v>12.333333333333329</v>
      </c>
      <c r="I431">
        <f>IF(B431&lt;=INDEX(YieldCurve!$A$4:$A$63,1),INDEX(YieldCurve!$B$4:$B$63,1),IF(B431&gt;=INDEX(YieldCurve!$A$4:$A$63,ROWS(YieldCurve!$A$4:$A$63)),INDEX(YieldCurve!$B$4:$B$63,ROWS(YieldCurve!$B$4:$B$63)),F431+H431*(G431-F431)))</f>
        <v>4.9454709999999999E-2</v>
      </c>
      <c r="J431">
        <f>EXP(-(I431+Inputs!$B$9)*B431)</f>
        <v>0.17137782504298854</v>
      </c>
    </row>
    <row r="432" spans="1:10" x14ac:dyDescent="0.35">
      <c r="A432">
        <v>429</v>
      </c>
      <c r="B432">
        <f>A432/Inputs!$B$6</f>
        <v>35.75</v>
      </c>
      <c r="C432">
        <f>IF(B432&lt;=INDEX(YieldCurve!$A$4:$A$63,1),1,IF(B432&gt;=INDEX(YieldCurve!$A$4:$A$63,ROWS(YieldCurve!$A$4:$A$63)),ROWS(YieldCurve!$A$4:$A$63)-1,MATCH(B432,YieldCurve!$A$4:$A$63,1)))</f>
        <v>59</v>
      </c>
      <c r="D432">
        <f>INDEX(YieldCurve!$A$4:$A$63,C432)</f>
        <v>29.5</v>
      </c>
      <c r="E432">
        <f>INDEX(YieldCurve!$A$4:$A$63,C432+1)</f>
        <v>30</v>
      </c>
      <c r="F432">
        <f>INDEX(YieldCurve!$B$4:$B$63,C432)</f>
        <v>4.9472420000000003E-2</v>
      </c>
      <c r="G432">
        <f>INDEX(YieldCurve!$B$4:$B$63,C432+1)</f>
        <v>4.9454709999999999E-2</v>
      </c>
      <c r="H432">
        <f t="shared" si="6"/>
        <v>12.5</v>
      </c>
      <c r="I432">
        <f>IF(B432&lt;=INDEX(YieldCurve!$A$4:$A$63,1),INDEX(YieldCurve!$B$4:$B$63,1),IF(B432&gt;=INDEX(YieldCurve!$A$4:$A$63,ROWS(YieldCurve!$A$4:$A$63)),INDEX(YieldCurve!$B$4:$B$63,ROWS(YieldCurve!$B$4:$B$63)),F432+H432*(G432-F432)))</f>
        <v>4.9454709999999999E-2</v>
      </c>
      <c r="J432">
        <f>EXP(-(I432+Inputs!$B$9)*B432)</f>
        <v>0.17067299170943545</v>
      </c>
    </row>
    <row r="433" spans="1:10" x14ac:dyDescent="0.35">
      <c r="A433">
        <v>430</v>
      </c>
      <c r="B433">
        <f>A433/Inputs!$B$6</f>
        <v>35.833333333333336</v>
      </c>
      <c r="C433">
        <f>IF(B433&lt;=INDEX(YieldCurve!$A$4:$A$63,1),1,IF(B433&gt;=INDEX(YieldCurve!$A$4:$A$63,ROWS(YieldCurve!$A$4:$A$63)),ROWS(YieldCurve!$A$4:$A$63)-1,MATCH(B433,YieldCurve!$A$4:$A$63,1)))</f>
        <v>59</v>
      </c>
      <c r="D433">
        <f>INDEX(YieldCurve!$A$4:$A$63,C433)</f>
        <v>29.5</v>
      </c>
      <c r="E433">
        <f>INDEX(YieldCurve!$A$4:$A$63,C433+1)</f>
        <v>30</v>
      </c>
      <c r="F433">
        <f>INDEX(YieldCurve!$B$4:$B$63,C433)</f>
        <v>4.9472420000000003E-2</v>
      </c>
      <c r="G433">
        <f>INDEX(YieldCurve!$B$4:$B$63,C433+1)</f>
        <v>4.9454709999999999E-2</v>
      </c>
      <c r="H433">
        <f t="shared" si="6"/>
        <v>12.666666666666671</v>
      </c>
      <c r="I433">
        <f>IF(B433&lt;=INDEX(YieldCurve!$A$4:$A$63,1),INDEX(YieldCurve!$B$4:$B$63,1),IF(B433&gt;=INDEX(YieldCurve!$A$4:$A$63,ROWS(YieldCurve!$A$4:$A$63)),INDEX(YieldCurve!$B$4:$B$63,ROWS(YieldCurve!$B$4:$B$63)),F433+H433*(G433-F433)))</f>
        <v>4.9454709999999999E-2</v>
      </c>
      <c r="J433">
        <f>EXP(-(I433+Inputs!$B$9)*B433)</f>
        <v>0.16997105717581731</v>
      </c>
    </row>
    <row r="434" spans="1:10" x14ac:dyDescent="0.35">
      <c r="A434">
        <v>431</v>
      </c>
      <c r="B434">
        <f>A434/Inputs!$B$6</f>
        <v>35.916666666666664</v>
      </c>
      <c r="C434">
        <f>IF(B434&lt;=INDEX(YieldCurve!$A$4:$A$63,1),1,IF(B434&gt;=INDEX(YieldCurve!$A$4:$A$63,ROWS(YieldCurve!$A$4:$A$63)),ROWS(YieldCurve!$A$4:$A$63)-1,MATCH(B434,YieldCurve!$A$4:$A$63,1)))</f>
        <v>59</v>
      </c>
      <c r="D434">
        <f>INDEX(YieldCurve!$A$4:$A$63,C434)</f>
        <v>29.5</v>
      </c>
      <c r="E434">
        <f>INDEX(YieldCurve!$A$4:$A$63,C434+1)</f>
        <v>30</v>
      </c>
      <c r="F434">
        <f>INDEX(YieldCurve!$B$4:$B$63,C434)</f>
        <v>4.9472420000000003E-2</v>
      </c>
      <c r="G434">
        <f>INDEX(YieldCurve!$B$4:$B$63,C434+1)</f>
        <v>4.9454709999999999E-2</v>
      </c>
      <c r="H434">
        <f t="shared" si="6"/>
        <v>12.833333333333329</v>
      </c>
      <c r="I434">
        <f>IF(B434&lt;=INDEX(YieldCurve!$A$4:$A$63,1),INDEX(YieldCurve!$B$4:$B$63,1),IF(B434&gt;=INDEX(YieldCurve!$A$4:$A$63,ROWS(YieldCurve!$A$4:$A$63)),INDEX(YieldCurve!$B$4:$B$63,ROWS(YieldCurve!$B$4:$B$63)),F434+H434*(G434-F434)))</f>
        <v>4.9454709999999999E-2</v>
      </c>
      <c r="J434">
        <f>EXP(-(I434+Inputs!$B$9)*B434)</f>
        <v>0.16927200952010851</v>
      </c>
    </row>
    <row r="435" spans="1:10" x14ac:dyDescent="0.35">
      <c r="A435">
        <v>432</v>
      </c>
      <c r="B435">
        <f>A435/Inputs!$B$6</f>
        <v>36</v>
      </c>
      <c r="C435">
        <f>IF(B435&lt;=INDEX(YieldCurve!$A$4:$A$63,1),1,IF(B435&gt;=INDEX(YieldCurve!$A$4:$A$63,ROWS(YieldCurve!$A$4:$A$63)),ROWS(YieldCurve!$A$4:$A$63)-1,MATCH(B435,YieldCurve!$A$4:$A$63,1)))</f>
        <v>59</v>
      </c>
      <c r="D435">
        <f>INDEX(YieldCurve!$A$4:$A$63,C435)</f>
        <v>29.5</v>
      </c>
      <c r="E435">
        <f>INDEX(YieldCurve!$A$4:$A$63,C435+1)</f>
        <v>30</v>
      </c>
      <c r="F435">
        <f>INDEX(YieldCurve!$B$4:$B$63,C435)</f>
        <v>4.9472420000000003E-2</v>
      </c>
      <c r="G435">
        <f>INDEX(YieldCurve!$B$4:$B$63,C435+1)</f>
        <v>4.9454709999999999E-2</v>
      </c>
      <c r="H435">
        <f t="shared" si="6"/>
        <v>13</v>
      </c>
      <c r="I435">
        <f>IF(B435&lt;=INDEX(YieldCurve!$A$4:$A$63,1),INDEX(YieldCurve!$B$4:$B$63,1),IF(B435&gt;=INDEX(YieldCurve!$A$4:$A$63,ROWS(YieldCurve!$A$4:$A$63)),INDEX(YieldCurve!$B$4:$B$63,ROWS(YieldCurve!$B$4:$B$63)),F435+H435*(G435-F435)))</f>
        <v>4.9454709999999999E-2</v>
      </c>
      <c r="J435">
        <f>EXP(-(I435+Inputs!$B$9)*B435)</f>
        <v>0.16857583686931568</v>
      </c>
    </row>
    <row r="436" spans="1:10" x14ac:dyDescent="0.35">
      <c r="A436">
        <v>433</v>
      </c>
      <c r="B436">
        <f>A436/Inputs!$B$6</f>
        <v>36.083333333333336</v>
      </c>
      <c r="C436">
        <f>IF(B436&lt;=INDEX(YieldCurve!$A$4:$A$63,1),1,IF(B436&gt;=INDEX(YieldCurve!$A$4:$A$63,ROWS(YieldCurve!$A$4:$A$63)),ROWS(YieldCurve!$A$4:$A$63)-1,MATCH(B436,YieldCurve!$A$4:$A$63,1)))</f>
        <v>59</v>
      </c>
      <c r="D436">
        <f>INDEX(YieldCurve!$A$4:$A$63,C436)</f>
        <v>29.5</v>
      </c>
      <c r="E436">
        <f>INDEX(YieldCurve!$A$4:$A$63,C436+1)</f>
        <v>30</v>
      </c>
      <c r="F436">
        <f>INDEX(YieldCurve!$B$4:$B$63,C436)</f>
        <v>4.9472420000000003E-2</v>
      </c>
      <c r="G436">
        <f>INDEX(YieldCurve!$B$4:$B$63,C436+1)</f>
        <v>4.9454709999999999E-2</v>
      </c>
      <c r="H436">
        <f t="shared" si="6"/>
        <v>13.166666666666671</v>
      </c>
      <c r="I436">
        <f>IF(B436&lt;=INDEX(YieldCurve!$A$4:$A$63,1),INDEX(YieldCurve!$B$4:$B$63,1),IF(B436&gt;=INDEX(YieldCurve!$A$4:$A$63,ROWS(YieldCurve!$A$4:$A$63)),INDEX(YieldCurve!$B$4:$B$63,ROWS(YieldCurve!$B$4:$B$63)),F436+H436*(G436-F436)))</f>
        <v>4.9454709999999999E-2</v>
      </c>
      <c r="J436">
        <f>EXP(-(I436+Inputs!$B$9)*B436)</f>
        <v>0.167882527399276</v>
      </c>
    </row>
    <row r="437" spans="1:10" x14ac:dyDescent="0.35">
      <c r="A437">
        <v>434</v>
      </c>
      <c r="B437">
        <f>A437/Inputs!$B$6</f>
        <v>36.166666666666664</v>
      </c>
      <c r="C437">
        <f>IF(B437&lt;=INDEX(YieldCurve!$A$4:$A$63,1),1,IF(B437&gt;=INDEX(YieldCurve!$A$4:$A$63,ROWS(YieldCurve!$A$4:$A$63)),ROWS(YieldCurve!$A$4:$A$63)-1,MATCH(B437,YieldCurve!$A$4:$A$63,1)))</f>
        <v>59</v>
      </c>
      <c r="D437">
        <f>INDEX(YieldCurve!$A$4:$A$63,C437)</f>
        <v>29.5</v>
      </c>
      <c r="E437">
        <f>INDEX(YieldCurve!$A$4:$A$63,C437+1)</f>
        <v>30</v>
      </c>
      <c r="F437">
        <f>INDEX(YieldCurve!$B$4:$B$63,C437)</f>
        <v>4.9472420000000003E-2</v>
      </c>
      <c r="G437">
        <f>INDEX(YieldCurve!$B$4:$B$63,C437+1)</f>
        <v>4.9454709999999999E-2</v>
      </c>
      <c r="H437">
        <f t="shared" si="6"/>
        <v>13.333333333333329</v>
      </c>
      <c r="I437">
        <f>IF(B437&lt;=INDEX(YieldCurve!$A$4:$A$63,1),INDEX(YieldCurve!$B$4:$B$63,1),IF(B437&gt;=INDEX(YieldCurve!$A$4:$A$63,ROWS(YieldCurve!$A$4:$A$63)),INDEX(YieldCurve!$B$4:$B$63,ROWS(YieldCurve!$B$4:$B$63)),F437+H437*(G437-F437)))</f>
        <v>4.9454709999999999E-2</v>
      </c>
      <c r="J437">
        <f>EXP(-(I437+Inputs!$B$9)*B437)</f>
        <v>0.16719206933445657</v>
      </c>
    </row>
    <row r="438" spans="1:10" x14ac:dyDescent="0.35">
      <c r="A438">
        <v>435</v>
      </c>
      <c r="B438">
        <f>A438/Inputs!$B$6</f>
        <v>36.25</v>
      </c>
      <c r="C438">
        <f>IF(B438&lt;=INDEX(YieldCurve!$A$4:$A$63,1),1,IF(B438&gt;=INDEX(YieldCurve!$A$4:$A$63,ROWS(YieldCurve!$A$4:$A$63)),ROWS(YieldCurve!$A$4:$A$63)-1,MATCH(B438,YieldCurve!$A$4:$A$63,1)))</f>
        <v>59</v>
      </c>
      <c r="D438">
        <f>INDEX(YieldCurve!$A$4:$A$63,C438)</f>
        <v>29.5</v>
      </c>
      <c r="E438">
        <f>INDEX(YieldCurve!$A$4:$A$63,C438+1)</f>
        <v>30</v>
      </c>
      <c r="F438">
        <f>INDEX(YieldCurve!$B$4:$B$63,C438)</f>
        <v>4.9472420000000003E-2</v>
      </c>
      <c r="G438">
        <f>INDEX(YieldCurve!$B$4:$B$63,C438+1)</f>
        <v>4.9454709999999999E-2</v>
      </c>
      <c r="H438">
        <f t="shared" si="6"/>
        <v>13.5</v>
      </c>
      <c r="I438">
        <f>IF(B438&lt;=INDEX(YieldCurve!$A$4:$A$63,1),INDEX(YieldCurve!$B$4:$B$63,1),IF(B438&gt;=INDEX(YieldCurve!$A$4:$A$63,ROWS(YieldCurve!$A$4:$A$63)),INDEX(YieldCurve!$B$4:$B$63,ROWS(YieldCurve!$B$4:$B$63)),F438+H438*(G438-F438)))</f>
        <v>4.9454709999999999E-2</v>
      </c>
      <c r="J438">
        <f>EXP(-(I438+Inputs!$B$9)*B438)</f>
        <v>0.16650445094775404</v>
      </c>
    </row>
    <row r="439" spans="1:10" x14ac:dyDescent="0.35">
      <c r="A439">
        <v>436</v>
      </c>
      <c r="B439">
        <f>A439/Inputs!$B$6</f>
        <v>36.333333333333336</v>
      </c>
      <c r="C439">
        <f>IF(B439&lt;=INDEX(YieldCurve!$A$4:$A$63,1),1,IF(B439&gt;=INDEX(YieldCurve!$A$4:$A$63,ROWS(YieldCurve!$A$4:$A$63)),ROWS(YieldCurve!$A$4:$A$63)-1,MATCH(B439,YieldCurve!$A$4:$A$63,1)))</f>
        <v>59</v>
      </c>
      <c r="D439">
        <f>INDEX(YieldCurve!$A$4:$A$63,C439)</f>
        <v>29.5</v>
      </c>
      <c r="E439">
        <f>INDEX(YieldCurve!$A$4:$A$63,C439+1)</f>
        <v>30</v>
      </c>
      <c r="F439">
        <f>INDEX(YieldCurve!$B$4:$B$63,C439)</f>
        <v>4.9472420000000003E-2</v>
      </c>
      <c r="G439">
        <f>INDEX(YieldCurve!$B$4:$B$63,C439+1)</f>
        <v>4.9454709999999999E-2</v>
      </c>
      <c r="H439">
        <f t="shared" si="6"/>
        <v>13.666666666666671</v>
      </c>
      <c r="I439">
        <f>IF(B439&lt;=INDEX(YieldCurve!$A$4:$A$63,1),INDEX(YieldCurve!$B$4:$B$63,1),IF(B439&gt;=INDEX(YieldCurve!$A$4:$A$63,ROWS(YieldCurve!$A$4:$A$63)),INDEX(YieldCurve!$B$4:$B$63,ROWS(YieldCurve!$B$4:$B$63)),F439+H439*(G439-F439)))</f>
        <v>4.9454709999999999E-2</v>
      </c>
      <c r="J439">
        <f>EXP(-(I439+Inputs!$B$9)*B439)</f>
        <v>0.16581966056029585</v>
      </c>
    </row>
    <row r="440" spans="1:10" x14ac:dyDescent="0.35">
      <c r="A440">
        <v>437</v>
      </c>
      <c r="B440">
        <f>A440/Inputs!$B$6</f>
        <v>36.416666666666664</v>
      </c>
      <c r="C440">
        <f>IF(B440&lt;=INDEX(YieldCurve!$A$4:$A$63,1),1,IF(B440&gt;=INDEX(YieldCurve!$A$4:$A$63,ROWS(YieldCurve!$A$4:$A$63)),ROWS(YieldCurve!$A$4:$A$63)-1,MATCH(B440,YieldCurve!$A$4:$A$63,1)))</f>
        <v>59</v>
      </c>
      <c r="D440">
        <f>INDEX(YieldCurve!$A$4:$A$63,C440)</f>
        <v>29.5</v>
      </c>
      <c r="E440">
        <f>INDEX(YieldCurve!$A$4:$A$63,C440+1)</f>
        <v>30</v>
      </c>
      <c r="F440">
        <f>INDEX(YieldCurve!$B$4:$B$63,C440)</f>
        <v>4.9472420000000003E-2</v>
      </c>
      <c r="G440">
        <f>INDEX(YieldCurve!$B$4:$B$63,C440+1)</f>
        <v>4.9454709999999999E-2</v>
      </c>
      <c r="H440">
        <f t="shared" si="6"/>
        <v>13.833333333333329</v>
      </c>
      <c r="I440">
        <f>IF(B440&lt;=INDEX(YieldCurve!$A$4:$A$63,1),INDEX(YieldCurve!$B$4:$B$63,1),IF(B440&gt;=INDEX(YieldCurve!$A$4:$A$63,ROWS(YieldCurve!$A$4:$A$63)),INDEX(YieldCurve!$B$4:$B$63,ROWS(YieldCurve!$B$4:$B$63)),F440+H440*(G440-F440)))</f>
        <v>4.9454709999999999E-2</v>
      </c>
      <c r="J440">
        <f>EXP(-(I440+Inputs!$B$9)*B440)</f>
        <v>0.16513768654124153</v>
      </c>
    </row>
    <row r="441" spans="1:10" x14ac:dyDescent="0.35">
      <c r="A441">
        <v>438</v>
      </c>
      <c r="B441">
        <f>A441/Inputs!$B$6</f>
        <v>36.5</v>
      </c>
      <c r="C441">
        <f>IF(B441&lt;=INDEX(YieldCurve!$A$4:$A$63,1),1,IF(B441&gt;=INDEX(YieldCurve!$A$4:$A$63,ROWS(YieldCurve!$A$4:$A$63)),ROWS(YieldCurve!$A$4:$A$63)-1,MATCH(B441,YieldCurve!$A$4:$A$63,1)))</f>
        <v>59</v>
      </c>
      <c r="D441">
        <f>INDEX(YieldCurve!$A$4:$A$63,C441)</f>
        <v>29.5</v>
      </c>
      <c r="E441">
        <f>INDEX(YieldCurve!$A$4:$A$63,C441+1)</f>
        <v>30</v>
      </c>
      <c r="F441">
        <f>INDEX(YieldCurve!$B$4:$B$63,C441)</f>
        <v>4.9472420000000003E-2</v>
      </c>
      <c r="G441">
        <f>INDEX(YieldCurve!$B$4:$B$63,C441+1)</f>
        <v>4.9454709999999999E-2</v>
      </c>
      <c r="H441">
        <f t="shared" si="6"/>
        <v>14</v>
      </c>
      <c r="I441">
        <f>IF(B441&lt;=INDEX(YieldCurve!$A$4:$A$63,1),INDEX(YieldCurve!$B$4:$B$63,1),IF(B441&gt;=INDEX(YieldCurve!$A$4:$A$63,ROWS(YieldCurve!$A$4:$A$63)),INDEX(YieldCurve!$B$4:$B$63,ROWS(YieldCurve!$B$4:$B$63)),F441+H441*(G441-F441)))</f>
        <v>4.9454709999999999E-2</v>
      </c>
      <c r="J441">
        <f>EXP(-(I441+Inputs!$B$9)*B441)</f>
        <v>0.16445851730758534</v>
      </c>
    </row>
    <row r="442" spans="1:10" x14ac:dyDescent="0.35">
      <c r="A442">
        <v>439</v>
      </c>
      <c r="B442">
        <f>A442/Inputs!$B$6</f>
        <v>36.583333333333336</v>
      </c>
      <c r="C442">
        <f>IF(B442&lt;=INDEX(YieldCurve!$A$4:$A$63,1),1,IF(B442&gt;=INDEX(YieldCurve!$A$4:$A$63,ROWS(YieldCurve!$A$4:$A$63)),ROWS(YieldCurve!$A$4:$A$63)-1,MATCH(B442,YieldCurve!$A$4:$A$63,1)))</f>
        <v>59</v>
      </c>
      <c r="D442">
        <f>INDEX(YieldCurve!$A$4:$A$63,C442)</f>
        <v>29.5</v>
      </c>
      <c r="E442">
        <f>INDEX(YieldCurve!$A$4:$A$63,C442+1)</f>
        <v>30</v>
      </c>
      <c r="F442">
        <f>INDEX(YieldCurve!$B$4:$B$63,C442)</f>
        <v>4.9472420000000003E-2</v>
      </c>
      <c r="G442">
        <f>INDEX(YieldCurve!$B$4:$B$63,C442+1)</f>
        <v>4.9454709999999999E-2</v>
      </c>
      <c r="H442">
        <f t="shared" si="6"/>
        <v>14.166666666666671</v>
      </c>
      <c r="I442">
        <f>IF(B442&lt;=INDEX(YieldCurve!$A$4:$A$63,1),INDEX(YieldCurve!$B$4:$B$63,1),IF(B442&gt;=INDEX(YieldCurve!$A$4:$A$63,ROWS(YieldCurve!$A$4:$A$63)),INDEX(YieldCurve!$B$4:$B$63,ROWS(YieldCurve!$B$4:$B$63)),F442+H442*(G442-F442)))</f>
        <v>4.9454709999999999E-2</v>
      </c>
      <c r="J442">
        <f>EXP(-(I442+Inputs!$B$9)*B442)</f>
        <v>0.16378214132395952</v>
      </c>
    </row>
    <row r="443" spans="1:10" x14ac:dyDescent="0.35">
      <c r="A443">
        <v>440</v>
      </c>
      <c r="B443">
        <f>A443/Inputs!$B$6</f>
        <v>36.666666666666664</v>
      </c>
      <c r="C443">
        <f>IF(B443&lt;=INDEX(YieldCurve!$A$4:$A$63,1),1,IF(B443&gt;=INDEX(YieldCurve!$A$4:$A$63,ROWS(YieldCurve!$A$4:$A$63)),ROWS(YieldCurve!$A$4:$A$63)-1,MATCH(B443,YieldCurve!$A$4:$A$63,1)))</f>
        <v>59</v>
      </c>
      <c r="D443">
        <f>INDEX(YieldCurve!$A$4:$A$63,C443)</f>
        <v>29.5</v>
      </c>
      <c r="E443">
        <f>INDEX(YieldCurve!$A$4:$A$63,C443+1)</f>
        <v>30</v>
      </c>
      <c r="F443">
        <f>INDEX(YieldCurve!$B$4:$B$63,C443)</f>
        <v>4.9472420000000003E-2</v>
      </c>
      <c r="G443">
        <f>INDEX(YieldCurve!$B$4:$B$63,C443+1)</f>
        <v>4.9454709999999999E-2</v>
      </c>
      <c r="H443">
        <f t="shared" si="6"/>
        <v>14.333333333333329</v>
      </c>
      <c r="I443">
        <f>IF(B443&lt;=INDEX(YieldCurve!$A$4:$A$63,1),INDEX(YieldCurve!$B$4:$B$63,1),IF(B443&gt;=INDEX(YieldCurve!$A$4:$A$63,ROWS(YieldCurve!$A$4:$A$63)),INDEX(YieldCurve!$B$4:$B$63,ROWS(YieldCurve!$B$4:$B$63)),F443+H443*(G443-F443)))</f>
        <v>4.9454709999999999E-2</v>
      </c>
      <c r="J443">
        <f>EXP(-(I443+Inputs!$B$9)*B443)</f>
        <v>0.16310854710243833</v>
      </c>
    </row>
    <row r="444" spans="1:10" x14ac:dyDescent="0.35">
      <c r="A444">
        <v>441</v>
      </c>
      <c r="B444">
        <f>A444/Inputs!$B$6</f>
        <v>36.75</v>
      </c>
      <c r="C444">
        <f>IF(B444&lt;=INDEX(YieldCurve!$A$4:$A$63,1),1,IF(B444&gt;=INDEX(YieldCurve!$A$4:$A$63,ROWS(YieldCurve!$A$4:$A$63)),ROWS(YieldCurve!$A$4:$A$63)-1,MATCH(B444,YieldCurve!$A$4:$A$63,1)))</f>
        <v>59</v>
      </c>
      <c r="D444">
        <f>INDEX(YieldCurve!$A$4:$A$63,C444)</f>
        <v>29.5</v>
      </c>
      <c r="E444">
        <f>INDEX(YieldCurve!$A$4:$A$63,C444+1)</f>
        <v>30</v>
      </c>
      <c r="F444">
        <f>INDEX(YieldCurve!$B$4:$B$63,C444)</f>
        <v>4.9472420000000003E-2</v>
      </c>
      <c r="G444">
        <f>INDEX(YieldCurve!$B$4:$B$63,C444+1)</f>
        <v>4.9454709999999999E-2</v>
      </c>
      <c r="H444">
        <f t="shared" si="6"/>
        <v>14.5</v>
      </c>
      <c r="I444">
        <f>IF(B444&lt;=INDEX(YieldCurve!$A$4:$A$63,1),INDEX(YieldCurve!$B$4:$B$63,1),IF(B444&gt;=INDEX(YieldCurve!$A$4:$A$63,ROWS(YieldCurve!$A$4:$A$63)),INDEX(YieldCurve!$B$4:$B$63,ROWS(YieldCurve!$B$4:$B$63)),F444+H444*(G444-F444)))</f>
        <v>4.9454709999999999E-2</v>
      </c>
      <c r="J444">
        <f>EXP(-(I444+Inputs!$B$9)*B444)</f>
        <v>0.16243772320234287</v>
      </c>
    </row>
    <row r="445" spans="1:10" x14ac:dyDescent="0.35">
      <c r="A445">
        <v>442</v>
      </c>
      <c r="B445">
        <f>A445/Inputs!$B$6</f>
        <v>36.833333333333336</v>
      </c>
      <c r="C445">
        <f>IF(B445&lt;=INDEX(YieldCurve!$A$4:$A$63,1),1,IF(B445&gt;=INDEX(YieldCurve!$A$4:$A$63,ROWS(YieldCurve!$A$4:$A$63)),ROWS(YieldCurve!$A$4:$A$63)-1,MATCH(B445,YieldCurve!$A$4:$A$63,1)))</f>
        <v>59</v>
      </c>
      <c r="D445">
        <f>INDEX(YieldCurve!$A$4:$A$63,C445)</f>
        <v>29.5</v>
      </c>
      <c r="E445">
        <f>INDEX(YieldCurve!$A$4:$A$63,C445+1)</f>
        <v>30</v>
      </c>
      <c r="F445">
        <f>INDEX(YieldCurve!$B$4:$B$63,C445)</f>
        <v>4.9472420000000003E-2</v>
      </c>
      <c r="G445">
        <f>INDEX(YieldCurve!$B$4:$B$63,C445+1)</f>
        <v>4.9454709999999999E-2</v>
      </c>
      <c r="H445">
        <f t="shared" si="6"/>
        <v>14.666666666666671</v>
      </c>
      <c r="I445">
        <f>IF(B445&lt;=INDEX(YieldCurve!$A$4:$A$63,1),INDEX(YieldCurve!$B$4:$B$63,1),IF(B445&gt;=INDEX(YieldCurve!$A$4:$A$63,ROWS(YieldCurve!$A$4:$A$63)),INDEX(YieldCurve!$B$4:$B$63,ROWS(YieldCurve!$B$4:$B$63)),F445+H445*(G445-F445)))</f>
        <v>4.9454709999999999E-2</v>
      </c>
      <c r="J445">
        <f>EXP(-(I445+Inputs!$B$9)*B445)</f>
        <v>0.16176965823004694</v>
      </c>
    </row>
    <row r="446" spans="1:10" x14ac:dyDescent="0.35">
      <c r="A446">
        <v>443</v>
      </c>
      <c r="B446">
        <f>A446/Inputs!$B$6</f>
        <v>36.916666666666664</v>
      </c>
      <c r="C446">
        <f>IF(B446&lt;=INDEX(YieldCurve!$A$4:$A$63,1),1,IF(B446&gt;=INDEX(YieldCurve!$A$4:$A$63,ROWS(YieldCurve!$A$4:$A$63)),ROWS(YieldCurve!$A$4:$A$63)-1,MATCH(B446,YieldCurve!$A$4:$A$63,1)))</f>
        <v>59</v>
      </c>
      <c r="D446">
        <f>INDEX(YieldCurve!$A$4:$A$63,C446)</f>
        <v>29.5</v>
      </c>
      <c r="E446">
        <f>INDEX(YieldCurve!$A$4:$A$63,C446+1)</f>
        <v>30</v>
      </c>
      <c r="F446">
        <f>INDEX(YieldCurve!$B$4:$B$63,C446)</f>
        <v>4.9472420000000003E-2</v>
      </c>
      <c r="G446">
        <f>INDEX(YieldCurve!$B$4:$B$63,C446+1)</f>
        <v>4.9454709999999999E-2</v>
      </c>
      <c r="H446">
        <f t="shared" si="6"/>
        <v>14.833333333333329</v>
      </c>
      <c r="I446">
        <f>IF(B446&lt;=INDEX(YieldCurve!$A$4:$A$63,1),INDEX(YieldCurve!$B$4:$B$63,1),IF(B446&gt;=INDEX(YieldCurve!$A$4:$A$63,ROWS(YieldCurve!$A$4:$A$63)),INDEX(YieldCurve!$B$4:$B$63,ROWS(YieldCurve!$B$4:$B$63)),F446+H446*(G446-F446)))</f>
        <v>4.9454709999999999E-2</v>
      </c>
      <c r="J446">
        <f>EXP(-(I446+Inputs!$B$9)*B446)</f>
        <v>0.16110434083878339</v>
      </c>
    </row>
    <row r="447" spans="1:10" x14ac:dyDescent="0.35">
      <c r="A447">
        <v>444</v>
      </c>
      <c r="B447">
        <f>A447/Inputs!$B$6</f>
        <v>37</v>
      </c>
      <c r="C447">
        <f>IF(B447&lt;=INDEX(YieldCurve!$A$4:$A$63,1),1,IF(B447&gt;=INDEX(YieldCurve!$A$4:$A$63,ROWS(YieldCurve!$A$4:$A$63)),ROWS(YieldCurve!$A$4:$A$63)-1,MATCH(B447,YieldCurve!$A$4:$A$63,1)))</f>
        <v>59</v>
      </c>
      <c r="D447">
        <f>INDEX(YieldCurve!$A$4:$A$63,C447)</f>
        <v>29.5</v>
      </c>
      <c r="E447">
        <f>INDEX(YieldCurve!$A$4:$A$63,C447+1)</f>
        <v>30</v>
      </c>
      <c r="F447">
        <f>INDEX(YieldCurve!$B$4:$B$63,C447)</f>
        <v>4.9472420000000003E-2</v>
      </c>
      <c r="G447">
        <f>INDEX(YieldCurve!$B$4:$B$63,C447+1)</f>
        <v>4.9454709999999999E-2</v>
      </c>
      <c r="H447">
        <f t="shared" si="6"/>
        <v>15</v>
      </c>
      <c r="I447">
        <f>IF(B447&lt;=INDEX(YieldCurve!$A$4:$A$63,1),INDEX(YieldCurve!$B$4:$B$63,1),IF(B447&gt;=INDEX(YieldCurve!$A$4:$A$63,ROWS(YieldCurve!$A$4:$A$63)),INDEX(YieldCurve!$B$4:$B$63,ROWS(YieldCurve!$B$4:$B$63)),F447+H447*(G447-F447)))</f>
        <v>4.9454709999999999E-2</v>
      </c>
      <c r="J447">
        <f>EXP(-(I447+Inputs!$B$9)*B447)</f>
        <v>0.16044175972845132</v>
      </c>
    </row>
    <row r="448" spans="1:10" x14ac:dyDescent="0.35">
      <c r="A448">
        <v>445</v>
      </c>
      <c r="B448">
        <f>A448/Inputs!$B$6</f>
        <v>37.083333333333336</v>
      </c>
      <c r="C448">
        <f>IF(B448&lt;=INDEX(YieldCurve!$A$4:$A$63,1),1,IF(B448&gt;=INDEX(YieldCurve!$A$4:$A$63,ROWS(YieldCurve!$A$4:$A$63)),ROWS(YieldCurve!$A$4:$A$63)-1,MATCH(B448,YieldCurve!$A$4:$A$63,1)))</f>
        <v>59</v>
      </c>
      <c r="D448">
        <f>INDEX(YieldCurve!$A$4:$A$63,C448)</f>
        <v>29.5</v>
      </c>
      <c r="E448">
        <f>INDEX(YieldCurve!$A$4:$A$63,C448+1)</f>
        <v>30</v>
      </c>
      <c r="F448">
        <f>INDEX(YieldCurve!$B$4:$B$63,C448)</f>
        <v>4.9472420000000003E-2</v>
      </c>
      <c r="G448">
        <f>INDEX(YieldCurve!$B$4:$B$63,C448+1)</f>
        <v>4.9454709999999999E-2</v>
      </c>
      <c r="H448">
        <f t="shared" si="6"/>
        <v>15.166666666666671</v>
      </c>
      <c r="I448">
        <f>IF(B448&lt;=INDEX(YieldCurve!$A$4:$A$63,1),INDEX(YieldCurve!$B$4:$B$63,1),IF(B448&gt;=INDEX(YieldCurve!$A$4:$A$63,ROWS(YieldCurve!$A$4:$A$63)),INDEX(YieldCurve!$B$4:$B$63,ROWS(YieldCurve!$B$4:$B$63)),F448+H448*(G448-F448)))</f>
        <v>4.9454709999999999E-2</v>
      </c>
      <c r="J448">
        <f>EXP(-(I448+Inputs!$B$9)*B448)</f>
        <v>0.15978190364542444</v>
      </c>
    </row>
    <row r="449" spans="1:10" x14ac:dyDescent="0.35">
      <c r="A449">
        <v>446</v>
      </c>
      <c r="B449">
        <f>A449/Inputs!$B$6</f>
        <v>37.166666666666664</v>
      </c>
      <c r="C449">
        <f>IF(B449&lt;=INDEX(YieldCurve!$A$4:$A$63,1),1,IF(B449&gt;=INDEX(YieldCurve!$A$4:$A$63,ROWS(YieldCurve!$A$4:$A$63)),ROWS(YieldCurve!$A$4:$A$63)-1,MATCH(B449,YieldCurve!$A$4:$A$63,1)))</f>
        <v>59</v>
      </c>
      <c r="D449">
        <f>INDEX(YieldCurve!$A$4:$A$63,C449)</f>
        <v>29.5</v>
      </c>
      <c r="E449">
        <f>INDEX(YieldCurve!$A$4:$A$63,C449+1)</f>
        <v>30</v>
      </c>
      <c r="F449">
        <f>INDEX(YieldCurve!$B$4:$B$63,C449)</f>
        <v>4.9472420000000003E-2</v>
      </c>
      <c r="G449">
        <f>INDEX(YieldCurve!$B$4:$B$63,C449+1)</f>
        <v>4.9454709999999999E-2</v>
      </c>
      <c r="H449">
        <f t="shared" si="6"/>
        <v>15.333333333333329</v>
      </c>
      <c r="I449">
        <f>IF(B449&lt;=INDEX(YieldCurve!$A$4:$A$63,1),INDEX(YieldCurve!$B$4:$B$63,1),IF(B449&gt;=INDEX(YieldCurve!$A$4:$A$63,ROWS(YieldCurve!$A$4:$A$63)),INDEX(YieldCurve!$B$4:$B$63,ROWS(YieldCurve!$B$4:$B$63)),F449+H449*(G449-F449)))</f>
        <v>4.9454709999999999E-2</v>
      </c>
      <c r="J449">
        <f>EXP(-(I449+Inputs!$B$9)*B449)</f>
        <v>0.15912476138235976</v>
      </c>
    </row>
    <row r="450" spans="1:10" x14ac:dyDescent="0.35">
      <c r="A450">
        <v>447</v>
      </c>
      <c r="B450">
        <f>A450/Inputs!$B$6</f>
        <v>37.25</v>
      </c>
      <c r="C450">
        <f>IF(B450&lt;=INDEX(YieldCurve!$A$4:$A$63,1),1,IF(B450&gt;=INDEX(YieldCurve!$A$4:$A$63,ROWS(YieldCurve!$A$4:$A$63)),ROWS(YieldCurve!$A$4:$A$63)-1,MATCH(B450,YieldCurve!$A$4:$A$63,1)))</f>
        <v>59</v>
      </c>
      <c r="D450">
        <f>INDEX(YieldCurve!$A$4:$A$63,C450)</f>
        <v>29.5</v>
      </c>
      <c r="E450">
        <f>INDEX(YieldCurve!$A$4:$A$63,C450+1)</f>
        <v>30</v>
      </c>
      <c r="F450">
        <f>INDEX(YieldCurve!$B$4:$B$63,C450)</f>
        <v>4.9472420000000003E-2</v>
      </c>
      <c r="G450">
        <f>INDEX(YieldCurve!$B$4:$B$63,C450+1)</f>
        <v>4.9454709999999999E-2</v>
      </c>
      <c r="H450">
        <f t="shared" si="6"/>
        <v>15.5</v>
      </c>
      <c r="I450">
        <f>IF(B450&lt;=INDEX(YieldCurve!$A$4:$A$63,1),INDEX(YieldCurve!$B$4:$B$63,1),IF(B450&gt;=INDEX(YieldCurve!$A$4:$A$63,ROWS(YieldCurve!$A$4:$A$63)),INDEX(YieldCurve!$B$4:$B$63,ROWS(YieldCurve!$B$4:$B$63)),F450+H450*(G450-F450)))</f>
        <v>4.9454709999999999E-2</v>
      </c>
      <c r="J450">
        <f>EXP(-(I450+Inputs!$B$9)*B450)</f>
        <v>0.15847032177800696</v>
      </c>
    </row>
    <row r="451" spans="1:10" x14ac:dyDescent="0.35">
      <c r="A451">
        <v>448</v>
      </c>
      <c r="B451">
        <f>A451/Inputs!$B$6</f>
        <v>37.333333333333336</v>
      </c>
      <c r="C451">
        <f>IF(B451&lt;=INDEX(YieldCurve!$A$4:$A$63,1),1,IF(B451&gt;=INDEX(YieldCurve!$A$4:$A$63,ROWS(YieldCurve!$A$4:$A$63)),ROWS(YieldCurve!$A$4:$A$63)-1,MATCH(B451,YieldCurve!$A$4:$A$63,1)))</f>
        <v>59</v>
      </c>
      <c r="D451">
        <f>INDEX(YieldCurve!$A$4:$A$63,C451)</f>
        <v>29.5</v>
      </c>
      <c r="E451">
        <f>INDEX(YieldCurve!$A$4:$A$63,C451+1)</f>
        <v>30</v>
      </c>
      <c r="F451">
        <f>INDEX(YieldCurve!$B$4:$B$63,C451)</f>
        <v>4.9472420000000003E-2</v>
      </c>
      <c r="G451">
        <f>INDEX(YieldCurve!$B$4:$B$63,C451+1)</f>
        <v>4.9454709999999999E-2</v>
      </c>
      <c r="H451">
        <f t="shared" si="6"/>
        <v>15.666666666666671</v>
      </c>
      <c r="I451">
        <f>IF(B451&lt;=INDEX(YieldCurve!$A$4:$A$63,1),INDEX(YieldCurve!$B$4:$B$63,1),IF(B451&gt;=INDEX(YieldCurve!$A$4:$A$63,ROWS(YieldCurve!$A$4:$A$63)),INDEX(YieldCurve!$B$4:$B$63,ROWS(YieldCurve!$B$4:$B$63)),F451+H451*(G451-F451)))</f>
        <v>4.9454709999999999E-2</v>
      </c>
      <c r="J451">
        <f>EXP(-(I451+Inputs!$B$9)*B451)</f>
        <v>0.15781857371701943</v>
      </c>
    </row>
    <row r="452" spans="1:10" x14ac:dyDescent="0.35">
      <c r="A452">
        <v>449</v>
      </c>
      <c r="B452">
        <f>A452/Inputs!$B$6</f>
        <v>37.416666666666664</v>
      </c>
      <c r="C452">
        <f>IF(B452&lt;=INDEX(YieldCurve!$A$4:$A$63,1),1,IF(B452&gt;=INDEX(YieldCurve!$A$4:$A$63,ROWS(YieldCurve!$A$4:$A$63)),ROWS(YieldCurve!$A$4:$A$63)-1,MATCH(B452,YieldCurve!$A$4:$A$63,1)))</f>
        <v>59</v>
      </c>
      <c r="D452">
        <f>INDEX(YieldCurve!$A$4:$A$63,C452)</f>
        <v>29.5</v>
      </c>
      <c r="E452">
        <f>INDEX(YieldCurve!$A$4:$A$63,C452+1)</f>
        <v>30</v>
      </c>
      <c r="F452">
        <f>INDEX(YieldCurve!$B$4:$B$63,C452)</f>
        <v>4.9472420000000003E-2</v>
      </c>
      <c r="G452">
        <f>INDEX(YieldCurve!$B$4:$B$63,C452+1)</f>
        <v>4.9454709999999999E-2</v>
      </c>
      <c r="H452">
        <f t="shared" ref="H452:H515" si="7">IF(E452=D452,0,(B452-D452)/(E452-D452))</f>
        <v>15.833333333333329</v>
      </c>
      <c r="I452">
        <f>IF(B452&lt;=INDEX(YieldCurve!$A$4:$A$63,1),INDEX(YieldCurve!$B$4:$B$63,1),IF(B452&gt;=INDEX(YieldCurve!$A$4:$A$63,ROWS(YieldCurve!$A$4:$A$63)),INDEX(YieldCurve!$B$4:$B$63,ROWS(YieldCurve!$B$4:$B$63)),F452+H452*(G452-F452)))</f>
        <v>4.9454709999999999E-2</v>
      </c>
      <c r="J452">
        <f>EXP(-(I452+Inputs!$B$9)*B452)</f>
        <v>0.15716950612976507</v>
      </c>
    </row>
    <row r="453" spans="1:10" x14ac:dyDescent="0.35">
      <c r="A453">
        <v>450</v>
      </c>
      <c r="B453">
        <f>A453/Inputs!$B$6</f>
        <v>37.5</v>
      </c>
      <c r="C453">
        <f>IF(B453&lt;=INDEX(YieldCurve!$A$4:$A$63,1),1,IF(B453&gt;=INDEX(YieldCurve!$A$4:$A$63,ROWS(YieldCurve!$A$4:$A$63)),ROWS(YieldCurve!$A$4:$A$63)-1,MATCH(B453,YieldCurve!$A$4:$A$63,1)))</f>
        <v>59</v>
      </c>
      <c r="D453">
        <f>INDEX(YieldCurve!$A$4:$A$63,C453)</f>
        <v>29.5</v>
      </c>
      <c r="E453">
        <f>INDEX(YieldCurve!$A$4:$A$63,C453+1)</f>
        <v>30</v>
      </c>
      <c r="F453">
        <f>INDEX(YieldCurve!$B$4:$B$63,C453)</f>
        <v>4.9472420000000003E-2</v>
      </c>
      <c r="G453">
        <f>INDEX(YieldCurve!$B$4:$B$63,C453+1)</f>
        <v>4.9454709999999999E-2</v>
      </c>
      <c r="H453">
        <f t="shared" si="7"/>
        <v>16</v>
      </c>
      <c r="I453">
        <f>IF(B453&lt;=INDEX(YieldCurve!$A$4:$A$63,1),INDEX(YieldCurve!$B$4:$B$63,1),IF(B453&gt;=INDEX(YieldCurve!$A$4:$A$63,ROWS(YieldCurve!$A$4:$A$63)),INDEX(YieldCurve!$B$4:$B$63,ROWS(YieldCurve!$B$4:$B$63)),F453+H453*(G453-F453)))</f>
        <v>4.9454709999999999E-2</v>
      </c>
      <c r="J453">
        <f>EXP(-(I453+Inputs!$B$9)*B453)</f>
        <v>0.15652310799213814</v>
      </c>
    </row>
    <row r="454" spans="1:10" x14ac:dyDescent="0.35">
      <c r="A454">
        <v>451</v>
      </c>
      <c r="B454">
        <f>A454/Inputs!$B$6</f>
        <v>37.583333333333336</v>
      </c>
      <c r="C454">
        <f>IF(B454&lt;=INDEX(YieldCurve!$A$4:$A$63,1),1,IF(B454&gt;=INDEX(YieldCurve!$A$4:$A$63,ROWS(YieldCurve!$A$4:$A$63)),ROWS(YieldCurve!$A$4:$A$63)-1,MATCH(B454,YieldCurve!$A$4:$A$63,1)))</f>
        <v>59</v>
      </c>
      <c r="D454">
        <f>INDEX(YieldCurve!$A$4:$A$63,C454)</f>
        <v>29.5</v>
      </c>
      <c r="E454">
        <f>INDEX(YieldCurve!$A$4:$A$63,C454+1)</f>
        <v>30</v>
      </c>
      <c r="F454">
        <f>INDEX(YieldCurve!$B$4:$B$63,C454)</f>
        <v>4.9472420000000003E-2</v>
      </c>
      <c r="G454">
        <f>INDEX(YieldCurve!$B$4:$B$63,C454+1)</f>
        <v>4.9454709999999999E-2</v>
      </c>
      <c r="H454">
        <f t="shared" si="7"/>
        <v>16.166666666666671</v>
      </c>
      <c r="I454">
        <f>IF(B454&lt;=INDEX(YieldCurve!$A$4:$A$63,1),INDEX(YieldCurve!$B$4:$B$63,1),IF(B454&gt;=INDEX(YieldCurve!$A$4:$A$63,ROWS(YieldCurve!$A$4:$A$63)),INDEX(YieldCurve!$B$4:$B$63,ROWS(YieldCurve!$B$4:$B$63)),F454+H454*(G454-F454)))</f>
        <v>4.9454709999999999E-2</v>
      </c>
      <c r="J454">
        <f>EXP(-(I454+Inputs!$B$9)*B454)</f>
        <v>0.15587936832537252</v>
      </c>
    </row>
    <row r="455" spans="1:10" x14ac:dyDescent="0.35">
      <c r="A455">
        <v>452</v>
      </c>
      <c r="B455">
        <f>A455/Inputs!$B$6</f>
        <v>37.666666666666664</v>
      </c>
      <c r="C455">
        <f>IF(B455&lt;=INDEX(YieldCurve!$A$4:$A$63,1),1,IF(B455&gt;=INDEX(YieldCurve!$A$4:$A$63,ROWS(YieldCurve!$A$4:$A$63)),ROWS(YieldCurve!$A$4:$A$63)-1,MATCH(B455,YieldCurve!$A$4:$A$63,1)))</f>
        <v>59</v>
      </c>
      <c r="D455">
        <f>INDEX(YieldCurve!$A$4:$A$63,C455)</f>
        <v>29.5</v>
      </c>
      <c r="E455">
        <f>INDEX(YieldCurve!$A$4:$A$63,C455+1)</f>
        <v>30</v>
      </c>
      <c r="F455">
        <f>INDEX(YieldCurve!$B$4:$B$63,C455)</f>
        <v>4.9472420000000003E-2</v>
      </c>
      <c r="G455">
        <f>INDEX(YieldCurve!$B$4:$B$63,C455+1)</f>
        <v>4.9454709999999999E-2</v>
      </c>
      <c r="H455">
        <f t="shared" si="7"/>
        <v>16.333333333333329</v>
      </c>
      <c r="I455">
        <f>IF(B455&lt;=INDEX(YieldCurve!$A$4:$A$63,1),INDEX(YieldCurve!$B$4:$B$63,1),IF(B455&gt;=INDEX(YieldCurve!$A$4:$A$63,ROWS(YieldCurve!$A$4:$A$63)),INDEX(YieldCurve!$B$4:$B$63,ROWS(YieldCurve!$B$4:$B$63)),F455+H455*(G455-F455)))</f>
        <v>4.9454709999999999E-2</v>
      </c>
      <c r="J455">
        <f>EXP(-(I455+Inputs!$B$9)*B455)</f>
        <v>0.15523827619585487</v>
      </c>
    </row>
    <row r="456" spans="1:10" x14ac:dyDescent="0.35">
      <c r="A456">
        <v>453</v>
      </c>
      <c r="B456">
        <f>A456/Inputs!$B$6</f>
        <v>37.75</v>
      </c>
      <c r="C456">
        <f>IF(B456&lt;=INDEX(YieldCurve!$A$4:$A$63,1),1,IF(B456&gt;=INDEX(YieldCurve!$A$4:$A$63,ROWS(YieldCurve!$A$4:$A$63)),ROWS(YieldCurve!$A$4:$A$63)-1,MATCH(B456,YieldCurve!$A$4:$A$63,1)))</f>
        <v>59</v>
      </c>
      <c r="D456">
        <f>INDEX(YieldCurve!$A$4:$A$63,C456)</f>
        <v>29.5</v>
      </c>
      <c r="E456">
        <f>INDEX(YieldCurve!$A$4:$A$63,C456+1)</f>
        <v>30</v>
      </c>
      <c r="F456">
        <f>INDEX(YieldCurve!$B$4:$B$63,C456)</f>
        <v>4.9472420000000003E-2</v>
      </c>
      <c r="G456">
        <f>INDEX(YieldCurve!$B$4:$B$63,C456+1)</f>
        <v>4.9454709999999999E-2</v>
      </c>
      <c r="H456">
        <f t="shared" si="7"/>
        <v>16.5</v>
      </c>
      <c r="I456">
        <f>IF(B456&lt;=INDEX(YieldCurve!$A$4:$A$63,1),INDEX(YieldCurve!$B$4:$B$63,1),IF(B456&gt;=INDEX(YieldCurve!$A$4:$A$63,ROWS(YieldCurve!$A$4:$A$63)),INDEX(YieldCurve!$B$4:$B$63,ROWS(YieldCurve!$B$4:$B$63)),F456+H456*(G456-F456)))</f>
        <v>4.9454709999999999E-2</v>
      </c>
      <c r="J456">
        <f>EXP(-(I456+Inputs!$B$9)*B456)</f>
        <v>0.15459982071493883</v>
      </c>
    </row>
    <row r="457" spans="1:10" x14ac:dyDescent="0.35">
      <c r="A457">
        <v>454</v>
      </c>
      <c r="B457">
        <f>A457/Inputs!$B$6</f>
        <v>37.833333333333336</v>
      </c>
      <c r="C457">
        <f>IF(B457&lt;=INDEX(YieldCurve!$A$4:$A$63,1),1,IF(B457&gt;=INDEX(YieldCurve!$A$4:$A$63,ROWS(YieldCurve!$A$4:$A$63)),ROWS(YieldCurve!$A$4:$A$63)-1,MATCH(B457,YieldCurve!$A$4:$A$63,1)))</f>
        <v>59</v>
      </c>
      <c r="D457">
        <f>INDEX(YieldCurve!$A$4:$A$63,C457)</f>
        <v>29.5</v>
      </c>
      <c r="E457">
        <f>INDEX(YieldCurve!$A$4:$A$63,C457+1)</f>
        <v>30</v>
      </c>
      <c r="F457">
        <f>INDEX(YieldCurve!$B$4:$B$63,C457)</f>
        <v>4.9472420000000003E-2</v>
      </c>
      <c r="G457">
        <f>INDEX(YieldCurve!$B$4:$B$63,C457+1)</f>
        <v>4.9454709999999999E-2</v>
      </c>
      <c r="H457">
        <f t="shared" si="7"/>
        <v>16.666666666666671</v>
      </c>
      <c r="I457">
        <f>IF(B457&lt;=INDEX(YieldCurve!$A$4:$A$63,1),INDEX(YieldCurve!$B$4:$B$63,1),IF(B457&gt;=INDEX(YieldCurve!$A$4:$A$63,ROWS(YieldCurve!$A$4:$A$63)),INDEX(YieldCurve!$B$4:$B$63,ROWS(YieldCurve!$B$4:$B$63)),F457+H457*(G457-F457)))</f>
        <v>4.9454709999999999E-2</v>
      </c>
      <c r="J457">
        <f>EXP(-(I457+Inputs!$B$9)*B457)</f>
        <v>0.15396399103876054</v>
      </c>
    </row>
    <row r="458" spans="1:10" x14ac:dyDescent="0.35">
      <c r="A458">
        <v>455</v>
      </c>
      <c r="B458">
        <f>A458/Inputs!$B$6</f>
        <v>37.916666666666664</v>
      </c>
      <c r="C458">
        <f>IF(B458&lt;=INDEX(YieldCurve!$A$4:$A$63,1),1,IF(B458&gt;=INDEX(YieldCurve!$A$4:$A$63,ROWS(YieldCurve!$A$4:$A$63)),ROWS(YieldCurve!$A$4:$A$63)-1,MATCH(B458,YieldCurve!$A$4:$A$63,1)))</f>
        <v>59</v>
      </c>
      <c r="D458">
        <f>INDEX(YieldCurve!$A$4:$A$63,C458)</f>
        <v>29.5</v>
      </c>
      <c r="E458">
        <f>INDEX(YieldCurve!$A$4:$A$63,C458+1)</f>
        <v>30</v>
      </c>
      <c r="F458">
        <f>INDEX(YieldCurve!$B$4:$B$63,C458)</f>
        <v>4.9472420000000003E-2</v>
      </c>
      <c r="G458">
        <f>INDEX(YieldCurve!$B$4:$B$63,C458+1)</f>
        <v>4.9454709999999999E-2</v>
      </c>
      <c r="H458">
        <f t="shared" si="7"/>
        <v>16.833333333333329</v>
      </c>
      <c r="I458">
        <f>IF(B458&lt;=INDEX(YieldCurve!$A$4:$A$63,1),INDEX(YieldCurve!$B$4:$B$63,1),IF(B458&gt;=INDEX(YieldCurve!$A$4:$A$63,ROWS(YieldCurve!$A$4:$A$63)),INDEX(YieldCurve!$B$4:$B$63,ROWS(YieldCurve!$B$4:$B$63)),F458+H458*(G458-F458)))</f>
        <v>4.9454709999999999E-2</v>
      </c>
      <c r="J458">
        <f>EXP(-(I458+Inputs!$B$9)*B458)</f>
        <v>0.15333077636805412</v>
      </c>
    </row>
    <row r="459" spans="1:10" x14ac:dyDescent="0.35">
      <c r="A459">
        <v>456</v>
      </c>
      <c r="B459">
        <f>A459/Inputs!$B$6</f>
        <v>38</v>
      </c>
      <c r="C459">
        <f>IF(B459&lt;=INDEX(YieldCurve!$A$4:$A$63,1),1,IF(B459&gt;=INDEX(YieldCurve!$A$4:$A$63,ROWS(YieldCurve!$A$4:$A$63)),ROWS(YieldCurve!$A$4:$A$63)-1,MATCH(B459,YieldCurve!$A$4:$A$63,1)))</f>
        <v>59</v>
      </c>
      <c r="D459">
        <f>INDEX(YieldCurve!$A$4:$A$63,C459)</f>
        <v>29.5</v>
      </c>
      <c r="E459">
        <f>INDEX(YieldCurve!$A$4:$A$63,C459+1)</f>
        <v>30</v>
      </c>
      <c r="F459">
        <f>INDEX(YieldCurve!$B$4:$B$63,C459)</f>
        <v>4.9472420000000003E-2</v>
      </c>
      <c r="G459">
        <f>INDEX(YieldCurve!$B$4:$B$63,C459+1)</f>
        <v>4.9454709999999999E-2</v>
      </c>
      <c r="H459">
        <f t="shared" si="7"/>
        <v>17</v>
      </c>
      <c r="I459">
        <f>IF(B459&lt;=INDEX(YieldCurve!$A$4:$A$63,1),INDEX(YieldCurve!$B$4:$B$63,1),IF(B459&gt;=INDEX(YieldCurve!$A$4:$A$63,ROWS(YieldCurve!$A$4:$A$63)),INDEX(YieldCurve!$B$4:$B$63,ROWS(YieldCurve!$B$4:$B$63)),F459+H459*(G459-F459)))</f>
        <v>4.9454709999999999E-2</v>
      </c>
      <c r="J459">
        <f>EXP(-(I459+Inputs!$B$9)*B459)</f>
        <v>0.15270016594796809</v>
      </c>
    </row>
    <row r="460" spans="1:10" x14ac:dyDescent="0.35">
      <c r="A460">
        <v>457</v>
      </c>
      <c r="B460">
        <f>A460/Inputs!$B$6</f>
        <v>38.083333333333336</v>
      </c>
      <c r="C460">
        <f>IF(B460&lt;=INDEX(YieldCurve!$A$4:$A$63,1),1,IF(B460&gt;=INDEX(YieldCurve!$A$4:$A$63,ROWS(YieldCurve!$A$4:$A$63)),ROWS(YieldCurve!$A$4:$A$63)-1,MATCH(B460,YieldCurve!$A$4:$A$63,1)))</f>
        <v>59</v>
      </c>
      <c r="D460">
        <f>INDEX(YieldCurve!$A$4:$A$63,C460)</f>
        <v>29.5</v>
      </c>
      <c r="E460">
        <f>INDEX(YieldCurve!$A$4:$A$63,C460+1)</f>
        <v>30</v>
      </c>
      <c r="F460">
        <f>INDEX(YieldCurve!$B$4:$B$63,C460)</f>
        <v>4.9472420000000003E-2</v>
      </c>
      <c r="G460">
        <f>INDEX(YieldCurve!$B$4:$B$63,C460+1)</f>
        <v>4.9454709999999999E-2</v>
      </c>
      <c r="H460">
        <f t="shared" si="7"/>
        <v>17.166666666666671</v>
      </c>
      <c r="I460">
        <f>IF(B460&lt;=INDEX(YieldCurve!$A$4:$A$63,1),INDEX(YieldCurve!$B$4:$B$63,1),IF(B460&gt;=INDEX(YieldCurve!$A$4:$A$63,ROWS(YieldCurve!$A$4:$A$63)),INDEX(YieldCurve!$B$4:$B$63,ROWS(YieldCurve!$B$4:$B$63)),F460+H460*(G460-F460)))</f>
        <v>4.9454709999999999E-2</v>
      </c>
      <c r="J460">
        <f>EXP(-(I460+Inputs!$B$9)*B460)</f>
        <v>0.15207214906788327</v>
      </c>
    </row>
    <row r="461" spans="1:10" x14ac:dyDescent="0.35">
      <c r="A461">
        <v>458</v>
      </c>
      <c r="B461">
        <f>A461/Inputs!$B$6</f>
        <v>38.166666666666664</v>
      </c>
      <c r="C461">
        <f>IF(B461&lt;=INDEX(YieldCurve!$A$4:$A$63,1),1,IF(B461&gt;=INDEX(YieldCurve!$A$4:$A$63,ROWS(YieldCurve!$A$4:$A$63)),ROWS(YieldCurve!$A$4:$A$63)-1,MATCH(B461,YieldCurve!$A$4:$A$63,1)))</f>
        <v>59</v>
      </c>
      <c r="D461">
        <f>INDEX(YieldCurve!$A$4:$A$63,C461)</f>
        <v>29.5</v>
      </c>
      <c r="E461">
        <f>INDEX(YieldCurve!$A$4:$A$63,C461+1)</f>
        <v>30</v>
      </c>
      <c r="F461">
        <f>INDEX(YieldCurve!$B$4:$B$63,C461)</f>
        <v>4.9472420000000003E-2</v>
      </c>
      <c r="G461">
        <f>INDEX(YieldCurve!$B$4:$B$63,C461+1)</f>
        <v>4.9454709999999999E-2</v>
      </c>
      <c r="H461">
        <f t="shared" si="7"/>
        <v>17.333333333333329</v>
      </c>
      <c r="I461">
        <f>IF(B461&lt;=INDEX(YieldCurve!$A$4:$A$63,1),INDEX(YieldCurve!$B$4:$B$63,1),IF(B461&gt;=INDEX(YieldCurve!$A$4:$A$63,ROWS(YieldCurve!$A$4:$A$63)),INDEX(YieldCurve!$B$4:$B$63,ROWS(YieldCurve!$B$4:$B$63)),F461+H461*(G461-F461)))</f>
        <v>4.9454709999999999E-2</v>
      </c>
      <c r="J461">
        <f>EXP(-(I461+Inputs!$B$9)*B461)</f>
        <v>0.15144671506123042</v>
      </c>
    </row>
    <row r="462" spans="1:10" x14ac:dyDescent="0.35">
      <c r="A462">
        <v>459</v>
      </c>
      <c r="B462">
        <f>A462/Inputs!$B$6</f>
        <v>38.25</v>
      </c>
      <c r="C462">
        <f>IF(B462&lt;=INDEX(YieldCurve!$A$4:$A$63,1),1,IF(B462&gt;=INDEX(YieldCurve!$A$4:$A$63,ROWS(YieldCurve!$A$4:$A$63)),ROWS(YieldCurve!$A$4:$A$63)-1,MATCH(B462,YieldCurve!$A$4:$A$63,1)))</f>
        <v>59</v>
      </c>
      <c r="D462">
        <f>INDEX(YieldCurve!$A$4:$A$63,C462)</f>
        <v>29.5</v>
      </c>
      <c r="E462">
        <f>INDEX(YieldCurve!$A$4:$A$63,C462+1)</f>
        <v>30</v>
      </c>
      <c r="F462">
        <f>INDEX(YieldCurve!$B$4:$B$63,C462)</f>
        <v>4.9472420000000003E-2</v>
      </c>
      <c r="G462">
        <f>INDEX(YieldCurve!$B$4:$B$63,C462+1)</f>
        <v>4.9454709999999999E-2</v>
      </c>
      <c r="H462">
        <f t="shared" si="7"/>
        <v>17.5</v>
      </c>
      <c r="I462">
        <f>IF(B462&lt;=INDEX(YieldCurve!$A$4:$A$63,1),INDEX(YieldCurve!$B$4:$B$63,1),IF(B462&gt;=INDEX(YieldCurve!$A$4:$A$63,ROWS(YieldCurve!$A$4:$A$63)),INDEX(YieldCurve!$B$4:$B$63,ROWS(YieldCurve!$B$4:$B$63)),F462+H462*(G462-F462)))</f>
        <v>4.9454709999999999E-2</v>
      </c>
      <c r="J462">
        <f>EXP(-(I462+Inputs!$B$9)*B462)</f>
        <v>0.15082385330530895</v>
      </c>
    </row>
    <row r="463" spans="1:10" x14ac:dyDescent="0.35">
      <c r="A463">
        <v>460</v>
      </c>
      <c r="B463">
        <f>A463/Inputs!$B$6</f>
        <v>38.333333333333336</v>
      </c>
      <c r="C463">
        <f>IF(B463&lt;=INDEX(YieldCurve!$A$4:$A$63,1),1,IF(B463&gt;=INDEX(YieldCurve!$A$4:$A$63,ROWS(YieldCurve!$A$4:$A$63)),ROWS(YieldCurve!$A$4:$A$63)-1,MATCH(B463,YieldCurve!$A$4:$A$63,1)))</f>
        <v>59</v>
      </c>
      <c r="D463">
        <f>INDEX(YieldCurve!$A$4:$A$63,C463)</f>
        <v>29.5</v>
      </c>
      <c r="E463">
        <f>INDEX(YieldCurve!$A$4:$A$63,C463+1)</f>
        <v>30</v>
      </c>
      <c r="F463">
        <f>INDEX(YieldCurve!$B$4:$B$63,C463)</f>
        <v>4.9472420000000003E-2</v>
      </c>
      <c r="G463">
        <f>INDEX(YieldCurve!$B$4:$B$63,C463+1)</f>
        <v>4.9454709999999999E-2</v>
      </c>
      <c r="H463">
        <f t="shared" si="7"/>
        <v>17.666666666666671</v>
      </c>
      <c r="I463">
        <f>IF(B463&lt;=INDEX(YieldCurve!$A$4:$A$63,1),INDEX(YieldCurve!$B$4:$B$63,1),IF(B463&gt;=INDEX(YieldCurve!$A$4:$A$63,ROWS(YieldCurve!$A$4:$A$63)),INDEX(YieldCurve!$B$4:$B$63,ROWS(YieldCurve!$B$4:$B$63)),F463+H463*(G463-F463)))</f>
        <v>4.9454709999999999E-2</v>
      </c>
      <c r="J463">
        <f>EXP(-(I463+Inputs!$B$9)*B463)</f>
        <v>0.15020355322110704</v>
      </c>
    </row>
    <row r="464" spans="1:10" x14ac:dyDescent="0.35">
      <c r="A464">
        <v>461</v>
      </c>
      <c r="B464">
        <f>A464/Inputs!$B$6</f>
        <v>38.416666666666664</v>
      </c>
      <c r="C464">
        <f>IF(B464&lt;=INDEX(YieldCurve!$A$4:$A$63,1),1,IF(B464&gt;=INDEX(YieldCurve!$A$4:$A$63,ROWS(YieldCurve!$A$4:$A$63)),ROWS(YieldCurve!$A$4:$A$63)-1,MATCH(B464,YieldCurve!$A$4:$A$63,1)))</f>
        <v>59</v>
      </c>
      <c r="D464">
        <f>INDEX(YieldCurve!$A$4:$A$63,C464)</f>
        <v>29.5</v>
      </c>
      <c r="E464">
        <f>INDEX(YieldCurve!$A$4:$A$63,C464+1)</f>
        <v>30</v>
      </c>
      <c r="F464">
        <f>INDEX(YieldCurve!$B$4:$B$63,C464)</f>
        <v>4.9472420000000003E-2</v>
      </c>
      <c r="G464">
        <f>INDEX(YieldCurve!$B$4:$B$63,C464+1)</f>
        <v>4.9454709999999999E-2</v>
      </c>
      <c r="H464">
        <f t="shared" si="7"/>
        <v>17.833333333333329</v>
      </c>
      <c r="I464">
        <f>IF(B464&lt;=INDEX(YieldCurve!$A$4:$A$63,1),INDEX(YieldCurve!$B$4:$B$63,1),IF(B464&gt;=INDEX(YieldCurve!$A$4:$A$63,ROWS(YieldCurve!$A$4:$A$63)),INDEX(YieldCurve!$B$4:$B$63,ROWS(YieldCurve!$B$4:$B$63)),F464+H464*(G464-F464)))</f>
        <v>4.9454709999999999E-2</v>
      </c>
      <c r="J464">
        <f>EXP(-(I464+Inputs!$B$9)*B464)</f>
        <v>0.14958580427312157</v>
      </c>
    </row>
    <row r="465" spans="1:10" x14ac:dyDescent="0.35">
      <c r="A465">
        <v>462</v>
      </c>
      <c r="B465">
        <f>A465/Inputs!$B$6</f>
        <v>38.5</v>
      </c>
      <c r="C465">
        <f>IF(B465&lt;=INDEX(YieldCurve!$A$4:$A$63,1),1,IF(B465&gt;=INDEX(YieldCurve!$A$4:$A$63,ROWS(YieldCurve!$A$4:$A$63)),ROWS(YieldCurve!$A$4:$A$63)-1,MATCH(B465,YieldCurve!$A$4:$A$63,1)))</f>
        <v>59</v>
      </c>
      <c r="D465">
        <f>INDEX(YieldCurve!$A$4:$A$63,C465)</f>
        <v>29.5</v>
      </c>
      <c r="E465">
        <f>INDEX(YieldCurve!$A$4:$A$63,C465+1)</f>
        <v>30</v>
      </c>
      <c r="F465">
        <f>INDEX(YieldCurve!$B$4:$B$63,C465)</f>
        <v>4.9472420000000003E-2</v>
      </c>
      <c r="G465">
        <f>INDEX(YieldCurve!$B$4:$B$63,C465+1)</f>
        <v>4.9454709999999999E-2</v>
      </c>
      <c r="H465">
        <f t="shared" si="7"/>
        <v>18</v>
      </c>
      <c r="I465">
        <f>IF(B465&lt;=INDEX(YieldCurve!$A$4:$A$63,1),INDEX(YieldCurve!$B$4:$B$63,1),IF(B465&gt;=INDEX(YieldCurve!$A$4:$A$63,ROWS(YieldCurve!$A$4:$A$63)),INDEX(YieldCurve!$B$4:$B$63,ROWS(YieldCurve!$B$4:$B$63)),F465+H465*(G465-F465)))</f>
        <v>4.9454709999999999E-2</v>
      </c>
      <c r="J465">
        <f>EXP(-(I465+Inputs!$B$9)*B465)</f>
        <v>0.14897059596917908</v>
      </c>
    </row>
    <row r="466" spans="1:10" x14ac:dyDescent="0.35">
      <c r="A466">
        <v>463</v>
      </c>
      <c r="B466">
        <f>A466/Inputs!$B$6</f>
        <v>38.583333333333336</v>
      </c>
      <c r="C466">
        <f>IF(B466&lt;=INDEX(YieldCurve!$A$4:$A$63,1),1,IF(B466&gt;=INDEX(YieldCurve!$A$4:$A$63,ROWS(YieldCurve!$A$4:$A$63)),ROWS(YieldCurve!$A$4:$A$63)-1,MATCH(B466,YieldCurve!$A$4:$A$63,1)))</f>
        <v>59</v>
      </c>
      <c r="D466">
        <f>INDEX(YieldCurve!$A$4:$A$63,C466)</f>
        <v>29.5</v>
      </c>
      <c r="E466">
        <f>INDEX(YieldCurve!$A$4:$A$63,C466+1)</f>
        <v>30</v>
      </c>
      <c r="F466">
        <f>INDEX(YieldCurve!$B$4:$B$63,C466)</f>
        <v>4.9472420000000003E-2</v>
      </c>
      <c r="G466">
        <f>INDEX(YieldCurve!$B$4:$B$63,C466+1)</f>
        <v>4.9454709999999999E-2</v>
      </c>
      <c r="H466">
        <f t="shared" si="7"/>
        <v>18.166666666666671</v>
      </c>
      <c r="I466">
        <f>IF(B466&lt;=INDEX(YieldCurve!$A$4:$A$63,1),INDEX(YieldCurve!$B$4:$B$63,1),IF(B466&gt;=INDEX(YieldCurve!$A$4:$A$63,ROWS(YieldCurve!$A$4:$A$63)),INDEX(YieldCurve!$B$4:$B$63,ROWS(YieldCurve!$B$4:$B$63)),F466+H466*(G466-F466)))</f>
        <v>4.9454709999999999E-2</v>
      </c>
      <c r="J466">
        <f>EXP(-(I466+Inputs!$B$9)*B466)</f>
        <v>0.14835791786025798</v>
      </c>
    </row>
    <row r="467" spans="1:10" x14ac:dyDescent="0.35">
      <c r="A467">
        <v>464</v>
      </c>
      <c r="B467">
        <f>A467/Inputs!$B$6</f>
        <v>38.666666666666664</v>
      </c>
      <c r="C467">
        <f>IF(B467&lt;=INDEX(YieldCurve!$A$4:$A$63,1),1,IF(B467&gt;=INDEX(YieldCurve!$A$4:$A$63,ROWS(YieldCurve!$A$4:$A$63)),ROWS(YieldCurve!$A$4:$A$63)-1,MATCH(B467,YieldCurve!$A$4:$A$63,1)))</f>
        <v>59</v>
      </c>
      <c r="D467">
        <f>INDEX(YieldCurve!$A$4:$A$63,C467)</f>
        <v>29.5</v>
      </c>
      <c r="E467">
        <f>INDEX(YieldCurve!$A$4:$A$63,C467+1)</f>
        <v>30</v>
      </c>
      <c r="F467">
        <f>INDEX(YieldCurve!$B$4:$B$63,C467)</f>
        <v>4.9472420000000003E-2</v>
      </c>
      <c r="G467">
        <f>INDEX(YieldCurve!$B$4:$B$63,C467+1)</f>
        <v>4.9454709999999999E-2</v>
      </c>
      <c r="H467">
        <f t="shared" si="7"/>
        <v>18.333333333333329</v>
      </c>
      <c r="I467">
        <f>IF(B467&lt;=INDEX(YieldCurve!$A$4:$A$63,1),INDEX(YieldCurve!$B$4:$B$63,1),IF(B467&gt;=INDEX(YieldCurve!$A$4:$A$63,ROWS(YieldCurve!$A$4:$A$63)),INDEX(YieldCurve!$B$4:$B$63,ROWS(YieldCurve!$B$4:$B$63)),F467+H467*(G467-F467)))</f>
        <v>4.9454709999999999E-2</v>
      </c>
      <c r="J467">
        <f>EXP(-(I467+Inputs!$B$9)*B467)</f>
        <v>0.1477477595403108</v>
      </c>
    </row>
    <row r="468" spans="1:10" x14ac:dyDescent="0.35">
      <c r="A468">
        <v>465</v>
      </c>
      <c r="B468">
        <f>A468/Inputs!$B$6</f>
        <v>38.75</v>
      </c>
      <c r="C468">
        <f>IF(B468&lt;=INDEX(YieldCurve!$A$4:$A$63,1),1,IF(B468&gt;=INDEX(YieldCurve!$A$4:$A$63,ROWS(YieldCurve!$A$4:$A$63)),ROWS(YieldCurve!$A$4:$A$63)-1,MATCH(B468,YieldCurve!$A$4:$A$63,1)))</f>
        <v>59</v>
      </c>
      <c r="D468">
        <f>INDEX(YieldCurve!$A$4:$A$63,C468)</f>
        <v>29.5</v>
      </c>
      <c r="E468">
        <f>INDEX(YieldCurve!$A$4:$A$63,C468+1)</f>
        <v>30</v>
      </c>
      <c r="F468">
        <f>INDEX(YieldCurve!$B$4:$B$63,C468)</f>
        <v>4.9472420000000003E-2</v>
      </c>
      <c r="G468">
        <f>INDEX(YieldCurve!$B$4:$B$63,C468+1)</f>
        <v>4.9454709999999999E-2</v>
      </c>
      <c r="H468">
        <f t="shared" si="7"/>
        <v>18.5</v>
      </c>
      <c r="I468">
        <f>IF(B468&lt;=INDEX(YieldCurve!$A$4:$A$63,1),INDEX(YieldCurve!$B$4:$B$63,1),IF(B468&gt;=INDEX(YieldCurve!$A$4:$A$63,ROWS(YieldCurve!$A$4:$A$63)),INDEX(YieldCurve!$B$4:$B$63,ROWS(YieldCurve!$B$4:$B$63)),F468+H468*(G468-F468)))</f>
        <v>4.9454709999999999E-2</v>
      </c>
      <c r="J468">
        <f>EXP(-(I468+Inputs!$B$9)*B468)</f>
        <v>0.14714011064608726</v>
      </c>
    </row>
    <row r="469" spans="1:10" x14ac:dyDescent="0.35">
      <c r="A469">
        <v>466</v>
      </c>
      <c r="B469">
        <f>A469/Inputs!$B$6</f>
        <v>38.833333333333336</v>
      </c>
      <c r="C469">
        <f>IF(B469&lt;=INDEX(YieldCurve!$A$4:$A$63,1),1,IF(B469&gt;=INDEX(YieldCurve!$A$4:$A$63,ROWS(YieldCurve!$A$4:$A$63)),ROWS(YieldCurve!$A$4:$A$63)-1,MATCH(B469,YieldCurve!$A$4:$A$63,1)))</f>
        <v>59</v>
      </c>
      <c r="D469">
        <f>INDEX(YieldCurve!$A$4:$A$63,C469)</f>
        <v>29.5</v>
      </c>
      <c r="E469">
        <f>INDEX(YieldCurve!$A$4:$A$63,C469+1)</f>
        <v>30</v>
      </c>
      <c r="F469">
        <f>INDEX(YieldCurve!$B$4:$B$63,C469)</f>
        <v>4.9472420000000003E-2</v>
      </c>
      <c r="G469">
        <f>INDEX(YieldCurve!$B$4:$B$63,C469+1)</f>
        <v>4.9454709999999999E-2</v>
      </c>
      <c r="H469">
        <f t="shared" si="7"/>
        <v>18.666666666666671</v>
      </c>
      <c r="I469">
        <f>IF(B469&lt;=INDEX(YieldCurve!$A$4:$A$63,1),INDEX(YieldCurve!$B$4:$B$63,1),IF(B469&gt;=INDEX(YieldCurve!$A$4:$A$63,ROWS(YieldCurve!$A$4:$A$63)),INDEX(YieldCurve!$B$4:$B$63,ROWS(YieldCurve!$B$4:$B$63)),F469+H469*(G469-F469)))</f>
        <v>4.9454709999999999E-2</v>
      </c>
      <c r="J469">
        <f>EXP(-(I469+Inputs!$B$9)*B469)</f>
        <v>0.14653496085695883</v>
      </c>
    </row>
    <row r="470" spans="1:10" x14ac:dyDescent="0.35">
      <c r="A470">
        <v>467</v>
      </c>
      <c r="B470">
        <f>A470/Inputs!$B$6</f>
        <v>38.916666666666664</v>
      </c>
      <c r="C470">
        <f>IF(B470&lt;=INDEX(YieldCurve!$A$4:$A$63,1),1,IF(B470&gt;=INDEX(YieldCurve!$A$4:$A$63,ROWS(YieldCurve!$A$4:$A$63)),ROWS(YieldCurve!$A$4:$A$63)-1,MATCH(B470,YieldCurve!$A$4:$A$63,1)))</f>
        <v>59</v>
      </c>
      <c r="D470">
        <f>INDEX(YieldCurve!$A$4:$A$63,C470)</f>
        <v>29.5</v>
      </c>
      <c r="E470">
        <f>INDEX(YieldCurve!$A$4:$A$63,C470+1)</f>
        <v>30</v>
      </c>
      <c r="F470">
        <f>INDEX(YieldCurve!$B$4:$B$63,C470)</f>
        <v>4.9472420000000003E-2</v>
      </c>
      <c r="G470">
        <f>INDEX(YieldCurve!$B$4:$B$63,C470+1)</f>
        <v>4.9454709999999999E-2</v>
      </c>
      <c r="H470">
        <f t="shared" si="7"/>
        <v>18.833333333333329</v>
      </c>
      <c r="I470">
        <f>IF(B470&lt;=INDEX(YieldCurve!$A$4:$A$63,1),INDEX(YieldCurve!$B$4:$B$63,1),IF(B470&gt;=INDEX(YieldCurve!$A$4:$A$63,ROWS(YieldCurve!$A$4:$A$63)),INDEX(YieldCurve!$B$4:$B$63,ROWS(YieldCurve!$B$4:$B$63)),F470+H470*(G470-F470)))</f>
        <v>4.9454709999999999E-2</v>
      </c>
      <c r="J470">
        <f>EXP(-(I470+Inputs!$B$9)*B470)</f>
        <v>0.14593229989474293</v>
      </c>
    </row>
    <row r="471" spans="1:10" x14ac:dyDescent="0.35">
      <c r="A471">
        <v>468</v>
      </c>
      <c r="B471">
        <f>A471/Inputs!$B$6</f>
        <v>39</v>
      </c>
      <c r="C471">
        <f>IF(B471&lt;=INDEX(YieldCurve!$A$4:$A$63,1),1,IF(B471&gt;=INDEX(YieldCurve!$A$4:$A$63,ROWS(YieldCurve!$A$4:$A$63)),ROWS(YieldCurve!$A$4:$A$63)-1,MATCH(B471,YieldCurve!$A$4:$A$63,1)))</f>
        <v>59</v>
      </c>
      <c r="D471">
        <f>INDEX(YieldCurve!$A$4:$A$63,C471)</f>
        <v>29.5</v>
      </c>
      <c r="E471">
        <f>INDEX(YieldCurve!$A$4:$A$63,C471+1)</f>
        <v>30</v>
      </c>
      <c r="F471">
        <f>INDEX(YieldCurve!$B$4:$B$63,C471)</f>
        <v>4.9472420000000003E-2</v>
      </c>
      <c r="G471">
        <f>INDEX(YieldCurve!$B$4:$B$63,C471+1)</f>
        <v>4.9454709999999999E-2</v>
      </c>
      <c r="H471">
        <f t="shared" si="7"/>
        <v>19</v>
      </c>
      <c r="I471">
        <f>IF(B471&lt;=INDEX(YieldCurve!$A$4:$A$63,1),INDEX(YieldCurve!$B$4:$B$63,1),IF(B471&gt;=INDEX(YieldCurve!$A$4:$A$63,ROWS(YieldCurve!$A$4:$A$63)),INDEX(YieldCurve!$B$4:$B$63,ROWS(YieldCurve!$B$4:$B$63)),F471+H471*(G471-F471)))</f>
        <v>4.9454709999999999E-2</v>
      </c>
      <c r="J471">
        <f>EXP(-(I471+Inputs!$B$9)*B471)</f>
        <v>0.14533211752352843</v>
      </c>
    </row>
    <row r="472" spans="1:10" x14ac:dyDescent="0.35">
      <c r="A472">
        <v>469</v>
      </c>
      <c r="B472">
        <f>A472/Inputs!$B$6</f>
        <v>39.083333333333336</v>
      </c>
      <c r="C472">
        <f>IF(B472&lt;=INDEX(YieldCurve!$A$4:$A$63,1),1,IF(B472&gt;=INDEX(YieldCurve!$A$4:$A$63,ROWS(YieldCurve!$A$4:$A$63)),ROWS(YieldCurve!$A$4:$A$63)-1,MATCH(B472,YieldCurve!$A$4:$A$63,1)))</f>
        <v>59</v>
      </c>
      <c r="D472">
        <f>INDEX(YieldCurve!$A$4:$A$63,C472)</f>
        <v>29.5</v>
      </c>
      <c r="E472">
        <f>INDEX(YieldCurve!$A$4:$A$63,C472+1)</f>
        <v>30</v>
      </c>
      <c r="F472">
        <f>INDEX(YieldCurve!$B$4:$B$63,C472)</f>
        <v>4.9472420000000003E-2</v>
      </c>
      <c r="G472">
        <f>INDEX(YieldCurve!$B$4:$B$63,C472+1)</f>
        <v>4.9454709999999999E-2</v>
      </c>
      <c r="H472">
        <f t="shared" si="7"/>
        <v>19.166666666666671</v>
      </c>
      <c r="I472">
        <f>IF(B472&lt;=INDEX(YieldCurve!$A$4:$A$63,1),INDEX(YieldCurve!$B$4:$B$63,1),IF(B472&gt;=INDEX(YieldCurve!$A$4:$A$63,ROWS(YieldCurve!$A$4:$A$63)),INDEX(YieldCurve!$B$4:$B$63,ROWS(YieldCurve!$B$4:$B$63)),F472+H472*(G472-F472)))</f>
        <v>4.9454709999999999E-2</v>
      </c>
      <c r="J472">
        <f>EXP(-(I472+Inputs!$B$9)*B472)</f>
        <v>0.14473440354950207</v>
      </c>
    </row>
    <row r="473" spans="1:10" x14ac:dyDescent="0.35">
      <c r="A473">
        <v>470</v>
      </c>
      <c r="B473">
        <f>A473/Inputs!$B$6</f>
        <v>39.166666666666664</v>
      </c>
      <c r="C473">
        <f>IF(B473&lt;=INDEX(YieldCurve!$A$4:$A$63,1),1,IF(B473&gt;=INDEX(YieldCurve!$A$4:$A$63,ROWS(YieldCurve!$A$4:$A$63)),ROWS(YieldCurve!$A$4:$A$63)-1,MATCH(B473,YieldCurve!$A$4:$A$63,1)))</f>
        <v>59</v>
      </c>
      <c r="D473">
        <f>INDEX(YieldCurve!$A$4:$A$63,C473)</f>
        <v>29.5</v>
      </c>
      <c r="E473">
        <f>INDEX(YieldCurve!$A$4:$A$63,C473+1)</f>
        <v>30</v>
      </c>
      <c r="F473">
        <f>INDEX(YieldCurve!$B$4:$B$63,C473)</f>
        <v>4.9472420000000003E-2</v>
      </c>
      <c r="G473">
        <f>INDEX(YieldCurve!$B$4:$B$63,C473+1)</f>
        <v>4.9454709999999999E-2</v>
      </c>
      <c r="H473">
        <f t="shared" si="7"/>
        <v>19.333333333333329</v>
      </c>
      <c r="I473">
        <f>IF(B473&lt;=INDEX(YieldCurve!$A$4:$A$63,1),INDEX(YieldCurve!$B$4:$B$63,1),IF(B473&gt;=INDEX(YieldCurve!$A$4:$A$63,ROWS(YieldCurve!$A$4:$A$63)),INDEX(YieldCurve!$B$4:$B$63,ROWS(YieldCurve!$B$4:$B$63)),F473+H473*(G473-F473)))</f>
        <v>4.9454709999999999E-2</v>
      </c>
      <c r="J473">
        <f>EXP(-(I473+Inputs!$B$9)*B473)</f>
        <v>0.14413914782077511</v>
      </c>
    </row>
    <row r="474" spans="1:10" x14ac:dyDescent="0.35">
      <c r="A474">
        <v>471</v>
      </c>
      <c r="B474">
        <f>A474/Inputs!$B$6</f>
        <v>39.25</v>
      </c>
      <c r="C474">
        <f>IF(B474&lt;=INDEX(YieldCurve!$A$4:$A$63,1),1,IF(B474&gt;=INDEX(YieldCurve!$A$4:$A$63,ROWS(YieldCurve!$A$4:$A$63)),ROWS(YieldCurve!$A$4:$A$63)-1,MATCH(B474,YieldCurve!$A$4:$A$63,1)))</f>
        <v>59</v>
      </c>
      <c r="D474">
        <f>INDEX(YieldCurve!$A$4:$A$63,C474)</f>
        <v>29.5</v>
      </c>
      <c r="E474">
        <f>INDEX(YieldCurve!$A$4:$A$63,C474+1)</f>
        <v>30</v>
      </c>
      <c r="F474">
        <f>INDEX(YieldCurve!$B$4:$B$63,C474)</f>
        <v>4.9472420000000003E-2</v>
      </c>
      <c r="G474">
        <f>INDEX(YieldCurve!$B$4:$B$63,C474+1)</f>
        <v>4.9454709999999999E-2</v>
      </c>
      <c r="H474">
        <f t="shared" si="7"/>
        <v>19.5</v>
      </c>
      <c r="I474">
        <f>IF(B474&lt;=INDEX(YieldCurve!$A$4:$A$63,1),INDEX(YieldCurve!$B$4:$B$63,1),IF(B474&gt;=INDEX(YieldCurve!$A$4:$A$63,ROWS(YieldCurve!$A$4:$A$63)),INDEX(YieldCurve!$B$4:$B$63,ROWS(YieldCurve!$B$4:$B$63)),F474+H474*(G474-F474)))</f>
        <v>4.9454709999999999E-2</v>
      </c>
      <c r="J474">
        <f>EXP(-(I474+Inputs!$B$9)*B474)</f>
        <v>0.14354634022721074</v>
      </c>
    </row>
    <row r="475" spans="1:10" x14ac:dyDescent="0.35">
      <c r="A475">
        <v>472</v>
      </c>
      <c r="B475">
        <f>A475/Inputs!$B$6</f>
        <v>39.333333333333336</v>
      </c>
      <c r="C475">
        <f>IF(B475&lt;=INDEX(YieldCurve!$A$4:$A$63,1),1,IF(B475&gt;=INDEX(YieldCurve!$A$4:$A$63,ROWS(YieldCurve!$A$4:$A$63)),ROWS(YieldCurve!$A$4:$A$63)-1,MATCH(B475,YieldCurve!$A$4:$A$63,1)))</f>
        <v>59</v>
      </c>
      <c r="D475">
        <f>INDEX(YieldCurve!$A$4:$A$63,C475)</f>
        <v>29.5</v>
      </c>
      <c r="E475">
        <f>INDEX(YieldCurve!$A$4:$A$63,C475+1)</f>
        <v>30</v>
      </c>
      <c r="F475">
        <f>INDEX(YieldCurve!$B$4:$B$63,C475)</f>
        <v>4.9472420000000003E-2</v>
      </c>
      <c r="G475">
        <f>INDEX(YieldCurve!$B$4:$B$63,C475+1)</f>
        <v>4.9454709999999999E-2</v>
      </c>
      <c r="H475">
        <f t="shared" si="7"/>
        <v>19.666666666666671</v>
      </c>
      <c r="I475">
        <f>IF(B475&lt;=INDEX(YieldCurve!$A$4:$A$63,1),INDEX(YieldCurve!$B$4:$B$63,1),IF(B475&gt;=INDEX(YieldCurve!$A$4:$A$63,ROWS(YieldCurve!$A$4:$A$63)),INDEX(YieldCurve!$B$4:$B$63,ROWS(YieldCurve!$B$4:$B$63)),F475+H475*(G475-F475)))</f>
        <v>4.9454709999999999E-2</v>
      </c>
      <c r="J475">
        <f>EXP(-(I475+Inputs!$B$9)*B475)</f>
        <v>0.1429559707002529</v>
      </c>
    </row>
    <row r="476" spans="1:10" x14ac:dyDescent="0.35">
      <c r="A476">
        <v>473</v>
      </c>
      <c r="B476">
        <f>A476/Inputs!$B$6</f>
        <v>39.416666666666664</v>
      </c>
      <c r="C476">
        <f>IF(B476&lt;=INDEX(YieldCurve!$A$4:$A$63,1),1,IF(B476&gt;=INDEX(YieldCurve!$A$4:$A$63,ROWS(YieldCurve!$A$4:$A$63)),ROWS(YieldCurve!$A$4:$A$63)-1,MATCH(B476,YieldCurve!$A$4:$A$63,1)))</f>
        <v>59</v>
      </c>
      <c r="D476">
        <f>INDEX(YieldCurve!$A$4:$A$63,C476)</f>
        <v>29.5</v>
      </c>
      <c r="E476">
        <f>INDEX(YieldCurve!$A$4:$A$63,C476+1)</f>
        <v>30</v>
      </c>
      <c r="F476">
        <f>INDEX(YieldCurve!$B$4:$B$63,C476)</f>
        <v>4.9472420000000003E-2</v>
      </c>
      <c r="G476">
        <f>INDEX(YieldCurve!$B$4:$B$63,C476+1)</f>
        <v>4.9454709999999999E-2</v>
      </c>
      <c r="H476">
        <f t="shared" si="7"/>
        <v>19.833333333333329</v>
      </c>
      <c r="I476">
        <f>IF(B476&lt;=INDEX(YieldCurve!$A$4:$A$63,1),INDEX(YieldCurve!$B$4:$B$63,1),IF(B476&gt;=INDEX(YieldCurve!$A$4:$A$63,ROWS(YieldCurve!$A$4:$A$63)),INDEX(YieldCurve!$B$4:$B$63,ROWS(YieldCurve!$B$4:$B$63)),F476+H476*(G476-F476)))</f>
        <v>4.9454709999999999E-2</v>
      </c>
      <c r="J476">
        <f>EXP(-(I476+Inputs!$B$9)*B476)</f>
        <v>0.14236802921275479</v>
      </c>
    </row>
    <row r="477" spans="1:10" x14ac:dyDescent="0.35">
      <c r="A477">
        <v>474</v>
      </c>
      <c r="B477">
        <f>A477/Inputs!$B$6</f>
        <v>39.5</v>
      </c>
      <c r="C477">
        <f>IF(B477&lt;=INDEX(YieldCurve!$A$4:$A$63,1),1,IF(B477&gt;=INDEX(YieldCurve!$A$4:$A$63,ROWS(YieldCurve!$A$4:$A$63)),ROWS(YieldCurve!$A$4:$A$63)-1,MATCH(B477,YieldCurve!$A$4:$A$63,1)))</f>
        <v>59</v>
      </c>
      <c r="D477">
        <f>INDEX(YieldCurve!$A$4:$A$63,C477)</f>
        <v>29.5</v>
      </c>
      <c r="E477">
        <f>INDEX(YieldCurve!$A$4:$A$63,C477+1)</f>
        <v>30</v>
      </c>
      <c r="F477">
        <f>INDEX(YieldCurve!$B$4:$B$63,C477)</f>
        <v>4.9472420000000003E-2</v>
      </c>
      <c r="G477">
        <f>INDEX(YieldCurve!$B$4:$B$63,C477+1)</f>
        <v>4.9454709999999999E-2</v>
      </c>
      <c r="H477">
        <f t="shared" si="7"/>
        <v>20</v>
      </c>
      <c r="I477">
        <f>IF(B477&lt;=INDEX(YieldCurve!$A$4:$A$63,1),INDEX(YieldCurve!$B$4:$B$63,1),IF(B477&gt;=INDEX(YieldCurve!$A$4:$A$63,ROWS(YieldCurve!$A$4:$A$63)),INDEX(YieldCurve!$B$4:$B$63,ROWS(YieldCurve!$B$4:$B$63)),F477+H477*(G477-F477)))</f>
        <v>4.9454709999999999E-2</v>
      </c>
      <c r="J477">
        <f>EXP(-(I477+Inputs!$B$9)*B477)</f>
        <v>0.14178250577880849</v>
      </c>
    </row>
    <row r="478" spans="1:10" x14ac:dyDescent="0.35">
      <c r="A478">
        <v>475</v>
      </c>
      <c r="B478">
        <f>A478/Inputs!$B$6</f>
        <v>39.583333333333336</v>
      </c>
      <c r="C478">
        <f>IF(B478&lt;=INDEX(YieldCurve!$A$4:$A$63,1),1,IF(B478&gt;=INDEX(YieldCurve!$A$4:$A$63,ROWS(YieldCurve!$A$4:$A$63)),ROWS(YieldCurve!$A$4:$A$63)-1,MATCH(B478,YieldCurve!$A$4:$A$63,1)))</f>
        <v>59</v>
      </c>
      <c r="D478">
        <f>INDEX(YieldCurve!$A$4:$A$63,C478)</f>
        <v>29.5</v>
      </c>
      <c r="E478">
        <f>INDEX(YieldCurve!$A$4:$A$63,C478+1)</f>
        <v>30</v>
      </c>
      <c r="F478">
        <f>INDEX(YieldCurve!$B$4:$B$63,C478)</f>
        <v>4.9472420000000003E-2</v>
      </c>
      <c r="G478">
        <f>INDEX(YieldCurve!$B$4:$B$63,C478+1)</f>
        <v>4.9454709999999999E-2</v>
      </c>
      <c r="H478">
        <f t="shared" si="7"/>
        <v>20.166666666666671</v>
      </c>
      <c r="I478">
        <f>IF(B478&lt;=INDEX(YieldCurve!$A$4:$A$63,1),INDEX(YieldCurve!$B$4:$B$63,1),IF(B478&gt;=INDEX(YieldCurve!$A$4:$A$63,ROWS(YieldCurve!$A$4:$A$63)),INDEX(YieldCurve!$B$4:$B$63,ROWS(YieldCurve!$B$4:$B$63)),F478+H478*(G478-F478)))</f>
        <v>4.9454709999999999E-2</v>
      </c>
      <c r="J478">
        <f>EXP(-(I478+Inputs!$B$9)*B478)</f>
        <v>0.14119939045357593</v>
      </c>
    </row>
    <row r="479" spans="1:10" x14ac:dyDescent="0.35">
      <c r="A479">
        <v>476</v>
      </c>
      <c r="B479">
        <f>A479/Inputs!$B$6</f>
        <v>39.666666666666664</v>
      </c>
      <c r="C479">
        <f>IF(B479&lt;=INDEX(YieldCurve!$A$4:$A$63,1),1,IF(B479&gt;=INDEX(YieldCurve!$A$4:$A$63,ROWS(YieldCurve!$A$4:$A$63)),ROWS(YieldCurve!$A$4:$A$63)-1,MATCH(B479,YieldCurve!$A$4:$A$63,1)))</f>
        <v>59</v>
      </c>
      <c r="D479">
        <f>INDEX(YieldCurve!$A$4:$A$63,C479)</f>
        <v>29.5</v>
      </c>
      <c r="E479">
        <f>INDEX(YieldCurve!$A$4:$A$63,C479+1)</f>
        <v>30</v>
      </c>
      <c r="F479">
        <f>INDEX(YieldCurve!$B$4:$B$63,C479)</f>
        <v>4.9472420000000003E-2</v>
      </c>
      <c r="G479">
        <f>INDEX(YieldCurve!$B$4:$B$63,C479+1)</f>
        <v>4.9454709999999999E-2</v>
      </c>
      <c r="H479">
        <f t="shared" si="7"/>
        <v>20.333333333333329</v>
      </c>
      <c r="I479">
        <f>IF(B479&lt;=INDEX(YieldCurve!$A$4:$A$63,1),INDEX(YieldCurve!$B$4:$B$63,1),IF(B479&gt;=INDEX(YieldCurve!$A$4:$A$63,ROWS(YieldCurve!$A$4:$A$63)),INDEX(YieldCurve!$B$4:$B$63,ROWS(YieldCurve!$B$4:$B$63)),F479+H479*(G479-F479)))</f>
        <v>4.9454709999999999E-2</v>
      </c>
      <c r="J479">
        <f>EXP(-(I479+Inputs!$B$9)*B479)</f>
        <v>0.1406186733331195</v>
      </c>
    </row>
    <row r="480" spans="1:10" x14ac:dyDescent="0.35">
      <c r="A480">
        <v>477</v>
      </c>
      <c r="B480">
        <f>A480/Inputs!$B$6</f>
        <v>39.75</v>
      </c>
      <c r="C480">
        <f>IF(B480&lt;=INDEX(YieldCurve!$A$4:$A$63,1),1,IF(B480&gt;=INDEX(YieldCurve!$A$4:$A$63,ROWS(YieldCurve!$A$4:$A$63)),ROWS(YieldCurve!$A$4:$A$63)-1,MATCH(B480,YieldCurve!$A$4:$A$63,1)))</f>
        <v>59</v>
      </c>
      <c r="D480">
        <f>INDEX(YieldCurve!$A$4:$A$63,C480)</f>
        <v>29.5</v>
      </c>
      <c r="E480">
        <f>INDEX(YieldCurve!$A$4:$A$63,C480+1)</f>
        <v>30</v>
      </c>
      <c r="F480">
        <f>INDEX(YieldCurve!$B$4:$B$63,C480)</f>
        <v>4.9472420000000003E-2</v>
      </c>
      <c r="G480">
        <f>INDEX(YieldCurve!$B$4:$B$63,C480+1)</f>
        <v>4.9454709999999999E-2</v>
      </c>
      <c r="H480">
        <f t="shared" si="7"/>
        <v>20.5</v>
      </c>
      <c r="I480">
        <f>IF(B480&lt;=INDEX(YieldCurve!$A$4:$A$63,1),INDEX(YieldCurve!$B$4:$B$63,1),IF(B480&gt;=INDEX(YieldCurve!$A$4:$A$63,ROWS(YieldCurve!$A$4:$A$63)),INDEX(YieldCurve!$B$4:$B$63,ROWS(YieldCurve!$B$4:$B$63)),F480+H480*(G480-F480)))</f>
        <v>4.9454709999999999E-2</v>
      </c>
      <c r="J480">
        <f>EXP(-(I480+Inputs!$B$9)*B480)</f>
        <v>0.14004034455423378</v>
      </c>
    </row>
    <row r="481" spans="1:10" x14ac:dyDescent="0.35">
      <c r="A481">
        <v>478</v>
      </c>
      <c r="B481">
        <f>A481/Inputs!$B$6</f>
        <v>39.833333333333336</v>
      </c>
      <c r="C481">
        <f>IF(B481&lt;=INDEX(YieldCurve!$A$4:$A$63,1),1,IF(B481&gt;=INDEX(YieldCurve!$A$4:$A$63,ROWS(YieldCurve!$A$4:$A$63)),ROWS(YieldCurve!$A$4:$A$63)-1,MATCH(B481,YieldCurve!$A$4:$A$63,1)))</f>
        <v>59</v>
      </c>
      <c r="D481">
        <f>INDEX(YieldCurve!$A$4:$A$63,C481)</f>
        <v>29.5</v>
      </c>
      <c r="E481">
        <f>INDEX(YieldCurve!$A$4:$A$63,C481+1)</f>
        <v>30</v>
      </c>
      <c r="F481">
        <f>INDEX(YieldCurve!$B$4:$B$63,C481)</f>
        <v>4.9472420000000003E-2</v>
      </c>
      <c r="G481">
        <f>INDEX(YieldCurve!$B$4:$B$63,C481+1)</f>
        <v>4.9454709999999999E-2</v>
      </c>
      <c r="H481">
        <f t="shared" si="7"/>
        <v>20.666666666666671</v>
      </c>
      <c r="I481">
        <f>IF(B481&lt;=INDEX(YieldCurve!$A$4:$A$63,1),INDEX(YieldCurve!$B$4:$B$63,1),IF(B481&gt;=INDEX(YieldCurve!$A$4:$A$63,ROWS(YieldCurve!$A$4:$A$63)),INDEX(YieldCurve!$B$4:$B$63,ROWS(YieldCurve!$B$4:$B$63)),F481+H481*(G481-F481)))</f>
        <v>4.9454709999999999E-2</v>
      </c>
      <c r="J481">
        <f>EXP(-(I481+Inputs!$B$9)*B481)</f>
        <v>0.13946439429427848</v>
      </c>
    </row>
    <row r="482" spans="1:10" x14ac:dyDescent="0.35">
      <c r="A482">
        <v>479</v>
      </c>
      <c r="B482">
        <f>A482/Inputs!$B$6</f>
        <v>39.916666666666664</v>
      </c>
      <c r="C482">
        <f>IF(B482&lt;=INDEX(YieldCurve!$A$4:$A$63,1),1,IF(B482&gt;=INDEX(YieldCurve!$A$4:$A$63,ROWS(YieldCurve!$A$4:$A$63)),ROWS(YieldCurve!$A$4:$A$63)-1,MATCH(B482,YieldCurve!$A$4:$A$63,1)))</f>
        <v>59</v>
      </c>
      <c r="D482">
        <f>INDEX(YieldCurve!$A$4:$A$63,C482)</f>
        <v>29.5</v>
      </c>
      <c r="E482">
        <f>INDEX(YieldCurve!$A$4:$A$63,C482+1)</f>
        <v>30</v>
      </c>
      <c r="F482">
        <f>INDEX(YieldCurve!$B$4:$B$63,C482)</f>
        <v>4.9472420000000003E-2</v>
      </c>
      <c r="G482">
        <f>INDEX(YieldCurve!$B$4:$B$63,C482+1)</f>
        <v>4.9454709999999999E-2</v>
      </c>
      <c r="H482">
        <f t="shared" si="7"/>
        <v>20.833333333333329</v>
      </c>
      <c r="I482">
        <f>IF(B482&lt;=INDEX(YieldCurve!$A$4:$A$63,1),INDEX(YieldCurve!$B$4:$B$63,1),IF(B482&gt;=INDEX(YieldCurve!$A$4:$A$63,ROWS(YieldCurve!$A$4:$A$63)),INDEX(YieldCurve!$B$4:$B$63,ROWS(YieldCurve!$B$4:$B$63)),F482+H482*(G482-F482)))</f>
        <v>4.9454709999999999E-2</v>
      </c>
      <c r="J482">
        <f>EXP(-(I482+Inputs!$B$9)*B482)</f>
        <v>0.1388908127710112</v>
      </c>
    </row>
    <row r="483" spans="1:10" x14ac:dyDescent="0.35">
      <c r="A483">
        <v>480</v>
      </c>
      <c r="B483">
        <f>A483/Inputs!$B$6</f>
        <v>40</v>
      </c>
      <c r="C483">
        <f>IF(B483&lt;=INDEX(YieldCurve!$A$4:$A$63,1),1,IF(B483&gt;=INDEX(YieldCurve!$A$4:$A$63,ROWS(YieldCurve!$A$4:$A$63)),ROWS(YieldCurve!$A$4:$A$63)-1,MATCH(B483,YieldCurve!$A$4:$A$63,1)))</f>
        <v>59</v>
      </c>
      <c r="D483">
        <f>INDEX(YieldCurve!$A$4:$A$63,C483)</f>
        <v>29.5</v>
      </c>
      <c r="E483">
        <f>INDEX(YieldCurve!$A$4:$A$63,C483+1)</f>
        <v>30</v>
      </c>
      <c r="F483">
        <f>INDEX(YieldCurve!$B$4:$B$63,C483)</f>
        <v>4.9472420000000003E-2</v>
      </c>
      <c r="G483">
        <f>INDEX(YieldCurve!$B$4:$B$63,C483+1)</f>
        <v>4.9454709999999999E-2</v>
      </c>
      <c r="H483">
        <f t="shared" si="7"/>
        <v>21</v>
      </c>
      <c r="I483">
        <f>IF(B483&lt;=INDEX(YieldCurve!$A$4:$A$63,1),INDEX(YieldCurve!$B$4:$B$63,1),IF(B483&gt;=INDEX(YieldCurve!$A$4:$A$63,ROWS(YieldCurve!$A$4:$A$63)),INDEX(YieldCurve!$B$4:$B$63,ROWS(YieldCurve!$B$4:$B$63)),F483+H483*(G483-F483)))</f>
        <v>4.9454709999999999E-2</v>
      </c>
      <c r="J483">
        <f>EXP(-(I483+Inputs!$B$9)*B483)</f>
        <v>0.13831959024242127</v>
      </c>
    </row>
    <row r="484" spans="1:10" x14ac:dyDescent="0.35">
      <c r="A484">
        <v>481</v>
      </c>
      <c r="B484">
        <f>A484/Inputs!$B$6</f>
        <v>40.083333333333336</v>
      </c>
      <c r="C484">
        <f>IF(B484&lt;=INDEX(YieldCurve!$A$4:$A$63,1),1,IF(B484&gt;=INDEX(YieldCurve!$A$4:$A$63,ROWS(YieldCurve!$A$4:$A$63)),ROWS(YieldCurve!$A$4:$A$63)-1,MATCH(B484,YieldCurve!$A$4:$A$63,1)))</f>
        <v>59</v>
      </c>
      <c r="D484">
        <f>INDEX(YieldCurve!$A$4:$A$63,C484)</f>
        <v>29.5</v>
      </c>
      <c r="E484">
        <f>INDEX(YieldCurve!$A$4:$A$63,C484+1)</f>
        <v>30</v>
      </c>
      <c r="F484">
        <f>INDEX(YieldCurve!$B$4:$B$63,C484)</f>
        <v>4.9472420000000003E-2</v>
      </c>
      <c r="G484">
        <f>INDEX(YieldCurve!$B$4:$B$63,C484+1)</f>
        <v>4.9454709999999999E-2</v>
      </c>
      <c r="H484">
        <f t="shared" si="7"/>
        <v>21.166666666666671</v>
      </c>
      <c r="I484">
        <f>IF(B484&lt;=INDEX(YieldCurve!$A$4:$A$63,1),INDEX(YieldCurve!$B$4:$B$63,1),IF(B484&gt;=INDEX(YieldCurve!$A$4:$A$63,ROWS(YieldCurve!$A$4:$A$63)),INDEX(YieldCurve!$B$4:$B$63,ROWS(YieldCurve!$B$4:$B$63)),F484+H484*(G484-F484)))</f>
        <v>4.9454709999999999E-2</v>
      </c>
      <c r="J484">
        <f>EXP(-(I484+Inputs!$B$9)*B484)</f>
        <v>0.13775071700656472</v>
      </c>
    </row>
    <row r="485" spans="1:10" x14ac:dyDescent="0.35">
      <c r="A485">
        <v>482</v>
      </c>
      <c r="B485">
        <f>A485/Inputs!$B$6</f>
        <v>40.166666666666664</v>
      </c>
      <c r="C485">
        <f>IF(B485&lt;=INDEX(YieldCurve!$A$4:$A$63,1),1,IF(B485&gt;=INDEX(YieldCurve!$A$4:$A$63,ROWS(YieldCurve!$A$4:$A$63)),ROWS(YieldCurve!$A$4:$A$63)-1,MATCH(B485,YieldCurve!$A$4:$A$63,1)))</f>
        <v>59</v>
      </c>
      <c r="D485">
        <f>INDEX(YieldCurve!$A$4:$A$63,C485)</f>
        <v>29.5</v>
      </c>
      <c r="E485">
        <f>INDEX(YieldCurve!$A$4:$A$63,C485+1)</f>
        <v>30</v>
      </c>
      <c r="F485">
        <f>INDEX(YieldCurve!$B$4:$B$63,C485)</f>
        <v>4.9472420000000003E-2</v>
      </c>
      <c r="G485">
        <f>INDEX(YieldCurve!$B$4:$B$63,C485+1)</f>
        <v>4.9454709999999999E-2</v>
      </c>
      <c r="H485">
        <f t="shared" si="7"/>
        <v>21.333333333333329</v>
      </c>
      <c r="I485">
        <f>IF(B485&lt;=INDEX(YieldCurve!$A$4:$A$63,1),INDEX(YieldCurve!$B$4:$B$63,1),IF(B485&gt;=INDEX(YieldCurve!$A$4:$A$63,ROWS(YieldCurve!$A$4:$A$63)),INDEX(YieldCurve!$B$4:$B$63,ROWS(YieldCurve!$B$4:$B$63)),F485+H485*(G485-F485)))</f>
        <v>4.9454709999999999E-2</v>
      </c>
      <c r="J485">
        <f>EXP(-(I485+Inputs!$B$9)*B485)</f>
        <v>0.13718418340139904</v>
      </c>
    </row>
    <row r="486" spans="1:10" x14ac:dyDescent="0.35">
      <c r="A486">
        <v>483</v>
      </c>
      <c r="B486">
        <f>A486/Inputs!$B$6</f>
        <v>40.25</v>
      </c>
      <c r="C486">
        <f>IF(B486&lt;=INDEX(YieldCurve!$A$4:$A$63,1),1,IF(B486&gt;=INDEX(YieldCurve!$A$4:$A$63,ROWS(YieldCurve!$A$4:$A$63)),ROWS(YieldCurve!$A$4:$A$63)-1,MATCH(B486,YieldCurve!$A$4:$A$63,1)))</f>
        <v>59</v>
      </c>
      <c r="D486">
        <f>INDEX(YieldCurve!$A$4:$A$63,C486)</f>
        <v>29.5</v>
      </c>
      <c r="E486">
        <f>INDEX(YieldCurve!$A$4:$A$63,C486+1)</f>
        <v>30</v>
      </c>
      <c r="F486">
        <f>INDEX(YieldCurve!$B$4:$B$63,C486)</f>
        <v>4.9472420000000003E-2</v>
      </c>
      <c r="G486">
        <f>INDEX(YieldCurve!$B$4:$B$63,C486+1)</f>
        <v>4.9454709999999999E-2</v>
      </c>
      <c r="H486">
        <f t="shared" si="7"/>
        <v>21.5</v>
      </c>
      <c r="I486">
        <f>IF(B486&lt;=INDEX(YieldCurve!$A$4:$A$63,1),INDEX(YieldCurve!$B$4:$B$63,1),IF(B486&gt;=INDEX(YieldCurve!$A$4:$A$63,ROWS(YieldCurve!$A$4:$A$63)),INDEX(YieldCurve!$B$4:$B$63,ROWS(YieldCurve!$B$4:$B$63)),F486+H486*(G486-F486)))</f>
        <v>4.9454709999999999E-2</v>
      </c>
      <c r="J486">
        <f>EXP(-(I486+Inputs!$B$9)*B486)</f>
        <v>0.13661997980461915</v>
      </c>
    </row>
    <row r="487" spans="1:10" x14ac:dyDescent="0.35">
      <c r="A487">
        <v>484</v>
      </c>
      <c r="B487">
        <f>A487/Inputs!$B$6</f>
        <v>40.333333333333336</v>
      </c>
      <c r="C487">
        <f>IF(B487&lt;=INDEX(YieldCurve!$A$4:$A$63,1),1,IF(B487&gt;=INDEX(YieldCurve!$A$4:$A$63,ROWS(YieldCurve!$A$4:$A$63)),ROWS(YieldCurve!$A$4:$A$63)-1,MATCH(B487,YieldCurve!$A$4:$A$63,1)))</f>
        <v>59</v>
      </c>
      <c r="D487">
        <f>INDEX(YieldCurve!$A$4:$A$63,C487)</f>
        <v>29.5</v>
      </c>
      <c r="E487">
        <f>INDEX(YieldCurve!$A$4:$A$63,C487+1)</f>
        <v>30</v>
      </c>
      <c r="F487">
        <f>INDEX(YieldCurve!$B$4:$B$63,C487)</f>
        <v>4.9472420000000003E-2</v>
      </c>
      <c r="G487">
        <f>INDEX(YieldCurve!$B$4:$B$63,C487+1)</f>
        <v>4.9454709999999999E-2</v>
      </c>
      <c r="H487">
        <f t="shared" si="7"/>
        <v>21.666666666666671</v>
      </c>
      <c r="I487">
        <f>IF(B487&lt;=INDEX(YieldCurve!$A$4:$A$63,1),INDEX(YieldCurve!$B$4:$B$63,1),IF(B487&gt;=INDEX(YieldCurve!$A$4:$A$63,ROWS(YieldCurve!$A$4:$A$63)),INDEX(YieldCurve!$B$4:$B$63,ROWS(YieldCurve!$B$4:$B$63)),F487+H487*(G487-F487)))</f>
        <v>4.9454709999999999E-2</v>
      </c>
      <c r="J487">
        <f>EXP(-(I487+Inputs!$B$9)*B487)</f>
        <v>0.13605809663349419</v>
      </c>
    </row>
    <row r="488" spans="1:10" x14ac:dyDescent="0.35">
      <c r="A488">
        <v>485</v>
      </c>
      <c r="B488">
        <f>A488/Inputs!$B$6</f>
        <v>40.416666666666664</v>
      </c>
      <c r="C488">
        <f>IF(B488&lt;=INDEX(YieldCurve!$A$4:$A$63,1),1,IF(B488&gt;=INDEX(YieldCurve!$A$4:$A$63,ROWS(YieldCurve!$A$4:$A$63)),ROWS(YieldCurve!$A$4:$A$63)-1,MATCH(B488,YieldCurve!$A$4:$A$63,1)))</f>
        <v>59</v>
      </c>
      <c r="D488">
        <f>INDEX(YieldCurve!$A$4:$A$63,C488)</f>
        <v>29.5</v>
      </c>
      <c r="E488">
        <f>INDEX(YieldCurve!$A$4:$A$63,C488+1)</f>
        <v>30</v>
      </c>
      <c r="F488">
        <f>INDEX(YieldCurve!$B$4:$B$63,C488)</f>
        <v>4.9472420000000003E-2</v>
      </c>
      <c r="G488">
        <f>INDEX(YieldCurve!$B$4:$B$63,C488+1)</f>
        <v>4.9454709999999999E-2</v>
      </c>
      <c r="H488">
        <f t="shared" si="7"/>
        <v>21.833333333333329</v>
      </c>
      <c r="I488">
        <f>IF(B488&lt;=INDEX(YieldCurve!$A$4:$A$63,1),INDEX(YieldCurve!$B$4:$B$63,1),IF(B488&gt;=INDEX(YieldCurve!$A$4:$A$63,ROWS(YieldCurve!$A$4:$A$63)),INDEX(YieldCurve!$B$4:$B$63,ROWS(YieldCurve!$B$4:$B$63)),F488+H488*(G488-F488)))</f>
        <v>4.9454709999999999E-2</v>
      </c>
      <c r="J488">
        <f>EXP(-(I488+Inputs!$B$9)*B488)</f>
        <v>0.13549852434470472</v>
      </c>
    </row>
    <row r="489" spans="1:10" x14ac:dyDescent="0.35">
      <c r="A489">
        <v>486</v>
      </c>
      <c r="B489">
        <f>A489/Inputs!$B$6</f>
        <v>40.5</v>
      </c>
      <c r="C489">
        <f>IF(B489&lt;=INDEX(YieldCurve!$A$4:$A$63,1),1,IF(B489&gt;=INDEX(YieldCurve!$A$4:$A$63,ROWS(YieldCurve!$A$4:$A$63)),ROWS(YieldCurve!$A$4:$A$63)-1,MATCH(B489,YieldCurve!$A$4:$A$63,1)))</f>
        <v>59</v>
      </c>
      <c r="D489">
        <f>INDEX(YieldCurve!$A$4:$A$63,C489)</f>
        <v>29.5</v>
      </c>
      <c r="E489">
        <f>INDEX(YieldCurve!$A$4:$A$63,C489+1)</f>
        <v>30</v>
      </c>
      <c r="F489">
        <f>INDEX(YieldCurve!$B$4:$B$63,C489)</f>
        <v>4.9472420000000003E-2</v>
      </c>
      <c r="G489">
        <f>INDEX(YieldCurve!$B$4:$B$63,C489+1)</f>
        <v>4.9454709999999999E-2</v>
      </c>
      <c r="H489">
        <f t="shared" si="7"/>
        <v>22</v>
      </c>
      <c r="I489">
        <f>IF(B489&lt;=INDEX(YieldCurve!$A$4:$A$63,1),INDEX(YieldCurve!$B$4:$B$63,1),IF(B489&gt;=INDEX(YieldCurve!$A$4:$A$63,ROWS(YieldCurve!$A$4:$A$63)),INDEX(YieldCurve!$B$4:$B$63,ROWS(YieldCurve!$B$4:$B$63)),F489+H489*(G489-F489)))</f>
        <v>4.9454709999999999E-2</v>
      </c>
      <c r="J489">
        <f>EXP(-(I489+Inputs!$B$9)*B489)</f>
        <v>0.13494125343418023</v>
      </c>
    </row>
    <row r="490" spans="1:10" x14ac:dyDescent="0.35">
      <c r="A490">
        <v>487</v>
      </c>
      <c r="B490">
        <f>A490/Inputs!$B$6</f>
        <v>40.583333333333336</v>
      </c>
      <c r="C490">
        <f>IF(B490&lt;=INDEX(YieldCurve!$A$4:$A$63,1),1,IF(B490&gt;=INDEX(YieldCurve!$A$4:$A$63,ROWS(YieldCurve!$A$4:$A$63)),ROWS(YieldCurve!$A$4:$A$63)-1,MATCH(B490,YieldCurve!$A$4:$A$63,1)))</f>
        <v>59</v>
      </c>
      <c r="D490">
        <f>INDEX(YieldCurve!$A$4:$A$63,C490)</f>
        <v>29.5</v>
      </c>
      <c r="E490">
        <f>INDEX(YieldCurve!$A$4:$A$63,C490+1)</f>
        <v>30</v>
      </c>
      <c r="F490">
        <f>INDEX(YieldCurve!$B$4:$B$63,C490)</f>
        <v>4.9472420000000003E-2</v>
      </c>
      <c r="G490">
        <f>INDEX(YieldCurve!$B$4:$B$63,C490+1)</f>
        <v>4.9454709999999999E-2</v>
      </c>
      <c r="H490">
        <f t="shared" si="7"/>
        <v>22.166666666666671</v>
      </c>
      <c r="I490">
        <f>IF(B490&lt;=INDEX(YieldCurve!$A$4:$A$63,1),INDEX(YieldCurve!$B$4:$B$63,1),IF(B490&gt;=INDEX(YieldCurve!$A$4:$A$63,ROWS(YieldCurve!$A$4:$A$63)),INDEX(YieldCurve!$B$4:$B$63,ROWS(YieldCurve!$B$4:$B$63)),F490+H490*(G490-F490)))</f>
        <v>4.9454709999999999E-2</v>
      </c>
      <c r="J490">
        <f>EXP(-(I490+Inputs!$B$9)*B490)</f>
        <v>0.1343862744369384</v>
      </c>
    </row>
    <row r="491" spans="1:10" x14ac:dyDescent="0.35">
      <c r="A491">
        <v>488</v>
      </c>
      <c r="B491">
        <f>A491/Inputs!$B$6</f>
        <v>40.666666666666664</v>
      </c>
      <c r="C491">
        <f>IF(B491&lt;=INDEX(YieldCurve!$A$4:$A$63,1),1,IF(B491&gt;=INDEX(YieldCurve!$A$4:$A$63,ROWS(YieldCurve!$A$4:$A$63)),ROWS(YieldCurve!$A$4:$A$63)-1,MATCH(B491,YieldCurve!$A$4:$A$63,1)))</f>
        <v>59</v>
      </c>
      <c r="D491">
        <f>INDEX(YieldCurve!$A$4:$A$63,C491)</f>
        <v>29.5</v>
      </c>
      <c r="E491">
        <f>INDEX(YieldCurve!$A$4:$A$63,C491+1)</f>
        <v>30</v>
      </c>
      <c r="F491">
        <f>INDEX(YieldCurve!$B$4:$B$63,C491)</f>
        <v>4.9472420000000003E-2</v>
      </c>
      <c r="G491">
        <f>INDEX(YieldCurve!$B$4:$B$63,C491+1)</f>
        <v>4.9454709999999999E-2</v>
      </c>
      <c r="H491">
        <f t="shared" si="7"/>
        <v>22.333333333333329</v>
      </c>
      <c r="I491">
        <f>IF(B491&lt;=INDEX(YieldCurve!$A$4:$A$63,1),INDEX(YieldCurve!$B$4:$B$63,1),IF(B491&gt;=INDEX(YieldCurve!$A$4:$A$63,ROWS(YieldCurve!$A$4:$A$63)),INDEX(YieldCurve!$B$4:$B$63,ROWS(YieldCurve!$B$4:$B$63)),F491+H491*(G491-F491)))</f>
        <v>4.9454709999999999E-2</v>
      </c>
      <c r="J491">
        <f>EXP(-(I491+Inputs!$B$9)*B491)</f>
        <v>0.13383357792692374</v>
      </c>
    </row>
    <row r="492" spans="1:10" x14ac:dyDescent="0.35">
      <c r="A492">
        <v>489</v>
      </c>
      <c r="B492">
        <f>A492/Inputs!$B$6</f>
        <v>40.75</v>
      </c>
      <c r="C492">
        <f>IF(B492&lt;=INDEX(YieldCurve!$A$4:$A$63,1),1,IF(B492&gt;=INDEX(YieldCurve!$A$4:$A$63,ROWS(YieldCurve!$A$4:$A$63)),ROWS(YieldCurve!$A$4:$A$63)-1,MATCH(B492,YieldCurve!$A$4:$A$63,1)))</f>
        <v>59</v>
      </c>
      <c r="D492">
        <f>INDEX(YieldCurve!$A$4:$A$63,C492)</f>
        <v>29.5</v>
      </c>
      <c r="E492">
        <f>INDEX(YieldCurve!$A$4:$A$63,C492+1)</f>
        <v>30</v>
      </c>
      <c r="F492">
        <f>INDEX(YieldCurve!$B$4:$B$63,C492)</f>
        <v>4.9472420000000003E-2</v>
      </c>
      <c r="G492">
        <f>INDEX(YieldCurve!$B$4:$B$63,C492+1)</f>
        <v>4.9454709999999999E-2</v>
      </c>
      <c r="H492">
        <f t="shared" si="7"/>
        <v>22.5</v>
      </c>
      <c r="I492">
        <f>IF(B492&lt;=INDEX(YieldCurve!$A$4:$A$63,1),INDEX(YieldCurve!$B$4:$B$63,1),IF(B492&gt;=INDEX(YieldCurve!$A$4:$A$63,ROWS(YieldCurve!$A$4:$A$63)),INDEX(YieldCurve!$B$4:$B$63,ROWS(YieldCurve!$B$4:$B$63)),F492+H492*(G492-F492)))</f>
        <v>4.9454709999999999E-2</v>
      </c>
      <c r="J492">
        <f>EXP(-(I492+Inputs!$B$9)*B492)</f>
        <v>0.13328315451684772</v>
      </c>
    </row>
    <row r="493" spans="1:10" x14ac:dyDescent="0.35">
      <c r="A493">
        <v>490</v>
      </c>
      <c r="B493">
        <f>A493/Inputs!$B$6</f>
        <v>40.833333333333336</v>
      </c>
      <c r="C493">
        <f>IF(B493&lt;=INDEX(YieldCurve!$A$4:$A$63,1),1,IF(B493&gt;=INDEX(YieldCurve!$A$4:$A$63,ROWS(YieldCurve!$A$4:$A$63)),ROWS(YieldCurve!$A$4:$A$63)-1,MATCH(B493,YieldCurve!$A$4:$A$63,1)))</f>
        <v>59</v>
      </c>
      <c r="D493">
        <f>INDEX(YieldCurve!$A$4:$A$63,C493)</f>
        <v>29.5</v>
      </c>
      <c r="E493">
        <f>INDEX(YieldCurve!$A$4:$A$63,C493+1)</f>
        <v>30</v>
      </c>
      <c r="F493">
        <f>INDEX(YieldCurve!$B$4:$B$63,C493)</f>
        <v>4.9472420000000003E-2</v>
      </c>
      <c r="G493">
        <f>INDEX(YieldCurve!$B$4:$B$63,C493+1)</f>
        <v>4.9454709999999999E-2</v>
      </c>
      <c r="H493">
        <f t="shared" si="7"/>
        <v>22.666666666666671</v>
      </c>
      <c r="I493">
        <f>IF(B493&lt;=INDEX(YieldCurve!$A$4:$A$63,1),INDEX(YieldCurve!$B$4:$B$63,1),IF(B493&gt;=INDEX(YieldCurve!$A$4:$A$63,ROWS(YieldCurve!$A$4:$A$63)),INDEX(YieldCurve!$B$4:$B$63,ROWS(YieldCurve!$B$4:$B$63)),F493+H493*(G493-F493)))</f>
        <v>4.9454709999999999E-2</v>
      </c>
      <c r="J493">
        <f>EXP(-(I493+Inputs!$B$9)*B493)</f>
        <v>0.13273499485802945</v>
      </c>
    </row>
    <row r="494" spans="1:10" x14ac:dyDescent="0.35">
      <c r="A494">
        <v>491</v>
      </c>
      <c r="B494">
        <f>A494/Inputs!$B$6</f>
        <v>40.916666666666664</v>
      </c>
      <c r="C494">
        <f>IF(B494&lt;=INDEX(YieldCurve!$A$4:$A$63,1),1,IF(B494&gt;=INDEX(YieldCurve!$A$4:$A$63,ROWS(YieldCurve!$A$4:$A$63)),ROWS(YieldCurve!$A$4:$A$63)-1,MATCH(B494,YieldCurve!$A$4:$A$63,1)))</f>
        <v>59</v>
      </c>
      <c r="D494">
        <f>INDEX(YieldCurve!$A$4:$A$63,C494)</f>
        <v>29.5</v>
      </c>
      <c r="E494">
        <f>INDEX(YieldCurve!$A$4:$A$63,C494+1)</f>
        <v>30</v>
      </c>
      <c r="F494">
        <f>INDEX(YieldCurve!$B$4:$B$63,C494)</f>
        <v>4.9472420000000003E-2</v>
      </c>
      <c r="G494">
        <f>INDEX(YieldCurve!$B$4:$B$63,C494+1)</f>
        <v>4.9454709999999999E-2</v>
      </c>
      <c r="H494">
        <f t="shared" si="7"/>
        <v>22.833333333333329</v>
      </c>
      <c r="I494">
        <f>IF(B494&lt;=INDEX(YieldCurve!$A$4:$A$63,1),INDEX(YieldCurve!$B$4:$B$63,1),IF(B494&gt;=INDEX(YieldCurve!$A$4:$A$63,ROWS(YieldCurve!$A$4:$A$63)),INDEX(YieldCurve!$B$4:$B$63,ROWS(YieldCurve!$B$4:$B$63)),F494+H494*(G494-F494)))</f>
        <v>4.9454709999999999E-2</v>
      </c>
      <c r="J494">
        <f>EXP(-(I494+Inputs!$B$9)*B494)</f>
        <v>0.13218908964023671</v>
      </c>
    </row>
    <row r="495" spans="1:10" x14ac:dyDescent="0.35">
      <c r="A495">
        <v>492</v>
      </c>
      <c r="B495">
        <f>A495/Inputs!$B$6</f>
        <v>41</v>
      </c>
      <c r="C495">
        <f>IF(B495&lt;=INDEX(YieldCurve!$A$4:$A$63,1),1,IF(B495&gt;=INDEX(YieldCurve!$A$4:$A$63,ROWS(YieldCurve!$A$4:$A$63)),ROWS(YieldCurve!$A$4:$A$63)-1,MATCH(B495,YieldCurve!$A$4:$A$63,1)))</f>
        <v>59</v>
      </c>
      <c r="D495">
        <f>INDEX(YieldCurve!$A$4:$A$63,C495)</f>
        <v>29.5</v>
      </c>
      <c r="E495">
        <f>INDEX(YieldCurve!$A$4:$A$63,C495+1)</f>
        <v>30</v>
      </c>
      <c r="F495">
        <f>INDEX(YieldCurve!$B$4:$B$63,C495)</f>
        <v>4.9472420000000003E-2</v>
      </c>
      <c r="G495">
        <f>INDEX(YieldCurve!$B$4:$B$63,C495+1)</f>
        <v>4.9454709999999999E-2</v>
      </c>
      <c r="H495">
        <f t="shared" si="7"/>
        <v>23</v>
      </c>
      <c r="I495">
        <f>IF(B495&lt;=INDEX(YieldCurve!$A$4:$A$63,1),INDEX(YieldCurve!$B$4:$B$63,1),IF(B495&gt;=INDEX(YieldCurve!$A$4:$A$63,ROWS(YieldCurve!$A$4:$A$63)),INDEX(YieldCurve!$B$4:$B$63,ROWS(YieldCurve!$B$4:$B$63)),F495+H495*(G495-F495)))</f>
        <v>4.9454709999999999E-2</v>
      </c>
      <c r="J495">
        <f>EXP(-(I495+Inputs!$B$9)*B495)</f>
        <v>0.13164542959152792</v>
      </c>
    </row>
    <row r="496" spans="1:10" x14ac:dyDescent="0.35">
      <c r="A496">
        <v>493</v>
      </c>
      <c r="B496">
        <f>A496/Inputs!$B$6</f>
        <v>41.083333333333336</v>
      </c>
      <c r="C496">
        <f>IF(B496&lt;=INDEX(YieldCurve!$A$4:$A$63,1),1,IF(B496&gt;=INDEX(YieldCurve!$A$4:$A$63,ROWS(YieldCurve!$A$4:$A$63)),ROWS(YieldCurve!$A$4:$A$63)-1,MATCH(B496,YieldCurve!$A$4:$A$63,1)))</f>
        <v>59</v>
      </c>
      <c r="D496">
        <f>INDEX(YieldCurve!$A$4:$A$63,C496)</f>
        <v>29.5</v>
      </c>
      <c r="E496">
        <f>INDEX(YieldCurve!$A$4:$A$63,C496+1)</f>
        <v>30</v>
      </c>
      <c r="F496">
        <f>INDEX(YieldCurve!$B$4:$B$63,C496)</f>
        <v>4.9472420000000003E-2</v>
      </c>
      <c r="G496">
        <f>INDEX(YieldCurve!$B$4:$B$63,C496+1)</f>
        <v>4.9454709999999999E-2</v>
      </c>
      <c r="H496">
        <f t="shared" si="7"/>
        <v>23.166666666666671</v>
      </c>
      <c r="I496">
        <f>IF(B496&lt;=INDEX(YieldCurve!$A$4:$A$63,1),INDEX(YieldCurve!$B$4:$B$63,1),IF(B496&gt;=INDEX(YieldCurve!$A$4:$A$63,ROWS(YieldCurve!$A$4:$A$63)),INDEX(YieldCurve!$B$4:$B$63,ROWS(YieldCurve!$B$4:$B$63)),F496+H496*(G496-F496)))</f>
        <v>4.9454709999999999E-2</v>
      </c>
      <c r="J496">
        <f>EXP(-(I496+Inputs!$B$9)*B496)</f>
        <v>0.13110400547809462</v>
      </c>
    </row>
    <row r="497" spans="1:10" x14ac:dyDescent="0.35">
      <c r="A497">
        <v>494</v>
      </c>
      <c r="B497">
        <f>A497/Inputs!$B$6</f>
        <v>41.166666666666664</v>
      </c>
      <c r="C497">
        <f>IF(B497&lt;=INDEX(YieldCurve!$A$4:$A$63,1),1,IF(B497&gt;=INDEX(YieldCurve!$A$4:$A$63,ROWS(YieldCurve!$A$4:$A$63)),ROWS(YieldCurve!$A$4:$A$63)-1,MATCH(B497,YieldCurve!$A$4:$A$63,1)))</f>
        <v>59</v>
      </c>
      <c r="D497">
        <f>INDEX(YieldCurve!$A$4:$A$63,C497)</f>
        <v>29.5</v>
      </c>
      <c r="E497">
        <f>INDEX(YieldCurve!$A$4:$A$63,C497+1)</f>
        <v>30</v>
      </c>
      <c r="F497">
        <f>INDEX(YieldCurve!$B$4:$B$63,C497)</f>
        <v>4.9472420000000003E-2</v>
      </c>
      <c r="G497">
        <f>INDEX(YieldCurve!$B$4:$B$63,C497+1)</f>
        <v>4.9454709999999999E-2</v>
      </c>
      <c r="H497">
        <f t="shared" si="7"/>
        <v>23.333333333333329</v>
      </c>
      <c r="I497">
        <f>IF(B497&lt;=INDEX(YieldCurve!$A$4:$A$63,1),INDEX(YieldCurve!$B$4:$B$63,1),IF(B497&gt;=INDEX(YieldCurve!$A$4:$A$63,ROWS(YieldCurve!$A$4:$A$63)),INDEX(YieldCurve!$B$4:$B$63,ROWS(YieldCurve!$B$4:$B$63)),F497+H497*(G497-F497)))</f>
        <v>4.9454709999999999E-2</v>
      </c>
      <c r="J497">
        <f>EXP(-(I497+Inputs!$B$9)*B497)</f>
        <v>0.13056480810410473</v>
      </c>
    </row>
    <row r="498" spans="1:10" x14ac:dyDescent="0.35">
      <c r="A498">
        <v>495</v>
      </c>
      <c r="B498">
        <f>A498/Inputs!$B$6</f>
        <v>41.25</v>
      </c>
      <c r="C498">
        <f>IF(B498&lt;=INDEX(YieldCurve!$A$4:$A$63,1),1,IF(B498&gt;=INDEX(YieldCurve!$A$4:$A$63,ROWS(YieldCurve!$A$4:$A$63)),ROWS(YieldCurve!$A$4:$A$63)-1,MATCH(B498,YieldCurve!$A$4:$A$63,1)))</f>
        <v>59</v>
      </c>
      <c r="D498">
        <f>INDEX(YieldCurve!$A$4:$A$63,C498)</f>
        <v>29.5</v>
      </c>
      <c r="E498">
        <f>INDEX(YieldCurve!$A$4:$A$63,C498+1)</f>
        <v>30</v>
      </c>
      <c r="F498">
        <f>INDEX(YieldCurve!$B$4:$B$63,C498)</f>
        <v>4.9472420000000003E-2</v>
      </c>
      <c r="G498">
        <f>INDEX(YieldCurve!$B$4:$B$63,C498+1)</f>
        <v>4.9454709999999999E-2</v>
      </c>
      <c r="H498">
        <f t="shared" si="7"/>
        <v>23.5</v>
      </c>
      <c r="I498">
        <f>IF(B498&lt;=INDEX(YieldCurve!$A$4:$A$63,1),INDEX(YieldCurve!$B$4:$B$63,1),IF(B498&gt;=INDEX(YieldCurve!$A$4:$A$63,ROWS(YieldCurve!$A$4:$A$63)),INDEX(YieldCurve!$B$4:$B$63,ROWS(YieldCurve!$B$4:$B$63)),F498+H498*(G498-F498)))</f>
        <v>4.9454709999999999E-2</v>
      </c>
      <c r="J498">
        <f>EXP(-(I498+Inputs!$B$9)*B498)</f>
        <v>0.13002782831154605</v>
      </c>
    </row>
    <row r="499" spans="1:10" x14ac:dyDescent="0.35">
      <c r="A499">
        <v>496</v>
      </c>
      <c r="B499">
        <f>A499/Inputs!$B$6</f>
        <v>41.333333333333336</v>
      </c>
      <c r="C499">
        <f>IF(B499&lt;=INDEX(YieldCurve!$A$4:$A$63,1),1,IF(B499&gt;=INDEX(YieldCurve!$A$4:$A$63,ROWS(YieldCurve!$A$4:$A$63)),ROWS(YieldCurve!$A$4:$A$63)-1,MATCH(B499,YieldCurve!$A$4:$A$63,1)))</f>
        <v>59</v>
      </c>
      <c r="D499">
        <f>INDEX(YieldCurve!$A$4:$A$63,C499)</f>
        <v>29.5</v>
      </c>
      <c r="E499">
        <f>INDEX(YieldCurve!$A$4:$A$63,C499+1)</f>
        <v>30</v>
      </c>
      <c r="F499">
        <f>INDEX(YieldCurve!$B$4:$B$63,C499)</f>
        <v>4.9472420000000003E-2</v>
      </c>
      <c r="G499">
        <f>INDEX(YieldCurve!$B$4:$B$63,C499+1)</f>
        <v>4.9454709999999999E-2</v>
      </c>
      <c r="H499">
        <f t="shared" si="7"/>
        <v>23.666666666666671</v>
      </c>
      <c r="I499">
        <f>IF(B499&lt;=INDEX(YieldCurve!$A$4:$A$63,1),INDEX(YieldCurve!$B$4:$B$63,1),IF(B499&gt;=INDEX(YieldCurve!$A$4:$A$63,ROWS(YieldCurve!$A$4:$A$63)),INDEX(YieldCurve!$B$4:$B$63,ROWS(YieldCurve!$B$4:$B$63)),F499+H499*(G499-F499)))</f>
        <v>4.9454709999999999E-2</v>
      </c>
      <c r="J499">
        <f>EXP(-(I499+Inputs!$B$9)*B499)</f>
        <v>0.12949305698007124</v>
      </c>
    </row>
    <row r="500" spans="1:10" x14ac:dyDescent="0.35">
      <c r="A500">
        <v>497</v>
      </c>
      <c r="B500">
        <f>A500/Inputs!$B$6</f>
        <v>41.416666666666664</v>
      </c>
      <c r="C500">
        <f>IF(B500&lt;=INDEX(YieldCurve!$A$4:$A$63,1),1,IF(B500&gt;=INDEX(YieldCurve!$A$4:$A$63,ROWS(YieldCurve!$A$4:$A$63)),ROWS(YieldCurve!$A$4:$A$63)-1,MATCH(B500,YieldCurve!$A$4:$A$63,1)))</f>
        <v>59</v>
      </c>
      <c r="D500">
        <f>INDEX(YieldCurve!$A$4:$A$63,C500)</f>
        <v>29.5</v>
      </c>
      <c r="E500">
        <f>INDEX(YieldCurve!$A$4:$A$63,C500+1)</f>
        <v>30</v>
      </c>
      <c r="F500">
        <f>INDEX(YieldCurve!$B$4:$B$63,C500)</f>
        <v>4.9472420000000003E-2</v>
      </c>
      <c r="G500">
        <f>INDEX(YieldCurve!$B$4:$B$63,C500+1)</f>
        <v>4.9454709999999999E-2</v>
      </c>
      <c r="H500">
        <f t="shared" si="7"/>
        <v>23.833333333333329</v>
      </c>
      <c r="I500">
        <f>IF(B500&lt;=INDEX(YieldCurve!$A$4:$A$63,1),INDEX(YieldCurve!$B$4:$B$63,1),IF(B500&gt;=INDEX(YieldCurve!$A$4:$A$63,ROWS(YieldCurve!$A$4:$A$63)),INDEX(YieldCurve!$B$4:$B$63,ROWS(YieldCurve!$B$4:$B$63)),F500+H500*(G500-F500)))</f>
        <v>4.9454709999999999E-2</v>
      </c>
      <c r="J500">
        <f>EXP(-(I500+Inputs!$B$9)*B500)</f>
        <v>0.12896048502684246</v>
      </c>
    </row>
    <row r="501" spans="1:10" x14ac:dyDescent="0.35">
      <c r="A501">
        <v>498</v>
      </c>
      <c r="B501">
        <f>A501/Inputs!$B$6</f>
        <v>41.5</v>
      </c>
      <c r="C501">
        <f>IF(B501&lt;=INDEX(YieldCurve!$A$4:$A$63,1),1,IF(B501&gt;=INDEX(YieldCurve!$A$4:$A$63,ROWS(YieldCurve!$A$4:$A$63)),ROWS(YieldCurve!$A$4:$A$63)-1,MATCH(B501,YieldCurve!$A$4:$A$63,1)))</f>
        <v>59</v>
      </c>
      <c r="D501">
        <f>INDEX(YieldCurve!$A$4:$A$63,C501)</f>
        <v>29.5</v>
      </c>
      <c r="E501">
        <f>INDEX(YieldCurve!$A$4:$A$63,C501+1)</f>
        <v>30</v>
      </c>
      <c r="F501">
        <f>INDEX(YieldCurve!$B$4:$B$63,C501)</f>
        <v>4.9472420000000003E-2</v>
      </c>
      <c r="G501">
        <f>INDEX(YieldCurve!$B$4:$B$63,C501+1)</f>
        <v>4.9454709999999999E-2</v>
      </c>
      <c r="H501">
        <f t="shared" si="7"/>
        <v>24</v>
      </c>
      <c r="I501">
        <f>IF(B501&lt;=INDEX(YieldCurve!$A$4:$A$63,1),INDEX(YieldCurve!$B$4:$B$63,1),IF(B501&gt;=INDEX(YieldCurve!$A$4:$A$63,ROWS(YieldCurve!$A$4:$A$63)),INDEX(YieldCurve!$B$4:$B$63,ROWS(YieldCurve!$B$4:$B$63)),F501+H501*(G501-F501)))</f>
        <v>4.9454709999999999E-2</v>
      </c>
      <c r="J501">
        <f>EXP(-(I501+Inputs!$B$9)*B501)</f>
        <v>0.12843010340637731</v>
      </c>
    </row>
    <row r="502" spans="1:10" x14ac:dyDescent="0.35">
      <c r="A502">
        <v>499</v>
      </c>
      <c r="B502">
        <f>A502/Inputs!$B$6</f>
        <v>41.583333333333336</v>
      </c>
      <c r="C502">
        <f>IF(B502&lt;=INDEX(YieldCurve!$A$4:$A$63,1),1,IF(B502&gt;=INDEX(YieldCurve!$A$4:$A$63,ROWS(YieldCurve!$A$4:$A$63)),ROWS(YieldCurve!$A$4:$A$63)-1,MATCH(B502,YieldCurve!$A$4:$A$63,1)))</f>
        <v>59</v>
      </c>
      <c r="D502">
        <f>INDEX(YieldCurve!$A$4:$A$63,C502)</f>
        <v>29.5</v>
      </c>
      <c r="E502">
        <f>INDEX(YieldCurve!$A$4:$A$63,C502+1)</f>
        <v>30</v>
      </c>
      <c r="F502">
        <f>INDEX(YieldCurve!$B$4:$B$63,C502)</f>
        <v>4.9472420000000003E-2</v>
      </c>
      <c r="G502">
        <f>INDEX(YieldCurve!$B$4:$B$63,C502+1)</f>
        <v>4.9454709999999999E-2</v>
      </c>
      <c r="H502">
        <f t="shared" si="7"/>
        <v>24.166666666666671</v>
      </c>
      <c r="I502">
        <f>IF(B502&lt;=INDEX(YieldCurve!$A$4:$A$63,1),INDEX(YieldCurve!$B$4:$B$63,1),IF(B502&gt;=INDEX(YieldCurve!$A$4:$A$63,ROWS(YieldCurve!$A$4:$A$63)),INDEX(YieldCurve!$B$4:$B$63,ROWS(YieldCurve!$B$4:$B$63)),F502+H502*(G502-F502)))</f>
        <v>4.9454709999999999E-2</v>
      </c>
      <c r="J502">
        <f>EXP(-(I502+Inputs!$B$9)*B502)</f>
        <v>0.12790190311039512</v>
      </c>
    </row>
    <row r="503" spans="1:10" x14ac:dyDescent="0.35">
      <c r="A503">
        <v>500</v>
      </c>
      <c r="B503">
        <f>A503/Inputs!$B$6</f>
        <v>41.666666666666664</v>
      </c>
      <c r="C503">
        <f>IF(B503&lt;=INDEX(YieldCurve!$A$4:$A$63,1),1,IF(B503&gt;=INDEX(YieldCurve!$A$4:$A$63,ROWS(YieldCurve!$A$4:$A$63)),ROWS(YieldCurve!$A$4:$A$63)-1,MATCH(B503,YieldCurve!$A$4:$A$63,1)))</f>
        <v>59</v>
      </c>
      <c r="D503">
        <f>INDEX(YieldCurve!$A$4:$A$63,C503)</f>
        <v>29.5</v>
      </c>
      <c r="E503">
        <f>INDEX(YieldCurve!$A$4:$A$63,C503+1)</f>
        <v>30</v>
      </c>
      <c r="F503">
        <f>INDEX(YieldCurve!$B$4:$B$63,C503)</f>
        <v>4.9472420000000003E-2</v>
      </c>
      <c r="G503">
        <f>INDEX(YieldCurve!$B$4:$B$63,C503+1)</f>
        <v>4.9454709999999999E-2</v>
      </c>
      <c r="H503">
        <f t="shared" si="7"/>
        <v>24.333333333333329</v>
      </c>
      <c r="I503">
        <f>IF(B503&lt;=INDEX(YieldCurve!$A$4:$A$63,1),INDEX(YieldCurve!$B$4:$B$63,1),IF(B503&gt;=INDEX(YieldCurve!$A$4:$A$63,ROWS(YieldCurve!$A$4:$A$63)),INDEX(YieldCurve!$B$4:$B$63,ROWS(YieldCurve!$B$4:$B$63)),F503+H503*(G503-F503)))</f>
        <v>4.9454709999999999E-2</v>
      </c>
      <c r="J503">
        <f>EXP(-(I503+Inputs!$B$9)*B503)</f>
        <v>0.12737587516766413</v>
      </c>
    </row>
    <row r="504" spans="1:10" x14ac:dyDescent="0.35">
      <c r="A504">
        <v>501</v>
      </c>
      <c r="B504">
        <f>A504/Inputs!$B$6</f>
        <v>41.75</v>
      </c>
      <c r="C504">
        <f>IF(B504&lt;=INDEX(YieldCurve!$A$4:$A$63,1),1,IF(B504&gt;=INDEX(YieldCurve!$A$4:$A$63,ROWS(YieldCurve!$A$4:$A$63)),ROWS(YieldCurve!$A$4:$A$63)-1,MATCH(B504,YieldCurve!$A$4:$A$63,1)))</f>
        <v>59</v>
      </c>
      <c r="D504">
        <f>INDEX(YieldCurve!$A$4:$A$63,C504)</f>
        <v>29.5</v>
      </c>
      <c r="E504">
        <f>INDEX(YieldCurve!$A$4:$A$63,C504+1)</f>
        <v>30</v>
      </c>
      <c r="F504">
        <f>INDEX(YieldCurve!$B$4:$B$63,C504)</f>
        <v>4.9472420000000003E-2</v>
      </c>
      <c r="G504">
        <f>INDEX(YieldCurve!$B$4:$B$63,C504+1)</f>
        <v>4.9454709999999999E-2</v>
      </c>
      <c r="H504">
        <f t="shared" si="7"/>
        <v>24.5</v>
      </c>
      <c r="I504">
        <f>IF(B504&lt;=INDEX(YieldCurve!$A$4:$A$63,1),INDEX(YieldCurve!$B$4:$B$63,1),IF(B504&gt;=INDEX(YieldCurve!$A$4:$A$63,ROWS(YieldCurve!$A$4:$A$63)),INDEX(YieldCurve!$B$4:$B$63,ROWS(YieldCurve!$B$4:$B$63)),F504+H504*(G504-F504)))</f>
        <v>4.9454709999999999E-2</v>
      </c>
      <c r="J504">
        <f>EXP(-(I504+Inputs!$B$9)*B504)</f>
        <v>0.12685201064384871</v>
      </c>
    </row>
    <row r="505" spans="1:10" x14ac:dyDescent="0.35">
      <c r="A505">
        <v>502</v>
      </c>
      <c r="B505">
        <f>A505/Inputs!$B$6</f>
        <v>41.833333333333336</v>
      </c>
      <c r="C505">
        <f>IF(B505&lt;=INDEX(YieldCurve!$A$4:$A$63,1),1,IF(B505&gt;=INDEX(YieldCurve!$A$4:$A$63,ROWS(YieldCurve!$A$4:$A$63)),ROWS(YieldCurve!$A$4:$A$63)-1,MATCH(B505,YieldCurve!$A$4:$A$63,1)))</f>
        <v>59</v>
      </c>
      <c r="D505">
        <f>INDEX(YieldCurve!$A$4:$A$63,C505)</f>
        <v>29.5</v>
      </c>
      <c r="E505">
        <f>INDEX(YieldCurve!$A$4:$A$63,C505+1)</f>
        <v>30</v>
      </c>
      <c r="F505">
        <f>INDEX(YieldCurve!$B$4:$B$63,C505)</f>
        <v>4.9472420000000003E-2</v>
      </c>
      <c r="G505">
        <f>INDEX(YieldCurve!$B$4:$B$63,C505+1)</f>
        <v>4.9454709999999999E-2</v>
      </c>
      <c r="H505">
        <f t="shared" si="7"/>
        <v>24.666666666666671</v>
      </c>
      <c r="I505">
        <f>IF(B505&lt;=INDEX(YieldCurve!$A$4:$A$63,1),INDEX(YieldCurve!$B$4:$B$63,1),IF(B505&gt;=INDEX(YieldCurve!$A$4:$A$63,ROWS(YieldCurve!$A$4:$A$63)),INDEX(YieldCurve!$B$4:$B$63,ROWS(YieldCurve!$B$4:$B$63)),F505+H505*(G505-F505)))</f>
        <v>4.9454709999999999E-2</v>
      </c>
      <c r="J505">
        <f>EXP(-(I505+Inputs!$B$9)*B505)</f>
        <v>0.12633030064135806</v>
      </c>
    </row>
    <row r="506" spans="1:10" x14ac:dyDescent="0.35">
      <c r="A506">
        <v>503</v>
      </c>
      <c r="B506">
        <f>A506/Inputs!$B$6</f>
        <v>41.916666666666664</v>
      </c>
      <c r="C506">
        <f>IF(B506&lt;=INDEX(YieldCurve!$A$4:$A$63,1),1,IF(B506&gt;=INDEX(YieldCurve!$A$4:$A$63,ROWS(YieldCurve!$A$4:$A$63)),ROWS(YieldCurve!$A$4:$A$63)-1,MATCH(B506,YieldCurve!$A$4:$A$63,1)))</f>
        <v>59</v>
      </c>
      <c r="D506">
        <f>INDEX(YieldCurve!$A$4:$A$63,C506)</f>
        <v>29.5</v>
      </c>
      <c r="E506">
        <f>INDEX(YieldCurve!$A$4:$A$63,C506+1)</f>
        <v>30</v>
      </c>
      <c r="F506">
        <f>INDEX(YieldCurve!$B$4:$B$63,C506)</f>
        <v>4.9472420000000003E-2</v>
      </c>
      <c r="G506">
        <f>INDEX(YieldCurve!$B$4:$B$63,C506+1)</f>
        <v>4.9454709999999999E-2</v>
      </c>
      <c r="H506">
        <f t="shared" si="7"/>
        <v>24.833333333333329</v>
      </c>
      <c r="I506">
        <f>IF(B506&lt;=INDEX(YieldCurve!$A$4:$A$63,1),INDEX(YieldCurve!$B$4:$B$63,1),IF(B506&gt;=INDEX(YieldCurve!$A$4:$A$63,ROWS(YieldCurve!$A$4:$A$63)),INDEX(YieldCurve!$B$4:$B$63,ROWS(YieldCurve!$B$4:$B$63)),F506+H506*(G506-F506)))</f>
        <v>4.9454709999999999E-2</v>
      </c>
      <c r="J506">
        <f>EXP(-(I506+Inputs!$B$9)*B506)</f>
        <v>0.1258107362991949</v>
      </c>
    </row>
    <row r="507" spans="1:10" x14ac:dyDescent="0.35">
      <c r="A507">
        <v>504</v>
      </c>
      <c r="B507">
        <f>A507/Inputs!$B$6</f>
        <v>42</v>
      </c>
      <c r="C507">
        <f>IF(B507&lt;=INDEX(YieldCurve!$A$4:$A$63,1),1,IF(B507&gt;=INDEX(YieldCurve!$A$4:$A$63,ROWS(YieldCurve!$A$4:$A$63)),ROWS(YieldCurve!$A$4:$A$63)-1,MATCH(B507,YieldCurve!$A$4:$A$63,1)))</f>
        <v>59</v>
      </c>
      <c r="D507">
        <f>INDEX(YieldCurve!$A$4:$A$63,C507)</f>
        <v>29.5</v>
      </c>
      <c r="E507">
        <f>INDEX(YieldCurve!$A$4:$A$63,C507+1)</f>
        <v>30</v>
      </c>
      <c r="F507">
        <f>INDEX(YieldCurve!$B$4:$B$63,C507)</f>
        <v>4.9472420000000003E-2</v>
      </c>
      <c r="G507">
        <f>INDEX(YieldCurve!$B$4:$B$63,C507+1)</f>
        <v>4.9454709999999999E-2</v>
      </c>
      <c r="H507">
        <f t="shared" si="7"/>
        <v>25</v>
      </c>
      <c r="I507">
        <f>IF(B507&lt;=INDEX(YieldCurve!$A$4:$A$63,1),INDEX(YieldCurve!$B$4:$B$63,1),IF(B507&gt;=INDEX(YieldCurve!$A$4:$A$63,ROWS(YieldCurve!$A$4:$A$63)),INDEX(YieldCurve!$B$4:$B$63,ROWS(YieldCurve!$B$4:$B$63)),F507+H507*(G507-F507)))</f>
        <v>4.9454709999999999E-2</v>
      </c>
      <c r="J507">
        <f>EXP(-(I507+Inputs!$B$9)*B507)</f>
        <v>0.12529330879280492</v>
      </c>
    </row>
    <row r="508" spans="1:10" x14ac:dyDescent="0.35">
      <c r="A508">
        <v>505</v>
      </c>
      <c r="B508">
        <f>A508/Inputs!$B$6</f>
        <v>42.083333333333336</v>
      </c>
      <c r="C508">
        <f>IF(B508&lt;=INDEX(YieldCurve!$A$4:$A$63,1),1,IF(B508&gt;=INDEX(YieldCurve!$A$4:$A$63,ROWS(YieldCurve!$A$4:$A$63)),ROWS(YieldCurve!$A$4:$A$63)-1,MATCH(B508,YieldCurve!$A$4:$A$63,1)))</f>
        <v>59</v>
      </c>
      <c r="D508">
        <f>INDEX(YieldCurve!$A$4:$A$63,C508)</f>
        <v>29.5</v>
      </c>
      <c r="E508">
        <f>INDEX(YieldCurve!$A$4:$A$63,C508+1)</f>
        <v>30</v>
      </c>
      <c r="F508">
        <f>INDEX(YieldCurve!$B$4:$B$63,C508)</f>
        <v>4.9472420000000003E-2</v>
      </c>
      <c r="G508">
        <f>INDEX(YieldCurve!$B$4:$B$63,C508+1)</f>
        <v>4.9454709999999999E-2</v>
      </c>
      <c r="H508">
        <f t="shared" si="7"/>
        <v>25.166666666666671</v>
      </c>
      <c r="I508">
        <f>IF(B508&lt;=INDEX(YieldCurve!$A$4:$A$63,1),INDEX(YieldCurve!$B$4:$B$63,1),IF(B508&gt;=INDEX(YieldCurve!$A$4:$A$63,ROWS(YieldCurve!$A$4:$A$63)),INDEX(YieldCurve!$B$4:$B$63,ROWS(YieldCurve!$B$4:$B$63)),F508+H508*(G508-F508)))</f>
        <v>4.9454709999999999E-2</v>
      </c>
      <c r="J508">
        <f>EXP(-(I508+Inputs!$B$9)*B508)</f>
        <v>0.12477800933392698</v>
      </c>
    </row>
    <row r="509" spans="1:10" x14ac:dyDescent="0.35">
      <c r="A509">
        <v>506</v>
      </c>
      <c r="B509">
        <f>A509/Inputs!$B$6</f>
        <v>42.166666666666664</v>
      </c>
      <c r="C509">
        <f>IF(B509&lt;=INDEX(YieldCurve!$A$4:$A$63,1),1,IF(B509&gt;=INDEX(YieldCurve!$A$4:$A$63,ROWS(YieldCurve!$A$4:$A$63)),ROWS(YieldCurve!$A$4:$A$63)-1,MATCH(B509,YieldCurve!$A$4:$A$63,1)))</f>
        <v>59</v>
      </c>
      <c r="D509">
        <f>INDEX(YieldCurve!$A$4:$A$63,C509)</f>
        <v>29.5</v>
      </c>
      <c r="E509">
        <f>INDEX(YieldCurve!$A$4:$A$63,C509+1)</f>
        <v>30</v>
      </c>
      <c r="F509">
        <f>INDEX(YieldCurve!$B$4:$B$63,C509)</f>
        <v>4.9472420000000003E-2</v>
      </c>
      <c r="G509">
        <f>INDEX(YieldCurve!$B$4:$B$63,C509+1)</f>
        <v>4.9454709999999999E-2</v>
      </c>
      <c r="H509">
        <f t="shared" si="7"/>
        <v>25.333333333333329</v>
      </c>
      <c r="I509">
        <f>IF(B509&lt;=INDEX(YieldCurve!$A$4:$A$63,1),INDEX(YieldCurve!$B$4:$B$63,1),IF(B509&gt;=INDEX(YieldCurve!$A$4:$A$63,ROWS(YieldCurve!$A$4:$A$63)),INDEX(YieldCurve!$B$4:$B$63,ROWS(YieldCurve!$B$4:$B$63)),F509+H509*(G509-F509)))</f>
        <v>4.9454709999999999E-2</v>
      </c>
      <c r="J509">
        <f>EXP(-(I509+Inputs!$B$9)*B509)</f>
        <v>0.12426482917044385</v>
      </c>
    </row>
    <row r="510" spans="1:10" x14ac:dyDescent="0.35">
      <c r="A510">
        <v>507</v>
      </c>
      <c r="B510">
        <f>A510/Inputs!$B$6</f>
        <v>42.25</v>
      </c>
      <c r="C510">
        <f>IF(B510&lt;=INDEX(YieldCurve!$A$4:$A$63,1),1,IF(B510&gt;=INDEX(YieldCurve!$A$4:$A$63,ROWS(YieldCurve!$A$4:$A$63)),ROWS(YieldCurve!$A$4:$A$63)-1,MATCH(B510,YieldCurve!$A$4:$A$63,1)))</f>
        <v>59</v>
      </c>
      <c r="D510">
        <f>INDEX(YieldCurve!$A$4:$A$63,C510)</f>
        <v>29.5</v>
      </c>
      <c r="E510">
        <f>INDEX(YieldCurve!$A$4:$A$63,C510+1)</f>
        <v>30</v>
      </c>
      <c r="F510">
        <f>INDEX(YieldCurve!$B$4:$B$63,C510)</f>
        <v>4.9472420000000003E-2</v>
      </c>
      <c r="G510">
        <f>INDEX(YieldCurve!$B$4:$B$63,C510+1)</f>
        <v>4.9454709999999999E-2</v>
      </c>
      <c r="H510">
        <f t="shared" si="7"/>
        <v>25.5</v>
      </c>
      <c r="I510">
        <f>IF(B510&lt;=INDEX(YieldCurve!$A$4:$A$63,1),INDEX(YieldCurve!$B$4:$B$63,1),IF(B510&gt;=INDEX(YieldCurve!$A$4:$A$63,ROWS(YieldCurve!$A$4:$A$63)),INDEX(YieldCurve!$B$4:$B$63,ROWS(YieldCurve!$B$4:$B$63)),F510+H510*(G510-F510)))</f>
        <v>4.9454709999999999E-2</v>
      </c>
      <c r="J510">
        <f>EXP(-(I510+Inputs!$B$9)*B510)</f>
        <v>0.1237537595862334</v>
      </c>
    </row>
    <row r="511" spans="1:10" x14ac:dyDescent="0.35">
      <c r="A511">
        <v>508</v>
      </c>
      <c r="B511">
        <f>A511/Inputs!$B$6</f>
        <v>42.333333333333336</v>
      </c>
      <c r="C511">
        <f>IF(B511&lt;=INDEX(YieldCurve!$A$4:$A$63,1),1,IF(B511&gt;=INDEX(YieldCurve!$A$4:$A$63,ROWS(YieldCurve!$A$4:$A$63)),ROWS(YieldCurve!$A$4:$A$63)-1,MATCH(B511,YieldCurve!$A$4:$A$63,1)))</f>
        <v>59</v>
      </c>
      <c r="D511">
        <f>INDEX(YieldCurve!$A$4:$A$63,C511)</f>
        <v>29.5</v>
      </c>
      <c r="E511">
        <f>INDEX(YieldCurve!$A$4:$A$63,C511+1)</f>
        <v>30</v>
      </c>
      <c r="F511">
        <f>INDEX(YieldCurve!$B$4:$B$63,C511)</f>
        <v>4.9472420000000003E-2</v>
      </c>
      <c r="G511">
        <f>INDEX(YieldCurve!$B$4:$B$63,C511+1)</f>
        <v>4.9454709999999999E-2</v>
      </c>
      <c r="H511">
        <f t="shared" si="7"/>
        <v>25.666666666666671</v>
      </c>
      <c r="I511">
        <f>IF(B511&lt;=INDEX(YieldCurve!$A$4:$A$63,1),INDEX(YieldCurve!$B$4:$B$63,1),IF(B511&gt;=INDEX(YieldCurve!$A$4:$A$63,ROWS(YieldCurve!$A$4:$A$63)),INDEX(YieldCurve!$B$4:$B$63,ROWS(YieldCurve!$B$4:$B$63)),F511+H511*(G511-F511)))</f>
        <v>4.9454709999999999E-2</v>
      </c>
      <c r="J511">
        <f>EXP(-(I511+Inputs!$B$9)*B511)</f>
        <v>0.12324479190102083</v>
      </c>
    </row>
    <row r="512" spans="1:10" x14ac:dyDescent="0.35">
      <c r="A512">
        <v>509</v>
      </c>
      <c r="B512">
        <f>A512/Inputs!$B$6</f>
        <v>42.416666666666664</v>
      </c>
      <c r="C512">
        <f>IF(B512&lt;=INDEX(YieldCurve!$A$4:$A$63,1),1,IF(B512&gt;=INDEX(YieldCurve!$A$4:$A$63,ROWS(YieldCurve!$A$4:$A$63)),ROWS(YieldCurve!$A$4:$A$63)-1,MATCH(B512,YieldCurve!$A$4:$A$63,1)))</f>
        <v>59</v>
      </c>
      <c r="D512">
        <f>INDEX(YieldCurve!$A$4:$A$63,C512)</f>
        <v>29.5</v>
      </c>
      <c r="E512">
        <f>INDEX(YieldCurve!$A$4:$A$63,C512+1)</f>
        <v>30</v>
      </c>
      <c r="F512">
        <f>INDEX(YieldCurve!$B$4:$B$63,C512)</f>
        <v>4.9472420000000003E-2</v>
      </c>
      <c r="G512">
        <f>INDEX(YieldCurve!$B$4:$B$63,C512+1)</f>
        <v>4.9454709999999999E-2</v>
      </c>
      <c r="H512">
        <f t="shared" si="7"/>
        <v>25.833333333333329</v>
      </c>
      <c r="I512">
        <f>IF(B512&lt;=INDEX(YieldCurve!$A$4:$A$63,1),INDEX(YieldCurve!$B$4:$B$63,1),IF(B512&gt;=INDEX(YieldCurve!$A$4:$A$63,ROWS(YieldCurve!$A$4:$A$63)),INDEX(YieldCurve!$B$4:$B$63,ROWS(YieldCurve!$B$4:$B$63)),F512+H512*(G512-F512)))</f>
        <v>4.9454709999999999E-2</v>
      </c>
      <c r="J512">
        <f>EXP(-(I512+Inputs!$B$9)*B512)</f>
        <v>0.12273791747023105</v>
      </c>
    </row>
    <row r="513" spans="1:10" x14ac:dyDescent="0.35">
      <c r="A513">
        <v>510</v>
      </c>
      <c r="B513">
        <f>A513/Inputs!$B$6</f>
        <v>42.5</v>
      </c>
      <c r="C513">
        <f>IF(B513&lt;=INDEX(YieldCurve!$A$4:$A$63,1),1,IF(B513&gt;=INDEX(YieldCurve!$A$4:$A$63,ROWS(YieldCurve!$A$4:$A$63)),ROWS(YieldCurve!$A$4:$A$63)-1,MATCH(B513,YieldCurve!$A$4:$A$63,1)))</f>
        <v>59</v>
      </c>
      <c r="D513">
        <f>INDEX(YieldCurve!$A$4:$A$63,C513)</f>
        <v>29.5</v>
      </c>
      <c r="E513">
        <f>INDEX(YieldCurve!$A$4:$A$63,C513+1)</f>
        <v>30</v>
      </c>
      <c r="F513">
        <f>INDEX(YieldCurve!$B$4:$B$63,C513)</f>
        <v>4.9472420000000003E-2</v>
      </c>
      <c r="G513">
        <f>INDEX(YieldCurve!$B$4:$B$63,C513+1)</f>
        <v>4.9454709999999999E-2</v>
      </c>
      <c r="H513">
        <f t="shared" si="7"/>
        <v>26</v>
      </c>
      <c r="I513">
        <f>IF(B513&lt;=INDEX(YieldCurve!$A$4:$A$63,1),INDEX(YieldCurve!$B$4:$B$63,1),IF(B513&gt;=INDEX(YieldCurve!$A$4:$A$63,ROWS(YieldCurve!$A$4:$A$63)),INDEX(YieldCurve!$B$4:$B$63,ROWS(YieldCurve!$B$4:$B$63)),F513+H513*(G513-F513)))</f>
        <v>4.9454709999999999E-2</v>
      </c>
      <c r="J513">
        <f>EXP(-(I513+Inputs!$B$9)*B513)</f>
        <v>0.12223312768484192</v>
      </c>
    </row>
    <row r="514" spans="1:10" x14ac:dyDescent="0.35">
      <c r="A514">
        <v>511</v>
      </c>
      <c r="B514">
        <f>A514/Inputs!$B$6</f>
        <v>42.583333333333336</v>
      </c>
      <c r="C514">
        <f>IF(B514&lt;=INDEX(YieldCurve!$A$4:$A$63,1),1,IF(B514&gt;=INDEX(YieldCurve!$A$4:$A$63,ROWS(YieldCurve!$A$4:$A$63)),ROWS(YieldCurve!$A$4:$A$63)-1,MATCH(B514,YieldCurve!$A$4:$A$63,1)))</f>
        <v>59</v>
      </c>
      <c r="D514">
        <f>INDEX(YieldCurve!$A$4:$A$63,C514)</f>
        <v>29.5</v>
      </c>
      <c r="E514">
        <f>INDEX(YieldCurve!$A$4:$A$63,C514+1)</f>
        <v>30</v>
      </c>
      <c r="F514">
        <f>INDEX(YieldCurve!$B$4:$B$63,C514)</f>
        <v>4.9472420000000003E-2</v>
      </c>
      <c r="G514">
        <f>INDEX(YieldCurve!$B$4:$B$63,C514+1)</f>
        <v>4.9454709999999999E-2</v>
      </c>
      <c r="H514">
        <f t="shared" si="7"/>
        <v>26.166666666666671</v>
      </c>
      <c r="I514">
        <f>IF(B514&lt;=INDEX(YieldCurve!$A$4:$A$63,1),INDEX(YieldCurve!$B$4:$B$63,1),IF(B514&gt;=INDEX(YieldCurve!$A$4:$A$63,ROWS(YieldCurve!$A$4:$A$63)),INDEX(YieldCurve!$B$4:$B$63,ROWS(YieldCurve!$B$4:$B$63)),F514+H514*(G514-F514)))</f>
        <v>4.9454709999999999E-2</v>
      </c>
      <c r="J514">
        <f>EXP(-(I514+Inputs!$B$9)*B514)</f>
        <v>0.12173041397123796</v>
      </c>
    </row>
    <row r="515" spans="1:10" x14ac:dyDescent="0.35">
      <c r="A515">
        <v>512</v>
      </c>
      <c r="B515">
        <f>A515/Inputs!$B$6</f>
        <v>42.666666666666664</v>
      </c>
      <c r="C515">
        <f>IF(B515&lt;=INDEX(YieldCurve!$A$4:$A$63,1),1,IF(B515&gt;=INDEX(YieldCurve!$A$4:$A$63,ROWS(YieldCurve!$A$4:$A$63)),ROWS(YieldCurve!$A$4:$A$63)-1,MATCH(B515,YieldCurve!$A$4:$A$63,1)))</f>
        <v>59</v>
      </c>
      <c r="D515">
        <f>INDEX(YieldCurve!$A$4:$A$63,C515)</f>
        <v>29.5</v>
      </c>
      <c r="E515">
        <f>INDEX(YieldCurve!$A$4:$A$63,C515+1)</f>
        <v>30</v>
      </c>
      <c r="F515">
        <f>INDEX(YieldCurve!$B$4:$B$63,C515)</f>
        <v>4.9472420000000003E-2</v>
      </c>
      <c r="G515">
        <f>INDEX(YieldCurve!$B$4:$B$63,C515+1)</f>
        <v>4.9454709999999999E-2</v>
      </c>
      <c r="H515">
        <f t="shared" si="7"/>
        <v>26.333333333333329</v>
      </c>
      <c r="I515">
        <f>IF(B515&lt;=INDEX(YieldCurve!$A$4:$A$63,1),INDEX(YieldCurve!$B$4:$B$63,1),IF(B515&gt;=INDEX(YieldCurve!$A$4:$A$63,ROWS(YieldCurve!$A$4:$A$63)),INDEX(YieldCurve!$B$4:$B$63,ROWS(YieldCurve!$B$4:$B$63)),F515+H515*(G515-F515)))</f>
        <v>4.9454709999999999E-2</v>
      </c>
      <c r="J515">
        <f>EXP(-(I515+Inputs!$B$9)*B515)</f>
        <v>0.12122976779106491</v>
      </c>
    </row>
    <row r="516" spans="1:10" x14ac:dyDescent="0.35">
      <c r="A516">
        <v>513</v>
      </c>
      <c r="B516">
        <f>A516/Inputs!$B$6</f>
        <v>42.75</v>
      </c>
      <c r="C516">
        <f>IF(B516&lt;=INDEX(YieldCurve!$A$4:$A$63,1),1,IF(B516&gt;=INDEX(YieldCurve!$A$4:$A$63,ROWS(YieldCurve!$A$4:$A$63)),ROWS(YieldCurve!$A$4:$A$63)-1,MATCH(B516,YieldCurve!$A$4:$A$63,1)))</f>
        <v>59</v>
      </c>
      <c r="D516">
        <f>INDEX(YieldCurve!$A$4:$A$63,C516)</f>
        <v>29.5</v>
      </c>
      <c r="E516">
        <f>INDEX(YieldCurve!$A$4:$A$63,C516+1)</f>
        <v>30</v>
      </c>
      <c r="F516">
        <f>INDEX(YieldCurve!$B$4:$B$63,C516)</f>
        <v>4.9472420000000003E-2</v>
      </c>
      <c r="G516">
        <f>INDEX(YieldCurve!$B$4:$B$63,C516+1)</f>
        <v>4.9454709999999999E-2</v>
      </c>
      <c r="H516">
        <f t="shared" ref="H516:H543" si="8">IF(E516=D516,0,(B516-D516)/(E516-D516))</f>
        <v>26.5</v>
      </c>
      <c r="I516">
        <f>IF(B516&lt;=INDEX(YieldCurve!$A$4:$A$63,1),INDEX(YieldCurve!$B$4:$B$63,1),IF(B516&gt;=INDEX(YieldCurve!$A$4:$A$63,ROWS(YieldCurve!$A$4:$A$63)),INDEX(YieldCurve!$B$4:$B$63,ROWS(YieldCurve!$B$4:$B$63)),F516+H516*(G516-F516)))</f>
        <v>4.9454709999999999E-2</v>
      </c>
      <c r="J516">
        <f>EXP(-(I516+Inputs!$B$9)*B516)</f>
        <v>0.12073118064108437</v>
      </c>
    </row>
    <row r="517" spans="1:10" x14ac:dyDescent="0.35">
      <c r="A517">
        <v>514</v>
      </c>
      <c r="B517">
        <f>A517/Inputs!$B$6</f>
        <v>42.833333333333336</v>
      </c>
      <c r="C517">
        <f>IF(B517&lt;=INDEX(YieldCurve!$A$4:$A$63,1),1,IF(B517&gt;=INDEX(YieldCurve!$A$4:$A$63,ROWS(YieldCurve!$A$4:$A$63)),ROWS(YieldCurve!$A$4:$A$63)-1,MATCH(B517,YieldCurve!$A$4:$A$63,1)))</f>
        <v>59</v>
      </c>
      <c r="D517">
        <f>INDEX(YieldCurve!$A$4:$A$63,C517)</f>
        <v>29.5</v>
      </c>
      <c r="E517">
        <f>INDEX(YieldCurve!$A$4:$A$63,C517+1)</f>
        <v>30</v>
      </c>
      <c r="F517">
        <f>INDEX(YieldCurve!$B$4:$B$63,C517)</f>
        <v>4.9472420000000003E-2</v>
      </c>
      <c r="G517">
        <f>INDEX(YieldCurve!$B$4:$B$63,C517+1)</f>
        <v>4.9454709999999999E-2</v>
      </c>
      <c r="H517">
        <f t="shared" si="8"/>
        <v>26.666666666666671</v>
      </c>
      <c r="I517">
        <f>IF(B517&lt;=INDEX(YieldCurve!$A$4:$A$63,1),INDEX(YieldCurve!$B$4:$B$63,1),IF(B517&gt;=INDEX(YieldCurve!$A$4:$A$63,ROWS(YieldCurve!$A$4:$A$63)),INDEX(YieldCurve!$B$4:$B$63,ROWS(YieldCurve!$B$4:$B$63)),F517+H517*(G517-F517)))</f>
        <v>4.9454709999999999E-2</v>
      </c>
      <c r="J517">
        <f>EXP(-(I517+Inputs!$B$9)*B517)</f>
        <v>0.12023464405302982</v>
      </c>
    </row>
    <row r="518" spans="1:10" x14ac:dyDescent="0.35">
      <c r="A518">
        <v>515</v>
      </c>
      <c r="B518">
        <f>A518/Inputs!$B$6</f>
        <v>42.916666666666664</v>
      </c>
      <c r="C518">
        <f>IF(B518&lt;=INDEX(YieldCurve!$A$4:$A$63,1),1,IF(B518&gt;=INDEX(YieldCurve!$A$4:$A$63,ROWS(YieldCurve!$A$4:$A$63)),ROWS(YieldCurve!$A$4:$A$63)-1,MATCH(B518,YieldCurve!$A$4:$A$63,1)))</f>
        <v>59</v>
      </c>
      <c r="D518">
        <f>INDEX(YieldCurve!$A$4:$A$63,C518)</f>
        <v>29.5</v>
      </c>
      <c r="E518">
        <f>INDEX(YieldCurve!$A$4:$A$63,C518+1)</f>
        <v>30</v>
      </c>
      <c r="F518">
        <f>INDEX(YieldCurve!$B$4:$B$63,C518)</f>
        <v>4.9472420000000003E-2</v>
      </c>
      <c r="G518">
        <f>INDEX(YieldCurve!$B$4:$B$63,C518+1)</f>
        <v>4.9454709999999999E-2</v>
      </c>
      <c r="H518">
        <f t="shared" si="8"/>
        <v>26.833333333333329</v>
      </c>
      <c r="I518">
        <f>IF(B518&lt;=INDEX(YieldCurve!$A$4:$A$63,1),INDEX(YieldCurve!$B$4:$B$63,1),IF(B518&gt;=INDEX(YieldCurve!$A$4:$A$63,ROWS(YieldCurve!$A$4:$A$63)),INDEX(YieldCurve!$B$4:$B$63,ROWS(YieldCurve!$B$4:$B$63)),F518+H518*(G518-F518)))</f>
        <v>4.9454709999999999E-2</v>
      </c>
      <c r="J518">
        <f>EXP(-(I518+Inputs!$B$9)*B518)</f>
        <v>0.11974014959346242</v>
      </c>
    </row>
    <row r="519" spans="1:10" x14ac:dyDescent="0.35">
      <c r="A519">
        <v>516</v>
      </c>
      <c r="B519">
        <f>A519/Inputs!$B$6</f>
        <v>43</v>
      </c>
      <c r="C519">
        <f>IF(B519&lt;=INDEX(YieldCurve!$A$4:$A$63,1),1,IF(B519&gt;=INDEX(YieldCurve!$A$4:$A$63,ROWS(YieldCurve!$A$4:$A$63)),ROWS(YieldCurve!$A$4:$A$63)-1,MATCH(B519,YieldCurve!$A$4:$A$63,1)))</f>
        <v>59</v>
      </c>
      <c r="D519">
        <f>INDEX(YieldCurve!$A$4:$A$63,C519)</f>
        <v>29.5</v>
      </c>
      <c r="E519">
        <f>INDEX(YieldCurve!$A$4:$A$63,C519+1)</f>
        <v>30</v>
      </c>
      <c r="F519">
        <f>INDEX(YieldCurve!$B$4:$B$63,C519)</f>
        <v>4.9472420000000003E-2</v>
      </c>
      <c r="G519">
        <f>INDEX(YieldCurve!$B$4:$B$63,C519+1)</f>
        <v>4.9454709999999999E-2</v>
      </c>
      <c r="H519">
        <f t="shared" si="8"/>
        <v>27</v>
      </c>
      <c r="I519">
        <f>IF(B519&lt;=INDEX(YieldCurve!$A$4:$A$63,1),INDEX(YieldCurve!$B$4:$B$63,1),IF(B519&gt;=INDEX(YieldCurve!$A$4:$A$63,ROWS(YieldCurve!$A$4:$A$63)),INDEX(YieldCurve!$B$4:$B$63,ROWS(YieldCurve!$B$4:$B$63)),F519+H519*(G519-F519)))</f>
        <v>4.9454709999999999E-2</v>
      </c>
      <c r="J519">
        <f>EXP(-(I519+Inputs!$B$9)*B519)</f>
        <v>0.11924768886362799</v>
      </c>
    </row>
    <row r="520" spans="1:10" x14ac:dyDescent="0.35">
      <c r="A520">
        <v>517</v>
      </c>
      <c r="B520">
        <f>A520/Inputs!$B$6</f>
        <v>43.083333333333336</v>
      </c>
      <c r="C520">
        <f>IF(B520&lt;=INDEX(YieldCurve!$A$4:$A$63,1),1,IF(B520&gt;=INDEX(YieldCurve!$A$4:$A$63,ROWS(YieldCurve!$A$4:$A$63)),ROWS(YieldCurve!$A$4:$A$63)-1,MATCH(B520,YieldCurve!$A$4:$A$63,1)))</f>
        <v>59</v>
      </c>
      <c r="D520">
        <f>INDEX(YieldCurve!$A$4:$A$63,C520)</f>
        <v>29.5</v>
      </c>
      <c r="E520">
        <f>INDEX(YieldCurve!$A$4:$A$63,C520+1)</f>
        <v>30</v>
      </c>
      <c r="F520">
        <f>INDEX(YieldCurve!$B$4:$B$63,C520)</f>
        <v>4.9472420000000003E-2</v>
      </c>
      <c r="G520">
        <f>INDEX(YieldCurve!$B$4:$B$63,C520+1)</f>
        <v>4.9454709999999999E-2</v>
      </c>
      <c r="H520">
        <f t="shared" si="8"/>
        <v>27.166666666666671</v>
      </c>
      <c r="I520">
        <f>IF(B520&lt;=INDEX(YieldCurve!$A$4:$A$63,1),INDEX(YieldCurve!$B$4:$B$63,1),IF(B520&gt;=INDEX(YieldCurve!$A$4:$A$63,ROWS(YieldCurve!$A$4:$A$63)),INDEX(YieldCurve!$B$4:$B$63,ROWS(YieldCurve!$B$4:$B$63)),F520+H520*(G520-F520)))</f>
        <v>4.9454709999999999E-2</v>
      </c>
      <c r="J520">
        <f>EXP(-(I520+Inputs!$B$9)*B520)</f>
        <v>0.11875725349931425</v>
      </c>
    </row>
    <row r="521" spans="1:10" x14ac:dyDescent="0.35">
      <c r="A521">
        <v>518</v>
      </c>
      <c r="B521">
        <f>A521/Inputs!$B$6</f>
        <v>43.166666666666664</v>
      </c>
      <c r="C521">
        <f>IF(B521&lt;=INDEX(YieldCurve!$A$4:$A$63,1),1,IF(B521&gt;=INDEX(YieldCurve!$A$4:$A$63,ROWS(YieldCurve!$A$4:$A$63)),ROWS(YieldCurve!$A$4:$A$63)-1,MATCH(B521,YieldCurve!$A$4:$A$63,1)))</f>
        <v>59</v>
      </c>
      <c r="D521">
        <f>INDEX(YieldCurve!$A$4:$A$63,C521)</f>
        <v>29.5</v>
      </c>
      <c r="E521">
        <f>INDEX(YieldCurve!$A$4:$A$63,C521+1)</f>
        <v>30</v>
      </c>
      <c r="F521">
        <f>INDEX(YieldCurve!$B$4:$B$63,C521)</f>
        <v>4.9472420000000003E-2</v>
      </c>
      <c r="G521">
        <f>INDEX(YieldCurve!$B$4:$B$63,C521+1)</f>
        <v>4.9454709999999999E-2</v>
      </c>
      <c r="H521">
        <f t="shared" si="8"/>
        <v>27.333333333333329</v>
      </c>
      <c r="I521">
        <f>IF(B521&lt;=INDEX(YieldCurve!$A$4:$A$63,1),INDEX(YieldCurve!$B$4:$B$63,1),IF(B521&gt;=INDEX(YieldCurve!$A$4:$A$63,ROWS(YieldCurve!$A$4:$A$63)),INDEX(YieldCurve!$B$4:$B$63,ROWS(YieldCurve!$B$4:$B$63)),F521+H521*(G521-F521)))</f>
        <v>4.9454709999999999E-2</v>
      </c>
      <c r="J521">
        <f>EXP(-(I521+Inputs!$B$9)*B521)</f>
        <v>0.11826883517070885</v>
      </c>
    </row>
    <row r="522" spans="1:10" x14ac:dyDescent="0.35">
      <c r="A522">
        <v>519</v>
      </c>
      <c r="B522">
        <f>A522/Inputs!$B$6</f>
        <v>43.25</v>
      </c>
      <c r="C522">
        <f>IF(B522&lt;=INDEX(YieldCurve!$A$4:$A$63,1),1,IF(B522&gt;=INDEX(YieldCurve!$A$4:$A$63,ROWS(YieldCurve!$A$4:$A$63)),ROWS(YieldCurve!$A$4:$A$63)-1,MATCH(B522,YieldCurve!$A$4:$A$63,1)))</f>
        <v>59</v>
      </c>
      <c r="D522">
        <f>INDEX(YieldCurve!$A$4:$A$63,C522)</f>
        <v>29.5</v>
      </c>
      <c r="E522">
        <f>INDEX(YieldCurve!$A$4:$A$63,C522+1)</f>
        <v>30</v>
      </c>
      <c r="F522">
        <f>INDEX(YieldCurve!$B$4:$B$63,C522)</f>
        <v>4.9472420000000003E-2</v>
      </c>
      <c r="G522">
        <f>INDEX(YieldCurve!$B$4:$B$63,C522+1)</f>
        <v>4.9454709999999999E-2</v>
      </c>
      <c r="H522">
        <f t="shared" si="8"/>
        <v>27.5</v>
      </c>
      <c r="I522">
        <f>IF(B522&lt;=INDEX(YieldCurve!$A$4:$A$63,1),INDEX(YieldCurve!$B$4:$B$63,1),IF(B522&gt;=INDEX(YieldCurve!$A$4:$A$63,ROWS(YieldCurve!$A$4:$A$63)),INDEX(YieldCurve!$B$4:$B$63,ROWS(YieldCurve!$B$4:$B$63)),F522+H522*(G522-F522)))</f>
        <v>4.9454709999999999E-2</v>
      </c>
      <c r="J522">
        <f>EXP(-(I522+Inputs!$B$9)*B522)</f>
        <v>0.11778242558225771</v>
      </c>
    </row>
    <row r="523" spans="1:10" x14ac:dyDescent="0.35">
      <c r="A523">
        <v>520</v>
      </c>
      <c r="B523">
        <f>A523/Inputs!$B$6</f>
        <v>43.333333333333336</v>
      </c>
      <c r="C523">
        <f>IF(B523&lt;=INDEX(YieldCurve!$A$4:$A$63,1),1,IF(B523&gt;=INDEX(YieldCurve!$A$4:$A$63,ROWS(YieldCurve!$A$4:$A$63)),ROWS(YieldCurve!$A$4:$A$63)-1,MATCH(B523,YieldCurve!$A$4:$A$63,1)))</f>
        <v>59</v>
      </c>
      <c r="D523">
        <f>INDEX(YieldCurve!$A$4:$A$63,C523)</f>
        <v>29.5</v>
      </c>
      <c r="E523">
        <f>INDEX(YieldCurve!$A$4:$A$63,C523+1)</f>
        <v>30</v>
      </c>
      <c r="F523">
        <f>INDEX(YieldCurve!$B$4:$B$63,C523)</f>
        <v>4.9472420000000003E-2</v>
      </c>
      <c r="G523">
        <f>INDEX(YieldCurve!$B$4:$B$63,C523+1)</f>
        <v>4.9454709999999999E-2</v>
      </c>
      <c r="H523">
        <f t="shared" si="8"/>
        <v>27.666666666666671</v>
      </c>
      <c r="I523">
        <f>IF(B523&lt;=INDEX(YieldCurve!$A$4:$A$63,1),INDEX(YieldCurve!$B$4:$B$63,1),IF(B523&gt;=INDEX(YieldCurve!$A$4:$A$63,ROWS(YieldCurve!$A$4:$A$63)),INDEX(YieldCurve!$B$4:$B$63,ROWS(YieldCurve!$B$4:$B$63)),F523+H523*(G523-F523)))</f>
        <v>4.9454709999999999E-2</v>
      </c>
      <c r="J523">
        <f>EXP(-(I523+Inputs!$B$9)*B523)</f>
        <v>0.11729801647252434</v>
      </c>
    </row>
    <row r="524" spans="1:10" x14ac:dyDescent="0.35">
      <c r="A524">
        <v>521</v>
      </c>
      <c r="B524">
        <f>A524/Inputs!$B$6</f>
        <v>43.416666666666664</v>
      </c>
      <c r="C524">
        <f>IF(B524&lt;=INDEX(YieldCurve!$A$4:$A$63,1),1,IF(B524&gt;=INDEX(YieldCurve!$A$4:$A$63,ROWS(YieldCurve!$A$4:$A$63)),ROWS(YieldCurve!$A$4:$A$63)-1,MATCH(B524,YieldCurve!$A$4:$A$63,1)))</f>
        <v>59</v>
      </c>
      <c r="D524">
        <f>INDEX(YieldCurve!$A$4:$A$63,C524)</f>
        <v>29.5</v>
      </c>
      <c r="E524">
        <f>INDEX(YieldCurve!$A$4:$A$63,C524+1)</f>
        <v>30</v>
      </c>
      <c r="F524">
        <f>INDEX(YieldCurve!$B$4:$B$63,C524)</f>
        <v>4.9472420000000003E-2</v>
      </c>
      <c r="G524">
        <f>INDEX(YieldCurve!$B$4:$B$63,C524+1)</f>
        <v>4.9454709999999999E-2</v>
      </c>
      <c r="H524">
        <f t="shared" si="8"/>
        <v>27.833333333333329</v>
      </c>
      <c r="I524">
        <f>IF(B524&lt;=INDEX(YieldCurve!$A$4:$A$63,1),INDEX(YieldCurve!$B$4:$B$63,1),IF(B524&gt;=INDEX(YieldCurve!$A$4:$A$63,ROWS(YieldCurve!$A$4:$A$63)),INDEX(YieldCurve!$B$4:$B$63,ROWS(YieldCurve!$B$4:$B$63)),F524+H524*(G524-F524)))</f>
        <v>4.9454709999999999E-2</v>
      </c>
      <c r="J524">
        <f>EXP(-(I524+Inputs!$B$9)*B524)</f>
        <v>0.11681559961404947</v>
      </c>
    </row>
    <row r="525" spans="1:10" x14ac:dyDescent="0.35">
      <c r="A525">
        <v>522</v>
      </c>
      <c r="B525">
        <f>A525/Inputs!$B$6</f>
        <v>43.5</v>
      </c>
      <c r="C525">
        <f>IF(B525&lt;=INDEX(YieldCurve!$A$4:$A$63,1),1,IF(B525&gt;=INDEX(YieldCurve!$A$4:$A$63,ROWS(YieldCurve!$A$4:$A$63)),ROWS(YieldCurve!$A$4:$A$63)-1,MATCH(B525,YieldCurve!$A$4:$A$63,1)))</f>
        <v>59</v>
      </c>
      <c r="D525">
        <f>INDEX(YieldCurve!$A$4:$A$63,C525)</f>
        <v>29.5</v>
      </c>
      <c r="E525">
        <f>INDEX(YieldCurve!$A$4:$A$63,C525+1)</f>
        <v>30</v>
      </c>
      <c r="F525">
        <f>INDEX(YieldCurve!$B$4:$B$63,C525)</f>
        <v>4.9472420000000003E-2</v>
      </c>
      <c r="G525">
        <f>INDEX(YieldCurve!$B$4:$B$63,C525+1)</f>
        <v>4.9454709999999999E-2</v>
      </c>
      <c r="H525">
        <f t="shared" si="8"/>
        <v>28</v>
      </c>
      <c r="I525">
        <f>IF(B525&lt;=INDEX(YieldCurve!$A$4:$A$63,1),INDEX(YieldCurve!$B$4:$B$63,1),IF(B525&gt;=INDEX(YieldCurve!$A$4:$A$63,ROWS(YieldCurve!$A$4:$A$63)),INDEX(YieldCurve!$B$4:$B$63,ROWS(YieldCurve!$B$4:$B$63)),F525+H525*(G525-F525)))</f>
        <v>4.9454709999999999E-2</v>
      </c>
      <c r="J525">
        <f>EXP(-(I525+Inputs!$B$9)*B525)</f>
        <v>0.1163351668132112</v>
      </c>
    </row>
    <row r="526" spans="1:10" x14ac:dyDescent="0.35">
      <c r="A526">
        <v>523</v>
      </c>
      <c r="B526">
        <f>A526/Inputs!$B$6</f>
        <v>43.583333333333336</v>
      </c>
      <c r="C526">
        <f>IF(B526&lt;=INDEX(YieldCurve!$A$4:$A$63,1),1,IF(B526&gt;=INDEX(YieldCurve!$A$4:$A$63,ROWS(YieldCurve!$A$4:$A$63)),ROWS(YieldCurve!$A$4:$A$63)-1,MATCH(B526,YieldCurve!$A$4:$A$63,1)))</f>
        <v>59</v>
      </c>
      <c r="D526">
        <f>INDEX(YieldCurve!$A$4:$A$63,C526)</f>
        <v>29.5</v>
      </c>
      <c r="E526">
        <f>INDEX(YieldCurve!$A$4:$A$63,C526+1)</f>
        <v>30</v>
      </c>
      <c r="F526">
        <f>INDEX(YieldCurve!$B$4:$B$63,C526)</f>
        <v>4.9472420000000003E-2</v>
      </c>
      <c r="G526">
        <f>INDEX(YieldCurve!$B$4:$B$63,C526+1)</f>
        <v>4.9454709999999999E-2</v>
      </c>
      <c r="H526">
        <f t="shared" si="8"/>
        <v>28.166666666666671</v>
      </c>
      <c r="I526">
        <f>IF(B526&lt;=INDEX(YieldCurve!$A$4:$A$63,1),INDEX(YieldCurve!$B$4:$B$63,1),IF(B526&gt;=INDEX(YieldCurve!$A$4:$A$63,ROWS(YieldCurve!$A$4:$A$63)),INDEX(YieldCurve!$B$4:$B$63,ROWS(YieldCurve!$B$4:$B$63)),F526+H526*(G526-F526)))</f>
        <v>4.9454709999999999E-2</v>
      </c>
      <c r="J526">
        <f>EXP(-(I526+Inputs!$B$9)*B526)</f>
        <v>0.11585670991008593</v>
      </c>
    </row>
    <row r="527" spans="1:10" x14ac:dyDescent="0.35">
      <c r="A527">
        <v>524</v>
      </c>
      <c r="B527">
        <f>A527/Inputs!$B$6</f>
        <v>43.666666666666664</v>
      </c>
      <c r="C527">
        <f>IF(B527&lt;=INDEX(YieldCurve!$A$4:$A$63,1),1,IF(B527&gt;=INDEX(YieldCurve!$A$4:$A$63,ROWS(YieldCurve!$A$4:$A$63)),ROWS(YieldCurve!$A$4:$A$63)-1,MATCH(B527,YieldCurve!$A$4:$A$63,1)))</f>
        <v>59</v>
      </c>
      <c r="D527">
        <f>INDEX(YieldCurve!$A$4:$A$63,C527)</f>
        <v>29.5</v>
      </c>
      <c r="E527">
        <f>INDEX(YieldCurve!$A$4:$A$63,C527+1)</f>
        <v>30</v>
      </c>
      <c r="F527">
        <f>INDEX(YieldCurve!$B$4:$B$63,C527)</f>
        <v>4.9472420000000003E-2</v>
      </c>
      <c r="G527">
        <f>INDEX(YieldCurve!$B$4:$B$63,C527+1)</f>
        <v>4.9454709999999999E-2</v>
      </c>
      <c r="H527">
        <f t="shared" si="8"/>
        <v>28.333333333333329</v>
      </c>
      <c r="I527">
        <f>IF(B527&lt;=INDEX(YieldCurve!$A$4:$A$63,1),INDEX(YieldCurve!$B$4:$B$63,1),IF(B527&gt;=INDEX(YieldCurve!$A$4:$A$63,ROWS(YieldCurve!$A$4:$A$63)),INDEX(YieldCurve!$B$4:$B$63,ROWS(YieldCurve!$B$4:$B$63)),F527+H527*(G527-F527)))</f>
        <v>4.9454709999999999E-2</v>
      </c>
      <c r="J527">
        <f>EXP(-(I527+Inputs!$B$9)*B527)</f>
        <v>0.11538022077830981</v>
      </c>
    </row>
    <row r="528" spans="1:10" x14ac:dyDescent="0.35">
      <c r="A528">
        <v>525</v>
      </c>
      <c r="B528">
        <f>A528/Inputs!$B$6</f>
        <v>43.75</v>
      </c>
      <c r="C528">
        <f>IF(B528&lt;=INDEX(YieldCurve!$A$4:$A$63,1),1,IF(B528&gt;=INDEX(YieldCurve!$A$4:$A$63,ROWS(YieldCurve!$A$4:$A$63)),ROWS(YieldCurve!$A$4:$A$63)-1,MATCH(B528,YieldCurve!$A$4:$A$63,1)))</f>
        <v>59</v>
      </c>
      <c r="D528">
        <f>INDEX(YieldCurve!$A$4:$A$63,C528)</f>
        <v>29.5</v>
      </c>
      <c r="E528">
        <f>INDEX(YieldCurve!$A$4:$A$63,C528+1)</f>
        <v>30</v>
      </c>
      <c r="F528">
        <f>INDEX(YieldCurve!$B$4:$B$63,C528)</f>
        <v>4.9472420000000003E-2</v>
      </c>
      <c r="G528">
        <f>INDEX(YieldCurve!$B$4:$B$63,C528+1)</f>
        <v>4.9454709999999999E-2</v>
      </c>
      <c r="H528">
        <f t="shared" si="8"/>
        <v>28.5</v>
      </c>
      <c r="I528">
        <f>IF(B528&lt;=INDEX(YieldCurve!$A$4:$A$63,1),INDEX(YieldCurve!$B$4:$B$63,1),IF(B528&gt;=INDEX(YieldCurve!$A$4:$A$63,ROWS(YieldCurve!$A$4:$A$63)),INDEX(YieldCurve!$B$4:$B$63,ROWS(YieldCurve!$B$4:$B$63)),F528+H528*(G528-F528)))</f>
        <v>4.9454709999999999E-2</v>
      </c>
      <c r="J528">
        <f>EXP(-(I528+Inputs!$B$9)*B528)</f>
        <v>0.11490569132494051</v>
      </c>
    </row>
    <row r="529" spans="1:10" x14ac:dyDescent="0.35">
      <c r="A529">
        <v>526</v>
      </c>
      <c r="B529">
        <f>A529/Inputs!$B$6</f>
        <v>43.833333333333336</v>
      </c>
      <c r="C529">
        <f>IF(B529&lt;=INDEX(YieldCurve!$A$4:$A$63,1),1,IF(B529&gt;=INDEX(YieldCurve!$A$4:$A$63,ROWS(YieldCurve!$A$4:$A$63)),ROWS(YieldCurve!$A$4:$A$63)-1,MATCH(B529,YieldCurve!$A$4:$A$63,1)))</f>
        <v>59</v>
      </c>
      <c r="D529">
        <f>INDEX(YieldCurve!$A$4:$A$63,C529)</f>
        <v>29.5</v>
      </c>
      <c r="E529">
        <f>INDEX(YieldCurve!$A$4:$A$63,C529+1)</f>
        <v>30</v>
      </c>
      <c r="F529">
        <f>INDEX(YieldCurve!$B$4:$B$63,C529)</f>
        <v>4.9472420000000003E-2</v>
      </c>
      <c r="G529">
        <f>INDEX(YieldCurve!$B$4:$B$63,C529+1)</f>
        <v>4.9454709999999999E-2</v>
      </c>
      <c r="H529">
        <f t="shared" si="8"/>
        <v>28.666666666666671</v>
      </c>
      <c r="I529">
        <f>IF(B529&lt;=INDEX(YieldCurve!$A$4:$A$63,1),INDEX(YieldCurve!$B$4:$B$63,1),IF(B529&gt;=INDEX(YieldCurve!$A$4:$A$63,ROWS(YieldCurve!$A$4:$A$63)),INDEX(YieldCurve!$B$4:$B$63,ROWS(YieldCurve!$B$4:$B$63)),F529+H529*(G529-F529)))</f>
        <v>4.9454709999999999E-2</v>
      </c>
      <c r="J529">
        <f>EXP(-(I529+Inputs!$B$9)*B529)</f>
        <v>0.11443311349032004</v>
      </c>
    </row>
    <row r="530" spans="1:10" x14ac:dyDescent="0.35">
      <c r="A530">
        <v>527</v>
      </c>
      <c r="B530">
        <f>A530/Inputs!$B$6</f>
        <v>43.916666666666664</v>
      </c>
      <c r="C530">
        <f>IF(B530&lt;=INDEX(YieldCurve!$A$4:$A$63,1),1,IF(B530&gt;=INDEX(YieldCurve!$A$4:$A$63,ROWS(YieldCurve!$A$4:$A$63)),ROWS(YieldCurve!$A$4:$A$63)-1,MATCH(B530,YieldCurve!$A$4:$A$63,1)))</f>
        <v>59</v>
      </c>
      <c r="D530">
        <f>INDEX(YieldCurve!$A$4:$A$63,C530)</f>
        <v>29.5</v>
      </c>
      <c r="E530">
        <f>INDEX(YieldCurve!$A$4:$A$63,C530+1)</f>
        <v>30</v>
      </c>
      <c r="F530">
        <f>INDEX(YieldCurve!$B$4:$B$63,C530)</f>
        <v>4.9472420000000003E-2</v>
      </c>
      <c r="G530">
        <f>INDEX(YieldCurve!$B$4:$B$63,C530+1)</f>
        <v>4.9454709999999999E-2</v>
      </c>
      <c r="H530">
        <f t="shared" si="8"/>
        <v>28.833333333333329</v>
      </c>
      <c r="I530">
        <f>IF(B530&lt;=INDEX(YieldCurve!$A$4:$A$63,1),INDEX(YieldCurve!$B$4:$B$63,1),IF(B530&gt;=INDEX(YieldCurve!$A$4:$A$63,ROWS(YieldCurve!$A$4:$A$63)),INDEX(YieldCurve!$B$4:$B$63,ROWS(YieldCurve!$B$4:$B$63)),F530+H530*(G530-F530)))</f>
        <v>4.9454709999999999E-2</v>
      </c>
      <c r="J530">
        <f>EXP(-(I530+Inputs!$B$9)*B530)</f>
        <v>0.11396247924793768</v>
      </c>
    </row>
    <row r="531" spans="1:10" x14ac:dyDescent="0.35">
      <c r="A531">
        <v>528</v>
      </c>
      <c r="B531">
        <f>A531/Inputs!$B$6</f>
        <v>44</v>
      </c>
      <c r="C531">
        <f>IF(B531&lt;=INDEX(YieldCurve!$A$4:$A$63,1),1,IF(B531&gt;=INDEX(YieldCurve!$A$4:$A$63,ROWS(YieldCurve!$A$4:$A$63)),ROWS(YieldCurve!$A$4:$A$63)-1,MATCH(B531,YieldCurve!$A$4:$A$63,1)))</f>
        <v>59</v>
      </c>
      <c r="D531">
        <f>INDEX(YieldCurve!$A$4:$A$63,C531)</f>
        <v>29.5</v>
      </c>
      <c r="E531">
        <f>INDEX(YieldCurve!$A$4:$A$63,C531+1)</f>
        <v>30</v>
      </c>
      <c r="F531">
        <f>INDEX(YieldCurve!$B$4:$B$63,C531)</f>
        <v>4.9472420000000003E-2</v>
      </c>
      <c r="G531">
        <f>INDEX(YieldCurve!$B$4:$B$63,C531+1)</f>
        <v>4.9454709999999999E-2</v>
      </c>
      <c r="H531">
        <f t="shared" si="8"/>
        <v>29</v>
      </c>
      <c r="I531">
        <f>IF(B531&lt;=INDEX(YieldCurve!$A$4:$A$63,1),INDEX(YieldCurve!$B$4:$B$63,1),IF(B531&gt;=INDEX(YieldCurve!$A$4:$A$63,ROWS(YieldCurve!$A$4:$A$63)),INDEX(YieldCurve!$B$4:$B$63,ROWS(YieldCurve!$B$4:$B$63)),F531+H531*(G531-F531)))</f>
        <v>4.9454709999999999E-2</v>
      </c>
      <c r="J531">
        <f>EXP(-(I531+Inputs!$B$9)*B531)</f>
        <v>0.11349378060429371</v>
      </c>
    </row>
    <row r="532" spans="1:10" x14ac:dyDescent="0.35">
      <c r="A532">
        <v>529</v>
      </c>
      <c r="B532">
        <f>A532/Inputs!$B$6</f>
        <v>44.083333333333336</v>
      </c>
      <c r="C532">
        <f>IF(B532&lt;=INDEX(YieldCurve!$A$4:$A$63,1),1,IF(B532&gt;=INDEX(YieldCurve!$A$4:$A$63,ROWS(YieldCurve!$A$4:$A$63)),ROWS(YieldCurve!$A$4:$A$63)-1,MATCH(B532,YieldCurve!$A$4:$A$63,1)))</f>
        <v>59</v>
      </c>
      <c r="D532">
        <f>INDEX(YieldCurve!$A$4:$A$63,C532)</f>
        <v>29.5</v>
      </c>
      <c r="E532">
        <f>INDEX(YieldCurve!$A$4:$A$63,C532+1)</f>
        <v>30</v>
      </c>
      <c r="F532">
        <f>INDEX(YieldCurve!$B$4:$B$63,C532)</f>
        <v>4.9472420000000003E-2</v>
      </c>
      <c r="G532">
        <f>INDEX(YieldCurve!$B$4:$B$63,C532+1)</f>
        <v>4.9454709999999999E-2</v>
      </c>
      <c r="H532">
        <f t="shared" si="8"/>
        <v>29.166666666666671</v>
      </c>
      <c r="I532">
        <f>IF(B532&lt;=INDEX(YieldCurve!$A$4:$A$63,1),INDEX(YieldCurve!$B$4:$B$63,1),IF(B532&gt;=INDEX(YieldCurve!$A$4:$A$63,ROWS(YieldCurve!$A$4:$A$63)),INDEX(YieldCurve!$B$4:$B$63,ROWS(YieldCurve!$B$4:$B$63)),F532+H532*(G532-F532)))</f>
        <v>4.9454709999999999E-2</v>
      </c>
      <c r="J532">
        <f>EXP(-(I532+Inputs!$B$9)*B532)</f>
        <v>0.11302700959876368</v>
      </c>
    </row>
    <row r="533" spans="1:10" x14ac:dyDescent="0.35">
      <c r="A533">
        <v>530</v>
      </c>
      <c r="B533">
        <f>A533/Inputs!$B$6</f>
        <v>44.166666666666664</v>
      </c>
      <c r="C533">
        <f>IF(B533&lt;=INDEX(YieldCurve!$A$4:$A$63,1),1,IF(B533&gt;=INDEX(YieldCurve!$A$4:$A$63,ROWS(YieldCurve!$A$4:$A$63)),ROWS(YieldCurve!$A$4:$A$63)-1,MATCH(B533,YieldCurve!$A$4:$A$63,1)))</f>
        <v>59</v>
      </c>
      <c r="D533">
        <f>INDEX(YieldCurve!$A$4:$A$63,C533)</f>
        <v>29.5</v>
      </c>
      <c r="E533">
        <f>INDEX(YieldCurve!$A$4:$A$63,C533+1)</f>
        <v>30</v>
      </c>
      <c r="F533">
        <f>INDEX(YieldCurve!$B$4:$B$63,C533)</f>
        <v>4.9472420000000003E-2</v>
      </c>
      <c r="G533">
        <f>INDEX(YieldCurve!$B$4:$B$63,C533+1)</f>
        <v>4.9454709999999999E-2</v>
      </c>
      <c r="H533">
        <f t="shared" si="8"/>
        <v>29.333333333333329</v>
      </c>
      <c r="I533">
        <f>IF(B533&lt;=INDEX(YieldCurve!$A$4:$A$63,1),INDEX(YieldCurve!$B$4:$B$63,1),IF(B533&gt;=INDEX(YieldCurve!$A$4:$A$63,ROWS(YieldCurve!$A$4:$A$63)),INDEX(YieldCurve!$B$4:$B$63,ROWS(YieldCurve!$B$4:$B$63)),F533+H533*(G533-F533)))</f>
        <v>4.9454709999999999E-2</v>
      </c>
      <c r="J533">
        <f>EXP(-(I533+Inputs!$B$9)*B533)</f>
        <v>0.11256215830346311</v>
      </c>
    </row>
    <row r="534" spans="1:10" x14ac:dyDescent="0.35">
      <c r="A534">
        <v>531</v>
      </c>
      <c r="B534">
        <f>A534/Inputs!$B$6</f>
        <v>44.25</v>
      </c>
      <c r="C534">
        <f>IF(B534&lt;=INDEX(YieldCurve!$A$4:$A$63,1),1,IF(B534&gt;=INDEX(YieldCurve!$A$4:$A$63,ROWS(YieldCurve!$A$4:$A$63)),ROWS(YieldCurve!$A$4:$A$63)-1,MATCH(B534,YieldCurve!$A$4:$A$63,1)))</f>
        <v>59</v>
      </c>
      <c r="D534">
        <f>INDEX(YieldCurve!$A$4:$A$63,C534)</f>
        <v>29.5</v>
      </c>
      <c r="E534">
        <f>INDEX(YieldCurve!$A$4:$A$63,C534+1)</f>
        <v>30</v>
      </c>
      <c r="F534">
        <f>INDEX(YieldCurve!$B$4:$B$63,C534)</f>
        <v>4.9472420000000003E-2</v>
      </c>
      <c r="G534">
        <f>INDEX(YieldCurve!$B$4:$B$63,C534+1)</f>
        <v>4.9454709999999999E-2</v>
      </c>
      <c r="H534">
        <f t="shared" si="8"/>
        <v>29.5</v>
      </c>
      <c r="I534">
        <f>IF(B534&lt;=INDEX(YieldCurve!$A$4:$A$63,1),INDEX(YieldCurve!$B$4:$B$63,1),IF(B534&gt;=INDEX(YieldCurve!$A$4:$A$63,ROWS(YieldCurve!$A$4:$A$63)),INDEX(YieldCurve!$B$4:$B$63,ROWS(YieldCurve!$B$4:$B$63)),F534+H534*(G534-F534)))</f>
        <v>4.9454709999999999E-2</v>
      </c>
      <c r="J534">
        <f>EXP(-(I534+Inputs!$B$9)*B534)</f>
        <v>0.11209921882311283</v>
      </c>
    </row>
    <row r="535" spans="1:10" x14ac:dyDescent="0.35">
      <c r="A535">
        <v>532</v>
      </c>
      <c r="B535">
        <f>A535/Inputs!$B$6</f>
        <v>44.333333333333336</v>
      </c>
      <c r="C535">
        <f>IF(B535&lt;=INDEX(YieldCurve!$A$4:$A$63,1),1,IF(B535&gt;=INDEX(YieldCurve!$A$4:$A$63,ROWS(YieldCurve!$A$4:$A$63)),ROWS(YieldCurve!$A$4:$A$63)-1,MATCH(B535,YieldCurve!$A$4:$A$63,1)))</f>
        <v>59</v>
      </c>
      <c r="D535">
        <f>INDEX(YieldCurve!$A$4:$A$63,C535)</f>
        <v>29.5</v>
      </c>
      <c r="E535">
        <f>INDEX(YieldCurve!$A$4:$A$63,C535+1)</f>
        <v>30</v>
      </c>
      <c r="F535">
        <f>INDEX(YieldCurve!$B$4:$B$63,C535)</f>
        <v>4.9472420000000003E-2</v>
      </c>
      <c r="G535">
        <f>INDEX(YieldCurve!$B$4:$B$63,C535+1)</f>
        <v>4.9454709999999999E-2</v>
      </c>
      <c r="H535">
        <f t="shared" si="8"/>
        <v>29.666666666666671</v>
      </c>
      <c r="I535">
        <f>IF(B535&lt;=INDEX(YieldCurve!$A$4:$A$63,1),INDEX(YieldCurve!$B$4:$B$63,1),IF(B535&gt;=INDEX(YieldCurve!$A$4:$A$63,ROWS(YieldCurve!$A$4:$A$63)),INDEX(YieldCurve!$B$4:$B$63,ROWS(YieldCurve!$B$4:$B$63)),F535+H535*(G535-F535)))</f>
        <v>4.9454709999999999E-2</v>
      </c>
      <c r="J535">
        <f>EXP(-(I535+Inputs!$B$9)*B535)</f>
        <v>0.11163818329490505</v>
      </c>
    </row>
    <row r="536" spans="1:10" x14ac:dyDescent="0.35">
      <c r="A536">
        <v>533</v>
      </c>
      <c r="B536">
        <f>A536/Inputs!$B$6</f>
        <v>44.416666666666664</v>
      </c>
      <c r="C536">
        <f>IF(B536&lt;=INDEX(YieldCurve!$A$4:$A$63,1),1,IF(B536&gt;=INDEX(YieldCurve!$A$4:$A$63,ROWS(YieldCurve!$A$4:$A$63)),ROWS(YieldCurve!$A$4:$A$63)-1,MATCH(B536,YieldCurve!$A$4:$A$63,1)))</f>
        <v>59</v>
      </c>
      <c r="D536">
        <f>INDEX(YieldCurve!$A$4:$A$63,C536)</f>
        <v>29.5</v>
      </c>
      <c r="E536">
        <f>INDEX(YieldCurve!$A$4:$A$63,C536+1)</f>
        <v>30</v>
      </c>
      <c r="F536">
        <f>INDEX(YieldCurve!$B$4:$B$63,C536)</f>
        <v>4.9472420000000003E-2</v>
      </c>
      <c r="G536">
        <f>INDEX(YieldCurve!$B$4:$B$63,C536+1)</f>
        <v>4.9454709999999999E-2</v>
      </c>
      <c r="H536">
        <f t="shared" si="8"/>
        <v>29.833333333333329</v>
      </c>
      <c r="I536">
        <f>IF(B536&lt;=INDEX(YieldCurve!$A$4:$A$63,1),INDEX(YieldCurve!$B$4:$B$63,1),IF(B536&gt;=INDEX(YieldCurve!$A$4:$A$63,ROWS(YieldCurve!$A$4:$A$63)),INDEX(YieldCurve!$B$4:$B$63,ROWS(YieldCurve!$B$4:$B$63)),F536+H536*(G536-F536)))</f>
        <v>4.9454709999999999E-2</v>
      </c>
      <c r="J536">
        <f>EXP(-(I536+Inputs!$B$9)*B536)</f>
        <v>0.11117904388836969</v>
      </c>
    </row>
    <row r="537" spans="1:10" x14ac:dyDescent="0.35">
      <c r="A537">
        <v>534</v>
      </c>
      <c r="B537">
        <f>A537/Inputs!$B$6</f>
        <v>44.5</v>
      </c>
      <c r="C537">
        <f>IF(B537&lt;=INDEX(YieldCurve!$A$4:$A$63,1),1,IF(B537&gt;=INDEX(YieldCurve!$A$4:$A$63,ROWS(YieldCurve!$A$4:$A$63)),ROWS(YieldCurve!$A$4:$A$63)-1,MATCH(B537,YieldCurve!$A$4:$A$63,1)))</f>
        <v>59</v>
      </c>
      <c r="D537">
        <f>INDEX(YieldCurve!$A$4:$A$63,C537)</f>
        <v>29.5</v>
      </c>
      <c r="E537">
        <f>INDEX(YieldCurve!$A$4:$A$63,C537+1)</f>
        <v>30</v>
      </c>
      <c r="F537">
        <f>INDEX(YieldCurve!$B$4:$B$63,C537)</f>
        <v>4.9472420000000003E-2</v>
      </c>
      <c r="G537">
        <f>INDEX(YieldCurve!$B$4:$B$63,C537+1)</f>
        <v>4.9454709999999999E-2</v>
      </c>
      <c r="H537">
        <f t="shared" si="8"/>
        <v>30</v>
      </c>
      <c r="I537">
        <f>IF(B537&lt;=INDEX(YieldCurve!$A$4:$A$63,1),INDEX(YieldCurve!$B$4:$B$63,1),IF(B537&gt;=INDEX(YieldCurve!$A$4:$A$63,ROWS(YieldCurve!$A$4:$A$63)),INDEX(YieldCurve!$B$4:$B$63,ROWS(YieldCurve!$B$4:$B$63)),F537+H537*(G537-F537)))</f>
        <v>4.9454709999999999E-2</v>
      </c>
      <c r="J537">
        <f>EXP(-(I537+Inputs!$B$9)*B537)</f>
        <v>0.11072179280524133</v>
      </c>
    </row>
    <row r="538" spans="1:10" x14ac:dyDescent="0.35">
      <c r="A538">
        <v>535</v>
      </c>
      <c r="B538">
        <f>A538/Inputs!$B$6</f>
        <v>44.583333333333336</v>
      </c>
      <c r="C538">
        <f>IF(B538&lt;=INDEX(YieldCurve!$A$4:$A$63,1),1,IF(B538&gt;=INDEX(YieldCurve!$A$4:$A$63,ROWS(YieldCurve!$A$4:$A$63)),ROWS(YieldCurve!$A$4:$A$63)-1,MATCH(B538,YieldCurve!$A$4:$A$63,1)))</f>
        <v>59</v>
      </c>
      <c r="D538">
        <f>INDEX(YieldCurve!$A$4:$A$63,C538)</f>
        <v>29.5</v>
      </c>
      <c r="E538">
        <f>INDEX(YieldCurve!$A$4:$A$63,C538+1)</f>
        <v>30</v>
      </c>
      <c r="F538">
        <f>INDEX(YieldCurve!$B$4:$B$63,C538)</f>
        <v>4.9472420000000003E-2</v>
      </c>
      <c r="G538">
        <f>INDEX(YieldCurve!$B$4:$B$63,C538+1)</f>
        <v>4.9454709999999999E-2</v>
      </c>
      <c r="H538">
        <f t="shared" si="8"/>
        <v>30.166666666666671</v>
      </c>
      <c r="I538">
        <f>IF(B538&lt;=INDEX(YieldCurve!$A$4:$A$63,1),INDEX(YieldCurve!$B$4:$B$63,1),IF(B538&gt;=INDEX(YieldCurve!$A$4:$A$63,ROWS(YieldCurve!$A$4:$A$63)),INDEX(YieldCurve!$B$4:$B$63,ROWS(YieldCurve!$B$4:$B$63)),F538+H538*(G538-F538)))</f>
        <v>4.9454709999999999E-2</v>
      </c>
      <c r="J538">
        <f>EXP(-(I538+Inputs!$B$9)*B538)</f>
        <v>0.11026642227932693</v>
      </c>
    </row>
    <row r="539" spans="1:10" x14ac:dyDescent="0.35">
      <c r="A539">
        <v>536</v>
      </c>
      <c r="B539">
        <f>A539/Inputs!$B$6</f>
        <v>44.666666666666664</v>
      </c>
      <c r="C539">
        <f>IF(B539&lt;=INDEX(YieldCurve!$A$4:$A$63,1),1,IF(B539&gt;=INDEX(YieldCurve!$A$4:$A$63,ROWS(YieldCurve!$A$4:$A$63)),ROWS(YieldCurve!$A$4:$A$63)-1,MATCH(B539,YieldCurve!$A$4:$A$63,1)))</f>
        <v>59</v>
      </c>
      <c r="D539">
        <f>INDEX(YieldCurve!$A$4:$A$63,C539)</f>
        <v>29.5</v>
      </c>
      <c r="E539">
        <f>INDEX(YieldCurve!$A$4:$A$63,C539+1)</f>
        <v>30</v>
      </c>
      <c r="F539">
        <f>INDEX(YieldCurve!$B$4:$B$63,C539)</f>
        <v>4.9472420000000003E-2</v>
      </c>
      <c r="G539">
        <f>INDEX(YieldCurve!$B$4:$B$63,C539+1)</f>
        <v>4.9454709999999999E-2</v>
      </c>
      <c r="H539">
        <f t="shared" si="8"/>
        <v>30.333333333333329</v>
      </c>
      <c r="I539">
        <f>IF(B539&lt;=INDEX(YieldCurve!$A$4:$A$63,1),INDEX(YieldCurve!$B$4:$B$63,1),IF(B539&gt;=INDEX(YieldCurve!$A$4:$A$63,ROWS(YieldCurve!$A$4:$A$63)),INDEX(YieldCurve!$B$4:$B$63,ROWS(YieldCurve!$B$4:$B$63)),F539+H539*(G539-F539)))</f>
        <v>4.9454709999999999E-2</v>
      </c>
      <c r="J539">
        <f>EXP(-(I539+Inputs!$B$9)*B539)</f>
        <v>0.10981292457637376</v>
      </c>
    </row>
    <row r="540" spans="1:10" x14ac:dyDescent="0.35">
      <c r="A540">
        <v>537</v>
      </c>
      <c r="B540">
        <f>A540/Inputs!$B$6</f>
        <v>44.75</v>
      </c>
      <c r="C540">
        <f>IF(B540&lt;=INDEX(YieldCurve!$A$4:$A$63,1),1,IF(B540&gt;=INDEX(YieldCurve!$A$4:$A$63,ROWS(YieldCurve!$A$4:$A$63)),ROWS(YieldCurve!$A$4:$A$63)-1,MATCH(B540,YieldCurve!$A$4:$A$63,1)))</f>
        <v>59</v>
      </c>
      <c r="D540">
        <f>INDEX(YieldCurve!$A$4:$A$63,C540)</f>
        <v>29.5</v>
      </c>
      <c r="E540">
        <f>INDEX(YieldCurve!$A$4:$A$63,C540+1)</f>
        <v>30</v>
      </c>
      <c r="F540">
        <f>INDEX(YieldCurve!$B$4:$B$63,C540)</f>
        <v>4.9472420000000003E-2</v>
      </c>
      <c r="G540">
        <f>INDEX(YieldCurve!$B$4:$B$63,C540+1)</f>
        <v>4.9454709999999999E-2</v>
      </c>
      <c r="H540">
        <f t="shared" si="8"/>
        <v>30.5</v>
      </c>
      <c r="I540">
        <f>IF(B540&lt;=INDEX(YieldCurve!$A$4:$A$63,1),INDEX(YieldCurve!$B$4:$B$63,1),IF(B540&gt;=INDEX(YieldCurve!$A$4:$A$63,ROWS(YieldCurve!$A$4:$A$63)),INDEX(YieldCurve!$B$4:$B$63,ROWS(YieldCurve!$B$4:$B$63)),F540+H540*(G540-F540)))</f>
        <v>4.9454709999999999E-2</v>
      </c>
      <c r="J540">
        <f>EXP(-(I540+Inputs!$B$9)*B540)</f>
        <v>0.10936129199393804</v>
      </c>
    </row>
    <row r="541" spans="1:10" x14ac:dyDescent="0.35">
      <c r="A541">
        <v>538</v>
      </c>
      <c r="B541">
        <f>A541/Inputs!$B$6</f>
        <v>44.833333333333336</v>
      </c>
      <c r="C541">
        <f>IF(B541&lt;=INDEX(YieldCurve!$A$4:$A$63,1),1,IF(B541&gt;=INDEX(YieldCurve!$A$4:$A$63,ROWS(YieldCurve!$A$4:$A$63)),ROWS(YieldCurve!$A$4:$A$63)-1,MATCH(B541,YieldCurve!$A$4:$A$63,1)))</f>
        <v>59</v>
      </c>
      <c r="D541">
        <f>INDEX(YieldCurve!$A$4:$A$63,C541)</f>
        <v>29.5</v>
      </c>
      <c r="E541">
        <f>INDEX(YieldCurve!$A$4:$A$63,C541+1)</f>
        <v>30</v>
      </c>
      <c r="F541">
        <f>INDEX(YieldCurve!$B$4:$B$63,C541)</f>
        <v>4.9472420000000003E-2</v>
      </c>
      <c r="G541">
        <f>INDEX(YieldCurve!$B$4:$B$63,C541+1)</f>
        <v>4.9454709999999999E-2</v>
      </c>
      <c r="H541">
        <f t="shared" si="8"/>
        <v>30.666666666666671</v>
      </c>
      <c r="I541">
        <f>IF(B541&lt;=INDEX(YieldCurve!$A$4:$A$63,1),INDEX(YieldCurve!$B$4:$B$63,1),IF(B541&gt;=INDEX(YieldCurve!$A$4:$A$63,ROWS(YieldCurve!$A$4:$A$63)),INDEX(YieldCurve!$B$4:$B$63,ROWS(YieldCurve!$B$4:$B$63)),F541+H541*(G541-F541)))</f>
        <v>4.9454709999999999E-2</v>
      </c>
      <c r="J541">
        <f>EXP(-(I541+Inputs!$B$9)*B541)</f>
        <v>0.1089115168612543</v>
      </c>
    </row>
    <row r="542" spans="1:10" x14ac:dyDescent="0.35">
      <c r="A542">
        <v>539</v>
      </c>
      <c r="B542">
        <f>A542/Inputs!$B$6</f>
        <v>44.916666666666664</v>
      </c>
      <c r="C542">
        <f>IF(B542&lt;=INDEX(YieldCurve!$A$4:$A$63,1),1,IF(B542&gt;=INDEX(YieldCurve!$A$4:$A$63,ROWS(YieldCurve!$A$4:$A$63)),ROWS(YieldCurve!$A$4:$A$63)-1,MATCH(B542,YieldCurve!$A$4:$A$63,1)))</f>
        <v>59</v>
      </c>
      <c r="D542">
        <f>INDEX(YieldCurve!$A$4:$A$63,C542)</f>
        <v>29.5</v>
      </c>
      <c r="E542">
        <f>INDEX(YieldCurve!$A$4:$A$63,C542+1)</f>
        <v>30</v>
      </c>
      <c r="F542">
        <f>INDEX(YieldCurve!$B$4:$B$63,C542)</f>
        <v>4.9472420000000003E-2</v>
      </c>
      <c r="G542">
        <f>INDEX(YieldCurve!$B$4:$B$63,C542+1)</f>
        <v>4.9454709999999999E-2</v>
      </c>
      <c r="H542">
        <f t="shared" si="8"/>
        <v>30.833333333333329</v>
      </c>
      <c r="I542">
        <f>IF(B542&lt;=INDEX(YieldCurve!$A$4:$A$63,1),INDEX(YieldCurve!$B$4:$B$63,1),IF(B542&gt;=INDEX(YieldCurve!$A$4:$A$63,ROWS(YieldCurve!$A$4:$A$63)),INDEX(YieldCurve!$B$4:$B$63,ROWS(YieldCurve!$B$4:$B$63)),F542+H542*(G542-F542)))</f>
        <v>4.9454709999999999E-2</v>
      </c>
      <c r="J542">
        <f>EXP(-(I542+Inputs!$B$9)*B542)</f>
        <v>0.10846359153910495</v>
      </c>
    </row>
    <row r="543" spans="1:10" x14ac:dyDescent="0.35">
      <c r="A543">
        <v>540</v>
      </c>
      <c r="B543">
        <f>A543/Inputs!$B$6</f>
        <v>45</v>
      </c>
      <c r="C543">
        <f>IF(B543&lt;=INDEX(YieldCurve!$A$4:$A$63,1),1,IF(B543&gt;=INDEX(YieldCurve!$A$4:$A$63,ROWS(YieldCurve!$A$4:$A$63)),ROWS(YieldCurve!$A$4:$A$63)-1,MATCH(B543,YieldCurve!$A$4:$A$63,1)))</f>
        <v>59</v>
      </c>
      <c r="D543">
        <f>INDEX(YieldCurve!$A$4:$A$63,C543)</f>
        <v>29.5</v>
      </c>
      <c r="E543">
        <f>INDEX(YieldCurve!$A$4:$A$63,C543+1)</f>
        <v>30</v>
      </c>
      <c r="F543">
        <f>INDEX(YieldCurve!$B$4:$B$63,C543)</f>
        <v>4.9472420000000003E-2</v>
      </c>
      <c r="G543">
        <f>INDEX(YieldCurve!$B$4:$B$63,C543+1)</f>
        <v>4.9454709999999999E-2</v>
      </c>
      <c r="H543">
        <f t="shared" si="8"/>
        <v>31</v>
      </c>
      <c r="I543">
        <f>IF(B543&lt;=INDEX(YieldCurve!$A$4:$A$63,1),INDEX(YieldCurve!$B$4:$B$63,1),IF(B543&gt;=INDEX(YieldCurve!$A$4:$A$63,ROWS(YieldCurve!$A$4:$A$63)),INDEX(YieldCurve!$B$4:$B$63,ROWS(YieldCurve!$B$4:$B$63)),F543+H543*(G543-F543)))</f>
        <v>4.9454709999999999E-2</v>
      </c>
      <c r="J543">
        <f>EXP(-(I543+Inputs!$B$9)*B543)</f>
        <v>0.10801750841969041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543"/>
  <sheetViews>
    <sheetView workbookViewId="0"/>
  </sheetViews>
  <sheetFormatPr defaultRowHeight="14.5" x14ac:dyDescent="0.35"/>
  <sheetData>
    <row r="1" spans="1:24" ht="15.5" x14ac:dyDescent="0.35">
      <c r="A1" s="1" t="s">
        <v>39</v>
      </c>
    </row>
    <row r="2" spans="1:24" x14ac:dyDescent="0.35">
      <c r="A2" t="s">
        <v>40</v>
      </c>
      <c r="B2">
        <v>0</v>
      </c>
      <c r="C2">
        <f>Inputs!$B$3</f>
        <v>65</v>
      </c>
      <c r="U2">
        <f>X9</f>
        <v>1268278.9752250386</v>
      </c>
    </row>
    <row r="3" spans="1:24" x14ac:dyDescent="0.35">
      <c r="A3" s="2" t="s">
        <v>29</v>
      </c>
      <c r="B3" s="2" t="s">
        <v>30</v>
      </c>
      <c r="C3" s="2" t="s">
        <v>41</v>
      </c>
      <c r="D3" s="2" t="s">
        <v>42</v>
      </c>
      <c r="E3" s="2" t="s">
        <v>43</v>
      </c>
      <c r="F3" s="2" t="s">
        <v>44</v>
      </c>
      <c r="G3" s="2" t="s">
        <v>45</v>
      </c>
      <c r="H3" s="2" t="s">
        <v>46</v>
      </c>
      <c r="I3" s="2" t="s">
        <v>47</v>
      </c>
      <c r="J3" s="2" t="s">
        <v>48</v>
      </c>
      <c r="K3" s="2" t="s">
        <v>49</v>
      </c>
      <c r="L3" s="2" t="s">
        <v>50</v>
      </c>
      <c r="M3" s="2" t="s">
        <v>51</v>
      </c>
      <c r="N3" s="2" t="s">
        <v>37</v>
      </c>
      <c r="O3" s="2" t="s">
        <v>38</v>
      </c>
      <c r="P3" s="2" t="s">
        <v>52</v>
      </c>
      <c r="Q3" s="2" t="s">
        <v>53</v>
      </c>
      <c r="R3" s="2" t="s">
        <v>54</v>
      </c>
      <c r="S3" s="2" t="s">
        <v>55</v>
      </c>
      <c r="T3" s="2" t="s">
        <v>56</v>
      </c>
      <c r="U3" s="2" t="s">
        <v>57</v>
      </c>
      <c r="W3" s="2" t="s">
        <v>58</v>
      </c>
    </row>
    <row r="4" spans="1:24" x14ac:dyDescent="0.35">
      <c r="A4">
        <v>1</v>
      </c>
      <c r="B4">
        <f>A4/Inputs!$B$6</f>
        <v>8.3333333333333329E-2</v>
      </c>
      <c r="C4">
        <f>Inputs!$B$3+B4</f>
        <v>65.083333333333329</v>
      </c>
      <c r="D4">
        <f t="shared" ref="D4:D67" si="0">INT(C4)</f>
        <v>65</v>
      </c>
      <c r="E4">
        <f>Inputs!$B$7+1+INT((A4-1)/Inputs!$B$6)</f>
        <v>2026</v>
      </c>
      <c r="F4">
        <f>Inputs!$B$16</f>
        <v>8333.3333333333339</v>
      </c>
      <c r="G4">
        <f>Inputs!$B$12</f>
        <v>25</v>
      </c>
      <c r="H4">
        <f>IFERROR(INDEX(RP2014_Qx!$B:$B,MATCH(D4,RP2014_Qx!$A:$A,0)),"")</f>
        <v>8.0479999999999996E-3</v>
      </c>
      <c r="I4">
        <f>SUMIFS(MP2016_Long!$C:$C,MP2016_Long!$A:$A,D4,MP2016_Long!$B:$B,"&gt;=2014",MP2016_Long!$B:$B,"&lt;"&amp;E4)</f>
        <v>6.3899999999999998E-2</v>
      </c>
      <c r="J4">
        <f t="shared" ref="J4:J67" si="1">MIN(0.999999,MAX(0,H4*EXP(I4)))</f>
        <v>8.5790536769681982E-3</v>
      </c>
      <c r="K4">
        <f t="shared" ref="K4:K67" si="2">-LN(1-J4)</f>
        <v>8.6160655948185668E-3</v>
      </c>
      <c r="L4">
        <f>EXP(-K4/Inputs!$B$6)</f>
        <v>0.99928225223800848</v>
      </c>
      <c r="M4">
        <f>L4</f>
        <v>0.99928225223800848</v>
      </c>
      <c r="N4">
        <f>IFERROR(INDEX(MonthlyCurve!$I:$I,MATCH(A4,MonthlyCurve!$A:$A,0)),"")</f>
        <v>3.7250930000000002E-2</v>
      </c>
      <c r="O4">
        <f>IFERROR(INDEX(MonthlyCurve!$J:$J,MATCH(A4,MonthlyCurve!$A:$A,0)),"")</f>
        <v>0.99690056901753532</v>
      </c>
      <c r="P4">
        <f t="shared" ref="P4:P67" si="3">F4*M4</f>
        <v>8327.3521019834043</v>
      </c>
      <c r="Q4">
        <f t="shared" ref="Q4:Q67" si="4">G4*M4</f>
        <v>24.982056305950213</v>
      </c>
      <c r="R4">
        <f t="shared" ref="R4:R67" si="5">P4+Q4</f>
        <v>8352.3341582893554</v>
      </c>
      <c r="S4">
        <f t="shared" ref="S4:S67" si="6">P4*O4</f>
        <v>8301.5420488766249</v>
      </c>
      <c r="T4">
        <f t="shared" ref="T4:T67" si="7">Q4*O4</f>
        <v>24.904626146629873</v>
      </c>
      <c r="U4">
        <f>SUMPRODUCT(R5:R543,O5:O543)/(M4*O4)</f>
        <v>1264777.5970735804</v>
      </c>
      <c r="W4" t="s">
        <v>59</v>
      </c>
      <c r="X4">
        <f>SUM(S4:S543)</f>
        <v>1264485.5186690316</v>
      </c>
    </row>
    <row r="5" spans="1:24" x14ac:dyDescent="0.35">
      <c r="A5">
        <v>2</v>
      </c>
      <c r="B5">
        <f>A5/Inputs!$B$6</f>
        <v>0.16666666666666666</v>
      </c>
      <c r="C5">
        <f>Inputs!$B$3+B5</f>
        <v>65.166666666666671</v>
      </c>
      <c r="D5">
        <f t="shared" si="0"/>
        <v>65</v>
      </c>
      <c r="E5">
        <f>Inputs!$B$7+1+INT((A5-1)/Inputs!$B$6)</f>
        <v>2026</v>
      </c>
      <c r="F5">
        <f>Inputs!$B$16</f>
        <v>8333.3333333333339</v>
      </c>
      <c r="G5">
        <f>Inputs!$B$12</f>
        <v>25</v>
      </c>
      <c r="H5">
        <f>IFERROR(INDEX(RP2014_Qx!$B:$B,MATCH(D5,RP2014_Qx!$A:$A,0)),"")</f>
        <v>8.0479999999999996E-3</v>
      </c>
      <c r="I5">
        <f>SUMIFS(MP2016_Long!$C:$C,MP2016_Long!$A:$A,D5,MP2016_Long!$B:$B,"&gt;=2014",MP2016_Long!$B:$B,"&lt;"&amp;E5)</f>
        <v>6.3899999999999998E-2</v>
      </c>
      <c r="J5">
        <f t="shared" si="1"/>
        <v>8.5790536769681982E-3</v>
      </c>
      <c r="K5">
        <f t="shared" si="2"/>
        <v>8.6160655948185668E-3</v>
      </c>
      <c r="L5">
        <f>EXP(-K5/Inputs!$B$6)</f>
        <v>0.99928225223800848</v>
      </c>
      <c r="M5">
        <f t="shared" ref="M5:M68" si="8">M4*L5</f>
        <v>0.99856501963786681</v>
      </c>
      <c r="N5">
        <f>IFERROR(INDEX(MonthlyCurve!$I:$I,MATCH(A5,MonthlyCurve!$A:$A,0)),"")</f>
        <v>3.7250930000000002E-2</v>
      </c>
      <c r="O5">
        <f>IFERROR(INDEX(MonthlyCurve!$J:$J,MATCH(A5,MonthlyCurve!$A:$A,0)),"")</f>
        <v>0.99381074450748585</v>
      </c>
      <c r="P5">
        <f t="shared" si="3"/>
        <v>8321.3751636488905</v>
      </c>
      <c r="Q5">
        <f t="shared" si="4"/>
        <v>24.964125490946671</v>
      </c>
      <c r="R5">
        <f t="shared" si="5"/>
        <v>8346.339289139838</v>
      </c>
      <c r="S5">
        <f t="shared" si="6"/>
        <v>8269.8720467120056</v>
      </c>
      <c r="T5">
        <f t="shared" si="7"/>
        <v>24.809616140136018</v>
      </c>
      <c r="U5">
        <f>SUMPRODUCT(R6:R543,O6:O543)/(M5*O5)</f>
        <v>1261262.8101712959</v>
      </c>
      <c r="W5" t="s">
        <v>60</v>
      </c>
      <c r="X5">
        <f>SUM(T4:T543)</f>
        <v>3793.4565560070887</v>
      </c>
    </row>
    <row r="6" spans="1:24" x14ac:dyDescent="0.35">
      <c r="A6">
        <v>3</v>
      </c>
      <c r="B6">
        <f>A6/Inputs!$B$6</f>
        <v>0.25</v>
      </c>
      <c r="C6">
        <f>Inputs!$B$3+B6</f>
        <v>65.25</v>
      </c>
      <c r="D6">
        <f t="shared" si="0"/>
        <v>65</v>
      </c>
      <c r="E6">
        <f>Inputs!$B$7+1+INT((A6-1)/Inputs!$B$6)</f>
        <v>2026</v>
      </c>
      <c r="F6">
        <f>Inputs!$B$16</f>
        <v>8333.3333333333339</v>
      </c>
      <c r="G6">
        <f>Inputs!$B$12</f>
        <v>25</v>
      </c>
      <c r="H6">
        <f>IFERROR(INDEX(RP2014_Qx!$B:$B,MATCH(D6,RP2014_Qx!$A:$A,0)),"")</f>
        <v>8.0479999999999996E-3</v>
      </c>
      <c r="I6">
        <f>SUMIFS(MP2016_Long!$C:$C,MP2016_Long!$A:$A,D6,MP2016_Long!$B:$B,"&gt;=2014",MP2016_Long!$B:$B,"&lt;"&amp;E6)</f>
        <v>6.3899999999999998E-2</v>
      </c>
      <c r="J6">
        <f t="shared" si="1"/>
        <v>8.5790536769681982E-3</v>
      </c>
      <c r="K6">
        <f t="shared" si="2"/>
        <v>8.6160655948185668E-3</v>
      </c>
      <c r="L6">
        <f>EXP(-K6/Inputs!$B$6)</f>
        <v>0.99928225223800848</v>
      </c>
      <c r="M6">
        <f t="shared" si="8"/>
        <v>0.99784830182981876</v>
      </c>
      <c r="N6">
        <f>IFERROR(INDEX(MonthlyCurve!$I:$I,MATCH(A6,MonthlyCurve!$A:$A,0)),"")</f>
        <v>3.7250930000000002E-2</v>
      </c>
      <c r="O6">
        <f>IFERROR(INDEX(MonthlyCurve!$J:$J,MATCH(A6,MonthlyCurve!$A:$A,0)),"")</f>
        <v>0.99073049669525304</v>
      </c>
      <c r="P6">
        <f t="shared" si="3"/>
        <v>8315.4025152484901</v>
      </c>
      <c r="Q6">
        <f t="shared" si="4"/>
        <v>24.94620754574547</v>
      </c>
      <c r="R6">
        <f t="shared" si="5"/>
        <v>8340.3487227942351</v>
      </c>
      <c r="S6">
        <f t="shared" si="6"/>
        <v>8238.3228641530932</v>
      </c>
      <c r="T6">
        <f t="shared" si="7"/>
        <v>24.714968592459279</v>
      </c>
      <c r="U6">
        <f>SUMPRODUCT(R7:R543,O7:O543)/(M6*O6)</f>
        <v>1257734.5631685196</v>
      </c>
      <c r="W6" t="s">
        <v>61</v>
      </c>
      <c r="X6">
        <f>SUMPRODUCT(M4:M543,O4:O543)</f>
        <v>151.73826224028369</v>
      </c>
    </row>
    <row r="7" spans="1:24" x14ac:dyDescent="0.35">
      <c r="A7">
        <v>4</v>
      </c>
      <c r="B7">
        <f>A7/Inputs!$B$6</f>
        <v>0.33333333333333331</v>
      </c>
      <c r="C7">
        <f>Inputs!$B$3+B7</f>
        <v>65.333333333333329</v>
      </c>
      <c r="D7">
        <f t="shared" si="0"/>
        <v>65</v>
      </c>
      <c r="E7">
        <f>Inputs!$B$7+1+INT((A7-1)/Inputs!$B$6)</f>
        <v>2026</v>
      </c>
      <c r="F7">
        <f>Inputs!$B$16</f>
        <v>8333.3333333333339</v>
      </c>
      <c r="G7">
        <f>Inputs!$B$12</f>
        <v>25</v>
      </c>
      <c r="H7">
        <f>IFERROR(INDEX(RP2014_Qx!$B:$B,MATCH(D7,RP2014_Qx!$A:$A,0)),"")</f>
        <v>8.0479999999999996E-3</v>
      </c>
      <c r="I7">
        <f>SUMIFS(MP2016_Long!$C:$C,MP2016_Long!$A:$A,D7,MP2016_Long!$B:$B,"&gt;=2014",MP2016_Long!$B:$B,"&lt;"&amp;E7)</f>
        <v>6.3899999999999998E-2</v>
      </c>
      <c r="J7">
        <f t="shared" si="1"/>
        <v>8.5790536769681982E-3</v>
      </c>
      <c r="K7">
        <f t="shared" si="2"/>
        <v>8.6160655948185668E-3</v>
      </c>
      <c r="L7">
        <f>EXP(-K7/Inputs!$B$6)</f>
        <v>0.99928225223800848</v>
      </c>
      <c r="M7">
        <f t="shared" si="8"/>
        <v>0.99713209844437334</v>
      </c>
      <c r="N7">
        <f>IFERROR(INDEX(MonthlyCurve!$I:$I,MATCH(A7,MonthlyCurve!$A:$A,0)),"")</f>
        <v>3.7250930000000002E-2</v>
      </c>
      <c r="O7">
        <f>IFERROR(INDEX(MonthlyCurve!$J:$J,MATCH(A7,MonthlyCurve!$A:$A,0)),"")</f>
        <v>0.98765979589852326</v>
      </c>
      <c r="P7">
        <f t="shared" si="3"/>
        <v>8309.4341537031123</v>
      </c>
      <c r="Q7">
        <f t="shared" si="4"/>
        <v>24.928302461109332</v>
      </c>
      <c r="R7">
        <f t="shared" si="5"/>
        <v>8334.3624561642209</v>
      </c>
      <c r="S7">
        <f t="shared" si="6"/>
        <v>8206.8940402786338</v>
      </c>
      <c r="T7">
        <f t="shared" si="7"/>
        <v>24.620682120835898</v>
      </c>
      <c r="U7">
        <f>SUMPRODUCT(R8:R543,O8:O543)/(M7*O7)</f>
        <v>1254192.8045189385</v>
      </c>
      <c r="W7" t="s">
        <v>62</v>
      </c>
      <c r="X7">
        <f>X4+X5</f>
        <v>1268278.9752250386</v>
      </c>
    </row>
    <row r="8" spans="1:24" x14ac:dyDescent="0.35">
      <c r="A8">
        <v>5</v>
      </c>
      <c r="B8">
        <f>A8/Inputs!$B$6</f>
        <v>0.41666666666666669</v>
      </c>
      <c r="C8">
        <f>Inputs!$B$3+B8</f>
        <v>65.416666666666671</v>
      </c>
      <c r="D8">
        <f t="shared" si="0"/>
        <v>65</v>
      </c>
      <c r="E8">
        <f>Inputs!$B$7+1+INT((A8-1)/Inputs!$B$6)</f>
        <v>2026</v>
      </c>
      <c r="F8">
        <f>Inputs!$B$16</f>
        <v>8333.3333333333339</v>
      </c>
      <c r="G8">
        <f>Inputs!$B$12</f>
        <v>25</v>
      </c>
      <c r="H8">
        <f>IFERROR(INDEX(RP2014_Qx!$B:$B,MATCH(D8,RP2014_Qx!$A:$A,0)),"")</f>
        <v>8.0479999999999996E-3</v>
      </c>
      <c r="I8">
        <f>SUMIFS(MP2016_Long!$C:$C,MP2016_Long!$A:$A,D8,MP2016_Long!$B:$B,"&gt;=2014",MP2016_Long!$B:$B,"&lt;"&amp;E8)</f>
        <v>6.3899999999999998E-2</v>
      </c>
      <c r="J8">
        <f t="shared" si="1"/>
        <v>8.5790536769681982E-3</v>
      </c>
      <c r="K8">
        <f t="shared" si="2"/>
        <v>8.6160655948185668E-3</v>
      </c>
      <c r="L8">
        <f>EXP(-K8/Inputs!$B$6)</f>
        <v>0.99928225223800848</v>
      </c>
      <c r="M8">
        <f t="shared" si="8"/>
        <v>0.996416409112305</v>
      </c>
      <c r="N8">
        <f>IFERROR(INDEX(MonthlyCurve!$I:$I,MATCH(A8,MonthlyCurve!$A:$A,0)),"")</f>
        <v>3.7250930000000002E-2</v>
      </c>
      <c r="O8">
        <f>IFERROR(INDEX(MonthlyCurve!$J:$J,MATCH(A8,MonthlyCurve!$A:$A,0)),"")</f>
        <v>0.98459861252698067</v>
      </c>
      <c r="P8">
        <f t="shared" si="3"/>
        <v>8303.4700759358748</v>
      </c>
      <c r="Q8">
        <f t="shared" si="4"/>
        <v>24.910410227807624</v>
      </c>
      <c r="R8">
        <f t="shared" si="5"/>
        <v>8328.3804861636818</v>
      </c>
      <c r="S8">
        <f t="shared" si="6"/>
        <v>8175.5851159257654</v>
      </c>
      <c r="T8">
        <f t="shared" si="7"/>
        <v>24.526755347777296</v>
      </c>
      <c r="U8">
        <f>SUMPRODUCT(R9:R543,O9:O543)/(M8*O8)</f>
        <v>1250637.4824788403</v>
      </c>
      <c r="W8" t="s">
        <v>63</v>
      </c>
      <c r="X8">
        <f>(Inputs!$B$10+X7)/(1-Inputs!$B$11)</f>
        <v>1281342.3992172107</v>
      </c>
    </row>
    <row r="9" spans="1:24" x14ac:dyDescent="0.35">
      <c r="A9">
        <v>6</v>
      </c>
      <c r="B9">
        <f>A9/Inputs!$B$6</f>
        <v>0.5</v>
      </c>
      <c r="C9">
        <f>Inputs!$B$3+B9</f>
        <v>65.5</v>
      </c>
      <c r="D9">
        <f t="shared" si="0"/>
        <v>65</v>
      </c>
      <c r="E9">
        <f>Inputs!$B$7+1+INT((A9-1)/Inputs!$B$6)</f>
        <v>2026</v>
      </c>
      <c r="F9">
        <f>Inputs!$B$16</f>
        <v>8333.3333333333339</v>
      </c>
      <c r="G9">
        <f>Inputs!$B$12</f>
        <v>25</v>
      </c>
      <c r="H9">
        <f>IFERROR(INDEX(RP2014_Qx!$B:$B,MATCH(D9,RP2014_Qx!$A:$A,0)),"")</f>
        <v>8.0479999999999996E-3</v>
      </c>
      <c r="I9">
        <f>SUMIFS(MP2016_Long!$C:$C,MP2016_Long!$A:$A,D9,MP2016_Long!$B:$B,"&gt;=2014",MP2016_Long!$B:$B,"&lt;"&amp;E9)</f>
        <v>6.3899999999999998E-2</v>
      </c>
      <c r="J9">
        <f t="shared" si="1"/>
        <v>8.5790536769681982E-3</v>
      </c>
      <c r="K9">
        <f t="shared" si="2"/>
        <v>8.6160655948185668E-3</v>
      </c>
      <c r="L9">
        <f>EXP(-K9/Inputs!$B$6)</f>
        <v>0.99928225223800848</v>
      </c>
      <c r="M9">
        <f t="shared" si="8"/>
        <v>0.995701233464653</v>
      </c>
      <c r="N9">
        <f>IFERROR(INDEX(MonthlyCurve!$I:$I,MATCH(A9,MonthlyCurve!$A:$A,0)),"")</f>
        <v>3.7250930000000002E-2</v>
      </c>
      <c r="O9">
        <f>IFERROR(INDEX(MonthlyCurve!$J:$J,MATCH(A9,MonthlyCurve!$A:$A,0)),"")</f>
        <v>0.98154691708202291</v>
      </c>
      <c r="P9">
        <f t="shared" si="3"/>
        <v>8297.5102788721088</v>
      </c>
      <c r="Q9">
        <f t="shared" si="4"/>
        <v>24.892530836616324</v>
      </c>
      <c r="R9">
        <f t="shared" si="5"/>
        <v>8322.4028097087248</v>
      </c>
      <c r="S9">
        <f t="shared" si="6"/>
        <v>8144.3956336833144</v>
      </c>
      <c r="T9">
        <f t="shared" si="7"/>
        <v>24.43318690104994</v>
      </c>
      <c r="U9">
        <f>SUMPRODUCT(R10:R543,O10:O543)/(M9*O9)</f>
        <v>1247068.545106356</v>
      </c>
      <c r="W9" t="s">
        <v>64</v>
      </c>
      <c r="X9">
        <f>X7</f>
        <v>1268278.9752250386</v>
      </c>
    </row>
    <row r="10" spans="1:24" x14ac:dyDescent="0.35">
      <c r="A10">
        <v>7</v>
      </c>
      <c r="B10">
        <f>A10/Inputs!$B$6</f>
        <v>0.58333333333333337</v>
      </c>
      <c r="C10">
        <f>Inputs!$B$3+B10</f>
        <v>65.583333333333329</v>
      </c>
      <c r="D10">
        <f t="shared" si="0"/>
        <v>65</v>
      </c>
      <c r="E10">
        <f>Inputs!$B$7+1+INT((A10-1)/Inputs!$B$6)</f>
        <v>2026</v>
      </c>
      <c r="F10">
        <f>Inputs!$B$16</f>
        <v>8333.3333333333339</v>
      </c>
      <c r="G10">
        <f>Inputs!$B$12</f>
        <v>25</v>
      </c>
      <c r="H10">
        <f>IFERROR(INDEX(RP2014_Qx!$B:$B,MATCH(D10,RP2014_Qx!$A:$A,0)),"")</f>
        <v>8.0479999999999996E-3</v>
      </c>
      <c r="I10">
        <f>SUMIFS(MP2016_Long!$C:$C,MP2016_Long!$A:$A,D10,MP2016_Long!$B:$B,"&gt;=2014",MP2016_Long!$B:$B,"&lt;"&amp;E10)</f>
        <v>6.3899999999999998E-2</v>
      </c>
      <c r="J10">
        <f t="shared" si="1"/>
        <v>8.5790536769681982E-3</v>
      </c>
      <c r="K10">
        <f t="shared" si="2"/>
        <v>8.6160655948185668E-3</v>
      </c>
      <c r="L10">
        <f>EXP(-K10/Inputs!$B$6)</f>
        <v>0.99928225223800848</v>
      </c>
      <c r="M10">
        <f t="shared" si="8"/>
        <v>0.9949865711327216</v>
      </c>
      <c r="N10">
        <f>IFERROR(INDEX(MonthlyCurve!$I:$I,MATCH(A10,MonthlyCurve!$A:$A,0)),"")</f>
        <v>3.7201391666666667E-2</v>
      </c>
      <c r="O10">
        <f>IFERROR(INDEX(MonthlyCurve!$J:$J,MATCH(A10,MonthlyCurve!$A:$A,0)),"")</f>
        <v>0.97853295676812535</v>
      </c>
      <c r="P10">
        <f t="shared" si="3"/>
        <v>8291.5547594393465</v>
      </c>
      <c r="Q10">
        <f t="shared" si="4"/>
        <v>24.87466427831804</v>
      </c>
      <c r="R10">
        <f t="shared" si="5"/>
        <v>8316.4294237176637</v>
      </c>
      <c r="S10">
        <f t="shared" si="6"/>
        <v>8113.5595949590061</v>
      </c>
      <c r="T10">
        <f t="shared" si="7"/>
        <v>24.340678784877017</v>
      </c>
      <c r="U10">
        <f>SUMPRODUCT(R11:R543,O11:O543)/(M10*O10)</f>
        <v>1243449.7657873491</v>
      </c>
    </row>
    <row r="11" spans="1:24" x14ac:dyDescent="0.35">
      <c r="A11">
        <v>8</v>
      </c>
      <c r="B11">
        <f>A11/Inputs!$B$6</f>
        <v>0.66666666666666663</v>
      </c>
      <c r="C11">
        <f>Inputs!$B$3+B11</f>
        <v>65.666666666666671</v>
      </c>
      <c r="D11">
        <f t="shared" si="0"/>
        <v>65</v>
      </c>
      <c r="E11">
        <f>Inputs!$B$7+1+INT((A11-1)/Inputs!$B$6)</f>
        <v>2026</v>
      </c>
      <c r="F11">
        <f>Inputs!$B$16</f>
        <v>8333.3333333333339</v>
      </c>
      <c r="G11">
        <f>Inputs!$B$12</f>
        <v>25</v>
      </c>
      <c r="H11">
        <f>IFERROR(INDEX(RP2014_Qx!$B:$B,MATCH(D11,RP2014_Qx!$A:$A,0)),"")</f>
        <v>8.0479999999999996E-3</v>
      </c>
      <c r="I11">
        <f>SUMIFS(MP2016_Long!$C:$C,MP2016_Long!$A:$A,D11,MP2016_Long!$B:$B,"&gt;=2014",MP2016_Long!$B:$B,"&lt;"&amp;E11)</f>
        <v>6.3899999999999998E-2</v>
      </c>
      <c r="J11">
        <f t="shared" si="1"/>
        <v>8.5790536769681982E-3</v>
      </c>
      <c r="K11">
        <f t="shared" si="2"/>
        <v>8.6160655948185668E-3</v>
      </c>
      <c r="L11">
        <f>EXP(-K11/Inputs!$B$6)</f>
        <v>0.99928225223800848</v>
      </c>
      <c r="M11">
        <f t="shared" si="8"/>
        <v>0.9942724217480795</v>
      </c>
      <c r="N11">
        <f>IFERROR(INDEX(MonthlyCurve!$I:$I,MATCH(A11,MonthlyCurve!$A:$A,0)),"")</f>
        <v>3.7151853333333332E-2</v>
      </c>
      <c r="O11">
        <f>IFERROR(INDEX(MonthlyCurve!$J:$J,MATCH(A11,MonthlyCurve!$A:$A,0)),"")</f>
        <v>0.97553630556326099</v>
      </c>
      <c r="P11">
        <f t="shared" si="3"/>
        <v>8285.6035145673304</v>
      </c>
      <c r="Q11">
        <f t="shared" si="4"/>
        <v>24.856810543701986</v>
      </c>
      <c r="R11">
        <f t="shared" si="5"/>
        <v>8310.4603251110329</v>
      </c>
      <c r="S11">
        <f t="shared" si="6"/>
        <v>8082.9070419629843</v>
      </c>
      <c r="T11">
        <f t="shared" si="7"/>
        <v>24.248721125888949</v>
      </c>
      <c r="U11">
        <f>SUMPRODUCT(R12:R543,O12:O543)/(M11*O11)</f>
        <v>1239806.9277140512</v>
      </c>
    </row>
    <row r="12" spans="1:24" x14ac:dyDescent="0.35">
      <c r="A12">
        <v>9</v>
      </c>
      <c r="B12">
        <f>A12/Inputs!$B$6</f>
        <v>0.75</v>
      </c>
      <c r="C12">
        <f>Inputs!$B$3+B12</f>
        <v>65.75</v>
      </c>
      <c r="D12">
        <f t="shared" si="0"/>
        <v>65</v>
      </c>
      <c r="E12">
        <f>Inputs!$B$7+1+INT((A12-1)/Inputs!$B$6)</f>
        <v>2026</v>
      </c>
      <c r="F12">
        <f>Inputs!$B$16</f>
        <v>8333.3333333333339</v>
      </c>
      <c r="G12">
        <f>Inputs!$B$12</f>
        <v>25</v>
      </c>
      <c r="H12">
        <f>IFERROR(INDEX(RP2014_Qx!$B:$B,MATCH(D12,RP2014_Qx!$A:$A,0)),"")</f>
        <v>8.0479999999999996E-3</v>
      </c>
      <c r="I12">
        <f>SUMIFS(MP2016_Long!$C:$C,MP2016_Long!$A:$A,D12,MP2016_Long!$B:$B,"&gt;=2014",MP2016_Long!$B:$B,"&lt;"&amp;E12)</f>
        <v>6.3899999999999998E-2</v>
      </c>
      <c r="J12">
        <f t="shared" si="1"/>
        <v>8.5790536769681982E-3</v>
      </c>
      <c r="K12">
        <f t="shared" si="2"/>
        <v>8.6160655948185668E-3</v>
      </c>
      <c r="L12">
        <f>EXP(-K12/Inputs!$B$6)</f>
        <v>0.99928225223800848</v>
      </c>
      <c r="M12">
        <f t="shared" si="8"/>
        <v>0.99355878494255989</v>
      </c>
      <c r="N12">
        <f>IFERROR(INDEX(MonthlyCurve!$I:$I,MATCH(A12,MonthlyCurve!$A:$A,0)),"")</f>
        <v>3.7102314999999997E-2</v>
      </c>
      <c r="O12">
        <f>IFERROR(INDEX(MonthlyCurve!$J:$J,MATCH(A12,MonthlyCurve!$A:$A,0)),"")</f>
        <v>0.97255686105268668</v>
      </c>
      <c r="P12">
        <f t="shared" si="3"/>
        <v>8279.6565411880001</v>
      </c>
      <c r="Q12">
        <f t="shared" si="4"/>
        <v>24.838969623563997</v>
      </c>
      <c r="R12">
        <f t="shared" si="5"/>
        <v>8304.4955108115646</v>
      </c>
      <c r="S12">
        <f t="shared" si="6"/>
        <v>8052.4367762921465</v>
      </c>
      <c r="T12">
        <f t="shared" si="7"/>
        <v>24.157310328876434</v>
      </c>
      <c r="U12">
        <f>SUMPRODUCT(R13:R543,O13:O543)/(M12*O12)</f>
        <v>1236139.9999163959</v>
      </c>
    </row>
    <row r="13" spans="1:24" x14ac:dyDescent="0.35">
      <c r="A13">
        <v>10</v>
      </c>
      <c r="B13">
        <f>A13/Inputs!$B$6</f>
        <v>0.83333333333333337</v>
      </c>
      <c r="C13">
        <f>Inputs!$B$3+B13</f>
        <v>65.833333333333329</v>
      </c>
      <c r="D13">
        <f t="shared" si="0"/>
        <v>65</v>
      </c>
      <c r="E13">
        <f>Inputs!$B$7+1+INT((A13-1)/Inputs!$B$6)</f>
        <v>2026</v>
      </c>
      <c r="F13">
        <f>Inputs!$B$16</f>
        <v>8333.3333333333339</v>
      </c>
      <c r="G13">
        <f>Inputs!$B$12</f>
        <v>25</v>
      </c>
      <c r="H13">
        <f>IFERROR(INDEX(RP2014_Qx!$B:$B,MATCH(D13,RP2014_Qx!$A:$A,0)),"")</f>
        <v>8.0479999999999996E-3</v>
      </c>
      <c r="I13">
        <f>SUMIFS(MP2016_Long!$C:$C,MP2016_Long!$A:$A,D13,MP2016_Long!$B:$B,"&gt;=2014",MP2016_Long!$B:$B,"&lt;"&amp;E13)</f>
        <v>6.3899999999999998E-2</v>
      </c>
      <c r="J13">
        <f t="shared" si="1"/>
        <v>8.5790536769681982E-3</v>
      </c>
      <c r="K13">
        <f t="shared" si="2"/>
        <v>8.6160655948185668E-3</v>
      </c>
      <c r="L13">
        <f>EXP(-K13/Inputs!$B$6)</f>
        <v>0.99928225223800848</v>
      </c>
      <c r="M13">
        <f t="shared" si="8"/>
        <v>0.99284566034826038</v>
      </c>
      <c r="N13">
        <f>IFERROR(INDEX(MonthlyCurve!$I:$I,MATCH(A13,MonthlyCurve!$A:$A,0)),"")</f>
        <v>3.7052776666666669E-2</v>
      </c>
      <c r="O13">
        <f>IFERROR(INDEX(MonthlyCurve!$J:$J,MATCH(A13,MonthlyCurve!$A:$A,0)),"")</f>
        <v>0.96959452156041814</v>
      </c>
      <c r="P13">
        <f t="shared" si="3"/>
        <v>8273.7138362355035</v>
      </c>
      <c r="Q13">
        <f t="shared" si="4"/>
        <v>24.821141508706511</v>
      </c>
      <c r="R13">
        <f t="shared" si="5"/>
        <v>8298.5349777442098</v>
      </c>
      <c r="S13">
        <f t="shared" si="6"/>
        <v>8022.1476085725744</v>
      </c>
      <c r="T13">
        <f t="shared" si="7"/>
        <v>24.066442825717726</v>
      </c>
      <c r="U13">
        <f>SUMPRODUCT(R14:R543,O14:O543)/(M13*O13)</f>
        <v>1232448.9519048044</v>
      </c>
    </row>
    <row r="14" spans="1:24" x14ac:dyDescent="0.35">
      <c r="A14">
        <v>11</v>
      </c>
      <c r="B14">
        <f>A14/Inputs!$B$6</f>
        <v>0.91666666666666663</v>
      </c>
      <c r="C14">
        <f>Inputs!$B$3+B14</f>
        <v>65.916666666666671</v>
      </c>
      <c r="D14">
        <f t="shared" si="0"/>
        <v>65</v>
      </c>
      <c r="E14">
        <f>Inputs!$B$7+1+INT((A14-1)/Inputs!$B$6)</f>
        <v>2026</v>
      </c>
      <c r="F14">
        <f>Inputs!$B$16</f>
        <v>8333.3333333333339</v>
      </c>
      <c r="G14">
        <f>Inputs!$B$12</f>
        <v>25</v>
      </c>
      <c r="H14">
        <f>IFERROR(INDEX(RP2014_Qx!$B:$B,MATCH(D14,RP2014_Qx!$A:$A,0)),"")</f>
        <v>8.0479999999999996E-3</v>
      </c>
      <c r="I14">
        <f>SUMIFS(MP2016_Long!$C:$C,MP2016_Long!$A:$A,D14,MP2016_Long!$B:$B,"&gt;=2014",MP2016_Long!$B:$B,"&lt;"&amp;E14)</f>
        <v>6.3899999999999998E-2</v>
      </c>
      <c r="J14">
        <f t="shared" si="1"/>
        <v>8.5790536769681982E-3</v>
      </c>
      <c r="K14">
        <f t="shared" si="2"/>
        <v>8.6160655948185668E-3</v>
      </c>
      <c r="L14">
        <f>EXP(-K14/Inputs!$B$6)</f>
        <v>0.99928225223800848</v>
      </c>
      <c r="M14">
        <f t="shared" si="8"/>
        <v>0.99213304759754239</v>
      </c>
      <c r="N14">
        <f>IFERROR(INDEX(MonthlyCurve!$I:$I,MATCH(A14,MonthlyCurve!$A:$A,0)),"")</f>
        <v>3.7003238333333334E-2</v>
      </c>
      <c r="O14">
        <f>IFERROR(INDEX(MonthlyCurve!$J:$J,MATCH(A14,MonthlyCurve!$A:$A,0)),"")</f>
        <v>0.96664918614362072</v>
      </c>
      <c r="P14">
        <f t="shared" si="3"/>
        <v>8267.7753966461878</v>
      </c>
      <c r="Q14">
        <f t="shared" si="4"/>
        <v>24.803326189938559</v>
      </c>
      <c r="R14">
        <f t="shared" si="5"/>
        <v>8292.578722836126</v>
      </c>
      <c r="S14">
        <f t="shared" si="6"/>
        <v>7992.0383583862886</v>
      </c>
      <c r="T14">
        <f t="shared" si="7"/>
        <v>23.976115075158862</v>
      </c>
      <c r="U14">
        <f>SUMPRODUCT(R15:R543,O15:O543)/(M14*O14)</f>
        <v>1228733.7536730175</v>
      </c>
    </row>
    <row r="15" spans="1:24" x14ac:dyDescent="0.35">
      <c r="A15">
        <v>12</v>
      </c>
      <c r="B15">
        <f>A15/Inputs!$B$6</f>
        <v>1</v>
      </c>
      <c r="C15">
        <f>Inputs!$B$3+B15</f>
        <v>66</v>
      </c>
      <c r="D15">
        <f t="shared" si="0"/>
        <v>66</v>
      </c>
      <c r="E15">
        <f>Inputs!$B$7+1+INT((A15-1)/Inputs!$B$6)</f>
        <v>2026</v>
      </c>
      <c r="F15">
        <f>Inputs!$B$16</f>
        <v>8333.3333333333339</v>
      </c>
      <c r="G15">
        <f>Inputs!$B$12</f>
        <v>25</v>
      </c>
      <c r="H15">
        <f>IFERROR(INDEX(RP2014_Qx!$B:$B,MATCH(D15,RP2014_Qx!$A:$A,0)),"")</f>
        <v>8.8210000000000007E-3</v>
      </c>
      <c r="I15">
        <f>SUMIFS(MP2016_Long!$C:$C,MP2016_Long!$A:$A,D15,MP2016_Long!$B:$B,"&gt;=2014",MP2016_Long!$B:$B,"&lt;"&amp;E15)</f>
        <v>6.6699999999999995E-2</v>
      </c>
      <c r="J15">
        <f t="shared" si="1"/>
        <v>9.4294261607633066E-3</v>
      </c>
      <c r="K15">
        <f t="shared" si="2"/>
        <v>9.4741646606564204E-3</v>
      </c>
      <c r="L15">
        <f>EXP(-K15/Inputs!$B$6)</f>
        <v>0.99921079786223166</v>
      </c>
      <c r="M15">
        <f t="shared" si="8"/>
        <v>0.99135005407542776</v>
      </c>
      <c r="N15">
        <f>IFERROR(INDEX(MonthlyCurve!$I:$I,MATCH(A15,MonthlyCurve!$A:$A,0)),"")</f>
        <v>3.6953699999999999E-2</v>
      </c>
      <c r="O15">
        <f>IFERROR(INDEX(MonthlyCurve!$J:$J,MATCH(A15,MonthlyCurve!$A:$A,0)),"")</f>
        <v>0.96372075458704753</v>
      </c>
      <c r="P15">
        <f t="shared" si="3"/>
        <v>8261.2504506285659</v>
      </c>
      <c r="Q15">
        <f t="shared" si="4"/>
        <v>24.783751351885694</v>
      </c>
      <c r="R15">
        <f t="shared" si="5"/>
        <v>8286.0342019804521</v>
      </c>
      <c r="S15">
        <f t="shared" si="6"/>
        <v>7961.5385181123484</v>
      </c>
      <c r="T15">
        <f t="shared" si="7"/>
        <v>23.884615554337042</v>
      </c>
      <c r="U15">
        <f>SUMPRODUCT(R16:R543,O16:O543)/(M15*O15)</f>
        <v>1225082.5737549404</v>
      </c>
    </row>
    <row r="16" spans="1:24" x14ac:dyDescent="0.35">
      <c r="A16">
        <v>13</v>
      </c>
      <c r="B16">
        <f>A16/Inputs!$B$6</f>
        <v>1.0833333333333333</v>
      </c>
      <c r="C16">
        <f>Inputs!$B$3+B16</f>
        <v>66.083333333333329</v>
      </c>
      <c r="D16">
        <f t="shared" si="0"/>
        <v>66</v>
      </c>
      <c r="E16">
        <f>Inputs!$B$7+1+INT((A16-1)/Inputs!$B$6)</f>
        <v>2027</v>
      </c>
      <c r="F16">
        <f>Inputs!$B$16</f>
        <v>8333.3333333333339</v>
      </c>
      <c r="G16">
        <f>Inputs!$B$12</f>
        <v>25</v>
      </c>
      <c r="H16">
        <f>IFERROR(INDEX(RP2014_Qx!$B:$B,MATCH(D16,RP2014_Qx!$A:$A,0)),"")</f>
        <v>8.8210000000000007E-3</v>
      </c>
      <c r="I16">
        <f>SUMIFS(MP2016_Long!$C:$C,MP2016_Long!$A:$A,D16,MP2016_Long!$B:$B,"&gt;=2014",MP2016_Long!$B:$B,"&lt;"&amp;E16)</f>
        <v>7.669999999999999E-2</v>
      </c>
      <c r="J16">
        <f t="shared" si="1"/>
        <v>9.5241934691868042E-3</v>
      </c>
      <c r="K16">
        <f t="shared" si="2"/>
        <v>9.5698386533855477E-3</v>
      </c>
      <c r="L16">
        <f>EXP(-K16/Inputs!$B$6)</f>
        <v>0.99920283135343879</v>
      </c>
      <c r="M16">
        <f t="shared" si="8"/>
        <v>0.9905597808945521</v>
      </c>
      <c r="N16">
        <f>IFERROR(INDEX(MonthlyCurve!$I:$I,MATCH(A16,MonthlyCurve!$A:$A,0)),"")</f>
        <v>3.7003858333333334E-2</v>
      </c>
      <c r="O16">
        <f>IFERROR(INDEX(MonthlyCurve!$J:$J,MATCH(A16,MonthlyCurve!$A:$A,0)),"")</f>
        <v>0.96070536107833859</v>
      </c>
      <c r="P16">
        <f t="shared" si="3"/>
        <v>8254.6648407879347</v>
      </c>
      <c r="Q16">
        <f t="shared" si="4"/>
        <v>24.763994522363802</v>
      </c>
      <c r="R16">
        <f t="shared" si="5"/>
        <v>8279.4288353102984</v>
      </c>
      <c r="S16">
        <f t="shared" si="6"/>
        <v>7930.3007664498391</v>
      </c>
      <c r="T16">
        <f t="shared" si="7"/>
        <v>23.790902299349515</v>
      </c>
      <c r="U16">
        <f>SUMPRODUCT(R17:R543,O17:O543)/(M16*O16)</f>
        <v>1221549.8865518172</v>
      </c>
    </row>
    <row r="17" spans="1:21" x14ac:dyDescent="0.35">
      <c r="A17">
        <v>14</v>
      </c>
      <c r="B17">
        <f>A17/Inputs!$B$6</f>
        <v>1.1666666666666667</v>
      </c>
      <c r="C17">
        <f>Inputs!$B$3+B17</f>
        <v>66.166666666666671</v>
      </c>
      <c r="D17">
        <f t="shared" si="0"/>
        <v>66</v>
      </c>
      <c r="E17">
        <f>Inputs!$B$7+1+INT((A17-1)/Inputs!$B$6)</f>
        <v>2027</v>
      </c>
      <c r="F17">
        <f>Inputs!$B$16</f>
        <v>8333.3333333333339</v>
      </c>
      <c r="G17">
        <f>Inputs!$B$12</f>
        <v>25</v>
      </c>
      <c r="H17">
        <f>IFERROR(INDEX(RP2014_Qx!$B:$B,MATCH(D17,RP2014_Qx!$A:$A,0)),"")</f>
        <v>8.8210000000000007E-3</v>
      </c>
      <c r="I17">
        <f>SUMIFS(MP2016_Long!$C:$C,MP2016_Long!$A:$A,D17,MP2016_Long!$B:$B,"&gt;=2014",MP2016_Long!$B:$B,"&lt;"&amp;E17)</f>
        <v>7.669999999999999E-2</v>
      </c>
      <c r="J17">
        <f t="shared" si="1"/>
        <v>9.5241934691868042E-3</v>
      </c>
      <c r="K17">
        <f t="shared" si="2"/>
        <v>9.5698386533855477E-3</v>
      </c>
      <c r="L17">
        <f>EXP(-K17/Inputs!$B$6)</f>
        <v>0.99920283135343879</v>
      </c>
      <c r="M17">
        <f t="shared" si="8"/>
        <v>0.98977013769467848</v>
      </c>
      <c r="N17">
        <f>IFERROR(INDEX(MonthlyCurve!$I:$I,MATCH(A17,MonthlyCurve!$A:$A,0)),"")</f>
        <v>3.7054016666666668E-2</v>
      </c>
      <c r="O17">
        <f>IFERROR(INDEX(MonthlyCurve!$J:$J,MATCH(A17,MonthlyCurve!$A:$A,0)),"")</f>
        <v>0.95769139639077028</v>
      </c>
      <c r="P17">
        <f t="shared" si="3"/>
        <v>8248.084480788988</v>
      </c>
      <c r="Q17">
        <f t="shared" si="4"/>
        <v>24.744253442366961</v>
      </c>
      <c r="R17">
        <f t="shared" si="5"/>
        <v>8272.8287342313542</v>
      </c>
      <c r="S17">
        <f t="shared" si="6"/>
        <v>7899.1195439558478</v>
      </c>
      <c r="T17">
        <f t="shared" si="7"/>
        <v>23.697358631867541</v>
      </c>
      <c r="U17">
        <f>SUMPRODUCT(R18:R543,O18:O543)/(M17*O17)</f>
        <v>1218013.5360468398</v>
      </c>
    </row>
    <row r="18" spans="1:21" x14ac:dyDescent="0.35">
      <c r="A18">
        <v>15</v>
      </c>
      <c r="B18">
        <f>A18/Inputs!$B$6</f>
        <v>1.25</v>
      </c>
      <c r="C18">
        <f>Inputs!$B$3+B18</f>
        <v>66.25</v>
      </c>
      <c r="D18">
        <f t="shared" si="0"/>
        <v>66</v>
      </c>
      <c r="E18">
        <f>Inputs!$B$7+1+INT((A18-1)/Inputs!$B$6)</f>
        <v>2027</v>
      </c>
      <c r="F18">
        <f>Inputs!$B$16</f>
        <v>8333.3333333333339</v>
      </c>
      <c r="G18">
        <f>Inputs!$B$12</f>
        <v>25</v>
      </c>
      <c r="H18">
        <f>IFERROR(INDEX(RP2014_Qx!$B:$B,MATCH(D18,RP2014_Qx!$A:$A,0)),"")</f>
        <v>8.8210000000000007E-3</v>
      </c>
      <c r="I18">
        <f>SUMIFS(MP2016_Long!$C:$C,MP2016_Long!$A:$A,D18,MP2016_Long!$B:$B,"&gt;=2014",MP2016_Long!$B:$B,"&lt;"&amp;E18)</f>
        <v>7.669999999999999E-2</v>
      </c>
      <c r="J18">
        <f t="shared" si="1"/>
        <v>9.5241934691868042E-3</v>
      </c>
      <c r="K18">
        <f t="shared" si="2"/>
        <v>9.5698386533855477E-3</v>
      </c>
      <c r="L18">
        <f>EXP(-K18/Inputs!$B$6)</f>
        <v>0.99920283135343879</v>
      </c>
      <c r="M18">
        <f t="shared" si="8"/>
        <v>0.98898112397360571</v>
      </c>
      <c r="N18">
        <f>IFERROR(INDEX(MonthlyCurve!$I:$I,MATCH(A18,MonthlyCurve!$A:$A,0)),"")</f>
        <v>3.7104175000000003E-2</v>
      </c>
      <c r="O18">
        <f>IFERROR(INDEX(MonthlyCurve!$J:$J,MATCH(A18,MonthlyCurve!$A:$A,0)),"")</f>
        <v>0.95467890635434483</v>
      </c>
      <c r="P18">
        <f t="shared" si="3"/>
        <v>8241.5093664467149</v>
      </c>
      <c r="Q18">
        <f t="shared" si="4"/>
        <v>24.724528099340144</v>
      </c>
      <c r="R18">
        <f t="shared" si="5"/>
        <v>8266.2338945460542</v>
      </c>
      <c r="S18">
        <f t="shared" si="6"/>
        <v>7867.9951486684395</v>
      </c>
      <c r="T18">
        <f t="shared" si="7"/>
        <v>23.603985446005318</v>
      </c>
      <c r="U18">
        <f>SUMPRODUCT(R19:R543,O19:O543)/(M18*O18)</f>
        <v>1214473.4485366184</v>
      </c>
    </row>
    <row r="19" spans="1:21" x14ac:dyDescent="0.35">
      <c r="A19">
        <v>16</v>
      </c>
      <c r="B19">
        <f>A19/Inputs!$B$6</f>
        <v>1.3333333333333333</v>
      </c>
      <c r="C19">
        <f>Inputs!$B$3+B19</f>
        <v>66.333333333333329</v>
      </c>
      <c r="D19">
        <f t="shared" si="0"/>
        <v>66</v>
      </c>
      <c r="E19">
        <f>Inputs!$B$7+1+INT((A19-1)/Inputs!$B$6)</f>
        <v>2027</v>
      </c>
      <c r="F19">
        <f>Inputs!$B$16</f>
        <v>8333.3333333333339</v>
      </c>
      <c r="G19">
        <f>Inputs!$B$12</f>
        <v>25</v>
      </c>
      <c r="H19">
        <f>IFERROR(INDEX(RP2014_Qx!$B:$B,MATCH(D19,RP2014_Qx!$A:$A,0)),"")</f>
        <v>8.8210000000000007E-3</v>
      </c>
      <c r="I19">
        <f>SUMIFS(MP2016_Long!$C:$C,MP2016_Long!$A:$A,D19,MP2016_Long!$B:$B,"&gt;=2014",MP2016_Long!$B:$B,"&lt;"&amp;E19)</f>
        <v>7.669999999999999E-2</v>
      </c>
      <c r="J19">
        <f t="shared" si="1"/>
        <v>9.5241934691868042E-3</v>
      </c>
      <c r="K19">
        <f t="shared" si="2"/>
        <v>9.5698386533855477E-3</v>
      </c>
      <c r="L19">
        <f>EXP(-K19/Inputs!$B$6)</f>
        <v>0.99920283135343879</v>
      </c>
      <c r="M19">
        <f t="shared" si="8"/>
        <v>0.9881927392295331</v>
      </c>
      <c r="N19">
        <f>IFERROR(INDEX(MonthlyCurve!$I:$I,MATCH(A19,MonthlyCurve!$A:$A,0)),"")</f>
        <v>3.7154333333333331E-2</v>
      </c>
      <c r="O19">
        <f>IFERROR(INDEX(MonthlyCurve!$J:$J,MATCH(A19,MonthlyCurve!$A:$A,0)),"")</f>
        <v>0.95166793661816951</v>
      </c>
      <c r="P19">
        <f t="shared" si="3"/>
        <v>8234.9394935794426</v>
      </c>
      <c r="Q19">
        <f t="shared" si="4"/>
        <v>24.704818480738329</v>
      </c>
      <c r="R19">
        <f t="shared" si="5"/>
        <v>8259.6443120601816</v>
      </c>
      <c r="S19">
        <f t="shared" si="6"/>
        <v>7836.9278760302223</v>
      </c>
      <c r="T19">
        <f t="shared" si="7"/>
        <v>23.510783628090667</v>
      </c>
      <c r="U19">
        <f>SUMPRODUCT(R20:R543,O20:O543)/(M19*O19)</f>
        <v>1210929.5499326081</v>
      </c>
    </row>
    <row r="20" spans="1:21" x14ac:dyDescent="0.35">
      <c r="A20">
        <v>17</v>
      </c>
      <c r="B20">
        <f>A20/Inputs!$B$6</f>
        <v>1.4166666666666667</v>
      </c>
      <c r="C20">
        <f>Inputs!$B$3+B20</f>
        <v>66.416666666666671</v>
      </c>
      <c r="D20">
        <f t="shared" si="0"/>
        <v>66</v>
      </c>
      <c r="E20">
        <f>Inputs!$B$7+1+INT((A20-1)/Inputs!$B$6)</f>
        <v>2027</v>
      </c>
      <c r="F20">
        <f>Inputs!$B$16</f>
        <v>8333.3333333333339</v>
      </c>
      <c r="G20">
        <f>Inputs!$B$12</f>
        <v>25</v>
      </c>
      <c r="H20">
        <f>IFERROR(INDEX(RP2014_Qx!$B:$B,MATCH(D20,RP2014_Qx!$A:$A,0)),"")</f>
        <v>8.8210000000000007E-3</v>
      </c>
      <c r="I20">
        <f>SUMIFS(MP2016_Long!$C:$C,MP2016_Long!$A:$A,D20,MP2016_Long!$B:$B,"&gt;=2014",MP2016_Long!$B:$B,"&lt;"&amp;E20)</f>
        <v>7.669999999999999E-2</v>
      </c>
      <c r="J20">
        <f t="shared" si="1"/>
        <v>9.5241934691868042E-3</v>
      </c>
      <c r="K20">
        <f t="shared" si="2"/>
        <v>9.5698386533855477E-3</v>
      </c>
      <c r="L20">
        <f>EXP(-K20/Inputs!$B$6)</f>
        <v>0.99920283135343879</v>
      </c>
      <c r="M20">
        <f t="shared" si="8"/>
        <v>0.98740498296105983</v>
      </c>
      <c r="N20">
        <f>IFERROR(INDEX(MonthlyCurve!$I:$I,MATCH(A20,MonthlyCurve!$A:$A,0)),"")</f>
        <v>3.7204491666666666E-2</v>
      </c>
      <c r="O20">
        <f>IFERROR(INDEX(MonthlyCurve!$J:$J,MATCH(A20,MonthlyCurve!$A:$A,0)),"")</f>
        <v>0.94865853264950106</v>
      </c>
      <c r="P20">
        <f t="shared" si="3"/>
        <v>8228.3748580088322</v>
      </c>
      <c r="Q20">
        <f t="shared" si="4"/>
        <v>24.685124574026496</v>
      </c>
      <c r="R20">
        <f t="shared" si="5"/>
        <v>8253.0599825828594</v>
      </c>
      <c r="S20">
        <f t="shared" si="6"/>
        <v>7805.9180188887058</v>
      </c>
      <c r="T20">
        <f t="shared" si="7"/>
        <v>23.417754056666116</v>
      </c>
      <c r="U20">
        <f>SUMPRODUCT(R21:R543,O21:O543)/(M20*O20)</f>
        <v>1207381.7657571044</v>
      </c>
    </row>
    <row r="21" spans="1:21" x14ac:dyDescent="0.35">
      <c r="A21">
        <v>18</v>
      </c>
      <c r="B21">
        <f>A21/Inputs!$B$6</f>
        <v>1.5</v>
      </c>
      <c r="C21">
        <f>Inputs!$B$3+B21</f>
        <v>66.5</v>
      </c>
      <c r="D21">
        <f t="shared" si="0"/>
        <v>66</v>
      </c>
      <c r="E21">
        <f>Inputs!$B$7+1+INT((A21-1)/Inputs!$B$6)</f>
        <v>2027</v>
      </c>
      <c r="F21">
        <f>Inputs!$B$16</f>
        <v>8333.3333333333339</v>
      </c>
      <c r="G21">
        <f>Inputs!$B$12</f>
        <v>25</v>
      </c>
      <c r="H21">
        <f>IFERROR(INDEX(RP2014_Qx!$B:$B,MATCH(D21,RP2014_Qx!$A:$A,0)),"")</f>
        <v>8.8210000000000007E-3</v>
      </c>
      <c r="I21">
        <f>SUMIFS(MP2016_Long!$C:$C,MP2016_Long!$A:$A,D21,MP2016_Long!$B:$B,"&gt;=2014",MP2016_Long!$B:$B,"&lt;"&amp;E21)</f>
        <v>7.669999999999999E-2</v>
      </c>
      <c r="J21">
        <f t="shared" si="1"/>
        <v>9.5241934691868042E-3</v>
      </c>
      <c r="K21">
        <f t="shared" si="2"/>
        <v>9.5698386533855477E-3</v>
      </c>
      <c r="L21">
        <f>EXP(-K21/Inputs!$B$6)</f>
        <v>0.99920283135343879</v>
      </c>
      <c r="M21">
        <f t="shared" si="8"/>
        <v>0.98661785466718499</v>
      </c>
      <c r="N21">
        <f>IFERROR(INDEX(MonthlyCurve!$I:$I,MATCH(A21,MonthlyCurve!$A:$A,0)),"")</f>
        <v>3.725465E-2</v>
      </c>
      <c r="O21">
        <f>IFERROR(INDEX(MonthlyCurve!$J:$J,MATCH(A21,MonthlyCurve!$A:$A,0)),"")</f>
        <v>0.94565073973280189</v>
      </c>
      <c r="P21">
        <f t="shared" si="3"/>
        <v>8221.8154555598758</v>
      </c>
      <c r="Q21">
        <f t="shared" si="4"/>
        <v>24.665446366679625</v>
      </c>
      <c r="R21">
        <f t="shared" si="5"/>
        <v>8246.4809019265558</v>
      </c>
      <c r="S21">
        <f t="shared" si="6"/>
        <v>7774.9658674967804</v>
      </c>
      <c r="T21">
        <f t="shared" si="7"/>
        <v>23.324897602490338</v>
      </c>
      <c r="U21">
        <f>SUMPRODUCT(R22:R543,O22:O543)/(M21*O21)</f>
        <v>1203830.0211392012</v>
      </c>
    </row>
    <row r="22" spans="1:21" x14ac:dyDescent="0.35">
      <c r="A22">
        <v>19</v>
      </c>
      <c r="B22">
        <f>A22/Inputs!$B$6</f>
        <v>1.5833333333333333</v>
      </c>
      <c r="C22">
        <f>Inputs!$B$3+B22</f>
        <v>66.583333333333329</v>
      </c>
      <c r="D22">
        <f t="shared" si="0"/>
        <v>66</v>
      </c>
      <c r="E22">
        <f>Inputs!$B$7+1+INT((A22-1)/Inputs!$B$6)</f>
        <v>2027</v>
      </c>
      <c r="F22">
        <f>Inputs!$B$16</f>
        <v>8333.3333333333339</v>
      </c>
      <c r="G22">
        <f>Inputs!$B$12</f>
        <v>25</v>
      </c>
      <c r="H22">
        <f>IFERROR(INDEX(RP2014_Qx!$B:$B,MATCH(D22,RP2014_Qx!$A:$A,0)),"")</f>
        <v>8.8210000000000007E-3</v>
      </c>
      <c r="I22">
        <f>SUMIFS(MP2016_Long!$C:$C,MP2016_Long!$A:$A,D22,MP2016_Long!$B:$B,"&gt;=2014",MP2016_Long!$B:$B,"&lt;"&amp;E22)</f>
        <v>7.669999999999999E-2</v>
      </c>
      <c r="J22">
        <f t="shared" si="1"/>
        <v>9.5241934691868042E-3</v>
      </c>
      <c r="K22">
        <f t="shared" si="2"/>
        <v>9.5698386533855477E-3</v>
      </c>
      <c r="L22">
        <f>EXP(-K22/Inputs!$B$6)</f>
        <v>0.99920283135343879</v>
      </c>
      <c r="M22">
        <f t="shared" si="8"/>
        <v>0.9858313538473068</v>
      </c>
      <c r="N22">
        <f>IFERROR(INDEX(MonthlyCurve!$I:$I,MATCH(A22,MonthlyCurve!$A:$A,0)),"")</f>
        <v>3.7304986666666665E-2</v>
      </c>
      <c r="O22">
        <f>IFERROR(INDEX(MonthlyCurve!$J:$J,MATCH(A22,MonthlyCurve!$A:$A,0)),"")</f>
        <v>0.94264433680266602</v>
      </c>
      <c r="P22">
        <f t="shared" si="3"/>
        <v>8215.2612820608902</v>
      </c>
      <c r="Q22">
        <f t="shared" si="4"/>
        <v>24.64578384618267</v>
      </c>
      <c r="R22">
        <f t="shared" si="5"/>
        <v>8239.907065907073</v>
      </c>
      <c r="S22">
        <f t="shared" si="6"/>
        <v>7744.0695228889072</v>
      </c>
      <c r="T22">
        <f t="shared" si="7"/>
        <v>23.232208568666724</v>
      </c>
      <c r="U22">
        <f>SUMPRODUCT(R23:R543,O23:O543)/(M22*O22)</f>
        <v>1200274.5820816085</v>
      </c>
    </row>
    <row r="23" spans="1:21" x14ac:dyDescent="0.35">
      <c r="A23">
        <v>20</v>
      </c>
      <c r="B23">
        <f>A23/Inputs!$B$6</f>
        <v>1.6666666666666667</v>
      </c>
      <c r="C23">
        <f>Inputs!$B$3+B23</f>
        <v>66.666666666666671</v>
      </c>
      <c r="D23">
        <f t="shared" si="0"/>
        <v>66</v>
      </c>
      <c r="E23">
        <f>Inputs!$B$7+1+INT((A23-1)/Inputs!$B$6)</f>
        <v>2027</v>
      </c>
      <c r="F23">
        <f>Inputs!$B$16</f>
        <v>8333.3333333333339</v>
      </c>
      <c r="G23">
        <f>Inputs!$B$12</f>
        <v>25</v>
      </c>
      <c r="H23">
        <f>IFERROR(INDEX(RP2014_Qx!$B:$B,MATCH(D23,RP2014_Qx!$A:$A,0)),"")</f>
        <v>8.8210000000000007E-3</v>
      </c>
      <c r="I23">
        <f>SUMIFS(MP2016_Long!$C:$C,MP2016_Long!$A:$A,D23,MP2016_Long!$B:$B,"&gt;=2014",MP2016_Long!$B:$B,"&lt;"&amp;E23)</f>
        <v>7.669999999999999E-2</v>
      </c>
      <c r="J23">
        <f t="shared" si="1"/>
        <v>9.5241934691868042E-3</v>
      </c>
      <c r="K23">
        <f t="shared" si="2"/>
        <v>9.5698386533855477E-3</v>
      </c>
      <c r="L23">
        <f>EXP(-K23/Inputs!$B$6)</f>
        <v>0.99920283135343879</v>
      </c>
      <c r="M23">
        <f t="shared" si="8"/>
        <v>0.98504548000122272</v>
      </c>
      <c r="N23">
        <f>IFERROR(INDEX(MonthlyCurve!$I:$I,MATCH(A23,MonthlyCurve!$A:$A,0)),"")</f>
        <v>3.7355323333333336E-2</v>
      </c>
      <c r="O23">
        <f>IFERROR(INDEX(MonthlyCurve!$J:$J,MATCH(A23,MonthlyCurve!$A:$A,0)),"")</f>
        <v>0.93963960870988406</v>
      </c>
      <c r="P23">
        <f t="shared" si="3"/>
        <v>8208.7123333435229</v>
      </c>
      <c r="Q23">
        <f t="shared" si="4"/>
        <v>24.626137000030567</v>
      </c>
      <c r="R23">
        <f t="shared" si="5"/>
        <v>8233.3384703435531</v>
      </c>
      <c r="S23">
        <f t="shared" si="6"/>
        <v>7713.2312449149076</v>
      </c>
      <c r="T23">
        <f t="shared" si="7"/>
        <v>23.139693734744721</v>
      </c>
      <c r="U23">
        <f>SUMPRODUCT(R24:R543,O24:O543)/(M23*O23)</f>
        <v>1196715.0678206014</v>
      </c>
    </row>
    <row r="24" spans="1:21" x14ac:dyDescent="0.35">
      <c r="A24">
        <v>21</v>
      </c>
      <c r="B24">
        <f>A24/Inputs!$B$6</f>
        <v>1.75</v>
      </c>
      <c r="C24">
        <f>Inputs!$B$3+B24</f>
        <v>66.75</v>
      </c>
      <c r="D24">
        <f t="shared" si="0"/>
        <v>66</v>
      </c>
      <c r="E24">
        <f>Inputs!$B$7+1+INT((A24-1)/Inputs!$B$6)</f>
        <v>2027</v>
      </c>
      <c r="F24">
        <f>Inputs!$B$16</f>
        <v>8333.3333333333339</v>
      </c>
      <c r="G24">
        <f>Inputs!$B$12</f>
        <v>25</v>
      </c>
      <c r="H24">
        <f>IFERROR(INDEX(RP2014_Qx!$B:$B,MATCH(D24,RP2014_Qx!$A:$A,0)),"")</f>
        <v>8.8210000000000007E-3</v>
      </c>
      <c r="I24">
        <f>SUMIFS(MP2016_Long!$C:$C,MP2016_Long!$A:$A,D24,MP2016_Long!$B:$B,"&gt;=2014",MP2016_Long!$B:$B,"&lt;"&amp;E24)</f>
        <v>7.669999999999999E-2</v>
      </c>
      <c r="J24">
        <f t="shared" si="1"/>
        <v>9.5241934691868042E-3</v>
      </c>
      <c r="K24">
        <f t="shared" si="2"/>
        <v>9.5698386533855477E-3</v>
      </c>
      <c r="L24">
        <f>EXP(-K24/Inputs!$B$6)</f>
        <v>0.99920283135343879</v>
      </c>
      <c r="M24">
        <f t="shared" si="8"/>
        <v>0.98426023262912887</v>
      </c>
      <c r="N24">
        <f>IFERROR(INDEX(MonthlyCurve!$I:$I,MATCH(A24,MonthlyCurve!$A:$A,0)),"")</f>
        <v>3.740566E-2</v>
      </c>
      <c r="O24">
        <f>IFERROR(INDEX(MonthlyCurve!$J:$J,MATCH(A24,MonthlyCurve!$A:$A,0)),"")</f>
        <v>0.93663660045126029</v>
      </c>
      <c r="P24">
        <f t="shared" si="3"/>
        <v>8202.1686052427413</v>
      </c>
      <c r="Q24">
        <f t="shared" si="4"/>
        <v>24.606505815728223</v>
      </c>
      <c r="R24">
        <f t="shared" si="5"/>
        <v>8226.7751110584686</v>
      </c>
      <c r="S24">
        <f t="shared" si="6"/>
        <v>7682.4513187426164</v>
      </c>
      <c r="T24">
        <f t="shared" si="7"/>
        <v>23.047353956227848</v>
      </c>
      <c r="U24">
        <f>SUMPRODUCT(R25:R543,O25:O543)/(M24*O24)</f>
        <v>1193151.402218767</v>
      </c>
    </row>
    <row r="25" spans="1:21" x14ac:dyDescent="0.35">
      <c r="A25">
        <v>22</v>
      </c>
      <c r="B25">
        <f>A25/Inputs!$B$6</f>
        <v>1.8333333333333333</v>
      </c>
      <c r="C25">
        <f>Inputs!$B$3+B25</f>
        <v>66.833333333333329</v>
      </c>
      <c r="D25">
        <f t="shared" si="0"/>
        <v>66</v>
      </c>
      <c r="E25">
        <f>Inputs!$B$7+1+INT((A25-1)/Inputs!$B$6)</f>
        <v>2027</v>
      </c>
      <c r="F25">
        <f>Inputs!$B$16</f>
        <v>8333.3333333333339</v>
      </c>
      <c r="G25">
        <f>Inputs!$B$12</f>
        <v>25</v>
      </c>
      <c r="H25">
        <f>IFERROR(INDEX(RP2014_Qx!$B:$B,MATCH(D25,RP2014_Qx!$A:$A,0)),"")</f>
        <v>8.8210000000000007E-3</v>
      </c>
      <c r="I25">
        <f>SUMIFS(MP2016_Long!$C:$C,MP2016_Long!$A:$A,D25,MP2016_Long!$B:$B,"&gt;=2014",MP2016_Long!$B:$B,"&lt;"&amp;E25)</f>
        <v>7.669999999999999E-2</v>
      </c>
      <c r="J25">
        <f t="shared" si="1"/>
        <v>9.5241934691868042E-3</v>
      </c>
      <c r="K25">
        <f t="shared" si="2"/>
        <v>9.5698386533855477E-3</v>
      </c>
      <c r="L25">
        <f>EXP(-K25/Inputs!$B$6)</f>
        <v>0.99920283135343879</v>
      </c>
      <c r="M25">
        <f t="shared" si="8"/>
        <v>0.98347561123161986</v>
      </c>
      <c r="N25">
        <f>IFERROR(INDEX(MonthlyCurve!$I:$I,MATCH(A25,MonthlyCurve!$A:$A,0)),"")</f>
        <v>3.7455996666666665E-2</v>
      </c>
      <c r="O25">
        <f>IFERROR(INDEX(MonthlyCurve!$J:$J,MATCH(A25,MonthlyCurve!$A:$A,0)),"")</f>
        <v>0.93363535683676546</v>
      </c>
      <c r="P25">
        <f t="shared" si="3"/>
        <v>8195.630093596832</v>
      </c>
      <c r="Q25">
        <f t="shared" si="4"/>
        <v>24.586890280790495</v>
      </c>
      <c r="R25">
        <f t="shared" si="5"/>
        <v>8220.2169838776226</v>
      </c>
      <c r="S25">
        <f t="shared" si="6"/>
        <v>7651.7300269374118</v>
      </c>
      <c r="T25">
        <f t="shared" si="7"/>
        <v>22.955190080812233</v>
      </c>
      <c r="U25">
        <f>SUMPRODUCT(R26:R543,O26:O543)/(M25*O25)</f>
        <v>1189583.5087292742</v>
      </c>
    </row>
    <row r="26" spans="1:21" x14ac:dyDescent="0.35">
      <c r="A26">
        <v>23</v>
      </c>
      <c r="B26">
        <f>A26/Inputs!$B$6</f>
        <v>1.9166666666666667</v>
      </c>
      <c r="C26">
        <f>Inputs!$B$3+B26</f>
        <v>66.916666666666671</v>
      </c>
      <c r="D26">
        <f t="shared" si="0"/>
        <v>66</v>
      </c>
      <c r="E26">
        <f>Inputs!$B$7+1+INT((A26-1)/Inputs!$B$6)</f>
        <v>2027</v>
      </c>
      <c r="F26">
        <f>Inputs!$B$16</f>
        <v>8333.3333333333339</v>
      </c>
      <c r="G26">
        <f>Inputs!$B$12</f>
        <v>25</v>
      </c>
      <c r="H26">
        <f>IFERROR(INDEX(RP2014_Qx!$B:$B,MATCH(D26,RP2014_Qx!$A:$A,0)),"")</f>
        <v>8.8210000000000007E-3</v>
      </c>
      <c r="I26">
        <f>SUMIFS(MP2016_Long!$C:$C,MP2016_Long!$A:$A,D26,MP2016_Long!$B:$B,"&gt;=2014",MP2016_Long!$B:$B,"&lt;"&amp;E26)</f>
        <v>7.669999999999999E-2</v>
      </c>
      <c r="J26">
        <f t="shared" si="1"/>
        <v>9.5241934691868042E-3</v>
      </c>
      <c r="K26">
        <f t="shared" si="2"/>
        <v>9.5698386533855477E-3</v>
      </c>
      <c r="L26">
        <f>EXP(-K26/Inputs!$B$6)</f>
        <v>0.99920283135343879</v>
      </c>
      <c r="M26">
        <f t="shared" si="8"/>
        <v>0.9826916153096884</v>
      </c>
      <c r="N26">
        <f>IFERROR(INDEX(MonthlyCurve!$I:$I,MATCH(A26,MonthlyCurve!$A:$A,0)),"")</f>
        <v>3.7506333333333336E-2</v>
      </c>
      <c r="O26">
        <f>IFERROR(INDEX(MonthlyCurve!$J:$J,MATCH(A26,MonthlyCurve!$A:$A,0)),"")</f>
        <v>0.93063592248863247</v>
      </c>
      <c r="P26">
        <f t="shared" si="3"/>
        <v>8189.0967942474035</v>
      </c>
      <c r="Q26">
        <f t="shared" si="4"/>
        <v>24.567290382742211</v>
      </c>
      <c r="R26">
        <f t="shared" si="5"/>
        <v>8213.6640846301452</v>
      </c>
      <c r="S26">
        <f t="shared" si="6"/>
        <v>7621.0676494631352</v>
      </c>
      <c r="T26">
        <f t="shared" si="7"/>
        <v>22.863202948389407</v>
      </c>
      <c r="U26">
        <f>SUMPRODUCT(R27:R543,O27:O543)/(M26*O26)</f>
        <v>1186011.3103916587</v>
      </c>
    </row>
    <row r="27" spans="1:21" x14ac:dyDescent="0.35">
      <c r="A27">
        <v>24</v>
      </c>
      <c r="B27">
        <f>A27/Inputs!$B$6</f>
        <v>2</v>
      </c>
      <c r="C27">
        <f>Inputs!$B$3+B27</f>
        <v>67</v>
      </c>
      <c r="D27">
        <f t="shared" si="0"/>
        <v>67</v>
      </c>
      <c r="E27">
        <f>Inputs!$B$7+1+INT((A27-1)/Inputs!$B$6)</f>
        <v>2027</v>
      </c>
      <c r="F27">
        <f>Inputs!$B$16</f>
        <v>8333.3333333333339</v>
      </c>
      <c r="G27">
        <f>Inputs!$B$12</f>
        <v>25</v>
      </c>
      <c r="H27">
        <f>IFERROR(INDEX(RP2014_Qx!$B:$B,MATCH(D27,RP2014_Qx!$A:$A,0)),"")</f>
        <v>9.6790000000000001E-3</v>
      </c>
      <c r="I27">
        <f>SUMIFS(MP2016_Long!$C:$C,MP2016_Long!$A:$A,D27,MP2016_Long!$B:$B,"&gt;=2014",MP2016_Long!$B:$B,"&lt;"&amp;E27)</f>
        <v>8.09E-2</v>
      </c>
      <c r="J27">
        <f t="shared" si="1"/>
        <v>1.0494576397755268E-2</v>
      </c>
      <c r="K27">
        <f t="shared" si="2"/>
        <v>1.0550032800172575E-2</v>
      </c>
      <c r="L27">
        <f>EXP(-K27/Inputs!$B$6)</f>
        <v>0.99912121695617007</v>
      </c>
      <c r="M27">
        <f t="shared" si="8"/>
        <v>0.98182804258084044</v>
      </c>
      <c r="N27">
        <f>IFERROR(INDEX(MonthlyCurve!$I:$I,MATCH(A27,MonthlyCurve!$A:$A,0)),"")</f>
        <v>3.755667E-2</v>
      </c>
      <c r="O27">
        <f>IFERROR(INDEX(MonthlyCurve!$J:$J,MATCH(A27,MonthlyCurve!$A:$A,0)),"")</f>
        <v>0.92763834184046312</v>
      </c>
      <c r="P27">
        <f t="shared" si="3"/>
        <v>8181.900354840338</v>
      </c>
      <c r="Q27">
        <f t="shared" si="4"/>
        <v>24.545701064521012</v>
      </c>
      <c r="R27">
        <f t="shared" si="5"/>
        <v>8206.4460559048584</v>
      </c>
      <c r="S27">
        <f t="shared" si="6"/>
        <v>7589.8444782679881</v>
      </c>
      <c r="T27">
        <f t="shared" si="7"/>
        <v>22.769533434803961</v>
      </c>
      <c r="U27">
        <f>SUMPRODUCT(R28:R543,O28:O543)/(M27*O27)</f>
        <v>1182532.0011661013</v>
      </c>
    </row>
    <row r="28" spans="1:21" x14ac:dyDescent="0.35">
      <c r="A28">
        <v>25</v>
      </c>
      <c r="B28">
        <f>A28/Inputs!$B$6</f>
        <v>2.0833333333333335</v>
      </c>
      <c r="C28">
        <f>Inputs!$B$3+B28</f>
        <v>67.083333333333329</v>
      </c>
      <c r="D28">
        <f t="shared" si="0"/>
        <v>67</v>
      </c>
      <c r="E28">
        <f>Inputs!$B$7+1+INT((A28-1)/Inputs!$B$6)</f>
        <v>2028</v>
      </c>
      <c r="F28">
        <f>Inputs!$B$16</f>
        <v>8333.3333333333339</v>
      </c>
      <c r="G28">
        <f>Inputs!$B$12</f>
        <v>25</v>
      </c>
      <c r="H28">
        <f>IFERROR(INDEX(RP2014_Qx!$B:$B,MATCH(D28,RP2014_Qx!$A:$A,0)),"")</f>
        <v>9.6790000000000001E-3</v>
      </c>
      <c r="I28">
        <f>SUMIFS(MP2016_Long!$C:$C,MP2016_Long!$A:$A,D28,MP2016_Long!$B:$B,"&gt;=2014",MP2016_Long!$B:$B,"&lt;"&amp;E28)</f>
        <v>9.0899999999999995E-2</v>
      </c>
      <c r="J28">
        <f t="shared" si="1"/>
        <v>1.0600048644030274E-2</v>
      </c>
      <c r="K28">
        <f t="shared" si="2"/>
        <v>1.0656629353711264E-2</v>
      </c>
      <c r="L28">
        <f>EXP(-K28/Inputs!$B$6)</f>
        <v>0.99911234175573171</v>
      </c>
      <c r="M28">
        <f t="shared" si="8"/>
        <v>0.98095651482438972</v>
      </c>
      <c r="N28">
        <f>IFERROR(INDEX(MonthlyCurve!$I:$I,MATCH(A28,MonthlyCurve!$A:$A,0)),"")</f>
        <v>3.7556293333333338E-2</v>
      </c>
      <c r="O28">
        <f>IFERROR(INDEX(MonthlyCurve!$J:$J,MATCH(A28,MonthlyCurve!$A:$A,0)),"")</f>
        <v>0.9247403553625827</v>
      </c>
      <c r="P28">
        <f t="shared" si="3"/>
        <v>8174.6376235365815</v>
      </c>
      <c r="Q28">
        <f t="shared" si="4"/>
        <v>24.523912870609742</v>
      </c>
      <c r="R28">
        <f t="shared" si="5"/>
        <v>8199.1615364071913</v>
      </c>
      <c r="S28">
        <f t="shared" si="6"/>
        <v>7559.4173009495571</v>
      </c>
      <c r="T28">
        <f t="shared" si="7"/>
        <v>22.678251902848668</v>
      </c>
      <c r="U28">
        <f>SUMPRODUCT(R29:R543,O29:O543)/(M28*O28)</f>
        <v>1178933.4409014778</v>
      </c>
    </row>
    <row r="29" spans="1:21" x14ac:dyDescent="0.35">
      <c r="A29">
        <v>26</v>
      </c>
      <c r="B29">
        <f>A29/Inputs!$B$6</f>
        <v>2.1666666666666665</v>
      </c>
      <c r="C29">
        <f>Inputs!$B$3+B29</f>
        <v>67.166666666666671</v>
      </c>
      <c r="D29">
        <f t="shared" si="0"/>
        <v>67</v>
      </c>
      <c r="E29">
        <f>Inputs!$B$7+1+INT((A29-1)/Inputs!$B$6)</f>
        <v>2028</v>
      </c>
      <c r="F29">
        <f>Inputs!$B$16</f>
        <v>8333.3333333333339</v>
      </c>
      <c r="G29">
        <f>Inputs!$B$12</f>
        <v>25</v>
      </c>
      <c r="H29">
        <f>IFERROR(INDEX(RP2014_Qx!$B:$B,MATCH(D29,RP2014_Qx!$A:$A,0)),"")</f>
        <v>9.6790000000000001E-3</v>
      </c>
      <c r="I29">
        <f>SUMIFS(MP2016_Long!$C:$C,MP2016_Long!$A:$A,D29,MP2016_Long!$B:$B,"&gt;=2014",MP2016_Long!$B:$B,"&lt;"&amp;E29)</f>
        <v>9.0899999999999995E-2</v>
      </c>
      <c r="J29">
        <f t="shared" si="1"/>
        <v>1.0600048644030274E-2</v>
      </c>
      <c r="K29">
        <f t="shared" si="2"/>
        <v>1.0656629353711264E-2</v>
      </c>
      <c r="L29">
        <f>EXP(-K29/Inputs!$B$6)</f>
        <v>0.99911234175573171</v>
      </c>
      <c r="M29">
        <f t="shared" si="8"/>
        <v>0.98008576068673714</v>
      </c>
      <c r="N29">
        <f>IFERROR(INDEX(MonthlyCurve!$I:$I,MATCH(A29,MonthlyCurve!$A:$A,0)),"")</f>
        <v>3.7555916666666668E-2</v>
      </c>
      <c r="O29">
        <f>IFERROR(INDEX(MonthlyCurve!$J:$J,MATCH(A29,MonthlyCurve!$A:$A,0)),"")</f>
        <v>0.92185148020463381</v>
      </c>
      <c r="P29">
        <f t="shared" si="3"/>
        <v>8167.3813390561436</v>
      </c>
      <c r="Q29">
        <f t="shared" si="4"/>
        <v>24.50214401716843</v>
      </c>
      <c r="R29">
        <f t="shared" si="5"/>
        <v>8191.8834830733122</v>
      </c>
      <c r="S29">
        <f t="shared" si="6"/>
        <v>7529.1125768046104</v>
      </c>
      <c r="T29">
        <f t="shared" si="7"/>
        <v>22.587337730413829</v>
      </c>
      <c r="U29">
        <f>SUMPRODUCT(R30:R543,O30:O543)/(M29*O29)</f>
        <v>1175320.3218742562</v>
      </c>
    </row>
    <row r="30" spans="1:21" x14ac:dyDescent="0.35">
      <c r="A30">
        <v>27</v>
      </c>
      <c r="B30">
        <f>A30/Inputs!$B$6</f>
        <v>2.25</v>
      </c>
      <c r="C30">
        <f>Inputs!$B$3+B30</f>
        <v>67.25</v>
      </c>
      <c r="D30">
        <f t="shared" si="0"/>
        <v>67</v>
      </c>
      <c r="E30">
        <f>Inputs!$B$7+1+INT((A30-1)/Inputs!$B$6)</f>
        <v>2028</v>
      </c>
      <c r="F30">
        <f>Inputs!$B$16</f>
        <v>8333.3333333333339</v>
      </c>
      <c r="G30">
        <f>Inputs!$B$12</f>
        <v>25</v>
      </c>
      <c r="H30">
        <f>IFERROR(INDEX(RP2014_Qx!$B:$B,MATCH(D30,RP2014_Qx!$A:$A,0)),"")</f>
        <v>9.6790000000000001E-3</v>
      </c>
      <c r="I30">
        <f>SUMIFS(MP2016_Long!$C:$C,MP2016_Long!$A:$A,D30,MP2016_Long!$B:$B,"&gt;=2014",MP2016_Long!$B:$B,"&lt;"&amp;E30)</f>
        <v>9.0899999999999995E-2</v>
      </c>
      <c r="J30">
        <f t="shared" si="1"/>
        <v>1.0600048644030274E-2</v>
      </c>
      <c r="K30">
        <f t="shared" si="2"/>
        <v>1.0656629353711264E-2</v>
      </c>
      <c r="L30">
        <f>EXP(-K30/Inputs!$B$6)</f>
        <v>0.99911234175573171</v>
      </c>
      <c r="M30">
        <f t="shared" si="8"/>
        <v>0.97921577948117355</v>
      </c>
      <c r="N30">
        <f>IFERROR(INDEX(MonthlyCurve!$I:$I,MATCH(A30,MonthlyCurve!$A:$A,0)),"")</f>
        <v>3.7555539999999998E-2</v>
      </c>
      <c r="O30">
        <f>IFERROR(INDEX(MonthlyCurve!$J:$J,MATCH(A30,MonthlyCurve!$A:$A,0)),"")</f>
        <v>0.91897168754084024</v>
      </c>
      <c r="P30">
        <f t="shared" si="3"/>
        <v>8160.1314956764472</v>
      </c>
      <c r="Q30">
        <f t="shared" si="4"/>
        <v>24.48039448702934</v>
      </c>
      <c r="R30">
        <f t="shared" si="5"/>
        <v>8184.6118901634763</v>
      </c>
      <c r="S30">
        <f t="shared" si="6"/>
        <v>7498.9298111369453</v>
      </c>
      <c r="T30">
        <f t="shared" si="7"/>
        <v>22.496789433410836</v>
      </c>
      <c r="U30">
        <f>SUMPRODUCT(R31:R543,O31:O543)/(M30*O30)</f>
        <v>1171692.5859398858</v>
      </c>
    </row>
    <row r="31" spans="1:21" x14ac:dyDescent="0.35">
      <c r="A31">
        <v>28</v>
      </c>
      <c r="B31">
        <f>A31/Inputs!$B$6</f>
        <v>2.3333333333333335</v>
      </c>
      <c r="C31">
        <f>Inputs!$B$3+B31</f>
        <v>67.333333333333329</v>
      </c>
      <c r="D31">
        <f t="shared" si="0"/>
        <v>67</v>
      </c>
      <c r="E31">
        <f>Inputs!$B$7+1+INT((A31-1)/Inputs!$B$6)</f>
        <v>2028</v>
      </c>
      <c r="F31">
        <f>Inputs!$B$16</f>
        <v>8333.3333333333339</v>
      </c>
      <c r="G31">
        <f>Inputs!$B$12</f>
        <v>25</v>
      </c>
      <c r="H31">
        <f>IFERROR(INDEX(RP2014_Qx!$B:$B,MATCH(D31,RP2014_Qx!$A:$A,0)),"")</f>
        <v>9.6790000000000001E-3</v>
      </c>
      <c r="I31">
        <f>SUMIFS(MP2016_Long!$C:$C,MP2016_Long!$A:$A,D31,MP2016_Long!$B:$B,"&gt;=2014",MP2016_Long!$B:$B,"&lt;"&amp;E31)</f>
        <v>9.0899999999999995E-2</v>
      </c>
      <c r="J31">
        <f t="shared" si="1"/>
        <v>1.0600048644030274E-2</v>
      </c>
      <c r="K31">
        <f t="shared" si="2"/>
        <v>1.0656629353711264E-2</v>
      </c>
      <c r="L31">
        <f>EXP(-K31/Inputs!$B$6)</f>
        <v>0.99911234175573171</v>
      </c>
      <c r="M31">
        <f t="shared" si="8"/>
        <v>0.97834657052159946</v>
      </c>
      <c r="N31">
        <f>IFERROR(INDEX(MonthlyCurve!$I:$I,MATCH(A31,MonthlyCurve!$A:$A,0)),"")</f>
        <v>3.7555163333333336E-2</v>
      </c>
      <c r="O31">
        <f>IFERROR(INDEX(MonthlyCurve!$J:$J,MATCH(A31,MonthlyCurve!$A:$A,0)),"")</f>
        <v>0.91610094863718394</v>
      </c>
      <c r="P31">
        <f t="shared" si="3"/>
        <v>8152.8880876799958</v>
      </c>
      <c r="Q31">
        <f t="shared" si="4"/>
        <v>24.458664263039985</v>
      </c>
      <c r="R31">
        <f t="shared" si="5"/>
        <v>8177.346751943036</v>
      </c>
      <c r="S31">
        <f t="shared" si="6"/>
        <v>7468.8685112564408</v>
      </c>
      <c r="T31">
        <f t="shared" si="7"/>
        <v>22.406605533769319</v>
      </c>
      <c r="U31">
        <f>SUMPRODUCT(R32:R543,O32:O543)/(M31*O31)</f>
        <v>1168050.1747225481</v>
      </c>
    </row>
    <row r="32" spans="1:21" x14ac:dyDescent="0.35">
      <c r="A32">
        <v>29</v>
      </c>
      <c r="B32">
        <f>A32/Inputs!$B$6</f>
        <v>2.4166666666666665</v>
      </c>
      <c r="C32">
        <f>Inputs!$B$3+B32</f>
        <v>67.416666666666671</v>
      </c>
      <c r="D32">
        <f t="shared" si="0"/>
        <v>67</v>
      </c>
      <c r="E32">
        <f>Inputs!$B$7+1+INT((A32-1)/Inputs!$B$6)</f>
        <v>2028</v>
      </c>
      <c r="F32">
        <f>Inputs!$B$16</f>
        <v>8333.3333333333339</v>
      </c>
      <c r="G32">
        <f>Inputs!$B$12</f>
        <v>25</v>
      </c>
      <c r="H32">
        <f>IFERROR(INDEX(RP2014_Qx!$B:$B,MATCH(D32,RP2014_Qx!$A:$A,0)),"")</f>
        <v>9.6790000000000001E-3</v>
      </c>
      <c r="I32">
        <f>SUMIFS(MP2016_Long!$C:$C,MP2016_Long!$A:$A,D32,MP2016_Long!$B:$B,"&gt;=2014",MP2016_Long!$B:$B,"&lt;"&amp;E32)</f>
        <v>9.0899999999999995E-2</v>
      </c>
      <c r="J32">
        <f t="shared" si="1"/>
        <v>1.0600048644030274E-2</v>
      </c>
      <c r="K32">
        <f t="shared" si="2"/>
        <v>1.0656629353711264E-2</v>
      </c>
      <c r="L32">
        <f>EXP(-K32/Inputs!$B$6)</f>
        <v>0.99911234175573171</v>
      </c>
      <c r="M32">
        <f t="shared" si="8"/>
        <v>0.97747813312252441</v>
      </c>
      <c r="N32">
        <f>IFERROR(INDEX(MonthlyCurve!$I:$I,MATCH(A32,MonthlyCurve!$A:$A,0)),"")</f>
        <v>3.7554786666666673E-2</v>
      </c>
      <c r="O32">
        <f>IFERROR(INDEX(MonthlyCurve!$J:$J,MATCH(A32,MonthlyCurve!$A:$A,0)),"")</f>
        <v>0.91323923485111169</v>
      </c>
      <c r="P32">
        <f t="shared" si="3"/>
        <v>8145.6511093543704</v>
      </c>
      <c r="Q32">
        <f t="shared" si="4"/>
        <v>24.436953328063112</v>
      </c>
      <c r="R32">
        <f t="shared" si="5"/>
        <v>8170.0880626824337</v>
      </c>
      <c r="S32">
        <f t="shared" si="6"/>
        <v>7438.9281864708946</v>
      </c>
      <c r="T32">
        <f t="shared" si="7"/>
        <v>22.316784559412685</v>
      </c>
      <c r="U32">
        <f>SUMPRODUCT(R33:R543,O33:O543)/(M32*O32)</f>
        <v>1164393.029614235</v>
      </c>
    </row>
    <row r="33" spans="1:21" x14ac:dyDescent="0.35">
      <c r="A33">
        <v>30</v>
      </c>
      <c r="B33">
        <f>A33/Inputs!$B$6</f>
        <v>2.5</v>
      </c>
      <c r="C33">
        <f>Inputs!$B$3+B33</f>
        <v>67.5</v>
      </c>
      <c r="D33">
        <f t="shared" si="0"/>
        <v>67</v>
      </c>
      <c r="E33">
        <f>Inputs!$B$7+1+INT((A33-1)/Inputs!$B$6)</f>
        <v>2028</v>
      </c>
      <c r="F33">
        <f>Inputs!$B$16</f>
        <v>8333.3333333333339</v>
      </c>
      <c r="G33">
        <f>Inputs!$B$12</f>
        <v>25</v>
      </c>
      <c r="H33">
        <f>IFERROR(INDEX(RP2014_Qx!$B:$B,MATCH(D33,RP2014_Qx!$A:$A,0)),"")</f>
        <v>9.6790000000000001E-3</v>
      </c>
      <c r="I33">
        <f>SUMIFS(MP2016_Long!$C:$C,MP2016_Long!$A:$A,D33,MP2016_Long!$B:$B,"&gt;=2014",MP2016_Long!$B:$B,"&lt;"&amp;E33)</f>
        <v>9.0899999999999995E-2</v>
      </c>
      <c r="J33">
        <f t="shared" si="1"/>
        <v>1.0600048644030274E-2</v>
      </c>
      <c r="K33">
        <f t="shared" si="2"/>
        <v>1.0656629353711264E-2</v>
      </c>
      <c r="L33">
        <f>EXP(-K33/Inputs!$B$6)</f>
        <v>0.99911234175573171</v>
      </c>
      <c r="M33">
        <f t="shared" si="8"/>
        <v>0.97661046659906625</v>
      </c>
      <c r="N33">
        <f>IFERROR(INDEX(MonthlyCurve!$I:$I,MATCH(A33,MonthlyCurve!$A:$A,0)),"")</f>
        <v>3.7554410000000003E-2</v>
      </c>
      <c r="O33">
        <f>IFERROR(INDEX(MonthlyCurve!$J:$J,MATCH(A33,MonthlyCurve!$A:$A,0)),"")</f>
        <v>0.91038651763124134</v>
      </c>
      <c r="P33">
        <f t="shared" si="3"/>
        <v>8138.420554992219</v>
      </c>
      <c r="Q33">
        <f t="shared" si="4"/>
        <v>24.415261664976658</v>
      </c>
      <c r="R33">
        <f t="shared" si="5"/>
        <v>8162.8358166571952</v>
      </c>
      <c r="S33">
        <f t="shared" si="6"/>
        <v>7409.1083480778807</v>
      </c>
      <c r="T33">
        <f t="shared" si="7"/>
        <v>22.227325044233645</v>
      </c>
      <c r="U33">
        <f>SUMPRODUCT(R34:R543,O34:O543)/(M33*O33)</f>
        <v>1160721.0917738297</v>
      </c>
    </row>
    <row r="34" spans="1:21" x14ac:dyDescent="0.35">
      <c r="A34">
        <v>31</v>
      </c>
      <c r="B34">
        <f>A34/Inputs!$B$6</f>
        <v>2.5833333333333335</v>
      </c>
      <c r="C34">
        <f>Inputs!$B$3+B34</f>
        <v>67.583333333333329</v>
      </c>
      <c r="D34">
        <f t="shared" si="0"/>
        <v>67</v>
      </c>
      <c r="E34">
        <f>Inputs!$B$7+1+INT((A34-1)/Inputs!$B$6)</f>
        <v>2028</v>
      </c>
      <c r="F34">
        <f>Inputs!$B$16</f>
        <v>8333.3333333333339</v>
      </c>
      <c r="G34">
        <f>Inputs!$B$12</f>
        <v>25</v>
      </c>
      <c r="H34">
        <f>IFERROR(INDEX(RP2014_Qx!$B:$B,MATCH(D34,RP2014_Qx!$A:$A,0)),"")</f>
        <v>9.6790000000000001E-3</v>
      </c>
      <c r="I34">
        <f>SUMIFS(MP2016_Long!$C:$C,MP2016_Long!$A:$A,D34,MP2016_Long!$B:$B,"&gt;=2014",MP2016_Long!$B:$B,"&lt;"&amp;E34)</f>
        <v>9.0899999999999995E-2</v>
      </c>
      <c r="J34">
        <f t="shared" si="1"/>
        <v>1.0600048644030274E-2</v>
      </c>
      <c r="K34">
        <f t="shared" si="2"/>
        <v>1.0656629353711264E-2</v>
      </c>
      <c r="L34">
        <f>EXP(-K34/Inputs!$B$6)</f>
        <v>0.99911234175573171</v>
      </c>
      <c r="M34">
        <f t="shared" si="8"/>
        <v>0.97574357026695091</v>
      </c>
      <c r="N34">
        <f>IFERROR(INDEX(MonthlyCurve!$I:$I,MATCH(A34,MonthlyCurve!$A:$A,0)),"")</f>
        <v>3.7554158333333337E-2</v>
      </c>
      <c r="O34">
        <f>IFERROR(INDEX(MonthlyCurve!$J:$J,MATCH(A34,MonthlyCurve!$A:$A,0)),"")</f>
        <v>0.90754247545643218</v>
      </c>
      <c r="P34">
        <f t="shared" si="3"/>
        <v>8131.196418891258</v>
      </c>
      <c r="Q34">
        <f t="shared" si="4"/>
        <v>24.393589256673774</v>
      </c>
      <c r="R34">
        <f t="shared" si="5"/>
        <v>8155.5900081479322</v>
      </c>
      <c r="S34">
        <f t="shared" si="6"/>
        <v>7379.4061264230486</v>
      </c>
      <c r="T34">
        <f t="shared" si="7"/>
        <v>22.138218379269148</v>
      </c>
      <c r="U34">
        <f>SUMPRODUCT(R35:R543,O35:O543)/(M34*O34)</f>
        <v>1157034.6784509509</v>
      </c>
    </row>
    <row r="35" spans="1:21" x14ac:dyDescent="0.35">
      <c r="A35">
        <v>32</v>
      </c>
      <c r="B35">
        <f>A35/Inputs!$B$6</f>
        <v>2.6666666666666665</v>
      </c>
      <c r="C35">
        <f>Inputs!$B$3+B35</f>
        <v>67.666666666666671</v>
      </c>
      <c r="D35">
        <f t="shared" si="0"/>
        <v>67</v>
      </c>
      <c r="E35">
        <f>Inputs!$B$7+1+INT((A35-1)/Inputs!$B$6)</f>
        <v>2028</v>
      </c>
      <c r="F35">
        <f>Inputs!$B$16</f>
        <v>8333.3333333333339</v>
      </c>
      <c r="G35">
        <f>Inputs!$B$12</f>
        <v>25</v>
      </c>
      <c r="H35">
        <f>IFERROR(INDEX(RP2014_Qx!$B:$B,MATCH(D35,RP2014_Qx!$A:$A,0)),"")</f>
        <v>9.6790000000000001E-3</v>
      </c>
      <c r="I35">
        <f>SUMIFS(MP2016_Long!$C:$C,MP2016_Long!$A:$A,D35,MP2016_Long!$B:$B,"&gt;=2014",MP2016_Long!$B:$B,"&lt;"&amp;E35)</f>
        <v>9.0899999999999995E-2</v>
      </c>
      <c r="J35">
        <f t="shared" si="1"/>
        <v>1.0600048644030274E-2</v>
      </c>
      <c r="K35">
        <f t="shared" si="2"/>
        <v>1.0656629353711264E-2</v>
      </c>
      <c r="L35">
        <f>EXP(-K35/Inputs!$B$6)</f>
        <v>0.99911234175573171</v>
      </c>
      <c r="M35">
        <f t="shared" si="8"/>
        <v>0.9748774434425117</v>
      </c>
      <c r="N35">
        <f>IFERROR(INDEX(MonthlyCurve!$I:$I,MATCH(A35,MonthlyCurve!$A:$A,0)),"")</f>
        <v>3.7553906666666671E-2</v>
      </c>
      <c r="O35">
        <f>IFERROR(INDEX(MonthlyCurve!$J:$J,MATCH(A35,MonthlyCurve!$A:$A,0)),"")</f>
        <v>0.90470735600024699</v>
      </c>
      <c r="P35">
        <f t="shared" si="3"/>
        <v>8123.9786953542643</v>
      </c>
      <c r="Q35">
        <f t="shared" si="4"/>
        <v>24.371936086062792</v>
      </c>
      <c r="R35">
        <f t="shared" si="5"/>
        <v>8148.3506314403276</v>
      </c>
      <c r="S35">
        <f t="shared" si="6"/>
        <v>7349.8232856762925</v>
      </c>
      <c r="T35">
        <f t="shared" si="7"/>
        <v>22.049469857028878</v>
      </c>
      <c r="U35">
        <f>SUMPRODUCT(R36:R543,O36:O543)/(M35*O35)</f>
        <v>1153333.3785319848</v>
      </c>
    </row>
    <row r="36" spans="1:21" x14ac:dyDescent="0.35">
      <c r="A36">
        <v>33</v>
      </c>
      <c r="B36">
        <f>A36/Inputs!$B$6</f>
        <v>2.75</v>
      </c>
      <c r="C36">
        <f>Inputs!$B$3+B36</f>
        <v>67.75</v>
      </c>
      <c r="D36">
        <f t="shared" si="0"/>
        <v>67</v>
      </c>
      <c r="E36">
        <f>Inputs!$B$7+1+INT((A36-1)/Inputs!$B$6)</f>
        <v>2028</v>
      </c>
      <c r="F36">
        <f>Inputs!$B$16</f>
        <v>8333.3333333333339</v>
      </c>
      <c r="G36">
        <f>Inputs!$B$12</f>
        <v>25</v>
      </c>
      <c r="H36">
        <f>IFERROR(INDEX(RP2014_Qx!$B:$B,MATCH(D36,RP2014_Qx!$A:$A,0)),"")</f>
        <v>9.6790000000000001E-3</v>
      </c>
      <c r="I36">
        <f>SUMIFS(MP2016_Long!$C:$C,MP2016_Long!$A:$A,D36,MP2016_Long!$B:$B,"&gt;=2014",MP2016_Long!$B:$B,"&lt;"&amp;E36)</f>
        <v>9.0899999999999995E-2</v>
      </c>
      <c r="J36">
        <f t="shared" si="1"/>
        <v>1.0600048644030274E-2</v>
      </c>
      <c r="K36">
        <f t="shared" si="2"/>
        <v>1.0656629353711264E-2</v>
      </c>
      <c r="L36">
        <f>EXP(-K36/Inputs!$B$6)</f>
        <v>0.99911234175573171</v>
      </c>
      <c r="M36">
        <f t="shared" si="8"/>
        <v>0.9740120854426888</v>
      </c>
      <c r="N36">
        <f>IFERROR(INDEX(MonthlyCurve!$I:$I,MATCH(A36,MonthlyCurve!$A:$A,0)),"")</f>
        <v>3.7553655000000005E-2</v>
      </c>
      <c r="O36">
        <f>IFERROR(INDEX(MonthlyCurve!$J:$J,MATCH(A36,MonthlyCurve!$A:$A,0)),"")</f>
        <v>0.90188113115107449</v>
      </c>
      <c r="P36">
        <f t="shared" si="3"/>
        <v>8116.7673786890737</v>
      </c>
      <c r="Q36">
        <f t="shared" si="4"/>
        <v>24.350302136067221</v>
      </c>
      <c r="R36">
        <f t="shared" si="5"/>
        <v>8141.1176808251412</v>
      </c>
      <c r="S36">
        <f t="shared" si="6"/>
        <v>7320.3593447822432</v>
      </c>
      <c r="T36">
        <f t="shared" si="7"/>
        <v>21.96107803434673</v>
      </c>
      <c r="U36">
        <f>SUMPRODUCT(R37:R543,O37:O543)/(M36*O36)</f>
        <v>1149617.1324099058</v>
      </c>
    </row>
    <row r="37" spans="1:21" x14ac:dyDescent="0.35">
      <c r="A37">
        <v>34</v>
      </c>
      <c r="B37">
        <f>A37/Inputs!$B$6</f>
        <v>2.8333333333333335</v>
      </c>
      <c r="C37">
        <f>Inputs!$B$3+B37</f>
        <v>67.833333333333329</v>
      </c>
      <c r="D37">
        <f t="shared" si="0"/>
        <v>67</v>
      </c>
      <c r="E37">
        <f>Inputs!$B$7+1+INT((A37-1)/Inputs!$B$6)</f>
        <v>2028</v>
      </c>
      <c r="F37">
        <f>Inputs!$B$16</f>
        <v>8333.3333333333339</v>
      </c>
      <c r="G37">
        <f>Inputs!$B$12</f>
        <v>25</v>
      </c>
      <c r="H37">
        <f>IFERROR(INDEX(RP2014_Qx!$B:$B,MATCH(D37,RP2014_Qx!$A:$A,0)),"")</f>
        <v>9.6790000000000001E-3</v>
      </c>
      <c r="I37">
        <f>SUMIFS(MP2016_Long!$C:$C,MP2016_Long!$A:$A,D37,MP2016_Long!$B:$B,"&gt;=2014",MP2016_Long!$B:$B,"&lt;"&amp;E37)</f>
        <v>9.0899999999999995E-2</v>
      </c>
      <c r="J37">
        <f t="shared" si="1"/>
        <v>1.0600048644030274E-2</v>
      </c>
      <c r="K37">
        <f t="shared" si="2"/>
        <v>1.0656629353711264E-2</v>
      </c>
      <c r="L37">
        <f>EXP(-K37/Inputs!$B$6)</f>
        <v>0.99911234175573171</v>
      </c>
      <c r="M37">
        <f t="shared" si="8"/>
        <v>0.97314749558502867</v>
      </c>
      <c r="N37">
        <f>IFERROR(INDEX(MonthlyCurve!$I:$I,MATCH(A37,MonthlyCurve!$A:$A,0)),"")</f>
        <v>3.7553403333333332E-2</v>
      </c>
      <c r="O37">
        <f>IFERROR(INDEX(MonthlyCurve!$J:$J,MATCH(A37,MonthlyCurve!$A:$A,0)),"")</f>
        <v>0.89906377288623918</v>
      </c>
      <c r="P37">
        <f t="shared" si="3"/>
        <v>8109.5624632085728</v>
      </c>
      <c r="Q37">
        <f t="shared" si="4"/>
        <v>24.328687389625717</v>
      </c>
      <c r="R37">
        <f t="shared" si="5"/>
        <v>8133.8911505981987</v>
      </c>
      <c r="S37">
        <f t="shared" si="6"/>
        <v>7291.0138246289225</v>
      </c>
      <c r="T37">
        <f t="shared" si="7"/>
        <v>21.873041473886765</v>
      </c>
      <c r="U37">
        <f>SUMPRODUCT(R38:R543,O38:O543)/(M37*O37)</f>
        <v>1145885.8802396581</v>
      </c>
    </row>
    <row r="38" spans="1:21" x14ac:dyDescent="0.35">
      <c r="A38">
        <v>35</v>
      </c>
      <c r="B38">
        <f>A38/Inputs!$B$6</f>
        <v>2.9166666666666665</v>
      </c>
      <c r="C38">
        <f>Inputs!$B$3+B38</f>
        <v>67.916666666666671</v>
      </c>
      <c r="D38">
        <f t="shared" si="0"/>
        <v>67</v>
      </c>
      <c r="E38">
        <f>Inputs!$B$7+1+INT((A38-1)/Inputs!$B$6)</f>
        <v>2028</v>
      </c>
      <c r="F38">
        <f>Inputs!$B$16</f>
        <v>8333.3333333333339</v>
      </c>
      <c r="G38">
        <f>Inputs!$B$12</f>
        <v>25</v>
      </c>
      <c r="H38">
        <f>IFERROR(INDEX(RP2014_Qx!$B:$B,MATCH(D38,RP2014_Qx!$A:$A,0)),"")</f>
        <v>9.6790000000000001E-3</v>
      </c>
      <c r="I38">
        <f>SUMIFS(MP2016_Long!$C:$C,MP2016_Long!$A:$A,D38,MP2016_Long!$B:$B,"&gt;=2014",MP2016_Long!$B:$B,"&lt;"&amp;E38)</f>
        <v>9.0899999999999995E-2</v>
      </c>
      <c r="J38">
        <f t="shared" si="1"/>
        <v>1.0600048644030274E-2</v>
      </c>
      <c r="K38">
        <f t="shared" si="2"/>
        <v>1.0656629353711264E-2</v>
      </c>
      <c r="L38">
        <f>EXP(-K38/Inputs!$B$6)</f>
        <v>0.99911234175573171</v>
      </c>
      <c r="M38">
        <f t="shared" si="8"/>
        <v>0.97228367318768361</v>
      </c>
      <c r="N38">
        <f>IFERROR(INDEX(MonthlyCurve!$I:$I,MATCH(A38,MonthlyCurve!$A:$A,0)),"")</f>
        <v>3.7553151666666666E-2</v>
      </c>
      <c r="O38">
        <f>IFERROR(INDEX(MonthlyCurve!$J:$J,MATCH(A38,MonthlyCurve!$A:$A,0)),"")</f>
        <v>0.89625525327171995</v>
      </c>
      <c r="P38">
        <f t="shared" si="3"/>
        <v>8102.3639432306973</v>
      </c>
      <c r="Q38">
        <f t="shared" si="4"/>
        <v>24.307091829692091</v>
      </c>
      <c r="R38">
        <f t="shared" si="5"/>
        <v>8126.6710350603889</v>
      </c>
      <c r="S38">
        <f t="shared" si="6"/>
        <v>7261.7862480398799</v>
      </c>
      <c r="T38">
        <f t="shared" si="7"/>
        <v>21.785358744119641</v>
      </c>
      <c r="U38">
        <f>SUMPRODUCT(R39:R543,O39:O543)/(M38*O38)</f>
        <v>1142139.5619372062</v>
      </c>
    </row>
    <row r="39" spans="1:21" x14ac:dyDescent="0.35">
      <c r="A39">
        <v>36</v>
      </c>
      <c r="B39">
        <f>A39/Inputs!$B$6</f>
        <v>3</v>
      </c>
      <c r="C39">
        <f>Inputs!$B$3+B39</f>
        <v>68</v>
      </c>
      <c r="D39">
        <f t="shared" si="0"/>
        <v>68</v>
      </c>
      <c r="E39">
        <f>Inputs!$B$7+1+INT((A39-1)/Inputs!$B$6)</f>
        <v>2028</v>
      </c>
      <c r="F39">
        <f>Inputs!$B$16</f>
        <v>8333.3333333333339</v>
      </c>
      <c r="G39">
        <f>Inputs!$B$12</f>
        <v>25</v>
      </c>
      <c r="H39">
        <f>IFERROR(INDEX(RP2014_Qx!$B:$B,MATCH(D39,RP2014_Qx!$A:$A,0)),"")</f>
        <v>1.0633E-2</v>
      </c>
      <c r="I39">
        <f>SUMIFS(MP2016_Long!$C:$C,MP2016_Long!$A:$A,D39,MP2016_Long!$B:$B,"&gt;=2014",MP2016_Long!$B:$B,"&lt;"&amp;E39)</f>
        <v>9.6000000000000016E-2</v>
      </c>
      <c r="J39">
        <f t="shared" si="1"/>
        <v>1.1704371127447977E-2</v>
      </c>
      <c r="K39">
        <f t="shared" si="2"/>
        <v>1.1773406484866229E-2</v>
      </c>
      <c r="L39">
        <f>EXP(-K39/Inputs!$B$6)</f>
        <v>0.99901936393105095</v>
      </c>
      <c r="M39">
        <f t="shared" si="8"/>
        <v>0.9713302167485055</v>
      </c>
      <c r="N39">
        <f>IFERROR(INDEX(MonthlyCurve!$I:$I,MATCH(A39,MonthlyCurve!$A:$A,0)),"")</f>
        <v>3.75529E-2</v>
      </c>
      <c r="O39">
        <f>IFERROR(INDEX(MonthlyCurve!$J:$J,MATCH(A39,MonthlyCurve!$A:$A,0)),"")</f>
        <v>0.89345554446186715</v>
      </c>
      <c r="P39">
        <f t="shared" si="3"/>
        <v>8094.4184729042136</v>
      </c>
      <c r="Q39">
        <f t="shared" si="4"/>
        <v>24.283255418712638</v>
      </c>
      <c r="R39">
        <f t="shared" si="5"/>
        <v>8118.7017283229261</v>
      </c>
      <c r="S39">
        <f t="shared" si="6"/>
        <v>7232.0030638108292</v>
      </c>
      <c r="T39">
        <f t="shared" si="7"/>
        <v>21.696009191432488</v>
      </c>
      <c r="U39">
        <f>SUMPRODUCT(R40:R543,O40:O543)/(M39*O39)</f>
        <v>1138484.8428983253</v>
      </c>
    </row>
    <row r="40" spans="1:21" x14ac:dyDescent="0.35">
      <c r="A40">
        <v>37</v>
      </c>
      <c r="B40">
        <f>A40/Inputs!$B$6</f>
        <v>3.0833333333333335</v>
      </c>
      <c r="C40">
        <f>Inputs!$B$3+B40</f>
        <v>68.083333333333329</v>
      </c>
      <c r="D40">
        <f t="shared" si="0"/>
        <v>68</v>
      </c>
      <c r="E40">
        <f>Inputs!$B$7+1+INT((A40-1)/Inputs!$B$6)</f>
        <v>2029</v>
      </c>
      <c r="F40">
        <f>Inputs!$B$16</f>
        <v>8333.3333333333339</v>
      </c>
      <c r="G40">
        <f>Inputs!$B$12</f>
        <v>25</v>
      </c>
      <c r="H40">
        <f>IFERROR(INDEX(RP2014_Qx!$B:$B,MATCH(D40,RP2014_Qx!$A:$A,0)),"")</f>
        <v>1.0633E-2</v>
      </c>
      <c r="I40">
        <f>SUMIFS(MP2016_Long!$C:$C,MP2016_Long!$A:$A,D40,MP2016_Long!$B:$B,"&gt;=2014",MP2016_Long!$B:$B,"&lt;"&amp;E40)</f>
        <v>0.10600000000000001</v>
      </c>
      <c r="J40">
        <f t="shared" si="1"/>
        <v>1.1822002012893943E-2</v>
      </c>
      <c r="K40">
        <f t="shared" si="2"/>
        <v>1.1892437555138404E-2</v>
      </c>
      <c r="L40">
        <f>EXP(-K40/Inputs!$B$6)</f>
        <v>0.99900945445152245</v>
      </c>
      <c r="M40">
        <f t="shared" si="8"/>
        <v>0.9703680699262035</v>
      </c>
      <c r="N40">
        <f>IFERROR(INDEX(MonthlyCurve!$I:$I,MATCH(A40,MonthlyCurve!$A:$A,0)),"")</f>
        <v>3.7591701666666665E-2</v>
      </c>
      <c r="O40">
        <f>IFERROR(INDEX(MonthlyCurve!$J:$J,MATCH(A40,MonthlyCurve!$A:$A,0)),"")</f>
        <v>0.89055737627077425</v>
      </c>
      <c r="P40">
        <f t="shared" si="3"/>
        <v>8086.4005827183628</v>
      </c>
      <c r="Q40">
        <f t="shared" si="4"/>
        <v>24.259201748155089</v>
      </c>
      <c r="R40">
        <f t="shared" si="5"/>
        <v>8110.6597844665175</v>
      </c>
      <c r="S40">
        <f t="shared" si="6"/>
        <v>7201.4036864201253</v>
      </c>
      <c r="T40">
        <f t="shared" si="7"/>
        <v>21.604211059260376</v>
      </c>
      <c r="U40">
        <f>SUMPRODUCT(R41:R543,O41:O543)/(M40*O40)</f>
        <v>1134964.0285930024</v>
      </c>
    </row>
    <row r="41" spans="1:21" x14ac:dyDescent="0.35">
      <c r="A41">
        <v>38</v>
      </c>
      <c r="B41">
        <f>A41/Inputs!$B$6</f>
        <v>3.1666666666666665</v>
      </c>
      <c r="C41">
        <f>Inputs!$B$3+B41</f>
        <v>68.166666666666671</v>
      </c>
      <c r="D41">
        <f t="shared" si="0"/>
        <v>68</v>
      </c>
      <c r="E41">
        <f>Inputs!$B$7+1+INT((A41-1)/Inputs!$B$6)</f>
        <v>2029</v>
      </c>
      <c r="F41">
        <f>Inputs!$B$16</f>
        <v>8333.3333333333339</v>
      </c>
      <c r="G41">
        <f>Inputs!$B$12</f>
        <v>25</v>
      </c>
      <c r="H41">
        <f>IFERROR(INDEX(RP2014_Qx!$B:$B,MATCH(D41,RP2014_Qx!$A:$A,0)),"")</f>
        <v>1.0633E-2</v>
      </c>
      <c r="I41">
        <f>SUMIFS(MP2016_Long!$C:$C,MP2016_Long!$A:$A,D41,MP2016_Long!$B:$B,"&gt;=2014",MP2016_Long!$B:$B,"&lt;"&amp;E41)</f>
        <v>0.10600000000000001</v>
      </c>
      <c r="J41">
        <f t="shared" si="1"/>
        <v>1.1822002012893943E-2</v>
      </c>
      <c r="K41">
        <f t="shared" si="2"/>
        <v>1.1892437555138404E-2</v>
      </c>
      <c r="L41">
        <f>EXP(-K41/Inputs!$B$6)</f>
        <v>0.99900945445152245</v>
      </c>
      <c r="M41">
        <f t="shared" si="8"/>
        <v>0.96940687615415333</v>
      </c>
      <c r="N41">
        <f>IFERROR(INDEX(MonthlyCurve!$I:$I,MATCH(A41,MonthlyCurve!$A:$A,0)),"")</f>
        <v>3.7630503333333336E-2</v>
      </c>
      <c r="O41">
        <f>IFERROR(INDEX(MonthlyCurve!$J:$J,MATCH(A41,MonthlyCurve!$A:$A,0)),"")</f>
        <v>0.88766286859834576</v>
      </c>
      <c r="P41">
        <f t="shared" si="3"/>
        <v>8078.3906346179447</v>
      </c>
      <c r="Q41">
        <f t="shared" si="4"/>
        <v>24.235171903853832</v>
      </c>
      <c r="R41">
        <f t="shared" si="5"/>
        <v>8102.6258065217989</v>
      </c>
      <c r="S41">
        <f t="shared" si="6"/>
        <v>7170.8874043829755</v>
      </c>
      <c r="T41">
        <f t="shared" si="7"/>
        <v>21.512662213148925</v>
      </c>
      <c r="U41">
        <f>SUMPRODUCT(R42:R543,O42:O543)/(M41*O41)</f>
        <v>1131435.6250083072</v>
      </c>
    </row>
    <row r="42" spans="1:21" x14ac:dyDescent="0.35">
      <c r="A42">
        <v>39</v>
      </c>
      <c r="B42">
        <f>A42/Inputs!$B$6</f>
        <v>3.25</v>
      </c>
      <c r="C42">
        <f>Inputs!$B$3+B42</f>
        <v>68.25</v>
      </c>
      <c r="D42">
        <f t="shared" si="0"/>
        <v>68</v>
      </c>
      <c r="E42">
        <f>Inputs!$B$7+1+INT((A42-1)/Inputs!$B$6)</f>
        <v>2029</v>
      </c>
      <c r="F42">
        <f>Inputs!$B$16</f>
        <v>8333.3333333333339</v>
      </c>
      <c r="G42">
        <f>Inputs!$B$12</f>
        <v>25</v>
      </c>
      <c r="H42">
        <f>IFERROR(INDEX(RP2014_Qx!$B:$B,MATCH(D42,RP2014_Qx!$A:$A,0)),"")</f>
        <v>1.0633E-2</v>
      </c>
      <c r="I42">
        <f>SUMIFS(MP2016_Long!$C:$C,MP2016_Long!$A:$A,D42,MP2016_Long!$B:$B,"&gt;=2014",MP2016_Long!$B:$B,"&lt;"&amp;E42)</f>
        <v>0.10600000000000001</v>
      </c>
      <c r="J42">
        <f t="shared" si="1"/>
        <v>1.1822002012893943E-2</v>
      </c>
      <c r="K42">
        <f t="shared" si="2"/>
        <v>1.1892437555138404E-2</v>
      </c>
      <c r="L42">
        <f>EXP(-K42/Inputs!$B$6)</f>
        <v>0.99900945445152245</v>
      </c>
      <c r="M42">
        <f t="shared" si="8"/>
        <v>0.96844663448831525</v>
      </c>
      <c r="N42">
        <f>IFERROR(INDEX(MonthlyCurve!$I:$I,MATCH(A42,MonthlyCurve!$A:$A,0)),"")</f>
        <v>3.7669305E-2</v>
      </c>
      <c r="O42">
        <f>IFERROR(INDEX(MonthlyCurve!$J:$J,MATCH(A42,MonthlyCurve!$A:$A,0)),"")</f>
        <v>0.88477204692336986</v>
      </c>
      <c r="P42">
        <f t="shared" si="3"/>
        <v>8070.388620735961</v>
      </c>
      <c r="Q42">
        <f t="shared" si="4"/>
        <v>24.211165862207881</v>
      </c>
      <c r="R42">
        <f t="shared" si="5"/>
        <v>8094.599786598169</v>
      </c>
      <c r="S42">
        <f t="shared" si="6"/>
        <v>7140.454259435628</v>
      </c>
      <c r="T42">
        <f t="shared" si="7"/>
        <v>21.421362778306882</v>
      </c>
      <c r="U42">
        <f>SUMPRODUCT(R43:R543,O43:O543)/(M42*O42)</f>
        <v>1127899.5541142253</v>
      </c>
    </row>
    <row r="43" spans="1:21" x14ac:dyDescent="0.35">
      <c r="A43">
        <v>40</v>
      </c>
      <c r="B43">
        <f>A43/Inputs!$B$6</f>
        <v>3.3333333333333335</v>
      </c>
      <c r="C43">
        <f>Inputs!$B$3+B43</f>
        <v>68.333333333333329</v>
      </c>
      <c r="D43">
        <f t="shared" si="0"/>
        <v>68</v>
      </c>
      <c r="E43">
        <f>Inputs!$B$7+1+INT((A43-1)/Inputs!$B$6)</f>
        <v>2029</v>
      </c>
      <c r="F43">
        <f>Inputs!$B$16</f>
        <v>8333.3333333333339</v>
      </c>
      <c r="G43">
        <f>Inputs!$B$12</f>
        <v>25</v>
      </c>
      <c r="H43">
        <f>IFERROR(INDEX(RP2014_Qx!$B:$B,MATCH(D43,RP2014_Qx!$A:$A,0)),"")</f>
        <v>1.0633E-2</v>
      </c>
      <c r="I43">
        <f>SUMIFS(MP2016_Long!$C:$C,MP2016_Long!$A:$A,D43,MP2016_Long!$B:$B,"&gt;=2014",MP2016_Long!$B:$B,"&lt;"&amp;E43)</f>
        <v>0.10600000000000001</v>
      </c>
      <c r="J43">
        <f t="shared" si="1"/>
        <v>1.1822002012893943E-2</v>
      </c>
      <c r="K43">
        <f t="shared" si="2"/>
        <v>1.1892437555138404E-2</v>
      </c>
      <c r="L43">
        <f>EXP(-K43/Inputs!$B$6)</f>
        <v>0.99900945445152245</v>
      </c>
      <c r="M43">
        <f t="shared" si="8"/>
        <v>0.96748734398558478</v>
      </c>
      <c r="N43">
        <f>IFERROR(INDEX(MonthlyCurve!$I:$I,MATCH(A43,MonthlyCurve!$A:$A,0)),"")</f>
        <v>3.7708106666666664E-2</v>
      </c>
      <c r="O43">
        <f>IFERROR(INDEX(MonthlyCurve!$J:$J,MATCH(A43,MonthlyCurve!$A:$A,0)),"")</f>
        <v>0.88188493657034595</v>
      </c>
      <c r="P43">
        <f t="shared" si="3"/>
        <v>8062.3945332132071</v>
      </c>
      <c r="Q43">
        <f t="shared" si="4"/>
        <v>24.187183599639621</v>
      </c>
      <c r="R43">
        <f t="shared" si="5"/>
        <v>8086.5817168128469</v>
      </c>
      <c r="S43">
        <f t="shared" si="6"/>
        <v>7110.1042915278331</v>
      </c>
      <c r="T43">
        <f t="shared" si="7"/>
        <v>21.330312874583498</v>
      </c>
      <c r="U43">
        <f>SUMPRODUCT(R44:R543,O44:O543)/(M43*O43)</f>
        <v>1124355.7373993574</v>
      </c>
    </row>
    <row r="44" spans="1:21" x14ac:dyDescent="0.35">
      <c r="A44">
        <v>41</v>
      </c>
      <c r="B44">
        <f>A44/Inputs!$B$6</f>
        <v>3.4166666666666665</v>
      </c>
      <c r="C44">
        <f>Inputs!$B$3+B44</f>
        <v>68.416666666666671</v>
      </c>
      <c r="D44">
        <f t="shared" si="0"/>
        <v>68</v>
      </c>
      <c r="E44">
        <f>Inputs!$B$7+1+INT((A44-1)/Inputs!$B$6)</f>
        <v>2029</v>
      </c>
      <c r="F44">
        <f>Inputs!$B$16</f>
        <v>8333.3333333333339</v>
      </c>
      <c r="G44">
        <f>Inputs!$B$12</f>
        <v>25</v>
      </c>
      <c r="H44">
        <f>IFERROR(INDEX(RP2014_Qx!$B:$B,MATCH(D44,RP2014_Qx!$A:$A,0)),"")</f>
        <v>1.0633E-2</v>
      </c>
      <c r="I44">
        <f>SUMIFS(MP2016_Long!$C:$C,MP2016_Long!$A:$A,D44,MP2016_Long!$B:$B,"&gt;=2014",MP2016_Long!$B:$B,"&lt;"&amp;E44)</f>
        <v>0.10600000000000001</v>
      </c>
      <c r="J44">
        <f t="shared" si="1"/>
        <v>1.1822002012893943E-2</v>
      </c>
      <c r="K44">
        <f t="shared" si="2"/>
        <v>1.1892437555138404E-2</v>
      </c>
      <c r="L44">
        <f>EXP(-K44/Inputs!$B$6)</f>
        <v>0.99900945445152245</v>
      </c>
      <c r="M44">
        <f t="shared" si="8"/>
        <v>0.96652900370379147</v>
      </c>
      <c r="N44">
        <f>IFERROR(INDEX(MonthlyCurve!$I:$I,MATCH(A44,MonthlyCurve!$A:$A,0)),"")</f>
        <v>3.7746908333333336E-2</v>
      </c>
      <c r="O44">
        <f>IFERROR(INDEX(MonthlyCurve!$J:$J,MATCH(A44,MonthlyCurve!$A:$A,0)),"")</f>
        <v>0.87900156270933372</v>
      </c>
      <c r="P44">
        <f t="shared" si="3"/>
        <v>8054.4083641982625</v>
      </c>
      <c r="Q44">
        <f t="shared" si="4"/>
        <v>24.163225092594786</v>
      </c>
      <c r="R44">
        <f t="shared" si="5"/>
        <v>8078.5715892908574</v>
      </c>
      <c r="S44">
        <f t="shared" si="6"/>
        <v>7079.8375388294007</v>
      </c>
      <c r="T44">
        <f t="shared" si="7"/>
        <v>21.239512616488202</v>
      </c>
      <c r="U44">
        <f>SUMPRODUCT(R45:R543,O45:O543)/(M44*O44)</f>
        <v>1120804.0958668301</v>
      </c>
    </row>
    <row r="45" spans="1:21" x14ac:dyDescent="0.35">
      <c r="A45">
        <v>42</v>
      </c>
      <c r="B45">
        <f>A45/Inputs!$B$6</f>
        <v>3.5</v>
      </c>
      <c r="C45">
        <f>Inputs!$B$3+B45</f>
        <v>68.5</v>
      </c>
      <c r="D45">
        <f t="shared" si="0"/>
        <v>68</v>
      </c>
      <c r="E45">
        <f>Inputs!$B$7+1+INT((A45-1)/Inputs!$B$6)</f>
        <v>2029</v>
      </c>
      <c r="F45">
        <f>Inputs!$B$16</f>
        <v>8333.3333333333339</v>
      </c>
      <c r="G45">
        <f>Inputs!$B$12</f>
        <v>25</v>
      </c>
      <c r="H45">
        <f>IFERROR(INDEX(RP2014_Qx!$B:$B,MATCH(D45,RP2014_Qx!$A:$A,0)),"")</f>
        <v>1.0633E-2</v>
      </c>
      <c r="I45">
        <f>SUMIFS(MP2016_Long!$C:$C,MP2016_Long!$A:$A,D45,MP2016_Long!$B:$B,"&gt;=2014",MP2016_Long!$B:$B,"&lt;"&amp;E45)</f>
        <v>0.10600000000000001</v>
      </c>
      <c r="J45">
        <f t="shared" si="1"/>
        <v>1.1822002012893943E-2</v>
      </c>
      <c r="K45">
        <f t="shared" si="2"/>
        <v>1.1892437555138404E-2</v>
      </c>
      <c r="L45">
        <f>EXP(-K45/Inputs!$B$6)</f>
        <v>0.99900945445152245</v>
      </c>
      <c r="M45">
        <f t="shared" si="8"/>
        <v>0.96557161270169822</v>
      </c>
      <c r="N45">
        <f>IFERROR(INDEX(MonthlyCurve!$I:$I,MATCH(A45,MonthlyCurve!$A:$A,0)),"")</f>
        <v>3.778571E-2</v>
      </c>
      <c r="O45">
        <f>IFERROR(INDEX(MonthlyCurve!$J:$J,MATCH(A45,MonthlyCurve!$A:$A,0)),"")</f>
        <v>0.87612195035580664</v>
      </c>
      <c r="P45">
        <f t="shared" si="3"/>
        <v>8046.4301058474857</v>
      </c>
      <c r="Q45">
        <f t="shared" si="4"/>
        <v>24.139290317542457</v>
      </c>
      <c r="R45">
        <f t="shared" si="5"/>
        <v>8070.5693961650286</v>
      </c>
      <c r="S45">
        <f t="shared" si="6"/>
        <v>7049.6540377367792</v>
      </c>
      <c r="T45">
        <f t="shared" si="7"/>
        <v>21.148962113210338</v>
      </c>
      <c r="U45">
        <f>SUMPRODUCT(R46:R543,O46:O543)/(M45*O45)</f>
        <v>1117244.550030177</v>
      </c>
    </row>
    <row r="46" spans="1:21" x14ac:dyDescent="0.35">
      <c r="A46">
        <v>43</v>
      </c>
      <c r="B46">
        <f>A46/Inputs!$B$6</f>
        <v>3.5833333333333335</v>
      </c>
      <c r="C46">
        <f>Inputs!$B$3+B46</f>
        <v>68.583333333333329</v>
      </c>
      <c r="D46">
        <f t="shared" si="0"/>
        <v>68</v>
      </c>
      <c r="E46">
        <f>Inputs!$B$7+1+INT((A46-1)/Inputs!$B$6)</f>
        <v>2029</v>
      </c>
      <c r="F46">
        <f>Inputs!$B$16</f>
        <v>8333.3333333333339</v>
      </c>
      <c r="G46">
        <f>Inputs!$B$12</f>
        <v>25</v>
      </c>
      <c r="H46">
        <f>IFERROR(INDEX(RP2014_Qx!$B:$B,MATCH(D46,RP2014_Qx!$A:$A,0)),"")</f>
        <v>1.0633E-2</v>
      </c>
      <c r="I46">
        <f>SUMIFS(MP2016_Long!$C:$C,MP2016_Long!$A:$A,D46,MP2016_Long!$B:$B,"&gt;=2014",MP2016_Long!$B:$B,"&lt;"&amp;E46)</f>
        <v>0.10600000000000001</v>
      </c>
      <c r="J46">
        <f t="shared" si="1"/>
        <v>1.1822002012893943E-2</v>
      </c>
      <c r="K46">
        <f t="shared" si="2"/>
        <v>1.1892437555138404E-2</v>
      </c>
      <c r="L46">
        <f>EXP(-K46/Inputs!$B$6)</f>
        <v>0.99900945445152245</v>
      </c>
      <c r="M46">
        <f t="shared" si="8"/>
        <v>0.96461517003900021</v>
      </c>
      <c r="N46">
        <f>IFERROR(INDEX(MonthlyCurve!$I:$I,MATCH(A46,MonthlyCurve!$A:$A,0)),"")</f>
        <v>3.782468666666667E-2</v>
      </c>
      <c r="O46">
        <f>IFERROR(INDEX(MonthlyCurve!$J:$J,MATCH(A46,MonthlyCurve!$A:$A,0)),"")</f>
        <v>0.87324557677259318</v>
      </c>
      <c r="P46">
        <f t="shared" si="3"/>
        <v>8038.4597503250025</v>
      </c>
      <c r="Q46">
        <f t="shared" si="4"/>
        <v>24.115379250975007</v>
      </c>
      <c r="R46">
        <f t="shared" si="5"/>
        <v>8062.5751295759774</v>
      </c>
      <c r="S46">
        <f t="shared" si="6"/>
        <v>7019.549421035832</v>
      </c>
      <c r="T46">
        <f t="shared" si="7"/>
        <v>21.058648263107496</v>
      </c>
      <c r="U46">
        <f>SUMPRODUCT(R47:R543,O47:O543)/(M46*O46)</f>
        <v>1113677.7235190747</v>
      </c>
    </row>
    <row r="47" spans="1:21" x14ac:dyDescent="0.35">
      <c r="A47">
        <v>44</v>
      </c>
      <c r="B47">
        <f>A47/Inputs!$B$6</f>
        <v>3.6666666666666665</v>
      </c>
      <c r="C47">
        <f>Inputs!$B$3+B47</f>
        <v>68.666666666666671</v>
      </c>
      <c r="D47">
        <f t="shared" si="0"/>
        <v>68</v>
      </c>
      <c r="E47">
        <f>Inputs!$B$7+1+INT((A47-1)/Inputs!$B$6)</f>
        <v>2029</v>
      </c>
      <c r="F47">
        <f>Inputs!$B$16</f>
        <v>8333.3333333333339</v>
      </c>
      <c r="G47">
        <f>Inputs!$B$12</f>
        <v>25</v>
      </c>
      <c r="H47">
        <f>IFERROR(INDEX(RP2014_Qx!$B:$B,MATCH(D47,RP2014_Qx!$A:$A,0)),"")</f>
        <v>1.0633E-2</v>
      </c>
      <c r="I47">
        <f>SUMIFS(MP2016_Long!$C:$C,MP2016_Long!$A:$A,D47,MP2016_Long!$B:$B,"&gt;=2014",MP2016_Long!$B:$B,"&lt;"&amp;E47)</f>
        <v>0.10600000000000001</v>
      </c>
      <c r="J47">
        <f t="shared" si="1"/>
        <v>1.1822002012893943E-2</v>
      </c>
      <c r="K47">
        <f t="shared" si="2"/>
        <v>1.1892437555138404E-2</v>
      </c>
      <c r="L47">
        <f>EXP(-K47/Inputs!$B$6)</f>
        <v>0.99900945445152245</v>
      </c>
      <c r="M47">
        <f t="shared" si="8"/>
        <v>0.96365967477632419</v>
      </c>
      <c r="N47">
        <f>IFERROR(INDEX(MonthlyCurve!$I:$I,MATCH(A47,MonthlyCurve!$A:$A,0)),"")</f>
        <v>3.7863663333333332E-2</v>
      </c>
      <c r="O47">
        <f>IFERROR(INDEX(MonthlyCurve!$J:$J,MATCH(A47,MonthlyCurve!$A:$A,0)),"")</f>
        <v>0.87037299247994415</v>
      </c>
      <c r="P47">
        <f t="shared" si="3"/>
        <v>8030.4972898027017</v>
      </c>
      <c r="Q47">
        <f t="shared" si="4"/>
        <v>24.091491869408106</v>
      </c>
      <c r="R47">
        <f t="shared" si="5"/>
        <v>8054.5887816721097</v>
      </c>
      <c r="S47">
        <f t="shared" si="6"/>
        <v>6989.5279572276586</v>
      </c>
      <c r="T47">
        <f t="shared" si="7"/>
        <v>20.968583871682977</v>
      </c>
      <c r="U47">
        <f>SUMPRODUCT(R48:R543,O48:O543)/(M47*O47)</f>
        <v>1110102.8656472026</v>
      </c>
    </row>
    <row r="48" spans="1:21" x14ac:dyDescent="0.35">
      <c r="A48">
        <v>45</v>
      </c>
      <c r="B48">
        <f>A48/Inputs!$B$6</f>
        <v>3.75</v>
      </c>
      <c r="C48">
        <f>Inputs!$B$3+B48</f>
        <v>68.75</v>
      </c>
      <c r="D48">
        <f t="shared" si="0"/>
        <v>68</v>
      </c>
      <c r="E48">
        <f>Inputs!$B$7+1+INT((A48-1)/Inputs!$B$6)</f>
        <v>2029</v>
      </c>
      <c r="F48">
        <f>Inputs!$B$16</f>
        <v>8333.3333333333339</v>
      </c>
      <c r="G48">
        <f>Inputs!$B$12</f>
        <v>25</v>
      </c>
      <c r="H48">
        <f>IFERROR(INDEX(RP2014_Qx!$B:$B,MATCH(D48,RP2014_Qx!$A:$A,0)),"")</f>
        <v>1.0633E-2</v>
      </c>
      <c r="I48">
        <f>SUMIFS(MP2016_Long!$C:$C,MP2016_Long!$A:$A,D48,MP2016_Long!$B:$B,"&gt;=2014",MP2016_Long!$B:$B,"&lt;"&amp;E48)</f>
        <v>0.10600000000000001</v>
      </c>
      <c r="J48">
        <f t="shared" si="1"/>
        <v>1.1822002012893943E-2</v>
      </c>
      <c r="K48">
        <f t="shared" si="2"/>
        <v>1.1892437555138404E-2</v>
      </c>
      <c r="L48">
        <f>EXP(-K48/Inputs!$B$6)</f>
        <v>0.99900945445152245</v>
      </c>
      <c r="M48">
        <f t="shared" si="8"/>
        <v>0.96270512597522717</v>
      </c>
      <c r="N48">
        <f>IFERROR(INDEX(MonthlyCurve!$I:$I,MATCH(A48,MonthlyCurve!$A:$A,0)),"")</f>
        <v>3.7902640000000001E-2</v>
      </c>
      <c r="O48">
        <f>IFERROR(INDEX(MonthlyCurve!$J:$J,MATCH(A48,MonthlyCurve!$A:$A,0)),"")</f>
        <v>0.8675042222725492</v>
      </c>
      <c r="P48">
        <f t="shared" si="3"/>
        <v>8022.542716460227</v>
      </c>
      <c r="Q48">
        <f t="shared" si="4"/>
        <v>24.067628149380678</v>
      </c>
      <c r="R48">
        <f t="shared" si="5"/>
        <v>8046.6103446096076</v>
      </c>
      <c r="S48">
        <f t="shared" si="6"/>
        <v>6959.5896798911335</v>
      </c>
      <c r="T48">
        <f t="shared" si="7"/>
        <v>20.878769039673397</v>
      </c>
      <c r="U48">
        <f>SUMPRODUCT(R49:R543,O49:O543)/(M48*O48)</f>
        <v>1106519.8953729654</v>
      </c>
    </row>
    <row r="49" spans="1:21" x14ac:dyDescent="0.35">
      <c r="A49">
        <v>46</v>
      </c>
      <c r="B49">
        <f>A49/Inputs!$B$6</f>
        <v>3.8333333333333335</v>
      </c>
      <c r="C49">
        <f>Inputs!$B$3+B49</f>
        <v>68.833333333333329</v>
      </c>
      <c r="D49">
        <f t="shared" si="0"/>
        <v>68</v>
      </c>
      <c r="E49">
        <f>Inputs!$B$7+1+INT((A49-1)/Inputs!$B$6)</f>
        <v>2029</v>
      </c>
      <c r="F49">
        <f>Inputs!$B$16</f>
        <v>8333.3333333333339</v>
      </c>
      <c r="G49">
        <f>Inputs!$B$12</f>
        <v>25</v>
      </c>
      <c r="H49">
        <f>IFERROR(INDEX(RP2014_Qx!$B:$B,MATCH(D49,RP2014_Qx!$A:$A,0)),"")</f>
        <v>1.0633E-2</v>
      </c>
      <c r="I49">
        <f>SUMIFS(MP2016_Long!$C:$C,MP2016_Long!$A:$A,D49,MP2016_Long!$B:$B,"&gt;=2014",MP2016_Long!$B:$B,"&lt;"&amp;E49)</f>
        <v>0.10600000000000001</v>
      </c>
      <c r="J49">
        <f t="shared" si="1"/>
        <v>1.1822002012893943E-2</v>
      </c>
      <c r="K49">
        <f t="shared" si="2"/>
        <v>1.1892437555138404E-2</v>
      </c>
      <c r="L49">
        <f>EXP(-K49/Inputs!$B$6)</f>
        <v>0.99900945445152245</v>
      </c>
      <c r="M49">
        <f t="shared" si="8"/>
        <v>0.96175152269819586</v>
      </c>
      <c r="N49">
        <f>IFERROR(INDEX(MonthlyCurve!$I:$I,MATCH(A49,MonthlyCurve!$A:$A,0)),"")</f>
        <v>3.7941616666666671E-2</v>
      </c>
      <c r="O49">
        <f>IFERROR(INDEX(MonthlyCurve!$J:$J,MATCH(A49,MonthlyCurve!$A:$A,0)),"")</f>
        <v>0.86463929078924728</v>
      </c>
      <c r="P49">
        <f t="shared" si="3"/>
        <v>8014.5960224849659</v>
      </c>
      <c r="Q49">
        <f t="shared" si="4"/>
        <v>24.043788067454898</v>
      </c>
      <c r="R49">
        <f t="shared" si="5"/>
        <v>8038.6398105524204</v>
      </c>
      <c r="S49">
        <f t="shared" si="6"/>
        <v>6929.734620843723</v>
      </c>
      <c r="T49">
        <f t="shared" si="7"/>
        <v>20.789203862531171</v>
      </c>
      <c r="U49">
        <f>SUMPRODUCT(R50:R543,O50:O543)/(M49*O49)</f>
        <v>1102928.731147974</v>
      </c>
    </row>
    <row r="50" spans="1:21" x14ac:dyDescent="0.35">
      <c r="A50">
        <v>47</v>
      </c>
      <c r="B50">
        <f>A50/Inputs!$B$6</f>
        <v>3.9166666666666665</v>
      </c>
      <c r="C50">
        <f>Inputs!$B$3+B50</f>
        <v>68.916666666666671</v>
      </c>
      <c r="D50">
        <f t="shared" si="0"/>
        <v>68</v>
      </c>
      <c r="E50">
        <f>Inputs!$B$7+1+INT((A50-1)/Inputs!$B$6)</f>
        <v>2029</v>
      </c>
      <c r="F50">
        <f>Inputs!$B$16</f>
        <v>8333.3333333333339</v>
      </c>
      <c r="G50">
        <f>Inputs!$B$12</f>
        <v>25</v>
      </c>
      <c r="H50">
        <f>IFERROR(INDEX(RP2014_Qx!$B:$B,MATCH(D50,RP2014_Qx!$A:$A,0)),"")</f>
        <v>1.0633E-2</v>
      </c>
      <c r="I50">
        <f>SUMIFS(MP2016_Long!$C:$C,MP2016_Long!$A:$A,D50,MP2016_Long!$B:$B,"&gt;=2014",MP2016_Long!$B:$B,"&lt;"&amp;E50)</f>
        <v>0.10600000000000001</v>
      </c>
      <c r="J50">
        <f t="shared" si="1"/>
        <v>1.1822002012893943E-2</v>
      </c>
      <c r="K50">
        <f t="shared" si="2"/>
        <v>1.1892437555138404E-2</v>
      </c>
      <c r="L50">
        <f>EXP(-K50/Inputs!$B$6)</f>
        <v>0.99900945445152245</v>
      </c>
      <c r="M50">
        <f t="shared" si="8"/>
        <v>0.96079886400864567</v>
      </c>
      <c r="N50">
        <f>IFERROR(INDEX(MonthlyCurve!$I:$I,MATCH(A50,MonthlyCurve!$A:$A,0)),"")</f>
        <v>3.7980593333333333E-2</v>
      </c>
      <c r="O50">
        <f>IFERROR(INDEX(MonthlyCurve!$J:$J,MATCH(A50,MonthlyCurve!$A:$A,0)),"")</f>
        <v>0.86177822251290048</v>
      </c>
      <c r="P50">
        <f t="shared" si="3"/>
        <v>8006.657200072048</v>
      </c>
      <c r="Q50">
        <f t="shared" si="4"/>
        <v>24.019971600216142</v>
      </c>
      <c r="R50">
        <f t="shared" si="5"/>
        <v>8030.6771716722642</v>
      </c>
      <c r="S50">
        <f t="shared" si="6"/>
        <v>6899.9628101482058</v>
      </c>
      <c r="T50">
        <f t="shared" si="7"/>
        <v>20.699888430444616</v>
      </c>
      <c r="U50">
        <f>SUMPRODUCT(R51:R543,O51:O543)/(M50*O50)</f>
        <v>1099329.2909127444</v>
      </c>
    </row>
    <row r="51" spans="1:21" x14ac:dyDescent="0.35">
      <c r="A51">
        <v>48</v>
      </c>
      <c r="B51">
        <f>A51/Inputs!$B$6</f>
        <v>4</v>
      </c>
      <c r="C51">
        <f>Inputs!$B$3+B51</f>
        <v>69</v>
      </c>
      <c r="D51">
        <f t="shared" si="0"/>
        <v>69</v>
      </c>
      <c r="E51">
        <f>Inputs!$B$7+1+INT((A51-1)/Inputs!$B$6)</f>
        <v>2029</v>
      </c>
      <c r="F51">
        <f>Inputs!$B$16</f>
        <v>8333.3333333333339</v>
      </c>
      <c r="G51">
        <f>Inputs!$B$12</f>
        <v>25</v>
      </c>
      <c r="H51">
        <f>IFERROR(INDEX(RP2014_Qx!$B:$B,MATCH(D51,RP2014_Qx!$A:$A,0)),"")</f>
        <v>1.1691999999999999E-2</v>
      </c>
      <c r="I51">
        <f>SUMIFS(MP2016_Long!$C:$C,MP2016_Long!$A:$A,D51,MP2016_Long!$B:$B,"&gt;=2014",MP2016_Long!$B:$B,"&lt;"&amp;E51)</f>
        <v>0.112</v>
      </c>
      <c r="J51">
        <f t="shared" si="1"/>
        <v>1.3077652366661868E-2</v>
      </c>
      <c r="K51">
        <f t="shared" si="2"/>
        <v>1.316391778723469E-2</v>
      </c>
      <c r="L51">
        <f>EXP(-K51/Inputs!$B$6)</f>
        <v>0.99890360832808933</v>
      </c>
      <c r="M51">
        <f t="shared" si="8"/>
        <v>0.95974545213576534</v>
      </c>
      <c r="N51">
        <f>IFERROR(INDEX(MonthlyCurve!$I:$I,MATCH(A51,MonthlyCurve!$A:$A,0)),"")</f>
        <v>3.8019570000000003E-2</v>
      </c>
      <c r="O51">
        <f>IFERROR(INDEX(MonthlyCurve!$J:$J,MATCH(A51,MonthlyCurve!$A:$A,0)),"")</f>
        <v>0.85892104177027473</v>
      </c>
      <c r="P51">
        <f t="shared" si="3"/>
        <v>7997.8787677980454</v>
      </c>
      <c r="Q51">
        <f t="shared" si="4"/>
        <v>23.993636303394133</v>
      </c>
      <c r="R51">
        <f t="shared" si="5"/>
        <v>8021.8724041014393</v>
      </c>
      <c r="S51">
        <f t="shared" si="6"/>
        <v>6869.5463631894581</v>
      </c>
      <c r="T51">
        <f t="shared" si="7"/>
        <v>20.608639089568374</v>
      </c>
      <c r="U51">
        <f>SUMPRODUCT(R52:R543,O52:O543)/(M51*O51)</f>
        <v>1095838.4829296176</v>
      </c>
    </row>
    <row r="52" spans="1:21" x14ac:dyDescent="0.35">
      <c r="A52">
        <v>49</v>
      </c>
      <c r="B52">
        <f>A52/Inputs!$B$6</f>
        <v>4.083333333333333</v>
      </c>
      <c r="C52">
        <f>Inputs!$B$3+B52</f>
        <v>69.083333333333329</v>
      </c>
      <c r="D52">
        <f t="shared" si="0"/>
        <v>69</v>
      </c>
      <c r="E52">
        <f>Inputs!$B$7+1+INT((A52-1)/Inputs!$B$6)</f>
        <v>2030</v>
      </c>
      <c r="F52">
        <f>Inputs!$B$16</f>
        <v>8333.3333333333339</v>
      </c>
      <c r="G52">
        <f>Inputs!$B$12</f>
        <v>25</v>
      </c>
      <c r="H52">
        <f>IFERROR(INDEX(RP2014_Qx!$B:$B,MATCH(D52,RP2014_Qx!$A:$A,0)),"")</f>
        <v>1.1691999999999999E-2</v>
      </c>
      <c r="I52">
        <f>SUMIFS(MP2016_Long!$C:$C,MP2016_Long!$A:$A,D52,MP2016_Long!$B:$B,"&gt;=2014",MP2016_Long!$B:$B,"&lt;"&amp;E52)</f>
        <v>0.122</v>
      </c>
      <c r="J52">
        <f t="shared" si="1"/>
        <v>1.3209084958015486E-2</v>
      </c>
      <c r="K52">
        <f t="shared" si="2"/>
        <v>1.3297100852914395E-2</v>
      </c>
      <c r="L52">
        <f>EXP(-K52/Inputs!$B$6)</f>
        <v>0.99889252196920464</v>
      </c>
      <c r="M52">
        <f t="shared" si="8"/>
        <v>0.95868255513236922</v>
      </c>
      <c r="N52">
        <f>IFERROR(INDEX(MonthlyCurve!$I:$I,MATCH(A52,MonthlyCurve!$A:$A,0)),"")</f>
        <v>3.805876166666667E-2</v>
      </c>
      <c r="O52">
        <f>IFERROR(INDEX(MonthlyCurve!$J:$J,MATCH(A52,MonthlyCurve!$A:$A,0)),"")</f>
        <v>0.85606702117608946</v>
      </c>
      <c r="P52">
        <f t="shared" si="3"/>
        <v>7989.0212927697439</v>
      </c>
      <c r="Q52">
        <f t="shared" si="4"/>
        <v>23.967063878309229</v>
      </c>
      <c r="R52">
        <f t="shared" si="5"/>
        <v>8012.988356648053</v>
      </c>
      <c r="S52">
        <f t="shared" si="6"/>
        <v>6839.1376602137461</v>
      </c>
      <c r="T52">
        <f t="shared" si="7"/>
        <v>20.517412980641236</v>
      </c>
      <c r="U52">
        <f>SUMPRODUCT(R53:R543,O53:O543)/(M52*O52)</f>
        <v>1092352.551438788</v>
      </c>
    </row>
    <row r="53" spans="1:21" x14ac:dyDescent="0.35">
      <c r="A53">
        <v>50</v>
      </c>
      <c r="B53">
        <f>A53/Inputs!$B$6</f>
        <v>4.166666666666667</v>
      </c>
      <c r="C53">
        <f>Inputs!$B$3+B53</f>
        <v>69.166666666666671</v>
      </c>
      <c r="D53">
        <f t="shared" si="0"/>
        <v>69</v>
      </c>
      <c r="E53">
        <f>Inputs!$B$7+1+INT((A53-1)/Inputs!$B$6)</f>
        <v>2030</v>
      </c>
      <c r="F53">
        <f>Inputs!$B$16</f>
        <v>8333.3333333333339</v>
      </c>
      <c r="G53">
        <f>Inputs!$B$12</f>
        <v>25</v>
      </c>
      <c r="H53">
        <f>IFERROR(INDEX(RP2014_Qx!$B:$B,MATCH(D53,RP2014_Qx!$A:$A,0)),"")</f>
        <v>1.1691999999999999E-2</v>
      </c>
      <c r="I53">
        <f>SUMIFS(MP2016_Long!$C:$C,MP2016_Long!$A:$A,D53,MP2016_Long!$B:$B,"&gt;=2014",MP2016_Long!$B:$B,"&lt;"&amp;E53)</f>
        <v>0.122</v>
      </c>
      <c r="J53">
        <f t="shared" si="1"/>
        <v>1.3209084958015486E-2</v>
      </c>
      <c r="K53">
        <f t="shared" si="2"/>
        <v>1.3297100852914395E-2</v>
      </c>
      <c r="L53">
        <f>EXP(-K53/Inputs!$B$6)</f>
        <v>0.99889252196920464</v>
      </c>
      <c r="M53">
        <f t="shared" si="8"/>
        <v>0.95762083526405339</v>
      </c>
      <c r="N53">
        <f>IFERROR(INDEX(MonthlyCurve!$I:$I,MATCH(A53,MonthlyCurve!$A:$A,0)),"")</f>
        <v>3.8097953333333337E-2</v>
      </c>
      <c r="O53">
        <f>IFERROR(INDEX(MonthlyCurve!$J:$J,MATCH(A53,MonthlyCurve!$A:$A,0)),"")</f>
        <v>0.85321691073041828</v>
      </c>
      <c r="P53">
        <f t="shared" si="3"/>
        <v>7980.1736272004455</v>
      </c>
      <c r="Q53">
        <f t="shared" si="4"/>
        <v>23.940520881601334</v>
      </c>
      <c r="R53">
        <f t="shared" si="5"/>
        <v>8004.114148082047</v>
      </c>
      <c r="S53">
        <f t="shared" si="6"/>
        <v>6808.8190892923203</v>
      </c>
      <c r="T53">
        <f t="shared" si="7"/>
        <v>20.426457267876959</v>
      </c>
      <c r="U53">
        <f>SUMPRODUCT(R54:R543,O54:O543)/(M53*O53)</f>
        <v>1088858.2874642776</v>
      </c>
    </row>
    <row r="54" spans="1:21" x14ac:dyDescent="0.35">
      <c r="A54">
        <v>51</v>
      </c>
      <c r="B54">
        <f>A54/Inputs!$B$6</f>
        <v>4.25</v>
      </c>
      <c r="C54">
        <f>Inputs!$B$3+B54</f>
        <v>69.25</v>
      </c>
      <c r="D54">
        <f t="shared" si="0"/>
        <v>69</v>
      </c>
      <c r="E54">
        <f>Inputs!$B$7+1+INT((A54-1)/Inputs!$B$6)</f>
        <v>2030</v>
      </c>
      <c r="F54">
        <f>Inputs!$B$16</f>
        <v>8333.3333333333339</v>
      </c>
      <c r="G54">
        <f>Inputs!$B$12</f>
        <v>25</v>
      </c>
      <c r="H54">
        <f>IFERROR(INDEX(RP2014_Qx!$B:$B,MATCH(D54,RP2014_Qx!$A:$A,0)),"")</f>
        <v>1.1691999999999999E-2</v>
      </c>
      <c r="I54">
        <f>SUMIFS(MP2016_Long!$C:$C,MP2016_Long!$A:$A,D54,MP2016_Long!$B:$B,"&gt;=2014",MP2016_Long!$B:$B,"&lt;"&amp;E54)</f>
        <v>0.122</v>
      </c>
      <c r="J54">
        <f t="shared" si="1"/>
        <v>1.3209084958015486E-2</v>
      </c>
      <c r="K54">
        <f t="shared" si="2"/>
        <v>1.3297100852914395E-2</v>
      </c>
      <c r="L54">
        <f>EXP(-K54/Inputs!$B$6)</f>
        <v>0.99889252196920464</v>
      </c>
      <c r="M54">
        <f t="shared" si="8"/>
        <v>0.95656029122716657</v>
      </c>
      <c r="N54">
        <f>IFERROR(INDEX(MonthlyCurve!$I:$I,MATCH(A54,MonthlyCurve!$A:$A,0)),"")</f>
        <v>3.8137144999999997E-2</v>
      </c>
      <c r="O54">
        <f>IFERROR(INDEX(MonthlyCurve!$J:$J,MATCH(A54,MonthlyCurve!$A:$A,0)),"")</f>
        <v>0.85037073458659795</v>
      </c>
      <c r="P54">
        <f t="shared" si="3"/>
        <v>7971.3357602263886</v>
      </c>
      <c r="Q54">
        <f t="shared" si="4"/>
        <v>23.914007280679165</v>
      </c>
      <c r="R54">
        <f t="shared" si="5"/>
        <v>7995.2497675070681</v>
      </c>
      <c r="S54">
        <f t="shared" si="6"/>
        <v>6778.5906460601318</v>
      </c>
      <c r="T54">
        <f t="shared" si="7"/>
        <v>20.335771938180393</v>
      </c>
      <c r="U54">
        <f>SUMPRODUCT(R55:R543,O55:O543)/(M54*O54)</f>
        <v>1085355.6081524249</v>
      </c>
    </row>
    <row r="55" spans="1:21" x14ac:dyDescent="0.35">
      <c r="A55">
        <v>52</v>
      </c>
      <c r="B55">
        <f>A55/Inputs!$B$6</f>
        <v>4.333333333333333</v>
      </c>
      <c r="C55">
        <f>Inputs!$B$3+B55</f>
        <v>69.333333333333329</v>
      </c>
      <c r="D55">
        <f t="shared" si="0"/>
        <v>69</v>
      </c>
      <c r="E55">
        <f>Inputs!$B$7+1+INT((A55-1)/Inputs!$B$6)</f>
        <v>2030</v>
      </c>
      <c r="F55">
        <f>Inputs!$B$16</f>
        <v>8333.3333333333339</v>
      </c>
      <c r="G55">
        <f>Inputs!$B$12</f>
        <v>25</v>
      </c>
      <c r="H55">
        <f>IFERROR(INDEX(RP2014_Qx!$B:$B,MATCH(D55,RP2014_Qx!$A:$A,0)),"")</f>
        <v>1.1691999999999999E-2</v>
      </c>
      <c r="I55">
        <f>SUMIFS(MP2016_Long!$C:$C,MP2016_Long!$A:$A,D55,MP2016_Long!$B:$B,"&gt;=2014",MP2016_Long!$B:$B,"&lt;"&amp;E55)</f>
        <v>0.122</v>
      </c>
      <c r="J55">
        <f t="shared" si="1"/>
        <v>1.3209084958015486E-2</v>
      </c>
      <c r="K55">
        <f t="shared" si="2"/>
        <v>1.3297100852914395E-2</v>
      </c>
      <c r="L55">
        <f>EXP(-K55/Inputs!$B$6)</f>
        <v>0.99889252196920464</v>
      </c>
      <c r="M55">
        <f t="shared" si="8"/>
        <v>0.95550092171950129</v>
      </c>
      <c r="N55">
        <f>IFERROR(INDEX(MonthlyCurve!$I:$I,MATCH(A55,MonthlyCurve!$A:$A,0)),"")</f>
        <v>3.8176336666666665E-2</v>
      </c>
      <c r="O55">
        <f>IFERROR(INDEX(MonthlyCurve!$J:$J,MATCH(A55,MonthlyCurve!$A:$A,0)),"")</f>
        <v>0.84752851674050567</v>
      </c>
      <c r="P55">
        <f t="shared" si="3"/>
        <v>7962.5076809958446</v>
      </c>
      <c r="Q55">
        <f t="shared" si="4"/>
        <v>23.887523042987532</v>
      </c>
      <c r="R55">
        <f t="shared" si="5"/>
        <v>7986.3952040388322</v>
      </c>
      <c r="S55">
        <f t="shared" si="6"/>
        <v>6748.4523244092916</v>
      </c>
      <c r="T55">
        <f t="shared" si="7"/>
        <v>20.245356973227874</v>
      </c>
      <c r="U55">
        <f>SUMPRODUCT(R56:R543,O56:O543)/(M55*O55)</f>
        <v>1081844.4301150881</v>
      </c>
    </row>
    <row r="56" spans="1:21" x14ac:dyDescent="0.35">
      <c r="A56">
        <v>53</v>
      </c>
      <c r="B56">
        <f>A56/Inputs!$B$6</f>
        <v>4.416666666666667</v>
      </c>
      <c r="C56">
        <f>Inputs!$B$3+B56</f>
        <v>69.416666666666671</v>
      </c>
      <c r="D56">
        <f t="shared" si="0"/>
        <v>69</v>
      </c>
      <c r="E56">
        <f>Inputs!$B$7+1+INT((A56-1)/Inputs!$B$6)</f>
        <v>2030</v>
      </c>
      <c r="F56">
        <f>Inputs!$B$16</f>
        <v>8333.3333333333339</v>
      </c>
      <c r="G56">
        <f>Inputs!$B$12</f>
        <v>25</v>
      </c>
      <c r="H56">
        <f>IFERROR(INDEX(RP2014_Qx!$B:$B,MATCH(D56,RP2014_Qx!$A:$A,0)),"")</f>
        <v>1.1691999999999999E-2</v>
      </c>
      <c r="I56">
        <f>SUMIFS(MP2016_Long!$C:$C,MP2016_Long!$A:$A,D56,MP2016_Long!$B:$B,"&gt;=2014",MP2016_Long!$B:$B,"&lt;"&amp;E56)</f>
        <v>0.122</v>
      </c>
      <c r="J56">
        <f t="shared" si="1"/>
        <v>1.3209084958015486E-2</v>
      </c>
      <c r="K56">
        <f t="shared" si="2"/>
        <v>1.3297100852914395E-2</v>
      </c>
      <c r="L56">
        <f>EXP(-K56/Inputs!$B$6)</f>
        <v>0.99889252196920464</v>
      </c>
      <c r="M56">
        <f t="shared" si="8"/>
        <v>0.95444272544029218</v>
      </c>
      <c r="N56">
        <f>IFERROR(INDEX(MonthlyCurve!$I:$I,MATCH(A56,MonthlyCurve!$A:$A,0)),"")</f>
        <v>3.8215528333333332E-2</v>
      </c>
      <c r="O56">
        <f>IFERROR(INDEX(MonthlyCurve!$J:$J,MATCH(A56,MonthlyCurve!$A:$A,0)),"")</f>
        <v>0.84469028103045851</v>
      </c>
      <c r="P56">
        <f t="shared" si="3"/>
        <v>7953.6893786691026</v>
      </c>
      <c r="Q56">
        <f t="shared" si="4"/>
        <v>23.861068136007304</v>
      </c>
      <c r="R56">
        <f t="shared" si="5"/>
        <v>7977.5504468051095</v>
      </c>
      <c r="S56">
        <f t="shared" si="6"/>
        <v>6718.4041164969776</v>
      </c>
      <c r="T56">
        <f t="shared" si="7"/>
        <v>20.155212349490927</v>
      </c>
      <c r="U56">
        <f>SUMPRODUCT(R57:R543,O57:O543)/(M56*O56)</f>
        <v>1078324.6694250787</v>
      </c>
    </row>
    <row r="57" spans="1:21" x14ac:dyDescent="0.35">
      <c r="A57">
        <v>54</v>
      </c>
      <c r="B57">
        <f>A57/Inputs!$B$6</f>
        <v>4.5</v>
      </c>
      <c r="C57">
        <f>Inputs!$B$3+B57</f>
        <v>69.5</v>
      </c>
      <c r="D57">
        <f t="shared" si="0"/>
        <v>69</v>
      </c>
      <c r="E57">
        <f>Inputs!$B$7+1+INT((A57-1)/Inputs!$B$6)</f>
        <v>2030</v>
      </c>
      <c r="F57">
        <f>Inputs!$B$16</f>
        <v>8333.3333333333339</v>
      </c>
      <c r="G57">
        <f>Inputs!$B$12</f>
        <v>25</v>
      </c>
      <c r="H57">
        <f>IFERROR(INDEX(RP2014_Qx!$B:$B,MATCH(D57,RP2014_Qx!$A:$A,0)),"")</f>
        <v>1.1691999999999999E-2</v>
      </c>
      <c r="I57">
        <f>SUMIFS(MP2016_Long!$C:$C,MP2016_Long!$A:$A,D57,MP2016_Long!$B:$B,"&gt;=2014",MP2016_Long!$B:$B,"&lt;"&amp;E57)</f>
        <v>0.122</v>
      </c>
      <c r="J57">
        <f t="shared" si="1"/>
        <v>1.3209084958015486E-2</v>
      </c>
      <c r="K57">
        <f t="shared" si="2"/>
        <v>1.3297100852914395E-2</v>
      </c>
      <c r="L57">
        <f>EXP(-K57/Inputs!$B$6)</f>
        <v>0.99889252196920464</v>
      </c>
      <c r="M57">
        <f t="shared" si="8"/>
        <v>0.95338570109021459</v>
      </c>
      <c r="N57">
        <f>IFERROR(INDEX(MonthlyCurve!$I:$I,MATCH(A57,MonthlyCurve!$A:$A,0)),"")</f>
        <v>3.8254719999999999E-2</v>
      </c>
      <c r="O57">
        <f>IFERROR(INDEX(MonthlyCurve!$J:$J,MATCH(A57,MonthlyCurve!$A:$A,0)),"")</f>
        <v>0.84185605113711814</v>
      </c>
      <c r="P57">
        <f t="shared" si="3"/>
        <v>7944.8808424184554</v>
      </c>
      <c r="Q57">
        <f t="shared" si="4"/>
        <v>23.834642527255365</v>
      </c>
      <c r="R57">
        <f t="shared" si="5"/>
        <v>7968.7154849457111</v>
      </c>
      <c r="S57">
        <f t="shared" si="6"/>
        <v>6688.4460127533412</v>
      </c>
      <c r="T57">
        <f t="shared" si="7"/>
        <v>20.065338038260023</v>
      </c>
      <c r="U57">
        <f>SUMPRODUCT(R58:R543,O58:O543)/(M57*O57)</f>
        <v>1074796.2416115566</v>
      </c>
    </row>
    <row r="58" spans="1:21" x14ac:dyDescent="0.35">
      <c r="A58">
        <v>55</v>
      </c>
      <c r="B58">
        <f>A58/Inputs!$B$6</f>
        <v>4.583333333333333</v>
      </c>
      <c r="C58">
        <f>Inputs!$B$3+B58</f>
        <v>69.583333333333329</v>
      </c>
      <c r="D58">
        <f t="shared" si="0"/>
        <v>69</v>
      </c>
      <c r="E58">
        <f>Inputs!$B$7+1+INT((A58-1)/Inputs!$B$6)</f>
        <v>2030</v>
      </c>
      <c r="F58">
        <f>Inputs!$B$16</f>
        <v>8333.3333333333339</v>
      </c>
      <c r="G58">
        <f>Inputs!$B$12</f>
        <v>25</v>
      </c>
      <c r="H58">
        <f>IFERROR(INDEX(RP2014_Qx!$B:$B,MATCH(D58,RP2014_Qx!$A:$A,0)),"")</f>
        <v>1.1691999999999999E-2</v>
      </c>
      <c r="I58">
        <f>SUMIFS(MP2016_Long!$C:$C,MP2016_Long!$A:$A,D58,MP2016_Long!$B:$B,"&gt;=2014",MP2016_Long!$B:$B,"&lt;"&amp;E58)</f>
        <v>0.122</v>
      </c>
      <c r="J58">
        <f t="shared" si="1"/>
        <v>1.3209084958015486E-2</v>
      </c>
      <c r="K58">
        <f t="shared" si="2"/>
        <v>1.3297100852914395E-2</v>
      </c>
      <c r="L58">
        <f>EXP(-K58/Inputs!$B$6)</f>
        <v>0.99889252196920464</v>
      </c>
      <c r="M58">
        <f t="shared" si="8"/>
        <v>0.95232984737138271</v>
      </c>
      <c r="N58">
        <f>IFERROR(INDEX(MonthlyCurve!$I:$I,MATCH(A58,MonthlyCurve!$A:$A,0)),"")</f>
        <v>3.8294158333333335E-2</v>
      </c>
      <c r="O58">
        <f>IFERROR(INDEX(MonthlyCurve!$J:$J,MATCH(A58,MonthlyCurve!$A:$A,0)),"")</f>
        <v>0.8390249020186008</v>
      </c>
      <c r="P58">
        <f t="shared" si="3"/>
        <v>7936.0820614281902</v>
      </c>
      <c r="Q58">
        <f t="shared" si="4"/>
        <v>23.808246184284567</v>
      </c>
      <c r="R58">
        <f t="shared" si="5"/>
        <v>7959.8903076124743</v>
      </c>
      <c r="S58">
        <f t="shared" si="6"/>
        <v>6658.5704740013625</v>
      </c>
      <c r="T58">
        <f t="shared" si="7"/>
        <v>19.975711422004085</v>
      </c>
      <c r="U58">
        <f>SUMPRODUCT(R59:R543,O59:O543)/(M58*O58)</f>
        <v>1071260.2822235201</v>
      </c>
    </row>
    <row r="59" spans="1:21" x14ac:dyDescent="0.35">
      <c r="A59">
        <v>56</v>
      </c>
      <c r="B59">
        <f>A59/Inputs!$B$6</f>
        <v>4.666666666666667</v>
      </c>
      <c r="C59">
        <f>Inputs!$B$3+B59</f>
        <v>69.666666666666671</v>
      </c>
      <c r="D59">
        <f t="shared" si="0"/>
        <v>69</v>
      </c>
      <c r="E59">
        <f>Inputs!$B$7+1+INT((A59-1)/Inputs!$B$6)</f>
        <v>2030</v>
      </c>
      <c r="F59">
        <f>Inputs!$B$16</f>
        <v>8333.3333333333339</v>
      </c>
      <c r="G59">
        <f>Inputs!$B$12</f>
        <v>25</v>
      </c>
      <c r="H59">
        <f>IFERROR(INDEX(RP2014_Qx!$B:$B,MATCH(D59,RP2014_Qx!$A:$A,0)),"")</f>
        <v>1.1691999999999999E-2</v>
      </c>
      <c r="I59">
        <f>SUMIFS(MP2016_Long!$C:$C,MP2016_Long!$A:$A,D59,MP2016_Long!$B:$B,"&gt;=2014",MP2016_Long!$B:$B,"&lt;"&amp;E59)</f>
        <v>0.122</v>
      </c>
      <c r="J59">
        <f t="shared" si="1"/>
        <v>1.3209084958015486E-2</v>
      </c>
      <c r="K59">
        <f t="shared" si="2"/>
        <v>1.3297100852914395E-2</v>
      </c>
      <c r="L59">
        <f>EXP(-K59/Inputs!$B$6)</f>
        <v>0.99889252196920464</v>
      </c>
      <c r="M59">
        <f t="shared" si="8"/>
        <v>0.95127516298734816</v>
      </c>
      <c r="N59">
        <f>IFERROR(INDEX(MonthlyCurve!$I:$I,MATCH(A59,MonthlyCurve!$A:$A,0)),"")</f>
        <v>3.8333596666666664E-2</v>
      </c>
      <c r="O59">
        <f>IFERROR(INDEX(MonthlyCurve!$J:$J,MATCH(A59,MonthlyCurve!$A:$A,0)),"")</f>
        <v>0.83619777761907355</v>
      </c>
      <c r="P59">
        <f t="shared" si="3"/>
        <v>7927.2930248945686</v>
      </c>
      <c r="Q59">
        <f t="shared" si="4"/>
        <v>23.781879074683705</v>
      </c>
      <c r="R59">
        <f t="shared" si="5"/>
        <v>7951.0749039692519</v>
      </c>
      <c r="S59">
        <f t="shared" si="6"/>
        <v>6628.7848099520215</v>
      </c>
      <c r="T59">
        <f t="shared" si="7"/>
        <v>19.886354429856063</v>
      </c>
      <c r="U59">
        <f>SUMPRODUCT(R60:R543,O60:O543)/(M59*O59)</f>
        <v>1067715.5308347698</v>
      </c>
    </row>
    <row r="60" spans="1:21" x14ac:dyDescent="0.35">
      <c r="A60">
        <v>57</v>
      </c>
      <c r="B60">
        <f>A60/Inputs!$B$6</f>
        <v>4.75</v>
      </c>
      <c r="C60">
        <f>Inputs!$B$3+B60</f>
        <v>69.75</v>
      </c>
      <c r="D60">
        <f t="shared" si="0"/>
        <v>69</v>
      </c>
      <c r="E60">
        <f>Inputs!$B$7+1+INT((A60-1)/Inputs!$B$6)</f>
        <v>2030</v>
      </c>
      <c r="F60">
        <f>Inputs!$B$16</f>
        <v>8333.3333333333339</v>
      </c>
      <c r="G60">
        <f>Inputs!$B$12</f>
        <v>25</v>
      </c>
      <c r="H60">
        <f>IFERROR(INDEX(RP2014_Qx!$B:$B,MATCH(D60,RP2014_Qx!$A:$A,0)),"")</f>
        <v>1.1691999999999999E-2</v>
      </c>
      <c r="I60">
        <f>SUMIFS(MP2016_Long!$C:$C,MP2016_Long!$A:$A,D60,MP2016_Long!$B:$B,"&gt;=2014",MP2016_Long!$B:$B,"&lt;"&amp;E60)</f>
        <v>0.122</v>
      </c>
      <c r="J60">
        <f t="shared" si="1"/>
        <v>1.3209084958015486E-2</v>
      </c>
      <c r="K60">
        <f t="shared" si="2"/>
        <v>1.3297100852914395E-2</v>
      </c>
      <c r="L60">
        <f>EXP(-K60/Inputs!$B$6)</f>
        <v>0.99889252196920464</v>
      </c>
      <c r="M60">
        <f t="shared" si="8"/>
        <v>0.95022164664309838</v>
      </c>
      <c r="N60">
        <f>IFERROR(INDEX(MonthlyCurve!$I:$I,MATCH(A60,MonthlyCurve!$A:$A,0)),"")</f>
        <v>3.8373035E-2</v>
      </c>
      <c r="O60">
        <f>IFERROR(INDEX(MonthlyCurve!$J:$J,MATCH(A60,MonthlyCurve!$A:$A,0)),"")</f>
        <v>0.83337470148005566</v>
      </c>
      <c r="P60">
        <f t="shared" si="3"/>
        <v>7918.5137220258202</v>
      </c>
      <c r="Q60">
        <f t="shared" si="4"/>
        <v>23.75554116607746</v>
      </c>
      <c r="R60">
        <f t="shared" si="5"/>
        <v>7942.2692631918981</v>
      </c>
      <c r="S60">
        <f t="shared" si="6"/>
        <v>6599.0890092589925</v>
      </c>
      <c r="T60">
        <f t="shared" si="7"/>
        <v>19.797267027776975</v>
      </c>
      <c r="U60">
        <f>SUMPRODUCT(R61:R543,O61:O543)/(M60*O60)</f>
        <v>1064161.9012349418</v>
      </c>
    </row>
    <row r="61" spans="1:21" x14ac:dyDescent="0.35">
      <c r="A61">
        <v>58</v>
      </c>
      <c r="B61">
        <f>A61/Inputs!$B$6</f>
        <v>4.833333333333333</v>
      </c>
      <c r="C61">
        <f>Inputs!$B$3+B61</f>
        <v>69.833333333333329</v>
      </c>
      <c r="D61">
        <f t="shared" si="0"/>
        <v>69</v>
      </c>
      <c r="E61">
        <f>Inputs!$B$7+1+INT((A61-1)/Inputs!$B$6)</f>
        <v>2030</v>
      </c>
      <c r="F61">
        <f>Inputs!$B$16</f>
        <v>8333.3333333333339</v>
      </c>
      <c r="G61">
        <f>Inputs!$B$12</f>
        <v>25</v>
      </c>
      <c r="H61">
        <f>IFERROR(INDEX(RP2014_Qx!$B:$B,MATCH(D61,RP2014_Qx!$A:$A,0)),"")</f>
        <v>1.1691999999999999E-2</v>
      </c>
      <c r="I61">
        <f>SUMIFS(MP2016_Long!$C:$C,MP2016_Long!$A:$A,D61,MP2016_Long!$B:$B,"&gt;=2014",MP2016_Long!$B:$B,"&lt;"&amp;E61)</f>
        <v>0.122</v>
      </c>
      <c r="J61">
        <f t="shared" si="1"/>
        <v>1.3209084958015486E-2</v>
      </c>
      <c r="K61">
        <f t="shared" si="2"/>
        <v>1.3297100852914395E-2</v>
      </c>
      <c r="L61">
        <f>EXP(-K61/Inputs!$B$6)</f>
        <v>0.99889252196920464</v>
      </c>
      <c r="M61">
        <f t="shared" si="8"/>
        <v>0.94916929704505493</v>
      </c>
      <c r="N61">
        <f>IFERROR(INDEX(MonthlyCurve!$I:$I,MATCH(A61,MonthlyCurve!$A:$A,0)),"")</f>
        <v>3.8412473333333336E-2</v>
      </c>
      <c r="O61">
        <f>IFERROR(INDEX(MonthlyCurve!$J:$J,MATCH(A61,MonthlyCurve!$A:$A,0)),"")</f>
        <v>0.83055569698397247</v>
      </c>
      <c r="P61">
        <f t="shared" si="3"/>
        <v>7909.7441420421246</v>
      </c>
      <c r="Q61">
        <f t="shared" si="4"/>
        <v>23.729232426126373</v>
      </c>
      <c r="R61">
        <f t="shared" si="5"/>
        <v>7933.4733744682508</v>
      </c>
      <c r="S61">
        <f t="shared" si="6"/>
        <v>6569.4830588586901</v>
      </c>
      <c r="T61">
        <f t="shared" si="7"/>
        <v>19.708449176576071</v>
      </c>
      <c r="U61">
        <f>SUMPRODUCT(R62:R543,O62:O543)/(M61*O61)</f>
        <v>1060599.3066505452</v>
      </c>
    </row>
    <row r="62" spans="1:21" x14ac:dyDescent="0.35">
      <c r="A62">
        <v>59</v>
      </c>
      <c r="B62">
        <f>A62/Inputs!$B$6</f>
        <v>4.916666666666667</v>
      </c>
      <c r="C62">
        <f>Inputs!$B$3+B62</f>
        <v>69.916666666666671</v>
      </c>
      <c r="D62">
        <f t="shared" si="0"/>
        <v>69</v>
      </c>
      <c r="E62">
        <f>Inputs!$B$7+1+INT((A62-1)/Inputs!$B$6)</f>
        <v>2030</v>
      </c>
      <c r="F62">
        <f>Inputs!$B$16</f>
        <v>8333.3333333333339</v>
      </c>
      <c r="G62">
        <f>Inputs!$B$12</f>
        <v>25</v>
      </c>
      <c r="H62">
        <f>IFERROR(INDEX(RP2014_Qx!$B:$B,MATCH(D62,RP2014_Qx!$A:$A,0)),"")</f>
        <v>1.1691999999999999E-2</v>
      </c>
      <c r="I62">
        <f>SUMIFS(MP2016_Long!$C:$C,MP2016_Long!$A:$A,D62,MP2016_Long!$B:$B,"&gt;=2014",MP2016_Long!$B:$B,"&lt;"&amp;E62)</f>
        <v>0.122</v>
      </c>
      <c r="J62">
        <f t="shared" si="1"/>
        <v>1.3209084958015486E-2</v>
      </c>
      <c r="K62">
        <f t="shared" si="2"/>
        <v>1.3297100852914395E-2</v>
      </c>
      <c r="L62">
        <f>EXP(-K62/Inputs!$B$6)</f>
        <v>0.99889252196920464</v>
      </c>
      <c r="M62">
        <f t="shared" si="8"/>
        <v>0.94811811290107206</v>
      </c>
      <c r="N62">
        <f>IFERROR(INDEX(MonthlyCurve!$I:$I,MATCH(A62,MonthlyCurve!$A:$A,0)),"")</f>
        <v>3.8451911666666665E-2</v>
      </c>
      <c r="O62">
        <f>IFERROR(INDEX(MonthlyCurve!$J:$J,MATCH(A62,MonthlyCurve!$A:$A,0)),"")</f>
        <v>0.82774078735407819</v>
      </c>
      <c r="P62">
        <f t="shared" si="3"/>
        <v>7900.9842741756011</v>
      </c>
      <c r="Q62">
        <f t="shared" si="4"/>
        <v>23.7029528225268</v>
      </c>
      <c r="R62">
        <f t="shared" si="5"/>
        <v>7924.6872269981277</v>
      </c>
      <c r="S62">
        <f t="shared" si="6"/>
        <v>6539.966943978302</v>
      </c>
      <c r="T62">
        <f t="shared" si="7"/>
        <v>19.619900831934903</v>
      </c>
      <c r="U62">
        <f>SUMPRODUCT(R63:R543,O63:O543)/(M62*O62)</f>
        <v>1057027.6597401428</v>
      </c>
    </row>
    <row r="63" spans="1:21" x14ac:dyDescent="0.35">
      <c r="A63">
        <v>60</v>
      </c>
      <c r="B63">
        <f>A63/Inputs!$B$6</f>
        <v>5</v>
      </c>
      <c r="C63">
        <f>Inputs!$B$3+B63</f>
        <v>70</v>
      </c>
      <c r="D63">
        <f t="shared" si="0"/>
        <v>70</v>
      </c>
      <c r="E63">
        <f>Inputs!$B$7+1+INT((A63-1)/Inputs!$B$6)</f>
        <v>2030</v>
      </c>
      <c r="F63">
        <f>Inputs!$B$16</f>
        <v>8333.3333333333339</v>
      </c>
      <c r="G63">
        <f>Inputs!$B$12</f>
        <v>25</v>
      </c>
      <c r="H63">
        <f>IFERROR(INDEX(RP2014_Qx!$B:$B,MATCH(D63,RP2014_Qx!$A:$A,0)),"")</f>
        <v>1.2867999999999999E-2</v>
      </c>
      <c r="I63">
        <f>SUMIFS(MP2016_Long!$C:$C,MP2016_Long!$A:$A,D63,MP2016_Long!$B:$B,"&gt;=2014",MP2016_Long!$B:$B,"&lt;"&amp;E63)</f>
        <v>0.12770000000000001</v>
      </c>
      <c r="J63">
        <f t="shared" si="1"/>
        <v>1.4620777147560732E-2</v>
      </c>
      <c r="K63">
        <f t="shared" si="2"/>
        <v>1.4728714082957062E-2</v>
      </c>
      <c r="L63">
        <f>EXP(-K63/Inputs!$B$6)</f>
        <v>0.99877336009826378</v>
      </c>
      <c r="M63">
        <f t="shared" si="8"/>
        <v>0.94695511339222882</v>
      </c>
      <c r="N63">
        <f>IFERROR(INDEX(MonthlyCurve!$I:$I,MATCH(A63,MonthlyCurve!$A:$A,0)),"")</f>
        <v>3.8491350000000001E-2</v>
      </c>
      <c r="O63">
        <f>IFERROR(INDEX(MonthlyCurve!$J:$J,MATCH(A63,MonthlyCurve!$A:$A,0)),"")</f>
        <v>0.82492999565438496</v>
      </c>
      <c r="P63">
        <f t="shared" si="3"/>
        <v>7891.2926116019071</v>
      </c>
      <c r="Q63">
        <f t="shared" si="4"/>
        <v>23.673877834805719</v>
      </c>
      <c r="R63">
        <f t="shared" si="5"/>
        <v>7914.9664894367124</v>
      </c>
      <c r="S63">
        <f t="shared" si="6"/>
        <v>6509.7639797962411</v>
      </c>
      <c r="T63">
        <f t="shared" si="7"/>
        <v>19.529291939388724</v>
      </c>
      <c r="U63">
        <f>SUMPRODUCT(R64:R543,O64:O543)/(M63*O63)</f>
        <v>1053573.5546777055</v>
      </c>
    </row>
    <row r="64" spans="1:21" x14ac:dyDescent="0.35">
      <c r="A64">
        <v>61</v>
      </c>
      <c r="B64">
        <f>A64/Inputs!$B$6</f>
        <v>5.083333333333333</v>
      </c>
      <c r="C64">
        <f>Inputs!$B$3+B64</f>
        <v>70.083333333333329</v>
      </c>
      <c r="D64">
        <f t="shared" si="0"/>
        <v>70</v>
      </c>
      <c r="E64">
        <f>Inputs!$B$7+1+INT((A64-1)/Inputs!$B$6)</f>
        <v>2031</v>
      </c>
      <c r="F64">
        <f>Inputs!$B$16</f>
        <v>8333.3333333333339</v>
      </c>
      <c r="G64">
        <f>Inputs!$B$12</f>
        <v>25</v>
      </c>
      <c r="H64">
        <f>IFERROR(INDEX(RP2014_Qx!$B:$B,MATCH(D64,RP2014_Qx!$A:$A,0)),"")</f>
        <v>1.2867999999999999E-2</v>
      </c>
      <c r="I64">
        <f>SUMIFS(MP2016_Long!$C:$C,MP2016_Long!$A:$A,D64,MP2016_Long!$B:$B,"&gt;=2014",MP2016_Long!$B:$B,"&lt;"&amp;E64)</f>
        <v>0.13770000000000002</v>
      </c>
      <c r="J64">
        <f t="shared" si="1"/>
        <v>1.4767718400794104E-2</v>
      </c>
      <c r="K64">
        <f t="shared" si="2"/>
        <v>1.4877846728507674E-2</v>
      </c>
      <c r="L64">
        <f>EXP(-K64/Inputs!$B$6)</f>
        <v>0.99876094769926815</v>
      </c>
      <c r="M64">
        <f t="shared" si="8"/>
        <v>0.94578178648029043</v>
      </c>
      <c r="N64">
        <f>IFERROR(INDEX(MonthlyCurve!$I:$I,MATCH(A64,MonthlyCurve!$A:$A,0)),"")</f>
        <v>3.8571763333333335E-2</v>
      </c>
      <c r="O64">
        <f>IFERROR(INDEX(MonthlyCurve!$J:$J,MATCH(A64,MonthlyCurve!$A:$A,0)),"")</f>
        <v>0.82195212289315034</v>
      </c>
      <c r="P64">
        <f t="shared" si="3"/>
        <v>7881.5148873357539</v>
      </c>
      <c r="Q64">
        <f t="shared" si="4"/>
        <v>23.644544662007259</v>
      </c>
      <c r="R64">
        <f t="shared" si="5"/>
        <v>7905.1594319977612</v>
      </c>
      <c r="S64">
        <f t="shared" si="6"/>
        <v>6478.2278932595918</v>
      </c>
      <c r="T64">
        <f t="shared" si="7"/>
        <v>19.434683679778772</v>
      </c>
      <c r="U64">
        <f>SUMPRODUCT(R65:R543,O65:O543)/(M64*O64)</f>
        <v>1050344.0293055142</v>
      </c>
    </row>
    <row r="65" spans="1:21" x14ac:dyDescent="0.35">
      <c r="A65">
        <v>62</v>
      </c>
      <c r="B65">
        <f>A65/Inputs!$B$6</f>
        <v>5.166666666666667</v>
      </c>
      <c r="C65">
        <f>Inputs!$B$3+B65</f>
        <v>70.166666666666671</v>
      </c>
      <c r="D65">
        <f t="shared" si="0"/>
        <v>70</v>
      </c>
      <c r="E65">
        <f>Inputs!$B$7+1+INT((A65-1)/Inputs!$B$6)</f>
        <v>2031</v>
      </c>
      <c r="F65">
        <f>Inputs!$B$16</f>
        <v>8333.3333333333339</v>
      </c>
      <c r="G65">
        <f>Inputs!$B$12</f>
        <v>25</v>
      </c>
      <c r="H65">
        <f>IFERROR(INDEX(RP2014_Qx!$B:$B,MATCH(D65,RP2014_Qx!$A:$A,0)),"")</f>
        <v>1.2867999999999999E-2</v>
      </c>
      <c r="I65">
        <f>SUMIFS(MP2016_Long!$C:$C,MP2016_Long!$A:$A,D65,MP2016_Long!$B:$B,"&gt;=2014",MP2016_Long!$B:$B,"&lt;"&amp;E65)</f>
        <v>0.13770000000000002</v>
      </c>
      <c r="J65">
        <f t="shared" si="1"/>
        <v>1.4767718400794104E-2</v>
      </c>
      <c r="K65">
        <f t="shared" si="2"/>
        <v>1.4877846728507674E-2</v>
      </c>
      <c r="L65">
        <f>EXP(-K65/Inputs!$B$6)</f>
        <v>0.99876094769926815</v>
      </c>
      <c r="M65">
        <f t="shared" si="8"/>
        <v>0.9446099133817617</v>
      </c>
      <c r="N65">
        <f>IFERROR(INDEX(MonthlyCurve!$I:$I,MATCH(A65,MonthlyCurve!$A:$A,0)),"")</f>
        <v>3.865217666666667E-2</v>
      </c>
      <c r="O65">
        <f>IFERROR(INDEX(MonthlyCurve!$J:$J,MATCH(A65,MonthlyCurve!$A:$A,0)),"")</f>
        <v>0.81897402365766281</v>
      </c>
      <c r="P65">
        <f t="shared" si="3"/>
        <v>7871.749278181348</v>
      </c>
      <c r="Q65">
        <f t="shared" si="4"/>
        <v>23.615247834544043</v>
      </c>
      <c r="R65">
        <f t="shared" si="5"/>
        <v>7895.3645260158919</v>
      </c>
      <c r="S65">
        <f t="shared" si="6"/>
        <v>6446.7581795764818</v>
      </c>
      <c r="T65">
        <f t="shared" si="7"/>
        <v>19.340274538729442</v>
      </c>
      <c r="U65">
        <f>SUMPRODUCT(R66:R543,O66:O543)/(M65*O65)</f>
        <v>1047112.9281329474</v>
      </c>
    </row>
    <row r="66" spans="1:21" x14ac:dyDescent="0.35">
      <c r="A66">
        <v>63</v>
      </c>
      <c r="B66">
        <f>A66/Inputs!$B$6</f>
        <v>5.25</v>
      </c>
      <c r="C66">
        <f>Inputs!$B$3+B66</f>
        <v>70.25</v>
      </c>
      <c r="D66">
        <f t="shared" si="0"/>
        <v>70</v>
      </c>
      <c r="E66">
        <f>Inputs!$B$7+1+INT((A66-1)/Inputs!$B$6)</f>
        <v>2031</v>
      </c>
      <c r="F66">
        <f>Inputs!$B$16</f>
        <v>8333.3333333333339</v>
      </c>
      <c r="G66">
        <f>Inputs!$B$12</f>
        <v>25</v>
      </c>
      <c r="H66">
        <f>IFERROR(INDEX(RP2014_Qx!$B:$B,MATCH(D66,RP2014_Qx!$A:$A,0)),"")</f>
        <v>1.2867999999999999E-2</v>
      </c>
      <c r="I66">
        <f>SUMIFS(MP2016_Long!$C:$C,MP2016_Long!$A:$A,D66,MP2016_Long!$B:$B,"&gt;=2014",MP2016_Long!$B:$B,"&lt;"&amp;E66)</f>
        <v>0.13770000000000002</v>
      </c>
      <c r="J66">
        <f t="shared" si="1"/>
        <v>1.4767718400794104E-2</v>
      </c>
      <c r="K66">
        <f t="shared" si="2"/>
        <v>1.4877846728507674E-2</v>
      </c>
      <c r="L66">
        <f>EXP(-K66/Inputs!$B$6)</f>
        <v>0.99876094769926815</v>
      </c>
      <c r="M66">
        <f t="shared" si="8"/>
        <v>0.94343949229529189</v>
      </c>
      <c r="N66">
        <f>IFERROR(INDEX(MonthlyCurve!$I:$I,MATCH(A66,MonthlyCurve!$A:$A,0)),"")</f>
        <v>3.8732589999999997E-2</v>
      </c>
      <c r="O66">
        <f>IFERROR(INDEX(MonthlyCurve!$J:$J,MATCH(A66,MonthlyCurve!$A:$A,0)),"")</f>
        <v>0.81599577844963256</v>
      </c>
      <c r="P66">
        <f t="shared" si="3"/>
        <v>7861.9957691274331</v>
      </c>
      <c r="Q66">
        <f t="shared" si="4"/>
        <v>23.585987307382297</v>
      </c>
      <c r="R66">
        <f t="shared" si="5"/>
        <v>7885.5817564348154</v>
      </c>
      <c r="S66">
        <f t="shared" si="6"/>
        <v>6415.3553577968578</v>
      </c>
      <c r="T66">
        <f t="shared" si="7"/>
        <v>19.246066073390569</v>
      </c>
      <c r="U66">
        <f>SUMPRODUCT(R67:R543,O67:O543)/(M66*O66)</f>
        <v>1043880.1566479278</v>
      </c>
    </row>
    <row r="67" spans="1:21" x14ac:dyDescent="0.35">
      <c r="A67">
        <v>64</v>
      </c>
      <c r="B67">
        <f>A67/Inputs!$B$6</f>
        <v>5.333333333333333</v>
      </c>
      <c r="C67">
        <f>Inputs!$B$3+B67</f>
        <v>70.333333333333329</v>
      </c>
      <c r="D67">
        <f t="shared" si="0"/>
        <v>70</v>
      </c>
      <c r="E67">
        <f>Inputs!$B$7+1+INT((A67-1)/Inputs!$B$6)</f>
        <v>2031</v>
      </c>
      <c r="F67">
        <f>Inputs!$B$16</f>
        <v>8333.3333333333339</v>
      </c>
      <c r="G67">
        <f>Inputs!$B$12</f>
        <v>25</v>
      </c>
      <c r="H67">
        <f>IFERROR(INDEX(RP2014_Qx!$B:$B,MATCH(D67,RP2014_Qx!$A:$A,0)),"")</f>
        <v>1.2867999999999999E-2</v>
      </c>
      <c r="I67">
        <f>SUMIFS(MP2016_Long!$C:$C,MP2016_Long!$A:$A,D67,MP2016_Long!$B:$B,"&gt;=2014",MP2016_Long!$B:$B,"&lt;"&amp;E67)</f>
        <v>0.13770000000000002</v>
      </c>
      <c r="J67">
        <f t="shared" si="1"/>
        <v>1.4767718400794104E-2</v>
      </c>
      <c r="K67">
        <f t="shared" si="2"/>
        <v>1.4877846728507674E-2</v>
      </c>
      <c r="L67">
        <f>EXP(-K67/Inputs!$B$6)</f>
        <v>0.99876094769926815</v>
      </c>
      <c r="M67">
        <f t="shared" si="8"/>
        <v>0.94227052142176215</v>
      </c>
      <c r="N67">
        <f>IFERROR(INDEX(MonthlyCurve!$I:$I,MATCH(A67,MonthlyCurve!$A:$A,0)),"")</f>
        <v>3.8813003333333332E-2</v>
      </c>
      <c r="O67">
        <f>IFERROR(INDEX(MonthlyCurve!$J:$J,MATCH(A67,MonthlyCurve!$A:$A,0)),"")</f>
        <v>0.81301746748441783</v>
      </c>
      <c r="P67">
        <f t="shared" si="3"/>
        <v>7852.2543451813517</v>
      </c>
      <c r="Q67">
        <f t="shared" si="4"/>
        <v>23.556763035544055</v>
      </c>
      <c r="R67">
        <f t="shared" si="5"/>
        <v>7875.8111082168962</v>
      </c>
      <c r="S67">
        <f t="shared" si="6"/>
        <v>6384.0199417628583</v>
      </c>
      <c r="T67">
        <f t="shared" si="7"/>
        <v>19.152059825288575</v>
      </c>
      <c r="U67">
        <f>SUMPRODUCT(R68:R543,O68:O543)/(M67*O67)</f>
        <v>1040645.6198090595</v>
      </c>
    </row>
    <row r="68" spans="1:21" x14ac:dyDescent="0.35">
      <c r="A68">
        <v>65</v>
      </c>
      <c r="B68">
        <f>A68/Inputs!$B$6</f>
        <v>5.416666666666667</v>
      </c>
      <c r="C68">
        <f>Inputs!$B$3+B68</f>
        <v>70.416666666666671</v>
      </c>
      <c r="D68">
        <f t="shared" ref="D68:D131" si="9">INT(C68)</f>
        <v>70</v>
      </c>
      <c r="E68">
        <f>Inputs!$B$7+1+INT((A68-1)/Inputs!$B$6)</f>
        <v>2031</v>
      </c>
      <c r="F68">
        <f>Inputs!$B$16</f>
        <v>8333.3333333333339</v>
      </c>
      <c r="G68">
        <f>Inputs!$B$12</f>
        <v>25</v>
      </c>
      <c r="H68">
        <f>IFERROR(INDEX(RP2014_Qx!$B:$B,MATCH(D68,RP2014_Qx!$A:$A,0)),"")</f>
        <v>1.2867999999999999E-2</v>
      </c>
      <c r="I68">
        <f>SUMIFS(MP2016_Long!$C:$C,MP2016_Long!$A:$A,D68,MP2016_Long!$B:$B,"&gt;=2014",MP2016_Long!$B:$B,"&lt;"&amp;E68)</f>
        <v>0.13770000000000002</v>
      </c>
      <c r="J68">
        <f t="shared" ref="J68:J131" si="10">MIN(0.999999,MAX(0,H68*EXP(I68)))</f>
        <v>1.4767718400794104E-2</v>
      </c>
      <c r="K68">
        <f t="shared" ref="K68:K131" si="11">-LN(1-J68)</f>
        <v>1.4877846728507674E-2</v>
      </c>
      <c r="L68">
        <f>EXP(-K68/Inputs!$B$6)</f>
        <v>0.99876094769926815</v>
      </c>
      <c r="M68">
        <f t="shared" si="8"/>
        <v>0.94110299896428273</v>
      </c>
      <c r="N68">
        <f>IFERROR(INDEX(MonthlyCurve!$I:$I,MATCH(A68,MonthlyCurve!$A:$A,0)),"")</f>
        <v>3.8893416666666666E-2</v>
      </c>
      <c r="O68">
        <f>IFERROR(INDEX(MonthlyCurve!$J:$J,MATCH(A68,MonthlyCurve!$A:$A,0)),"")</f>
        <v>0.8100391706877732</v>
      </c>
      <c r="P68">
        <f t="shared" ref="P68:P131" si="12">F68*M68</f>
        <v>7842.5249913690232</v>
      </c>
      <c r="Q68">
        <f t="shared" ref="Q68:Q131" si="13">G68*M68</f>
        <v>23.527574974107068</v>
      </c>
      <c r="R68">
        <f t="shared" ref="R68:R131" si="14">P68+Q68</f>
        <v>7866.0525663431299</v>
      </c>
      <c r="S68">
        <f t="shared" ref="S68:S131" si="15">P68*O68</f>
        <v>6352.7524401066994</v>
      </c>
      <c r="T68">
        <f t="shared" ref="T68:T131" si="16">Q68*O68</f>
        <v>19.058257320320095</v>
      </c>
      <c r="U68">
        <f>SUMPRODUCT(R69:R543,O69:O543)/(M68*O68)</f>
        <v>1037409.2220379293</v>
      </c>
    </row>
    <row r="69" spans="1:21" x14ac:dyDescent="0.35">
      <c r="A69">
        <v>66</v>
      </c>
      <c r="B69">
        <f>A69/Inputs!$B$6</f>
        <v>5.5</v>
      </c>
      <c r="C69">
        <f>Inputs!$B$3+B69</f>
        <v>70.5</v>
      </c>
      <c r="D69">
        <f t="shared" si="9"/>
        <v>70</v>
      </c>
      <c r="E69">
        <f>Inputs!$B$7+1+INT((A69-1)/Inputs!$B$6)</f>
        <v>2031</v>
      </c>
      <c r="F69">
        <f>Inputs!$B$16</f>
        <v>8333.3333333333339</v>
      </c>
      <c r="G69">
        <f>Inputs!$B$12</f>
        <v>25</v>
      </c>
      <c r="H69">
        <f>IFERROR(INDEX(RP2014_Qx!$B:$B,MATCH(D69,RP2014_Qx!$A:$A,0)),"")</f>
        <v>1.2867999999999999E-2</v>
      </c>
      <c r="I69">
        <f>SUMIFS(MP2016_Long!$C:$C,MP2016_Long!$A:$A,D69,MP2016_Long!$B:$B,"&gt;=2014",MP2016_Long!$B:$B,"&lt;"&amp;E69)</f>
        <v>0.13770000000000002</v>
      </c>
      <c r="J69">
        <f t="shared" si="10"/>
        <v>1.4767718400794104E-2</v>
      </c>
      <c r="K69">
        <f t="shared" si="11"/>
        <v>1.4877846728507674E-2</v>
      </c>
      <c r="L69">
        <f>EXP(-K69/Inputs!$B$6)</f>
        <v>0.99876094769926815</v>
      </c>
      <c r="M69">
        <f t="shared" ref="M69:M132" si="17">M68*L69</f>
        <v>0.93993692312819044</v>
      </c>
      <c r="N69">
        <f>IFERROR(INDEX(MonthlyCurve!$I:$I,MATCH(A69,MonthlyCurve!$A:$A,0)),"")</f>
        <v>3.8973830000000001E-2</v>
      </c>
      <c r="O69">
        <f>IFERROR(INDEX(MonthlyCurve!$J:$J,MATCH(A69,MonthlyCurve!$A:$A,0)),"")</f>
        <v>0.8070609676926308</v>
      </c>
      <c r="P69">
        <f t="shared" si="12"/>
        <v>7832.8076927349211</v>
      </c>
      <c r="Q69">
        <f t="shared" si="13"/>
        <v>23.498423078204763</v>
      </c>
      <c r="R69">
        <f t="shared" si="14"/>
        <v>7856.3061158131259</v>
      </c>
      <c r="S69">
        <f t="shared" si="15"/>
        <v>6321.5533562489281</v>
      </c>
      <c r="T69">
        <f t="shared" si="16"/>
        <v>18.964660068746785</v>
      </c>
      <c r="U69">
        <f>SUMPRODUCT(R70:R543,O70:O543)/(M69*O69)</f>
        <v>1034170.8672113331</v>
      </c>
    </row>
    <row r="70" spans="1:21" x14ac:dyDescent="0.35">
      <c r="A70">
        <v>67</v>
      </c>
      <c r="B70">
        <f>A70/Inputs!$B$6</f>
        <v>5.583333333333333</v>
      </c>
      <c r="C70">
        <f>Inputs!$B$3+B70</f>
        <v>70.583333333333329</v>
      </c>
      <c r="D70">
        <f t="shared" si="9"/>
        <v>70</v>
      </c>
      <c r="E70">
        <f>Inputs!$B$7+1+INT((A70-1)/Inputs!$B$6)</f>
        <v>2031</v>
      </c>
      <c r="F70">
        <f>Inputs!$B$16</f>
        <v>8333.3333333333339</v>
      </c>
      <c r="G70">
        <f>Inputs!$B$12</f>
        <v>25</v>
      </c>
      <c r="H70">
        <f>IFERROR(INDEX(RP2014_Qx!$B:$B,MATCH(D70,RP2014_Qx!$A:$A,0)),"")</f>
        <v>1.2867999999999999E-2</v>
      </c>
      <c r="I70">
        <f>SUMIFS(MP2016_Long!$C:$C,MP2016_Long!$A:$A,D70,MP2016_Long!$B:$B,"&gt;=2014",MP2016_Long!$B:$B,"&lt;"&amp;E70)</f>
        <v>0.13770000000000002</v>
      </c>
      <c r="J70">
        <f t="shared" si="10"/>
        <v>1.4767718400794104E-2</v>
      </c>
      <c r="K70">
        <f t="shared" si="11"/>
        <v>1.4877846728507674E-2</v>
      </c>
      <c r="L70">
        <f>EXP(-K70/Inputs!$B$6)</f>
        <v>0.99876094769926815</v>
      </c>
      <c r="M70">
        <f t="shared" si="17"/>
        <v>0.93877229212104563</v>
      </c>
      <c r="N70">
        <f>IFERROR(INDEX(MonthlyCurve!$I:$I,MATCH(A70,MonthlyCurve!$A:$A,0)),"")</f>
        <v>3.9054755000000003E-2</v>
      </c>
      <c r="O70">
        <f>IFERROR(INDEX(MonthlyCurve!$J:$J,MATCH(A70,MonthlyCurve!$A:$A,0)),"")</f>
        <v>0.80408064073058794</v>
      </c>
      <c r="P70">
        <f t="shared" si="12"/>
        <v>7823.1024343420477</v>
      </c>
      <c r="Q70">
        <f t="shared" si="13"/>
        <v>23.469307303026142</v>
      </c>
      <c r="R70">
        <f t="shared" si="14"/>
        <v>7846.5717416450734</v>
      </c>
      <c r="S70">
        <f t="shared" si="15"/>
        <v>6290.4052179067758</v>
      </c>
      <c r="T70">
        <f t="shared" si="16"/>
        <v>18.871215653720327</v>
      </c>
      <c r="U70">
        <f>SUMPRODUCT(R71:R543,O71:O543)/(M70*O70)</f>
        <v>1030933.4277036668</v>
      </c>
    </row>
    <row r="71" spans="1:21" x14ac:dyDescent="0.35">
      <c r="A71">
        <v>68</v>
      </c>
      <c r="B71">
        <f>A71/Inputs!$B$6</f>
        <v>5.666666666666667</v>
      </c>
      <c r="C71">
        <f>Inputs!$B$3+B71</f>
        <v>70.666666666666671</v>
      </c>
      <c r="D71">
        <f t="shared" si="9"/>
        <v>70</v>
      </c>
      <c r="E71">
        <f>Inputs!$B$7+1+INT((A71-1)/Inputs!$B$6)</f>
        <v>2031</v>
      </c>
      <c r="F71">
        <f>Inputs!$B$16</f>
        <v>8333.3333333333339</v>
      </c>
      <c r="G71">
        <f>Inputs!$B$12</f>
        <v>25</v>
      </c>
      <c r="H71">
        <f>IFERROR(INDEX(RP2014_Qx!$B:$B,MATCH(D71,RP2014_Qx!$A:$A,0)),"")</f>
        <v>1.2867999999999999E-2</v>
      </c>
      <c r="I71">
        <f>SUMIFS(MP2016_Long!$C:$C,MP2016_Long!$A:$A,D71,MP2016_Long!$B:$B,"&gt;=2014",MP2016_Long!$B:$B,"&lt;"&amp;E71)</f>
        <v>0.13770000000000002</v>
      </c>
      <c r="J71">
        <f t="shared" si="10"/>
        <v>1.4767718400794104E-2</v>
      </c>
      <c r="K71">
        <f t="shared" si="11"/>
        <v>1.4877846728507674E-2</v>
      </c>
      <c r="L71">
        <f>EXP(-K71/Inputs!$B$6)</f>
        <v>0.99876094769926815</v>
      </c>
      <c r="M71">
        <f t="shared" si="17"/>
        <v>0.93760910415262977</v>
      </c>
      <c r="N71">
        <f>IFERROR(INDEX(MonthlyCurve!$I:$I,MATCH(A71,MonthlyCurve!$A:$A,0)),"")</f>
        <v>3.9135679999999999E-2</v>
      </c>
      <c r="O71">
        <f>IFERROR(INDEX(MonthlyCurve!$J:$J,MATCH(A71,MonthlyCurve!$A:$A,0)),"")</f>
        <v>0.80110051464902188</v>
      </c>
      <c r="P71">
        <f t="shared" si="12"/>
        <v>7813.4092012719157</v>
      </c>
      <c r="Q71">
        <f t="shared" si="13"/>
        <v>23.440227603815742</v>
      </c>
      <c r="R71">
        <f t="shared" si="14"/>
        <v>7836.8494288757311</v>
      </c>
      <c r="S71">
        <f t="shared" si="15"/>
        <v>6259.3261323023344</v>
      </c>
      <c r="T71">
        <f t="shared" si="16"/>
        <v>18.777978396906999</v>
      </c>
      <c r="U71">
        <f>SUMPRODUCT(R72:R543,O72:O543)/(M71*O71)</f>
        <v>1027693.9310589558</v>
      </c>
    </row>
    <row r="72" spans="1:21" x14ac:dyDescent="0.35">
      <c r="A72">
        <v>69</v>
      </c>
      <c r="B72">
        <f>A72/Inputs!$B$6</f>
        <v>5.75</v>
      </c>
      <c r="C72">
        <f>Inputs!$B$3+B72</f>
        <v>70.75</v>
      </c>
      <c r="D72">
        <f t="shared" si="9"/>
        <v>70</v>
      </c>
      <c r="E72">
        <f>Inputs!$B$7+1+INT((A72-1)/Inputs!$B$6)</f>
        <v>2031</v>
      </c>
      <c r="F72">
        <f>Inputs!$B$16</f>
        <v>8333.3333333333339</v>
      </c>
      <c r="G72">
        <f>Inputs!$B$12</f>
        <v>25</v>
      </c>
      <c r="H72">
        <f>IFERROR(INDEX(RP2014_Qx!$B:$B,MATCH(D72,RP2014_Qx!$A:$A,0)),"")</f>
        <v>1.2867999999999999E-2</v>
      </c>
      <c r="I72">
        <f>SUMIFS(MP2016_Long!$C:$C,MP2016_Long!$A:$A,D72,MP2016_Long!$B:$B,"&gt;=2014",MP2016_Long!$B:$B,"&lt;"&amp;E72)</f>
        <v>0.13770000000000002</v>
      </c>
      <c r="J72">
        <f t="shared" si="10"/>
        <v>1.4767718400794104E-2</v>
      </c>
      <c r="K72">
        <f t="shared" si="11"/>
        <v>1.4877846728507674E-2</v>
      </c>
      <c r="L72">
        <f>EXP(-K72/Inputs!$B$6)</f>
        <v>0.99876094769926815</v>
      </c>
      <c r="M72">
        <f t="shared" si="17"/>
        <v>0.93644735743494234</v>
      </c>
      <c r="N72">
        <f>IFERROR(INDEX(MonthlyCurve!$I:$I,MATCH(A72,MonthlyCurve!$A:$A,0)),"")</f>
        <v>3.9216605000000002E-2</v>
      </c>
      <c r="O72">
        <f>IFERROR(INDEX(MonthlyCurve!$J:$J,MATCH(A72,MonthlyCurve!$A:$A,0)),"")</f>
        <v>0.79812066894280798</v>
      </c>
      <c r="P72">
        <f t="shared" si="12"/>
        <v>7803.7279786245199</v>
      </c>
      <c r="Q72">
        <f t="shared" si="13"/>
        <v>23.411183935873559</v>
      </c>
      <c r="R72">
        <f t="shared" si="14"/>
        <v>7827.1391625603937</v>
      </c>
      <c r="S72">
        <f t="shared" si="15"/>
        <v>6228.3165945475084</v>
      </c>
      <c r="T72">
        <f t="shared" si="16"/>
        <v>18.684949783642526</v>
      </c>
      <c r="U72">
        <f>SUMPRODUCT(R73:R543,O73:O543)/(M72*O72)</f>
        <v>1024452.279460054</v>
      </c>
    </row>
    <row r="73" spans="1:21" x14ac:dyDescent="0.35">
      <c r="A73">
        <v>70</v>
      </c>
      <c r="B73">
        <f>A73/Inputs!$B$6</f>
        <v>5.833333333333333</v>
      </c>
      <c r="C73">
        <f>Inputs!$B$3+B73</f>
        <v>70.833333333333329</v>
      </c>
      <c r="D73">
        <f t="shared" si="9"/>
        <v>70</v>
      </c>
      <c r="E73">
        <f>Inputs!$B$7+1+INT((A73-1)/Inputs!$B$6)</f>
        <v>2031</v>
      </c>
      <c r="F73">
        <f>Inputs!$B$16</f>
        <v>8333.3333333333339</v>
      </c>
      <c r="G73">
        <f>Inputs!$B$12</f>
        <v>25</v>
      </c>
      <c r="H73">
        <f>IFERROR(INDEX(RP2014_Qx!$B:$B,MATCH(D73,RP2014_Qx!$A:$A,0)),"")</f>
        <v>1.2867999999999999E-2</v>
      </c>
      <c r="I73">
        <f>SUMIFS(MP2016_Long!$C:$C,MP2016_Long!$A:$A,D73,MP2016_Long!$B:$B,"&gt;=2014",MP2016_Long!$B:$B,"&lt;"&amp;E73)</f>
        <v>0.13770000000000002</v>
      </c>
      <c r="J73">
        <f t="shared" si="10"/>
        <v>1.4767718400794104E-2</v>
      </c>
      <c r="K73">
        <f t="shared" si="11"/>
        <v>1.4877846728507674E-2</v>
      </c>
      <c r="L73">
        <f>EXP(-K73/Inputs!$B$6)</f>
        <v>0.99876094769926815</v>
      </c>
      <c r="M73">
        <f t="shared" si="17"/>
        <v>0.93528705018219827</v>
      </c>
      <c r="N73">
        <f>IFERROR(INDEX(MonthlyCurve!$I:$I,MATCH(A73,MonthlyCurve!$A:$A,0)),"")</f>
        <v>3.9297530000000004E-2</v>
      </c>
      <c r="O73">
        <f>IFERROR(INDEX(MonthlyCurve!$J:$J,MATCH(A73,MonthlyCurve!$A:$A,0)),"")</f>
        <v>0.79514118280033685</v>
      </c>
      <c r="P73">
        <f t="shared" si="12"/>
        <v>7794.0587515183197</v>
      </c>
      <c r="Q73">
        <f t="shared" si="13"/>
        <v>23.382176254554956</v>
      </c>
      <c r="R73">
        <f t="shared" si="14"/>
        <v>7817.4409277728746</v>
      </c>
      <c r="S73">
        <f t="shared" si="15"/>
        <v>6197.3770944975931</v>
      </c>
      <c r="T73">
        <f t="shared" si="16"/>
        <v>18.59213128349278</v>
      </c>
      <c r="U73">
        <f>SUMPRODUCT(R74:R543,O74:O543)/(M73*O73)</f>
        <v>1021208.3745160521</v>
      </c>
    </row>
    <row r="74" spans="1:21" x14ac:dyDescent="0.35">
      <c r="A74">
        <v>71</v>
      </c>
      <c r="B74">
        <f>A74/Inputs!$B$6</f>
        <v>5.916666666666667</v>
      </c>
      <c r="C74">
        <f>Inputs!$B$3+B74</f>
        <v>70.916666666666671</v>
      </c>
      <c r="D74">
        <f t="shared" si="9"/>
        <v>70</v>
      </c>
      <c r="E74">
        <f>Inputs!$B$7+1+INT((A74-1)/Inputs!$B$6)</f>
        <v>2031</v>
      </c>
      <c r="F74">
        <f>Inputs!$B$16</f>
        <v>8333.3333333333339</v>
      </c>
      <c r="G74">
        <f>Inputs!$B$12</f>
        <v>25</v>
      </c>
      <c r="H74">
        <f>IFERROR(INDEX(RP2014_Qx!$B:$B,MATCH(D74,RP2014_Qx!$A:$A,0)),"")</f>
        <v>1.2867999999999999E-2</v>
      </c>
      <c r="I74">
        <f>SUMIFS(MP2016_Long!$C:$C,MP2016_Long!$A:$A,D74,MP2016_Long!$B:$B,"&gt;=2014",MP2016_Long!$B:$B,"&lt;"&amp;E74)</f>
        <v>0.13770000000000002</v>
      </c>
      <c r="J74">
        <f t="shared" si="10"/>
        <v>1.4767718400794104E-2</v>
      </c>
      <c r="K74">
        <f t="shared" si="11"/>
        <v>1.4877846728507674E-2</v>
      </c>
      <c r="L74">
        <f>EXP(-K74/Inputs!$B$6)</f>
        <v>0.99876094769926815</v>
      </c>
      <c r="M74">
        <f t="shared" si="17"/>
        <v>0.93412818061082536</v>
      </c>
      <c r="N74">
        <f>IFERROR(INDEX(MonthlyCurve!$I:$I,MATCH(A74,MonthlyCurve!$A:$A,0)),"")</f>
        <v>3.9378455E-2</v>
      </c>
      <c r="O74">
        <f>IFERROR(INDEX(MonthlyCurve!$J:$J,MATCH(A74,MonthlyCurve!$A:$A,0)),"")</f>
        <v>0.79216213510039013</v>
      </c>
      <c r="P74">
        <f t="shared" si="12"/>
        <v>7784.4015050902117</v>
      </c>
      <c r="Q74">
        <f t="shared" si="13"/>
        <v>23.353204515270633</v>
      </c>
      <c r="R74">
        <f t="shared" si="14"/>
        <v>7807.7547096054823</v>
      </c>
      <c r="S74">
        <f t="shared" si="15"/>
        <v>6166.5081167509525</v>
      </c>
      <c r="T74">
        <f t="shared" si="16"/>
        <v>18.499524350252855</v>
      </c>
      <c r="U74">
        <f>SUMPRODUCT(R75:R543,O75:O543)/(M74*O74)</f>
        <v>1017962.1172540996</v>
      </c>
    </row>
    <row r="75" spans="1:21" x14ac:dyDescent="0.35">
      <c r="A75">
        <v>72</v>
      </c>
      <c r="B75">
        <f>A75/Inputs!$B$6</f>
        <v>6</v>
      </c>
      <c r="C75">
        <f>Inputs!$B$3+B75</f>
        <v>71</v>
      </c>
      <c r="D75">
        <f t="shared" si="9"/>
        <v>71</v>
      </c>
      <c r="E75">
        <f>Inputs!$B$7+1+INT((A75-1)/Inputs!$B$6)</f>
        <v>2031</v>
      </c>
      <c r="F75">
        <f>Inputs!$B$16</f>
        <v>8333.3333333333339</v>
      </c>
      <c r="G75">
        <f>Inputs!$B$12</f>
        <v>25</v>
      </c>
      <c r="H75">
        <f>IFERROR(INDEX(RP2014_Qx!$B:$B,MATCH(D75,RP2014_Qx!$A:$A,0)),"")</f>
        <v>1.4171E-2</v>
      </c>
      <c r="I75">
        <f>SUMIFS(MP2016_Long!$C:$C,MP2016_Long!$A:$A,D75,MP2016_Long!$B:$B,"&gt;=2014",MP2016_Long!$B:$B,"&lt;"&amp;E75)</f>
        <v>0.14380000000000001</v>
      </c>
      <c r="J75">
        <f t="shared" si="10"/>
        <v>1.6362589856661603E-2</v>
      </c>
      <c r="K75">
        <f t="shared" si="11"/>
        <v>1.649793546408327E-2</v>
      </c>
      <c r="L75">
        <f>EXP(-K75/Inputs!$B$6)</f>
        <v>0.99862611668765633</v>
      </c>
      <c r="M75">
        <f t="shared" si="17"/>
        <v>0.9328447974918942</v>
      </c>
      <c r="N75">
        <f>IFERROR(INDEX(MonthlyCurve!$I:$I,MATCH(A75,MonthlyCurve!$A:$A,0)),"")</f>
        <v>3.9459380000000002E-2</v>
      </c>
      <c r="O75">
        <f>IFERROR(INDEX(MonthlyCurve!$J:$J,MATCH(A75,MonthlyCurve!$A:$A,0)),"")</f>
        <v>0.78918360440904889</v>
      </c>
      <c r="P75">
        <f t="shared" si="12"/>
        <v>7773.7066457657857</v>
      </c>
      <c r="Q75">
        <f t="shared" si="13"/>
        <v>23.321119937297354</v>
      </c>
      <c r="R75">
        <f t="shared" si="14"/>
        <v>7797.0277657030829</v>
      </c>
      <c r="S75">
        <f t="shared" si="15"/>
        <v>6134.8818303240205</v>
      </c>
      <c r="T75">
        <f t="shared" si="16"/>
        <v>18.404645490972058</v>
      </c>
      <c r="U75">
        <f>SUMPRODUCT(R76:R543,O76:O543)/(M75*O75)</f>
        <v>1014851.5396856634</v>
      </c>
    </row>
    <row r="76" spans="1:21" x14ac:dyDescent="0.35">
      <c r="A76">
        <v>73</v>
      </c>
      <c r="B76">
        <f>A76/Inputs!$B$6</f>
        <v>6.083333333333333</v>
      </c>
      <c r="C76">
        <f>Inputs!$B$3+B76</f>
        <v>71.083333333333329</v>
      </c>
      <c r="D76">
        <f t="shared" si="9"/>
        <v>71</v>
      </c>
      <c r="E76">
        <f>Inputs!$B$7+1+INT((A76-1)/Inputs!$B$6)</f>
        <v>2032</v>
      </c>
      <c r="F76">
        <f>Inputs!$B$16</f>
        <v>8333.3333333333339</v>
      </c>
      <c r="G76">
        <f>Inputs!$B$12</f>
        <v>25</v>
      </c>
      <c r="H76">
        <f>IFERROR(INDEX(RP2014_Qx!$B:$B,MATCH(D76,RP2014_Qx!$A:$A,0)),"")</f>
        <v>1.4171E-2</v>
      </c>
      <c r="I76">
        <f>SUMIFS(MP2016_Long!$C:$C,MP2016_Long!$A:$A,D76,MP2016_Long!$B:$B,"&gt;=2014",MP2016_Long!$B:$B,"&lt;"&amp;E76)</f>
        <v>0.15380000000000002</v>
      </c>
      <c r="J76">
        <f t="shared" si="10"/>
        <v>1.6527036618650768E-2</v>
      </c>
      <c r="K76">
        <f t="shared" si="11"/>
        <v>1.6665131737953306E-2</v>
      </c>
      <c r="L76">
        <f>EXP(-K76/Inputs!$B$6)</f>
        <v>0.99861220290411212</v>
      </c>
      <c r="M76">
        <f t="shared" si="17"/>
        <v>0.93155019819102081</v>
      </c>
      <c r="N76">
        <f>IFERROR(INDEX(MonthlyCurve!$I:$I,MATCH(A76,MonthlyCurve!$A:$A,0)),"")</f>
        <v>3.9540891666666668E-2</v>
      </c>
      <c r="O76">
        <f>IFERROR(INDEX(MonthlyCurve!$J:$J,MATCH(A76,MonthlyCurve!$A:$A,0)),"")</f>
        <v>0.78620286310096477</v>
      </c>
      <c r="P76">
        <f t="shared" si="12"/>
        <v>7762.9183182585075</v>
      </c>
      <c r="Q76">
        <f t="shared" si="13"/>
        <v>23.28875495477552</v>
      </c>
      <c r="R76">
        <f t="shared" si="14"/>
        <v>7786.2070732132834</v>
      </c>
      <c r="S76">
        <f t="shared" si="15"/>
        <v>6103.2286078337647</v>
      </c>
      <c r="T76">
        <f t="shared" si="16"/>
        <v>18.309685823501294</v>
      </c>
      <c r="U76">
        <f>SUMPRODUCT(R77:R543,O77:O543)/(M76*O76)</f>
        <v>1011756.5388676837</v>
      </c>
    </row>
    <row r="77" spans="1:21" x14ac:dyDescent="0.35">
      <c r="A77">
        <v>74</v>
      </c>
      <c r="B77">
        <f>A77/Inputs!$B$6</f>
        <v>6.166666666666667</v>
      </c>
      <c r="C77">
        <f>Inputs!$B$3+B77</f>
        <v>71.166666666666671</v>
      </c>
      <c r="D77">
        <f t="shared" si="9"/>
        <v>71</v>
      </c>
      <c r="E77">
        <f>Inputs!$B$7+1+INT((A77-1)/Inputs!$B$6)</f>
        <v>2032</v>
      </c>
      <c r="F77">
        <f>Inputs!$B$16</f>
        <v>8333.3333333333339</v>
      </c>
      <c r="G77">
        <f>Inputs!$B$12</f>
        <v>25</v>
      </c>
      <c r="H77">
        <f>IFERROR(INDEX(RP2014_Qx!$B:$B,MATCH(D77,RP2014_Qx!$A:$A,0)),"")</f>
        <v>1.4171E-2</v>
      </c>
      <c r="I77">
        <f>SUMIFS(MP2016_Long!$C:$C,MP2016_Long!$A:$A,D77,MP2016_Long!$B:$B,"&gt;=2014",MP2016_Long!$B:$B,"&lt;"&amp;E77)</f>
        <v>0.15380000000000002</v>
      </c>
      <c r="J77">
        <f t="shared" si="10"/>
        <v>1.6527036618650768E-2</v>
      </c>
      <c r="K77">
        <f t="shared" si="11"/>
        <v>1.6665131737953306E-2</v>
      </c>
      <c r="L77">
        <f>EXP(-K77/Inputs!$B$6)</f>
        <v>0.99861220290411212</v>
      </c>
      <c r="M77">
        <f t="shared" si="17"/>
        <v>0.93025739553129749</v>
      </c>
      <c r="N77">
        <f>IFERROR(INDEX(MonthlyCurve!$I:$I,MATCH(A77,MonthlyCurve!$A:$A,0)),"")</f>
        <v>3.9622403333333334E-2</v>
      </c>
      <c r="O77">
        <f>IFERROR(INDEX(MonthlyCurve!$J:$J,MATCH(A77,MonthlyCurve!$A:$A,0)),"")</f>
        <v>0.78322273966253397</v>
      </c>
      <c r="P77">
        <f t="shared" si="12"/>
        <v>7752.1449627608126</v>
      </c>
      <c r="Q77">
        <f t="shared" si="13"/>
        <v>23.256434888282438</v>
      </c>
      <c r="R77">
        <f t="shared" si="14"/>
        <v>7775.4013976490951</v>
      </c>
      <c r="S77">
        <f t="shared" si="15"/>
        <v>6071.6562159946361</v>
      </c>
      <c r="T77">
        <f t="shared" si="16"/>
        <v>18.214968647983909</v>
      </c>
      <c r="U77">
        <f>SUMPRODUCT(R78:R543,O78:O543)/(M77*O77)</f>
        <v>1008659.3027958819</v>
      </c>
    </row>
    <row r="78" spans="1:21" x14ac:dyDescent="0.35">
      <c r="A78">
        <v>75</v>
      </c>
      <c r="B78">
        <f>A78/Inputs!$B$6</f>
        <v>6.25</v>
      </c>
      <c r="C78">
        <f>Inputs!$B$3+B78</f>
        <v>71.25</v>
      </c>
      <c r="D78">
        <f t="shared" si="9"/>
        <v>71</v>
      </c>
      <c r="E78">
        <f>Inputs!$B$7+1+INT((A78-1)/Inputs!$B$6)</f>
        <v>2032</v>
      </c>
      <c r="F78">
        <f>Inputs!$B$16</f>
        <v>8333.3333333333339</v>
      </c>
      <c r="G78">
        <f>Inputs!$B$12</f>
        <v>25</v>
      </c>
      <c r="H78">
        <f>IFERROR(INDEX(RP2014_Qx!$B:$B,MATCH(D78,RP2014_Qx!$A:$A,0)),"")</f>
        <v>1.4171E-2</v>
      </c>
      <c r="I78">
        <f>SUMIFS(MP2016_Long!$C:$C,MP2016_Long!$A:$A,D78,MP2016_Long!$B:$B,"&gt;=2014",MP2016_Long!$B:$B,"&lt;"&amp;E78)</f>
        <v>0.15380000000000002</v>
      </c>
      <c r="J78">
        <f t="shared" si="10"/>
        <v>1.6527036618650768E-2</v>
      </c>
      <c r="K78">
        <f t="shared" si="11"/>
        <v>1.6665131737953306E-2</v>
      </c>
      <c r="L78">
        <f>EXP(-K78/Inputs!$B$6)</f>
        <v>0.99861220290411212</v>
      </c>
      <c r="M78">
        <f t="shared" si="17"/>
        <v>0.92896638701935097</v>
      </c>
      <c r="N78">
        <f>IFERROR(INDEX(MonthlyCurve!$I:$I,MATCH(A78,MonthlyCurve!$A:$A,0)),"")</f>
        <v>3.9703915000000006E-2</v>
      </c>
      <c r="O78">
        <f>IFERROR(INDEX(MonthlyCurve!$J:$J,MATCH(A78,MonthlyCurve!$A:$A,0)),"")</f>
        <v>0.78024331256930268</v>
      </c>
      <c r="P78">
        <f t="shared" si="12"/>
        <v>7741.3865584945916</v>
      </c>
      <c r="Q78">
        <f t="shared" si="13"/>
        <v>23.224159675483776</v>
      </c>
      <c r="R78">
        <f t="shared" si="14"/>
        <v>7764.6107181700754</v>
      </c>
      <c r="S78">
        <f t="shared" si="15"/>
        <v>6040.1650922792942</v>
      </c>
      <c r="T78">
        <f t="shared" si="16"/>
        <v>18.120495276837882</v>
      </c>
      <c r="U78">
        <f>SUMPRODUCT(R79:R543,O79:O543)/(M78*O78)</f>
        <v>1005559.7354740239</v>
      </c>
    </row>
    <row r="79" spans="1:21" x14ac:dyDescent="0.35">
      <c r="A79">
        <v>76</v>
      </c>
      <c r="B79">
        <f>A79/Inputs!$B$6</f>
        <v>6.333333333333333</v>
      </c>
      <c r="C79">
        <f>Inputs!$B$3+B79</f>
        <v>71.333333333333329</v>
      </c>
      <c r="D79">
        <f t="shared" si="9"/>
        <v>71</v>
      </c>
      <c r="E79">
        <f>Inputs!$B$7+1+INT((A79-1)/Inputs!$B$6)</f>
        <v>2032</v>
      </c>
      <c r="F79">
        <f>Inputs!$B$16</f>
        <v>8333.3333333333339</v>
      </c>
      <c r="G79">
        <f>Inputs!$B$12</f>
        <v>25</v>
      </c>
      <c r="H79">
        <f>IFERROR(INDEX(RP2014_Qx!$B:$B,MATCH(D79,RP2014_Qx!$A:$A,0)),"")</f>
        <v>1.4171E-2</v>
      </c>
      <c r="I79">
        <f>SUMIFS(MP2016_Long!$C:$C,MP2016_Long!$A:$A,D79,MP2016_Long!$B:$B,"&gt;=2014",MP2016_Long!$B:$B,"&lt;"&amp;E79)</f>
        <v>0.15380000000000002</v>
      </c>
      <c r="J79">
        <f t="shared" si="10"/>
        <v>1.6527036618650768E-2</v>
      </c>
      <c r="K79">
        <f t="shared" si="11"/>
        <v>1.6665131737953306E-2</v>
      </c>
      <c r="L79">
        <f>EXP(-K79/Inputs!$B$6)</f>
        <v>0.99861220290411212</v>
      </c>
      <c r="M79">
        <f t="shared" si="17"/>
        <v>0.92767717016526807</v>
      </c>
      <c r="N79">
        <f>IFERROR(INDEX(MonthlyCurve!$I:$I,MATCH(A79,MonthlyCurve!$A:$A,0)),"")</f>
        <v>3.9785426666666672E-2</v>
      </c>
      <c r="O79">
        <f>IFERROR(INDEX(MonthlyCurve!$J:$J,MATCH(A79,MonthlyCurve!$A:$A,0)),"")</f>
        <v>0.77726465997049721</v>
      </c>
      <c r="P79">
        <f t="shared" si="12"/>
        <v>7730.6430847105676</v>
      </c>
      <c r="Q79">
        <f t="shared" si="13"/>
        <v>23.191929254131701</v>
      </c>
      <c r="R79">
        <f t="shared" si="14"/>
        <v>7753.8350139646991</v>
      </c>
      <c r="S79">
        <f t="shared" si="15"/>
        <v>6008.7556685908348</v>
      </c>
      <c r="T79">
        <f t="shared" si="16"/>
        <v>18.026267005772503</v>
      </c>
      <c r="U79">
        <f>SUMPRODUCT(R80:R543,O80:O543)/(M79*O79)</f>
        <v>1002457.7403107805</v>
      </c>
    </row>
    <row r="80" spans="1:21" x14ac:dyDescent="0.35">
      <c r="A80">
        <v>77</v>
      </c>
      <c r="B80">
        <f>A80/Inputs!$B$6</f>
        <v>6.416666666666667</v>
      </c>
      <c r="C80">
        <f>Inputs!$B$3+B80</f>
        <v>71.416666666666671</v>
      </c>
      <c r="D80">
        <f t="shared" si="9"/>
        <v>71</v>
      </c>
      <c r="E80">
        <f>Inputs!$B$7+1+INT((A80-1)/Inputs!$B$6)</f>
        <v>2032</v>
      </c>
      <c r="F80">
        <f>Inputs!$B$16</f>
        <v>8333.3333333333339</v>
      </c>
      <c r="G80">
        <f>Inputs!$B$12</f>
        <v>25</v>
      </c>
      <c r="H80">
        <f>IFERROR(INDEX(RP2014_Qx!$B:$B,MATCH(D80,RP2014_Qx!$A:$A,0)),"")</f>
        <v>1.4171E-2</v>
      </c>
      <c r="I80">
        <f>SUMIFS(MP2016_Long!$C:$C,MP2016_Long!$A:$A,D80,MP2016_Long!$B:$B,"&gt;=2014",MP2016_Long!$B:$B,"&lt;"&amp;E80)</f>
        <v>0.15380000000000002</v>
      </c>
      <c r="J80">
        <f t="shared" si="10"/>
        <v>1.6527036618650768E-2</v>
      </c>
      <c r="K80">
        <f t="shared" si="11"/>
        <v>1.6665131737953306E-2</v>
      </c>
      <c r="L80">
        <f>EXP(-K80/Inputs!$B$6)</f>
        <v>0.99861220290411212</v>
      </c>
      <c r="M80">
        <f t="shared" si="17"/>
        <v>0.92638974248259121</v>
      </c>
      <c r="N80">
        <f>IFERROR(INDEX(MonthlyCurve!$I:$I,MATCH(A80,MonthlyCurve!$A:$A,0)),"")</f>
        <v>3.9866938333333338E-2</v>
      </c>
      <c r="O80">
        <f>IFERROR(INDEX(MonthlyCurve!$J:$J,MATCH(A80,MonthlyCurve!$A:$A,0)),"")</f>
        <v>0.77428685968602706</v>
      </c>
      <c r="P80">
        <f t="shared" si="12"/>
        <v>7719.9145206882604</v>
      </c>
      <c r="Q80">
        <f t="shared" si="13"/>
        <v>23.159743562064779</v>
      </c>
      <c r="R80">
        <f t="shared" si="14"/>
        <v>7743.0742642503255</v>
      </c>
      <c r="S80">
        <f t="shared" si="15"/>
        <v>5977.4283712682736</v>
      </c>
      <c r="T80">
        <f t="shared" si="16"/>
        <v>17.93228511380482</v>
      </c>
      <c r="U80">
        <f>SUMPRODUCT(R81:R543,O81:O543)/(M80*O80)</f>
        <v>999353.22011136427</v>
      </c>
    </row>
    <row r="81" spans="1:21" x14ac:dyDescent="0.35">
      <c r="A81">
        <v>78</v>
      </c>
      <c r="B81">
        <f>A81/Inputs!$B$6</f>
        <v>6.5</v>
      </c>
      <c r="C81">
        <f>Inputs!$B$3+B81</f>
        <v>71.5</v>
      </c>
      <c r="D81">
        <f t="shared" si="9"/>
        <v>71</v>
      </c>
      <c r="E81">
        <f>Inputs!$B$7+1+INT((A81-1)/Inputs!$B$6)</f>
        <v>2032</v>
      </c>
      <c r="F81">
        <f>Inputs!$B$16</f>
        <v>8333.3333333333339</v>
      </c>
      <c r="G81">
        <f>Inputs!$B$12</f>
        <v>25</v>
      </c>
      <c r="H81">
        <f>IFERROR(INDEX(RP2014_Qx!$B:$B,MATCH(D81,RP2014_Qx!$A:$A,0)),"")</f>
        <v>1.4171E-2</v>
      </c>
      <c r="I81">
        <f>SUMIFS(MP2016_Long!$C:$C,MP2016_Long!$A:$A,D81,MP2016_Long!$B:$B,"&gt;=2014",MP2016_Long!$B:$B,"&lt;"&amp;E81)</f>
        <v>0.15380000000000002</v>
      </c>
      <c r="J81">
        <f t="shared" si="10"/>
        <v>1.6527036618650768E-2</v>
      </c>
      <c r="K81">
        <f t="shared" si="11"/>
        <v>1.6665131737953306E-2</v>
      </c>
      <c r="L81">
        <f>EXP(-K81/Inputs!$B$6)</f>
        <v>0.99861220290411212</v>
      </c>
      <c r="M81">
        <f t="shared" si="17"/>
        <v>0.92510410148831357</v>
      </c>
      <c r="N81">
        <f>IFERROR(INDEX(MonthlyCurve!$I:$I,MATCH(A81,MonthlyCurve!$A:$A,0)),"")</f>
        <v>3.9948450000000003E-2</v>
      </c>
      <c r="O81">
        <f>IFERROR(INDEX(MonthlyCurve!$J:$J,MATCH(A81,MonthlyCurve!$A:$A,0)),"")</f>
        <v>0.77130998920352134</v>
      </c>
      <c r="P81">
        <f t="shared" si="12"/>
        <v>7709.200845735947</v>
      </c>
      <c r="Q81">
        <f t="shared" si="13"/>
        <v>23.127602537207839</v>
      </c>
      <c r="R81">
        <f t="shared" si="14"/>
        <v>7732.3284482731551</v>
      </c>
      <c r="S81">
        <f t="shared" si="15"/>
        <v>5946.1836210923711</v>
      </c>
      <c r="T81">
        <f t="shared" si="16"/>
        <v>17.83855086327711</v>
      </c>
      <c r="U81">
        <f>SUMPRODUCT(R82:R543,O82:O543)/(M81*O81)</f>
        <v>996246.07706907834</v>
      </c>
    </row>
    <row r="82" spans="1:21" x14ac:dyDescent="0.35">
      <c r="A82">
        <v>79</v>
      </c>
      <c r="B82">
        <f>A82/Inputs!$B$6</f>
        <v>6.583333333333333</v>
      </c>
      <c r="C82">
        <f>Inputs!$B$3+B82</f>
        <v>71.583333333333329</v>
      </c>
      <c r="D82">
        <f t="shared" si="9"/>
        <v>71</v>
      </c>
      <c r="E82">
        <f>Inputs!$B$7+1+INT((A82-1)/Inputs!$B$6)</f>
        <v>2032</v>
      </c>
      <c r="F82">
        <f>Inputs!$B$16</f>
        <v>8333.3333333333339</v>
      </c>
      <c r="G82">
        <f>Inputs!$B$12</f>
        <v>25</v>
      </c>
      <c r="H82">
        <f>IFERROR(INDEX(RP2014_Qx!$B:$B,MATCH(D82,RP2014_Qx!$A:$A,0)),"")</f>
        <v>1.4171E-2</v>
      </c>
      <c r="I82">
        <f>SUMIFS(MP2016_Long!$C:$C,MP2016_Long!$A:$A,D82,MP2016_Long!$B:$B,"&gt;=2014",MP2016_Long!$B:$B,"&lt;"&amp;E82)</f>
        <v>0.15380000000000002</v>
      </c>
      <c r="J82">
        <f t="shared" si="10"/>
        <v>1.6527036618650768E-2</v>
      </c>
      <c r="K82">
        <f t="shared" si="11"/>
        <v>1.6665131737953306E-2</v>
      </c>
      <c r="L82">
        <f>EXP(-K82/Inputs!$B$6)</f>
        <v>0.99861220290411212</v>
      </c>
      <c r="M82">
        <f t="shared" si="17"/>
        <v>0.92382024470287416</v>
      </c>
      <c r="N82">
        <f>IFERROR(INDEX(MonthlyCurve!$I:$I,MATCH(A82,MonthlyCurve!$A:$A,0)),"")</f>
        <v>4.0030620000000003E-2</v>
      </c>
      <c r="O82">
        <f>IFERROR(INDEX(MonthlyCurve!$J:$J,MATCH(A82,MonthlyCurve!$A:$A,0)),"")</f>
        <v>0.76833079570117147</v>
      </c>
      <c r="P82">
        <f t="shared" si="12"/>
        <v>7698.5020391906182</v>
      </c>
      <c r="Q82">
        <f t="shared" si="13"/>
        <v>23.095506117571855</v>
      </c>
      <c r="R82">
        <f t="shared" si="14"/>
        <v>7721.5975453081901</v>
      </c>
      <c r="S82">
        <f t="shared" si="15"/>
        <v>5914.9961974784192</v>
      </c>
      <c r="T82">
        <f t="shared" si="16"/>
        <v>17.744988592435256</v>
      </c>
      <c r="U82">
        <f>SUMPRODUCT(R83:R543,O83:O543)/(M82*O82)</f>
        <v>993140.55327136826</v>
      </c>
    </row>
    <row r="83" spans="1:21" x14ac:dyDescent="0.35">
      <c r="A83">
        <v>80</v>
      </c>
      <c r="B83">
        <f>A83/Inputs!$B$6</f>
        <v>6.666666666666667</v>
      </c>
      <c r="C83">
        <f>Inputs!$B$3+B83</f>
        <v>71.666666666666671</v>
      </c>
      <c r="D83">
        <f t="shared" si="9"/>
        <v>71</v>
      </c>
      <c r="E83">
        <f>Inputs!$B$7+1+INT((A83-1)/Inputs!$B$6)</f>
        <v>2032</v>
      </c>
      <c r="F83">
        <f>Inputs!$B$16</f>
        <v>8333.3333333333339</v>
      </c>
      <c r="G83">
        <f>Inputs!$B$12</f>
        <v>25</v>
      </c>
      <c r="H83">
        <f>IFERROR(INDEX(RP2014_Qx!$B:$B,MATCH(D83,RP2014_Qx!$A:$A,0)),"")</f>
        <v>1.4171E-2</v>
      </c>
      <c r="I83">
        <f>SUMIFS(MP2016_Long!$C:$C,MP2016_Long!$A:$A,D83,MP2016_Long!$B:$B,"&gt;=2014",MP2016_Long!$B:$B,"&lt;"&amp;E83)</f>
        <v>0.15380000000000002</v>
      </c>
      <c r="J83">
        <f t="shared" si="10"/>
        <v>1.6527036618650768E-2</v>
      </c>
      <c r="K83">
        <f t="shared" si="11"/>
        <v>1.6665131737953306E-2</v>
      </c>
      <c r="L83">
        <f>EXP(-K83/Inputs!$B$6)</f>
        <v>0.99861220290411212</v>
      </c>
      <c r="M83">
        <f t="shared" si="17"/>
        <v>0.92253816965015312</v>
      </c>
      <c r="N83">
        <f>IFERROR(INDEX(MonthlyCurve!$I:$I,MATCH(A83,MonthlyCurve!$A:$A,0)),"")</f>
        <v>4.0112790000000002E-2</v>
      </c>
      <c r="O83">
        <f>IFERROR(INDEX(MonthlyCurve!$J:$J,MATCH(A83,MonthlyCurve!$A:$A,0)),"")</f>
        <v>0.76535262779119873</v>
      </c>
      <c r="P83">
        <f t="shared" si="12"/>
        <v>7687.8180804179428</v>
      </c>
      <c r="Q83">
        <f t="shared" si="13"/>
        <v>23.063454241253829</v>
      </c>
      <c r="R83">
        <f t="shared" si="14"/>
        <v>7710.8815346591964</v>
      </c>
      <c r="S83">
        <f t="shared" si="15"/>
        <v>5883.8917698285613</v>
      </c>
      <c r="T83">
        <f t="shared" si="16"/>
        <v>17.651675309485686</v>
      </c>
      <c r="U83">
        <f>SUMPRODUCT(R84:R543,O84:O543)/(M83*O83)</f>
        <v>990032.32814766804</v>
      </c>
    </row>
    <row r="84" spans="1:21" x14ac:dyDescent="0.35">
      <c r="A84">
        <v>81</v>
      </c>
      <c r="B84">
        <f>A84/Inputs!$B$6</f>
        <v>6.75</v>
      </c>
      <c r="C84">
        <f>Inputs!$B$3+B84</f>
        <v>71.75</v>
      </c>
      <c r="D84">
        <f t="shared" si="9"/>
        <v>71</v>
      </c>
      <c r="E84">
        <f>Inputs!$B$7+1+INT((A84-1)/Inputs!$B$6)</f>
        <v>2032</v>
      </c>
      <c r="F84">
        <f>Inputs!$B$16</f>
        <v>8333.3333333333339</v>
      </c>
      <c r="G84">
        <f>Inputs!$B$12</f>
        <v>25</v>
      </c>
      <c r="H84">
        <f>IFERROR(INDEX(RP2014_Qx!$B:$B,MATCH(D84,RP2014_Qx!$A:$A,0)),"")</f>
        <v>1.4171E-2</v>
      </c>
      <c r="I84">
        <f>SUMIFS(MP2016_Long!$C:$C,MP2016_Long!$A:$A,D84,MP2016_Long!$B:$B,"&gt;=2014",MP2016_Long!$B:$B,"&lt;"&amp;E84)</f>
        <v>0.15380000000000002</v>
      </c>
      <c r="J84">
        <f t="shared" si="10"/>
        <v>1.6527036618650768E-2</v>
      </c>
      <c r="K84">
        <f t="shared" si="11"/>
        <v>1.6665131737953306E-2</v>
      </c>
      <c r="L84">
        <f>EXP(-K84/Inputs!$B$6)</f>
        <v>0.99861220290411212</v>
      </c>
      <c r="M84">
        <f t="shared" si="17"/>
        <v>0.92125787385746694</v>
      </c>
      <c r="N84">
        <f>IFERROR(INDEX(MonthlyCurve!$I:$I,MATCH(A84,MonthlyCurve!$A:$A,0)),"")</f>
        <v>4.0194960000000002E-2</v>
      </c>
      <c r="O84">
        <f>IFERROR(INDEX(MonthlyCurve!$J:$J,MATCH(A84,MonthlyCurve!$A:$A,0)),"")</f>
        <v>0.76237556291161857</v>
      </c>
      <c r="P84">
        <f t="shared" si="12"/>
        <v>7677.1489488122252</v>
      </c>
      <c r="Q84">
        <f t="shared" si="13"/>
        <v>23.031446846436673</v>
      </c>
      <c r="R84">
        <f t="shared" si="14"/>
        <v>7700.1803956586618</v>
      </c>
      <c r="S84">
        <f t="shared" si="15"/>
        <v>5852.8707514070611</v>
      </c>
      <c r="T84">
        <f t="shared" si="16"/>
        <v>17.558612254221181</v>
      </c>
      <c r="U84">
        <f>SUMPRODUCT(R85:R543,O85:O543)/(M84*O84)</f>
        <v>986921.30205787276</v>
      </c>
    </row>
    <row r="85" spans="1:21" x14ac:dyDescent="0.35">
      <c r="A85">
        <v>82</v>
      </c>
      <c r="B85">
        <f>A85/Inputs!$B$6</f>
        <v>6.833333333333333</v>
      </c>
      <c r="C85">
        <f>Inputs!$B$3+B85</f>
        <v>71.833333333333329</v>
      </c>
      <c r="D85">
        <f t="shared" si="9"/>
        <v>71</v>
      </c>
      <c r="E85">
        <f>Inputs!$B$7+1+INT((A85-1)/Inputs!$B$6)</f>
        <v>2032</v>
      </c>
      <c r="F85">
        <f>Inputs!$B$16</f>
        <v>8333.3333333333339</v>
      </c>
      <c r="G85">
        <f>Inputs!$B$12</f>
        <v>25</v>
      </c>
      <c r="H85">
        <f>IFERROR(INDEX(RP2014_Qx!$B:$B,MATCH(D85,RP2014_Qx!$A:$A,0)),"")</f>
        <v>1.4171E-2</v>
      </c>
      <c r="I85">
        <f>SUMIFS(MP2016_Long!$C:$C,MP2016_Long!$A:$A,D85,MP2016_Long!$B:$B,"&gt;=2014",MP2016_Long!$B:$B,"&lt;"&amp;E85)</f>
        <v>0.15380000000000002</v>
      </c>
      <c r="J85">
        <f t="shared" si="10"/>
        <v>1.6527036618650768E-2</v>
      </c>
      <c r="K85">
        <f t="shared" si="11"/>
        <v>1.6665131737953306E-2</v>
      </c>
      <c r="L85">
        <f>EXP(-K85/Inputs!$B$6)</f>
        <v>0.99861220290411212</v>
      </c>
      <c r="M85">
        <f t="shared" si="17"/>
        <v>0.9199793548555637</v>
      </c>
      <c r="N85">
        <f>IFERROR(INDEX(MonthlyCurve!$I:$I,MATCH(A85,MonthlyCurve!$A:$A,0)),"")</f>
        <v>4.0277130000000001E-2</v>
      </c>
      <c r="O85">
        <f>IFERROR(INDEX(MonthlyCurve!$J:$J,MATCH(A85,MonthlyCurve!$A:$A,0)),"")</f>
        <v>0.75939967815452825</v>
      </c>
      <c r="P85">
        <f t="shared" si="12"/>
        <v>7666.494623796365</v>
      </c>
      <c r="Q85">
        <f t="shared" si="13"/>
        <v>22.999483871389092</v>
      </c>
      <c r="R85">
        <f t="shared" si="14"/>
        <v>7689.4941076677542</v>
      </c>
      <c r="S85">
        <f t="shared" si="15"/>
        <v>5821.9335498843802</v>
      </c>
      <c r="T85">
        <f t="shared" si="16"/>
        <v>17.46580064965314</v>
      </c>
      <c r="U85">
        <f>SUMPRODUCT(R86:R543,O86:O543)/(M85*O85)</f>
        <v>983807.37471907306</v>
      </c>
    </row>
    <row r="86" spans="1:21" x14ac:dyDescent="0.35">
      <c r="A86">
        <v>83</v>
      </c>
      <c r="B86">
        <f>A86/Inputs!$B$6</f>
        <v>6.916666666666667</v>
      </c>
      <c r="C86">
        <f>Inputs!$B$3+B86</f>
        <v>71.916666666666671</v>
      </c>
      <c r="D86">
        <f t="shared" si="9"/>
        <v>71</v>
      </c>
      <c r="E86">
        <f>Inputs!$B$7+1+INT((A86-1)/Inputs!$B$6)</f>
        <v>2032</v>
      </c>
      <c r="F86">
        <f>Inputs!$B$16</f>
        <v>8333.3333333333339</v>
      </c>
      <c r="G86">
        <f>Inputs!$B$12</f>
        <v>25</v>
      </c>
      <c r="H86">
        <f>IFERROR(INDEX(RP2014_Qx!$B:$B,MATCH(D86,RP2014_Qx!$A:$A,0)),"")</f>
        <v>1.4171E-2</v>
      </c>
      <c r="I86">
        <f>SUMIFS(MP2016_Long!$C:$C,MP2016_Long!$A:$A,D86,MP2016_Long!$B:$B,"&gt;=2014",MP2016_Long!$B:$B,"&lt;"&amp;E86)</f>
        <v>0.15380000000000002</v>
      </c>
      <c r="J86">
        <f t="shared" si="10"/>
        <v>1.6527036618650768E-2</v>
      </c>
      <c r="K86">
        <f t="shared" si="11"/>
        <v>1.6665131737953306E-2</v>
      </c>
      <c r="L86">
        <f>EXP(-K86/Inputs!$B$6)</f>
        <v>0.99861220290411212</v>
      </c>
      <c r="M86">
        <f t="shared" si="17"/>
        <v>0.91870261017861832</v>
      </c>
      <c r="N86">
        <f>IFERROR(INDEX(MonthlyCurve!$I:$I,MATCH(A86,MonthlyCurve!$A:$A,0)),"")</f>
        <v>4.0359300000000001E-2</v>
      </c>
      <c r="O86">
        <f>IFERROR(INDEX(MonthlyCurve!$J:$J,MATCH(A86,MonthlyCurve!$A:$A,0)),"")</f>
        <v>0.75642505026323703</v>
      </c>
      <c r="P86">
        <f t="shared" si="12"/>
        <v>7655.8550848218201</v>
      </c>
      <c r="Q86">
        <f t="shared" si="13"/>
        <v>22.967565254465459</v>
      </c>
      <c r="R86">
        <f t="shared" si="14"/>
        <v>7678.8226500762858</v>
      </c>
      <c r="S86">
        <f t="shared" si="15"/>
        <v>5791.0805673444038</v>
      </c>
      <c r="T86">
        <f t="shared" si="16"/>
        <v>17.373241702033212</v>
      </c>
      <c r="U86">
        <f>SUMPRODUCT(R87:R543,O87:O543)/(M86*O86)</f>
        <v>980690.44519663975</v>
      </c>
    </row>
    <row r="87" spans="1:21" x14ac:dyDescent="0.35">
      <c r="A87">
        <v>84</v>
      </c>
      <c r="B87">
        <f>A87/Inputs!$B$6</f>
        <v>7</v>
      </c>
      <c r="C87">
        <f>Inputs!$B$3+B87</f>
        <v>72</v>
      </c>
      <c r="D87">
        <f t="shared" si="9"/>
        <v>72</v>
      </c>
      <c r="E87">
        <f>Inputs!$B$7+1+INT((A87-1)/Inputs!$B$6)</f>
        <v>2032</v>
      </c>
      <c r="F87">
        <f>Inputs!$B$16</f>
        <v>8333.3333333333339</v>
      </c>
      <c r="G87">
        <f>Inputs!$B$12</f>
        <v>25</v>
      </c>
      <c r="H87">
        <f>IFERROR(INDEX(RP2014_Qx!$B:$B,MATCH(D87,RP2014_Qx!$A:$A,0)),"")</f>
        <v>1.5613999999999999E-2</v>
      </c>
      <c r="I87">
        <f>SUMIFS(MP2016_Long!$C:$C,MP2016_Long!$A:$A,D87,MP2016_Long!$B:$B,"&gt;=2014",MP2016_Long!$B:$B,"&lt;"&amp;E87)</f>
        <v>0.16040000000000001</v>
      </c>
      <c r="J87">
        <f t="shared" si="10"/>
        <v>1.8330529485213357E-2</v>
      </c>
      <c r="K87">
        <f t="shared" si="11"/>
        <v>1.8500615356631916E-2</v>
      </c>
      <c r="L87">
        <f>EXP(-K87/Inputs!$B$6)</f>
        <v>0.99845946989021239</v>
      </c>
      <c r="M87">
        <f t="shared" si="17"/>
        <v>0.91728732114569766</v>
      </c>
      <c r="N87">
        <f>IFERROR(INDEX(MonthlyCurve!$I:$I,MATCH(A87,MonthlyCurve!$A:$A,0)),"")</f>
        <v>4.044147E-2</v>
      </c>
      <c r="O87">
        <f>IFERROR(INDEX(MonthlyCurve!$J:$J,MATCH(A87,MonthlyCurve!$A:$A,0)),"")</f>
        <v>0.75345175562943267</v>
      </c>
      <c r="P87">
        <f t="shared" si="12"/>
        <v>7644.0610095474813</v>
      </c>
      <c r="Q87">
        <f t="shared" si="13"/>
        <v>22.932183028642442</v>
      </c>
      <c r="R87">
        <f t="shared" si="14"/>
        <v>7666.9931925761239</v>
      </c>
      <c r="S87">
        <f t="shared" si="15"/>
        <v>5759.4311877820437</v>
      </c>
      <c r="T87">
        <f t="shared" si="16"/>
        <v>17.278293563346129</v>
      </c>
      <c r="U87">
        <f>SUMPRODUCT(R88:R543,O88:O543)/(M87*O87)</f>
        <v>977721.22810087027</v>
      </c>
    </row>
    <row r="88" spans="1:21" x14ac:dyDescent="0.35">
      <c r="A88">
        <v>85</v>
      </c>
      <c r="B88">
        <f>A88/Inputs!$B$6</f>
        <v>7.083333333333333</v>
      </c>
      <c r="C88">
        <f>Inputs!$B$3+B88</f>
        <v>72.083333333333329</v>
      </c>
      <c r="D88">
        <f t="shared" si="9"/>
        <v>72</v>
      </c>
      <c r="E88">
        <f>Inputs!$B$7+1+INT((A88-1)/Inputs!$B$6)</f>
        <v>2033</v>
      </c>
      <c r="F88">
        <f>Inputs!$B$16</f>
        <v>8333.3333333333339</v>
      </c>
      <c r="G88">
        <f>Inputs!$B$12</f>
        <v>25</v>
      </c>
      <c r="H88">
        <f>IFERROR(INDEX(RP2014_Qx!$B:$B,MATCH(D88,RP2014_Qx!$A:$A,0)),"")</f>
        <v>1.5613999999999999E-2</v>
      </c>
      <c r="I88">
        <f>SUMIFS(MP2016_Long!$C:$C,MP2016_Long!$A:$A,D88,MP2016_Long!$B:$B,"&gt;=2014",MP2016_Long!$B:$B,"&lt;"&amp;E88)</f>
        <v>0.16040000000000001</v>
      </c>
      <c r="J88">
        <f t="shared" si="10"/>
        <v>1.8330529485213357E-2</v>
      </c>
      <c r="K88">
        <f t="shared" si="11"/>
        <v>1.8500615356631916E-2</v>
      </c>
      <c r="L88">
        <f>EXP(-K88/Inputs!$B$6)</f>
        <v>0.99845946989021239</v>
      </c>
      <c r="M88">
        <f t="shared" si="17"/>
        <v>0.91587421240814626</v>
      </c>
      <c r="N88">
        <f>IFERROR(INDEX(MonthlyCurve!$I:$I,MATCH(A88,MonthlyCurve!$A:$A,0)),"")</f>
        <v>4.0498951666666665E-2</v>
      </c>
      <c r="O88">
        <f>IFERROR(INDEX(MonthlyCurve!$J:$J,MATCH(A88,MonthlyCurve!$A:$A,0)),"")</f>
        <v>0.75061112245493711</v>
      </c>
      <c r="P88">
        <f t="shared" si="12"/>
        <v>7632.2851034012192</v>
      </c>
      <c r="Q88">
        <f t="shared" si="13"/>
        <v>22.896855310203655</v>
      </c>
      <c r="R88">
        <f t="shared" si="14"/>
        <v>7655.1819587114232</v>
      </c>
      <c r="S88">
        <f t="shared" si="15"/>
        <v>5728.8780883600848</v>
      </c>
      <c r="T88">
        <f t="shared" si="16"/>
        <v>17.186634265080254</v>
      </c>
      <c r="U88">
        <f>SUMPRODUCT(R89:R543,O89:O543)/(M88*O88)</f>
        <v>974577.25147549703</v>
      </c>
    </row>
    <row r="89" spans="1:21" x14ac:dyDescent="0.35">
      <c r="A89">
        <v>86</v>
      </c>
      <c r="B89">
        <f>A89/Inputs!$B$6</f>
        <v>7.166666666666667</v>
      </c>
      <c r="C89">
        <f>Inputs!$B$3+B89</f>
        <v>72.166666666666671</v>
      </c>
      <c r="D89">
        <f t="shared" si="9"/>
        <v>72</v>
      </c>
      <c r="E89">
        <f>Inputs!$B$7+1+INT((A89-1)/Inputs!$B$6)</f>
        <v>2033</v>
      </c>
      <c r="F89">
        <f>Inputs!$B$16</f>
        <v>8333.3333333333339</v>
      </c>
      <c r="G89">
        <f>Inputs!$B$12</f>
        <v>25</v>
      </c>
      <c r="H89">
        <f>IFERROR(INDEX(RP2014_Qx!$B:$B,MATCH(D89,RP2014_Qx!$A:$A,0)),"")</f>
        <v>1.5613999999999999E-2</v>
      </c>
      <c r="I89">
        <f>SUMIFS(MP2016_Long!$C:$C,MP2016_Long!$A:$A,D89,MP2016_Long!$B:$B,"&gt;=2014",MP2016_Long!$B:$B,"&lt;"&amp;E89)</f>
        <v>0.16040000000000001</v>
      </c>
      <c r="J89">
        <f t="shared" si="10"/>
        <v>1.8330529485213357E-2</v>
      </c>
      <c r="K89">
        <f t="shared" si="11"/>
        <v>1.8500615356631916E-2</v>
      </c>
      <c r="L89">
        <f>EXP(-K89/Inputs!$B$6)</f>
        <v>0.99845946989021239</v>
      </c>
      <c r="M89">
        <f t="shared" si="17"/>
        <v>0.91446328060715354</v>
      </c>
      <c r="N89">
        <f>IFERROR(INDEX(MonthlyCurve!$I:$I,MATCH(A89,MonthlyCurve!$A:$A,0)),"")</f>
        <v>4.0556433333333336E-2</v>
      </c>
      <c r="O89">
        <f>IFERROR(INDEX(MonthlyCurve!$J:$J,MATCH(A89,MonthlyCurve!$A:$A,0)),"")</f>
        <v>0.74777403500285233</v>
      </c>
      <c r="P89">
        <f t="shared" si="12"/>
        <v>7620.5273383929471</v>
      </c>
      <c r="Q89">
        <f t="shared" si="13"/>
        <v>22.86158201517884</v>
      </c>
      <c r="R89">
        <f t="shared" si="14"/>
        <v>7643.3889204081261</v>
      </c>
      <c r="S89">
        <f t="shared" si="15"/>
        <v>5698.4324766796408</v>
      </c>
      <c r="T89">
        <f t="shared" si="16"/>
        <v>17.095297430038922</v>
      </c>
      <c r="U89">
        <f>SUMPRODUCT(R90:R543,O90:O543)/(M89*O89)</f>
        <v>971425.8940381573</v>
      </c>
    </row>
    <row r="90" spans="1:21" x14ac:dyDescent="0.35">
      <c r="A90">
        <v>87</v>
      </c>
      <c r="B90">
        <f>A90/Inputs!$B$6</f>
        <v>7.25</v>
      </c>
      <c r="C90">
        <f>Inputs!$B$3+B90</f>
        <v>72.25</v>
      </c>
      <c r="D90">
        <f t="shared" si="9"/>
        <v>72</v>
      </c>
      <c r="E90">
        <f>Inputs!$B$7+1+INT((A90-1)/Inputs!$B$6)</f>
        <v>2033</v>
      </c>
      <c r="F90">
        <f>Inputs!$B$16</f>
        <v>8333.3333333333339</v>
      </c>
      <c r="G90">
        <f>Inputs!$B$12</f>
        <v>25</v>
      </c>
      <c r="H90">
        <f>IFERROR(INDEX(RP2014_Qx!$B:$B,MATCH(D90,RP2014_Qx!$A:$A,0)),"")</f>
        <v>1.5613999999999999E-2</v>
      </c>
      <c r="I90">
        <f>SUMIFS(MP2016_Long!$C:$C,MP2016_Long!$A:$A,D90,MP2016_Long!$B:$B,"&gt;=2014",MP2016_Long!$B:$B,"&lt;"&amp;E90)</f>
        <v>0.16040000000000001</v>
      </c>
      <c r="J90">
        <f t="shared" si="10"/>
        <v>1.8330529485213357E-2</v>
      </c>
      <c r="K90">
        <f t="shared" si="11"/>
        <v>1.8500615356631916E-2</v>
      </c>
      <c r="L90">
        <f>EXP(-K90/Inputs!$B$6)</f>
        <v>0.99845946989021239</v>
      </c>
      <c r="M90">
        <f t="shared" si="17"/>
        <v>0.91305452238908302</v>
      </c>
      <c r="N90">
        <f>IFERROR(INDEX(MonthlyCurve!$I:$I,MATCH(A90,MonthlyCurve!$A:$A,0)),"")</f>
        <v>4.0613915E-2</v>
      </c>
      <c r="O90">
        <f>IFERROR(INDEX(MonthlyCurve!$J:$J,MATCH(A90,MonthlyCurve!$A:$A,0)),"")</f>
        <v>0.7449405341285783</v>
      </c>
      <c r="P90">
        <f t="shared" si="12"/>
        <v>7608.7876865756925</v>
      </c>
      <c r="Q90">
        <f t="shared" si="13"/>
        <v>22.826363059727075</v>
      </c>
      <c r="R90">
        <f t="shared" si="14"/>
        <v>7631.6140496354192</v>
      </c>
      <c r="S90">
        <f t="shared" si="15"/>
        <v>5668.0943633086463</v>
      </c>
      <c r="T90">
        <f t="shared" si="16"/>
        <v>17.004283089925938</v>
      </c>
      <c r="U90">
        <f>SUMPRODUCT(R91:R543,O91:O543)/(M90*O90)</f>
        <v>968267.05581126176</v>
      </c>
    </row>
    <row r="91" spans="1:21" x14ac:dyDescent="0.35">
      <c r="A91">
        <v>88</v>
      </c>
      <c r="B91">
        <f>A91/Inputs!$B$6</f>
        <v>7.333333333333333</v>
      </c>
      <c r="C91">
        <f>Inputs!$B$3+B91</f>
        <v>72.333333333333329</v>
      </c>
      <c r="D91">
        <f t="shared" si="9"/>
        <v>72</v>
      </c>
      <c r="E91">
        <f>Inputs!$B$7+1+INT((A91-1)/Inputs!$B$6)</f>
        <v>2033</v>
      </c>
      <c r="F91">
        <f>Inputs!$B$16</f>
        <v>8333.3333333333339</v>
      </c>
      <c r="G91">
        <f>Inputs!$B$12</f>
        <v>25</v>
      </c>
      <c r="H91">
        <f>IFERROR(INDEX(RP2014_Qx!$B:$B,MATCH(D91,RP2014_Qx!$A:$A,0)),"")</f>
        <v>1.5613999999999999E-2</v>
      </c>
      <c r="I91">
        <f>SUMIFS(MP2016_Long!$C:$C,MP2016_Long!$A:$A,D91,MP2016_Long!$B:$B,"&gt;=2014",MP2016_Long!$B:$B,"&lt;"&amp;E91)</f>
        <v>0.16040000000000001</v>
      </c>
      <c r="J91">
        <f t="shared" si="10"/>
        <v>1.8330529485213357E-2</v>
      </c>
      <c r="K91">
        <f t="shared" si="11"/>
        <v>1.8500615356631916E-2</v>
      </c>
      <c r="L91">
        <f>EXP(-K91/Inputs!$B$6)</f>
        <v>0.99845946989021239</v>
      </c>
      <c r="M91">
        <f t="shared" si="17"/>
        <v>0.91164793440546488</v>
      </c>
      <c r="N91">
        <f>IFERROR(INDEX(MonthlyCurve!$I:$I,MATCH(A91,MonthlyCurve!$A:$A,0)),"")</f>
        <v>4.0671396666666665E-2</v>
      </c>
      <c r="O91">
        <f>IFERROR(INDEX(MonthlyCurve!$J:$J,MATCH(A91,MonthlyCurve!$A:$A,0)),"")</f>
        <v>0.74211066043001372</v>
      </c>
      <c r="P91">
        <f t="shared" si="12"/>
        <v>7597.0661200455415</v>
      </c>
      <c r="Q91">
        <f t="shared" si="13"/>
        <v>22.791198360136622</v>
      </c>
      <c r="R91">
        <f t="shared" si="14"/>
        <v>7619.8573184056786</v>
      </c>
      <c r="S91">
        <f t="shared" si="15"/>
        <v>5637.8637556774784</v>
      </c>
      <c r="T91">
        <f t="shared" si="16"/>
        <v>16.913591267032434</v>
      </c>
      <c r="U91">
        <f>SUMPRODUCT(R92:R543,O92:O543)/(M91*O91)</f>
        <v>965100.63606699626</v>
      </c>
    </row>
    <row r="92" spans="1:21" x14ac:dyDescent="0.35">
      <c r="A92">
        <v>89</v>
      </c>
      <c r="B92">
        <f>A92/Inputs!$B$6</f>
        <v>7.416666666666667</v>
      </c>
      <c r="C92">
        <f>Inputs!$B$3+B92</f>
        <v>72.416666666666671</v>
      </c>
      <c r="D92">
        <f t="shared" si="9"/>
        <v>72</v>
      </c>
      <c r="E92">
        <f>Inputs!$B$7+1+INT((A92-1)/Inputs!$B$6)</f>
        <v>2033</v>
      </c>
      <c r="F92">
        <f>Inputs!$B$16</f>
        <v>8333.3333333333339</v>
      </c>
      <c r="G92">
        <f>Inputs!$B$12</f>
        <v>25</v>
      </c>
      <c r="H92">
        <f>IFERROR(INDEX(RP2014_Qx!$B:$B,MATCH(D92,RP2014_Qx!$A:$A,0)),"")</f>
        <v>1.5613999999999999E-2</v>
      </c>
      <c r="I92">
        <f>SUMIFS(MP2016_Long!$C:$C,MP2016_Long!$A:$A,D92,MP2016_Long!$B:$B,"&gt;=2014",MP2016_Long!$B:$B,"&lt;"&amp;E92)</f>
        <v>0.16040000000000001</v>
      </c>
      <c r="J92">
        <f t="shared" si="10"/>
        <v>1.8330529485213357E-2</v>
      </c>
      <c r="K92">
        <f t="shared" si="11"/>
        <v>1.8500615356631916E-2</v>
      </c>
      <c r="L92">
        <f>EXP(-K92/Inputs!$B$6)</f>
        <v>0.99845946989021239</v>
      </c>
      <c r="M92">
        <f t="shared" si="17"/>
        <v>0.91024351331298758</v>
      </c>
      <c r="N92">
        <f>IFERROR(INDEX(MonthlyCurve!$I:$I,MATCH(A92,MonthlyCurve!$A:$A,0)),"")</f>
        <v>4.0728878333333336E-2</v>
      </c>
      <c r="O92">
        <f>IFERROR(INDEX(MonthlyCurve!$J:$J,MATCH(A92,MonthlyCurve!$A:$A,0)),"")</f>
        <v>0.73928445424697831</v>
      </c>
      <c r="P92">
        <f t="shared" si="12"/>
        <v>7585.3626109415636</v>
      </c>
      <c r="Q92">
        <f t="shared" si="13"/>
        <v>22.75608783282469</v>
      </c>
      <c r="R92">
        <f t="shared" si="14"/>
        <v>7608.1186987743886</v>
      </c>
      <c r="S92">
        <f t="shared" si="15"/>
        <v>5607.7406580953684</v>
      </c>
      <c r="T92">
        <f t="shared" si="16"/>
        <v>16.823221974286103</v>
      </c>
      <c r="U92">
        <f>SUMPRODUCT(R93:R543,O93:O543)/(M92*O92)</f>
        <v>961926.53331943974</v>
      </c>
    </row>
    <row r="93" spans="1:21" x14ac:dyDescent="0.35">
      <c r="A93">
        <v>90</v>
      </c>
      <c r="B93">
        <f>A93/Inputs!$B$6</f>
        <v>7.5</v>
      </c>
      <c r="C93">
        <f>Inputs!$B$3+B93</f>
        <v>72.5</v>
      </c>
      <c r="D93">
        <f t="shared" si="9"/>
        <v>72</v>
      </c>
      <c r="E93">
        <f>Inputs!$B$7+1+INT((A93-1)/Inputs!$B$6)</f>
        <v>2033</v>
      </c>
      <c r="F93">
        <f>Inputs!$B$16</f>
        <v>8333.3333333333339</v>
      </c>
      <c r="G93">
        <f>Inputs!$B$12</f>
        <v>25</v>
      </c>
      <c r="H93">
        <f>IFERROR(INDEX(RP2014_Qx!$B:$B,MATCH(D93,RP2014_Qx!$A:$A,0)),"")</f>
        <v>1.5613999999999999E-2</v>
      </c>
      <c r="I93">
        <f>SUMIFS(MP2016_Long!$C:$C,MP2016_Long!$A:$A,D93,MP2016_Long!$B:$B,"&gt;=2014",MP2016_Long!$B:$B,"&lt;"&amp;E93)</f>
        <v>0.16040000000000001</v>
      </c>
      <c r="J93">
        <f t="shared" si="10"/>
        <v>1.8330529485213357E-2</v>
      </c>
      <c r="K93">
        <f t="shared" si="11"/>
        <v>1.8500615356631916E-2</v>
      </c>
      <c r="L93">
        <f>EXP(-K93/Inputs!$B$6)</f>
        <v>0.99845946989021239</v>
      </c>
      <c r="M93">
        <f t="shared" si="17"/>
        <v>0.90884125577349006</v>
      </c>
      <c r="N93">
        <f>IFERROR(INDEX(MonthlyCurve!$I:$I,MATCH(A93,MonthlyCurve!$A:$A,0)),"")</f>
        <v>4.0786360000000001E-2</v>
      </c>
      <c r="O93">
        <f>IFERROR(INDEX(MonthlyCurve!$J:$J,MATCH(A93,MonthlyCurve!$A:$A,0)),"")</f>
        <v>0.73646195566065165</v>
      </c>
      <c r="P93">
        <f t="shared" si="12"/>
        <v>7573.677131445751</v>
      </c>
      <c r="Q93">
        <f t="shared" si="13"/>
        <v>22.721031394337253</v>
      </c>
      <c r="R93">
        <f t="shared" si="14"/>
        <v>7596.3981628400879</v>
      </c>
      <c r="S93">
        <f t="shared" si="15"/>
        <v>5577.7250717668921</v>
      </c>
      <c r="T93">
        <f t="shared" si="16"/>
        <v>16.733175215300676</v>
      </c>
      <c r="U93">
        <f>SUMPRODUCT(R94:R543,O94:O543)/(M93*O93)</f>
        <v>958744.64531659591</v>
      </c>
    </row>
    <row r="94" spans="1:21" x14ac:dyDescent="0.35">
      <c r="A94">
        <v>91</v>
      </c>
      <c r="B94">
        <f>A94/Inputs!$B$6</f>
        <v>7.583333333333333</v>
      </c>
      <c r="C94">
        <f>Inputs!$B$3+B94</f>
        <v>72.583333333333329</v>
      </c>
      <c r="D94">
        <f t="shared" si="9"/>
        <v>72</v>
      </c>
      <c r="E94">
        <f>Inputs!$B$7+1+INT((A94-1)/Inputs!$B$6)</f>
        <v>2033</v>
      </c>
      <c r="F94">
        <f>Inputs!$B$16</f>
        <v>8333.3333333333339</v>
      </c>
      <c r="G94">
        <f>Inputs!$B$12</f>
        <v>25</v>
      </c>
      <c r="H94">
        <f>IFERROR(INDEX(RP2014_Qx!$B:$B,MATCH(D94,RP2014_Qx!$A:$A,0)),"")</f>
        <v>1.5613999999999999E-2</v>
      </c>
      <c r="I94">
        <f>SUMIFS(MP2016_Long!$C:$C,MP2016_Long!$A:$A,D94,MP2016_Long!$B:$B,"&gt;=2014",MP2016_Long!$B:$B,"&lt;"&amp;E94)</f>
        <v>0.16040000000000001</v>
      </c>
      <c r="J94">
        <f t="shared" si="10"/>
        <v>1.8330529485213357E-2</v>
      </c>
      <c r="K94">
        <f t="shared" si="11"/>
        <v>1.8500615356631916E-2</v>
      </c>
      <c r="L94">
        <f>EXP(-K94/Inputs!$B$6)</f>
        <v>0.99845946989021239</v>
      </c>
      <c r="M94">
        <f t="shared" si="17"/>
        <v>0.90744115845395379</v>
      </c>
      <c r="N94">
        <f>IFERROR(INDEX(MonthlyCurve!$I:$I,MATCH(A94,MonthlyCurve!$A:$A,0)),"")</f>
        <v>4.0844424999999997E-2</v>
      </c>
      <c r="O94">
        <f>IFERROR(INDEX(MonthlyCurve!$J:$J,MATCH(A94,MonthlyCurve!$A:$A,0)),"")</f>
        <v>0.73363995914797075</v>
      </c>
      <c r="P94">
        <f t="shared" si="12"/>
        <v>7562.0096537829486</v>
      </c>
      <c r="Q94">
        <f t="shared" si="13"/>
        <v>22.686028961348846</v>
      </c>
      <c r="R94">
        <f t="shared" si="14"/>
        <v>7584.6956827442973</v>
      </c>
      <c r="S94">
        <f t="shared" si="15"/>
        <v>5547.7924534778831</v>
      </c>
      <c r="T94">
        <f t="shared" si="16"/>
        <v>16.64337736043365</v>
      </c>
      <c r="U94">
        <f>SUMPRODUCT(R95:R543,O95:O543)/(M94*O94)</f>
        <v>955559.13301893463</v>
      </c>
    </row>
    <row r="95" spans="1:21" x14ac:dyDescent="0.35">
      <c r="A95">
        <v>92</v>
      </c>
      <c r="B95">
        <f>A95/Inputs!$B$6</f>
        <v>7.666666666666667</v>
      </c>
      <c r="C95">
        <f>Inputs!$B$3+B95</f>
        <v>72.666666666666671</v>
      </c>
      <c r="D95">
        <f t="shared" si="9"/>
        <v>72</v>
      </c>
      <c r="E95">
        <f>Inputs!$B$7+1+INT((A95-1)/Inputs!$B$6)</f>
        <v>2033</v>
      </c>
      <c r="F95">
        <f>Inputs!$B$16</f>
        <v>8333.3333333333339</v>
      </c>
      <c r="G95">
        <f>Inputs!$B$12</f>
        <v>25</v>
      </c>
      <c r="H95">
        <f>IFERROR(INDEX(RP2014_Qx!$B:$B,MATCH(D95,RP2014_Qx!$A:$A,0)),"")</f>
        <v>1.5613999999999999E-2</v>
      </c>
      <c r="I95">
        <f>SUMIFS(MP2016_Long!$C:$C,MP2016_Long!$A:$A,D95,MP2016_Long!$B:$B,"&gt;=2014",MP2016_Long!$B:$B,"&lt;"&amp;E95)</f>
        <v>0.16040000000000001</v>
      </c>
      <c r="J95">
        <f t="shared" si="10"/>
        <v>1.8330529485213357E-2</v>
      </c>
      <c r="K95">
        <f t="shared" si="11"/>
        <v>1.8500615356631916E-2</v>
      </c>
      <c r="L95">
        <f>EXP(-K95/Inputs!$B$6)</f>
        <v>0.99845946989021239</v>
      </c>
      <c r="M95">
        <f t="shared" si="17"/>
        <v>0.9060432180264949</v>
      </c>
      <c r="N95">
        <f>IFERROR(INDEX(MonthlyCurve!$I:$I,MATCH(A95,MonthlyCurve!$A:$A,0)),"")</f>
        <v>4.090249E-2</v>
      </c>
      <c r="O95">
        <f>IFERROR(INDEX(MonthlyCurve!$J:$J,MATCH(A95,MonthlyCurve!$A:$A,0)),"")</f>
        <v>0.73082170348300235</v>
      </c>
      <c r="P95">
        <f t="shared" si="12"/>
        <v>7550.3601502207912</v>
      </c>
      <c r="Q95">
        <f t="shared" si="13"/>
        <v>22.651080450662374</v>
      </c>
      <c r="R95">
        <f t="shared" si="14"/>
        <v>7573.0112306714536</v>
      </c>
      <c r="S95">
        <f t="shared" si="15"/>
        <v>5517.9670668945364</v>
      </c>
      <c r="T95">
        <f t="shared" si="16"/>
        <v>16.553901200683608</v>
      </c>
      <c r="U95">
        <f>SUMPRODUCT(R96:R543,O96:O543)/(M95*O95)</f>
        <v>952365.73093655496</v>
      </c>
    </row>
    <row r="96" spans="1:21" x14ac:dyDescent="0.35">
      <c r="A96">
        <v>93</v>
      </c>
      <c r="B96">
        <f>A96/Inputs!$B$6</f>
        <v>7.75</v>
      </c>
      <c r="C96">
        <f>Inputs!$B$3+B96</f>
        <v>72.75</v>
      </c>
      <c r="D96">
        <f t="shared" si="9"/>
        <v>72</v>
      </c>
      <c r="E96">
        <f>Inputs!$B$7+1+INT((A96-1)/Inputs!$B$6)</f>
        <v>2033</v>
      </c>
      <c r="F96">
        <f>Inputs!$B$16</f>
        <v>8333.3333333333339</v>
      </c>
      <c r="G96">
        <f>Inputs!$B$12</f>
        <v>25</v>
      </c>
      <c r="H96">
        <f>IFERROR(INDEX(RP2014_Qx!$B:$B,MATCH(D96,RP2014_Qx!$A:$A,0)),"")</f>
        <v>1.5613999999999999E-2</v>
      </c>
      <c r="I96">
        <f>SUMIFS(MP2016_Long!$C:$C,MP2016_Long!$A:$A,D96,MP2016_Long!$B:$B,"&gt;=2014",MP2016_Long!$B:$B,"&lt;"&amp;E96)</f>
        <v>0.16040000000000001</v>
      </c>
      <c r="J96">
        <f t="shared" si="10"/>
        <v>1.8330529485213357E-2</v>
      </c>
      <c r="K96">
        <f t="shared" si="11"/>
        <v>1.8500615356631916E-2</v>
      </c>
      <c r="L96">
        <f>EXP(-K96/Inputs!$B$6)</f>
        <v>0.99845946989021239</v>
      </c>
      <c r="M96">
        <f t="shared" si="17"/>
        <v>0.90464743116835622</v>
      </c>
      <c r="N96">
        <f>IFERROR(INDEX(MonthlyCurve!$I:$I,MATCH(A96,MonthlyCurve!$A:$A,0)),"")</f>
        <v>4.0960554999999996E-2</v>
      </c>
      <c r="O96">
        <f>IFERROR(INDEX(MonthlyCurve!$J:$J,MATCH(A96,MonthlyCurve!$A:$A,0)),"")</f>
        <v>0.72800722873769741</v>
      </c>
      <c r="P96">
        <f t="shared" si="12"/>
        <v>7538.7285930696353</v>
      </c>
      <c r="Q96">
        <f t="shared" si="13"/>
        <v>22.616185779208905</v>
      </c>
      <c r="R96">
        <f t="shared" si="14"/>
        <v>7561.3447788488438</v>
      </c>
      <c r="S96">
        <f t="shared" si="15"/>
        <v>5488.2489112462654</v>
      </c>
      <c r="T96">
        <f t="shared" si="16"/>
        <v>16.464746733738796</v>
      </c>
      <c r="U96">
        <f>SUMPRODUCT(R97:R543,O97:O543)/(M96*O96)</f>
        <v>949164.33444842452</v>
      </c>
    </row>
    <row r="97" spans="1:21" x14ac:dyDescent="0.35">
      <c r="A97">
        <v>94</v>
      </c>
      <c r="B97">
        <f>A97/Inputs!$B$6</f>
        <v>7.833333333333333</v>
      </c>
      <c r="C97">
        <f>Inputs!$B$3+B97</f>
        <v>72.833333333333329</v>
      </c>
      <c r="D97">
        <f t="shared" si="9"/>
        <v>72</v>
      </c>
      <c r="E97">
        <f>Inputs!$B$7+1+INT((A97-1)/Inputs!$B$6)</f>
        <v>2033</v>
      </c>
      <c r="F97">
        <f>Inputs!$B$16</f>
        <v>8333.3333333333339</v>
      </c>
      <c r="G97">
        <f>Inputs!$B$12</f>
        <v>25</v>
      </c>
      <c r="H97">
        <f>IFERROR(INDEX(RP2014_Qx!$B:$B,MATCH(D97,RP2014_Qx!$A:$A,0)),"")</f>
        <v>1.5613999999999999E-2</v>
      </c>
      <c r="I97">
        <f>SUMIFS(MP2016_Long!$C:$C,MP2016_Long!$A:$A,D97,MP2016_Long!$B:$B,"&gt;=2014",MP2016_Long!$B:$B,"&lt;"&amp;E97)</f>
        <v>0.16040000000000001</v>
      </c>
      <c r="J97">
        <f t="shared" si="10"/>
        <v>1.8330529485213357E-2</v>
      </c>
      <c r="K97">
        <f t="shared" si="11"/>
        <v>1.8500615356631916E-2</v>
      </c>
      <c r="L97">
        <f>EXP(-K97/Inputs!$B$6)</f>
        <v>0.99845946989021239</v>
      </c>
      <c r="M97">
        <f t="shared" si="17"/>
        <v>0.90325379456189936</v>
      </c>
      <c r="N97">
        <f>IFERROR(INDEX(MonthlyCurve!$I:$I,MATCH(A97,MonthlyCurve!$A:$A,0)),"")</f>
        <v>4.1018619999999999E-2</v>
      </c>
      <c r="O97">
        <f>IFERROR(INDEX(MonthlyCurve!$J:$J,MATCH(A97,MonthlyCurve!$A:$A,0)),"")</f>
        <v>0.72519657472032095</v>
      </c>
      <c r="P97">
        <f t="shared" si="12"/>
        <v>7527.1149546824954</v>
      </c>
      <c r="Q97">
        <f t="shared" si="13"/>
        <v>22.581344864047484</v>
      </c>
      <c r="R97">
        <f t="shared" si="14"/>
        <v>7549.6962995465428</v>
      </c>
      <c r="S97">
        <f t="shared" si="15"/>
        <v>5458.6379826618495</v>
      </c>
      <c r="T97">
        <f t="shared" si="16"/>
        <v>16.375913947985548</v>
      </c>
      <c r="U97">
        <f>SUMPRODUCT(R98:R543,O98:O543)/(M97*O97)</f>
        <v>945954.83813478344</v>
      </c>
    </row>
    <row r="98" spans="1:21" x14ac:dyDescent="0.35">
      <c r="A98">
        <v>95</v>
      </c>
      <c r="B98">
        <f>A98/Inputs!$B$6</f>
        <v>7.916666666666667</v>
      </c>
      <c r="C98">
        <f>Inputs!$B$3+B98</f>
        <v>72.916666666666671</v>
      </c>
      <c r="D98">
        <f t="shared" si="9"/>
        <v>72</v>
      </c>
      <c r="E98">
        <f>Inputs!$B$7+1+INT((A98-1)/Inputs!$B$6)</f>
        <v>2033</v>
      </c>
      <c r="F98">
        <f>Inputs!$B$16</f>
        <v>8333.3333333333339</v>
      </c>
      <c r="G98">
        <f>Inputs!$B$12</f>
        <v>25</v>
      </c>
      <c r="H98">
        <f>IFERROR(INDEX(RP2014_Qx!$B:$B,MATCH(D98,RP2014_Qx!$A:$A,0)),"")</f>
        <v>1.5613999999999999E-2</v>
      </c>
      <c r="I98">
        <f>SUMIFS(MP2016_Long!$C:$C,MP2016_Long!$A:$A,D98,MP2016_Long!$B:$B,"&gt;=2014",MP2016_Long!$B:$B,"&lt;"&amp;E98)</f>
        <v>0.16040000000000001</v>
      </c>
      <c r="J98">
        <f t="shared" si="10"/>
        <v>1.8330529485213357E-2</v>
      </c>
      <c r="K98">
        <f t="shared" si="11"/>
        <v>1.8500615356631916E-2</v>
      </c>
      <c r="L98">
        <f>EXP(-K98/Inputs!$B$6)</f>
        <v>0.99845946989021239</v>
      </c>
      <c r="M98">
        <f t="shared" si="17"/>
        <v>0.90186230489459684</v>
      </c>
      <c r="N98">
        <f>IFERROR(INDEX(MonthlyCurve!$I:$I,MATCH(A98,MonthlyCurve!$A:$A,0)),"")</f>
        <v>4.1076685000000002E-2</v>
      </c>
      <c r="O98">
        <f>IFERROR(INDEX(MonthlyCurve!$J:$J,MATCH(A98,MonthlyCurve!$A:$A,0)),"")</f>
        <v>0.72238978097493023</v>
      </c>
      <c r="P98">
        <f t="shared" si="12"/>
        <v>7515.5192074549741</v>
      </c>
      <c r="Q98">
        <f t="shared" si="13"/>
        <v>22.546557622364922</v>
      </c>
      <c r="R98">
        <f t="shared" si="14"/>
        <v>7538.0657650773392</v>
      </c>
      <c r="S98">
        <f t="shared" si="15"/>
        <v>5429.13427418628</v>
      </c>
      <c r="T98">
        <f t="shared" si="16"/>
        <v>16.287402822558839</v>
      </c>
      <c r="U98">
        <f>SUMPRODUCT(R99:R543,O99:O543)/(M98*O98)</f>
        <v>942737.13576872612</v>
      </c>
    </row>
    <row r="99" spans="1:21" x14ac:dyDescent="0.35">
      <c r="A99">
        <v>96</v>
      </c>
      <c r="B99">
        <f>A99/Inputs!$B$6</f>
        <v>8</v>
      </c>
      <c r="C99">
        <f>Inputs!$B$3+B99</f>
        <v>73</v>
      </c>
      <c r="D99">
        <f t="shared" si="9"/>
        <v>73</v>
      </c>
      <c r="E99">
        <f>Inputs!$B$7+1+INT((A99-1)/Inputs!$B$6)</f>
        <v>2033</v>
      </c>
      <c r="F99">
        <f>Inputs!$B$16</f>
        <v>8333.3333333333339</v>
      </c>
      <c r="G99">
        <f>Inputs!$B$12</f>
        <v>25</v>
      </c>
      <c r="H99">
        <f>IFERROR(INDEX(RP2014_Qx!$B:$B,MATCH(D99,RP2014_Qx!$A:$A,0)),"")</f>
        <v>1.721E-2</v>
      </c>
      <c r="I99">
        <f>SUMIFS(MP2016_Long!$C:$C,MP2016_Long!$A:$A,D99,MP2016_Long!$B:$B,"&gt;=2014",MP2016_Long!$B:$B,"&lt;"&amp;E99)</f>
        <v>0.1661</v>
      </c>
      <c r="J99">
        <f t="shared" si="10"/>
        <v>2.0319694948557347E-2</v>
      </c>
      <c r="K99">
        <f t="shared" si="11"/>
        <v>2.0528979873884211E-2</v>
      </c>
      <c r="L99">
        <f>EXP(-K99/Inputs!$B$6)</f>
        <v>0.99829071417298199</v>
      </c>
      <c r="M99">
        <f t="shared" si="17"/>
        <v>0.90032076443891873</v>
      </c>
      <c r="N99">
        <f>IFERROR(INDEX(MonthlyCurve!$I:$I,MATCH(A99,MonthlyCurve!$A:$A,0)),"")</f>
        <v>4.1134749999999998E-2</v>
      </c>
      <c r="O99">
        <f>IFERROR(INDEX(MonthlyCurve!$J:$J,MATCH(A99,MonthlyCurve!$A:$A,0)),"")</f>
        <v>0.71958688678086624</v>
      </c>
      <c r="P99">
        <f t="shared" si="12"/>
        <v>7502.6730369909901</v>
      </c>
      <c r="Q99">
        <f t="shared" si="13"/>
        <v>22.508019110972967</v>
      </c>
      <c r="R99">
        <f t="shared" si="14"/>
        <v>7525.1810561019629</v>
      </c>
      <c r="S99">
        <f t="shared" si="15"/>
        <v>5398.8251332230939</v>
      </c>
      <c r="T99">
        <f t="shared" si="16"/>
        <v>16.196475399669279</v>
      </c>
      <c r="U99">
        <f>SUMPRODUCT(R100:R543,O100:O543)/(M99*O99)</f>
        <v>939671.35257994349</v>
      </c>
    </row>
    <row r="100" spans="1:21" x14ac:dyDescent="0.35">
      <c r="A100">
        <v>97</v>
      </c>
      <c r="B100">
        <f>A100/Inputs!$B$6</f>
        <v>8.0833333333333339</v>
      </c>
      <c r="C100">
        <f>Inputs!$B$3+B100</f>
        <v>73.083333333333329</v>
      </c>
      <c r="D100">
        <f t="shared" si="9"/>
        <v>73</v>
      </c>
      <c r="E100">
        <f>Inputs!$B$7+1+INT((A100-1)/Inputs!$B$6)</f>
        <v>2034</v>
      </c>
      <c r="F100">
        <f>Inputs!$B$16</f>
        <v>8333.3333333333339</v>
      </c>
      <c r="G100">
        <f>Inputs!$B$12</f>
        <v>25</v>
      </c>
      <c r="H100">
        <f>IFERROR(INDEX(RP2014_Qx!$B:$B,MATCH(D100,RP2014_Qx!$A:$A,0)),"")</f>
        <v>1.721E-2</v>
      </c>
      <c r="I100">
        <f>SUMIFS(MP2016_Long!$C:$C,MP2016_Long!$A:$A,D100,MP2016_Long!$B:$B,"&gt;=2014",MP2016_Long!$B:$B,"&lt;"&amp;E100)</f>
        <v>0.1661</v>
      </c>
      <c r="J100">
        <f t="shared" si="10"/>
        <v>2.0319694948557347E-2</v>
      </c>
      <c r="K100">
        <f t="shared" si="11"/>
        <v>2.0528979873884211E-2</v>
      </c>
      <c r="L100">
        <f>EXP(-K100/Inputs!$B$6)</f>
        <v>0.99829071417298199</v>
      </c>
      <c r="M100">
        <f t="shared" si="17"/>
        <v>0.89878185891649331</v>
      </c>
      <c r="N100">
        <f>IFERROR(INDEX(MonthlyCurve!$I:$I,MATCH(A100,MonthlyCurve!$A:$A,0)),"")</f>
        <v>4.1193416666666663E-2</v>
      </c>
      <c r="O100">
        <f>IFERROR(INDEX(MonthlyCurve!$J:$J,MATCH(A100,MonthlyCurve!$A:$A,0)),"")</f>
        <v>0.71678444508254624</v>
      </c>
      <c r="P100">
        <f t="shared" si="12"/>
        <v>7489.8488243041111</v>
      </c>
      <c r="Q100">
        <f t="shared" si="13"/>
        <v>22.469546472912334</v>
      </c>
      <c r="R100">
        <f t="shared" si="14"/>
        <v>7512.3183707770231</v>
      </c>
      <c r="S100">
        <f t="shared" si="15"/>
        <v>5368.6071332809834</v>
      </c>
      <c r="T100">
        <f t="shared" si="16"/>
        <v>16.105821399842952</v>
      </c>
      <c r="U100">
        <f>SUMPRODUCT(R101:R543,O101:O543)/(M100*O100)</f>
        <v>936602.0985502227</v>
      </c>
    </row>
    <row r="101" spans="1:21" x14ac:dyDescent="0.35">
      <c r="A101">
        <v>98</v>
      </c>
      <c r="B101">
        <f>A101/Inputs!$B$6</f>
        <v>8.1666666666666661</v>
      </c>
      <c r="C101">
        <f>Inputs!$B$3+B101</f>
        <v>73.166666666666671</v>
      </c>
      <c r="D101">
        <f t="shared" si="9"/>
        <v>73</v>
      </c>
      <c r="E101">
        <f>Inputs!$B$7+1+INT((A101-1)/Inputs!$B$6)</f>
        <v>2034</v>
      </c>
      <c r="F101">
        <f>Inputs!$B$16</f>
        <v>8333.3333333333339</v>
      </c>
      <c r="G101">
        <f>Inputs!$B$12</f>
        <v>25</v>
      </c>
      <c r="H101">
        <f>IFERROR(INDEX(RP2014_Qx!$B:$B,MATCH(D101,RP2014_Qx!$A:$A,0)),"")</f>
        <v>1.721E-2</v>
      </c>
      <c r="I101">
        <f>SUMIFS(MP2016_Long!$C:$C,MP2016_Long!$A:$A,D101,MP2016_Long!$B:$B,"&gt;=2014",MP2016_Long!$B:$B,"&lt;"&amp;E101)</f>
        <v>0.1661</v>
      </c>
      <c r="J101">
        <f t="shared" si="10"/>
        <v>2.0319694948557347E-2</v>
      </c>
      <c r="K101">
        <f t="shared" si="11"/>
        <v>2.0528979873884211E-2</v>
      </c>
      <c r="L101">
        <f>EXP(-K101/Inputs!$B$6)</f>
        <v>0.99829071417298199</v>
      </c>
      <c r="M101">
        <f t="shared" si="17"/>
        <v>0.89724558382346642</v>
      </c>
      <c r="N101">
        <f>IFERROR(INDEX(MonthlyCurve!$I:$I,MATCH(A101,MonthlyCurve!$A:$A,0)),"")</f>
        <v>4.1252083333333335E-2</v>
      </c>
      <c r="O101">
        <f>IFERROR(INDEX(MonthlyCurve!$J:$J,MATCH(A101,MonthlyCurve!$A:$A,0)),"")</f>
        <v>0.71398593630462437</v>
      </c>
      <c r="P101">
        <f t="shared" si="12"/>
        <v>7477.0465318622209</v>
      </c>
      <c r="Q101">
        <f t="shared" si="13"/>
        <v>22.431139595586661</v>
      </c>
      <c r="R101">
        <f t="shared" si="14"/>
        <v>7499.4776714578074</v>
      </c>
      <c r="S101">
        <f t="shared" si="15"/>
        <v>5338.5060688448921</v>
      </c>
      <c r="T101">
        <f t="shared" si="16"/>
        <v>16.015518206534676</v>
      </c>
      <c r="U101">
        <f>SUMPRODUCT(R102:R543,O102:O543)/(M101*O101)</f>
        <v>933524.77824860066</v>
      </c>
    </row>
    <row r="102" spans="1:21" x14ac:dyDescent="0.35">
      <c r="A102">
        <v>99</v>
      </c>
      <c r="B102">
        <f>A102/Inputs!$B$6</f>
        <v>8.25</v>
      </c>
      <c r="C102">
        <f>Inputs!$B$3+B102</f>
        <v>73.25</v>
      </c>
      <c r="D102">
        <f t="shared" si="9"/>
        <v>73</v>
      </c>
      <c r="E102">
        <f>Inputs!$B$7+1+INT((A102-1)/Inputs!$B$6)</f>
        <v>2034</v>
      </c>
      <c r="F102">
        <f>Inputs!$B$16</f>
        <v>8333.3333333333339</v>
      </c>
      <c r="G102">
        <f>Inputs!$B$12</f>
        <v>25</v>
      </c>
      <c r="H102">
        <f>IFERROR(INDEX(RP2014_Qx!$B:$B,MATCH(D102,RP2014_Qx!$A:$A,0)),"")</f>
        <v>1.721E-2</v>
      </c>
      <c r="I102">
        <f>SUMIFS(MP2016_Long!$C:$C,MP2016_Long!$A:$A,D102,MP2016_Long!$B:$B,"&gt;=2014",MP2016_Long!$B:$B,"&lt;"&amp;E102)</f>
        <v>0.1661</v>
      </c>
      <c r="J102">
        <f t="shared" si="10"/>
        <v>2.0319694948557347E-2</v>
      </c>
      <c r="K102">
        <f t="shared" si="11"/>
        <v>2.0528979873884211E-2</v>
      </c>
      <c r="L102">
        <f>EXP(-K102/Inputs!$B$6)</f>
        <v>0.99829071417298199</v>
      </c>
      <c r="M102">
        <f t="shared" si="17"/>
        <v>0.89571193466368249</v>
      </c>
      <c r="N102">
        <f>IFERROR(INDEX(MonthlyCurve!$I:$I,MATCH(A102,MonthlyCurve!$A:$A,0)),"")</f>
        <v>4.131075E-2</v>
      </c>
      <c r="O102">
        <f>IFERROR(INDEX(MonthlyCurve!$J:$J,MATCH(A102,MonthlyCurve!$A:$A,0)),"")</f>
        <v>0.71119139971127343</v>
      </c>
      <c r="P102">
        <f t="shared" si="12"/>
        <v>7464.2661221973549</v>
      </c>
      <c r="Q102">
        <f t="shared" si="13"/>
        <v>22.392798366592061</v>
      </c>
      <c r="R102">
        <f t="shared" si="14"/>
        <v>7486.6589205639466</v>
      </c>
      <c r="S102">
        <f t="shared" si="15"/>
        <v>5308.5218712629758</v>
      </c>
      <c r="T102">
        <f t="shared" si="16"/>
        <v>15.925565613788924</v>
      </c>
      <c r="U102">
        <f>SUMPRODUCT(R103:R543,O103:O543)/(M102*O102)</f>
        <v>930439.28584489552</v>
      </c>
    </row>
    <row r="103" spans="1:21" x14ac:dyDescent="0.35">
      <c r="A103">
        <v>100</v>
      </c>
      <c r="B103">
        <f>A103/Inputs!$B$6</f>
        <v>8.3333333333333339</v>
      </c>
      <c r="C103">
        <f>Inputs!$B$3+B103</f>
        <v>73.333333333333329</v>
      </c>
      <c r="D103">
        <f t="shared" si="9"/>
        <v>73</v>
      </c>
      <c r="E103">
        <f>Inputs!$B$7+1+INT((A103-1)/Inputs!$B$6)</f>
        <v>2034</v>
      </c>
      <c r="F103">
        <f>Inputs!$B$16</f>
        <v>8333.3333333333339</v>
      </c>
      <c r="G103">
        <f>Inputs!$B$12</f>
        <v>25</v>
      </c>
      <c r="H103">
        <f>IFERROR(INDEX(RP2014_Qx!$B:$B,MATCH(D103,RP2014_Qx!$A:$A,0)),"")</f>
        <v>1.721E-2</v>
      </c>
      <c r="I103">
        <f>SUMIFS(MP2016_Long!$C:$C,MP2016_Long!$A:$A,D103,MP2016_Long!$B:$B,"&gt;=2014",MP2016_Long!$B:$B,"&lt;"&amp;E103)</f>
        <v>0.1661</v>
      </c>
      <c r="J103">
        <f t="shared" si="10"/>
        <v>2.0319694948557347E-2</v>
      </c>
      <c r="K103">
        <f t="shared" si="11"/>
        <v>2.0528979873884211E-2</v>
      </c>
      <c r="L103">
        <f>EXP(-K103/Inputs!$B$6)</f>
        <v>0.99829071417298199</v>
      </c>
      <c r="M103">
        <f t="shared" si="17"/>
        <v>0.89418090694867092</v>
      </c>
      <c r="N103">
        <f>IFERROR(INDEX(MonthlyCurve!$I:$I,MATCH(A103,MonthlyCurve!$A:$A,0)),"")</f>
        <v>4.1369416666666665E-2</v>
      </c>
      <c r="O103">
        <f>IFERROR(INDEX(MonthlyCurve!$J:$J,MATCH(A103,MonthlyCurve!$A:$A,0)),"")</f>
        <v>0.70840087429688869</v>
      </c>
      <c r="P103">
        <f t="shared" si="12"/>
        <v>7451.507557905592</v>
      </c>
      <c r="Q103">
        <f t="shared" si="13"/>
        <v>22.354522673716772</v>
      </c>
      <c r="R103">
        <f t="shared" si="14"/>
        <v>7473.8620805793089</v>
      </c>
      <c r="S103">
        <f t="shared" si="15"/>
        <v>5278.6544688501954</v>
      </c>
      <c r="T103">
        <f t="shared" si="16"/>
        <v>15.835963406550583</v>
      </c>
      <c r="U103">
        <f>SUMPRODUCT(R104:R543,O104:O543)/(M103*O103)</f>
        <v>927345.51467129053</v>
      </c>
    </row>
    <row r="104" spans="1:21" x14ac:dyDescent="0.35">
      <c r="A104">
        <v>101</v>
      </c>
      <c r="B104">
        <f>A104/Inputs!$B$6</f>
        <v>8.4166666666666661</v>
      </c>
      <c r="C104">
        <f>Inputs!$B$3+B104</f>
        <v>73.416666666666671</v>
      </c>
      <c r="D104">
        <f t="shared" si="9"/>
        <v>73</v>
      </c>
      <c r="E104">
        <f>Inputs!$B$7+1+INT((A104-1)/Inputs!$B$6)</f>
        <v>2034</v>
      </c>
      <c r="F104">
        <f>Inputs!$B$16</f>
        <v>8333.3333333333339</v>
      </c>
      <c r="G104">
        <f>Inputs!$B$12</f>
        <v>25</v>
      </c>
      <c r="H104">
        <f>IFERROR(INDEX(RP2014_Qx!$B:$B,MATCH(D104,RP2014_Qx!$A:$A,0)),"")</f>
        <v>1.721E-2</v>
      </c>
      <c r="I104">
        <f>SUMIFS(MP2016_Long!$C:$C,MP2016_Long!$A:$A,D104,MP2016_Long!$B:$B,"&gt;=2014",MP2016_Long!$B:$B,"&lt;"&amp;E104)</f>
        <v>0.1661</v>
      </c>
      <c r="J104">
        <f t="shared" si="10"/>
        <v>2.0319694948557347E-2</v>
      </c>
      <c r="K104">
        <f t="shared" si="11"/>
        <v>2.0528979873884211E-2</v>
      </c>
      <c r="L104">
        <f>EXP(-K104/Inputs!$B$6)</f>
        <v>0.99829071417298199</v>
      </c>
      <c r="M104">
        <f t="shared" si="17"/>
        <v>0.89265249619763343</v>
      </c>
      <c r="N104">
        <f>IFERROR(INDEX(MonthlyCurve!$I:$I,MATCH(A104,MonthlyCurve!$A:$A,0)),"")</f>
        <v>4.1428083333333338E-2</v>
      </c>
      <c r="O104">
        <f>IFERROR(INDEX(MonthlyCurve!$J:$J,MATCH(A104,MonthlyCurve!$A:$A,0)),"")</f>
        <v>0.70561439878562238</v>
      </c>
      <c r="P104">
        <f t="shared" si="12"/>
        <v>7438.770801646946</v>
      </c>
      <c r="Q104">
        <f t="shared" si="13"/>
        <v>22.316312404940835</v>
      </c>
      <c r="R104">
        <f t="shared" si="14"/>
        <v>7461.0871140518866</v>
      </c>
      <c r="S104">
        <f t="shared" si="15"/>
        <v>5248.9037869081521</v>
      </c>
      <c r="T104">
        <f t="shared" si="16"/>
        <v>15.746711360724454</v>
      </c>
      <c r="U104">
        <f>SUMPRODUCT(R105:R543,O105:O543)/(M104*O104)</f>
        <v>924243.35721341905</v>
      </c>
    </row>
    <row r="105" spans="1:21" x14ac:dyDescent="0.35">
      <c r="A105">
        <v>102</v>
      </c>
      <c r="B105">
        <f>A105/Inputs!$B$6</f>
        <v>8.5</v>
      </c>
      <c r="C105">
        <f>Inputs!$B$3+B105</f>
        <v>73.5</v>
      </c>
      <c r="D105">
        <f t="shared" si="9"/>
        <v>73</v>
      </c>
      <c r="E105">
        <f>Inputs!$B$7+1+INT((A105-1)/Inputs!$B$6)</f>
        <v>2034</v>
      </c>
      <c r="F105">
        <f>Inputs!$B$16</f>
        <v>8333.3333333333339</v>
      </c>
      <c r="G105">
        <f>Inputs!$B$12</f>
        <v>25</v>
      </c>
      <c r="H105">
        <f>IFERROR(INDEX(RP2014_Qx!$B:$B,MATCH(D105,RP2014_Qx!$A:$A,0)),"")</f>
        <v>1.721E-2</v>
      </c>
      <c r="I105">
        <f>SUMIFS(MP2016_Long!$C:$C,MP2016_Long!$A:$A,D105,MP2016_Long!$B:$B,"&gt;=2014",MP2016_Long!$B:$B,"&lt;"&amp;E105)</f>
        <v>0.1661</v>
      </c>
      <c r="J105">
        <f t="shared" si="10"/>
        <v>2.0319694948557347E-2</v>
      </c>
      <c r="K105">
        <f t="shared" si="11"/>
        <v>2.0528979873884211E-2</v>
      </c>
      <c r="L105">
        <f>EXP(-K105/Inputs!$B$6)</f>
        <v>0.99829071417298199</v>
      </c>
      <c r="M105">
        <f t="shared" si="17"/>
        <v>0.8911266979374306</v>
      </c>
      <c r="N105">
        <f>IFERROR(INDEX(MonthlyCurve!$I:$I,MATCH(A105,MonthlyCurve!$A:$A,0)),"")</f>
        <v>4.1486750000000003E-2</v>
      </c>
      <c r="O105">
        <f>IFERROR(INDEX(MonthlyCurve!$J:$J,MATCH(A105,MonthlyCurve!$A:$A,0)),"")</f>
        <v>0.70283201163093223</v>
      </c>
      <c r="P105">
        <f t="shared" si="12"/>
        <v>7426.0558161452554</v>
      </c>
      <c r="Q105">
        <f t="shared" si="13"/>
        <v>22.278167448435767</v>
      </c>
      <c r="R105">
        <f t="shared" si="14"/>
        <v>7448.3339835936913</v>
      </c>
      <c r="S105">
        <f t="shared" si="15"/>
        <v>5219.2697477449537</v>
      </c>
      <c r="T105">
        <f t="shared" si="16"/>
        <v>15.657809243234862</v>
      </c>
      <c r="U105">
        <f>SUMPRODUCT(R106:R543,O106:O543)/(M105*O105)</f>
        <v>921132.70510135638</v>
      </c>
    </row>
    <row r="106" spans="1:21" x14ac:dyDescent="0.35">
      <c r="A106">
        <v>103</v>
      </c>
      <c r="B106">
        <f>A106/Inputs!$B$6</f>
        <v>8.5833333333333339</v>
      </c>
      <c r="C106">
        <f>Inputs!$B$3+B106</f>
        <v>73.583333333333329</v>
      </c>
      <c r="D106">
        <f t="shared" si="9"/>
        <v>73</v>
      </c>
      <c r="E106">
        <f>Inputs!$B$7+1+INT((A106-1)/Inputs!$B$6)</f>
        <v>2034</v>
      </c>
      <c r="F106">
        <f>Inputs!$B$16</f>
        <v>8333.3333333333339</v>
      </c>
      <c r="G106">
        <f>Inputs!$B$12</f>
        <v>25</v>
      </c>
      <c r="H106">
        <f>IFERROR(INDEX(RP2014_Qx!$B:$B,MATCH(D106,RP2014_Qx!$A:$A,0)),"")</f>
        <v>1.721E-2</v>
      </c>
      <c r="I106">
        <f>SUMIFS(MP2016_Long!$C:$C,MP2016_Long!$A:$A,D106,MP2016_Long!$B:$B,"&gt;=2014",MP2016_Long!$B:$B,"&lt;"&amp;E106)</f>
        <v>0.1661</v>
      </c>
      <c r="J106">
        <f t="shared" si="10"/>
        <v>2.0319694948557347E-2</v>
      </c>
      <c r="K106">
        <f t="shared" si="11"/>
        <v>2.0528979873884211E-2</v>
      </c>
      <c r="L106">
        <f>EXP(-K106/Inputs!$B$6)</f>
        <v>0.99829071417298199</v>
      </c>
      <c r="M106">
        <f t="shared" si="17"/>
        <v>0.8896035077025688</v>
      </c>
      <c r="N106">
        <f>IFERROR(INDEX(MonthlyCurve!$I:$I,MATCH(A106,MonthlyCurve!$A:$A,0)),"")</f>
        <v>4.1546036666666668E-2</v>
      </c>
      <c r="O106">
        <f>IFERROR(INDEX(MonthlyCurve!$J:$J,MATCH(A106,MonthlyCurve!$A:$A,0)),"")</f>
        <v>0.70005002557234663</v>
      </c>
      <c r="P106">
        <f t="shared" si="12"/>
        <v>7413.3625641880735</v>
      </c>
      <c r="Q106">
        <f t="shared" si="13"/>
        <v>22.24008769256422</v>
      </c>
      <c r="R106">
        <f t="shared" si="14"/>
        <v>7435.6026518806375</v>
      </c>
      <c r="S106">
        <f t="shared" si="15"/>
        <v>5189.7246526369381</v>
      </c>
      <c r="T106">
        <f t="shared" si="16"/>
        <v>15.569173957910815</v>
      </c>
      <c r="U106">
        <f>SUMPRODUCT(R107:R543,O107:O543)/(M106*O106)</f>
        <v>918018.37895547459</v>
      </c>
    </row>
    <row r="107" spans="1:21" x14ac:dyDescent="0.35">
      <c r="A107">
        <v>104</v>
      </c>
      <c r="B107">
        <f>A107/Inputs!$B$6</f>
        <v>8.6666666666666661</v>
      </c>
      <c r="C107">
        <f>Inputs!$B$3+B107</f>
        <v>73.666666666666671</v>
      </c>
      <c r="D107">
        <f t="shared" si="9"/>
        <v>73</v>
      </c>
      <c r="E107">
        <f>Inputs!$B$7+1+INT((A107-1)/Inputs!$B$6)</f>
        <v>2034</v>
      </c>
      <c r="F107">
        <f>Inputs!$B$16</f>
        <v>8333.3333333333339</v>
      </c>
      <c r="G107">
        <f>Inputs!$B$12</f>
        <v>25</v>
      </c>
      <c r="H107">
        <f>IFERROR(INDEX(RP2014_Qx!$B:$B,MATCH(D107,RP2014_Qx!$A:$A,0)),"")</f>
        <v>1.721E-2</v>
      </c>
      <c r="I107">
        <f>SUMIFS(MP2016_Long!$C:$C,MP2016_Long!$A:$A,D107,MP2016_Long!$B:$B,"&gt;=2014",MP2016_Long!$B:$B,"&lt;"&amp;E107)</f>
        <v>0.1661</v>
      </c>
      <c r="J107">
        <f t="shared" si="10"/>
        <v>2.0319694948557347E-2</v>
      </c>
      <c r="K107">
        <f t="shared" si="11"/>
        <v>2.0528979873884211E-2</v>
      </c>
      <c r="L107">
        <f>EXP(-K107/Inputs!$B$6)</f>
        <v>0.99829071417298199</v>
      </c>
      <c r="M107">
        <f t="shared" si="17"/>
        <v>0.88808292103518727</v>
      </c>
      <c r="N107">
        <f>IFERROR(INDEX(MonthlyCurve!$I:$I,MATCH(A107,MonthlyCurve!$A:$A,0)),"")</f>
        <v>4.1605323333333333E-2</v>
      </c>
      <c r="O107">
        <f>IFERROR(INDEX(MonthlyCurve!$J:$J,MATCH(A107,MonthlyCurve!$A:$A,0)),"")</f>
        <v>0.69727216145727777</v>
      </c>
      <c r="P107">
        <f t="shared" si="12"/>
        <v>7400.6910086265607</v>
      </c>
      <c r="Q107">
        <f t="shared" si="13"/>
        <v>22.202073025879681</v>
      </c>
      <c r="R107">
        <f t="shared" si="14"/>
        <v>7422.8930816524407</v>
      </c>
      <c r="S107">
        <f t="shared" si="15"/>
        <v>5160.2958158624833</v>
      </c>
      <c r="T107">
        <f t="shared" si="16"/>
        <v>15.480887447587449</v>
      </c>
      <c r="U107">
        <f>SUMPRODUCT(R108:R543,O108:O543)/(M107*O107)</f>
        <v>914895.44568335195</v>
      </c>
    </row>
    <row r="108" spans="1:21" x14ac:dyDescent="0.35">
      <c r="A108">
        <v>105</v>
      </c>
      <c r="B108">
        <f>A108/Inputs!$B$6</f>
        <v>8.75</v>
      </c>
      <c r="C108">
        <f>Inputs!$B$3+B108</f>
        <v>73.75</v>
      </c>
      <c r="D108">
        <f t="shared" si="9"/>
        <v>73</v>
      </c>
      <c r="E108">
        <f>Inputs!$B$7+1+INT((A108-1)/Inputs!$B$6)</f>
        <v>2034</v>
      </c>
      <c r="F108">
        <f>Inputs!$B$16</f>
        <v>8333.3333333333339</v>
      </c>
      <c r="G108">
        <f>Inputs!$B$12</f>
        <v>25</v>
      </c>
      <c r="H108">
        <f>IFERROR(INDEX(RP2014_Qx!$B:$B,MATCH(D108,RP2014_Qx!$A:$A,0)),"")</f>
        <v>1.721E-2</v>
      </c>
      <c r="I108">
        <f>SUMIFS(MP2016_Long!$C:$C,MP2016_Long!$A:$A,D108,MP2016_Long!$B:$B,"&gt;=2014",MP2016_Long!$B:$B,"&lt;"&amp;E108)</f>
        <v>0.1661</v>
      </c>
      <c r="J108">
        <f t="shared" si="10"/>
        <v>2.0319694948557347E-2</v>
      </c>
      <c r="K108">
        <f t="shared" si="11"/>
        <v>2.0528979873884211E-2</v>
      </c>
      <c r="L108">
        <f>EXP(-K108/Inputs!$B$6)</f>
        <v>0.99829071417298199</v>
      </c>
      <c r="M108">
        <f t="shared" si="17"/>
        <v>0.88656493348504506</v>
      </c>
      <c r="N108">
        <f>IFERROR(INDEX(MonthlyCurve!$I:$I,MATCH(A108,MonthlyCurve!$A:$A,0)),"")</f>
        <v>4.1664610000000005E-2</v>
      </c>
      <c r="O108">
        <f>IFERROR(INDEX(MonthlyCurve!$J:$J,MATCH(A108,MonthlyCurve!$A:$A,0)),"")</f>
        <v>0.69449845771704688</v>
      </c>
      <c r="P108">
        <f t="shared" si="12"/>
        <v>7388.0411123753756</v>
      </c>
      <c r="Q108">
        <f t="shared" si="13"/>
        <v>22.164123337126128</v>
      </c>
      <c r="R108">
        <f t="shared" si="14"/>
        <v>7410.2052357125021</v>
      </c>
      <c r="S108">
        <f t="shared" si="15"/>
        <v>5130.9831580948339</v>
      </c>
      <c r="T108">
        <f t="shared" si="16"/>
        <v>15.392949474284503</v>
      </c>
      <c r="U108">
        <f>SUMPRODUCT(R109:R543,O109:O543)/(M108*O108)</f>
        <v>911763.79430670931</v>
      </c>
    </row>
    <row r="109" spans="1:21" x14ac:dyDescent="0.35">
      <c r="A109">
        <v>106</v>
      </c>
      <c r="B109">
        <f>A109/Inputs!$B$6</f>
        <v>8.8333333333333339</v>
      </c>
      <c r="C109">
        <f>Inputs!$B$3+B109</f>
        <v>73.833333333333329</v>
      </c>
      <c r="D109">
        <f t="shared" si="9"/>
        <v>73</v>
      </c>
      <c r="E109">
        <f>Inputs!$B$7+1+INT((A109-1)/Inputs!$B$6)</f>
        <v>2034</v>
      </c>
      <c r="F109">
        <f>Inputs!$B$16</f>
        <v>8333.3333333333339</v>
      </c>
      <c r="G109">
        <f>Inputs!$B$12</f>
        <v>25</v>
      </c>
      <c r="H109">
        <f>IFERROR(INDEX(RP2014_Qx!$B:$B,MATCH(D109,RP2014_Qx!$A:$A,0)),"")</f>
        <v>1.721E-2</v>
      </c>
      <c r="I109">
        <f>SUMIFS(MP2016_Long!$C:$C,MP2016_Long!$A:$A,D109,MP2016_Long!$B:$B,"&gt;=2014",MP2016_Long!$B:$B,"&lt;"&amp;E109)</f>
        <v>0.1661</v>
      </c>
      <c r="J109">
        <f t="shared" si="10"/>
        <v>2.0319694948557347E-2</v>
      </c>
      <c r="K109">
        <f t="shared" si="11"/>
        <v>2.0528979873884211E-2</v>
      </c>
      <c r="L109">
        <f>EXP(-K109/Inputs!$B$6)</f>
        <v>0.99829071417298199</v>
      </c>
      <c r="M109">
        <f t="shared" si="17"/>
        <v>0.88504954060950791</v>
      </c>
      <c r="N109">
        <f>IFERROR(INDEX(MonthlyCurve!$I:$I,MATCH(A109,MonthlyCurve!$A:$A,0)),"")</f>
        <v>4.172389666666667E-2</v>
      </c>
      <c r="O109">
        <f>IFERROR(INDEX(MonthlyCurve!$J:$J,MATCH(A109,MonthlyCurve!$A:$A,0)),"")</f>
        <v>0.69172895250720612</v>
      </c>
      <c r="P109">
        <f t="shared" si="12"/>
        <v>7375.4128384125661</v>
      </c>
      <c r="Q109">
        <f t="shared" si="13"/>
        <v>22.126238515237699</v>
      </c>
      <c r="R109">
        <f t="shared" si="14"/>
        <v>7397.5390769278038</v>
      </c>
      <c r="S109">
        <f t="shared" si="15"/>
        <v>5101.7865970233242</v>
      </c>
      <c r="T109">
        <f t="shared" si="16"/>
        <v>15.305359791069973</v>
      </c>
      <c r="U109">
        <f>SUMPRODUCT(R110:R543,O110:O543)/(M109*O109)</f>
        <v>908623.31295464037</v>
      </c>
    </row>
    <row r="110" spans="1:21" x14ac:dyDescent="0.35">
      <c r="A110">
        <v>107</v>
      </c>
      <c r="B110">
        <f>A110/Inputs!$B$6</f>
        <v>8.9166666666666661</v>
      </c>
      <c r="C110">
        <f>Inputs!$B$3+B110</f>
        <v>73.916666666666671</v>
      </c>
      <c r="D110">
        <f t="shared" si="9"/>
        <v>73</v>
      </c>
      <c r="E110">
        <f>Inputs!$B$7+1+INT((A110-1)/Inputs!$B$6)</f>
        <v>2034</v>
      </c>
      <c r="F110">
        <f>Inputs!$B$16</f>
        <v>8333.3333333333339</v>
      </c>
      <c r="G110">
        <f>Inputs!$B$12</f>
        <v>25</v>
      </c>
      <c r="H110">
        <f>IFERROR(INDEX(RP2014_Qx!$B:$B,MATCH(D110,RP2014_Qx!$A:$A,0)),"")</f>
        <v>1.721E-2</v>
      </c>
      <c r="I110">
        <f>SUMIFS(MP2016_Long!$C:$C,MP2016_Long!$A:$A,D110,MP2016_Long!$B:$B,"&gt;=2014",MP2016_Long!$B:$B,"&lt;"&amp;E110)</f>
        <v>0.1661</v>
      </c>
      <c r="J110">
        <f t="shared" si="10"/>
        <v>2.0319694948557347E-2</v>
      </c>
      <c r="K110">
        <f t="shared" si="11"/>
        <v>2.0528979873884211E-2</v>
      </c>
      <c r="L110">
        <f>EXP(-K110/Inputs!$B$6)</f>
        <v>0.99829071417298199</v>
      </c>
      <c r="M110">
        <f t="shared" si="17"/>
        <v>0.88353673797353527</v>
      </c>
      <c r="N110">
        <f>IFERROR(INDEX(MonthlyCurve!$I:$I,MATCH(A110,MonthlyCurve!$A:$A,0)),"")</f>
        <v>4.1783183333333335E-2</v>
      </c>
      <c r="O110">
        <f>IFERROR(INDEX(MonthlyCurve!$J:$J,MATCH(A110,MonthlyCurve!$A:$A,0)),"")</f>
        <v>0.68896368370712979</v>
      </c>
      <c r="P110">
        <f t="shared" si="12"/>
        <v>7362.8061497794615</v>
      </c>
      <c r="Q110">
        <f t="shared" si="13"/>
        <v>22.088418449338381</v>
      </c>
      <c r="R110">
        <f t="shared" si="14"/>
        <v>7384.8945682287995</v>
      </c>
      <c r="S110">
        <f t="shared" si="15"/>
        <v>5072.7060473735673</v>
      </c>
      <c r="T110">
        <f t="shared" si="16"/>
        <v>15.218118142120698</v>
      </c>
      <c r="U110">
        <f>SUMPRODUCT(R111:R543,O111:O543)/(M110*O110)</f>
        <v>905473.88885407953</v>
      </c>
    </row>
    <row r="111" spans="1:21" x14ac:dyDescent="0.35">
      <c r="A111">
        <v>108</v>
      </c>
      <c r="B111">
        <f>A111/Inputs!$B$6</f>
        <v>9</v>
      </c>
      <c r="C111">
        <f>Inputs!$B$3+B111</f>
        <v>74</v>
      </c>
      <c r="D111">
        <f t="shared" si="9"/>
        <v>74</v>
      </c>
      <c r="E111">
        <f>Inputs!$B$7+1+INT((A111-1)/Inputs!$B$6)</f>
        <v>2034</v>
      </c>
      <c r="F111">
        <f>Inputs!$B$16</f>
        <v>8333.3333333333339</v>
      </c>
      <c r="G111">
        <f>Inputs!$B$12</f>
        <v>25</v>
      </c>
      <c r="H111">
        <f>IFERROR(INDEX(RP2014_Qx!$B:$B,MATCH(D111,RP2014_Qx!$A:$A,0)),"")</f>
        <v>1.8977000000000001E-2</v>
      </c>
      <c r="I111">
        <f>SUMIFS(MP2016_Long!$C:$C,MP2016_Long!$A:$A,D111,MP2016_Long!$B:$B,"&gt;=2014",MP2016_Long!$B:$B,"&lt;"&amp;E111)</f>
        <v>0.17169999999999999</v>
      </c>
      <c r="J111">
        <f t="shared" si="10"/>
        <v>2.2531801686361905E-2</v>
      </c>
      <c r="K111">
        <f t="shared" si="11"/>
        <v>2.2789521346336241E-2</v>
      </c>
      <c r="L111">
        <f>EXP(-K111/Inputs!$B$6)</f>
        <v>0.99810267542135034</v>
      </c>
      <c r="M111">
        <f t="shared" si="17"/>
        <v>0.88186038200443817</v>
      </c>
      <c r="N111">
        <f>IFERROR(INDEX(MonthlyCurve!$I:$I,MATCH(A111,MonthlyCurve!$A:$A,0)),"")</f>
        <v>4.184247E-2</v>
      </c>
      <c r="O111">
        <f>IFERROR(INDEX(MonthlyCurve!$J:$J,MATCH(A111,MonthlyCurve!$A:$A,0)),"")</f>
        <v>0.68620268891962222</v>
      </c>
      <c r="P111">
        <f t="shared" si="12"/>
        <v>7348.8365167036518</v>
      </c>
      <c r="Q111">
        <f t="shared" si="13"/>
        <v>22.046509550110954</v>
      </c>
      <c r="R111">
        <f t="shared" si="14"/>
        <v>7370.8830262537631</v>
      </c>
      <c r="S111">
        <f t="shared" si="15"/>
        <v>5042.7913781927564</v>
      </c>
      <c r="T111">
        <f t="shared" si="16"/>
        <v>15.128374134578268</v>
      </c>
      <c r="U111">
        <f>SUMPRODUCT(R112:R543,O112:O543)/(M111*O111)</f>
        <v>902486.97579287307</v>
      </c>
    </row>
    <row r="112" spans="1:21" x14ac:dyDescent="0.35">
      <c r="A112">
        <v>109</v>
      </c>
      <c r="B112">
        <f>A112/Inputs!$B$6</f>
        <v>9.0833333333333339</v>
      </c>
      <c r="C112">
        <f>Inputs!$B$3+B112</f>
        <v>74.083333333333329</v>
      </c>
      <c r="D112">
        <f t="shared" si="9"/>
        <v>74</v>
      </c>
      <c r="E112">
        <f>Inputs!$B$7+1+INT((A112-1)/Inputs!$B$6)</f>
        <v>2035</v>
      </c>
      <c r="F112">
        <f>Inputs!$B$16</f>
        <v>8333.3333333333339</v>
      </c>
      <c r="G112">
        <f>Inputs!$B$12</f>
        <v>25</v>
      </c>
      <c r="H112">
        <f>IFERROR(INDEX(RP2014_Qx!$B:$B,MATCH(D112,RP2014_Qx!$A:$A,0)),"")</f>
        <v>1.8977000000000001E-2</v>
      </c>
      <c r="I112">
        <f>SUMIFS(MP2016_Long!$C:$C,MP2016_Long!$A:$A,D112,MP2016_Long!$B:$B,"&gt;=2014",MP2016_Long!$B:$B,"&lt;"&amp;E112)</f>
        <v>0.17169999999999999</v>
      </c>
      <c r="J112">
        <f t="shared" si="10"/>
        <v>2.2531801686361905E-2</v>
      </c>
      <c r="K112">
        <f t="shared" si="11"/>
        <v>2.2789521346336241E-2</v>
      </c>
      <c r="L112">
        <f>EXP(-K112/Inputs!$B$6)</f>
        <v>0.99810267542135034</v>
      </c>
      <c r="M112">
        <f t="shared" si="17"/>
        <v>0.88018720662672378</v>
      </c>
      <c r="N112">
        <f>IFERROR(INDEX(MonthlyCurve!$I:$I,MATCH(A112,MonthlyCurve!$A:$A,0)),"")</f>
        <v>4.1902398333333334E-2</v>
      </c>
      <c r="O112">
        <f>IFERROR(INDEX(MonthlyCurve!$J:$J,MATCH(A112,MonthlyCurve!$A:$A,0)),"")</f>
        <v>0.68344202203609028</v>
      </c>
      <c r="P112">
        <f t="shared" si="12"/>
        <v>7334.8933885560318</v>
      </c>
      <c r="Q112">
        <f t="shared" si="13"/>
        <v>22.004680165668095</v>
      </c>
      <c r="R112">
        <f t="shared" si="14"/>
        <v>7356.8980687216999</v>
      </c>
      <c r="S112">
        <f t="shared" si="15"/>
        <v>5012.9743688938843</v>
      </c>
      <c r="T112">
        <f t="shared" si="16"/>
        <v>15.038923106681652</v>
      </c>
      <c r="U112">
        <f>SUMPRODUCT(R113:R543,O113:O543)/(M112*O112)</f>
        <v>899496.60578213329</v>
      </c>
    </row>
    <row r="113" spans="1:21" x14ac:dyDescent="0.35">
      <c r="A113">
        <v>110</v>
      </c>
      <c r="B113">
        <f>A113/Inputs!$B$6</f>
        <v>9.1666666666666661</v>
      </c>
      <c r="C113">
        <f>Inputs!$B$3+B113</f>
        <v>74.166666666666671</v>
      </c>
      <c r="D113">
        <f t="shared" si="9"/>
        <v>74</v>
      </c>
      <c r="E113">
        <f>Inputs!$B$7+1+INT((A113-1)/Inputs!$B$6)</f>
        <v>2035</v>
      </c>
      <c r="F113">
        <f>Inputs!$B$16</f>
        <v>8333.3333333333339</v>
      </c>
      <c r="G113">
        <f>Inputs!$B$12</f>
        <v>25</v>
      </c>
      <c r="H113">
        <f>IFERROR(INDEX(RP2014_Qx!$B:$B,MATCH(D113,RP2014_Qx!$A:$A,0)),"")</f>
        <v>1.8977000000000001E-2</v>
      </c>
      <c r="I113">
        <f>SUMIFS(MP2016_Long!$C:$C,MP2016_Long!$A:$A,D113,MP2016_Long!$B:$B,"&gt;=2014",MP2016_Long!$B:$B,"&lt;"&amp;E113)</f>
        <v>0.17169999999999999</v>
      </c>
      <c r="J113">
        <f t="shared" si="10"/>
        <v>2.2531801686361905E-2</v>
      </c>
      <c r="K113">
        <f t="shared" si="11"/>
        <v>2.2789521346336241E-2</v>
      </c>
      <c r="L113">
        <f>EXP(-K113/Inputs!$B$6)</f>
        <v>0.99810267542135034</v>
      </c>
      <c r="M113">
        <f t="shared" si="17"/>
        <v>0.87851720580577797</v>
      </c>
      <c r="N113">
        <f>IFERROR(INDEX(MonthlyCurve!$I:$I,MATCH(A113,MonthlyCurve!$A:$A,0)),"")</f>
        <v>4.1962326666666667E-2</v>
      </c>
      <c r="O113">
        <f>IFERROR(INDEX(MonthlyCurve!$J:$J,MATCH(A113,MonthlyCurve!$A:$A,0)),"")</f>
        <v>0.68068566285082299</v>
      </c>
      <c r="P113">
        <f t="shared" si="12"/>
        <v>7320.9767150481503</v>
      </c>
      <c r="Q113">
        <f t="shared" si="13"/>
        <v>21.962930145144448</v>
      </c>
      <c r="R113">
        <f t="shared" si="14"/>
        <v>7342.9396451932944</v>
      </c>
      <c r="S113">
        <f t="shared" si="15"/>
        <v>4983.2838879979909</v>
      </c>
      <c r="T113">
        <f t="shared" si="16"/>
        <v>14.94985166399397</v>
      </c>
      <c r="U113">
        <f>SUMPRODUCT(R114:R543,O114:O543)/(M113*O113)</f>
        <v>896497.48685242189</v>
      </c>
    </row>
    <row r="114" spans="1:21" x14ac:dyDescent="0.35">
      <c r="A114">
        <v>111</v>
      </c>
      <c r="B114">
        <f>A114/Inputs!$B$6</f>
        <v>9.25</v>
      </c>
      <c r="C114">
        <f>Inputs!$B$3+B114</f>
        <v>74.25</v>
      </c>
      <c r="D114">
        <f t="shared" si="9"/>
        <v>74</v>
      </c>
      <c r="E114">
        <f>Inputs!$B$7+1+INT((A114-1)/Inputs!$B$6)</f>
        <v>2035</v>
      </c>
      <c r="F114">
        <f>Inputs!$B$16</f>
        <v>8333.3333333333339</v>
      </c>
      <c r="G114">
        <f>Inputs!$B$12</f>
        <v>25</v>
      </c>
      <c r="H114">
        <f>IFERROR(INDEX(RP2014_Qx!$B:$B,MATCH(D114,RP2014_Qx!$A:$A,0)),"")</f>
        <v>1.8977000000000001E-2</v>
      </c>
      <c r="I114">
        <f>SUMIFS(MP2016_Long!$C:$C,MP2016_Long!$A:$A,D114,MP2016_Long!$B:$B,"&gt;=2014",MP2016_Long!$B:$B,"&lt;"&amp;E114)</f>
        <v>0.17169999999999999</v>
      </c>
      <c r="J114">
        <f t="shared" si="10"/>
        <v>2.2531801686361905E-2</v>
      </c>
      <c r="K114">
        <f t="shared" si="11"/>
        <v>2.2789521346336241E-2</v>
      </c>
      <c r="L114">
        <f>EXP(-K114/Inputs!$B$6)</f>
        <v>0.99810267542135034</v>
      </c>
      <c r="M114">
        <f t="shared" si="17"/>
        <v>0.87685037351843609</v>
      </c>
      <c r="N114">
        <f>IFERROR(INDEX(MonthlyCurve!$I:$I,MATCH(A114,MonthlyCurve!$A:$A,0)),"")</f>
        <v>4.2022255000000001E-2</v>
      </c>
      <c r="O114">
        <f>IFERROR(INDEX(MonthlyCurve!$J:$J,MATCH(A114,MonthlyCurve!$A:$A,0)),"")</f>
        <v>0.67793364894066677</v>
      </c>
      <c r="P114">
        <f t="shared" si="12"/>
        <v>7307.0864459869681</v>
      </c>
      <c r="Q114">
        <f t="shared" si="13"/>
        <v>21.921259337960901</v>
      </c>
      <c r="R114">
        <f t="shared" si="14"/>
        <v>7329.0077053249288</v>
      </c>
      <c r="S114">
        <f t="shared" si="15"/>
        <v>4953.719777452834</v>
      </c>
      <c r="T114">
        <f t="shared" si="16"/>
        <v>14.861159332358499</v>
      </c>
      <c r="U114">
        <f>SUMPRODUCT(R115:R543,O115:O543)/(M114*O114)</f>
        <v>893489.50678803981</v>
      </c>
    </row>
    <row r="115" spans="1:21" x14ac:dyDescent="0.35">
      <c r="A115">
        <v>112</v>
      </c>
      <c r="B115">
        <f>A115/Inputs!$B$6</f>
        <v>9.3333333333333339</v>
      </c>
      <c r="C115">
        <f>Inputs!$B$3+B115</f>
        <v>74.333333333333329</v>
      </c>
      <c r="D115">
        <f t="shared" si="9"/>
        <v>74</v>
      </c>
      <c r="E115">
        <f>Inputs!$B$7+1+INT((A115-1)/Inputs!$B$6)</f>
        <v>2035</v>
      </c>
      <c r="F115">
        <f>Inputs!$B$16</f>
        <v>8333.3333333333339</v>
      </c>
      <c r="G115">
        <f>Inputs!$B$12</f>
        <v>25</v>
      </c>
      <c r="H115">
        <f>IFERROR(INDEX(RP2014_Qx!$B:$B,MATCH(D115,RP2014_Qx!$A:$A,0)),"")</f>
        <v>1.8977000000000001E-2</v>
      </c>
      <c r="I115">
        <f>SUMIFS(MP2016_Long!$C:$C,MP2016_Long!$A:$A,D115,MP2016_Long!$B:$B,"&gt;=2014",MP2016_Long!$B:$B,"&lt;"&amp;E115)</f>
        <v>0.17169999999999999</v>
      </c>
      <c r="J115">
        <f t="shared" si="10"/>
        <v>2.2531801686361905E-2</v>
      </c>
      <c r="K115">
        <f t="shared" si="11"/>
        <v>2.2789521346336241E-2</v>
      </c>
      <c r="L115">
        <f>EXP(-K115/Inputs!$B$6)</f>
        <v>0.99810267542135034</v>
      </c>
      <c r="M115">
        <f t="shared" si="17"/>
        <v>0.87518670375296137</v>
      </c>
      <c r="N115">
        <f>IFERROR(INDEX(MonthlyCurve!$I:$I,MATCH(A115,MonthlyCurve!$A:$A,0)),"")</f>
        <v>4.2082183333333335E-2</v>
      </c>
      <c r="O115">
        <f>IFERROR(INDEX(MonthlyCurve!$J:$J,MATCH(A115,MonthlyCurve!$A:$A,0)),"")</f>
        <v>0.67518601760079366</v>
      </c>
      <c r="P115">
        <f t="shared" si="12"/>
        <v>7293.2225312746787</v>
      </c>
      <c r="Q115">
        <f t="shared" si="13"/>
        <v>21.879667593824035</v>
      </c>
      <c r="R115">
        <f t="shared" si="14"/>
        <v>7315.1021988685025</v>
      </c>
      <c r="S115">
        <f t="shared" si="15"/>
        <v>4924.2818763677305</v>
      </c>
      <c r="T115">
        <f t="shared" si="16"/>
        <v>14.772845629103189</v>
      </c>
      <c r="U115">
        <f>SUMPRODUCT(R116:R543,O116:O543)/(M115*O115)</f>
        <v>890472.55243782897</v>
      </c>
    </row>
    <row r="116" spans="1:21" x14ac:dyDescent="0.35">
      <c r="A116">
        <v>113</v>
      </c>
      <c r="B116">
        <f>A116/Inputs!$B$6</f>
        <v>9.4166666666666661</v>
      </c>
      <c r="C116">
        <f>Inputs!$B$3+B116</f>
        <v>74.416666666666671</v>
      </c>
      <c r="D116">
        <f t="shared" si="9"/>
        <v>74</v>
      </c>
      <c r="E116">
        <f>Inputs!$B$7+1+INT((A116-1)/Inputs!$B$6)</f>
        <v>2035</v>
      </c>
      <c r="F116">
        <f>Inputs!$B$16</f>
        <v>8333.3333333333339</v>
      </c>
      <c r="G116">
        <f>Inputs!$B$12</f>
        <v>25</v>
      </c>
      <c r="H116">
        <f>IFERROR(INDEX(RP2014_Qx!$B:$B,MATCH(D116,RP2014_Qx!$A:$A,0)),"")</f>
        <v>1.8977000000000001E-2</v>
      </c>
      <c r="I116">
        <f>SUMIFS(MP2016_Long!$C:$C,MP2016_Long!$A:$A,D116,MP2016_Long!$B:$B,"&gt;=2014",MP2016_Long!$B:$B,"&lt;"&amp;E116)</f>
        <v>0.17169999999999999</v>
      </c>
      <c r="J116">
        <f t="shared" si="10"/>
        <v>2.2531801686361905E-2</v>
      </c>
      <c r="K116">
        <f t="shared" si="11"/>
        <v>2.2789521346336241E-2</v>
      </c>
      <c r="L116">
        <f>EXP(-K116/Inputs!$B$6)</f>
        <v>0.99810267542135034</v>
      </c>
      <c r="M116">
        <f t="shared" si="17"/>
        <v>0.87352619050902347</v>
      </c>
      <c r="N116">
        <f>IFERROR(INDEX(MonthlyCurve!$I:$I,MATCH(A116,MonthlyCurve!$A:$A,0)),"")</f>
        <v>4.2142111666666669E-2</v>
      </c>
      <c r="O116">
        <f>IFERROR(INDEX(MonthlyCurve!$J:$J,MATCH(A116,MonthlyCurve!$A:$A,0)),"")</f>
        <v>0.67244280584435279</v>
      </c>
      <c r="P116">
        <f t="shared" si="12"/>
        <v>7279.3849209085292</v>
      </c>
      <c r="Q116">
        <f t="shared" si="13"/>
        <v>21.838154762725587</v>
      </c>
      <c r="R116">
        <f t="shared" si="14"/>
        <v>7301.2230756712552</v>
      </c>
      <c r="S116">
        <f t="shared" si="15"/>
        <v>4894.9700210368037</v>
      </c>
      <c r="T116">
        <f t="shared" si="16"/>
        <v>14.68491006311041</v>
      </c>
      <c r="U116">
        <f>SUMPRODUCT(R117:R543,O117:O543)/(M116*O116)</f>
        <v>887446.50970505911</v>
      </c>
    </row>
    <row r="117" spans="1:21" x14ac:dyDescent="0.35">
      <c r="A117">
        <v>114</v>
      </c>
      <c r="B117">
        <f>A117/Inputs!$B$6</f>
        <v>9.5</v>
      </c>
      <c r="C117">
        <f>Inputs!$B$3+B117</f>
        <v>74.5</v>
      </c>
      <c r="D117">
        <f t="shared" si="9"/>
        <v>74</v>
      </c>
      <c r="E117">
        <f>Inputs!$B$7+1+INT((A117-1)/Inputs!$B$6)</f>
        <v>2035</v>
      </c>
      <c r="F117">
        <f>Inputs!$B$16</f>
        <v>8333.3333333333339</v>
      </c>
      <c r="G117">
        <f>Inputs!$B$12</f>
        <v>25</v>
      </c>
      <c r="H117">
        <f>IFERROR(INDEX(RP2014_Qx!$B:$B,MATCH(D117,RP2014_Qx!$A:$A,0)),"")</f>
        <v>1.8977000000000001E-2</v>
      </c>
      <c r="I117">
        <f>SUMIFS(MP2016_Long!$C:$C,MP2016_Long!$A:$A,D117,MP2016_Long!$B:$B,"&gt;=2014",MP2016_Long!$B:$B,"&lt;"&amp;E117)</f>
        <v>0.17169999999999999</v>
      </c>
      <c r="J117">
        <f t="shared" si="10"/>
        <v>2.2531801686361905E-2</v>
      </c>
      <c r="K117">
        <f t="shared" si="11"/>
        <v>2.2789521346336241E-2</v>
      </c>
      <c r="L117">
        <f>EXP(-K117/Inputs!$B$6)</f>
        <v>0.99810267542135034</v>
      </c>
      <c r="M117">
        <f t="shared" si="17"/>
        <v>0.87186882779767649</v>
      </c>
      <c r="N117">
        <f>IFERROR(INDEX(MonthlyCurve!$I:$I,MATCH(A117,MonthlyCurve!$A:$A,0)),"")</f>
        <v>4.2202040000000003E-2</v>
      </c>
      <c r="O117">
        <f>IFERROR(INDEX(MonthlyCurve!$J:$J,MATCH(A117,MonthlyCurve!$A:$A,0)),"")</f>
        <v>0.66970405040213743</v>
      </c>
      <c r="P117">
        <f t="shared" si="12"/>
        <v>7265.5735649806384</v>
      </c>
      <c r="Q117">
        <f t="shared" si="13"/>
        <v>21.796720694941911</v>
      </c>
      <c r="R117">
        <f t="shared" si="14"/>
        <v>7287.3702856755799</v>
      </c>
      <c r="S117">
        <f t="shared" si="15"/>
        <v>4865.7840449622308</v>
      </c>
      <c r="T117">
        <f t="shared" si="16"/>
        <v>14.597352134886689</v>
      </c>
      <c r="U117">
        <f>SUMPRODUCT(R118:R543,O118:O543)/(M117*O117)</f>
        <v>884411.26353720156</v>
      </c>
    </row>
    <row r="118" spans="1:21" x14ac:dyDescent="0.35">
      <c r="A118">
        <v>115</v>
      </c>
      <c r="B118">
        <f>A118/Inputs!$B$6</f>
        <v>9.5833333333333339</v>
      </c>
      <c r="C118">
        <f>Inputs!$B$3+B118</f>
        <v>74.583333333333329</v>
      </c>
      <c r="D118">
        <f t="shared" si="9"/>
        <v>74</v>
      </c>
      <c r="E118">
        <f>Inputs!$B$7+1+INT((A118-1)/Inputs!$B$6)</f>
        <v>2035</v>
      </c>
      <c r="F118">
        <f>Inputs!$B$16</f>
        <v>8333.3333333333339</v>
      </c>
      <c r="G118">
        <f>Inputs!$B$12</f>
        <v>25</v>
      </c>
      <c r="H118">
        <f>IFERROR(INDEX(RP2014_Qx!$B:$B,MATCH(D118,RP2014_Qx!$A:$A,0)),"")</f>
        <v>1.8977000000000001E-2</v>
      </c>
      <c r="I118">
        <f>SUMIFS(MP2016_Long!$C:$C,MP2016_Long!$A:$A,D118,MP2016_Long!$B:$B,"&gt;=2014",MP2016_Long!$B:$B,"&lt;"&amp;E118)</f>
        <v>0.17169999999999999</v>
      </c>
      <c r="J118">
        <f t="shared" si="10"/>
        <v>2.2531801686361905E-2</v>
      </c>
      <c r="K118">
        <f t="shared" si="11"/>
        <v>2.2789521346336241E-2</v>
      </c>
      <c r="L118">
        <f>EXP(-K118/Inputs!$B$6)</f>
        <v>0.99810267542135034</v>
      </c>
      <c r="M118">
        <f t="shared" si="17"/>
        <v>0.87021460964133746</v>
      </c>
      <c r="N118">
        <f>IFERROR(INDEX(MonthlyCurve!$I:$I,MATCH(A118,MonthlyCurve!$A:$A,0)),"")</f>
        <v>4.2262633333333334E-2</v>
      </c>
      <c r="O118">
        <f>IFERROR(INDEX(MonthlyCurve!$J:$J,MATCH(A118,MonthlyCurve!$A:$A,0)),"")</f>
        <v>0.66696553719293594</v>
      </c>
      <c r="P118">
        <f t="shared" si="12"/>
        <v>7251.788413677813</v>
      </c>
      <c r="Q118">
        <f t="shared" si="13"/>
        <v>21.755365241033438</v>
      </c>
      <c r="R118">
        <f t="shared" si="14"/>
        <v>7273.5437789188463</v>
      </c>
      <c r="S118">
        <f t="shared" si="15"/>
        <v>4836.6929549381312</v>
      </c>
      <c r="T118">
        <f t="shared" si="16"/>
        <v>14.510078864814393</v>
      </c>
      <c r="U118">
        <f>SUMPRODUCT(R119:R543,O119:O543)/(M118*O118)</f>
        <v>881372.36807714065</v>
      </c>
    </row>
    <row r="119" spans="1:21" x14ac:dyDescent="0.35">
      <c r="A119">
        <v>116</v>
      </c>
      <c r="B119">
        <f>A119/Inputs!$B$6</f>
        <v>9.6666666666666661</v>
      </c>
      <c r="C119">
        <f>Inputs!$B$3+B119</f>
        <v>74.666666666666671</v>
      </c>
      <c r="D119">
        <f t="shared" si="9"/>
        <v>74</v>
      </c>
      <c r="E119">
        <f>Inputs!$B$7+1+INT((A119-1)/Inputs!$B$6)</f>
        <v>2035</v>
      </c>
      <c r="F119">
        <f>Inputs!$B$16</f>
        <v>8333.3333333333339</v>
      </c>
      <c r="G119">
        <f>Inputs!$B$12</f>
        <v>25</v>
      </c>
      <c r="H119">
        <f>IFERROR(INDEX(RP2014_Qx!$B:$B,MATCH(D119,RP2014_Qx!$A:$A,0)),"")</f>
        <v>1.8977000000000001E-2</v>
      </c>
      <c r="I119">
        <f>SUMIFS(MP2016_Long!$C:$C,MP2016_Long!$A:$A,D119,MP2016_Long!$B:$B,"&gt;=2014",MP2016_Long!$B:$B,"&lt;"&amp;E119)</f>
        <v>0.17169999999999999</v>
      </c>
      <c r="J119">
        <f t="shared" si="10"/>
        <v>2.2531801686361905E-2</v>
      </c>
      <c r="K119">
        <f t="shared" si="11"/>
        <v>2.2789521346336241E-2</v>
      </c>
      <c r="L119">
        <f>EXP(-K119/Inputs!$B$6)</f>
        <v>0.99810267542135034</v>
      </c>
      <c r="M119">
        <f t="shared" si="17"/>
        <v>0.86856353007376497</v>
      </c>
      <c r="N119">
        <f>IFERROR(INDEX(MonthlyCurve!$I:$I,MATCH(A119,MonthlyCurve!$A:$A,0)),"")</f>
        <v>4.2323226666666672E-2</v>
      </c>
      <c r="O119">
        <f>IFERROR(INDEX(MonthlyCurve!$J:$J,MATCH(A119,MonthlyCurve!$A:$A,0)),"")</f>
        <v>0.66423151411182679</v>
      </c>
      <c r="P119">
        <f t="shared" si="12"/>
        <v>7238.0294172813756</v>
      </c>
      <c r="Q119">
        <f t="shared" si="13"/>
        <v>21.714088251844124</v>
      </c>
      <c r="R119">
        <f t="shared" si="14"/>
        <v>7259.7435055332198</v>
      </c>
      <c r="S119">
        <f t="shared" si="15"/>
        <v>4807.7272390267517</v>
      </c>
      <c r="T119">
        <f t="shared" si="16"/>
        <v>14.423181717080253</v>
      </c>
      <c r="U119">
        <f>SUMPRODUCT(R120:R543,O120:O543)/(M119*O119)</f>
        <v>878324.14914019534</v>
      </c>
    </row>
    <row r="120" spans="1:21" x14ac:dyDescent="0.35">
      <c r="A120">
        <v>117</v>
      </c>
      <c r="B120">
        <f>A120/Inputs!$B$6</f>
        <v>9.75</v>
      </c>
      <c r="C120">
        <f>Inputs!$B$3+B120</f>
        <v>74.75</v>
      </c>
      <c r="D120">
        <f t="shared" si="9"/>
        <v>74</v>
      </c>
      <c r="E120">
        <f>Inputs!$B$7+1+INT((A120-1)/Inputs!$B$6)</f>
        <v>2035</v>
      </c>
      <c r="F120">
        <f>Inputs!$B$16</f>
        <v>8333.3333333333339</v>
      </c>
      <c r="G120">
        <f>Inputs!$B$12</f>
        <v>25</v>
      </c>
      <c r="H120">
        <f>IFERROR(INDEX(RP2014_Qx!$B:$B,MATCH(D120,RP2014_Qx!$A:$A,0)),"")</f>
        <v>1.8977000000000001E-2</v>
      </c>
      <c r="I120">
        <f>SUMIFS(MP2016_Long!$C:$C,MP2016_Long!$A:$A,D120,MP2016_Long!$B:$B,"&gt;=2014",MP2016_Long!$B:$B,"&lt;"&amp;E120)</f>
        <v>0.17169999999999999</v>
      </c>
      <c r="J120">
        <f t="shared" si="10"/>
        <v>2.2531801686361905E-2</v>
      </c>
      <c r="K120">
        <f t="shared" si="11"/>
        <v>2.2789521346336241E-2</v>
      </c>
      <c r="L120">
        <f>EXP(-K120/Inputs!$B$6)</f>
        <v>0.99810267542135034</v>
      </c>
      <c r="M120">
        <f t="shared" si="17"/>
        <v>0.86691558314003725</v>
      </c>
      <c r="N120">
        <f>IFERROR(INDEX(MonthlyCurve!$I:$I,MATCH(A120,MonthlyCurve!$A:$A,0)),"")</f>
        <v>4.2383820000000003E-2</v>
      </c>
      <c r="O120">
        <f>IFERROR(INDEX(MonthlyCurve!$J:$J,MATCH(A120,MonthlyCurve!$A:$A,0)),"")</f>
        <v>0.6615020178606219</v>
      </c>
      <c r="P120">
        <f t="shared" si="12"/>
        <v>7224.2965261669779</v>
      </c>
      <c r="Q120">
        <f t="shared" si="13"/>
        <v>21.672889578500932</v>
      </c>
      <c r="R120">
        <f t="shared" si="14"/>
        <v>7245.9694157454787</v>
      </c>
      <c r="S120">
        <f t="shared" si="15"/>
        <v>4778.8867296829367</v>
      </c>
      <c r="T120">
        <f t="shared" si="16"/>
        <v>14.336660189048811</v>
      </c>
      <c r="U120">
        <f>SUMPRODUCT(R121:R543,O121:O543)/(M120*O120)</f>
        <v>875266.48880102113</v>
      </c>
    </row>
    <row r="121" spans="1:21" x14ac:dyDescent="0.35">
      <c r="A121">
        <v>118</v>
      </c>
      <c r="B121">
        <f>A121/Inputs!$B$6</f>
        <v>9.8333333333333339</v>
      </c>
      <c r="C121">
        <f>Inputs!$B$3+B121</f>
        <v>74.833333333333329</v>
      </c>
      <c r="D121">
        <f t="shared" si="9"/>
        <v>74</v>
      </c>
      <c r="E121">
        <f>Inputs!$B$7+1+INT((A121-1)/Inputs!$B$6)</f>
        <v>2035</v>
      </c>
      <c r="F121">
        <f>Inputs!$B$16</f>
        <v>8333.3333333333339</v>
      </c>
      <c r="G121">
        <f>Inputs!$B$12</f>
        <v>25</v>
      </c>
      <c r="H121">
        <f>IFERROR(INDEX(RP2014_Qx!$B:$B,MATCH(D121,RP2014_Qx!$A:$A,0)),"")</f>
        <v>1.8977000000000001E-2</v>
      </c>
      <c r="I121">
        <f>SUMIFS(MP2016_Long!$C:$C,MP2016_Long!$A:$A,D121,MP2016_Long!$B:$B,"&gt;=2014",MP2016_Long!$B:$B,"&lt;"&amp;E121)</f>
        <v>0.17169999999999999</v>
      </c>
      <c r="J121">
        <f t="shared" si="10"/>
        <v>2.2531801686361905E-2</v>
      </c>
      <c r="K121">
        <f t="shared" si="11"/>
        <v>2.2789521346336241E-2</v>
      </c>
      <c r="L121">
        <f>EXP(-K121/Inputs!$B$6)</f>
        <v>0.99810267542135034</v>
      </c>
      <c r="M121">
        <f t="shared" si="17"/>
        <v>0.86527076289653126</v>
      </c>
      <c r="N121">
        <f>IFERROR(INDEX(MonthlyCurve!$I:$I,MATCH(A121,MonthlyCurve!$A:$A,0)),"")</f>
        <v>4.2444413333333333E-2</v>
      </c>
      <c r="O121">
        <f>IFERROR(INDEX(MonthlyCurve!$J:$J,MATCH(A121,MonthlyCurve!$A:$A,0)),"")</f>
        <v>0.65877708485363562</v>
      </c>
      <c r="P121">
        <f t="shared" si="12"/>
        <v>7210.5896908044278</v>
      </c>
      <c r="Q121">
        <f t="shared" si="13"/>
        <v>21.631769072413281</v>
      </c>
      <c r="R121">
        <f t="shared" si="14"/>
        <v>7232.2214598768414</v>
      </c>
      <c r="S121">
        <f t="shared" si="15"/>
        <v>4750.1712565838188</v>
      </c>
      <c r="T121">
        <f t="shared" si="16"/>
        <v>14.250513769751455</v>
      </c>
      <c r="U121">
        <f>SUMPRODUCT(R122:R543,O122:O543)/(M121*O121)</f>
        <v>872199.26813628676</v>
      </c>
    </row>
    <row r="122" spans="1:21" x14ac:dyDescent="0.35">
      <c r="A122">
        <v>119</v>
      </c>
      <c r="B122">
        <f>A122/Inputs!$B$6</f>
        <v>9.9166666666666661</v>
      </c>
      <c r="C122">
        <f>Inputs!$B$3+B122</f>
        <v>74.916666666666671</v>
      </c>
      <c r="D122">
        <f t="shared" si="9"/>
        <v>74</v>
      </c>
      <c r="E122">
        <f>Inputs!$B$7+1+INT((A122-1)/Inputs!$B$6)</f>
        <v>2035</v>
      </c>
      <c r="F122">
        <f>Inputs!$B$16</f>
        <v>8333.3333333333339</v>
      </c>
      <c r="G122">
        <f>Inputs!$B$12</f>
        <v>25</v>
      </c>
      <c r="H122">
        <f>IFERROR(INDEX(RP2014_Qx!$B:$B,MATCH(D122,RP2014_Qx!$A:$A,0)),"")</f>
        <v>1.8977000000000001E-2</v>
      </c>
      <c r="I122">
        <f>SUMIFS(MP2016_Long!$C:$C,MP2016_Long!$A:$A,D122,MP2016_Long!$B:$B,"&gt;=2014",MP2016_Long!$B:$B,"&lt;"&amp;E122)</f>
        <v>0.17169999999999999</v>
      </c>
      <c r="J122">
        <f t="shared" si="10"/>
        <v>2.2531801686361905E-2</v>
      </c>
      <c r="K122">
        <f t="shared" si="11"/>
        <v>2.2789521346336241E-2</v>
      </c>
      <c r="L122">
        <f>EXP(-K122/Inputs!$B$6)</f>
        <v>0.99810267542135034</v>
      </c>
      <c r="M122">
        <f t="shared" si="17"/>
        <v>0.86362906341090073</v>
      </c>
      <c r="N122">
        <f>IFERROR(INDEX(MonthlyCurve!$I:$I,MATCH(A122,MonthlyCurve!$A:$A,0)),"")</f>
        <v>4.2505006666666671E-2</v>
      </c>
      <c r="O122">
        <f>IFERROR(INDEX(MonthlyCurve!$J:$J,MATCH(A122,MonthlyCurve!$A:$A,0)),"")</f>
        <v>0.65605675121739804</v>
      </c>
      <c r="P122">
        <f t="shared" si="12"/>
        <v>7196.9088617575062</v>
      </c>
      <c r="Q122">
        <f t="shared" si="13"/>
        <v>21.590726585272517</v>
      </c>
      <c r="R122">
        <f t="shared" si="14"/>
        <v>7218.4995883427791</v>
      </c>
      <c r="S122">
        <f t="shared" si="15"/>
        <v>4721.5806466523318</v>
      </c>
      <c r="T122">
        <f t="shared" si="16"/>
        <v>14.164741939956993</v>
      </c>
      <c r="U122">
        <f>SUMPRODUCT(R123:R543,O123:O543)/(M122*O122)</f>
        <v>869122.36721383315</v>
      </c>
    </row>
    <row r="123" spans="1:21" x14ac:dyDescent="0.35">
      <c r="A123">
        <v>120</v>
      </c>
      <c r="B123">
        <f>A123/Inputs!$B$6</f>
        <v>10</v>
      </c>
      <c r="C123">
        <f>Inputs!$B$3+B123</f>
        <v>75</v>
      </c>
      <c r="D123">
        <f t="shared" si="9"/>
        <v>75</v>
      </c>
      <c r="E123">
        <f>Inputs!$B$7+1+INT((A123-1)/Inputs!$B$6)</f>
        <v>2035</v>
      </c>
      <c r="F123">
        <f>Inputs!$B$16</f>
        <v>8333.3333333333339</v>
      </c>
      <c r="G123">
        <f>Inputs!$B$12</f>
        <v>25</v>
      </c>
      <c r="H123">
        <f>IFERROR(INDEX(RP2014_Qx!$B:$B,MATCH(D123,RP2014_Qx!$A:$A,0)),"")</f>
        <v>2.0937999999999998E-2</v>
      </c>
      <c r="I123">
        <f>SUMIFS(MP2016_Long!$C:$C,MP2016_Long!$A:$A,D123,MP2016_Long!$B:$B,"&gt;=2014",MP2016_Long!$B:$B,"&lt;"&amp;E123)</f>
        <v>0.17660000000000001</v>
      </c>
      <c r="J123">
        <f t="shared" si="10"/>
        <v>2.4982252927878142E-2</v>
      </c>
      <c r="K123">
        <f t="shared" si="11"/>
        <v>2.5299606024693364E-2</v>
      </c>
      <c r="L123">
        <f>EXP(-K123/Inputs!$B$6)</f>
        <v>0.99789392040239355</v>
      </c>
      <c r="M123">
        <f t="shared" si="17"/>
        <v>0.86181019186055108</v>
      </c>
      <c r="N123">
        <f>IFERROR(INDEX(MonthlyCurve!$I:$I,MATCH(A123,MonthlyCurve!$A:$A,0)),"")</f>
        <v>4.2565600000000002E-2</v>
      </c>
      <c r="O123">
        <f>IFERROR(INDEX(MonthlyCurve!$J:$J,MATCH(A123,MonthlyCurve!$A:$A,0)),"")</f>
        <v>0.65334105279038435</v>
      </c>
      <c r="P123">
        <f t="shared" si="12"/>
        <v>7181.7515988379264</v>
      </c>
      <c r="Q123">
        <f t="shared" si="13"/>
        <v>21.545254796513778</v>
      </c>
      <c r="R123">
        <f t="shared" si="14"/>
        <v>7203.2968536344406</v>
      </c>
      <c r="S123">
        <f t="shared" si="15"/>
        <v>4692.1331504637965</v>
      </c>
      <c r="T123">
        <f t="shared" si="16"/>
        <v>14.076399451391389</v>
      </c>
      <c r="U123">
        <f>SUMPRODUCT(R124:R543,O124:O543)/(M123*O123)</f>
        <v>866218.58446020179</v>
      </c>
    </row>
    <row r="124" spans="1:21" x14ac:dyDescent="0.35">
      <c r="A124">
        <v>121</v>
      </c>
      <c r="B124">
        <f>A124/Inputs!$B$6</f>
        <v>10.083333333333334</v>
      </c>
      <c r="C124">
        <f>Inputs!$B$3+B124</f>
        <v>75.083333333333329</v>
      </c>
      <c r="D124">
        <f t="shared" si="9"/>
        <v>75</v>
      </c>
      <c r="E124">
        <f>Inputs!$B$7+1+INT((A124-1)/Inputs!$B$6)</f>
        <v>2036</v>
      </c>
      <c r="F124">
        <f>Inputs!$B$16</f>
        <v>8333.3333333333339</v>
      </c>
      <c r="G124">
        <f>Inputs!$B$12</f>
        <v>25</v>
      </c>
      <c r="H124">
        <f>IFERROR(INDEX(RP2014_Qx!$B:$B,MATCH(D124,RP2014_Qx!$A:$A,0)),"")</f>
        <v>2.0937999999999998E-2</v>
      </c>
      <c r="I124">
        <f>SUMIFS(MP2016_Long!$C:$C,MP2016_Long!$A:$A,D124,MP2016_Long!$B:$B,"&gt;=2014",MP2016_Long!$B:$B,"&lt;"&amp;E124)</f>
        <v>0.17660000000000001</v>
      </c>
      <c r="J124">
        <f t="shared" si="10"/>
        <v>2.4982252927878142E-2</v>
      </c>
      <c r="K124">
        <f t="shared" si="11"/>
        <v>2.5299606024693364E-2</v>
      </c>
      <c r="L124">
        <f>EXP(-K124/Inputs!$B$6)</f>
        <v>0.99789392040239355</v>
      </c>
      <c r="M124">
        <f t="shared" si="17"/>
        <v>0.85999515099846424</v>
      </c>
      <c r="N124">
        <f>IFERROR(INDEX(MonthlyCurve!$I:$I,MATCH(A124,MonthlyCurve!$A:$A,0)),"")</f>
        <v>4.2620338333333334E-2</v>
      </c>
      <c r="O124">
        <f>IFERROR(INDEX(MonthlyCurve!$J:$J,MATCH(A124,MonthlyCurve!$A:$A,0)),"")</f>
        <v>0.65066843809786346</v>
      </c>
      <c r="P124">
        <f t="shared" si="12"/>
        <v>7166.6262583205362</v>
      </c>
      <c r="Q124">
        <f t="shared" si="13"/>
        <v>21.499878774961605</v>
      </c>
      <c r="R124">
        <f t="shared" si="14"/>
        <v>7188.1261370954981</v>
      </c>
      <c r="S124">
        <f t="shared" si="15"/>
        <v>4663.0975139325583</v>
      </c>
      <c r="T124">
        <f t="shared" si="16"/>
        <v>13.989292541797674</v>
      </c>
      <c r="U124">
        <f>SUMPRODUCT(R125:R543,O125:O543)/(M124*O124)</f>
        <v>863253.92087103368</v>
      </c>
    </row>
    <row r="125" spans="1:21" x14ac:dyDescent="0.35">
      <c r="A125">
        <v>122</v>
      </c>
      <c r="B125">
        <f>A125/Inputs!$B$6</f>
        <v>10.166666666666666</v>
      </c>
      <c r="C125">
        <f>Inputs!$B$3+B125</f>
        <v>75.166666666666671</v>
      </c>
      <c r="D125">
        <f t="shared" si="9"/>
        <v>75</v>
      </c>
      <c r="E125">
        <f>Inputs!$B$7+1+INT((A125-1)/Inputs!$B$6)</f>
        <v>2036</v>
      </c>
      <c r="F125">
        <f>Inputs!$B$16</f>
        <v>8333.3333333333339</v>
      </c>
      <c r="G125">
        <f>Inputs!$B$12</f>
        <v>25</v>
      </c>
      <c r="H125">
        <f>IFERROR(INDEX(RP2014_Qx!$B:$B,MATCH(D125,RP2014_Qx!$A:$A,0)),"")</f>
        <v>2.0937999999999998E-2</v>
      </c>
      <c r="I125">
        <f>SUMIFS(MP2016_Long!$C:$C,MP2016_Long!$A:$A,D125,MP2016_Long!$B:$B,"&gt;=2014",MP2016_Long!$B:$B,"&lt;"&amp;E125)</f>
        <v>0.17660000000000001</v>
      </c>
      <c r="J125">
        <f t="shared" si="10"/>
        <v>2.4982252927878142E-2</v>
      </c>
      <c r="K125">
        <f t="shared" si="11"/>
        <v>2.5299606024693364E-2</v>
      </c>
      <c r="L125">
        <f>EXP(-K125/Inputs!$B$6)</f>
        <v>0.99789392040239355</v>
      </c>
      <c r="M125">
        <f t="shared" si="17"/>
        <v>0.85818393275690585</v>
      </c>
      <c r="N125">
        <f>IFERROR(INDEX(MonthlyCurve!$I:$I,MATCH(A125,MonthlyCurve!$A:$A,0)),"")</f>
        <v>4.2675076666666666E-2</v>
      </c>
      <c r="O125">
        <f>IFERROR(INDEX(MonthlyCurve!$J:$J,MATCH(A125,MonthlyCurve!$A:$A,0)),"")</f>
        <v>0.64800084446470108</v>
      </c>
      <c r="P125">
        <f t="shared" si="12"/>
        <v>7151.5327729742157</v>
      </c>
      <c r="Q125">
        <f t="shared" si="13"/>
        <v>21.454598318922645</v>
      </c>
      <c r="R125">
        <f t="shared" si="14"/>
        <v>7172.9873712931385</v>
      </c>
      <c r="S125">
        <f t="shared" si="15"/>
        <v>4634.1992761042775</v>
      </c>
      <c r="T125">
        <f t="shared" si="16"/>
        <v>13.90259782831283</v>
      </c>
      <c r="U125">
        <f>SUMPRODUCT(R126:R543,O126:O543)/(M125*O125)</f>
        <v>860278.72184531658</v>
      </c>
    </row>
    <row r="126" spans="1:21" x14ac:dyDescent="0.35">
      <c r="A126">
        <v>123</v>
      </c>
      <c r="B126">
        <f>A126/Inputs!$B$6</f>
        <v>10.25</v>
      </c>
      <c r="C126">
        <f>Inputs!$B$3+B126</f>
        <v>75.25</v>
      </c>
      <c r="D126">
        <f t="shared" si="9"/>
        <v>75</v>
      </c>
      <c r="E126">
        <f>Inputs!$B$7+1+INT((A126-1)/Inputs!$B$6)</f>
        <v>2036</v>
      </c>
      <c r="F126">
        <f>Inputs!$B$16</f>
        <v>8333.3333333333339</v>
      </c>
      <c r="G126">
        <f>Inputs!$B$12</f>
        <v>25</v>
      </c>
      <c r="H126">
        <f>IFERROR(INDEX(RP2014_Qx!$B:$B,MATCH(D126,RP2014_Qx!$A:$A,0)),"")</f>
        <v>2.0937999999999998E-2</v>
      </c>
      <c r="I126">
        <f>SUMIFS(MP2016_Long!$C:$C,MP2016_Long!$A:$A,D126,MP2016_Long!$B:$B,"&gt;=2014",MP2016_Long!$B:$B,"&lt;"&amp;E126)</f>
        <v>0.17660000000000001</v>
      </c>
      <c r="J126">
        <f t="shared" si="10"/>
        <v>2.4982252927878142E-2</v>
      </c>
      <c r="K126">
        <f t="shared" si="11"/>
        <v>2.5299606024693364E-2</v>
      </c>
      <c r="L126">
        <f>EXP(-K126/Inputs!$B$6)</f>
        <v>0.99789392040239355</v>
      </c>
      <c r="M126">
        <f t="shared" si="17"/>
        <v>0.85637652908513284</v>
      </c>
      <c r="N126">
        <f>IFERROR(INDEX(MonthlyCurve!$I:$I,MATCH(A126,MonthlyCurve!$A:$A,0)),"")</f>
        <v>4.2729815000000004E-2</v>
      </c>
      <c r="O126">
        <f>IFERROR(INDEX(MonthlyCurve!$J:$J,MATCH(A126,MonthlyCurve!$A:$A,0)),"")</f>
        <v>0.64533829987890157</v>
      </c>
      <c r="P126">
        <f t="shared" si="12"/>
        <v>7136.4710757094408</v>
      </c>
      <c r="Q126">
        <f t="shared" si="13"/>
        <v>21.409413227128322</v>
      </c>
      <c r="R126">
        <f t="shared" si="14"/>
        <v>7157.8804889365692</v>
      </c>
      <c r="S126">
        <f t="shared" si="15"/>
        <v>4605.4381111332859</v>
      </c>
      <c r="T126">
        <f t="shared" si="16"/>
        <v>13.816314333399859</v>
      </c>
      <c r="U126">
        <f>SUMPRODUCT(R127:R543,O127:O543)/(M126*O126)</f>
        <v>857292.86723017786</v>
      </c>
    </row>
    <row r="127" spans="1:21" x14ac:dyDescent="0.35">
      <c r="A127">
        <v>124</v>
      </c>
      <c r="B127">
        <f>A127/Inputs!$B$6</f>
        <v>10.333333333333334</v>
      </c>
      <c r="C127">
        <f>Inputs!$B$3+B127</f>
        <v>75.333333333333329</v>
      </c>
      <c r="D127">
        <f t="shared" si="9"/>
        <v>75</v>
      </c>
      <c r="E127">
        <f>Inputs!$B$7+1+INT((A127-1)/Inputs!$B$6)</f>
        <v>2036</v>
      </c>
      <c r="F127">
        <f>Inputs!$B$16</f>
        <v>8333.3333333333339</v>
      </c>
      <c r="G127">
        <f>Inputs!$B$12</f>
        <v>25</v>
      </c>
      <c r="H127">
        <f>IFERROR(INDEX(RP2014_Qx!$B:$B,MATCH(D127,RP2014_Qx!$A:$A,0)),"")</f>
        <v>2.0937999999999998E-2</v>
      </c>
      <c r="I127">
        <f>SUMIFS(MP2016_Long!$C:$C,MP2016_Long!$A:$A,D127,MP2016_Long!$B:$B,"&gt;=2014",MP2016_Long!$B:$B,"&lt;"&amp;E127)</f>
        <v>0.17660000000000001</v>
      </c>
      <c r="J127">
        <f t="shared" si="10"/>
        <v>2.4982252927878142E-2</v>
      </c>
      <c r="K127">
        <f t="shared" si="11"/>
        <v>2.5299606024693364E-2</v>
      </c>
      <c r="L127">
        <f>EXP(-K127/Inputs!$B$6)</f>
        <v>0.99789392040239355</v>
      </c>
      <c r="M127">
        <f t="shared" si="17"/>
        <v>0.85457293194935757</v>
      </c>
      <c r="N127">
        <f>IFERROR(INDEX(MonthlyCurve!$I:$I,MATCH(A127,MonthlyCurve!$A:$A,0)),"")</f>
        <v>4.2784553333333336E-2</v>
      </c>
      <c r="O127">
        <f>IFERROR(INDEX(MonthlyCurve!$J:$J,MATCH(A127,MonthlyCurve!$A:$A,0)),"")</f>
        <v>0.64268083207569426</v>
      </c>
      <c r="P127">
        <f t="shared" si="12"/>
        <v>7121.4410995779799</v>
      </c>
      <c r="Q127">
        <f t="shared" si="13"/>
        <v>21.36432329873394</v>
      </c>
      <c r="R127">
        <f t="shared" si="14"/>
        <v>7142.8054228767141</v>
      </c>
      <c r="S127">
        <f t="shared" si="15"/>
        <v>4576.8136914548231</v>
      </c>
      <c r="T127">
        <f t="shared" si="16"/>
        <v>13.730441074364469</v>
      </c>
      <c r="U127">
        <f>SUMPRODUCT(R128:R543,O128:O543)/(M127*O127)</f>
        <v>854296.23583038989</v>
      </c>
    </row>
    <row r="128" spans="1:21" x14ac:dyDescent="0.35">
      <c r="A128">
        <v>125</v>
      </c>
      <c r="B128">
        <f>A128/Inputs!$B$6</f>
        <v>10.416666666666666</v>
      </c>
      <c r="C128">
        <f>Inputs!$B$3+B128</f>
        <v>75.416666666666671</v>
      </c>
      <c r="D128">
        <f t="shared" si="9"/>
        <v>75</v>
      </c>
      <c r="E128">
        <f>Inputs!$B$7+1+INT((A128-1)/Inputs!$B$6)</f>
        <v>2036</v>
      </c>
      <c r="F128">
        <f>Inputs!$B$16</f>
        <v>8333.3333333333339</v>
      </c>
      <c r="G128">
        <f>Inputs!$B$12</f>
        <v>25</v>
      </c>
      <c r="H128">
        <f>IFERROR(INDEX(RP2014_Qx!$B:$B,MATCH(D128,RP2014_Qx!$A:$A,0)),"")</f>
        <v>2.0937999999999998E-2</v>
      </c>
      <c r="I128">
        <f>SUMIFS(MP2016_Long!$C:$C,MP2016_Long!$A:$A,D128,MP2016_Long!$B:$B,"&gt;=2014",MP2016_Long!$B:$B,"&lt;"&amp;E128)</f>
        <v>0.17660000000000001</v>
      </c>
      <c r="J128">
        <f t="shared" si="10"/>
        <v>2.4982252927878142E-2</v>
      </c>
      <c r="K128">
        <f t="shared" si="11"/>
        <v>2.5299606024693364E-2</v>
      </c>
      <c r="L128">
        <f>EXP(-K128/Inputs!$B$6)</f>
        <v>0.99789392040239355</v>
      </c>
      <c r="M128">
        <f t="shared" si="17"/>
        <v>0.85277313333271232</v>
      </c>
      <c r="N128">
        <f>IFERROR(INDEX(MonthlyCurve!$I:$I,MATCH(A128,MonthlyCurve!$A:$A,0)),"")</f>
        <v>4.2839291666666668E-2</v>
      </c>
      <c r="O128">
        <f>IFERROR(INDEX(MonthlyCurve!$J:$J,MATCH(A128,MonthlyCurve!$A:$A,0)),"")</f>
        <v>0.64002846853756201</v>
      </c>
      <c r="P128">
        <f t="shared" si="12"/>
        <v>7106.4427777726032</v>
      </c>
      <c r="Q128">
        <f t="shared" si="13"/>
        <v>21.319328333317809</v>
      </c>
      <c r="R128">
        <f t="shared" si="14"/>
        <v>7127.7621061059208</v>
      </c>
      <c r="S128">
        <f t="shared" si="15"/>
        <v>4548.3256878076172</v>
      </c>
      <c r="T128">
        <f t="shared" si="16"/>
        <v>13.644977063422852</v>
      </c>
      <c r="U128">
        <f>SUMPRODUCT(R129:R543,O129:O543)/(M128*O128)</f>
        <v>851288.70539742266</v>
      </c>
    </row>
    <row r="129" spans="1:21" x14ac:dyDescent="0.35">
      <c r="A129">
        <v>126</v>
      </c>
      <c r="B129">
        <f>A129/Inputs!$B$6</f>
        <v>10.5</v>
      </c>
      <c r="C129">
        <f>Inputs!$B$3+B129</f>
        <v>75.5</v>
      </c>
      <c r="D129">
        <f t="shared" si="9"/>
        <v>75</v>
      </c>
      <c r="E129">
        <f>Inputs!$B$7+1+INT((A129-1)/Inputs!$B$6)</f>
        <v>2036</v>
      </c>
      <c r="F129">
        <f>Inputs!$B$16</f>
        <v>8333.3333333333339</v>
      </c>
      <c r="G129">
        <f>Inputs!$B$12</f>
        <v>25</v>
      </c>
      <c r="H129">
        <f>IFERROR(INDEX(RP2014_Qx!$B:$B,MATCH(D129,RP2014_Qx!$A:$A,0)),"")</f>
        <v>2.0937999999999998E-2</v>
      </c>
      <c r="I129">
        <f>SUMIFS(MP2016_Long!$C:$C,MP2016_Long!$A:$A,D129,MP2016_Long!$B:$B,"&gt;=2014",MP2016_Long!$B:$B,"&lt;"&amp;E129)</f>
        <v>0.17660000000000001</v>
      </c>
      <c r="J129">
        <f t="shared" si="10"/>
        <v>2.4982252927878142E-2</v>
      </c>
      <c r="K129">
        <f t="shared" si="11"/>
        <v>2.5299606024693364E-2</v>
      </c>
      <c r="L129">
        <f>EXP(-K129/Inputs!$B$6)</f>
        <v>0.99789392040239355</v>
      </c>
      <c r="M129">
        <f t="shared" si="17"/>
        <v>0.85097712523521341</v>
      </c>
      <c r="N129">
        <f>IFERROR(INDEX(MonthlyCurve!$I:$I,MATCH(A129,MonthlyCurve!$A:$A,0)),"")</f>
        <v>4.289403E-2</v>
      </c>
      <c r="O129">
        <f>IFERROR(INDEX(MonthlyCurve!$J:$J,MATCH(A129,MonthlyCurve!$A:$A,0)),"")</f>
        <v>0.63738123649428091</v>
      </c>
      <c r="P129">
        <f t="shared" si="12"/>
        <v>7091.4760436267788</v>
      </c>
      <c r="Q129">
        <f t="shared" si="13"/>
        <v>21.274428130880334</v>
      </c>
      <c r="R129">
        <f t="shared" si="14"/>
        <v>7112.7504717576594</v>
      </c>
      <c r="S129">
        <f t="shared" si="15"/>
        <v>4519.9737692564076</v>
      </c>
      <c r="T129">
        <f t="shared" si="16"/>
        <v>13.559921307769221</v>
      </c>
      <c r="U129">
        <f>SUMPRODUCT(R130:R543,O130:O543)/(M129*O129)</f>
        <v>848270.15261838282</v>
      </c>
    </row>
    <row r="130" spans="1:21" x14ac:dyDescent="0.35">
      <c r="A130">
        <v>127</v>
      </c>
      <c r="B130">
        <f>A130/Inputs!$B$6</f>
        <v>10.583333333333334</v>
      </c>
      <c r="C130">
        <f>Inputs!$B$3+B130</f>
        <v>75.583333333333329</v>
      </c>
      <c r="D130">
        <f t="shared" si="9"/>
        <v>75</v>
      </c>
      <c r="E130">
        <f>Inputs!$B$7+1+INT((A130-1)/Inputs!$B$6)</f>
        <v>2036</v>
      </c>
      <c r="F130">
        <f>Inputs!$B$16</f>
        <v>8333.3333333333339</v>
      </c>
      <c r="G130">
        <f>Inputs!$B$12</f>
        <v>25</v>
      </c>
      <c r="H130">
        <f>IFERROR(INDEX(RP2014_Qx!$B:$B,MATCH(D130,RP2014_Qx!$A:$A,0)),"")</f>
        <v>2.0937999999999998E-2</v>
      </c>
      <c r="I130">
        <f>SUMIFS(MP2016_Long!$C:$C,MP2016_Long!$A:$A,D130,MP2016_Long!$B:$B,"&gt;=2014",MP2016_Long!$B:$B,"&lt;"&amp;E130)</f>
        <v>0.17660000000000001</v>
      </c>
      <c r="J130">
        <f t="shared" si="10"/>
        <v>2.4982252927878142E-2</v>
      </c>
      <c r="K130">
        <f t="shared" si="11"/>
        <v>2.5299606024693364E-2</v>
      </c>
      <c r="L130">
        <f>EXP(-K130/Inputs!$B$6)</f>
        <v>0.99789392040239355</v>
      </c>
      <c r="M130">
        <f t="shared" si="17"/>
        <v>0.84918489967372579</v>
      </c>
      <c r="N130">
        <f>IFERROR(INDEX(MonthlyCurve!$I:$I,MATCH(A130,MonthlyCurve!$A:$A,0)),"")</f>
        <v>4.2949428333333331E-2</v>
      </c>
      <c r="O130">
        <f>IFERROR(INDEX(MonthlyCurve!$J:$J,MATCH(A130,MonthlyCurve!$A:$A,0)),"")</f>
        <v>0.63473472928540364</v>
      </c>
      <c r="P130">
        <f t="shared" si="12"/>
        <v>7076.5408306143818</v>
      </c>
      <c r="Q130">
        <f t="shared" si="13"/>
        <v>21.229622491843145</v>
      </c>
      <c r="R130">
        <f t="shared" si="14"/>
        <v>7097.7704531062245</v>
      </c>
      <c r="S130">
        <f t="shared" si="15"/>
        <v>4491.7262283971249</v>
      </c>
      <c r="T130">
        <f t="shared" si="16"/>
        <v>13.475178685191375</v>
      </c>
      <c r="U130">
        <f>SUMPRODUCT(R131:R543,O131:O543)/(M130*O130)</f>
        <v>845246.41551317903</v>
      </c>
    </row>
    <row r="131" spans="1:21" x14ac:dyDescent="0.35">
      <c r="A131">
        <v>128</v>
      </c>
      <c r="B131">
        <f>A131/Inputs!$B$6</f>
        <v>10.666666666666666</v>
      </c>
      <c r="C131">
        <f>Inputs!$B$3+B131</f>
        <v>75.666666666666671</v>
      </c>
      <c r="D131">
        <f t="shared" si="9"/>
        <v>75</v>
      </c>
      <c r="E131">
        <f>Inputs!$B$7+1+INT((A131-1)/Inputs!$B$6)</f>
        <v>2036</v>
      </c>
      <c r="F131">
        <f>Inputs!$B$16</f>
        <v>8333.3333333333339</v>
      </c>
      <c r="G131">
        <f>Inputs!$B$12</f>
        <v>25</v>
      </c>
      <c r="H131">
        <f>IFERROR(INDEX(RP2014_Qx!$B:$B,MATCH(D131,RP2014_Qx!$A:$A,0)),"")</f>
        <v>2.0937999999999998E-2</v>
      </c>
      <c r="I131">
        <f>SUMIFS(MP2016_Long!$C:$C,MP2016_Long!$A:$A,D131,MP2016_Long!$B:$B,"&gt;=2014",MP2016_Long!$B:$B,"&lt;"&amp;E131)</f>
        <v>0.17660000000000001</v>
      </c>
      <c r="J131">
        <f t="shared" si="10"/>
        <v>2.4982252927878142E-2</v>
      </c>
      <c r="K131">
        <f t="shared" si="11"/>
        <v>2.5299606024693364E-2</v>
      </c>
      <c r="L131">
        <f>EXP(-K131/Inputs!$B$6)</f>
        <v>0.99789392040239355</v>
      </c>
      <c r="M131">
        <f t="shared" si="17"/>
        <v>0.84739644868192743</v>
      </c>
      <c r="N131">
        <f>IFERROR(INDEX(MonthlyCurve!$I:$I,MATCH(A131,MonthlyCurve!$A:$A,0)),"")</f>
        <v>4.3004826666666669E-2</v>
      </c>
      <c r="O131">
        <f>IFERROR(INDEX(MonthlyCurve!$J:$J,MATCH(A131,MonthlyCurve!$A:$A,0)),"")</f>
        <v>0.63209337461079418</v>
      </c>
      <c r="P131">
        <f t="shared" si="12"/>
        <v>7061.6370723493956</v>
      </c>
      <c r="Q131">
        <f t="shared" si="13"/>
        <v>21.184911217048185</v>
      </c>
      <c r="R131">
        <f t="shared" si="14"/>
        <v>7082.821983566444</v>
      </c>
      <c r="S131">
        <f t="shared" si="15"/>
        <v>4463.6140073380184</v>
      </c>
      <c r="T131">
        <f t="shared" si="16"/>
        <v>13.390842022014054</v>
      </c>
      <c r="U131">
        <f>SUMPRODUCT(R132:R543,O132:O543)/(M131*O131)</f>
        <v>842211.51607069303</v>
      </c>
    </row>
    <row r="132" spans="1:21" x14ac:dyDescent="0.35">
      <c r="A132">
        <v>129</v>
      </c>
      <c r="B132">
        <f>A132/Inputs!$B$6</f>
        <v>10.75</v>
      </c>
      <c r="C132">
        <f>Inputs!$B$3+B132</f>
        <v>75.75</v>
      </c>
      <c r="D132">
        <f t="shared" ref="D132:D195" si="18">INT(C132)</f>
        <v>75</v>
      </c>
      <c r="E132">
        <f>Inputs!$B$7+1+INT((A132-1)/Inputs!$B$6)</f>
        <v>2036</v>
      </c>
      <c r="F132">
        <f>Inputs!$B$16</f>
        <v>8333.3333333333339</v>
      </c>
      <c r="G132">
        <f>Inputs!$B$12</f>
        <v>25</v>
      </c>
      <c r="H132">
        <f>IFERROR(INDEX(RP2014_Qx!$B:$B,MATCH(D132,RP2014_Qx!$A:$A,0)),"")</f>
        <v>2.0937999999999998E-2</v>
      </c>
      <c r="I132">
        <f>SUMIFS(MP2016_Long!$C:$C,MP2016_Long!$A:$A,D132,MP2016_Long!$B:$B,"&gt;=2014",MP2016_Long!$B:$B,"&lt;"&amp;E132)</f>
        <v>0.17660000000000001</v>
      </c>
      <c r="J132">
        <f t="shared" ref="J132:J195" si="19">MIN(0.999999,MAX(0,H132*EXP(I132)))</f>
        <v>2.4982252927878142E-2</v>
      </c>
      <c r="K132">
        <f t="shared" ref="K132:K195" si="20">-LN(1-J132)</f>
        <v>2.5299606024693364E-2</v>
      </c>
      <c r="L132">
        <f>EXP(-K132/Inputs!$B$6)</f>
        <v>0.99789392040239355</v>
      </c>
      <c r="M132">
        <f t="shared" si="17"/>
        <v>0.84561176431027429</v>
      </c>
      <c r="N132">
        <f>IFERROR(INDEX(MonthlyCurve!$I:$I,MATCH(A132,MonthlyCurve!$A:$A,0)),"")</f>
        <v>4.3060225000000001E-2</v>
      </c>
      <c r="O132">
        <f>IFERROR(INDEX(MonthlyCurve!$J:$J,MATCH(A132,MonthlyCurve!$A:$A,0)),"")</f>
        <v>0.62945719970278147</v>
      </c>
      <c r="P132">
        <f t="shared" ref="P132:P195" si="21">F132*M132</f>
        <v>7046.7647025856195</v>
      </c>
      <c r="Q132">
        <f t="shared" ref="Q132:Q195" si="22">G132*M132</f>
        <v>21.140294107756858</v>
      </c>
      <c r="R132">
        <f t="shared" ref="R132:R195" si="23">P132+Q132</f>
        <v>7067.9049966933762</v>
      </c>
      <c r="S132">
        <f t="shared" ref="S132:S195" si="24">P132*O132</f>
        <v>4435.6367766539479</v>
      </c>
      <c r="T132">
        <f t="shared" ref="T132:T195" si="25">Q132*O132</f>
        <v>13.306910329961843</v>
      </c>
      <c r="U132">
        <f>SUMPRODUCT(R133:R543,O133:O543)/(M132*O132)</f>
        <v>839165.32777004316</v>
      </c>
    </row>
    <row r="133" spans="1:21" x14ac:dyDescent="0.35">
      <c r="A133">
        <v>130</v>
      </c>
      <c r="B133">
        <f>A133/Inputs!$B$6</f>
        <v>10.833333333333334</v>
      </c>
      <c r="C133">
        <f>Inputs!$B$3+B133</f>
        <v>75.833333333333329</v>
      </c>
      <c r="D133">
        <f t="shared" si="18"/>
        <v>75</v>
      </c>
      <c r="E133">
        <f>Inputs!$B$7+1+INT((A133-1)/Inputs!$B$6)</f>
        <v>2036</v>
      </c>
      <c r="F133">
        <f>Inputs!$B$16</f>
        <v>8333.3333333333339</v>
      </c>
      <c r="G133">
        <f>Inputs!$B$12</f>
        <v>25</v>
      </c>
      <c r="H133">
        <f>IFERROR(INDEX(RP2014_Qx!$B:$B,MATCH(D133,RP2014_Qx!$A:$A,0)),"")</f>
        <v>2.0937999999999998E-2</v>
      </c>
      <c r="I133">
        <f>SUMIFS(MP2016_Long!$C:$C,MP2016_Long!$A:$A,D133,MP2016_Long!$B:$B,"&gt;=2014",MP2016_Long!$B:$B,"&lt;"&amp;E133)</f>
        <v>0.17660000000000001</v>
      </c>
      <c r="J133">
        <f t="shared" si="19"/>
        <v>2.4982252927878142E-2</v>
      </c>
      <c r="K133">
        <f t="shared" si="20"/>
        <v>2.5299606024693364E-2</v>
      </c>
      <c r="L133">
        <f>EXP(-K133/Inputs!$B$6)</f>
        <v>0.99789392040239355</v>
      </c>
      <c r="M133">
        <f t="shared" ref="M133:M196" si="26">M132*L133</f>
        <v>0.84383083862596442</v>
      </c>
      <c r="N133">
        <f>IFERROR(INDEX(MonthlyCurve!$I:$I,MATCH(A133,MonthlyCurve!$A:$A,0)),"")</f>
        <v>4.3115623333333332E-2</v>
      </c>
      <c r="O133">
        <f>IFERROR(INDEX(MonthlyCurve!$J:$J,MATCH(A133,MonthlyCurve!$A:$A,0)),"")</f>
        <v>0.62682623153707095</v>
      </c>
      <c r="P133">
        <f t="shared" si="21"/>
        <v>7031.9236552163711</v>
      </c>
      <c r="Q133">
        <f t="shared" si="22"/>
        <v>21.095770965649109</v>
      </c>
      <c r="R133">
        <f t="shared" si="23"/>
        <v>7053.0194261820207</v>
      </c>
      <c r="S133">
        <f t="shared" si="24"/>
        <v>4407.7942052556637</v>
      </c>
      <c r="T133">
        <f t="shared" si="25"/>
        <v>13.223382615766987</v>
      </c>
      <c r="U133">
        <f>SUMPRODUCT(R134:R543,O134:O543)/(M133*O133)</f>
        <v>836107.72297924128</v>
      </c>
    </row>
    <row r="134" spans="1:21" x14ac:dyDescent="0.35">
      <c r="A134">
        <v>131</v>
      </c>
      <c r="B134">
        <f>A134/Inputs!$B$6</f>
        <v>10.916666666666666</v>
      </c>
      <c r="C134">
        <f>Inputs!$B$3+B134</f>
        <v>75.916666666666671</v>
      </c>
      <c r="D134">
        <f t="shared" si="18"/>
        <v>75</v>
      </c>
      <c r="E134">
        <f>Inputs!$B$7+1+INT((A134-1)/Inputs!$B$6)</f>
        <v>2036</v>
      </c>
      <c r="F134">
        <f>Inputs!$B$16</f>
        <v>8333.3333333333339</v>
      </c>
      <c r="G134">
        <f>Inputs!$B$12</f>
        <v>25</v>
      </c>
      <c r="H134">
        <f>IFERROR(INDEX(RP2014_Qx!$B:$B,MATCH(D134,RP2014_Qx!$A:$A,0)),"")</f>
        <v>2.0937999999999998E-2</v>
      </c>
      <c r="I134">
        <f>SUMIFS(MP2016_Long!$C:$C,MP2016_Long!$A:$A,D134,MP2016_Long!$B:$B,"&gt;=2014",MP2016_Long!$B:$B,"&lt;"&amp;E134)</f>
        <v>0.17660000000000001</v>
      </c>
      <c r="J134">
        <f t="shared" si="19"/>
        <v>2.4982252927878142E-2</v>
      </c>
      <c r="K134">
        <f t="shared" si="20"/>
        <v>2.5299606024693364E-2</v>
      </c>
      <c r="L134">
        <f>EXP(-K134/Inputs!$B$6)</f>
        <v>0.99789392040239355</v>
      </c>
      <c r="M134">
        <f t="shared" si="26"/>
        <v>0.84205366371290313</v>
      </c>
      <c r="N134">
        <f>IFERROR(INDEX(MonthlyCurve!$I:$I,MATCH(A134,MonthlyCurve!$A:$A,0)),"")</f>
        <v>4.317102166666667E-2</v>
      </c>
      <c r="O134">
        <f>IFERROR(INDEX(MonthlyCurve!$J:$J,MATCH(A134,MonthlyCurve!$A:$A,0)),"")</f>
        <v>0.62420049683282042</v>
      </c>
      <c r="P134">
        <f t="shared" si="21"/>
        <v>7017.1138642741935</v>
      </c>
      <c r="Q134">
        <f t="shared" si="22"/>
        <v>21.051341592822578</v>
      </c>
      <c r="R134">
        <f t="shared" si="23"/>
        <v>7038.1652058670161</v>
      </c>
      <c r="S134">
        <f t="shared" si="24"/>
        <v>4380.0859604124244</v>
      </c>
      <c r="T134">
        <f t="shared" si="25"/>
        <v>13.14025788123727</v>
      </c>
      <c r="U134">
        <f>SUMPRODUCT(R135:R543,O135:O543)/(M134*O134)</f>
        <v>833038.57294345438</v>
      </c>
    </row>
    <row r="135" spans="1:21" x14ac:dyDescent="0.35">
      <c r="A135">
        <v>132</v>
      </c>
      <c r="B135">
        <f>A135/Inputs!$B$6</f>
        <v>11</v>
      </c>
      <c r="C135">
        <f>Inputs!$B$3+B135</f>
        <v>76</v>
      </c>
      <c r="D135">
        <f t="shared" si="18"/>
        <v>76</v>
      </c>
      <c r="E135">
        <f>Inputs!$B$7+1+INT((A135-1)/Inputs!$B$6)</f>
        <v>2036</v>
      </c>
      <c r="F135">
        <f>Inputs!$B$16</f>
        <v>8333.3333333333339</v>
      </c>
      <c r="G135">
        <f>Inputs!$B$12</f>
        <v>25</v>
      </c>
      <c r="H135">
        <f>IFERROR(INDEX(RP2014_Qx!$B:$B,MATCH(D135,RP2014_Qx!$A:$A,0)),"")</f>
        <v>2.3118E-2</v>
      </c>
      <c r="I135">
        <f>SUMIFS(MP2016_Long!$C:$C,MP2016_Long!$A:$A,D135,MP2016_Long!$B:$B,"&gt;=2014",MP2016_Long!$B:$B,"&lt;"&amp;E135)</f>
        <v>0.18050000000000002</v>
      </c>
      <c r="J135">
        <f t="shared" si="19"/>
        <v>2.7691113096385889E-2</v>
      </c>
      <c r="K135">
        <f t="shared" si="20"/>
        <v>2.8081740124356807E-2</v>
      </c>
      <c r="L135">
        <f>EXP(-K135/Inputs!$B$6)</f>
        <v>0.99766259099433963</v>
      </c>
      <c r="M135">
        <f t="shared" si="26"/>
        <v>0.8400854398960913</v>
      </c>
      <c r="N135">
        <f>IFERROR(INDEX(MonthlyCurve!$I:$I,MATCH(A135,MonthlyCurve!$A:$A,0)),"")</f>
        <v>4.3226420000000002E-2</v>
      </c>
      <c r="O135">
        <f>IFERROR(INDEX(MonthlyCurve!$J:$J,MATCH(A135,MonthlyCurve!$A:$A,0)),"")</f>
        <v>0.62158002205272755</v>
      </c>
      <c r="P135">
        <f t="shared" si="21"/>
        <v>7000.7119991340951</v>
      </c>
      <c r="Q135">
        <f t="shared" si="22"/>
        <v>21.002135997402284</v>
      </c>
      <c r="R135">
        <f t="shared" si="23"/>
        <v>7021.7141351314976</v>
      </c>
      <c r="S135">
        <f t="shared" si="24"/>
        <v>4351.5027188065651</v>
      </c>
      <c r="T135">
        <f t="shared" si="25"/>
        <v>13.054508156419695</v>
      </c>
      <c r="U135">
        <f>SUMPRODUCT(R136:R543,O136:O543)/(M135*O135)</f>
        <v>830152.12928504543</v>
      </c>
    </row>
    <row r="136" spans="1:21" x14ac:dyDescent="0.35">
      <c r="A136">
        <v>133</v>
      </c>
      <c r="B136">
        <f>A136/Inputs!$B$6</f>
        <v>11.083333333333334</v>
      </c>
      <c r="C136">
        <f>Inputs!$B$3+B136</f>
        <v>76.083333333333329</v>
      </c>
      <c r="D136">
        <f t="shared" si="18"/>
        <v>76</v>
      </c>
      <c r="E136">
        <f>Inputs!$B$7+1+INT((A136-1)/Inputs!$B$6)</f>
        <v>2037</v>
      </c>
      <c r="F136">
        <f>Inputs!$B$16</f>
        <v>8333.3333333333339</v>
      </c>
      <c r="G136">
        <f>Inputs!$B$12</f>
        <v>25</v>
      </c>
      <c r="H136">
        <f>IFERROR(INDEX(RP2014_Qx!$B:$B,MATCH(D136,RP2014_Qx!$A:$A,0)),"")</f>
        <v>2.3118E-2</v>
      </c>
      <c r="I136">
        <f>SUMIFS(MP2016_Long!$C:$C,MP2016_Long!$A:$A,D136,MP2016_Long!$B:$B,"&gt;=2014",MP2016_Long!$B:$B,"&lt;"&amp;E136)</f>
        <v>0.18050000000000002</v>
      </c>
      <c r="J136">
        <f t="shared" si="19"/>
        <v>2.7691113096385889E-2</v>
      </c>
      <c r="K136">
        <f t="shared" si="20"/>
        <v>2.8081740124356807E-2</v>
      </c>
      <c r="L136">
        <f>EXP(-K136/Inputs!$B$6)</f>
        <v>0.99766259099433963</v>
      </c>
      <c r="M136">
        <f t="shared" si="26"/>
        <v>0.83812181662335405</v>
      </c>
      <c r="N136">
        <f>IFERROR(INDEX(MonthlyCurve!$I:$I,MATCH(A136,MonthlyCurve!$A:$A,0)),"")</f>
        <v>4.3282498333333336E-2</v>
      </c>
      <c r="O136">
        <f>IFERROR(INDEX(MonthlyCurve!$J:$J,MATCH(A136,MonthlyCurve!$A:$A,0)),"")</f>
        <v>0.61896016848908053</v>
      </c>
      <c r="P136">
        <f t="shared" si="21"/>
        <v>6984.3484718612845</v>
      </c>
      <c r="Q136">
        <f t="shared" si="22"/>
        <v>20.953045415583851</v>
      </c>
      <c r="R136">
        <f t="shared" si="23"/>
        <v>7005.3015172768683</v>
      </c>
      <c r="S136">
        <f t="shared" si="24"/>
        <v>4323.0335069297125</v>
      </c>
      <c r="T136">
        <f t="shared" si="25"/>
        <v>12.969100520789137</v>
      </c>
      <c r="U136">
        <f>SUMPRODUCT(R137:R543,O137:O543)/(M136*O136)</f>
        <v>827260.73874101776</v>
      </c>
    </row>
    <row r="137" spans="1:21" x14ac:dyDescent="0.35">
      <c r="A137">
        <v>134</v>
      </c>
      <c r="B137">
        <f>A137/Inputs!$B$6</f>
        <v>11.166666666666666</v>
      </c>
      <c r="C137">
        <f>Inputs!$B$3+B137</f>
        <v>76.166666666666671</v>
      </c>
      <c r="D137">
        <f t="shared" si="18"/>
        <v>76</v>
      </c>
      <c r="E137">
        <f>Inputs!$B$7+1+INT((A137-1)/Inputs!$B$6)</f>
        <v>2037</v>
      </c>
      <c r="F137">
        <f>Inputs!$B$16</f>
        <v>8333.3333333333339</v>
      </c>
      <c r="G137">
        <f>Inputs!$B$12</f>
        <v>25</v>
      </c>
      <c r="H137">
        <f>IFERROR(INDEX(RP2014_Qx!$B:$B,MATCH(D137,RP2014_Qx!$A:$A,0)),"")</f>
        <v>2.3118E-2</v>
      </c>
      <c r="I137">
        <f>SUMIFS(MP2016_Long!$C:$C,MP2016_Long!$A:$A,D137,MP2016_Long!$B:$B,"&gt;=2014",MP2016_Long!$B:$B,"&lt;"&amp;E137)</f>
        <v>0.18050000000000002</v>
      </c>
      <c r="J137">
        <f t="shared" si="19"/>
        <v>2.7691113096385889E-2</v>
      </c>
      <c r="K137">
        <f t="shared" si="20"/>
        <v>2.8081740124356807E-2</v>
      </c>
      <c r="L137">
        <f>EXP(-K137/Inputs!$B$6)</f>
        <v>0.99766259099433963</v>
      </c>
      <c r="M137">
        <f t="shared" si="26"/>
        <v>0.83616278314133818</v>
      </c>
      <c r="N137">
        <f>IFERROR(INDEX(MonthlyCurve!$I:$I,MATCH(A137,MonthlyCurve!$A:$A,0)),"")</f>
        <v>4.333857666666667E-2</v>
      </c>
      <c r="O137">
        <f>IFERROR(INDEX(MonthlyCurve!$J:$J,MATCH(A137,MonthlyCurve!$A:$A,0)),"")</f>
        <v>0.61634559652791043</v>
      </c>
      <c r="P137">
        <f t="shared" si="21"/>
        <v>6968.0231928444855</v>
      </c>
      <c r="Q137">
        <f t="shared" si="22"/>
        <v>20.904069578533456</v>
      </c>
      <c r="R137">
        <f t="shared" si="23"/>
        <v>6988.9272624230189</v>
      </c>
      <c r="S137">
        <f t="shared" si="24"/>
        <v>4294.7104114140493</v>
      </c>
      <c r="T137">
        <f t="shared" si="25"/>
        <v>12.884131234242147</v>
      </c>
      <c r="U137">
        <f>SUMPRODUCT(R138:R543,O138:O543)/(M137*O137)</f>
        <v>824358.08988351061</v>
      </c>
    </row>
    <row r="138" spans="1:21" x14ac:dyDescent="0.35">
      <c r="A138">
        <v>135</v>
      </c>
      <c r="B138">
        <f>A138/Inputs!$B$6</f>
        <v>11.25</v>
      </c>
      <c r="C138">
        <f>Inputs!$B$3+B138</f>
        <v>76.25</v>
      </c>
      <c r="D138">
        <f t="shared" si="18"/>
        <v>76</v>
      </c>
      <c r="E138">
        <f>Inputs!$B$7+1+INT((A138-1)/Inputs!$B$6)</f>
        <v>2037</v>
      </c>
      <c r="F138">
        <f>Inputs!$B$16</f>
        <v>8333.3333333333339</v>
      </c>
      <c r="G138">
        <f>Inputs!$B$12</f>
        <v>25</v>
      </c>
      <c r="H138">
        <f>IFERROR(INDEX(RP2014_Qx!$B:$B,MATCH(D138,RP2014_Qx!$A:$A,0)),"")</f>
        <v>2.3118E-2</v>
      </c>
      <c r="I138">
        <f>SUMIFS(MP2016_Long!$C:$C,MP2016_Long!$A:$A,D138,MP2016_Long!$B:$B,"&gt;=2014",MP2016_Long!$B:$B,"&lt;"&amp;E138)</f>
        <v>0.18050000000000002</v>
      </c>
      <c r="J138">
        <f t="shared" si="19"/>
        <v>2.7691113096385889E-2</v>
      </c>
      <c r="K138">
        <f t="shared" si="20"/>
        <v>2.8081740124356807E-2</v>
      </c>
      <c r="L138">
        <f>EXP(-K138/Inputs!$B$6)</f>
        <v>0.99766259099433963</v>
      </c>
      <c r="M138">
        <f t="shared" si="26"/>
        <v>0.8342083287218256</v>
      </c>
      <c r="N138">
        <f>IFERROR(INDEX(MonthlyCurve!$I:$I,MATCH(A138,MonthlyCurve!$A:$A,0)),"")</f>
        <v>4.3394655000000004E-2</v>
      </c>
      <c r="O138">
        <f>IFERROR(INDEX(MonthlyCurve!$J:$J,MATCH(A138,MonthlyCurve!$A:$A,0)),"")</f>
        <v>0.61373633262916993</v>
      </c>
      <c r="P138">
        <f t="shared" si="21"/>
        <v>6951.7360726818806</v>
      </c>
      <c r="Q138">
        <f t="shared" si="22"/>
        <v>20.85520821804564</v>
      </c>
      <c r="R138">
        <f t="shared" si="23"/>
        <v>6972.5912808999265</v>
      </c>
      <c r="S138">
        <f t="shared" si="24"/>
        <v>4266.5330026536858</v>
      </c>
      <c r="T138">
        <f t="shared" si="25"/>
        <v>12.799599007961056</v>
      </c>
      <c r="U138">
        <f>SUMPRODUCT(R139:R543,O139:O543)/(M138*O138)</f>
        <v>821444.05402756983</v>
      </c>
    </row>
    <row r="139" spans="1:21" x14ac:dyDescent="0.35">
      <c r="A139">
        <v>136</v>
      </c>
      <c r="B139">
        <f>A139/Inputs!$B$6</f>
        <v>11.333333333333334</v>
      </c>
      <c r="C139">
        <f>Inputs!$B$3+B139</f>
        <v>76.333333333333329</v>
      </c>
      <c r="D139">
        <f t="shared" si="18"/>
        <v>76</v>
      </c>
      <c r="E139">
        <f>Inputs!$B$7+1+INT((A139-1)/Inputs!$B$6)</f>
        <v>2037</v>
      </c>
      <c r="F139">
        <f>Inputs!$B$16</f>
        <v>8333.3333333333339</v>
      </c>
      <c r="G139">
        <f>Inputs!$B$12</f>
        <v>25</v>
      </c>
      <c r="H139">
        <f>IFERROR(INDEX(RP2014_Qx!$B:$B,MATCH(D139,RP2014_Qx!$A:$A,0)),"")</f>
        <v>2.3118E-2</v>
      </c>
      <c r="I139">
        <f>SUMIFS(MP2016_Long!$C:$C,MP2016_Long!$A:$A,D139,MP2016_Long!$B:$B,"&gt;=2014",MP2016_Long!$B:$B,"&lt;"&amp;E139)</f>
        <v>0.18050000000000002</v>
      </c>
      <c r="J139">
        <f t="shared" si="19"/>
        <v>2.7691113096385889E-2</v>
      </c>
      <c r="K139">
        <f t="shared" si="20"/>
        <v>2.8081740124356807E-2</v>
      </c>
      <c r="L139">
        <f>EXP(-K139/Inputs!$B$6)</f>
        <v>0.99766259099433963</v>
      </c>
      <c r="M139">
        <f t="shared" si="26"/>
        <v>0.83225844266167437</v>
      </c>
      <c r="N139">
        <f>IFERROR(INDEX(MonthlyCurve!$I:$I,MATCH(A139,MonthlyCurve!$A:$A,0)),"")</f>
        <v>4.3450733333333331E-2</v>
      </c>
      <c r="O139">
        <f>IFERROR(INDEX(MonthlyCurve!$J:$J,MATCH(A139,MonthlyCurve!$A:$A,0)),"")</f>
        <v>0.6111324029924009</v>
      </c>
      <c r="P139">
        <f t="shared" si="21"/>
        <v>6935.4870221806204</v>
      </c>
      <c r="Q139">
        <f t="shared" si="22"/>
        <v>20.806461066541861</v>
      </c>
      <c r="R139">
        <f t="shared" si="23"/>
        <v>6956.2934832471619</v>
      </c>
      <c r="S139">
        <f t="shared" si="24"/>
        <v>4238.5008497878534</v>
      </c>
      <c r="T139">
        <f t="shared" si="25"/>
        <v>12.71550254936356</v>
      </c>
      <c r="U139">
        <f>SUMPRODUCT(R140:R543,O140:O543)/(M139*O139)</f>
        <v>818518.5013186367</v>
      </c>
    </row>
    <row r="140" spans="1:21" x14ac:dyDescent="0.35">
      <c r="A140">
        <v>137</v>
      </c>
      <c r="B140">
        <f>A140/Inputs!$B$6</f>
        <v>11.416666666666666</v>
      </c>
      <c r="C140">
        <f>Inputs!$B$3+B140</f>
        <v>76.416666666666671</v>
      </c>
      <c r="D140">
        <f t="shared" si="18"/>
        <v>76</v>
      </c>
      <c r="E140">
        <f>Inputs!$B$7+1+INT((A140-1)/Inputs!$B$6)</f>
        <v>2037</v>
      </c>
      <c r="F140">
        <f>Inputs!$B$16</f>
        <v>8333.3333333333339</v>
      </c>
      <c r="G140">
        <f>Inputs!$B$12</f>
        <v>25</v>
      </c>
      <c r="H140">
        <f>IFERROR(INDEX(RP2014_Qx!$B:$B,MATCH(D140,RP2014_Qx!$A:$A,0)),"")</f>
        <v>2.3118E-2</v>
      </c>
      <c r="I140">
        <f>SUMIFS(MP2016_Long!$C:$C,MP2016_Long!$A:$A,D140,MP2016_Long!$B:$B,"&gt;=2014",MP2016_Long!$B:$B,"&lt;"&amp;E140)</f>
        <v>0.18050000000000002</v>
      </c>
      <c r="J140">
        <f t="shared" si="19"/>
        <v>2.7691113096385889E-2</v>
      </c>
      <c r="K140">
        <f t="shared" si="20"/>
        <v>2.8081740124356807E-2</v>
      </c>
      <c r="L140">
        <f>EXP(-K140/Inputs!$B$6)</f>
        <v>0.99766259099433963</v>
      </c>
      <c r="M140">
        <f t="shared" si="26"/>
        <v>0.83031311428276011</v>
      </c>
      <c r="N140">
        <f>IFERROR(INDEX(MonthlyCurve!$I:$I,MATCH(A140,MonthlyCurve!$A:$A,0)),"")</f>
        <v>4.3506811666666666E-2</v>
      </c>
      <c r="O140">
        <f>IFERROR(INDEX(MonthlyCurve!$J:$J,MATCH(A140,MonthlyCurve!$A:$A,0)),"")</f>
        <v>0.60853383355685875</v>
      </c>
      <c r="P140">
        <f t="shared" si="21"/>
        <v>6919.2759523563345</v>
      </c>
      <c r="Q140">
        <f t="shared" si="22"/>
        <v>20.757827857069003</v>
      </c>
      <c r="R140">
        <f t="shared" si="23"/>
        <v>6940.0337802134036</v>
      </c>
      <c r="S140">
        <f t="shared" si="24"/>
        <v>4210.6135207251846</v>
      </c>
      <c r="T140">
        <f t="shared" si="25"/>
        <v>12.631840562175555</v>
      </c>
      <c r="U140">
        <f>SUMPRODUCT(R141:R543,O141:O543)/(M140*O140)</f>
        <v>815581.30071995128</v>
      </c>
    </row>
    <row r="141" spans="1:21" x14ac:dyDescent="0.35">
      <c r="A141">
        <v>138</v>
      </c>
      <c r="B141">
        <f>A141/Inputs!$B$6</f>
        <v>11.5</v>
      </c>
      <c r="C141">
        <f>Inputs!$B$3+B141</f>
        <v>76.5</v>
      </c>
      <c r="D141">
        <f t="shared" si="18"/>
        <v>76</v>
      </c>
      <c r="E141">
        <f>Inputs!$B$7+1+INT((A141-1)/Inputs!$B$6)</f>
        <v>2037</v>
      </c>
      <c r="F141">
        <f>Inputs!$B$16</f>
        <v>8333.3333333333339</v>
      </c>
      <c r="G141">
        <f>Inputs!$B$12</f>
        <v>25</v>
      </c>
      <c r="H141">
        <f>IFERROR(INDEX(RP2014_Qx!$B:$B,MATCH(D141,RP2014_Qx!$A:$A,0)),"")</f>
        <v>2.3118E-2</v>
      </c>
      <c r="I141">
        <f>SUMIFS(MP2016_Long!$C:$C,MP2016_Long!$A:$A,D141,MP2016_Long!$B:$B,"&gt;=2014",MP2016_Long!$B:$B,"&lt;"&amp;E141)</f>
        <v>0.18050000000000002</v>
      </c>
      <c r="J141">
        <f t="shared" si="19"/>
        <v>2.7691113096385889E-2</v>
      </c>
      <c r="K141">
        <f t="shared" si="20"/>
        <v>2.8081740124356807E-2</v>
      </c>
      <c r="L141">
        <f>EXP(-K141/Inputs!$B$6)</f>
        <v>0.99766259099433963</v>
      </c>
      <c r="M141">
        <f t="shared" si="26"/>
        <v>0.8283723329319177</v>
      </c>
      <c r="N141">
        <f>IFERROR(INDEX(MonthlyCurve!$I:$I,MATCH(A141,MonthlyCurve!$A:$A,0)),"")</f>
        <v>4.356289E-2</v>
      </c>
      <c r="O141">
        <f>IFERROR(INDEX(MonthlyCurve!$J:$J,MATCH(A141,MonthlyCurve!$A:$A,0)),"")</f>
        <v>0.60594065000164932</v>
      </c>
      <c r="P141">
        <f t="shared" si="21"/>
        <v>6903.1027744326484</v>
      </c>
      <c r="Q141">
        <f t="shared" si="22"/>
        <v>20.709308323297943</v>
      </c>
      <c r="R141">
        <f t="shared" si="23"/>
        <v>6923.812082755946</v>
      </c>
      <c r="S141">
        <f t="shared" si="24"/>
        <v>4182.8705821679077</v>
      </c>
      <c r="T141">
        <f t="shared" si="25"/>
        <v>12.548611746503722</v>
      </c>
      <c r="U141">
        <f>SUMPRODUCT(R142:R543,O142:O543)/(M141*O141)</f>
        <v>812632.31999982055</v>
      </c>
    </row>
    <row r="142" spans="1:21" x14ac:dyDescent="0.35">
      <c r="A142">
        <v>139</v>
      </c>
      <c r="B142">
        <f>A142/Inputs!$B$6</f>
        <v>11.583333333333334</v>
      </c>
      <c r="C142">
        <f>Inputs!$B$3+B142</f>
        <v>76.583333333333329</v>
      </c>
      <c r="D142">
        <f t="shared" si="18"/>
        <v>76</v>
      </c>
      <c r="E142">
        <f>Inputs!$B$7+1+INT((A142-1)/Inputs!$B$6)</f>
        <v>2037</v>
      </c>
      <c r="F142">
        <f>Inputs!$B$16</f>
        <v>8333.3333333333339</v>
      </c>
      <c r="G142">
        <f>Inputs!$B$12</f>
        <v>25</v>
      </c>
      <c r="H142">
        <f>IFERROR(INDEX(RP2014_Qx!$B:$B,MATCH(D142,RP2014_Qx!$A:$A,0)),"")</f>
        <v>2.3118E-2</v>
      </c>
      <c r="I142">
        <f>SUMIFS(MP2016_Long!$C:$C,MP2016_Long!$A:$A,D142,MP2016_Long!$B:$B,"&gt;=2014",MP2016_Long!$B:$B,"&lt;"&amp;E142)</f>
        <v>0.18050000000000002</v>
      </c>
      <c r="J142">
        <f t="shared" si="19"/>
        <v>2.7691113096385889E-2</v>
      </c>
      <c r="K142">
        <f t="shared" si="20"/>
        <v>2.8081740124356807E-2</v>
      </c>
      <c r="L142">
        <f>EXP(-K142/Inputs!$B$6)</f>
        <v>0.99766259099433963</v>
      </c>
      <c r="M142">
        <f t="shared" si="26"/>
        <v>0.82643608798088275</v>
      </c>
      <c r="N142">
        <f>IFERROR(INDEX(MonthlyCurve!$I:$I,MATCH(A142,MonthlyCurve!$A:$A,0)),"")</f>
        <v>4.3619668333333333E-2</v>
      </c>
      <c r="O142">
        <f>IFERROR(INDEX(MonthlyCurve!$J:$J,MATCH(A142,MonthlyCurve!$A:$A,0)),"")</f>
        <v>0.60334798557946057</v>
      </c>
      <c r="P142">
        <f t="shared" si="21"/>
        <v>6886.9673998406897</v>
      </c>
      <c r="Q142">
        <f t="shared" si="22"/>
        <v>20.66090219952207</v>
      </c>
      <c r="R142">
        <f t="shared" si="23"/>
        <v>6907.6283020402116</v>
      </c>
      <c r="S142">
        <f t="shared" si="24"/>
        <v>4155.2379074452956</v>
      </c>
      <c r="T142">
        <f t="shared" si="25"/>
        <v>12.465713722335886</v>
      </c>
      <c r="U142">
        <f>SUMPRODUCT(R143:R543,O143:O543)/(M142*O142)</f>
        <v>809678.05860359618</v>
      </c>
    </row>
    <row r="143" spans="1:21" x14ac:dyDescent="0.35">
      <c r="A143">
        <v>140</v>
      </c>
      <c r="B143">
        <f>A143/Inputs!$B$6</f>
        <v>11.666666666666666</v>
      </c>
      <c r="C143">
        <f>Inputs!$B$3+B143</f>
        <v>76.666666666666671</v>
      </c>
      <c r="D143">
        <f t="shared" si="18"/>
        <v>76</v>
      </c>
      <c r="E143">
        <f>Inputs!$B$7+1+INT((A143-1)/Inputs!$B$6)</f>
        <v>2037</v>
      </c>
      <c r="F143">
        <f>Inputs!$B$16</f>
        <v>8333.3333333333339</v>
      </c>
      <c r="G143">
        <f>Inputs!$B$12</f>
        <v>25</v>
      </c>
      <c r="H143">
        <f>IFERROR(INDEX(RP2014_Qx!$B:$B,MATCH(D143,RP2014_Qx!$A:$A,0)),"")</f>
        <v>2.3118E-2</v>
      </c>
      <c r="I143">
        <f>SUMIFS(MP2016_Long!$C:$C,MP2016_Long!$A:$A,D143,MP2016_Long!$B:$B,"&gt;=2014",MP2016_Long!$B:$B,"&lt;"&amp;E143)</f>
        <v>0.18050000000000002</v>
      </c>
      <c r="J143">
        <f t="shared" si="19"/>
        <v>2.7691113096385889E-2</v>
      </c>
      <c r="K143">
        <f t="shared" si="20"/>
        <v>2.8081740124356807E-2</v>
      </c>
      <c r="L143">
        <f>EXP(-K143/Inputs!$B$6)</f>
        <v>0.99766259099433963</v>
      </c>
      <c r="M143">
        <f t="shared" si="26"/>
        <v>0.82450436882623346</v>
      </c>
      <c r="N143">
        <f>IFERROR(INDEX(MonthlyCurve!$I:$I,MATCH(A143,MonthlyCurve!$A:$A,0)),"")</f>
        <v>4.3676446666666667E-2</v>
      </c>
      <c r="O143">
        <f>IFERROR(INDEX(MonthlyCurve!$J:$J,MATCH(A143,MonthlyCurve!$A:$A,0)),"")</f>
        <v>0.60076072944342274</v>
      </c>
      <c r="P143">
        <f t="shared" si="21"/>
        <v>6870.8697402186126</v>
      </c>
      <c r="Q143">
        <f t="shared" si="22"/>
        <v>20.612609220655838</v>
      </c>
      <c r="R143">
        <f t="shared" si="23"/>
        <v>6891.4823494392685</v>
      </c>
      <c r="S143">
        <f t="shared" si="24"/>
        <v>4127.7487170444738</v>
      </c>
      <c r="T143">
        <f t="shared" si="25"/>
        <v>12.383246151133422</v>
      </c>
      <c r="U143">
        <f>SUMPRODUCT(R144:R543,O144:O543)/(M143*O143)</f>
        <v>806711.86414354621</v>
      </c>
    </row>
    <row r="144" spans="1:21" x14ac:dyDescent="0.35">
      <c r="A144">
        <v>141</v>
      </c>
      <c r="B144">
        <f>A144/Inputs!$B$6</f>
        <v>11.75</v>
      </c>
      <c r="C144">
        <f>Inputs!$B$3+B144</f>
        <v>76.75</v>
      </c>
      <c r="D144">
        <f t="shared" si="18"/>
        <v>76</v>
      </c>
      <c r="E144">
        <f>Inputs!$B$7+1+INT((A144-1)/Inputs!$B$6)</f>
        <v>2037</v>
      </c>
      <c r="F144">
        <f>Inputs!$B$16</f>
        <v>8333.3333333333339</v>
      </c>
      <c r="G144">
        <f>Inputs!$B$12</f>
        <v>25</v>
      </c>
      <c r="H144">
        <f>IFERROR(INDEX(RP2014_Qx!$B:$B,MATCH(D144,RP2014_Qx!$A:$A,0)),"")</f>
        <v>2.3118E-2</v>
      </c>
      <c r="I144">
        <f>SUMIFS(MP2016_Long!$C:$C,MP2016_Long!$A:$A,D144,MP2016_Long!$B:$B,"&gt;=2014",MP2016_Long!$B:$B,"&lt;"&amp;E144)</f>
        <v>0.18050000000000002</v>
      </c>
      <c r="J144">
        <f t="shared" si="19"/>
        <v>2.7691113096385889E-2</v>
      </c>
      <c r="K144">
        <f t="shared" si="20"/>
        <v>2.8081740124356807E-2</v>
      </c>
      <c r="L144">
        <f>EXP(-K144/Inputs!$B$6)</f>
        <v>0.99766259099433963</v>
      </c>
      <c r="M144">
        <f t="shared" si="26"/>
        <v>0.82257716488933275</v>
      </c>
      <c r="N144">
        <f>IFERROR(INDEX(MonthlyCurve!$I:$I,MATCH(A144,MonthlyCurve!$A:$A,0)),"")</f>
        <v>4.3733225000000001E-2</v>
      </c>
      <c r="O144">
        <f>IFERROR(INDEX(MonthlyCurve!$J:$J,MATCH(A144,MonthlyCurve!$A:$A,0)),"")</f>
        <v>0.59817890726338563</v>
      </c>
      <c r="P144">
        <f t="shared" si="21"/>
        <v>6854.8097074111065</v>
      </c>
      <c r="Q144">
        <f t="shared" si="22"/>
        <v>20.564429122233317</v>
      </c>
      <c r="R144">
        <f t="shared" si="23"/>
        <v>6875.3741365333399</v>
      </c>
      <c r="S144">
        <f t="shared" si="24"/>
        <v>4100.4025802776241</v>
      </c>
      <c r="T144">
        <f t="shared" si="25"/>
        <v>12.30120774083287</v>
      </c>
      <c r="U144">
        <f>SUMPRODUCT(R145:R543,O145:O543)/(M144*O144)</f>
        <v>803733.60082441522</v>
      </c>
    </row>
    <row r="145" spans="1:21" x14ac:dyDescent="0.35">
      <c r="A145">
        <v>142</v>
      </c>
      <c r="B145">
        <f>A145/Inputs!$B$6</f>
        <v>11.833333333333334</v>
      </c>
      <c r="C145">
        <f>Inputs!$B$3+B145</f>
        <v>76.833333333333329</v>
      </c>
      <c r="D145">
        <f t="shared" si="18"/>
        <v>76</v>
      </c>
      <c r="E145">
        <f>Inputs!$B$7+1+INT((A145-1)/Inputs!$B$6)</f>
        <v>2037</v>
      </c>
      <c r="F145">
        <f>Inputs!$B$16</f>
        <v>8333.3333333333339</v>
      </c>
      <c r="G145">
        <f>Inputs!$B$12</f>
        <v>25</v>
      </c>
      <c r="H145">
        <f>IFERROR(INDEX(RP2014_Qx!$B:$B,MATCH(D145,RP2014_Qx!$A:$A,0)),"")</f>
        <v>2.3118E-2</v>
      </c>
      <c r="I145">
        <f>SUMIFS(MP2016_Long!$C:$C,MP2016_Long!$A:$A,D145,MP2016_Long!$B:$B,"&gt;=2014",MP2016_Long!$B:$B,"&lt;"&amp;E145)</f>
        <v>0.18050000000000002</v>
      </c>
      <c r="J145">
        <f t="shared" si="19"/>
        <v>2.7691113096385889E-2</v>
      </c>
      <c r="K145">
        <f t="shared" si="20"/>
        <v>2.8081740124356807E-2</v>
      </c>
      <c r="L145">
        <f>EXP(-K145/Inputs!$B$6)</f>
        <v>0.99766259099433963</v>
      </c>
      <c r="M145">
        <f t="shared" si="26"/>
        <v>0.82065446561626987</v>
      </c>
      <c r="N145">
        <f>IFERROR(INDEX(MonthlyCurve!$I:$I,MATCH(A145,MonthlyCurve!$A:$A,0)),"")</f>
        <v>4.3790003333333334E-2</v>
      </c>
      <c r="O145">
        <f>IFERROR(INDEX(MonthlyCurve!$J:$J,MATCH(A145,MonthlyCurve!$A:$A,0)),"")</f>
        <v>0.59560254444506899</v>
      </c>
      <c r="P145">
        <f t="shared" si="21"/>
        <v>6838.787213468916</v>
      </c>
      <c r="Q145">
        <f t="shared" si="22"/>
        <v>20.516361640406746</v>
      </c>
      <c r="R145">
        <f t="shared" si="23"/>
        <v>6859.303575109323</v>
      </c>
      <c r="S145">
        <f t="shared" si="24"/>
        <v>4073.1990652604895</v>
      </c>
      <c r="T145">
        <f t="shared" si="25"/>
        <v>12.219597195781468</v>
      </c>
      <c r="U145">
        <f>SUMPRODUCT(R146:R543,O146:O543)/(M145*O145)</f>
        <v>800743.13160218811</v>
      </c>
    </row>
    <row r="146" spans="1:21" x14ac:dyDescent="0.35">
      <c r="A146">
        <v>143</v>
      </c>
      <c r="B146">
        <f>A146/Inputs!$B$6</f>
        <v>11.916666666666666</v>
      </c>
      <c r="C146">
        <f>Inputs!$B$3+B146</f>
        <v>76.916666666666671</v>
      </c>
      <c r="D146">
        <f t="shared" si="18"/>
        <v>76</v>
      </c>
      <c r="E146">
        <f>Inputs!$B$7+1+INT((A146-1)/Inputs!$B$6)</f>
        <v>2037</v>
      </c>
      <c r="F146">
        <f>Inputs!$B$16</f>
        <v>8333.3333333333339</v>
      </c>
      <c r="G146">
        <f>Inputs!$B$12</f>
        <v>25</v>
      </c>
      <c r="H146">
        <f>IFERROR(INDEX(RP2014_Qx!$B:$B,MATCH(D146,RP2014_Qx!$A:$A,0)),"")</f>
        <v>2.3118E-2</v>
      </c>
      <c r="I146">
        <f>SUMIFS(MP2016_Long!$C:$C,MP2016_Long!$A:$A,D146,MP2016_Long!$B:$B,"&gt;=2014",MP2016_Long!$B:$B,"&lt;"&amp;E146)</f>
        <v>0.18050000000000002</v>
      </c>
      <c r="J146">
        <f t="shared" si="19"/>
        <v>2.7691113096385889E-2</v>
      </c>
      <c r="K146">
        <f t="shared" si="20"/>
        <v>2.8081740124356807E-2</v>
      </c>
      <c r="L146">
        <f>EXP(-K146/Inputs!$B$6)</f>
        <v>0.99766259099433963</v>
      </c>
      <c r="M146">
        <f t="shared" si="26"/>
        <v>0.81873626047780301</v>
      </c>
      <c r="N146">
        <f>IFERROR(INDEX(MonthlyCurve!$I:$I,MATCH(A146,MonthlyCurve!$A:$A,0)),"")</f>
        <v>4.3846781666666668E-2</v>
      </c>
      <c r="O146">
        <f>IFERROR(INDEX(MonthlyCurve!$J:$J,MATCH(A146,MonthlyCurve!$A:$A,0)),"")</f>
        <v>0.5930316661302375</v>
      </c>
      <c r="P146">
        <f t="shared" si="21"/>
        <v>6822.8021706483587</v>
      </c>
      <c r="Q146">
        <f t="shared" si="22"/>
        <v>20.468406511945076</v>
      </c>
      <c r="R146">
        <f t="shared" si="23"/>
        <v>6843.2705771603041</v>
      </c>
      <c r="S146">
        <f t="shared" si="24"/>
        <v>4046.1377389365971</v>
      </c>
      <c r="T146">
        <f t="shared" si="25"/>
        <v>12.138413216809791</v>
      </c>
      <c r="U146">
        <f>SUMPRODUCT(R147:R543,O147:O543)/(M146*O146)</f>
        <v>797740.3181705568</v>
      </c>
    </row>
    <row r="147" spans="1:21" x14ac:dyDescent="0.35">
      <c r="A147">
        <v>144</v>
      </c>
      <c r="B147">
        <f>A147/Inputs!$B$6</f>
        <v>12</v>
      </c>
      <c r="C147">
        <f>Inputs!$B$3+B147</f>
        <v>77</v>
      </c>
      <c r="D147">
        <f t="shared" si="18"/>
        <v>77</v>
      </c>
      <c r="E147">
        <f>Inputs!$B$7+1+INT((A147-1)/Inputs!$B$6)</f>
        <v>2037</v>
      </c>
      <c r="F147">
        <f>Inputs!$B$16</f>
        <v>8333.3333333333339</v>
      </c>
      <c r="G147">
        <f>Inputs!$B$12</f>
        <v>25</v>
      </c>
      <c r="H147">
        <f>IFERROR(INDEX(RP2014_Qx!$B:$B,MATCH(D147,RP2014_Qx!$A:$A,0)),"")</f>
        <v>2.5554E-2</v>
      </c>
      <c r="I147">
        <f>SUMIFS(MP2016_Long!$C:$C,MP2016_Long!$A:$A,D147,MP2016_Long!$B:$B,"&gt;=2014",MP2016_Long!$B:$B,"&lt;"&amp;E147)</f>
        <v>0.18440000000000004</v>
      </c>
      <c r="J147">
        <f t="shared" si="19"/>
        <v>3.072860132597291E-2</v>
      </c>
      <c r="K147">
        <f t="shared" si="20"/>
        <v>3.1210625115838962E-2</v>
      </c>
      <c r="L147">
        <f>EXP(-K147/Inputs!$B$6)</f>
        <v>0.99740249394575908</v>
      </c>
      <c r="M147">
        <f t="shared" si="26"/>
        <v>0.81660958808438533</v>
      </c>
      <c r="N147">
        <f>IFERROR(INDEX(MonthlyCurve!$I:$I,MATCH(A147,MonthlyCurve!$A:$A,0)),"")</f>
        <v>4.3903560000000001E-2</v>
      </c>
      <c r="O147">
        <f>IFERROR(INDEX(MonthlyCurve!$J:$J,MATCH(A147,MonthlyCurve!$A:$A,0)),"")</f>
        <v>0.59046629719688803</v>
      </c>
      <c r="P147">
        <f t="shared" si="21"/>
        <v>6805.0799007032119</v>
      </c>
      <c r="Q147">
        <f t="shared" si="22"/>
        <v>20.415239702109634</v>
      </c>
      <c r="R147">
        <f t="shared" si="23"/>
        <v>6825.4951404053218</v>
      </c>
      <c r="S147">
        <f t="shared" si="24"/>
        <v>4018.170331097192</v>
      </c>
      <c r="T147">
        <f t="shared" si="25"/>
        <v>12.054510993291576</v>
      </c>
      <c r="U147">
        <f>SUMPRODUCT(R148:R543,O148:O543)/(M147*O147)</f>
        <v>794934.44453649188</v>
      </c>
    </row>
    <row r="148" spans="1:21" x14ac:dyDescent="0.35">
      <c r="A148">
        <v>145</v>
      </c>
      <c r="B148">
        <f>A148/Inputs!$B$6</f>
        <v>12.083333333333334</v>
      </c>
      <c r="C148">
        <f>Inputs!$B$3+B148</f>
        <v>77.083333333333329</v>
      </c>
      <c r="D148">
        <f t="shared" si="18"/>
        <v>77</v>
      </c>
      <c r="E148">
        <f>Inputs!$B$7+1+INT((A148-1)/Inputs!$B$6)</f>
        <v>2038</v>
      </c>
      <c r="F148">
        <f>Inputs!$B$16</f>
        <v>8333.3333333333339</v>
      </c>
      <c r="G148">
        <f>Inputs!$B$12</f>
        <v>25</v>
      </c>
      <c r="H148">
        <f>IFERROR(INDEX(RP2014_Qx!$B:$B,MATCH(D148,RP2014_Qx!$A:$A,0)),"")</f>
        <v>2.5554E-2</v>
      </c>
      <c r="I148">
        <f>SUMIFS(MP2016_Long!$C:$C,MP2016_Long!$A:$A,D148,MP2016_Long!$B:$B,"&gt;=2014",MP2016_Long!$B:$B,"&lt;"&amp;E148)</f>
        <v>0.18440000000000004</v>
      </c>
      <c r="J148">
        <f t="shared" si="19"/>
        <v>3.072860132597291E-2</v>
      </c>
      <c r="K148">
        <f t="shared" si="20"/>
        <v>3.1210625115838962E-2</v>
      </c>
      <c r="L148">
        <f>EXP(-K148/Inputs!$B$6)</f>
        <v>0.99740249394575908</v>
      </c>
      <c r="M148">
        <f t="shared" si="26"/>
        <v>0.81448843973538498</v>
      </c>
      <c r="N148">
        <f>IFERROR(INDEX(MonthlyCurve!$I:$I,MATCH(A148,MonthlyCurve!$A:$A,0)),"")</f>
        <v>4.3961065000000001E-2</v>
      </c>
      <c r="O148">
        <f>IFERROR(INDEX(MonthlyCurve!$J:$J,MATCH(A148,MonthlyCurve!$A:$A,0)),"")</f>
        <v>0.58790130013675812</v>
      </c>
      <c r="P148">
        <f t="shared" si="21"/>
        <v>6787.4036644615417</v>
      </c>
      <c r="Q148">
        <f t="shared" si="22"/>
        <v>20.362210993384625</v>
      </c>
      <c r="R148">
        <f t="shared" si="23"/>
        <v>6807.7658754549266</v>
      </c>
      <c r="S148">
        <f t="shared" si="24"/>
        <v>3990.3234388899368</v>
      </c>
      <c r="T148">
        <f t="shared" si="25"/>
        <v>11.97097031666981</v>
      </c>
      <c r="U148">
        <f>SUMPRODUCT(R149:R543,O149:O543)/(M148*O148)</f>
        <v>792123.64491260645</v>
      </c>
    </row>
    <row r="149" spans="1:21" x14ac:dyDescent="0.35">
      <c r="A149">
        <v>146</v>
      </c>
      <c r="B149">
        <f>A149/Inputs!$B$6</f>
        <v>12.166666666666666</v>
      </c>
      <c r="C149">
        <f>Inputs!$B$3+B149</f>
        <v>77.166666666666671</v>
      </c>
      <c r="D149">
        <f t="shared" si="18"/>
        <v>77</v>
      </c>
      <c r="E149">
        <f>Inputs!$B$7+1+INT((A149-1)/Inputs!$B$6)</f>
        <v>2038</v>
      </c>
      <c r="F149">
        <f>Inputs!$B$16</f>
        <v>8333.3333333333339</v>
      </c>
      <c r="G149">
        <f>Inputs!$B$12</f>
        <v>25</v>
      </c>
      <c r="H149">
        <f>IFERROR(INDEX(RP2014_Qx!$B:$B,MATCH(D149,RP2014_Qx!$A:$A,0)),"")</f>
        <v>2.5554E-2</v>
      </c>
      <c r="I149">
        <f>SUMIFS(MP2016_Long!$C:$C,MP2016_Long!$A:$A,D149,MP2016_Long!$B:$B,"&gt;=2014",MP2016_Long!$B:$B,"&lt;"&amp;E149)</f>
        <v>0.18440000000000004</v>
      </c>
      <c r="J149">
        <f t="shared" si="19"/>
        <v>3.072860132597291E-2</v>
      </c>
      <c r="K149">
        <f t="shared" si="20"/>
        <v>3.1210625115838962E-2</v>
      </c>
      <c r="L149">
        <f>EXP(-K149/Inputs!$B$6)</f>
        <v>0.99740249394575908</v>
      </c>
      <c r="M149">
        <f t="shared" si="26"/>
        <v>0.81237280108206311</v>
      </c>
      <c r="N149">
        <f>IFERROR(INDEX(MonthlyCurve!$I:$I,MATCH(A149,MonthlyCurve!$A:$A,0)),"")</f>
        <v>4.401857E-2</v>
      </c>
      <c r="O149">
        <f>IFERROR(INDEX(MonthlyCurve!$J:$J,MATCH(A149,MonthlyCurve!$A:$A,0)),"")</f>
        <v>0.58534183543307061</v>
      </c>
      <c r="P149">
        <f t="shared" si="21"/>
        <v>6769.773342350526</v>
      </c>
      <c r="Q149">
        <f t="shared" si="22"/>
        <v>20.309320027051577</v>
      </c>
      <c r="R149">
        <f t="shared" si="23"/>
        <v>6790.0826623775774</v>
      </c>
      <c r="S149">
        <f t="shared" si="24"/>
        <v>3962.63155367733</v>
      </c>
      <c r="T149">
        <f t="shared" si="25"/>
        <v>11.887894661031989</v>
      </c>
      <c r="U149">
        <f>SUMPRODUCT(R150:R543,O150:O543)/(M149*O149)</f>
        <v>789300.87468979112</v>
      </c>
    </row>
    <row r="150" spans="1:21" x14ac:dyDescent="0.35">
      <c r="A150">
        <v>147</v>
      </c>
      <c r="B150">
        <f>A150/Inputs!$B$6</f>
        <v>12.25</v>
      </c>
      <c r="C150">
        <f>Inputs!$B$3+B150</f>
        <v>77.25</v>
      </c>
      <c r="D150">
        <f t="shared" si="18"/>
        <v>77</v>
      </c>
      <c r="E150">
        <f>Inputs!$B$7+1+INT((A150-1)/Inputs!$B$6)</f>
        <v>2038</v>
      </c>
      <c r="F150">
        <f>Inputs!$B$16</f>
        <v>8333.3333333333339</v>
      </c>
      <c r="G150">
        <f>Inputs!$B$12</f>
        <v>25</v>
      </c>
      <c r="H150">
        <f>IFERROR(INDEX(RP2014_Qx!$B:$B,MATCH(D150,RP2014_Qx!$A:$A,0)),"")</f>
        <v>2.5554E-2</v>
      </c>
      <c r="I150">
        <f>SUMIFS(MP2016_Long!$C:$C,MP2016_Long!$A:$A,D150,MP2016_Long!$B:$B,"&gt;=2014",MP2016_Long!$B:$B,"&lt;"&amp;E150)</f>
        <v>0.18440000000000004</v>
      </c>
      <c r="J150">
        <f t="shared" si="19"/>
        <v>3.072860132597291E-2</v>
      </c>
      <c r="K150">
        <f t="shared" si="20"/>
        <v>3.1210625115838962E-2</v>
      </c>
      <c r="L150">
        <f>EXP(-K150/Inputs!$B$6)</f>
        <v>0.99740249394575908</v>
      </c>
      <c r="M150">
        <f t="shared" si="26"/>
        <v>0.81026265781295181</v>
      </c>
      <c r="N150">
        <f>IFERROR(INDEX(MonthlyCurve!$I:$I,MATCH(A150,MonthlyCurve!$A:$A,0)),"")</f>
        <v>4.4076074999999999E-2</v>
      </c>
      <c r="O150">
        <f>IFERROR(INDEX(MonthlyCurve!$J:$J,MATCH(A150,MonthlyCurve!$A:$A,0)),"")</f>
        <v>0.5827879279540128</v>
      </c>
      <c r="P150">
        <f t="shared" si="21"/>
        <v>6752.188815107932</v>
      </c>
      <c r="Q150">
        <f t="shared" si="22"/>
        <v>20.256566445323795</v>
      </c>
      <c r="R150">
        <f t="shared" si="23"/>
        <v>6772.4453815532561</v>
      </c>
      <c r="S150">
        <f t="shared" si="24"/>
        <v>3935.0941287110127</v>
      </c>
      <c r="T150">
        <f t="shared" si="25"/>
        <v>11.805282386133037</v>
      </c>
      <c r="U150">
        <f>SUMPRODUCT(R151:R543,O151:O543)/(M150*O150)</f>
        <v>786465.99591731187</v>
      </c>
    </row>
    <row r="151" spans="1:21" x14ac:dyDescent="0.35">
      <c r="A151">
        <v>148</v>
      </c>
      <c r="B151">
        <f>A151/Inputs!$B$6</f>
        <v>12.333333333333334</v>
      </c>
      <c r="C151">
        <f>Inputs!$B$3+B151</f>
        <v>77.333333333333329</v>
      </c>
      <c r="D151">
        <f t="shared" si="18"/>
        <v>77</v>
      </c>
      <c r="E151">
        <f>Inputs!$B$7+1+INT((A151-1)/Inputs!$B$6)</f>
        <v>2038</v>
      </c>
      <c r="F151">
        <f>Inputs!$B$16</f>
        <v>8333.3333333333339</v>
      </c>
      <c r="G151">
        <f>Inputs!$B$12</f>
        <v>25</v>
      </c>
      <c r="H151">
        <f>IFERROR(INDEX(RP2014_Qx!$B:$B,MATCH(D151,RP2014_Qx!$A:$A,0)),"")</f>
        <v>2.5554E-2</v>
      </c>
      <c r="I151">
        <f>SUMIFS(MP2016_Long!$C:$C,MP2016_Long!$A:$A,D151,MP2016_Long!$B:$B,"&gt;=2014",MP2016_Long!$B:$B,"&lt;"&amp;E151)</f>
        <v>0.18440000000000004</v>
      </c>
      <c r="J151">
        <f t="shared" si="19"/>
        <v>3.072860132597291E-2</v>
      </c>
      <c r="K151">
        <f t="shared" si="20"/>
        <v>3.1210625115838962E-2</v>
      </c>
      <c r="L151">
        <f>EXP(-K151/Inputs!$B$6)</f>
        <v>0.99740249394575908</v>
      </c>
      <c r="M151">
        <f t="shared" si="26"/>
        <v>0.80815799565375734</v>
      </c>
      <c r="N151">
        <f>IFERROR(INDEX(MonthlyCurve!$I:$I,MATCH(A151,MonthlyCurve!$A:$A,0)),"")</f>
        <v>4.4133579999999999E-2</v>
      </c>
      <c r="O151">
        <f>IFERROR(INDEX(MonthlyCurve!$J:$J,MATCH(A151,MonthlyCurve!$A:$A,0)),"")</f>
        <v>0.58023960229995386</v>
      </c>
      <c r="P151">
        <f t="shared" si="21"/>
        <v>6734.6499637813113</v>
      </c>
      <c r="Q151">
        <f t="shared" si="22"/>
        <v>20.203949891343935</v>
      </c>
      <c r="R151">
        <f t="shared" si="23"/>
        <v>6754.8539136726549</v>
      </c>
      <c r="S151">
        <f t="shared" si="24"/>
        <v>3907.7106166138669</v>
      </c>
      <c r="T151">
        <f t="shared" si="25"/>
        <v>11.7231318498416</v>
      </c>
      <c r="U151">
        <f>SUMPRODUCT(R152:R543,O152:O543)/(M151*O151)</f>
        <v>783618.86933036149</v>
      </c>
    </row>
    <row r="152" spans="1:21" x14ac:dyDescent="0.35">
      <c r="A152">
        <v>149</v>
      </c>
      <c r="B152">
        <f>A152/Inputs!$B$6</f>
        <v>12.416666666666666</v>
      </c>
      <c r="C152">
        <f>Inputs!$B$3+B152</f>
        <v>77.416666666666671</v>
      </c>
      <c r="D152">
        <f t="shared" si="18"/>
        <v>77</v>
      </c>
      <c r="E152">
        <f>Inputs!$B$7+1+INT((A152-1)/Inputs!$B$6)</f>
        <v>2038</v>
      </c>
      <c r="F152">
        <f>Inputs!$B$16</f>
        <v>8333.3333333333339</v>
      </c>
      <c r="G152">
        <f>Inputs!$B$12</f>
        <v>25</v>
      </c>
      <c r="H152">
        <f>IFERROR(INDEX(RP2014_Qx!$B:$B,MATCH(D152,RP2014_Qx!$A:$A,0)),"")</f>
        <v>2.5554E-2</v>
      </c>
      <c r="I152">
        <f>SUMIFS(MP2016_Long!$C:$C,MP2016_Long!$A:$A,D152,MP2016_Long!$B:$B,"&gt;=2014",MP2016_Long!$B:$B,"&lt;"&amp;E152)</f>
        <v>0.18440000000000004</v>
      </c>
      <c r="J152">
        <f t="shared" si="19"/>
        <v>3.072860132597291E-2</v>
      </c>
      <c r="K152">
        <f t="shared" si="20"/>
        <v>3.1210625115838962E-2</v>
      </c>
      <c r="L152">
        <f>EXP(-K152/Inputs!$B$6)</f>
        <v>0.99740249394575908</v>
      </c>
      <c r="M152">
        <f t="shared" si="26"/>
        <v>0.80605880036726352</v>
      </c>
      <c r="N152">
        <f>IFERROR(INDEX(MonthlyCurve!$I:$I,MATCH(A152,MonthlyCurve!$A:$A,0)),"")</f>
        <v>4.4191084999999998E-2</v>
      </c>
      <c r="O152">
        <f>IFERROR(INDEX(MonthlyCurve!$J:$J,MATCH(A152,MonthlyCurve!$A:$A,0)),"")</f>
        <v>0.57769688280367204</v>
      </c>
      <c r="P152">
        <f t="shared" si="21"/>
        <v>6717.1566697271965</v>
      </c>
      <c r="Q152">
        <f t="shared" si="22"/>
        <v>20.151470009181587</v>
      </c>
      <c r="R152">
        <f t="shared" si="23"/>
        <v>6737.3081397363776</v>
      </c>
      <c r="S152">
        <f t="shared" si="24"/>
        <v>3880.4804694052964</v>
      </c>
      <c r="T152">
        <f t="shared" si="25"/>
        <v>11.641441408215886</v>
      </c>
      <c r="U152">
        <f>SUMPRODUCT(R153:R543,O153:O543)/(M152*O152)</f>
        <v>780759.35433550843</v>
      </c>
    </row>
    <row r="153" spans="1:21" x14ac:dyDescent="0.35">
      <c r="A153">
        <v>150</v>
      </c>
      <c r="B153">
        <f>A153/Inputs!$B$6</f>
        <v>12.5</v>
      </c>
      <c r="C153">
        <f>Inputs!$B$3+B153</f>
        <v>77.5</v>
      </c>
      <c r="D153">
        <f t="shared" si="18"/>
        <v>77</v>
      </c>
      <c r="E153">
        <f>Inputs!$B$7+1+INT((A153-1)/Inputs!$B$6)</f>
        <v>2038</v>
      </c>
      <c r="F153">
        <f>Inputs!$B$16</f>
        <v>8333.3333333333339</v>
      </c>
      <c r="G153">
        <f>Inputs!$B$12</f>
        <v>25</v>
      </c>
      <c r="H153">
        <f>IFERROR(INDEX(RP2014_Qx!$B:$B,MATCH(D153,RP2014_Qx!$A:$A,0)),"")</f>
        <v>2.5554E-2</v>
      </c>
      <c r="I153">
        <f>SUMIFS(MP2016_Long!$C:$C,MP2016_Long!$A:$A,D153,MP2016_Long!$B:$B,"&gt;=2014",MP2016_Long!$B:$B,"&lt;"&amp;E153)</f>
        <v>0.18440000000000004</v>
      </c>
      <c r="J153">
        <f t="shared" si="19"/>
        <v>3.072860132597291E-2</v>
      </c>
      <c r="K153">
        <f t="shared" si="20"/>
        <v>3.1210625115838962E-2</v>
      </c>
      <c r="L153">
        <f>EXP(-K153/Inputs!$B$6)</f>
        <v>0.99740249394575908</v>
      </c>
      <c r="M153">
        <f t="shared" si="26"/>
        <v>0.80396505775323535</v>
      </c>
      <c r="N153">
        <f>IFERROR(INDEX(MonthlyCurve!$I:$I,MATCH(A153,MonthlyCurve!$A:$A,0)),"")</f>
        <v>4.4248589999999997E-2</v>
      </c>
      <c r="O153">
        <f>IFERROR(INDEX(MonthlyCurve!$J:$J,MATCH(A153,MonthlyCurve!$A:$A,0)),"")</f>
        <v>0.57515979353059388</v>
      </c>
      <c r="P153">
        <f t="shared" si="21"/>
        <v>6699.7088146102951</v>
      </c>
      <c r="Q153">
        <f t="shared" si="22"/>
        <v>20.099126443830883</v>
      </c>
      <c r="R153">
        <f t="shared" si="23"/>
        <v>6719.8079410541259</v>
      </c>
      <c r="S153">
        <f t="shared" si="24"/>
        <v>3853.403138526357</v>
      </c>
      <c r="T153">
        <f t="shared" si="25"/>
        <v>11.56020941557907</v>
      </c>
      <c r="U153">
        <f>SUMPRODUCT(R154:R543,O154:O543)/(M153*O153)</f>
        <v>777887.3089959753</v>
      </c>
    </row>
    <row r="154" spans="1:21" x14ac:dyDescent="0.35">
      <c r="A154">
        <v>151</v>
      </c>
      <c r="B154">
        <f>A154/Inputs!$B$6</f>
        <v>12.583333333333334</v>
      </c>
      <c r="C154">
        <f>Inputs!$B$3+B154</f>
        <v>77.583333333333329</v>
      </c>
      <c r="D154">
        <f t="shared" si="18"/>
        <v>77</v>
      </c>
      <c r="E154">
        <f>Inputs!$B$7+1+INT((A154-1)/Inputs!$B$6)</f>
        <v>2038</v>
      </c>
      <c r="F154">
        <f>Inputs!$B$16</f>
        <v>8333.3333333333339</v>
      </c>
      <c r="G154">
        <f>Inputs!$B$12</f>
        <v>25</v>
      </c>
      <c r="H154">
        <f>IFERROR(INDEX(RP2014_Qx!$B:$B,MATCH(D154,RP2014_Qx!$A:$A,0)),"")</f>
        <v>2.5554E-2</v>
      </c>
      <c r="I154">
        <f>SUMIFS(MP2016_Long!$C:$C,MP2016_Long!$A:$A,D154,MP2016_Long!$B:$B,"&gt;=2014",MP2016_Long!$B:$B,"&lt;"&amp;E154)</f>
        <v>0.18440000000000004</v>
      </c>
      <c r="J154">
        <f t="shared" si="19"/>
        <v>3.072860132597291E-2</v>
      </c>
      <c r="K154">
        <f t="shared" si="20"/>
        <v>3.1210625115838962E-2</v>
      </c>
      <c r="L154">
        <f>EXP(-K154/Inputs!$B$6)</f>
        <v>0.99740249394575908</v>
      </c>
      <c r="M154">
        <f t="shared" si="26"/>
        <v>0.80187675364832312</v>
      </c>
      <c r="N154">
        <f>IFERROR(INDEX(MonthlyCurve!$I:$I,MATCH(A154,MonthlyCurve!$A:$A,0)),"")</f>
        <v>4.4306846666666663E-2</v>
      </c>
      <c r="O154">
        <f>IFERROR(INDEX(MonthlyCurve!$J:$J,MATCH(A154,MonthlyCurve!$A:$A,0)),"")</f>
        <v>0.57262294211523934</v>
      </c>
      <c r="P154">
        <f t="shared" si="21"/>
        <v>6682.3062804026931</v>
      </c>
      <c r="Q154">
        <f t="shared" si="22"/>
        <v>20.046918841208079</v>
      </c>
      <c r="R154">
        <f t="shared" si="23"/>
        <v>6702.3531992439011</v>
      </c>
      <c r="S154">
        <f t="shared" si="24"/>
        <v>3826.4418823993315</v>
      </c>
      <c r="T154">
        <f t="shared" si="25"/>
        <v>11.479325647197994</v>
      </c>
      <c r="U154">
        <f>SUMPRODUCT(R155:R543,O155:O543)/(M154*O154)</f>
        <v>775009.99944932817</v>
      </c>
    </row>
    <row r="155" spans="1:21" x14ac:dyDescent="0.35">
      <c r="A155">
        <v>152</v>
      </c>
      <c r="B155">
        <f>A155/Inputs!$B$6</f>
        <v>12.666666666666666</v>
      </c>
      <c r="C155">
        <f>Inputs!$B$3+B155</f>
        <v>77.666666666666671</v>
      </c>
      <c r="D155">
        <f t="shared" si="18"/>
        <v>77</v>
      </c>
      <c r="E155">
        <f>Inputs!$B$7+1+INT((A155-1)/Inputs!$B$6)</f>
        <v>2038</v>
      </c>
      <c r="F155">
        <f>Inputs!$B$16</f>
        <v>8333.3333333333339</v>
      </c>
      <c r="G155">
        <f>Inputs!$B$12</f>
        <v>25</v>
      </c>
      <c r="H155">
        <f>IFERROR(INDEX(RP2014_Qx!$B:$B,MATCH(D155,RP2014_Qx!$A:$A,0)),"")</f>
        <v>2.5554E-2</v>
      </c>
      <c r="I155">
        <f>SUMIFS(MP2016_Long!$C:$C,MP2016_Long!$A:$A,D155,MP2016_Long!$B:$B,"&gt;=2014",MP2016_Long!$B:$B,"&lt;"&amp;E155)</f>
        <v>0.18440000000000004</v>
      </c>
      <c r="J155">
        <f t="shared" si="19"/>
        <v>3.072860132597291E-2</v>
      </c>
      <c r="K155">
        <f t="shared" si="20"/>
        <v>3.1210625115838962E-2</v>
      </c>
      <c r="L155">
        <f>EXP(-K155/Inputs!$B$6)</f>
        <v>0.99740249394575908</v>
      </c>
      <c r="M155">
        <f t="shared" si="26"/>
        <v>0.79979387392596657</v>
      </c>
      <c r="N155">
        <f>IFERROR(INDEX(MonthlyCurve!$I:$I,MATCH(A155,MonthlyCurve!$A:$A,0)),"")</f>
        <v>4.4365103333333329E-2</v>
      </c>
      <c r="O155">
        <f>IFERROR(INDEX(MonthlyCurve!$J:$J,MATCH(A155,MonthlyCurve!$A:$A,0)),"")</f>
        <v>0.57009174466346613</v>
      </c>
      <c r="P155">
        <f t="shared" si="21"/>
        <v>6664.9489493830552</v>
      </c>
      <c r="Q155">
        <f t="shared" si="22"/>
        <v>19.994846848149166</v>
      </c>
      <c r="R155">
        <f t="shared" si="23"/>
        <v>6684.943796231204</v>
      </c>
      <c r="S155">
        <f t="shared" si="24"/>
        <v>3799.6323746467215</v>
      </c>
      <c r="T155">
        <f t="shared" si="25"/>
        <v>11.398897123940165</v>
      </c>
      <c r="U155">
        <f>SUMPRODUCT(R156:R543,O156:O543)/(M155*O155)</f>
        <v>772119.99424353335</v>
      </c>
    </row>
    <row r="156" spans="1:21" x14ac:dyDescent="0.35">
      <c r="A156">
        <v>153</v>
      </c>
      <c r="B156">
        <f>A156/Inputs!$B$6</f>
        <v>12.75</v>
      </c>
      <c r="C156">
        <f>Inputs!$B$3+B156</f>
        <v>77.75</v>
      </c>
      <c r="D156">
        <f t="shared" si="18"/>
        <v>77</v>
      </c>
      <c r="E156">
        <f>Inputs!$B$7+1+INT((A156-1)/Inputs!$B$6)</f>
        <v>2038</v>
      </c>
      <c r="F156">
        <f>Inputs!$B$16</f>
        <v>8333.3333333333339</v>
      </c>
      <c r="G156">
        <f>Inputs!$B$12</f>
        <v>25</v>
      </c>
      <c r="H156">
        <f>IFERROR(INDEX(RP2014_Qx!$B:$B,MATCH(D156,RP2014_Qx!$A:$A,0)),"")</f>
        <v>2.5554E-2</v>
      </c>
      <c r="I156">
        <f>SUMIFS(MP2016_Long!$C:$C,MP2016_Long!$A:$A,D156,MP2016_Long!$B:$B,"&gt;=2014",MP2016_Long!$B:$B,"&lt;"&amp;E156)</f>
        <v>0.18440000000000004</v>
      </c>
      <c r="J156">
        <f t="shared" si="19"/>
        <v>3.072860132597291E-2</v>
      </c>
      <c r="K156">
        <f t="shared" si="20"/>
        <v>3.1210625115838962E-2</v>
      </c>
      <c r="L156">
        <f>EXP(-K156/Inputs!$B$6)</f>
        <v>0.99740249394575908</v>
      </c>
      <c r="M156">
        <f t="shared" si="26"/>
        <v>0.7977164044962991</v>
      </c>
      <c r="N156">
        <f>IFERROR(INDEX(MonthlyCurve!$I:$I,MATCH(A156,MonthlyCurve!$A:$A,0)),"")</f>
        <v>4.4423359999999995E-2</v>
      </c>
      <c r="O156">
        <f>IFERROR(INDEX(MonthlyCurve!$J:$J,MATCH(A156,MonthlyCurve!$A:$A,0)),"")</f>
        <v>0.56756622522690714</v>
      </c>
      <c r="P156">
        <f t="shared" si="21"/>
        <v>6647.6367041358262</v>
      </c>
      <c r="Q156">
        <f t="shared" si="22"/>
        <v>19.942910112407478</v>
      </c>
      <c r="R156">
        <f t="shared" si="23"/>
        <v>6667.5796142482341</v>
      </c>
      <c r="S156">
        <f t="shared" si="24"/>
        <v>3772.9740708462091</v>
      </c>
      <c r="T156">
        <f t="shared" si="25"/>
        <v>11.318922212538627</v>
      </c>
      <c r="U156">
        <f>SUMPRODUCT(R157:R543,O157:O543)/(M156*O156)</f>
        <v>769217.14748140192</v>
      </c>
    </row>
    <row r="157" spans="1:21" x14ac:dyDescent="0.35">
      <c r="A157">
        <v>154</v>
      </c>
      <c r="B157">
        <f>A157/Inputs!$B$6</f>
        <v>12.833333333333334</v>
      </c>
      <c r="C157">
        <f>Inputs!$B$3+B157</f>
        <v>77.833333333333329</v>
      </c>
      <c r="D157">
        <f t="shared" si="18"/>
        <v>77</v>
      </c>
      <c r="E157">
        <f>Inputs!$B$7+1+INT((A157-1)/Inputs!$B$6)</f>
        <v>2038</v>
      </c>
      <c r="F157">
        <f>Inputs!$B$16</f>
        <v>8333.3333333333339</v>
      </c>
      <c r="G157">
        <f>Inputs!$B$12</f>
        <v>25</v>
      </c>
      <c r="H157">
        <f>IFERROR(INDEX(RP2014_Qx!$B:$B,MATCH(D157,RP2014_Qx!$A:$A,0)),"")</f>
        <v>2.5554E-2</v>
      </c>
      <c r="I157">
        <f>SUMIFS(MP2016_Long!$C:$C,MP2016_Long!$A:$A,D157,MP2016_Long!$B:$B,"&gt;=2014",MP2016_Long!$B:$B,"&lt;"&amp;E157)</f>
        <v>0.18440000000000004</v>
      </c>
      <c r="J157">
        <f t="shared" si="19"/>
        <v>3.072860132597291E-2</v>
      </c>
      <c r="K157">
        <f t="shared" si="20"/>
        <v>3.1210625115838962E-2</v>
      </c>
      <c r="L157">
        <f>EXP(-K157/Inputs!$B$6)</f>
        <v>0.99740249394575908</v>
      </c>
      <c r="M157">
        <f t="shared" si="26"/>
        <v>0.79564433130605272</v>
      </c>
      <c r="N157">
        <f>IFERROR(INDEX(MonthlyCurve!$I:$I,MATCH(A157,MonthlyCurve!$A:$A,0)),"")</f>
        <v>4.4481616666666668E-2</v>
      </c>
      <c r="O157">
        <f>IFERROR(INDEX(MonthlyCurve!$J:$J,MATCH(A157,MonthlyCurve!$A:$A,0)),"")</f>
        <v>0.5650464075857391</v>
      </c>
      <c r="P157">
        <f t="shared" si="21"/>
        <v>6630.3694275504395</v>
      </c>
      <c r="Q157">
        <f t="shared" si="22"/>
        <v>19.891108282651317</v>
      </c>
      <c r="R157">
        <f t="shared" si="23"/>
        <v>6650.2605358330911</v>
      </c>
      <c r="S157">
        <f t="shared" si="24"/>
        <v>3746.4664260036893</v>
      </c>
      <c r="T157">
        <f t="shared" si="25"/>
        <v>11.239399278011067</v>
      </c>
      <c r="U157">
        <f>SUMPRODUCT(R158:R543,O158:O543)/(M157*O157)</f>
        <v>766301.3118602297</v>
      </c>
    </row>
    <row r="158" spans="1:21" x14ac:dyDescent="0.35">
      <c r="A158">
        <v>155</v>
      </c>
      <c r="B158">
        <f>A158/Inputs!$B$6</f>
        <v>12.916666666666666</v>
      </c>
      <c r="C158">
        <f>Inputs!$B$3+B158</f>
        <v>77.916666666666671</v>
      </c>
      <c r="D158">
        <f t="shared" si="18"/>
        <v>77</v>
      </c>
      <c r="E158">
        <f>Inputs!$B$7+1+INT((A158-1)/Inputs!$B$6)</f>
        <v>2038</v>
      </c>
      <c r="F158">
        <f>Inputs!$B$16</f>
        <v>8333.3333333333339</v>
      </c>
      <c r="G158">
        <f>Inputs!$B$12</f>
        <v>25</v>
      </c>
      <c r="H158">
        <f>IFERROR(INDEX(RP2014_Qx!$B:$B,MATCH(D158,RP2014_Qx!$A:$A,0)),"")</f>
        <v>2.5554E-2</v>
      </c>
      <c r="I158">
        <f>SUMIFS(MP2016_Long!$C:$C,MP2016_Long!$A:$A,D158,MP2016_Long!$B:$B,"&gt;=2014",MP2016_Long!$B:$B,"&lt;"&amp;E158)</f>
        <v>0.18440000000000004</v>
      </c>
      <c r="J158">
        <f t="shared" si="19"/>
        <v>3.072860132597291E-2</v>
      </c>
      <c r="K158">
        <f t="shared" si="20"/>
        <v>3.1210625115838962E-2</v>
      </c>
      <c r="L158">
        <f>EXP(-K158/Inputs!$B$6)</f>
        <v>0.99740249394575908</v>
      </c>
      <c r="M158">
        <f t="shared" si="26"/>
        <v>0.79357764033846279</v>
      </c>
      <c r="N158">
        <f>IFERROR(INDEX(MonthlyCurve!$I:$I,MATCH(A158,MonthlyCurve!$A:$A,0)),"")</f>
        <v>4.4539873333333334E-2</v>
      </c>
      <c r="O158">
        <f>IFERROR(INDEX(MonthlyCurve!$J:$J,MATCH(A158,MonthlyCurve!$A:$A,0)),"")</f>
        <v>0.56253231524896274</v>
      </c>
      <c r="P158">
        <f t="shared" si="21"/>
        <v>6613.147002820524</v>
      </c>
      <c r="Q158">
        <f t="shared" si="22"/>
        <v>19.83944100846157</v>
      </c>
      <c r="R158">
        <f t="shared" si="23"/>
        <v>6632.986443828986</v>
      </c>
      <c r="S158">
        <f t="shared" si="24"/>
        <v>3720.1088945783681</v>
      </c>
      <c r="T158">
        <f t="shared" si="25"/>
        <v>11.160326683735104</v>
      </c>
      <c r="U158">
        <f>SUMPRODUCT(R159:R543,O159:O543)/(M158*O158)</f>
        <v>763372.3386561271</v>
      </c>
    </row>
    <row r="159" spans="1:21" x14ac:dyDescent="0.35">
      <c r="A159">
        <v>156</v>
      </c>
      <c r="B159">
        <f>A159/Inputs!$B$6</f>
        <v>13</v>
      </c>
      <c r="C159">
        <f>Inputs!$B$3+B159</f>
        <v>78</v>
      </c>
      <c r="D159">
        <f t="shared" si="18"/>
        <v>78</v>
      </c>
      <c r="E159">
        <f>Inputs!$B$7+1+INT((A159-1)/Inputs!$B$6)</f>
        <v>2038</v>
      </c>
      <c r="F159">
        <f>Inputs!$B$16</f>
        <v>8333.3333333333339</v>
      </c>
      <c r="G159">
        <f>Inputs!$B$12</f>
        <v>25</v>
      </c>
      <c r="H159">
        <f>IFERROR(INDEX(RP2014_Qx!$B:$B,MATCH(D159,RP2014_Qx!$A:$A,0)),"")</f>
        <v>2.8288000000000001E-2</v>
      </c>
      <c r="I159">
        <f>SUMIFS(MP2016_Long!$C:$C,MP2016_Long!$A:$A,D159,MP2016_Long!$B:$B,"&gt;=2014",MP2016_Long!$B:$B,"&lt;"&amp;E159)</f>
        <v>0.18649999999999997</v>
      </c>
      <c r="J159">
        <f t="shared" si="19"/>
        <v>3.4087736509560179E-2</v>
      </c>
      <c r="K159">
        <f t="shared" si="20"/>
        <v>3.4682273438475901E-2</v>
      </c>
      <c r="L159">
        <f>EXP(-K159/Inputs!$B$6)</f>
        <v>0.99711398312351762</v>
      </c>
      <c r="M159">
        <f t="shared" si="26"/>
        <v>0.79128736187564697</v>
      </c>
      <c r="N159">
        <f>IFERROR(INDEX(MonthlyCurve!$I:$I,MATCH(A159,MonthlyCurve!$A:$A,0)),"")</f>
        <v>4.459813E-2</v>
      </c>
      <c r="O159">
        <f>IFERROR(INDEX(MonthlyCurve!$J:$J,MATCH(A159,MonthlyCurve!$A:$A,0)),"")</f>
        <v>0.56002397145469607</v>
      </c>
      <c r="P159">
        <f t="shared" si="21"/>
        <v>6594.0613489637253</v>
      </c>
      <c r="Q159">
        <f t="shared" si="22"/>
        <v>19.782184046891174</v>
      </c>
      <c r="R159">
        <f t="shared" si="23"/>
        <v>6613.8435330106167</v>
      </c>
      <c r="S159">
        <f t="shared" si="24"/>
        <v>3692.8324246625762</v>
      </c>
      <c r="T159">
        <f t="shared" si="25"/>
        <v>11.078497273987727</v>
      </c>
      <c r="U159">
        <f>SUMPRODUCT(R160:R543,O160:O543)/(M159*O159)</f>
        <v>760652.52346698067</v>
      </c>
    </row>
    <row r="160" spans="1:21" x14ac:dyDescent="0.35">
      <c r="A160">
        <v>157</v>
      </c>
      <c r="B160">
        <f>A160/Inputs!$B$6</f>
        <v>13.083333333333334</v>
      </c>
      <c r="C160">
        <f>Inputs!$B$3+B160</f>
        <v>78.083333333333329</v>
      </c>
      <c r="D160">
        <f t="shared" si="18"/>
        <v>78</v>
      </c>
      <c r="E160">
        <f>Inputs!$B$7+1+INT((A160-1)/Inputs!$B$6)</f>
        <v>2039</v>
      </c>
      <c r="F160">
        <f>Inputs!$B$16</f>
        <v>8333.3333333333339</v>
      </c>
      <c r="G160">
        <f>Inputs!$B$12</f>
        <v>25</v>
      </c>
      <c r="H160">
        <f>IFERROR(INDEX(RP2014_Qx!$B:$B,MATCH(D160,RP2014_Qx!$A:$A,0)),"")</f>
        <v>2.8288000000000001E-2</v>
      </c>
      <c r="I160">
        <f>SUMIFS(MP2016_Long!$C:$C,MP2016_Long!$A:$A,D160,MP2016_Long!$B:$B,"&gt;=2014",MP2016_Long!$B:$B,"&lt;"&amp;E160)</f>
        <v>0.18649999999999997</v>
      </c>
      <c r="J160">
        <f t="shared" si="19"/>
        <v>3.4087736509560179E-2</v>
      </c>
      <c r="K160">
        <f t="shared" si="20"/>
        <v>3.4682273438475901E-2</v>
      </c>
      <c r="L160">
        <f>EXP(-K160/Inputs!$B$6)</f>
        <v>0.99711398312351762</v>
      </c>
      <c r="M160">
        <f t="shared" si="26"/>
        <v>0.78900369319512664</v>
      </c>
      <c r="N160">
        <f>IFERROR(INDEX(MonthlyCurve!$I:$I,MATCH(A160,MonthlyCurve!$A:$A,0)),"")</f>
        <v>4.465716833333333E-2</v>
      </c>
      <c r="O160">
        <f>IFERROR(INDEX(MonthlyCurve!$J:$J,MATCH(A160,MonthlyCurve!$A:$A,0)),"")</f>
        <v>0.55751569753669139</v>
      </c>
      <c r="P160">
        <f t="shared" si="21"/>
        <v>6575.0307766260557</v>
      </c>
      <c r="Q160">
        <f t="shared" si="22"/>
        <v>19.725092329878166</v>
      </c>
      <c r="R160">
        <f t="shared" si="23"/>
        <v>6594.7558689559337</v>
      </c>
      <c r="S160">
        <f t="shared" si="24"/>
        <v>3665.682869755889</v>
      </c>
      <c r="T160">
        <f t="shared" si="25"/>
        <v>10.997048609267667</v>
      </c>
      <c r="U160">
        <f>SUMPRODUCT(R161:R543,O161:O543)/(M160*O160)</f>
        <v>757927.89555349213</v>
      </c>
    </row>
    <row r="161" spans="1:21" x14ac:dyDescent="0.35">
      <c r="A161">
        <v>158</v>
      </c>
      <c r="B161">
        <f>A161/Inputs!$B$6</f>
        <v>13.166666666666666</v>
      </c>
      <c r="C161">
        <f>Inputs!$B$3+B161</f>
        <v>78.166666666666671</v>
      </c>
      <c r="D161">
        <f t="shared" si="18"/>
        <v>78</v>
      </c>
      <c r="E161">
        <f>Inputs!$B$7+1+INT((A161-1)/Inputs!$B$6)</f>
        <v>2039</v>
      </c>
      <c r="F161">
        <f>Inputs!$B$16</f>
        <v>8333.3333333333339</v>
      </c>
      <c r="G161">
        <f>Inputs!$B$12</f>
        <v>25</v>
      </c>
      <c r="H161">
        <f>IFERROR(INDEX(RP2014_Qx!$B:$B,MATCH(D161,RP2014_Qx!$A:$A,0)),"")</f>
        <v>2.8288000000000001E-2</v>
      </c>
      <c r="I161">
        <f>SUMIFS(MP2016_Long!$C:$C,MP2016_Long!$A:$A,D161,MP2016_Long!$B:$B,"&gt;=2014",MP2016_Long!$B:$B,"&lt;"&amp;E161)</f>
        <v>0.18649999999999997</v>
      </c>
      <c r="J161">
        <f t="shared" si="19"/>
        <v>3.4087736509560179E-2</v>
      </c>
      <c r="K161">
        <f t="shared" si="20"/>
        <v>3.4682273438475901E-2</v>
      </c>
      <c r="L161">
        <f>EXP(-K161/Inputs!$B$6)</f>
        <v>0.99711398312351762</v>
      </c>
      <c r="M161">
        <f t="shared" si="26"/>
        <v>0.78672661522095855</v>
      </c>
      <c r="N161">
        <f>IFERROR(INDEX(MonthlyCurve!$I:$I,MATCH(A161,MonthlyCurve!$A:$A,0)),"")</f>
        <v>4.4716206666666668E-2</v>
      </c>
      <c r="O161">
        <f>IFERROR(INDEX(MonthlyCurve!$J:$J,MATCH(A161,MonthlyCurve!$A:$A,0)),"")</f>
        <v>0.55501319664603899</v>
      </c>
      <c r="P161">
        <f t="shared" si="21"/>
        <v>6556.0551268413219</v>
      </c>
      <c r="Q161">
        <f t="shared" si="22"/>
        <v>19.668165380523963</v>
      </c>
      <c r="R161">
        <f t="shared" si="23"/>
        <v>6575.7232922218454</v>
      </c>
      <c r="S161">
        <f t="shared" si="24"/>
        <v>3638.6971133358547</v>
      </c>
      <c r="T161">
        <f t="shared" si="25"/>
        <v>10.916091340007561</v>
      </c>
      <c r="U161">
        <f>SUMPRODUCT(R162:R543,O162:O543)/(M161*O161)</f>
        <v>755190.60099758138</v>
      </c>
    </row>
    <row r="162" spans="1:21" x14ac:dyDescent="0.35">
      <c r="A162">
        <v>159</v>
      </c>
      <c r="B162">
        <f>A162/Inputs!$B$6</f>
        <v>13.25</v>
      </c>
      <c r="C162">
        <f>Inputs!$B$3+B162</f>
        <v>78.25</v>
      </c>
      <c r="D162">
        <f t="shared" si="18"/>
        <v>78</v>
      </c>
      <c r="E162">
        <f>Inputs!$B$7+1+INT((A162-1)/Inputs!$B$6)</f>
        <v>2039</v>
      </c>
      <c r="F162">
        <f>Inputs!$B$16</f>
        <v>8333.3333333333339</v>
      </c>
      <c r="G162">
        <f>Inputs!$B$12</f>
        <v>25</v>
      </c>
      <c r="H162">
        <f>IFERROR(INDEX(RP2014_Qx!$B:$B,MATCH(D162,RP2014_Qx!$A:$A,0)),"")</f>
        <v>2.8288000000000001E-2</v>
      </c>
      <c r="I162">
        <f>SUMIFS(MP2016_Long!$C:$C,MP2016_Long!$A:$A,D162,MP2016_Long!$B:$B,"&gt;=2014",MP2016_Long!$B:$B,"&lt;"&amp;E162)</f>
        <v>0.18649999999999997</v>
      </c>
      <c r="J162">
        <f t="shared" si="19"/>
        <v>3.4087736509560179E-2</v>
      </c>
      <c r="K162">
        <f t="shared" si="20"/>
        <v>3.4682273438475901E-2</v>
      </c>
      <c r="L162">
        <f>EXP(-K162/Inputs!$B$6)</f>
        <v>0.99711398312351762</v>
      </c>
      <c r="M162">
        <f t="shared" si="26"/>
        <v>0.78445610893225304</v>
      </c>
      <c r="N162">
        <f>IFERROR(INDEX(MonthlyCurve!$I:$I,MATCH(A162,MonthlyCurve!$A:$A,0)),"")</f>
        <v>4.4775244999999998E-2</v>
      </c>
      <c r="O162">
        <f>IFERROR(INDEX(MonthlyCurve!$J:$J,MATCH(A162,MonthlyCurve!$A:$A,0)),"")</f>
        <v>0.55251649200661324</v>
      </c>
      <c r="P162">
        <f t="shared" si="21"/>
        <v>6537.1342411021087</v>
      </c>
      <c r="Q162">
        <f t="shared" si="22"/>
        <v>19.611402723306327</v>
      </c>
      <c r="R162">
        <f t="shared" si="23"/>
        <v>6556.7456438254148</v>
      </c>
      <c r="S162">
        <f t="shared" si="24"/>
        <v>3611.8744786700508</v>
      </c>
      <c r="T162">
        <f t="shared" si="25"/>
        <v>10.835623436010152</v>
      </c>
      <c r="U162">
        <f>SUMPRODUCT(R163:R543,O163:O543)/(M162*O162)</f>
        <v>752440.49179086962</v>
      </c>
    </row>
    <row r="163" spans="1:21" x14ac:dyDescent="0.35">
      <c r="A163">
        <v>160</v>
      </c>
      <c r="B163">
        <f>A163/Inputs!$B$6</f>
        <v>13.333333333333334</v>
      </c>
      <c r="C163">
        <f>Inputs!$B$3+B163</f>
        <v>78.333333333333329</v>
      </c>
      <c r="D163">
        <f t="shared" si="18"/>
        <v>78</v>
      </c>
      <c r="E163">
        <f>Inputs!$B$7+1+INT((A163-1)/Inputs!$B$6)</f>
        <v>2039</v>
      </c>
      <c r="F163">
        <f>Inputs!$B$16</f>
        <v>8333.3333333333339</v>
      </c>
      <c r="G163">
        <f>Inputs!$B$12</f>
        <v>25</v>
      </c>
      <c r="H163">
        <f>IFERROR(INDEX(RP2014_Qx!$B:$B,MATCH(D163,RP2014_Qx!$A:$A,0)),"")</f>
        <v>2.8288000000000001E-2</v>
      </c>
      <c r="I163">
        <f>SUMIFS(MP2016_Long!$C:$C,MP2016_Long!$A:$A,D163,MP2016_Long!$B:$B,"&gt;=2014",MP2016_Long!$B:$B,"&lt;"&amp;E163)</f>
        <v>0.18649999999999997</v>
      </c>
      <c r="J163">
        <f t="shared" si="19"/>
        <v>3.4087736509560179E-2</v>
      </c>
      <c r="K163">
        <f t="shared" si="20"/>
        <v>3.4682273438475901E-2</v>
      </c>
      <c r="L163">
        <f>EXP(-K163/Inputs!$B$6)</f>
        <v>0.99711398312351762</v>
      </c>
      <c r="M163">
        <f t="shared" si="26"/>
        <v>0.7821921553630149</v>
      </c>
      <c r="N163">
        <f>IFERROR(INDEX(MonthlyCurve!$I:$I,MATCH(A163,MonthlyCurve!$A:$A,0)),"")</f>
        <v>4.4834283333333329E-2</v>
      </c>
      <c r="O163">
        <f>IFERROR(INDEX(MonthlyCurve!$J:$J,MATCH(A163,MonthlyCurve!$A:$A,0)),"")</f>
        <v>0.55002560656721589</v>
      </c>
      <c r="P163">
        <f t="shared" si="21"/>
        <v>6518.2679613584578</v>
      </c>
      <c r="Q163">
        <f t="shared" si="22"/>
        <v>19.554803884075373</v>
      </c>
      <c r="R163">
        <f t="shared" si="23"/>
        <v>6537.822765242533</v>
      </c>
      <c r="S163">
        <f t="shared" si="24"/>
        <v>3585.2142892138354</v>
      </c>
      <c r="T163">
        <f t="shared" si="25"/>
        <v>10.755642867641505</v>
      </c>
      <c r="U163">
        <f>SUMPRODUCT(R164:R543,O164:O543)/(M163*O163)</f>
        <v>749677.41844688321</v>
      </c>
    </row>
    <row r="164" spans="1:21" x14ac:dyDescent="0.35">
      <c r="A164">
        <v>161</v>
      </c>
      <c r="B164">
        <f>A164/Inputs!$B$6</f>
        <v>13.416666666666666</v>
      </c>
      <c r="C164">
        <f>Inputs!$B$3+B164</f>
        <v>78.416666666666671</v>
      </c>
      <c r="D164">
        <f t="shared" si="18"/>
        <v>78</v>
      </c>
      <c r="E164">
        <f>Inputs!$B$7+1+INT((A164-1)/Inputs!$B$6)</f>
        <v>2039</v>
      </c>
      <c r="F164">
        <f>Inputs!$B$16</f>
        <v>8333.3333333333339</v>
      </c>
      <c r="G164">
        <f>Inputs!$B$12</f>
        <v>25</v>
      </c>
      <c r="H164">
        <f>IFERROR(INDEX(RP2014_Qx!$B:$B,MATCH(D164,RP2014_Qx!$A:$A,0)),"")</f>
        <v>2.8288000000000001E-2</v>
      </c>
      <c r="I164">
        <f>SUMIFS(MP2016_Long!$C:$C,MP2016_Long!$A:$A,D164,MP2016_Long!$B:$B,"&gt;=2014",MP2016_Long!$B:$B,"&lt;"&amp;E164)</f>
        <v>0.18649999999999997</v>
      </c>
      <c r="J164">
        <f t="shared" si="19"/>
        <v>3.4087736509560179E-2</v>
      </c>
      <c r="K164">
        <f t="shared" si="20"/>
        <v>3.4682273438475901E-2</v>
      </c>
      <c r="L164">
        <f>EXP(-K164/Inputs!$B$6)</f>
        <v>0.99711398312351762</v>
      </c>
      <c r="M164">
        <f t="shared" si="26"/>
        <v>0.77993473560198512</v>
      </c>
      <c r="N164">
        <f>IFERROR(INDEX(MonthlyCurve!$I:$I,MATCH(A164,MonthlyCurve!$A:$A,0)),"")</f>
        <v>4.4893321666666666E-2</v>
      </c>
      <c r="O164">
        <f>IFERROR(INDEX(MonthlyCurve!$J:$J,MATCH(A164,MonthlyCurve!$A:$A,0)),"")</f>
        <v>0.54754056300191267</v>
      </c>
      <c r="P164">
        <f t="shared" si="21"/>
        <v>6499.4561300165433</v>
      </c>
      <c r="Q164">
        <f t="shared" si="22"/>
        <v>19.498368390049627</v>
      </c>
      <c r="R164">
        <f t="shared" si="23"/>
        <v>6518.9544984065933</v>
      </c>
      <c r="S164">
        <f t="shared" si="24"/>
        <v>3558.7158686354906</v>
      </c>
      <c r="T164">
        <f t="shared" si="25"/>
        <v>10.67614760590647</v>
      </c>
      <c r="U164">
        <f>SUMPRODUCT(R165:R543,O165:O543)/(M164*O164)</f>
        <v>746901.22998416878</v>
      </c>
    </row>
    <row r="165" spans="1:21" x14ac:dyDescent="0.35">
      <c r="A165">
        <v>162</v>
      </c>
      <c r="B165">
        <f>A165/Inputs!$B$6</f>
        <v>13.5</v>
      </c>
      <c r="C165">
        <f>Inputs!$B$3+B165</f>
        <v>78.5</v>
      </c>
      <c r="D165">
        <f t="shared" si="18"/>
        <v>78</v>
      </c>
      <c r="E165">
        <f>Inputs!$B$7+1+INT((A165-1)/Inputs!$B$6)</f>
        <v>2039</v>
      </c>
      <c r="F165">
        <f>Inputs!$B$16</f>
        <v>8333.3333333333339</v>
      </c>
      <c r="G165">
        <f>Inputs!$B$12</f>
        <v>25</v>
      </c>
      <c r="H165">
        <f>IFERROR(INDEX(RP2014_Qx!$B:$B,MATCH(D165,RP2014_Qx!$A:$A,0)),"")</f>
        <v>2.8288000000000001E-2</v>
      </c>
      <c r="I165">
        <f>SUMIFS(MP2016_Long!$C:$C,MP2016_Long!$A:$A,D165,MP2016_Long!$B:$B,"&gt;=2014",MP2016_Long!$B:$B,"&lt;"&amp;E165)</f>
        <v>0.18649999999999997</v>
      </c>
      <c r="J165">
        <f t="shared" si="19"/>
        <v>3.4087736509560179E-2</v>
      </c>
      <c r="K165">
        <f t="shared" si="20"/>
        <v>3.4682273438475901E-2</v>
      </c>
      <c r="L165">
        <f>EXP(-K165/Inputs!$B$6)</f>
        <v>0.99711398312351762</v>
      </c>
      <c r="M165">
        <f t="shared" si="26"/>
        <v>0.77768383079248293</v>
      </c>
      <c r="N165">
        <f>IFERROR(INDEX(MonthlyCurve!$I:$I,MATCH(A165,MonthlyCurve!$A:$A,0)),"")</f>
        <v>4.4952359999999997E-2</v>
      </c>
      <c r="O165">
        <f>IFERROR(INDEX(MonthlyCurve!$J:$J,MATCH(A165,MonthlyCurve!$A:$A,0)),"")</f>
        <v>0.54506138371038115</v>
      </c>
      <c r="P165">
        <f t="shared" si="21"/>
        <v>6480.6985899373585</v>
      </c>
      <c r="Q165">
        <f t="shared" si="22"/>
        <v>19.442095769812074</v>
      </c>
      <c r="R165">
        <f t="shared" si="23"/>
        <v>6500.1406857071706</v>
      </c>
      <c r="S165">
        <f t="shared" si="24"/>
        <v>3532.3785408411727</v>
      </c>
      <c r="T165">
        <f t="shared" si="25"/>
        <v>10.597135622523517</v>
      </c>
      <c r="U165">
        <f>SUMPRODUCT(R166:R543,O166:O543)/(M165*O165)</f>
        <v>744111.77390921325</v>
      </c>
    </row>
    <row r="166" spans="1:21" x14ac:dyDescent="0.35">
      <c r="A166">
        <v>163</v>
      </c>
      <c r="B166">
        <f>A166/Inputs!$B$6</f>
        <v>13.583333333333334</v>
      </c>
      <c r="C166">
        <f>Inputs!$B$3+B166</f>
        <v>78.583333333333329</v>
      </c>
      <c r="D166">
        <f t="shared" si="18"/>
        <v>78</v>
      </c>
      <c r="E166">
        <f>Inputs!$B$7+1+INT((A166-1)/Inputs!$B$6)</f>
        <v>2039</v>
      </c>
      <c r="F166">
        <f>Inputs!$B$16</f>
        <v>8333.3333333333339</v>
      </c>
      <c r="G166">
        <f>Inputs!$B$12</f>
        <v>25</v>
      </c>
      <c r="H166">
        <f>IFERROR(INDEX(RP2014_Qx!$B:$B,MATCH(D166,RP2014_Qx!$A:$A,0)),"")</f>
        <v>2.8288000000000001E-2</v>
      </c>
      <c r="I166">
        <f>SUMIFS(MP2016_Long!$C:$C,MP2016_Long!$A:$A,D166,MP2016_Long!$B:$B,"&gt;=2014",MP2016_Long!$B:$B,"&lt;"&amp;E166)</f>
        <v>0.18649999999999997</v>
      </c>
      <c r="J166">
        <f t="shared" si="19"/>
        <v>3.4087736509560179E-2</v>
      </c>
      <c r="K166">
        <f t="shared" si="20"/>
        <v>3.4682273438475901E-2</v>
      </c>
      <c r="L166">
        <f>EXP(-K166/Inputs!$B$6)</f>
        <v>0.99711398312351762</v>
      </c>
      <c r="M166">
        <f t="shared" si="26"/>
        <v>0.77543942213224837</v>
      </c>
      <c r="N166">
        <f>IFERROR(INDEX(MonthlyCurve!$I:$I,MATCH(A166,MonthlyCurve!$A:$A,0)),"")</f>
        <v>4.5012208333333331E-2</v>
      </c>
      <c r="O166">
        <f>IFERROR(INDEX(MonthlyCurve!$J:$J,MATCH(A166,MonthlyCurve!$A:$A,0)),"")</f>
        <v>0.54258212102564274</v>
      </c>
      <c r="P166">
        <f t="shared" si="21"/>
        <v>6461.9951844354036</v>
      </c>
      <c r="Q166">
        <f t="shared" si="22"/>
        <v>19.38598555330621</v>
      </c>
      <c r="R166">
        <f t="shared" si="23"/>
        <v>6481.3811699887101</v>
      </c>
      <c r="S166">
        <f t="shared" si="24"/>
        <v>3506.1630532284507</v>
      </c>
      <c r="T166">
        <f t="shared" si="25"/>
        <v>10.518489159685352</v>
      </c>
      <c r="U166">
        <f>SUMPRODUCT(R167:R543,O167:O543)/(M166*O166)</f>
        <v>741317.14445822942</v>
      </c>
    </row>
    <row r="167" spans="1:21" x14ac:dyDescent="0.35">
      <c r="A167">
        <v>164</v>
      </c>
      <c r="B167">
        <f>A167/Inputs!$B$6</f>
        <v>13.666666666666666</v>
      </c>
      <c r="C167">
        <f>Inputs!$B$3+B167</f>
        <v>78.666666666666671</v>
      </c>
      <c r="D167">
        <f t="shared" si="18"/>
        <v>78</v>
      </c>
      <c r="E167">
        <f>Inputs!$B$7+1+INT((A167-1)/Inputs!$B$6)</f>
        <v>2039</v>
      </c>
      <c r="F167">
        <f>Inputs!$B$16</f>
        <v>8333.3333333333339</v>
      </c>
      <c r="G167">
        <f>Inputs!$B$12</f>
        <v>25</v>
      </c>
      <c r="H167">
        <f>IFERROR(INDEX(RP2014_Qx!$B:$B,MATCH(D167,RP2014_Qx!$A:$A,0)),"")</f>
        <v>2.8288000000000001E-2</v>
      </c>
      <c r="I167">
        <f>SUMIFS(MP2016_Long!$C:$C,MP2016_Long!$A:$A,D167,MP2016_Long!$B:$B,"&gt;=2014",MP2016_Long!$B:$B,"&lt;"&amp;E167)</f>
        <v>0.18649999999999997</v>
      </c>
      <c r="J167">
        <f t="shared" si="19"/>
        <v>3.4087736509560179E-2</v>
      </c>
      <c r="K167">
        <f t="shared" si="20"/>
        <v>3.4682273438475901E-2</v>
      </c>
      <c r="L167">
        <f>EXP(-K167/Inputs!$B$6)</f>
        <v>0.99711398312351762</v>
      </c>
      <c r="M167">
        <f t="shared" si="26"/>
        <v>0.77320149087328494</v>
      </c>
      <c r="N167">
        <f>IFERROR(INDEX(MonthlyCurve!$I:$I,MATCH(A167,MonthlyCurve!$A:$A,0)),"")</f>
        <v>4.5072056666666666E-2</v>
      </c>
      <c r="O167">
        <f>IFERROR(INDEX(MonthlyCurve!$J:$J,MATCH(A167,MonthlyCurve!$A:$A,0)),"")</f>
        <v>0.54010874803751685</v>
      </c>
      <c r="P167">
        <f t="shared" si="21"/>
        <v>6443.345757277375</v>
      </c>
      <c r="Q167">
        <f t="shared" si="22"/>
        <v>19.330037271832122</v>
      </c>
      <c r="R167">
        <f t="shared" si="23"/>
        <v>6462.6757945492072</v>
      </c>
      <c r="S167">
        <f t="shared" si="24"/>
        <v>3480.1074101359291</v>
      </c>
      <c r="T167">
        <f t="shared" si="25"/>
        <v>10.440322230407785</v>
      </c>
      <c r="U167">
        <f>SUMPRODUCT(R168:R543,O168:O543)/(M167*O167)</f>
        <v>738509.06939511886</v>
      </c>
    </row>
    <row r="168" spans="1:21" x14ac:dyDescent="0.35">
      <c r="A168">
        <v>165</v>
      </c>
      <c r="B168">
        <f>A168/Inputs!$B$6</f>
        <v>13.75</v>
      </c>
      <c r="C168">
        <f>Inputs!$B$3+B168</f>
        <v>78.75</v>
      </c>
      <c r="D168">
        <f t="shared" si="18"/>
        <v>78</v>
      </c>
      <c r="E168">
        <f>Inputs!$B$7+1+INT((A168-1)/Inputs!$B$6)</f>
        <v>2039</v>
      </c>
      <c r="F168">
        <f>Inputs!$B$16</f>
        <v>8333.3333333333339</v>
      </c>
      <c r="G168">
        <f>Inputs!$B$12</f>
        <v>25</v>
      </c>
      <c r="H168">
        <f>IFERROR(INDEX(RP2014_Qx!$B:$B,MATCH(D168,RP2014_Qx!$A:$A,0)),"")</f>
        <v>2.8288000000000001E-2</v>
      </c>
      <c r="I168">
        <f>SUMIFS(MP2016_Long!$C:$C,MP2016_Long!$A:$A,D168,MP2016_Long!$B:$B,"&gt;=2014",MP2016_Long!$B:$B,"&lt;"&amp;E168)</f>
        <v>0.18649999999999997</v>
      </c>
      <c r="J168">
        <f t="shared" si="19"/>
        <v>3.4087736509560179E-2</v>
      </c>
      <c r="K168">
        <f t="shared" si="20"/>
        <v>3.4682273438475901E-2</v>
      </c>
      <c r="L168">
        <f>EXP(-K168/Inputs!$B$6)</f>
        <v>0.99711398312351762</v>
      </c>
      <c r="M168">
        <f t="shared" si="26"/>
        <v>0.77097001832170331</v>
      </c>
      <c r="N168">
        <f>IFERROR(INDEX(MonthlyCurve!$I:$I,MATCH(A168,MonthlyCurve!$A:$A,0)),"")</f>
        <v>4.5131905E-2</v>
      </c>
      <c r="O168">
        <f>IFERROR(INDEX(MonthlyCurve!$J:$J,MATCH(A168,MonthlyCurve!$A:$A,0)),"")</f>
        <v>0.53764128712739412</v>
      </c>
      <c r="P168">
        <f t="shared" si="21"/>
        <v>6424.750152680861</v>
      </c>
      <c r="Q168">
        <f t="shared" si="22"/>
        <v>19.274250458042584</v>
      </c>
      <c r="R168">
        <f t="shared" si="23"/>
        <v>6444.0244031389038</v>
      </c>
      <c r="S168">
        <f t="shared" si="24"/>
        <v>3454.2109415592599</v>
      </c>
      <c r="T168">
        <f t="shared" si="25"/>
        <v>10.36263282467778</v>
      </c>
      <c r="U168">
        <f>SUMPRODUCT(R169:R543,O169:O543)/(M168*O168)</f>
        <v>735687.39182275161</v>
      </c>
    </row>
    <row r="169" spans="1:21" x14ac:dyDescent="0.35">
      <c r="A169">
        <v>166</v>
      </c>
      <c r="B169">
        <f>A169/Inputs!$B$6</f>
        <v>13.833333333333334</v>
      </c>
      <c r="C169">
        <f>Inputs!$B$3+B169</f>
        <v>78.833333333333329</v>
      </c>
      <c r="D169">
        <f t="shared" si="18"/>
        <v>78</v>
      </c>
      <c r="E169">
        <f>Inputs!$B$7+1+INT((A169-1)/Inputs!$B$6)</f>
        <v>2039</v>
      </c>
      <c r="F169">
        <f>Inputs!$B$16</f>
        <v>8333.3333333333339</v>
      </c>
      <c r="G169">
        <f>Inputs!$B$12</f>
        <v>25</v>
      </c>
      <c r="H169">
        <f>IFERROR(INDEX(RP2014_Qx!$B:$B,MATCH(D169,RP2014_Qx!$A:$A,0)),"")</f>
        <v>2.8288000000000001E-2</v>
      </c>
      <c r="I169">
        <f>SUMIFS(MP2016_Long!$C:$C,MP2016_Long!$A:$A,D169,MP2016_Long!$B:$B,"&gt;=2014",MP2016_Long!$B:$B,"&lt;"&amp;E169)</f>
        <v>0.18649999999999997</v>
      </c>
      <c r="J169">
        <f t="shared" si="19"/>
        <v>3.4087736509560179E-2</v>
      </c>
      <c r="K169">
        <f t="shared" si="20"/>
        <v>3.4682273438475901E-2</v>
      </c>
      <c r="L169">
        <f>EXP(-K169/Inputs!$B$6)</f>
        <v>0.99711398312351762</v>
      </c>
      <c r="M169">
        <f t="shared" si="26"/>
        <v>0.7687449858375649</v>
      </c>
      <c r="N169">
        <f>IFERROR(INDEX(MonthlyCurve!$I:$I,MATCH(A169,MonthlyCurve!$A:$A,0)),"")</f>
        <v>4.5191753333333334E-2</v>
      </c>
      <c r="O169">
        <f>IFERROR(INDEX(MonthlyCurve!$J:$J,MATCH(A169,MonthlyCurve!$A:$A,0)),"")</f>
        <v>0.5351797603980194</v>
      </c>
      <c r="P169">
        <f t="shared" si="21"/>
        <v>6406.2082153130414</v>
      </c>
      <c r="Q169">
        <f t="shared" si="22"/>
        <v>19.218624645939123</v>
      </c>
      <c r="R169">
        <f t="shared" si="23"/>
        <v>6425.4268399589801</v>
      </c>
      <c r="S169">
        <f t="shared" si="24"/>
        <v>3428.4729777310567</v>
      </c>
      <c r="T169">
        <f t="shared" si="25"/>
        <v>10.285418933193171</v>
      </c>
      <c r="U169">
        <f>SUMPRODUCT(R170:R543,O170:O543)/(M169*O169)</f>
        <v>732851.95325994375</v>
      </c>
    </row>
    <row r="170" spans="1:21" x14ac:dyDescent="0.35">
      <c r="A170">
        <v>167</v>
      </c>
      <c r="B170">
        <f>A170/Inputs!$B$6</f>
        <v>13.916666666666666</v>
      </c>
      <c r="C170">
        <f>Inputs!$B$3+B170</f>
        <v>78.916666666666671</v>
      </c>
      <c r="D170">
        <f t="shared" si="18"/>
        <v>78</v>
      </c>
      <c r="E170">
        <f>Inputs!$B$7+1+INT((A170-1)/Inputs!$B$6)</f>
        <v>2039</v>
      </c>
      <c r="F170">
        <f>Inputs!$B$16</f>
        <v>8333.3333333333339</v>
      </c>
      <c r="G170">
        <f>Inputs!$B$12</f>
        <v>25</v>
      </c>
      <c r="H170">
        <f>IFERROR(INDEX(RP2014_Qx!$B:$B,MATCH(D170,RP2014_Qx!$A:$A,0)),"")</f>
        <v>2.8288000000000001E-2</v>
      </c>
      <c r="I170">
        <f>SUMIFS(MP2016_Long!$C:$C,MP2016_Long!$A:$A,D170,MP2016_Long!$B:$B,"&gt;=2014",MP2016_Long!$B:$B,"&lt;"&amp;E170)</f>
        <v>0.18649999999999997</v>
      </c>
      <c r="J170">
        <f t="shared" si="19"/>
        <v>3.4087736509560179E-2</v>
      </c>
      <c r="K170">
        <f t="shared" si="20"/>
        <v>3.4682273438475901E-2</v>
      </c>
      <c r="L170">
        <f>EXP(-K170/Inputs!$B$6)</f>
        <v>0.99711398312351762</v>
      </c>
      <c r="M170">
        <f t="shared" si="26"/>
        <v>0.76652637483472652</v>
      </c>
      <c r="N170">
        <f>IFERROR(INDEX(MonthlyCurve!$I:$I,MATCH(A170,MonthlyCurve!$A:$A,0)),"")</f>
        <v>4.5251601666666669E-2</v>
      </c>
      <c r="O170">
        <f>IFERROR(INDEX(MonthlyCurve!$J:$J,MATCH(A170,MonthlyCurve!$A:$A,0)),"")</f>
        <v>0.53272418967388457</v>
      </c>
      <c r="P170">
        <f t="shared" si="21"/>
        <v>6387.7197902893886</v>
      </c>
      <c r="Q170">
        <f t="shared" si="22"/>
        <v>19.163159370868161</v>
      </c>
      <c r="R170">
        <f t="shared" si="23"/>
        <v>6406.8829496602566</v>
      </c>
      <c r="S170">
        <f t="shared" si="24"/>
        <v>3402.8928491457505</v>
      </c>
      <c r="T170">
        <f t="shared" si="25"/>
        <v>10.208678547437248</v>
      </c>
      <c r="U170">
        <f>SUMPRODUCT(R171:R543,O171:O543)/(M170*O170)</f>
        <v>730002.59362323687</v>
      </c>
    </row>
    <row r="171" spans="1:21" x14ac:dyDescent="0.35">
      <c r="A171">
        <v>168</v>
      </c>
      <c r="B171">
        <f>A171/Inputs!$B$6</f>
        <v>14</v>
      </c>
      <c r="C171">
        <f>Inputs!$B$3+B171</f>
        <v>79</v>
      </c>
      <c r="D171">
        <f t="shared" si="18"/>
        <v>79</v>
      </c>
      <c r="E171">
        <f>Inputs!$B$7+1+INT((A171-1)/Inputs!$B$6)</f>
        <v>2039</v>
      </c>
      <c r="F171">
        <f>Inputs!$B$16</f>
        <v>8333.3333333333339</v>
      </c>
      <c r="G171">
        <f>Inputs!$B$12</f>
        <v>25</v>
      </c>
      <c r="H171">
        <f>IFERROR(INDEX(RP2014_Qx!$B:$B,MATCH(D171,RP2014_Qx!$A:$A,0)),"")</f>
        <v>3.1365999999999998E-2</v>
      </c>
      <c r="I171">
        <f>SUMIFS(MP2016_Long!$C:$C,MP2016_Long!$A:$A,D171,MP2016_Long!$B:$B,"&gt;=2014",MP2016_Long!$B:$B,"&lt;"&amp;E171)</f>
        <v>0.18869999999999998</v>
      </c>
      <c r="J171">
        <f t="shared" si="19"/>
        <v>3.7880046796767083E-2</v>
      </c>
      <c r="K171">
        <f t="shared" si="20"/>
        <v>3.8616144610314776E-2</v>
      </c>
      <c r="L171">
        <f>EXP(-K171/Inputs!$B$6)</f>
        <v>0.99678716020031044</v>
      </c>
      <c r="M171">
        <f t="shared" si="26"/>
        <v>0.76406364839014573</v>
      </c>
      <c r="N171">
        <f>IFERROR(INDEX(MonthlyCurve!$I:$I,MATCH(A171,MonthlyCurve!$A:$A,0)),"")</f>
        <v>4.5311450000000003E-2</v>
      </c>
      <c r="O171">
        <f>IFERROR(INDEX(MonthlyCurve!$J:$J,MATCH(A171,MonthlyCurve!$A:$A,0)),"")</f>
        <v>0.53027459650163389</v>
      </c>
      <c r="P171">
        <f t="shared" si="21"/>
        <v>6367.1970699178819</v>
      </c>
      <c r="Q171">
        <f t="shared" si="22"/>
        <v>19.101591209753643</v>
      </c>
      <c r="R171">
        <f t="shared" si="23"/>
        <v>6386.2986611276356</v>
      </c>
      <c r="S171">
        <f t="shared" si="24"/>
        <v>3376.3628570970905</v>
      </c>
      <c r="T171">
        <f t="shared" si="25"/>
        <v>10.12908857129127</v>
      </c>
      <c r="U171">
        <f>SUMPRODUCT(R172:R543,O172:O543)/(M171*O171)</f>
        <v>727380.30342982162</v>
      </c>
    </row>
    <row r="172" spans="1:21" x14ac:dyDescent="0.35">
      <c r="A172">
        <v>169</v>
      </c>
      <c r="B172">
        <f>A172/Inputs!$B$6</f>
        <v>14.083333333333334</v>
      </c>
      <c r="C172">
        <f>Inputs!$B$3+B172</f>
        <v>79.083333333333329</v>
      </c>
      <c r="D172">
        <f t="shared" si="18"/>
        <v>79</v>
      </c>
      <c r="E172">
        <f>Inputs!$B$7+1+INT((A172-1)/Inputs!$B$6)</f>
        <v>2040</v>
      </c>
      <c r="F172">
        <f>Inputs!$B$16</f>
        <v>8333.3333333333339</v>
      </c>
      <c r="G172">
        <f>Inputs!$B$12</f>
        <v>25</v>
      </c>
      <c r="H172">
        <f>IFERROR(INDEX(RP2014_Qx!$B:$B,MATCH(D172,RP2014_Qx!$A:$A,0)),"")</f>
        <v>3.1365999999999998E-2</v>
      </c>
      <c r="I172">
        <f>SUMIFS(MP2016_Long!$C:$C,MP2016_Long!$A:$A,D172,MP2016_Long!$B:$B,"&gt;=2014",MP2016_Long!$B:$B,"&lt;"&amp;E172)</f>
        <v>0.18869999999999998</v>
      </c>
      <c r="J172">
        <f t="shared" si="19"/>
        <v>3.7880046796767083E-2</v>
      </c>
      <c r="K172">
        <f t="shared" si="20"/>
        <v>3.8616144610314776E-2</v>
      </c>
      <c r="L172">
        <f>EXP(-K172/Inputs!$B$6)</f>
        <v>0.99678716020031044</v>
      </c>
      <c r="M172">
        <f t="shared" si="26"/>
        <v>0.76160883429110182</v>
      </c>
      <c r="N172">
        <f>IFERROR(INDEX(MonthlyCurve!$I:$I,MATCH(A172,MonthlyCurve!$A:$A,0)),"")</f>
        <v>4.5372143333333337E-2</v>
      </c>
      <c r="O172">
        <f>IFERROR(INDEX(MonthlyCurve!$J:$J,MATCH(A172,MonthlyCurve!$A:$A,0)),"")</f>
        <v>0.52782472077900155</v>
      </c>
      <c r="P172">
        <f t="shared" si="21"/>
        <v>6346.7402857591824</v>
      </c>
      <c r="Q172">
        <f t="shared" si="22"/>
        <v>19.040220857277546</v>
      </c>
      <c r="R172">
        <f t="shared" si="23"/>
        <v>6365.7805066164601</v>
      </c>
      <c r="S172">
        <f t="shared" si="24"/>
        <v>3349.9664191876809</v>
      </c>
      <c r="T172">
        <f t="shared" si="25"/>
        <v>10.049899257563043</v>
      </c>
      <c r="U172">
        <f>SUMPRODUCT(R173:R543,O173:O543)/(M172*O172)</f>
        <v>724753.44516621984</v>
      </c>
    </row>
    <row r="173" spans="1:21" x14ac:dyDescent="0.35">
      <c r="A173">
        <v>170</v>
      </c>
      <c r="B173">
        <f>A173/Inputs!$B$6</f>
        <v>14.166666666666666</v>
      </c>
      <c r="C173">
        <f>Inputs!$B$3+B173</f>
        <v>79.166666666666671</v>
      </c>
      <c r="D173">
        <f t="shared" si="18"/>
        <v>79</v>
      </c>
      <c r="E173">
        <f>Inputs!$B$7+1+INT((A173-1)/Inputs!$B$6)</f>
        <v>2040</v>
      </c>
      <c r="F173">
        <f>Inputs!$B$16</f>
        <v>8333.3333333333339</v>
      </c>
      <c r="G173">
        <f>Inputs!$B$12</f>
        <v>25</v>
      </c>
      <c r="H173">
        <f>IFERROR(INDEX(RP2014_Qx!$B:$B,MATCH(D173,RP2014_Qx!$A:$A,0)),"")</f>
        <v>3.1365999999999998E-2</v>
      </c>
      <c r="I173">
        <f>SUMIFS(MP2016_Long!$C:$C,MP2016_Long!$A:$A,D173,MP2016_Long!$B:$B,"&gt;=2014",MP2016_Long!$B:$B,"&lt;"&amp;E173)</f>
        <v>0.18869999999999998</v>
      </c>
      <c r="J173">
        <f t="shared" si="19"/>
        <v>3.7880046796767083E-2</v>
      </c>
      <c r="K173">
        <f t="shared" si="20"/>
        <v>3.8616144610314776E-2</v>
      </c>
      <c r="L173">
        <f>EXP(-K173/Inputs!$B$6)</f>
        <v>0.99678716020031044</v>
      </c>
      <c r="M173">
        <f t="shared" si="26"/>
        <v>0.75916190711649623</v>
      </c>
      <c r="N173">
        <f>IFERROR(INDEX(MonthlyCurve!$I:$I,MATCH(A173,MonthlyCurve!$A:$A,0)),"")</f>
        <v>4.5432836666666671E-2</v>
      </c>
      <c r="O173">
        <f>IFERROR(INDEX(MonthlyCurve!$J:$J,MATCH(A173,MonthlyCurve!$A:$A,0)),"")</f>
        <v>0.52538084896890369</v>
      </c>
      <c r="P173">
        <f t="shared" si="21"/>
        <v>6326.3492259708028</v>
      </c>
      <c r="Q173">
        <f t="shared" si="22"/>
        <v>18.979047677912405</v>
      </c>
      <c r="R173">
        <f t="shared" si="23"/>
        <v>6345.3282736487154</v>
      </c>
      <c r="S173">
        <f t="shared" si="24"/>
        <v>3323.7427272143073</v>
      </c>
      <c r="T173">
        <f t="shared" si="25"/>
        <v>9.9712281816429194</v>
      </c>
      <c r="U173">
        <f>SUMPRODUCT(R174:R543,O174:O543)/(M173*O173)</f>
        <v>722113.27736569545</v>
      </c>
    </row>
    <row r="174" spans="1:21" x14ac:dyDescent="0.35">
      <c r="A174">
        <v>171</v>
      </c>
      <c r="B174">
        <f>A174/Inputs!$B$6</f>
        <v>14.25</v>
      </c>
      <c r="C174">
        <f>Inputs!$B$3+B174</f>
        <v>79.25</v>
      </c>
      <c r="D174">
        <f t="shared" si="18"/>
        <v>79</v>
      </c>
      <c r="E174">
        <f>Inputs!$B$7+1+INT((A174-1)/Inputs!$B$6)</f>
        <v>2040</v>
      </c>
      <c r="F174">
        <f>Inputs!$B$16</f>
        <v>8333.3333333333339</v>
      </c>
      <c r="G174">
        <f>Inputs!$B$12</f>
        <v>25</v>
      </c>
      <c r="H174">
        <f>IFERROR(INDEX(RP2014_Qx!$B:$B,MATCH(D174,RP2014_Qx!$A:$A,0)),"")</f>
        <v>3.1365999999999998E-2</v>
      </c>
      <c r="I174">
        <f>SUMIFS(MP2016_Long!$C:$C,MP2016_Long!$A:$A,D174,MP2016_Long!$B:$B,"&gt;=2014",MP2016_Long!$B:$B,"&lt;"&amp;E174)</f>
        <v>0.18869999999999998</v>
      </c>
      <c r="J174">
        <f t="shared" si="19"/>
        <v>3.7880046796767083E-2</v>
      </c>
      <c r="K174">
        <f t="shared" si="20"/>
        <v>3.8616144610314776E-2</v>
      </c>
      <c r="L174">
        <f>EXP(-K174/Inputs!$B$6)</f>
        <v>0.99678716020031044</v>
      </c>
      <c r="M174">
        <f t="shared" si="26"/>
        <v>0.75672284152690417</v>
      </c>
      <c r="N174">
        <f>IFERROR(INDEX(MonthlyCurve!$I:$I,MATCH(A174,MonthlyCurve!$A:$A,0)),"")</f>
        <v>4.5493530000000004E-2</v>
      </c>
      <c r="O174">
        <f>IFERROR(INDEX(MonthlyCurve!$J:$J,MATCH(A174,MonthlyCurve!$A:$A,0)),"")</f>
        <v>0.52294300260026383</v>
      </c>
      <c r="P174">
        <f t="shared" si="21"/>
        <v>6306.0236793908689</v>
      </c>
      <c r="Q174">
        <f t="shared" si="22"/>
        <v>18.918071038172606</v>
      </c>
      <c r="R174">
        <f t="shared" si="23"/>
        <v>6324.9417504290413</v>
      </c>
      <c r="S174">
        <f t="shared" si="24"/>
        <v>3297.6909573690245</v>
      </c>
      <c r="T174">
        <f t="shared" si="25"/>
        <v>9.8930728721070729</v>
      </c>
      <c r="U174">
        <f>SUMPRODUCT(R175:R543,O175:O543)/(M174*O174)</f>
        <v>719459.64139404648</v>
      </c>
    </row>
    <row r="175" spans="1:21" x14ac:dyDescent="0.35">
      <c r="A175">
        <v>172</v>
      </c>
      <c r="B175">
        <f>A175/Inputs!$B$6</f>
        <v>14.333333333333334</v>
      </c>
      <c r="C175">
        <f>Inputs!$B$3+B175</f>
        <v>79.333333333333329</v>
      </c>
      <c r="D175">
        <f t="shared" si="18"/>
        <v>79</v>
      </c>
      <c r="E175">
        <f>Inputs!$B$7+1+INT((A175-1)/Inputs!$B$6)</f>
        <v>2040</v>
      </c>
      <c r="F175">
        <f>Inputs!$B$16</f>
        <v>8333.3333333333339</v>
      </c>
      <c r="G175">
        <f>Inputs!$B$12</f>
        <v>25</v>
      </c>
      <c r="H175">
        <f>IFERROR(INDEX(RP2014_Qx!$B:$B,MATCH(D175,RP2014_Qx!$A:$A,0)),"")</f>
        <v>3.1365999999999998E-2</v>
      </c>
      <c r="I175">
        <f>SUMIFS(MP2016_Long!$C:$C,MP2016_Long!$A:$A,D175,MP2016_Long!$B:$B,"&gt;=2014",MP2016_Long!$B:$B,"&lt;"&amp;E175)</f>
        <v>0.18869999999999998</v>
      </c>
      <c r="J175">
        <f t="shared" si="19"/>
        <v>3.7880046796767083E-2</v>
      </c>
      <c r="K175">
        <f t="shared" si="20"/>
        <v>3.8616144610314776E-2</v>
      </c>
      <c r="L175">
        <f>EXP(-K175/Inputs!$B$6)</f>
        <v>0.99678716020031044</v>
      </c>
      <c r="M175">
        <f t="shared" si="26"/>
        <v>0.75429161226431241</v>
      </c>
      <c r="N175">
        <f>IFERROR(INDEX(MonthlyCurve!$I:$I,MATCH(A175,MonthlyCurve!$A:$A,0)),"")</f>
        <v>4.5554223333333331E-2</v>
      </c>
      <c r="O175">
        <f>IFERROR(INDEX(MonthlyCurve!$J:$J,MATCH(A175,MonthlyCurve!$A:$A,0)),"")</f>
        <v>0.52051120291978981</v>
      </c>
      <c r="P175">
        <f t="shared" si="21"/>
        <v>6285.7634355359369</v>
      </c>
      <c r="Q175">
        <f t="shared" si="22"/>
        <v>18.857290306607808</v>
      </c>
      <c r="R175">
        <f t="shared" si="23"/>
        <v>6304.6207258425447</v>
      </c>
      <c r="S175">
        <f t="shared" si="24"/>
        <v>3271.810287100041</v>
      </c>
      <c r="T175">
        <f t="shared" si="25"/>
        <v>9.815430861300122</v>
      </c>
      <c r="U175">
        <f>SUMPRODUCT(R176:R543,O176:O543)/(M175*O175)</f>
        <v>716792.37695433898</v>
      </c>
    </row>
    <row r="176" spans="1:21" x14ac:dyDescent="0.35">
      <c r="A176">
        <v>173</v>
      </c>
      <c r="B176">
        <f>A176/Inputs!$B$6</f>
        <v>14.416666666666666</v>
      </c>
      <c r="C176">
        <f>Inputs!$B$3+B176</f>
        <v>79.416666666666671</v>
      </c>
      <c r="D176">
        <f t="shared" si="18"/>
        <v>79</v>
      </c>
      <c r="E176">
        <f>Inputs!$B$7+1+INT((A176-1)/Inputs!$B$6)</f>
        <v>2040</v>
      </c>
      <c r="F176">
        <f>Inputs!$B$16</f>
        <v>8333.3333333333339</v>
      </c>
      <c r="G176">
        <f>Inputs!$B$12</f>
        <v>25</v>
      </c>
      <c r="H176">
        <f>IFERROR(INDEX(RP2014_Qx!$B:$B,MATCH(D176,RP2014_Qx!$A:$A,0)),"")</f>
        <v>3.1365999999999998E-2</v>
      </c>
      <c r="I176">
        <f>SUMIFS(MP2016_Long!$C:$C,MP2016_Long!$A:$A,D176,MP2016_Long!$B:$B,"&gt;=2014",MP2016_Long!$B:$B,"&lt;"&amp;E176)</f>
        <v>0.18869999999999998</v>
      </c>
      <c r="J176">
        <f t="shared" si="19"/>
        <v>3.7880046796767083E-2</v>
      </c>
      <c r="K176">
        <f t="shared" si="20"/>
        <v>3.8616144610314776E-2</v>
      </c>
      <c r="L176">
        <f>EXP(-K176/Inputs!$B$6)</f>
        <v>0.99678716020031044</v>
      </c>
      <c r="M176">
        <f t="shared" si="26"/>
        <v>0.75186819415185757</v>
      </c>
      <c r="N176">
        <f>IFERROR(INDEX(MonthlyCurve!$I:$I,MATCH(A176,MonthlyCurve!$A:$A,0)),"")</f>
        <v>4.5614916666666665E-2</v>
      </c>
      <c r="O176">
        <f>IFERROR(INDEX(MonthlyCurve!$J:$J,MATCH(A176,MonthlyCurve!$A:$A,0)),"")</f>
        <v>0.51808547089242596</v>
      </c>
      <c r="P176">
        <f t="shared" si="21"/>
        <v>6265.568284598814</v>
      </c>
      <c r="Q176">
        <f t="shared" si="22"/>
        <v>18.796704853796438</v>
      </c>
      <c r="R176">
        <f t="shared" si="23"/>
        <v>6284.3649894526106</v>
      </c>
      <c r="S176">
        <f t="shared" si="24"/>
        <v>3246.0998951350261</v>
      </c>
      <c r="T176">
        <f t="shared" si="25"/>
        <v>9.7382996854050763</v>
      </c>
      <c r="U176">
        <f>SUMPRODUCT(R177:R543,O177:O543)/(M176*O176)</f>
        <v>714111.32206725783</v>
      </c>
    </row>
    <row r="177" spans="1:21" x14ac:dyDescent="0.35">
      <c r="A177">
        <v>174</v>
      </c>
      <c r="B177">
        <f>A177/Inputs!$B$6</f>
        <v>14.5</v>
      </c>
      <c r="C177">
        <f>Inputs!$B$3+B177</f>
        <v>79.5</v>
      </c>
      <c r="D177">
        <f t="shared" si="18"/>
        <v>79</v>
      </c>
      <c r="E177">
        <f>Inputs!$B$7+1+INT((A177-1)/Inputs!$B$6)</f>
        <v>2040</v>
      </c>
      <c r="F177">
        <f>Inputs!$B$16</f>
        <v>8333.3333333333339</v>
      </c>
      <c r="G177">
        <f>Inputs!$B$12</f>
        <v>25</v>
      </c>
      <c r="H177">
        <f>IFERROR(INDEX(RP2014_Qx!$B:$B,MATCH(D177,RP2014_Qx!$A:$A,0)),"")</f>
        <v>3.1365999999999998E-2</v>
      </c>
      <c r="I177">
        <f>SUMIFS(MP2016_Long!$C:$C,MP2016_Long!$A:$A,D177,MP2016_Long!$B:$B,"&gt;=2014",MP2016_Long!$B:$B,"&lt;"&amp;E177)</f>
        <v>0.18869999999999998</v>
      </c>
      <c r="J177">
        <f t="shared" si="19"/>
        <v>3.7880046796767083E-2</v>
      </c>
      <c r="K177">
        <f t="shared" si="20"/>
        <v>3.8616144610314776E-2</v>
      </c>
      <c r="L177">
        <f>EXP(-K177/Inputs!$B$6)</f>
        <v>0.99678716020031044</v>
      </c>
      <c r="M177">
        <f t="shared" si="26"/>
        <v>0.74945256209356581</v>
      </c>
      <c r="N177">
        <f>IFERROR(INDEX(MonthlyCurve!$I:$I,MATCH(A177,MonthlyCurve!$A:$A,0)),"")</f>
        <v>4.5675609999999998E-2</v>
      </c>
      <c r="O177">
        <f>IFERROR(INDEX(MonthlyCurve!$J:$J,MATCH(A177,MonthlyCurve!$A:$A,0)),"")</f>
        <v>0.51566582720181608</v>
      </c>
      <c r="P177">
        <f t="shared" si="21"/>
        <v>6245.4380174463822</v>
      </c>
      <c r="Q177">
        <f t="shared" si="22"/>
        <v>18.736314052339146</v>
      </c>
      <c r="R177">
        <f t="shared" si="23"/>
        <v>6264.1743314987216</v>
      </c>
      <c r="S177">
        <f t="shared" si="24"/>
        <v>3220.558961504159</v>
      </c>
      <c r="T177">
        <f t="shared" si="25"/>
        <v>9.6616768845124774</v>
      </c>
      <c r="U177">
        <f>SUMPRODUCT(R178:R543,O178:O543)/(M177*O177)</f>
        <v>711416.3130512198</v>
      </c>
    </row>
    <row r="178" spans="1:21" x14ac:dyDescent="0.35">
      <c r="A178">
        <v>175</v>
      </c>
      <c r="B178">
        <f>A178/Inputs!$B$6</f>
        <v>14.583333333333334</v>
      </c>
      <c r="C178">
        <f>Inputs!$B$3+B178</f>
        <v>79.583333333333329</v>
      </c>
      <c r="D178">
        <f t="shared" si="18"/>
        <v>79</v>
      </c>
      <c r="E178">
        <f>Inputs!$B$7+1+INT((A178-1)/Inputs!$B$6)</f>
        <v>2040</v>
      </c>
      <c r="F178">
        <f>Inputs!$B$16</f>
        <v>8333.3333333333339</v>
      </c>
      <c r="G178">
        <f>Inputs!$B$12</f>
        <v>25</v>
      </c>
      <c r="H178">
        <f>IFERROR(INDEX(RP2014_Qx!$B:$B,MATCH(D178,RP2014_Qx!$A:$A,0)),"")</f>
        <v>3.1365999999999998E-2</v>
      </c>
      <c r="I178">
        <f>SUMIFS(MP2016_Long!$C:$C,MP2016_Long!$A:$A,D178,MP2016_Long!$B:$B,"&gt;=2014",MP2016_Long!$B:$B,"&lt;"&amp;E178)</f>
        <v>0.18869999999999998</v>
      </c>
      <c r="J178">
        <f t="shared" si="19"/>
        <v>3.7880046796767083E-2</v>
      </c>
      <c r="K178">
        <f t="shared" si="20"/>
        <v>3.8616144610314776E-2</v>
      </c>
      <c r="L178">
        <f>EXP(-K178/Inputs!$B$6)</f>
        <v>0.99678716020031044</v>
      </c>
      <c r="M178">
        <f t="shared" si="26"/>
        <v>0.74704469107409233</v>
      </c>
      <c r="N178">
        <f>IFERROR(INDEX(MonthlyCurve!$I:$I,MATCH(A178,MonthlyCurve!$A:$A,0)),"")</f>
        <v>4.5737183333333334E-2</v>
      </c>
      <c r="O178">
        <f>IFERROR(INDEX(MonthlyCurve!$J:$J,MATCH(A178,MonthlyCurve!$A:$A,0)),"")</f>
        <v>0.51324570555529481</v>
      </c>
      <c r="P178">
        <f t="shared" si="21"/>
        <v>6225.3724256174364</v>
      </c>
      <c r="Q178">
        <f t="shared" si="22"/>
        <v>18.67611727685231</v>
      </c>
      <c r="R178">
        <f t="shared" si="23"/>
        <v>6244.0485428942884</v>
      </c>
      <c r="S178">
        <f t="shared" si="24"/>
        <v>3195.145662930498</v>
      </c>
      <c r="T178">
        <f t="shared" si="25"/>
        <v>9.5854369887914945</v>
      </c>
      <c r="U178">
        <f>SUMPRODUCT(R179:R543,O179:O543)/(M178*O178)</f>
        <v>708716.38690210239</v>
      </c>
    </row>
    <row r="179" spans="1:21" x14ac:dyDescent="0.35">
      <c r="A179">
        <v>176</v>
      </c>
      <c r="B179">
        <f>A179/Inputs!$B$6</f>
        <v>14.666666666666666</v>
      </c>
      <c r="C179">
        <f>Inputs!$B$3+B179</f>
        <v>79.666666666666671</v>
      </c>
      <c r="D179">
        <f t="shared" si="18"/>
        <v>79</v>
      </c>
      <c r="E179">
        <f>Inputs!$B$7+1+INT((A179-1)/Inputs!$B$6)</f>
        <v>2040</v>
      </c>
      <c r="F179">
        <f>Inputs!$B$16</f>
        <v>8333.3333333333339</v>
      </c>
      <c r="G179">
        <f>Inputs!$B$12</f>
        <v>25</v>
      </c>
      <c r="H179">
        <f>IFERROR(INDEX(RP2014_Qx!$B:$B,MATCH(D179,RP2014_Qx!$A:$A,0)),"")</f>
        <v>3.1365999999999998E-2</v>
      </c>
      <c r="I179">
        <f>SUMIFS(MP2016_Long!$C:$C,MP2016_Long!$A:$A,D179,MP2016_Long!$B:$B,"&gt;=2014",MP2016_Long!$B:$B,"&lt;"&amp;E179)</f>
        <v>0.18869999999999998</v>
      </c>
      <c r="J179">
        <f t="shared" si="19"/>
        <v>3.7880046796767083E-2</v>
      </c>
      <c r="K179">
        <f t="shared" si="20"/>
        <v>3.8616144610314776E-2</v>
      </c>
      <c r="L179">
        <f>EXP(-K179/Inputs!$B$6)</f>
        <v>0.99678716020031044</v>
      </c>
      <c r="M179">
        <f t="shared" si="26"/>
        <v>0.7446445561584627</v>
      </c>
      <c r="N179">
        <f>IFERROR(INDEX(MonthlyCurve!$I:$I,MATCH(A179,MonthlyCurve!$A:$A,0)),"")</f>
        <v>4.5798756666666662E-2</v>
      </c>
      <c r="O179">
        <f>IFERROR(INDEX(MonthlyCurve!$J:$J,MATCH(A179,MonthlyCurve!$A:$A,0)),"")</f>
        <v>0.51083169972266951</v>
      </c>
      <c r="P179">
        <f t="shared" si="21"/>
        <v>6205.3713013205233</v>
      </c>
      <c r="Q179">
        <f t="shared" si="22"/>
        <v>18.616113903961569</v>
      </c>
      <c r="R179">
        <f t="shared" si="23"/>
        <v>6223.9874152244847</v>
      </c>
      <c r="S179">
        <f t="shared" si="24"/>
        <v>3169.9003692638366</v>
      </c>
      <c r="T179">
        <f t="shared" si="25"/>
        <v>9.5097011077915088</v>
      </c>
      <c r="U179">
        <f>SUMPRODUCT(R180:R543,O180:O543)/(M179*O179)</f>
        <v>706002.31718260434</v>
      </c>
    </row>
    <row r="180" spans="1:21" x14ac:dyDescent="0.35">
      <c r="A180">
        <v>177</v>
      </c>
      <c r="B180">
        <f>A180/Inputs!$B$6</f>
        <v>14.75</v>
      </c>
      <c r="C180">
        <f>Inputs!$B$3+B180</f>
        <v>79.75</v>
      </c>
      <c r="D180">
        <f t="shared" si="18"/>
        <v>79</v>
      </c>
      <c r="E180">
        <f>Inputs!$B$7+1+INT((A180-1)/Inputs!$B$6)</f>
        <v>2040</v>
      </c>
      <c r="F180">
        <f>Inputs!$B$16</f>
        <v>8333.3333333333339</v>
      </c>
      <c r="G180">
        <f>Inputs!$B$12</f>
        <v>25</v>
      </c>
      <c r="H180">
        <f>IFERROR(INDEX(RP2014_Qx!$B:$B,MATCH(D180,RP2014_Qx!$A:$A,0)),"")</f>
        <v>3.1365999999999998E-2</v>
      </c>
      <c r="I180">
        <f>SUMIFS(MP2016_Long!$C:$C,MP2016_Long!$A:$A,D180,MP2016_Long!$B:$B,"&gt;=2014",MP2016_Long!$B:$B,"&lt;"&amp;E180)</f>
        <v>0.18869999999999998</v>
      </c>
      <c r="J180">
        <f t="shared" si="19"/>
        <v>3.7880046796767083E-2</v>
      </c>
      <c r="K180">
        <f t="shared" si="20"/>
        <v>3.8616144610314776E-2</v>
      </c>
      <c r="L180">
        <f>EXP(-K180/Inputs!$B$6)</f>
        <v>0.99678716020031044</v>
      </c>
      <c r="M180">
        <f t="shared" si="26"/>
        <v>0.74225213249181465</v>
      </c>
      <c r="N180">
        <f>IFERROR(INDEX(MonthlyCurve!$I:$I,MATCH(A180,MonthlyCurve!$A:$A,0)),"")</f>
        <v>4.5860329999999998E-2</v>
      </c>
      <c r="O180">
        <f>IFERROR(INDEX(MonthlyCurve!$J:$J,MATCH(A180,MonthlyCurve!$A:$A,0)),"")</f>
        <v>0.50842383036810668</v>
      </c>
      <c r="P180">
        <f t="shared" si="21"/>
        <v>6185.4344374317889</v>
      </c>
      <c r="Q180">
        <f t="shared" si="22"/>
        <v>18.556303312295366</v>
      </c>
      <c r="R180">
        <f t="shared" si="23"/>
        <v>6203.9907407440842</v>
      </c>
      <c r="S180">
        <f t="shared" si="24"/>
        <v>3144.8222691698652</v>
      </c>
      <c r="T180">
        <f t="shared" si="25"/>
        <v>9.4344668075095957</v>
      </c>
      <c r="U180">
        <f>SUMPRODUCT(R181:R543,O181:O543)/(M180*O180)</f>
        <v>703273.93532552838</v>
      </c>
    </row>
    <row r="181" spans="1:21" x14ac:dyDescent="0.35">
      <c r="A181">
        <v>178</v>
      </c>
      <c r="B181">
        <f>A181/Inputs!$B$6</f>
        <v>14.833333333333334</v>
      </c>
      <c r="C181">
        <f>Inputs!$B$3+B181</f>
        <v>79.833333333333329</v>
      </c>
      <c r="D181">
        <f t="shared" si="18"/>
        <v>79</v>
      </c>
      <c r="E181">
        <f>Inputs!$B$7+1+INT((A181-1)/Inputs!$B$6)</f>
        <v>2040</v>
      </c>
      <c r="F181">
        <f>Inputs!$B$16</f>
        <v>8333.3333333333339</v>
      </c>
      <c r="G181">
        <f>Inputs!$B$12</f>
        <v>25</v>
      </c>
      <c r="H181">
        <f>IFERROR(INDEX(RP2014_Qx!$B:$B,MATCH(D181,RP2014_Qx!$A:$A,0)),"")</f>
        <v>3.1365999999999998E-2</v>
      </c>
      <c r="I181">
        <f>SUMIFS(MP2016_Long!$C:$C,MP2016_Long!$A:$A,D181,MP2016_Long!$B:$B,"&gt;=2014",MP2016_Long!$B:$B,"&lt;"&amp;E181)</f>
        <v>0.18869999999999998</v>
      </c>
      <c r="J181">
        <f t="shared" si="19"/>
        <v>3.7880046796767083E-2</v>
      </c>
      <c r="K181">
        <f t="shared" si="20"/>
        <v>3.8616144610314776E-2</v>
      </c>
      <c r="L181">
        <f>EXP(-K181/Inputs!$B$6)</f>
        <v>0.99678716020031044</v>
      </c>
      <c r="M181">
        <f t="shared" si="26"/>
        <v>0.73986739529914047</v>
      </c>
      <c r="N181">
        <f>IFERROR(INDEX(MonthlyCurve!$I:$I,MATCH(A181,MonthlyCurve!$A:$A,0)),"")</f>
        <v>4.5921903333333333E-2</v>
      </c>
      <c r="O181">
        <f>IFERROR(INDEX(MonthlyCurve!$J:$J,MATCH(A181,MonthlyCurve!$A:$A,0)),"")</f>
        <v>0.50602211787000018</v>
      </c>
      <c r="P181">
        <f t="shared" si="21"/>
        <v>6165.5616274928379</v>
      </c>
      <c r="Q181">
        <f t="shared" si="22"/>
        <v>18.496684882478512</v>
      </c>
      <c r="R181">
        <f t="shared" si="23"/>
        <v>6184.0583123753167</v>
      </c>
      <c r="S181">
        <f t="shared" si="24"/>
        <v>3119.9105526019312</v>
      </c>
      <c r="T181">
        <f t="shared" si="25"/>
        <v>9.3597316578057921</v>
      </c>
      <c r="U181">
        <f>SUMPRODUCT(R182:R543,O182:O543)/(M181*O181)</f>
        <v>700531.07097794465</v>
      </c>
    </row>
    <row r="182" spans="1:21" x14ac:dyDescent="0.35">
      <c r="A182">
        <v>179</v>
      </c>
      <c r="B182">
        <f>A182/Inputs!$B$6</f>
        <v>14.916666666666666</v>
      </c>
      <c r="C182">
        <f>Inputs!$B$3+B182</f>
        <v>79.916666666666671</v>
      </c>
      <c r="D182">
        <f t="shared" si="18"/>
        <v>79</v>
      </c>
      <c r="E182">
        <f>Inputs!$B$7+1+INT((A182-1)/Inputs!$B$6)</f>
        <v>2040</v>
      </c>
      <c r="F182">
        <f>Inputs!$B$16</f>
        <v>8333.3333333333339</v>
      </c>
      <c r="G182">
        <f>Inputs!$B$12</f>
        <v>25</v>
      </c>
      <c r="H182">
        <f>IFERROR(INDEX(RP2014_Qx!$B:$B,MATCH(D182,RP2014_Qx!$A:$A,0)),"")</f>
        <v>3.1365999999999998E-2</v>
      </c>
      <c r="I182">
        <f>SUMIFS(MP2016_Long!$C:$C,MP2016_Long!$A:$A,D182,MP2016_Long!$B:$B,"&gt;=2014",MP2016_Long!$B:$B,"&lt;"&amp;E182)</f>
        <v>0.18869999999999998</v>
      </c>
      <c r="J182">
        <f t="shared" si="19"/>
        <v>3.7880046796767083E-2</v>
      </c>
      <c r="K182">
        <f t="shared" si="20"/>
        <v>3.8616144610314776E-2</v>
      </c>
      <c r="L182">
        <f>EXP(-K182/Inputs!$B$6)</f>
        <v>0.99678716020031044</v>
      </c>
      <c r="M182">
        <f t="shared" si="26"/>
        <v>0.73749031988503078</v>
      </c>
      <c r="N182">
        <f>IFERROR(INDEX(MonthlyCurve!$I:$I,MATCH(A182,MonthlyCurve!$A:$A,0)),"")</f>
        <v>4.5983476666666662E-2</v>
      </c>
      <c r="O182">
        <f>IFERROR(INDEX(MonthlyCurve!$J:$J,MATCH(A182,MonthlyCurve!$A:$A,0)),"")</f>
        <v>0.50362658232148383</v>
      </c>
      <c r="P182">
        <f t="shared" si="21"/>
        <v>6145.75266570859</v>
      </c>
      <c r="Q182">
        <f t="shared" si="22"/>
        <v>18.437257997125769</v>
      </c>
      <c r="R182">
        <f t="shared" si="23"/>
        <v>6164.189923705716</v>
      </c>
      <c r="S182">
        <f t="shared" si="24"/>
        <v>3095.1644108239657</v>
      </c>
      <c r="T182">
        <f t="shared" si="25"/>
        <v>9.2854932324718966</v>
      </c>
      <c r="U182">
        <f>SUMPRODUCT(R183:R543,O183:O543)/(M182*O182)</f>
        <v>697773.55197992327</v>
      </c>
    </row>
    <row r="183" spans="1:21" x14ac:dyDescent="0.35">
      <c r="A183">
        <v>180</v>
      </c>
      <c r="B183">
        <f>A183/Inputs!$B$6</f>
        <v>15</v>
      </c>
      <c r="C183">
        <f>Inputs!$B$3+B183</f>
        <v>80</v>
      </c>
      <c r="D183">
        <f t="shared" si="18"/>
        <v>80</v>
      </c>
      <c r="E183">
        <f>Inputs!$B$7+1+INT((A183-1)/Inputs!$B$6)</f>
        <v>2040</v>
      </c>
      <c r="F183">
        <f>Inputs!$B$16</f>
        <v>8333.3333333333339</v>
      </c>
      <c r="G183">
        <f>Inputs!$B$12</f>
        <v>25</v>
      </c>
      <c r="H183">
        <f>IFERROR(INDEX(RP2014_Qx!$B:$B,MATCH(D183,RP2014_Qx!$A:$A,0)),"")</f>
        <v>3.4844E-2</v>
      </c>
      <c r="I183">
        <f>SUMIFS(MP2016_Long!$C:$C,MP2016_Long!$A:$A,D183,MP2016_Long!$B:$B,"&gt;=2014",MP2016_Long!$B:$B,"&lt;"&amp;E183)</f>
        <v>0.18990000000000001</v>
      </c>
      <c r="J183">
        <f t="shared" si="19"/>
        <v>4.2130879682139639E-2</v>
      </c>
      <c r="K183">
        <f t="shared" si="20"/>
        <v>4.3044127966589164E-2</v>
      </c>
      <c r="L183">
        <f>EXP(-K183/Inputs!$B$6)</f>
        <v>0.99641941497362951</v>
      </c>
      <c r="M183">
        <f t="shared" si="26"/>
        <v>0.73484967308855731</v>
      </c>
      <c r="N183">
        <f>IFERROR(INDEX(MonthlyCurve!$I:$I,MATCH(A183,MonthlyCurve!$A:$A,0)),"")</f>
        <v>4.6045049999999997E-2</v>
      </c>
      <c r="O183">
        <f>IFERROR(INDEX(MonthlyCurve!$J:$J,MATCH(A183,MonthlyCurve!$A:$A,0)),"")</f>
        <v>0.50123724353095522</v>
      </c>
      <c r="P183">
        <f t="shared" si="21"/>
        <v>6123.7472757379783</v>
      </c>
      <c r="Q183">
        <f t="shared" si="22"/>
        <v>18.371241827213932</v>
      </c>
      <c r="R183">
        <f t="shared" si="23"/>
        <v>6142.1185175651926</v>
      </c>
      <c r="S183">
        <f t="shared" si="24"/>
        <v>3069.4502045711006</v>
      </c>
      <c r="T183">
        <f t="shared" si="25"/>
        <v>9.2083506137133</v>
      </c>
      <c r="U183">
        <f>SUMPRODUCT(R184:R543,O184:O543)/(M183*O183)</f>
        <v>695260.79092747776</v>
      </c>
    </row>
    <row r="184" spans="1:21" x14ac:dyDescent="0.35">
      <c r="A184">
        <v>181</v>
      </c>
      <c r="B184">
        <f>A184/Inputs!$B$6</f>
        <v>15.083333333333334</v>
      </c>
      <c r="C184">
        <f>Inputs!$B$3+B184</f>
        <v>80.083333333333329</v>
      </c>
      <c r="D184">
        <f t="shared" si="18"/>
        <v>80</v>
      </c>
      <c r="E184">
        <f>Inputs!$B$7+1+INT((A184-1)/Inputs!$B$6)</f>
        <v>2041</v>
      </c>
      <c r="F184">
        <f>Inputs!$B$16</f>
        <v>8333.3333333333339</v>
      </c>
      <c r="G184">
        <f>Inputs!$B$12</f>
        <v>25</v>
      </c>
      <c r="H184">
        <f>IFERROR(INDEX(RP2014_Qx!$B:$B,MATCH(D184,RP2014_Qx!$A:$A,0)),"")</f>
        <v>3.4844E-2</v>
      </c>
      <c r="I184">
        <f>SUMIFS(MP2016_Long!$C:$C,MP2016_Long!$A:$A,D184,MP2016_Long!$B:$B,"&gt;=2014",MP2016_Long!$B:$B,"&lt;"&amp;E184)</f>
        <v>0.18990000000000001</v>
      </c>
      <c r="J184">
        <f t="shared" si="19"/>
        <v>4.2130879682139639E-2</v>
      </c>
      <c r="K184">
        <f t="shared" si="20"/>
        <v>4.3044127966589164E-2</v>
      </c>
      <c r="L184">
        <f>EXP(-K184/Inputs!$B$6)</f>
        <v>0.99641941497362951</v>
      </c>
      <c r="M184">
        <f t="shared" si="26"/>
        <v>0.73221848135246315</v>
      </c>
      <c r="N184">
        <f>IFERROR(INDEX(MonthlyCurve!$I:$I,MATCH(A184,MonthlyCurve!$A:$A,0)),"")</f>
        <v>4.6107541666666668E-2</v>
      </c>
      <c r="O184">
        <f>IFERROR(INDEX(MonthlyCurve!$J:$J,MATCH(A184,MonthlyCurve!$A:$A,0)),"")</f>
        <v>0.49884721117875519</v>
      </c>
      <c r="P184">
        <f t="shared" si="21"/>
        <v>6101.8206779371931</v>
      </c>
      <c r="Q184">
        <f t="shared" si="22"/>
        <v>18.30546203381158</v>
      </c>
      <c r="R184">
        <f t="shared" si="23"/>
        <v>6120.1261399710047</v>
      </c>
      <c r="S184">
        <f t="shared" si="24"/>
        <v>3043.87622830183</v>
      </c>
      <c r="T184">
        <f t="shared" si="25"/>
        <v>9.1316286849054897</v>
      </c>
      <c r="U184">
        <f>SUMPRODUCT(R185:R543,O185:O543)/(M184*O184)</f>
        <v>692743.88531147735</v>
      </c>
    </row>
    <row r="185" spans="1:21" x14ac:dyDescent="0.35">
      <c r="A185">
        <v>182</v>
      </c>
      <c r="B185">
        <f>A185/Inputs!$B$6</f>
        <v>15.166666666666666</v>
      </c>
      <c r="C185">
        <f>Inputs!$B$3+B185</f>
        <v>80.166666666666671</v>
      </c>
      <c r="D185">
        <f t="shared" si="18"/>
        <v>80</v>
      </c>
      <c r="E185">
        <f>Inputs!$B$7+1+INT((A185-1)/Inputs!$B$6)</f>
        <v>2041</v>
      </c>
      <c r="F185">
        <f>Inputs!$B$16</f>
        <v>8333.3333333333339</v>
      </c>
      <c r="G185">
        <f>Inputs!$B$12</f>
        <v>25</v>
      </c>
      <c r="H185">
        <f>IFERROR(INDEX(RP2014_Qx!$B:$B,MATCH(D185,RP2014_Qx!$A:$A,0)),"")</f>
        <v>3.4844E-2</v>
      </c>
      <c r="I185">
        <f>SUMIFS(MP2016_Long!$C:$C,MP2016_Long!$A:$A,D185,MP2016_Long!$B:$B,"&gt;=2014",MP2016_Long!$B:$B,"&lt;"&amp;E185)</f>
        <v>0.18990000000000001</v>
      </c>
      <c r="J185">
        <f t="shared" si="19"/>
        <v>4.2130879682139639E-2</v>
      </c>
      <c r="K185">
        <f t="shared" si="20"/>
        <v>4.3044127966589164E-2</v>
      </c>
      <c r="L185">
        <f>EXP(-K185/Inputs!$B$6)</f>
        <v>0.99641941497362951</v>
      </c>
      <c r="M185">
        <f t="shared" si="26"/>
        <v>0.72959671082210076</v>
      </c>
      <c r="N185">
        <f>IFERROR(INDEX(MonthlyCurve!$I:$I,MATCH(A185,MonthlyCurve!$A:$A,0)),"")</f>
        <v>4.6170033333333332E-2</v>
      </c>
      <c r="O185">
        <f>IFERROR(INDEX(MonthlyCurve!$J:$J,MATCH(A185,MonthlyCurve!$A:$A,0)),"")</f>
        <v>0.49646340430463437</v>
      </c>
      <c r="P185">
        <f t="shared" si="21"/>
        <v>6079.972590184173</v>
      </c>
      <c r="Q185">
        <f t="shared" si="22"/>
        <v>18.23991777055252</v>
      </c>
      <c r="R185">
        <f t="shared" si="23"/>
        <v>6098.2125079547259</v>
      </c>
      <c r="S185">
        <f t="shared" si="24"/>
        <v>3018.4838902017</v>
      </c>
      <c r="T185">
        <f t="shared" si="25"/>
        <v>9.0554516706051</v>
      </c>
      <c r="U185">
        <f>SUMPRODUCT(R186:R543,O186:O543)/(M185*O185)</f>
        <v>690213.10898771673</v>
      </c>
    </row>
    <row r="186" spans="1:21" x14ac:dyDescent="0.35">
      <c r="A186">
        <v>183</v>
      </c>
      <c r="B186">
        <f>A186/Inputs!$B$6</f>
        <v>15.25</v>
      </c>
      <c r="C186">
        <f>Inputs!$B$3+B186</f>
        <v>80.25</v>
      </c>
      <c r="D186">
        <f t="shared" si="18"/>
        <v>80</v>
      </c>
      <c r="E186">
        <f>Inputs!$B$7+1+INT((A186-1)/Inputs!$B$6)</f>
        <v>2041</v>
      </c>
      <c r="F186">
        <f>Inputs!$B$16</f>
        <v>8333.3333333333339</v>
      </c>
      <c r="G186">
        <f>Inputs!$B$12</f>
        <v>25</v>
      </c>
      <c r="H186">
        <f>IFERROR(INDEX(RP2014_Qx!$B:$B,MATCH(D186,RP2014_Qx!$A:$A,0)),"")</f>
        <v>3.4844E-2</v>
      </c>
      <c r="I186">
        <f>SUMIFS(MP2016_Long!$C:$C,MP2016_Long!$A:$A,D186,MP2016_Long!$B:$B,"&gt;=2014",MP2016_Long!$B:$B,"&lt;"&amp;E186)</f>
        <v>0.18990000000000001</v>
      </c>
      <c r="J186">
        <f t="shared" si="19"/>
        <v>4.2130879682139639E-2</v>
      </c>
      <c r="K186">
        <f t="shared" si="20"/>
        <v>4.3044127966589164E-2</v>
      </c>
      <c r="L186">
        <f>EXP(-K186/Inputs!$B$6)</f>
        <v>0.99641941497362951</v>
      </c>
      <c r="M186">
        <f t="shared" si="26"/>
        <v>0.72698432776404198</v>
      </c>
      <c r="N186">
        <f>IFERROR(INDEX(MonthlyCurve!$I:$I,MATCH(A186,MonthlyCurve!$A:$A,0)),"")</f>
        <v>4.6232524999999997E-2</v>
      </c>
      <c r="O186">
        <f>IFERROR(INDEX(MonthlyCurve!$J:$J,MATCH(A186,MonthlyCurve!$A:$A,0)),"")</f>
        <v>0.49408584269644829</v>
      </c>
      <c r="P186">
        <f t="shared" si="21"/>
        <v>6058.2027313670169</v>
      </c>
      <c r="Q186">
        <f t="shared" si="22"/>
        <v>18.174608194101051</v>
      </c>
      <c r="R186">
        <f t="shared" si="23"/>
        <v>6076.3773395611179</v>
      </c>
      <c r="S186">
        <f t="shared" si="24"/>
        <v>2993.2722017533974</v>
      </c>
      <c r="T186">
        <f t="shared" si="25"/>
        <v>8.9798166052601918</v>
      </c>
      <c r="U186">
        <f>SUMPRODUCT(R187:R543,O187:O543)/(M186*O186)</f>
        <v>687668.29233239871</v>
      </c>
    </row>
    <row r="187" spans="1:21" x14ac:dyDescent="0.35">
      <c r="A187">
        <v>184</v>
      </c>
      <c r="B187">
        <f>A187/Inputs!$B$6</f>
        <v>15.333333333333334</v>
      </c>
      <c r="C187">
        <f>Inputs!$B$3+B187</f>
        <v>80.333333333333329</v>
      </c>
      <c r="D187">
        <f t="shared" si="18"/>
        <v>80</v>
      </c>
      <c r="E187">
        <f>Inputs!$B$7+1+INT((A187-1)/Inputs!$B$6)</f>
        <v>2041</v>
      </c>
      <c r="F187">
        <f>Inputs!$B$16</f>
        <v>8333.3333333333339</v>
      </c>
      <c r="G187">
        <f>Inputs!$B$12</f>
        <v>25</v>
      </c>
      <c r="H187">
        <f>IFERROR(INDEX(RP2014_Qx!$B:$B,MATCH(D187,RP2014_Qx!$A:$A,0)),"")</f>
        <v>3.4844E-2</v>
      </c>
      <c r="I187">
        <f>SUMIFS(MP2016_Long!$C:$C,MP2016_Long!$A:$A,D187,MP2016_Long!$B:$B,"&gt;=2014",MP2016_Long!$B:$B,"&lt;"&amp;E187)</f>
        <v>0.18990000000000001</v>
      </c>
      <c r="J187">
        <f t="shared" si="19"/>
        <v>4.2130879682139639E-2</v>
      </c>
      <c r="K187">
        <f t="shared" si="20"/>
        <v>4.3044127966589164E-2</v>
      </c>
      <c r="L187">
        <f>EXP(-K187/Inputs!$B$6)</f>
        <v>0.99641941497362951</v>
      </c>
      <c r="M187">
        <f t="shared" si="26"/>
        <v>0.72438129856564404</v>
      </c>
      <c r="N187">
        <f>IFERROR(INDEX(MonthlyCurve!$I:$I,MATCH(A187,MonthlyCurve!$A:$A,0)),"")</f>
        <v>4.6295016666666668E-2</v>
      </c>
      <c r="O187">
        <f>IFERROR(INDEX(MonthlyCurve!$J:$J,MATCH(A187,MonthlyCurve!$A:$A,0)),"")</f>
        <v>0.4917145458527209</v>
      </c>
      <c r="P187">
        <f t="shared" si="21"/>
        <v>6036.5108213803678</v>
      </c>
      <c r="Q187">
        <f t="shared" si="22"/>
        <v>18.1095324641411</v>
      </c>
      <c r="R187">
        <f t="shared" si="23"/>
        <v>6054.6203538445088</v>
      </c>
      <c r="S187">
        <f t="shared" si="24"/>
        <v>2968.2401770700826</v>
      </c>
      <c r="T187">
        <f t="shared" si="25"/>
        <v>8.9047205312102466</v>
      </c>
      <c r="U187">
        <f>SUMPRODUCT(R188:R543,O188:O543)/(M187*O187)</f>
        <v>685109.26385336078</v>
      </c>
    </row>
    <row r="188" spans="1:21" x14ac:dyDescent="0.35">
      <c r="A188">
        <v>185</v>
      </c>
      <c r="B188">
        <f>A188/Inputs!$B$6</f>
        <v>15.416666666666666</v>
      </c>
      <c r="C188">
        <f>Inputs!$B$3+B188</f>
        <v>80.416666666666671</v>
      </c>
      <c r="D188">
        <f t="shared" si="18"/>
        <v>80</v>
      </c>
      <c r="E188">
        <f>Inputs!$B$7+1+INT((A188-1)/Inputs!$B$6)</f>
        <v>2041</v>
      </c>
      <c r="F188">
        <f>Inputs!$B$16</f>
        <v>8333.3333333333339</v>
      </c>
      <c r="G188">
        <f>Inputs!$B$12</f>
        <v>25</v>
      </c>
      <c r="H188">
        <f>IFERROR(INDEX(RP2014_Qx!$B:$B,MATCH(D188,RP2014_Qx!$A:$A,0)),"")</f>
        <v>3.4844E-2</v>
      </c>
      <c r="I188">
        <f>SUMIFS(MP2016_Long!$C:$C,MP2016_Long!$A:$A,D188,MP2016_Long!$B:$B,"&gt;=2014",MP2016_Long!$B:$B,"&lt;"&amp;E188)</f>
        <v>0.18990000000000001</v>
      </c>
      <c r="J188">
        <f t="shared" si="19"/>
        <v>4.2130879682139639E-2</v>
      </c>
      <c r="K188">
        <f t="shared" si="20"/>
        <v>4.3044127966589164E-2</v>
      </c>
      <c r="L188">
        <f>EXP(-K188/Inputs!$B$6)</f>
        <v>0.99641941497362951</v>
      </c>
      <c r="M188">
        <f t="shared" si="26"/>
        <v>0.7217875897346171</v>
      </c>
      <c r="N188">
        <f>IFERROR(INDEX(MonthlyCurve!$I:$I,MATCH(A188,MonthlyCurve!$A:$A,0)),"")</f>
        <v>4.6357508333333332E-2</v>
      </c>
      <c r="O188">
        <f>IFERROR(INDEX(MonthlyCurve!$J:$J,MATCH(A188,MonthlyCurve!$A:$A,0)),"")</f>
        <v>0.48934953298322043</v>
      </c>
      <c r="P188">
        <f t="shared" si="21"/>
        <v>6014.8965811218095</v>
      </c>
      <c r="Q188">
        <f t="shared" si="22"/>
        <v>18.044689743365428</v>
      </c>
      <c r="R188">
        <f t="shared" si="23"/>
        <v>6032.9412708651753</v>
      </c>
      <c r="S188">
        <f t="shared" si="24"/>
        <v>2943.3868329143265</v>
      </c>
      <c r="T188">
        <f t="shared" si="25"/>
        <v>8.8301604987429805</v>
      </c>
      <c r="U188">
        <f>SUMPRODUCT(R189:R543,O189:O543)/(M188*O188)</f>
        <v>682535.85016716248</v>
      </c>
    </row>
    <row r="189" spans="1:21" x14ac:dyDescent="0.35">
      <c r="A189">
        <v>186</v>
      </c>
      <c r="B189">
        <f>A189/Inputs!$B$6</f>
        <v>15.5</v>
      </c>
      <c r="C189">
        <f>Inputs!$B$3+B189</f>
        <v>80.5</v>
      </c>
      <c r="D189">
        <f t="shared" si="18"/>
        <v>80</v>
      </c>
      <c r="E189">
        <f>Inputs!$B$7+1+INT((A189-1)/Inputs!$B$6)</f>
        <v>2041</v>
      </c>
      <c r="F189">
        <f>Inputs!$B$16</f>
        <v>8333.3333333333339</v>
      </c>
      <c r="G189">
        <f>Inputs!$B$12</f>
        <v>25</v>
      </c>
      <c r="H189">
        <f>IFERROR(INDEX(RP2014_Qx!$B:$B,MATCH(D189,RP2014_Qx!$A:$A,0)),"")</f>
        <v>3.4844E-2</v>
      </c>
      <c r="I189">
        <f>SUMIFS(MP2016_Long!$C:$C,MP2016_Long!$A:$A,D189,MP2016_Long!$B:$B,"&gt;=2014",MP2016_Long!$B:$B,"&lt;"&amp;E189)</f>
        <v>0.18990000000000001</v>
      </c>
      <c r="J189">
        <f t="shared" si="19"/>
        <v>4.2130879682139639E-2</v>
      </c>
      <c r="K189">
        <f t="shared" si="20"/>
        <v>4.3044127966589164E-2</v>
      </c>
      <c r="L189">
        <f>EXP(-K189/Inputs!$B$6)</f>
        <v>0.99641941497362951</v>
      </c>
      <c r="M189">
        <f t="shared" si="26"/>
        <v>0.71920316789859329</v>
      </c>
      <c r="N189">
        <f>IFERROR(INDEX(MonthlyCurve!$I:$I,MATCH(A189,MonthlyCurve!$A:$A,0)),"")</f>
        <v>4.6420000000000003E-2</v>
      </c>
      <c r="O189">
        <f>IFERROR(INDEX(MonthlyCurve!$J:$J,MATCH(A189,MonthlyCurve!$A:$A,0)),"")</f>
        <v>0.48699082300954583</v>
      </c>
      <c r="P189">
        <f t="shared" si="21"/>
        <v>5993.3597324882776</v>
      </c>
      <c r="Q189">
        <f t="shared" si="22"/>
        <v>17.980079197464832</v>
      </c>
      <c r="R189">
        <f t="shared" si="23"/>
        <v>6011.3398116857425</v>
      </c>
      <c r="S189">
        <f t="shared" si="24"/>
        <v>2918.7111887167375</v>
      </c>
      <c r="T189">
        <f t="shared" si="25"/>
        <v>8.7561335661502131</v>
      </c>
      <c r="U189">
        <f>SUMPRODUCT(R190:R543,O190:O543)/(M189*O189)</f>
        <v>679947.87597588205</v>
      </c>
    </row>
    <row r="190" spans="1:21" x14ac:dyDescent="0.35">
      <c r="A190">
        <v>187</v>
      </c>
      <c r="B190">
        <f>A190/Inputs!$B$6</f>
        <v>15.583333333333334</v>
      </c>
      <c r="C190">
        <f>Inputs!$B$3+B190</f>
        <v>80.583333333333329</v>
      </c>
      <c r="D190">
        <f t="shared" si="18"/>
        <v>80</v>
      </c>
      <c r="E190">
        <f>Inputs!$B$7+1+INT((A190-1)/Inputs!$B$6)</f>
        <v>2041</v>
      </c>
      <c r="F190">
        <f>Inputs!$B$16</f>
        <v>8333.3333333333339</v>
      </c>
      <c r="G190">
        <f>Inputs!$B$12</f>
        <v>25</v>
      </c>
      <c r="H190">
        <f>IFERROR(INDEX(RP2014_Qx!$B:$B,MATCH(D190,RP2014_Qx!$A:$A,0)),"")</f>
        <v>3.4844E-2</v>
      </c>
      <c r="I190">
        <f>SUMIFS(MP2016_Long!$C:$C,MP2016_Long!$A:$A,D190,MP2016_Long!$B:$B,"&gt;=2014",MP2016_Long!$B:$B,"&lt;"&amp;E190)</f>
        <v>0.18990000000000001</v>
      </c>
      <c r="J190">
        <f t="shared" si="19"/>
        <v>4.2130879682139639E-2</v>
      </c>
      <c r="K190">
        <f t="shared" si="20"/>
        <v>4.3044127966589164E-2</v>
      </c>
      <c r="L190">
        <f>EXP(-K190/Inputs!$B$6)</f>
        <v>0.99641941497362951</v>
      </c>
      <c r="M190">
        <f t="shared" si="26"/>
        <v>0.71662799980469738</v>
      </c>
      <c r="N190">
        <f>IFERROR(INDEX(MonthlyCurve!$I:$I,MATCH(A190,MonthlyCurve!$A:$A,0)),"")</f>
        <v>4.6483446666666671E-2</v>
      </c>
      <c r="O190">
        <f>IFERROR(INDEX(MonthlyCurve!$J:$J,MATCH(A190,MonthlyCurve!$A:$A,0)),"")</f>
        <v>0.48463122218982541</v>
      </c>
      <c r="P190">
        <f t="shared" si="21"/>
        <v>5971.8999983724789</v>
      </c>
      <c r="Q190">
        <f t="shared" si="22"/>
        <v>17.915699995117436</v>
      </c>
      <c r="R190">
        <f t="shared" si="23"/>
        <v>5989.8156983675963</v>
      </c>
      <c r="S190">
        <f t="shared" si="24"/>
        <v>2894.1691950066706</v>
      </c>
      <c r="T190">
        <f t="shared" si="25"/>
        <v>8.6825075850200122</v>
      </c>
      <c r="U190">
        <f>SUMPRODUCT(R191:R543,O191:O543)/(M190*O190)</f>
        <v>677355.36881614081</v>
      </c>
    </row>
    <row r="191" spans="1:21" x14ac:dyDescent="0.35">
      <c r="A191">
        <v>188</v>
      </c>
      <c r="B191">
        <f>A191/Inputs!$B$6</f>
        <v>15.666666666666666</v>
      </c>
      <c r="C191">
        <f>Inputs!$B$3+B191</f>
        <v>80.666666666666671</v>
      </c>
      <c r="D191">
        <f t="shared" si="18"/>
        <v>80</v>
      </c>
      <c r="E191">
        <f>Inputs!$B$7+1+INT((A191-1)/Inputs!$B$6)</f>
        <v>2041</v>
      </c>
      <c r="F191">
        <f>Inputs!$B$16</f>
        <v>8333.3333333333339</v>
      </c>
      <c r="G191">
        <f>Inputs!$B$12</f>
        <v>25</v>
      </c>
      <c r="H191">
        <f>IFERROR(INDEX(RP2014_Qx!$B:$B,MATCH(D191,RP2014_Qx!$A:$A,0)),"")</f>
        <v>3.4844E-2</v>
      </c>
      <c r="I191">
        <f>SUMIFS(MP2016_Long!$C:$C,MP2016_Long!$A:$A,D191,MP2016_Long!$B:$B,"&gt;=2014",MP2016_Long!$B:$B,"&lt;"&amp;E191)</f>
        <v>0.18990000000000001</v>
      </c>
      <c r="J191">
        <f t="shared" si="19"/>
        <v>4.2130879682139639E-2</v>
      </c>
      <c r="K191">
        <f t="shared" si="20"/>
        <v>4.3044127966589164E-2</v>
      </c>
      <c r="L191">
        <f>EXP(-K191/Inputs!$B$6)</f>
        <v>0.99641941497362951</v>
      </c>
      <c r="M191">
        <f t="shared" si="26"/>
        <v>0.7140620523191189</v>
      </c>
      <c r="N191">
        <f>IFERROR(INDEX(MonthlyCurve!$I:$I,MATCH(A191,MonthlyCurve!$A:$A,0)),"")</f>
        <v>4.6546893333333332E-2</v>
      </c>
      <c r="O191">
        <f>IFERROR(INDEX(MonthlyCurve!$J:$J,MATCH(A191,MonthlyCurve!$A:$A,0)),"")</f>
        <v>0.48227795441892907</v>
      </c>
      <c r="P191">
        <f t="shared" si="21"/>
        <v>5950.5171026593243</v>
      </c>
      <c r="Q191">
        <f t="shared" si="22"/>
        <v>17.851551307977971</v>
      </c>
      <c r="R191">
        <f t="shared" si="23"/>
        <v>5968.3686539673026</v>
      </c>
      <c r="S191">
        <f t="shared" si="24"/>
        <v>2869.8032160053913</v>
      </c>
      <c r="T191">
        <f t="shared" si="25"/>
        <v>8.6094096480161735</v>
      </c>
      <c r="U191">
        <f>SUMPRODUCT(R192:R543,O192:O543)/(M191*O191)</f>
        <v>674748.10113111732</v>
      </c>
    </row>
    <row r="192" spans="1:21" x14ac:dyDescent="0.35">
      <c r="A192">
        <v>189</v>
      </c>
      <c r="B192">
        <f>A192/Inputs!$B$6</f>
        <v>15.75</v>
      </c>
      <c r="C192">
        <f>Inputs!$B$3+B192</f>
        <v>80.75</v>
      </c>
      <c r="D192">
        <f t="shared" si="18"/>
        <v>80</v>
      </c>
      <c r="E192">
        <f>Inputs!$B$7+1+INT((A192-1)/Inputs!$B$6)</f>
        <v>2041</v>
      </c>
      <c r="F192">
        <f>Inputs!$B$16</f>
        <v>8333.3333333333339</v>
      </c>
      <c r="G192">
        <f>Inputs!$B$12</f>
        <v>25</v>
      </c>
      <c r="H192">
        <f>IFERROR(INDEX(RP2014_Qx!$B:$B,MATCH(D192,RP2014_Qx!$A:$A,0)),"")</f>
        <v>3.4844E-2</v>
      </c>
      <c r="I192">
        <f>SUMIFS(MP2016_Long!$C:$C,MP2016_Long!$A:$A,D192,MP2016_Long!$B:$B,"&gt;=2014",MP2016_Long!$B:$B,"&lt;"&amp;E192)</f>
        <v>0.18990000000000001</v>
      </c>
      <c r="J192">
        <f t="shared" si="19"/>
        <v>4.2130879682139639E-2</v>
      </c>
      <c r="K192">
        <f t="shared" si="20"/>
        <v>4.3044127966589164E-2</v>
      </c>
      <c r="L192">
        <f>EXP(-K192/Inputs!$B$6)</f>
        <v>0.99641941497362951</v>
      </c>
      <c r="M192">
        <f t="shared" si="26"/>
        <v>0.7115052924266857</v>
      </c>
      <c r="N192">
        <f>IFERROR(INDEX(MonthlyCurve!$I:$I,MATCH(A192,MonthlyCurve!$A:$A,0)),"")</f>
        <v>4.661034E-2</v>
      </c>
      <c r="O192">
        <f>IFERROR(INDEX(MonthlyCurve!$J:$J,MATCH(A192,MonthlyCurve!$A:$A,0)),"")</f>
        <v>0.47993103859279956</v>
      </c>
      <c r="P192">
        <f t="shared" si="21"/>
        <v>5929.2107702223811</v>
      </c>
      <c r="Q192">
        <f t="shared" si="22"/>
        <v>17.787632310667142</v>
      </c>
      <c r="R192">
        <f t="shared" si="23"/>
        <v>5946.9984025330486</v>
      </c>
      <c r="S192">
        <f t="shared" si="24"/>
        <v>2845.6122829884403</v>
      </c>
      <c r="T192">
        <f t="shared" si="25"/>
        <v>8.5368368489653204</v>
      </c>
      <c r="U192">
        <f>SUMPRODUCT(R193:R543,O193:O543)/(M192*O192)</f>
        <v>672125.89222181693</v>
      </c>
    </row>
    <row r="193" spans="1:21" x14ac:dyDescent="0.35">
      <c r="A193">
        <v>190</v>
      </c>
      <c r="B193">
        <f>A193/Inputs!$B$6</f>
        <v>15.833333333333334</v>
      </c>
      <c r="C193">
        <f>Inputs!$B$3+B193</f>
        <v>80.833333333333329</v>
      </c>
      <c r="D193">
        <f t="shared" si="18"/>
        <v>80</v>
      </c>
      <c r="E193">
        <f>Inputs!$B$7+1+INT((A193-1)/Inputs!$B$6)</f>
        <v>2041</v>
      </c>
      <c r="F193">
        <f>Inputs!$B$16</f>
        <v>8333.3333333333339</v>
      </c>
      <c r="G193">
        <f>Inputs!$B$12</f>
        <v>25</v>
      </c>
      <c r="H193">
        <f>IFERROR(INDEX(RP2014_Qx!$B:$B,MATCH(D193,RP2014_Qx!$A:$A,0)),"")</f>
        <v>3.4844E-2</v>
      </c>
      <c r="I193">
        <f>SUMIFS(MP2016_Long!$C:$C,MP2016_Long!$A:$A,D193,MP2016_Long!$B:$B,"&gt;=2014",MP2016_Long!$B:$B,"&lt;"&amp;E193)</f>
        <v>0.18990000000000001</v>
      </c>
      <c r="J193">
        <f t="shared" si="19"/>
        <v>4.2130879682139639E-2</v>
      </c>
      <c r="K193">
        <f t="shared" si="20"/>
        <v>4.3044127966589164E-2</v>
      </c>
      <c r="L193">
        <f>EXP(-K193/Inputs!$B$6)</f>
        <v>0.99641941497362951</v>
      </c>
      <c r="M193">
        <f t="shared" si="26"/>
        <v>0.70895768723043939</v>
      </c>
      <c r="N193">
        <f>IFERROR(INDEX(MonthlyCurve!$I:$I,MATCH(A193,MonthlyCurve!$A:$A,0)),"")</f>
        <v>4.6673786666666668E-2</v>
      </c>
      <c r="O193">
        <f>IFERROR(INDEX(MonthlyCurve!$J:$J,MATCH(A193,MonthlyCurve!$A:$A,0)),"")</f>
        <v>0.4775904933145122</v>
      </c>
      <c r="P193">
        <f t="shared" si="21"/>
        <v>5907.9807269203284</v>
      </c>
      <c r="Q193">
        <f t="shared" si="22"/>
        <v>17.723942180760986</v>
      </c>
      <c r="R193">
        <f t="shared" si="23"/>
        <v>5925.7046691010892</v>
      </c>
      <c r="S193">
        <f t="shared" si="24"/>
        <v>2821.5954298625102</v>
      </c>
      <c r="T193">
        <f t="shared" si="25"/>
        <v>8.464786289587531</v>
      </c>
      <c r="U193">
        <f>SUMPRODUCT(R194:R543,O194:O543)/(M193*O193)</f>
        <v>669488.55937805865</v>
      </c>
    </row>
    <row r="194" spans="1:21" x14ac:dyDescent="0.35">
      <c r="A194">
        <v>191</v>
      </c>
      <c r="B194">
        <f>A194/Inputs!$B$6</f>
        <v>15.916666666666666</v>
      </c>
      <c r="C194">
        <f>Inputs!$B$3+B194</f>
        <v>80.916666666666671</v>
      </c>
      <c r="D194">
        <f t="shared" si="18"/>
        <v>80</v>
      </c>
      <c r="E194">
        <f>Inputs!$B$7+1+INT((A194-1)/Inputs!$B$6)</f>
        <v>2041</v>
      </c>
      <c r="F194">
        <f>Inputs!$B$16</f>
        <v>8333.3333333333339</v>
      </c>
      <c r="G194">
        <f>Inputs!$B$12</f>
        <v>25</v>
      </c>
      <c r="H194">
        <f>IFERROR(INDEX(RP2014_Qx!$B:$B,MATCH(D194,RP2014_Qx!$A:$A,0)),"")</f>
        <v>3.4844E-2</v>
      </c>
      <c r="I194">
        <f>SUMIFS(MP2016_Long!$C:$C,MP2016_Long!$A:$A,D194,MP2016_Long!$B:$B,"&gt;=2014",MP2016_Long!$B:$B,"&lt;"&amp;E194)</f>
        <v>0.18990000000000001</v>
      </c>
      <c r="J194">
        <f t="shared" si="19"/>
        <v>4.2130879682139639E-2</v>
      </c>
      <c r="K194">
        <f t="shared" si="20"/>
        <v>4.3044127966589164E-2</v>
      </c>
      <c r="L194">
        <f>EXP(-K194/Inputs!$B$6)</f>
        <v>0.99641941497362951</v>
      </c>
      <c r="M194">
        <f t="shared" si="26"/>
        <v>0.70641920395121183</v>
      </c>
      <c r="N194">
        <f>IFERROR(INDEX(MonthlyCurve!$I:$I,MATCH(A194,MonthlyCurve!$A:$A,0)),"")</f>
        <v>4.6737233333333329E-2</v>
      </c>
      <c r="O194">
        <f>IFERROR(INDEX(MonthlyCurve!$J:$J,MATCH(A194,MonthlyCurve!$A:$A,0)),"")</f>
        <v>0.47525633689491537</v>
      </c>
      <c r="P194">
        <f t="shared" si="21"/>
        <v>5886.8266995934327</v>
      </c>
      <c r="Q194">
        <f t="shared" si="22"/>
        <v>17.660480098780297</v>
      </c>
      <c r="R194">
        <f t="shared" si="23"/>
        <v>5904.4871796922134</v>
      </c>
      <c r="S194">
        <f t="shared" si="24"/>
        <v>2797.7516931839591</v>
      </c>
      <c r="T194">
        <f t="shared" si="25"/>
        <v>8.3932550795518779</v>
      </c>
      <c r="U194">
        <f>SUMPRODUCT(R195:R543,O195:O543)/(M194*O194)</f>
        <v>666835.91785361711</v>
      </c>
    </row>
    <row r="195" spans="1:21" x14ac:dyDescent="0.35">
      <c r="A195">
        <v>192</v>
      </c>
      <c r="B195">
        <f>A195/Inputs!$B$6</f>
        <v>16</v>
      </c>
      <c r="C195">
        <f>Inputs!$B$3+B195</f>
        <v>81</v>
      </c>
      <c r="D195">
        <f t="shared" si="18"/>
        <v>81</v>
      </c>
      <c r="E195">
        <f>Inputs!$B$7+1+INT((A195-1)/Inputs!$B$6)</f>
        <v>2041</v>
      </c>
      <c r="F195">
        <f>Inputs!$B$16</f>
        <v>8333.3333333333339</v>
      </c>
      <c r="G195">
        <f>Inputs!$B$12</f>
        <v>25</v>
      </c>
      <c r="H195">
        <f>IFERROR(INDEX(RP2014_Qx!$B:$B,MATCH(D195,RP2014_Qx!$A:$A,0)),"")</f>
        <v>3.8782999999999998E-2</v>
      </c>
      <c r="I195">
        <f>SUMIFS(MP2016_Long!$C:$C,MP2016_Long!$A:$A,D195,MP2016_Long!$B:$B,"&gt;=2014",MP2016_Long!$B:$B,"&lt;"&amp;E195)</f>
        <v>0.1903</v>
      </c>
      <c r="J195">
        <f t="shared" si="19"/>
        <v>4.6912398754720738E-2</v>
      </c>
      <c r="K195">
        <f t="shared" si="20"/>
        <v>4.8048457993932356E-2</v>
      </c>
      <c r="L195">
        <f>EXP(-K195/Inputs!$B$6)</f>
        <v>0.99600396730635365</v>
      </c>
      <c r="M195">
        <f t="shared" si="26"/>
        <v>0.70359632971680319</v>
      </c>
      <c r="N195">
        <f>IFERROR(INDEX(MonthlyCurve!$I:$I,MATCH(A195,MonthlyCurve!$A:$A,0)),"")</f>
        <v>4.6800679999999997E-2</v>
      </c>
      <c r="O195">
        <f>IFERROR(INDEX(MonthlyCurve!$J:$J,MATCH(A195,MonthlyCurve!$A:$A,0)),"")</f>
        <v>0.47292858735328247</v>
      </c>
      <c r="P195">
        <f t="shared" si="21"/>
        <v>5863.3027476400266</v>
      </c>
      <c r="Q195">
        <f t="shared" si="22"/>
        <v>17.589908242920078</v>
      </c>
      <c r="R195">
        <f t="shared" si="23"/>
        <v>5880.8926558829471</v>
      </c>
      <c r="S195">
        <f t="shared" si="24"/>
        <v>2772.9234856660173</v>
      </c>
      <c r="T195">
        <f t="shared" si="25"/>
        <v>8.3187704569980507</v>
      </c>
      <c r="U195">
        <f>SUMPRODUCT(R196:R543,O196:O543)/(M195*O195)</f>
        <v>664448.30121494597</v>
      </c>
    </row>
    <row r="196" spans="1:21" x14ac:dyDescent="0.35">
      <c r="A196">
        <v>193</v>
      </c>
      <c r="B196">
        <f>A196/Inputs!$B$6</f>
        <v>16.083333333333332</v>
      </c>
      <c r="C196">
        <f>Inputs!$B$3+B196</f>
        <v>81.083333333333329</v>
      </c>
      <c r="D196">
        <f t="shared" ref="D196:D259" si="27">INT(C196)</f>
        <v>81</v>
      </c>
      <c r="E196">
        <f>Inputs!$B$7+1+INT((A196-1)/Inputs!$B$6)</f>
        <v>2042</v>
      </c>
      <c r="F196">
        <f>Inputs!$B$16</f>
        <v>8333.3333333333339</v>
      </c>
      <c r="G196">
        <f>Inputs!$B$12</f>
        <v>25</v>
      </c>
      <c r="H196">
        <f>IFERROR(INDEX(RP2014_Qx!$B:$B,MATCH(D196,RP2014_Qx!$A:$A,0)),"")</f>
        <v>3.8782999999999998E-2</v>
      </c>
      <c r="I196">
        <f>SUMIFS(MP2016_Long!$C:$C,MP2016_Long!$A:$A,D196,MP2016_Long!$B:$B,"&gt;=2014",MP2016_Long!$B:$B,"&lt;"&amp;E196)</f>
        <v>0.1903</v>
      </c>
      <c r="J196">
        <f t="shared" ref="J196:J259" si="28">MIN(0.999999,MAX(0,H196*EXP(I196)))</f>
        <v>4.6912398754720738E-2</v>
      </c>
      <c r="K196">
        <f t="shared" ref="K196:K259" si="29">-LN(1-J196)</f>
        <v>4.8048457993932356E-2</v>
      </c>
      <c r="L196">
        <f>EXP(-K196/Inputs!$B$6)</f>
        <v>0.99600396730635365</v>
      </c>
      <c r="M196">
        <f t="shared" si="26"/>
        <v>0.70078473578012523</v>
      </c>
      <c r="N196">
        <f>IFERROR(INDEX(MonthlyCurve!$I:$I,MATCH(A196,MonthlyCurve!$A:$A,0)),"")</f>
        <v>4.6865128333333332E-2</v>
      </c>
      <c r="O196">
        <f>IFERROR(INDEX(MonthlyCurve!$J:$J,MATCH(A196,MonthlyCurve!$A:$A,0)),"")</f>
        <v>0.47059968093068716</v>
      </c>
      <c r="P196">
        <f t="shared" ref="P196:P259" si="30">F196*M196</f>
        <v>5839.8727981677112</v>
      </c>
      <c r="Q196">
        <f t="shared" ref="Q196:Q259" si="31">G196*M196</f>
        <v>17.51961839450313</v>
      </c>
      <c r="R196">
        <f t="shared" ref="R196:R259" si="32">P196+Q196</f>
        <v>5857.3924165622138</v>
      </c>
      <c r="S196">
        <f t="shared" ref="S196:S259" si="33">P196*O196</f>
        <v>2748.2422754935242</v>
      </c>
      <c r="T196">
        <f t="shared" ref="T196:T259" si="34">Q196*O196</f>
        <v>8.2447268264805711</v>
      </c>
      <c r="U196">
        <f>SUMPRODUCT(R197:R543,O197:O543)/(M196*O196)</f>
        <v>662057.19585029583</v>
      </c>
    </row>
    <row r="197" spans="1:21" x14ac:dyDescent="0.35">
      <c r="A197">
        <v>194</v>
      </c>
      <c r="B197">
        <f>A197/Inputs!$B$6</f>
        <v>16.166666666666668</v>
      </c>
      <c r="C197">
        <f>Inputs!$B$3+B197</f>
        <v>81.166666666666671</v>
      </c>
      <c r="D197">
        <f t="shared" si="27"/>
        <v>81</v>
      </c>
      <c r="E197">
        <f>Inputs!$B$7+1+INT((A197-1)/Inputs!$B$6)</f>
        <v>2042</v>
      </c>
      <c r="F197">
        <f>Inputs!$B$16</f>
        <v>8333.3333333333339</v>
      </c>
      <c r="G197">
        <f>Inputs!$B$12</f>
        <v>25</v>
      </c>
      <c r="H197">
        <f>IFERROR(INDEX(RP2014_Qx!$B:$B,MATCH(D197,RP2014_Qx!$A:$A,0)),"")</f>
        <v>3.8782999999999998E-2</v>
      </c>
      <c r="I197">
        <f>SUMIFS(MP2016_Long!$C:$C,MP2016_Long!$A:$A,D197,MP2016_Long!$B:$B,"&gt;=2014",MP2016_Long!$B:$B,"&lt;"&amp;E197)</f>
        <v>0.1903</v>
      </c>
      <c r="J197">
        <f t="shared" si="28"/>
        <v>4.6912398754720738E-2</v>
      </c>
      <c r="K197">
        <f t="shared" si="29"/>
        <v>4.8048457993932356E-2</v>
      </c>
      <c r="L197">
        <f>EXP(-K197/Inputs!$B$6)</f>
        <v>0.99600396730635365</v>
      </c>
      <c r="M197">
        <f t="shared" ref="M197:M260" si="35">M196*L197</f>
        <v>0.69798437706473959</v>
      </c>
      <c r="N197">
        <f>IFERROR(INDEX(MonthlyCurve!$I:$I,MATCH(A197,MonthlyCurve!$A:$A,0)),"")</f>
        <v>4.6929576666666667E-2</v>
      </c>
      <c r="O197">
        <f>IFERROR(INDEX(MonthlyCurve!$J:$J,MATCH(A197,MonthlyCurve!$A:$A,0)),"")</f>
        <v>0.46827721308337039</v>
      </c>
      <c r="P197">
        <f t="shared" si="30"/>
        <v>5816.5364755394967</v>
      </c>
      <c r="Q197">
        <f t="shared" si="31"/>
        <v>17.44960942661849</v>
      </c>
      <c r="R197">
        <f t="shared" si="32"/>
        <v>5833.9860849661154</v>
      </c>
      <c r="S197">
        <f t="shared" si="33"/>
        <v>2723.7514905634052</v>
      </c>
      <c r="T197">
        <f t="shared" si="34"/>
        <v>8.1712544716902151</v>
      </c>
      <c r="U197">
        <f>SUMPRODUCT(R198:R543,O198:O543)/(M197*O197)</f>
        <v>659651.79194212565</v>
      </c>
    </row>
    <row r="198" spans="1:21" x14ac:dyDescent="0.35">
      <c r="A198">
        <v>195</v>
      </c>
      <c r="B198">
        <f>A198/Inputs!$B$6</f>
        <v>16.25</v>
      </c>
      <c r="C198">
        <f>Inputs!$B$3+B198</f>
        <v>81.25</v>
      </c>
      <c r="D198">
        <f t="shared" si="27"/>
        <v>81</v>
      </c>
      <c r="E198">
        <f>Inputs!$B$7+1+INT((A198-1)/Inputs!$B$6)</f>
        <v>2042</v>
      </c>
      <c r="F198">
        <f>Inputs!$B$16</f>
        <v>8333.3333333333339</v>
      </c>
      <c r="G198">
        <f>Inputs!$B$12</f>
        <v>25</v>
      </c>
      <c r="H198">
        <f>IFERROR(INDEX(RP2014_Qx!$B:$B,MATCH(D198,RP2014_Qx!$A:$A,0)),"")</f>
        <v>3.8782999999999998E-2</v>
      </c>
      <c r="I198">
        <f>SUMIFS(MP2016_Long!$C:$C,MP2016_Long!$A:$A,D198,MP2016_Long!$B:$B,"&gt;=2014",MP2016_Long!$B:$B,"&lt;"&amp;E198)</f>
        <v>0.1903</v>
      </c>
      <c r="J198">
        <f t="shared" si="28"/>
        <v>4.6912398754720738E-2</v>
      </c>
      <c r="K198">
        <f t="shared" si="29"/>
        <v>4.8048457993932356E-2</v>
      </c>
      <c r="L198">
        <f>EXP(-K198/Inputs!$B$6)</f>
        <v>0.99600396730635365</v>
      </c>
      <c r="M198">
        <f t="shared" si="35"/>
        <v>0.69519520867433449</v>
      </c>
      <c r="N198">
        <f>IFERROR(INDEX(MonthlyCurve!$I:$I,MATCH(A198,MonthlyCurve!$A:$A,0)),"")</f>
        <v>4.6994024999999995E-2</v>
      </c>
      <c r="O198">
        <f>IFERROR(INDEX(MonthlyCurve!$J:$J,MATCH(A198,MonthlyCurve!$A:$A,0)),"")</f>
        <v>0.46596120180584322</v>
      </c>
      <c r="P198">
        <f t="shared" si="30"/>
        <v>5793.2934056194545</v>
      </c>
      <c r="Q198">
        <f t="shared" si="31"/>
        <v>17.379880216858361</v>
      </c>
      <c r="R198">
        <f t="shared" si="32"/>
        <v>5810.673285836313</v>
      </c>
      <c r="S198">
        <f t="shared" si="33"/>
        <v>2699.4499576963071</v>
      </c>
      <c r="T198">
        <f t="shared" si="34"/>
        <v>8.098349873088921</v>
      </c>
      <c r="U198">
        <f>SUMPRODUCT(R199:R543,O199:O543)/(M198*O198)</f>
        <v>657231.90901681618</v>
      </c>
    </row>
    <row r="199" spans="1:21" x14ac:dyDescent="0.35">
      <c r="A199">
        <v>196</v>
      </c>
      <c r="B199">
        <f>A199/Inputs!$B$6</f>
        <v>16.333333333333332</v>
      </c>
      <c r="C199">
        <f>Inputs!$B$3+B199</f>
        <v>81.333333333333329</v>
      </c>
      <c r="D199">
        <f t="shared" si="27"/>
        <v>81</v>
      </c>
      <c r="E199">
        <f>Inputs!$B$7+1+INT((A199-1)/Inputs!$B$6)</f>
        <v>2042</v>
      </c>
      <c r="F199">
        <f>Inputs!$B$16</f>
        <v>8333.3333333333339</v>
      </c>
      <c r="G199">
        <f>Inputs!$B$12</f>
        <v>25</v>
      </c>
      <c r="H199">
        <f>IFERROR(INDEX(RP2014_Qx!$B:$B,MATCH(D199,RP2014_Qx!$A:$A,0)),"")</f>
        <v>3.8782999999999998E-2</v>
      </c>
      <c r="I199">
        <f>SUMIFS(MP2016_Long!$C:$C,MP2016_Long!$A:$A,D199,MP2016_Long!$B:$B,"&gt;=2014",MP2016_Long!$B:$B,"&lt;"&amp;E199)</f>
        <v>0.1903</v>
      </c>
      <c r="J199">
        <f t="shared" si="28"/>
        <v>4.6912398754720738E-2</v>
      </c>
      <c r="K199">
        <f t="shared" si="29"/>
        <v>4.8048457993932356E-2</v>
      </c>
      <c r="L199">
        <f>EXP(-K199/Inputs!$B$6)</f>
        <v>0.99600396730635365</v>
      </c>
      <c r="M199">
        <f t="shared" si="35"/>
        <v>0.69241718589200552</v>
      </c>
      <c r="N199">
        <f>IFERROR(INDEX(MonthlyCurve!$I:$I,MATCH(A199,MonthlyCurve!$A:$A,0)),"")</f>
        <v>4.705847333333333E-2</v>
      </c>
      <c r="O199">
        <f>IFERROR(INDEX(MonthlyCurve!$J:$J,MATCH(A199,MonthlyCurve!$A:$A,0)),"")</f>
        <v>0.4636516647961732</v>
      </c>
      <c r="P199">
        <f t="shared" si="30"/>
        <v>5770.1432157667132</v>
      </c>
      <c r="Q199">
        <f t="shared" si="31"/>
        <v>17.310429647300136</v>
      </c>
      <c r="R199">
        <f t="shared" si="32"/>
        <v>5787.4536454140134</v>
      </c>
      <c r="S199">
        <f t="shared" si="33"/>
        <v>2675.3365081025809</v>
      </c>
      <c r="T199">
        <f t="shared" si="34"/>
        <v>8.0260095243077423</v>
      </c>
      <c r="U199">
        <f>SUMPRODUCT(R200:R543,O200:O543)/(M199*O199)</f>
        <v>654797.36450835317</v>
      </c>
    </row>
    <row r="200" spans="1:21" x14ac:dyDescent="0.35">
      <c r="A200">
        <v>197</v>
      </c>
      <c r="B200">
        <f>A200/Inputs!$B$6</f>
        <v>16.416666666666668</v>
      </c>
      <c r="C200">
        <f>Inputs!$B$3+B200</f>
        <v>81.416666666666671</v>
      </c>
      <c r="D200">
        <f t="shared" si="27"/>
        <v>81</v>
      </c>
      <c r="E200">
        <f>Inputs!$B$7+1+INT((A200-1)/Inputs!$B$6)</f>
        <v>2042</v>
      </c>
      <c r="F200">
        <f>Inputs!$B$16</f>
        <v>8333.3333333333339</v>
      </c>
      <c r="G200">
        <f>Inputs!$B$12</f>
        <v>25</v>
      </c>
      <c r="H200">
        <f>IFERROR(INDEX(RP2014_Qx!$B:$B,MATCH(D200,RP2014_Qx!$A:$A,0)),"")</f>
        <v>3.8782999999999998E-2</v>
      </c>
      <c r="I200">
        <f>SUMIFS(MP2016_Long!$C:$C,MP2016_Long!$A:$A,D200,MP2016_Long!$B:$B,"&gt;=2014",MP2016_Long!$B:$B,"&lt;"&amp;E200)</f>
        <v>0.1903</v>
      </c>
      <c r="J200">
        <f t="shared" si="28"/>
        <v>4.6912398754720738E-2</v>
      </c>
      <c r="K200">
        <f t="shared" si="29"/>
        <v>4.8048457993932356E-2</v>
      </c>
      <c r="L200">
        <f>EXP(-K200/Inputs!$B$6)</f>
        <v>0.99600396730635365</v>
      </c>
      <c r="M200">
        <f t="shared" si="35"/>
        <v>0.68965026417953845</v>
      </c>
      <c r="N200">
        <f>IFERROR(INDEX(MonthlyCurve!$I:$I,MATCH(A200,MonthlyCurve!$A:$A,0)),"")</f>
        <v>4.7122921666666664E-2</v>
      </c>
      <c r="O200">
        <f>IFERROR(INDEX(MonthlyCurve!$J:$J,MATCH(A200,MonthlyCurve!$A:$A,0)),"")</f>
        <v>0.46134861945669287</v>
      </c>
      <c r="P200">
        <f t="shared" si="30"/>
        <v>5747.0855348294872</v>
      </c>
      <c r="Q200">
        <f t="shared" si="31"/>
        <v>17.241256604488463</v>
      </c>
      <c r="R200">
        <f t="shared" si="32"/>
        <v>5764.3267914339758</v>
      </c>
      <c r="S200">
        <f t="shared" si="33"/>
        <v>2651.4099773931134</v>
      </c>
      <c r="T200">
        <f t="shared" si="34"/>
        <v>7.9542299321793406</v>
      </c>
      <c r="U200">
        <f>SUMPRODUCT(R201:R543,O201:O543)/(M200*O200)</f>
        <v>652347.97373161057</v>
      </c>
    </row>
    <row r="201" spans="1:21" x14ac:dyDescent="0.35">
      <c r="A201">
        <v>198</v>
      </c>
      <c r="B201">
        <f>A201/Inputs!$B$6</f>
        <v>16.5</v>
      </c>
      <c r="C201">
        <f>Inputs!$B$3+B201</f>
        <v>81.5</v>
      </c>
      <c r="D201">
        <f t="shared" si="27"/>
        <v>81</v>
      </c>
      <c r="E201">
        <f>Inputs!$B$7+1+INT((A201-1)/Inputs!$B$6)</f>
        <v>2042</v>
      </c>
      <c r="F201">
        <f>Inputs!$B$16</f>
        <v>8333.3333333333339</v>
      </c>
      <c r="G201">
        <f>Inputs!$B$12</f>
        <v>25</v>
      </c>
      <c r="H201">
        <f>IFERROR(INDEX(RP2014_Qx!$B:$B,MATCH(D201,RP2014_Qx!$A:$A,0)),"")</f>
        <v>3.8782999999999998E-2</v>
      </c>
      <c r="I201">
        <f>SUMIFS(MP2016_Long!$C:$C,MP2016_Long!$A:$A,D201,MP2016_Long!$B:$B,"&gt;=2014",MP2016_Long!$B:$B,"&lt;"&amp;E201)</f>
        <v>0.1903</v>
      </c>
      <c r="J201">
        <f t="shared" si="28"/>
        <v>4.6912398754720738E-2</v>
      </c>
      <c r="K201">
        <f t="shared" si="29"/>
        <v>4.8048457993932356E-2</v>
      </c>
      <c r="L201">
        <f>EXP(-K201/Inputs!$B$6)</f>
        <v>0.99600396730635365</v>
      </c>
      <c r="M201">
        <f t="shared" si="35"/>
        <v>0.68689439917669515</v>
      </c>
      <c r="N201">
        <f>IFERROR(INDEX(MonthlyCurve!$I:$I,MATCH(A201,MonthlyCurve!$A:$A,0)),"")</f>
        <v>4.7187369999999999E-2</v>
      </c>
      <c r="O201">
        <f>IFERROR(INDEX(MonthlyCurve!$J:$J,MATCH(A201,MonthlyCurve!$A:$A,0)),"")</f>
        <v>0.45905208289471955</v>
      </c>
      <c r="P201">
        <f t="shared" si="30"/>
        <v>5724.1199931391266</v>
      </c>
      <c r="Q201">
        <f t="shared" si="31"/>
        <v>17.172359979417379</v>
      </c>
      <c r="R201">
        <f t="shared" si="32"/>
        <v>5741.2923531185443</v>
      </c>
      <c r="S201">
        <f t="shared" si="33"/>
        <v>2627.6692055898238</v>
      </c>
      <c r="T201">
        <f t="shared" si="34"/>
        <v>7.8830076167694711</v>
      </c>
      <c r="U201">
        <f>SUMPRODUCT(R202:R543,O202:O543)/(M201*O201)</f>
        <v>649883.54985527985</v>
      </c>
    </row>
    <row r="202" spans="1:21" x14ac:dyDescent="0.35">
      <c r="A202">
        <v>199</v>
      </c>
      <c r="B202">
        <f>A202/Inputs!$B$6</f>
        <v>16.583333333333332</v>
      </c>
      <c r="C202">
        <f>Inputs!$B$3+B202</f>
        <v>81.583333333333329</v>
      </c>
      <c r="D202">
        <f t="shared" si="27"/>
        <v>81</v>
      </c>
      <c r="E202">
        <f>Inputs!$B$7+1+INT((A202-1)/Inputs!$B$6)</f>
        <v>2042</v>
      </c>
      <c r="F202">
        <f>Inputs!$B$16</f>
        <v>8333.3333333333339</v>
      </c>
      <c r="G202">
        <f>Inputs!$B$12</f>
        <v>25</v>
      </c>
      <c r="H202">
        <f>IFERROR(INDEX(RP2014_Qx!$B:$B,MATCH(D202,RP2014_Qx!$A:$A,0)),"")</f>
        <v>3.8782999999999998E-2</v>
      </c>
      <c r="I202">
        <f>SUMIFS(MP2016_Long!$C:$C,MP2016_Long!$A:$A,D202,MP2016_Long!$B:$B,"&gt;=2014",MP2016_Long!$B:$B,"&lt;"&amp;E202)</f>
        <v>0.1903</v>
      </c>
      <c r="J202">
        <f t="shared" si="28"/>
        <v>4.6912398754720738E-2</v>
      </c>
      <c r="K202">
        <f t="shared" si="29"/>
        <v>4.8048457993932356E-2</v>
      </c>
      <c r="L202">
        <f>EXP(-K202/Inputs!$B$6)</f>
        <v>0.99600396730635365</v>
      </c>
      <c r="M202">
        <f t="shared" si="35"/>
        <v>0.68414954670050254</v>
      </c>
      <c r="N202">
        <f>IFERROR(INDEX(MonthlyCurve!$I:$I,MATCH(A202,MonthlyCurve!$A:$A,0)),"")</f>
        <v>4.7252864999999998E-2</v>
      </c>
      <c r="O202">
        <f>IFERROR(INDEX(MonthlyCurve!$J:$J,MATCH(A202,MonthlyCurve!$A:$A,0)),"")</f>
        <v>0.45675414387130664</v>
      </c>
      <c r="P202">
        <f t="shared" si="30"/>
        <v>5701.2462225041882</v>
      </c>
      <c r="Q202">
        <f t="shared" si="31"/>
        <v>17.103738667512562</v>
      </c>
      <c r="R202">
        <f t="shared" si="32"/>
        <v>5718.3499611717007</v>
      </c>
      <c r="S202">
        <f t="shared" si="33"/>
        <v>2604.0678373594214</v>
      </c>
      <c r="T202">
        <f t="shared" si="34"/>
        <v>7.8122035120782636</v>
      </c>
      <c r="U202">
        <f>SUMPRODUCT(R203:R543,O203:O543)/(M202*O202)</f>
        <v>647415.28618409822</v>
      </c>
    </row>
    <row r="203" spans="1:21" x14ac:dyDescent="0.35">
      <c r="A203">
        <v>200</v>
      </c>
      <c r="B203">
        <f>A203/Inputs!$B$6</f>
        <v>16.666666666666668</v>
      </c>
      <c r="C203">
        <f>Inputs!$B$3+B203</f>
        <v>81.666666666666671</v>
      </c>
      <c r="D203">
        <f t="shared" si="27"/>
        <v>81</v>
      </c>
      <c r="E203">
        <f>Inputs!$B$7+1+INT((A203-1)/Inputs!$B$6)</f>
        <v>2042</v>
      </c>
      <c r="F203">
        <f>Inputs!$B$16</f>
        <v>8333.3333333333339</v>
      </c>
      <c r="G203">
        <f>Inputs!$B$12</f>
        <v>25</v>
      </c>
      <c r="H203">
        <f>IFERROR(INDEX(RP2014_Qx!$B:$B,MATCH(D203,RP2014_Qx!$A:$A,0)),"")</f>
        <v>3.8782999999999998E-2</v>
      </c>
      <c r="I203">
        <f>SUMIFS(MP2016_Long!$C:$C,MP2016_Long!$A:$A,D203,MP2016_Long!$B:$B,"&gt;=2014",MP2016_Long!$B:$B,"&lt;"&amp;E203)</f>
        <v>0.1903</v>
      </c>
      <c r="J203">
        <f t="shared" si="28"/>
        <v>4.6912398754720738E-2</v>
      </c>
      <c r="K203">
        <f t="shared" si="29"/>
        <v>4.8048457993932356E-2</v>
      </c>
      <c r="L203">
        <f>EXP(-K203/Inputs!$B$6)</f>
        <v>0.99600396730635365</v>
      </c>
      <c r="M203">
        <f t="shared" si="35"/>
        <v>0.68141566274454402</v>
      </c>
      <c r="N203">
        <f>IFERROR(INDEX(MonthlyCurve!$I:$I,MATCH(A203,MonthlyCurve!$A:$A,0)),"")</f>
        <v>4.7318359999999997E-2</v>
      </c>
      <c r="O203">
        <f>IFERROR(INDEX(MonthlyCurve!$J:$J,MATCH(A203,MonthlyCurve!$A:$A,0)),"")</f>
        <v>0.45446274708500606</v>
      </c>
      <c r="P203">
        <f t="shared" si="30"/>
        <v>5678.4638562045338</v>
      </c>
      <c r="Q203">
        <f t="shared" si="31"/>
        <v>17.035391568613601</v>
      </c>
      <c r="R203">
        <f t="shared" si="32"/>
        <v>5695.4992477731475</v>
      </c>
      <c r="S203">
        <f t="shared" si="33"/>
        <v>2580.6502833136292</v>
      </c>
      <c r="T203">
        <f t="shared" si="34"/>
        <v>7.7419508499408876</v>
      </c>
      <c r="U203">
        <f>SUMPRODUCT(R204:R543,O204:O543)/(M203*O203)</f>
        <v>644931.78314153221</v>
      </c>
    </row>
    <row r="204" spans="1:21" x14ac:dyDescent="0.35">
      <c r="A204">
        <v>201</v>
      </c>
      <c r="B204">
        <f>A204/Inputs!$B$6</f>
        <v>16.75</v>
      </c>
      <c r="C204">
        <f>Inputs!$B$3+B204</f>
        <v>81.75</v>
      </c>
      <c r="D204">
        <f t="shared" si="27"/>
        <v>81</v>
      </c>
      <c r="E204">
        <f>Inputs!$B$7+1+INT((A204-1)/Inputs!$B$6)</f>
        <v>2042</v>
      </c>
      <c r="F204">
        <f>Inputs!$B$16</f>
        <v>8333.3333333333339</v>
      </c>
      <c r="G204">
        <f>Inputs!$B$12</f>
        <v>25</v>
      </c>
      <c r="H204">
        <f>IFERROR(INDEX(RP2014_Qx!$B:$B,MATCH(D204,RP2014_Qx!$A:$A,0)),"")</f>
        <v>3.8782999999999998E-2</v>
      </c>
      <c r="I204">
        <f>SUMIFS(MP2016_Long!$C:$C,MP2016_Long!$A:$A,D204,MP2016_Long!$B:$B,"&gt;=2014",MP2016_Long!$B:$B,"&lt;"&amp;E204)</f>
        <v>0.1903</v>
      </c>
      <c r="J204">
        <f t="shared" si="28"/>
        <v>4.6912398754720738E-2</v>
      </c>
      <c r="K204">
        <f t="shared" si="29"/>
        <v>4.8048457993932356E-2</v>
      </c>
      <c r="L204">
        <f>EXP(-K204/Inputs!$B$6)</f>
        <v>0.99600396730635365</v>
      </c>
      <c r="M204">
        <f t="shared" si="35"/>
        <v>0.67869270347825417</v>
      </c>
      <c r="N204">
        <f>IFERROR(INDEX(MonthlyCurve!$I:$I,MATCH(A204,MonthlyCurve!$A:$A,0)),"")</f>
        <v>4.7383855000000002E-2</v>
      </c>
      <c r="O204">
        <f>IFERROR(INDEX(MonthlyCurve!$J:$J,MATCH(A204,MonthlyCurve!$A:$A,0)),"")</f>
        <v>0.45217790961465998</v>
      </c>
      <c r="P204">
        <f t="shared" si="30"/>
        <v>5655.7725289854516</v>
      </c>
      <c r="Q204">
        <f t="shared" si="31"/>
        <v>16.967317586956355</v>
      </c>
      <c r="R204">
        <f t="shared" si="32"/>
        <v>5672.7398465724082</v>
      </c>
      <c r="S204">
        <f t="shared" si="33"/>
        <v>2557.4153994126605</v>
      </c>
      <c r="T204">
        <f t="shared" si="34"/>
        <v>7.672246198237981</v>
      </c>
      <c r="U204">
        <f>SUMPRODUCT(R205:R543,O205:O543)/(M204*O204)</f>
        <v>642432.84797588794</v>
      </c>
    </row>
    <row r="205" spans="1:21" x14ac:dyDescent="0.35">
      <c r="A205">
        <v>202</v>
      </c>
      <c r="B205">
        <f>A205/Inputs!$B$6</f>
        <v>16.833333333333332</v>
      </c>
      <c r="C205">
        <f>Inputs!$B$3+B205</f>
        <v>81.833333333333329</v>
      </c>
      <c r="D205">
        <f t="shared" si="27"/>
        <v>81</v>
      </c>
      <c r="E205">
        <f>Inputs!$B$7+1+INT((A205-1)/Inputs!$B$6)</f>
        <v>2042</v>
      </c>
      <c r="F205">
        <f>Inputs!$B$16</f>
        <v>8333.3333333333339</v>
      </c>
      <c r="G205">
        <f>Inputs!$B$12</f>
        <v>25</v>
      </c>
      <c r="H205">
        <f>IFERROR(INDEX(RP2014_Qx!$B:$B,MATCH(D205,RP2014_Qx!$A:$A,0)),"")</f>
        <v>3.8782999999999998E-2</v>
      </c>
      <c r="I205">
        <f>SUMIFS(MP2016_Long!$C:$C,MP2016_Long!$A:$A,D205,MP2016_Long!$B:$B,"&gt;=2014",MP2016_Long!$B:$B,"&lt;"&amp;E205)</f>
        <v>0.1903</v>
      </c>
      <c r="J205">
        <f t="shared" si="28"/>
        <v>4.6912398754720738E-2</v>
      </c>
      <c r="K205">
        <f t="shared" si="29"/>
        <v>4.8048457993932356E-2</v>
      </c>
      <c r="L205">
        <f>EXP(-K205/Inputs!$B$6)</f>
        <v>0.99600396730635365</v>
      </c>
      <c r="M205">
        <f t="shared" si="35"/>
        <v>0.67598062524621583</v>
      </c>
      <c r="N205">
        <f>IFERROR(INDEX(MonthlyCurve!$I:$I,MATCH(A205,MonthlyCurve!$A:$A,0)),"")</f>
        <v>4.7449350000000001E-2</v>
      </c>
      <c r="O205">
        <f>IFERROR(INDEX(MonthlyCurve!$J:$J,MATCH(A205,MonthlyCurve!$A:$A,0)),"")</f>
        <v>0.44989964823907874</v>
      </c>
      <c r="P205">
        <f t="shared" si="30"/>
        <v>5633.1718770517991</v>
      </c>
      <c r="Q205">
        <f t="shared" si="31"/>
        <v>16.899515631155396</v>
      </c>
      <c r="R205">
        <f t="shared" si="32"/>
        <v>5650.0713926829549</v>
      </c>
      <c r="S205">
        <f t="shared" si="33"/>
        <v>2534.3620459558751</v>
      </c>
      <c r="T205">
        <f t="shared" si="34"/>
        <v>7.6030861378676251</v>
      </c>
      <c r="U205">
        <f>SUMPRODUCT(R206:R543,O206:O543)/(M205*O205)</f>
        <v>639918.28567766398</v>
      </c>
    </row>
    <row r="206" spans="1:21" x14ac:dyDescent="0.35">
      <c r="A206">
        <v>203</v>
      </c>
      <c r="B206">
        <f>A206/Inputs!$B$6</f>
        <v>16.916666666666668</v>
      </c>
      <c r="C206">
        <f>Inputs!$B$3+B206</f>
        <v>81.916666666666671</v>
      </c>
      <c r="D206">
        <f t="shared" si="27"/>
        <v>81</v>
      </c>
      <c r="E206">
        <f>Inputs!$B$7+1+INT((A206-1)/Inputs!$B$6)</f>
        <v>2042</v>
      </c>
      <c r="F206">
        <f>Inputs!$B$16</f>
        <v>8333.3333333333339</v>
      </c>
      <c r="G206">
        <f>Inputs!$B$12</f>
        <v>25</v>
      </c>
      <c r="H206">
        <f>IFERROR(INDEX(RP2014_Qx!$B:$B,MATCH(D206,RP2014_Qx!$A:$A,0)),"")</f>
        <v>3.8782999999999998E-2</v>
      </c>
      <c r="I206">
        <f>SUMIFS(MP2016_Long!$C:$C,MP2016_Long!$A:$A,D206,MP2016_Long!$B:$B,"&gt;=2014",MP2016_Long!$B:$B,"&lt;"&amp;E206)</f>
        <v>0.1903</v>
      </c>
      <c r="J206">
        <f t="shared" si="28"/>
        <v>4.6912398754720738E-2</v>
      </c>
      <c r="K206">
        <f t="shared" si="29"/>
        <v>4.8048457993932356E-2</v>
      </c>
      <c r="L206">
        <f>EXP(-K206/Inputs!$B$6)</f>
        <v>0.99600396730635365</v>
      </c>
      <c r="M206">
        <f t="shared" si="35"/>
        <v>0.6732793845674605</v>
      </c>
      <c r="N206">
        <f>IFERROR(INDEX(MonthlyCurve!$I:$I,MATCH(A206,MonthlyCurve!$A:$A,0)),"")</f>
        <v>4.7514845E-2</v>
      </c>
      <c r="O206">
        <f>IFERROR(INDEX(MonthlyCurve!$J:$J,MATCH(A206,MonthlyCurve!$A:$A,0)),"")</f>
        <v>0.44762797943781829</v>
      </c>
      <c r="P206">
        <f t="shared" si="30"/>
        <v>5610.6615380621715</v>
      </c>
      <c r="Q206">
        <f t="shared" si="31"/>
        <v>16.831984614186513</v>
      </c>
      <c r="R206">
        <f t="shared" si="32"/>
        <v>5627.4935226763582</v>
      </c>
      <c r="S206">
        <f t="shared" si="33"/>
        <v>2511.4890875922515</v>
      </c>
      <c r="T206">
        <f t="shared" si="34"/>
        <v>7.5344672627767544</v>
      </c>
      <c r="U206">
        <f>SUMPRODUCT(R207:R543,O207:O543)/(M206*O206)</f>
        <v>637387.89895048481</v>
      </c>
    </row>
    <row r="207" spans="1:21" x14ac:dyDescent="0.35">
      <c r="A207">
        <v>204</v>
      </c>
      <c r="B207">
        <f>A207/Inputs!$B$6</f>
        <v>17</v>
      </c>
      <c r="C207">
        <f>Inputs!$B$3+B207</f>
        <v>82</v>
      </c>
      <c r="D207">
        <f t="shared" si="27"/>
        <v>82</v>
      </c>
      <c r="E207">
        <f>Inputs!$B$7+1+INT((A207-1)/Inputs!$B$6)</f>
        <v>2042</v>
      </c>
      <c r="F207">
        <f>Inputs!$B$16</f>
        <v>8333.3333333333339</v>
      </c>
      <c r="G207">
        <f>Inputs!$B$12</f>
        <v>25</v>
      </c>
      <c r="H207">
        <f>IFERROR(INDEX(RP2014_Qx!$B:$B,MATCH(D207,RP2014_Qx!$A:$A,0)),"")</f>
        <v>4.3246E-2</v>
      </c>
      <c r="I207">
        <f>SUMIFS(MP2016_Long!$C:$C,MP2016_Long!$A:$A,D207,MP2016_Long!$B:$B,"&gt;=2014",MP2016_Long!$B:$B,"&lt;"&amp;E207)</f>
        <v>0.18969999999999998</v>
      </c>
      <c r="J207">
        <f t="shared" si="28"/>
        <v>5.2279521890904464E-2</v>
      </c>
      <c r="K207">
        <f t="shared" si="29"/>
        <v>5.3695674520495611E-2</v>
      </c>
      <c r="L207">
        <f>EXP(-K207/Inputs!$B$6)</f>
        <v>0.99553535674066629</v>
      </c>
      <c r="M207">
        <f t="shared" si="35"/>
        <v>0.67027343230150305</v>
      </c>
      <c r="N207">
        <f>IFERROR(INDEX(MonthlyCurve!$I:$I,MATCH(A207,MonthlyCurve!$A:$A,0)),"")</f>
        <v>4.7580339999999999E-2</v>
      </c>
      <c r="O207">
        <f>IFERROR(INDEX(MonthlyCurve!$J:$J,MATCH(A207,MonthlyCurve!$A:$A,0)),"")</f>
        <v>0.44536291939197065</v>
      </c>
      <c r="P207">
        <f t="shared" si="30"/>
        <v>5585.6119358458591</v>
      </c>
      <c r="Q207">
        <f t="shared" si="31"/>
        <v>16.756835807537577</v>
      </c>
      <c r="R207">
        <f t="shared" si="32"/>
        <v>5602.3687716533968</v>
      </c>
      <c r="S207">
        <f t="shared" si="33"/>
        <v>2487.6244383389485</v>
      </c>
      <c r="T207">
        <f t="shared" si="34"/>
        <v>7.4628733150168456</v>
      </c>
      <c r="U207">
        <f>SUMPRODUCT(R208:R543,O208:O543)/(M207*O207)</f>
        <v>635144.25013798289</v>
      </c>
    </row>
    <row r="208" spans="1:21" x14ac:dyDescent="0.35">
      <c r="A208">
        <v>205</v>
      </c>
      <c r="B208">
        <f>A208/Inputs!$B$6</f>
        <v>17.083333333333332</v>
      </c>
      <c r="C208">
        <f>Inputs!$B$3+B208</f>
        <v>82.083333333333329</v>
      </c>
      <c r="D208">
        <f t="shared" si="27"/>
        <v>82</v>
      </c>
      <c r="E208">
        <f>Inputs!$B$7+1+INT((A208-1)/Inputs!$B$6)</f>
        <v>2043</v>
      </c>
      <c r="F208">
        <f>Inputs!$B$16</f>
        <v>8333.3333333333339</v>
      </c>
      <c r="G208">
        <f>Inputs!$B$12</f>
        <v>25</v>
      </c>
      <c r="H208">
        <f>IFERROR(INDEX(RP2014_Qx!$B:$B,MATCH(D208,RP2014_Qx!$A:$A,0)),"")</f>
        <v>4.3246E-2</v>
      </c>
      <c r="I208">
        <f>SUMIFS(MP2016_Long!$C:$C,MP2016_Long!$A:$A,D208,MP2016_Long!$B:$B,"&gt;=2014",MP2016_Long!$B:$B,"&lt;"&amp;E208)</f>
        <v>0.18969999999999998</v>
      </c>
      <c r="J208">
        <f t="shared" si="28"/>
        <v>5.2279521890904464E-2</v>
      </c>
      <c r="K208">
        <f t="shared" si="29"/>
        <v>5.3695674520495611E-2</v>
      </c>
      <c r="L208">
        <f>EXP(-K208/Inputs!$B$6)</f>
        <v>0.99553535674066629</v>
      </c>
      <c r="M208">
        <f t="shared" si="35"/>
        <v>0.66728090054006772</v>
      </c>
      <c r="N208">
        <f>IFERROR(INDEX(MonthlyCurve!$I:$I,MATCH(A208,MonthlyCurve!$A:$A,0)),"")</f>
        <v>4.7646928333333331E-2</v>
      </c>
      <c r="O208">
        <f>IFERROR(INDEX(MonthlyCurve!$J:$J,MATCH(A208,MonthlyCurve!$A:$A,0)),"")</f>
        <v>0.44309620785517156</v>
      </c>
      <c r="P208">
        <f t="shared" si="30"/>
        <v>5560.6741711672312</v>
      </c>
      <c r="Q208">
        <f t="shared" si="31"/>
        <v>16.682022513501693</v>
      </c>
      <c r="R208">
        <f t="shared" si="32"/>
        <v>5577.3561936807328</v>
      </c>
      <c r="S208">
        <f t="shared" si="33"/>
        <v>2463.9136383623995</v>
      </c>
      <c r="T208">
        <f t="shared" si="34"/>
        <v>7.3917409150871975</v>
      </c>
      <c r="U208">
        <f>SUMPRODUCT(R209:R543,O209:O543)/(M208*O208)</f>
        <v>632898.05403089046</v>
      </c>
    </row>
    <row r="209" spans="1:21" x14ac:dyDescent="0.35">
      <c r="A209">
        <v>206</v>
      </c>
      <c r="B209">
        <f>A209/Inputs!$B$6</f>
        <v>17.166666666666668</v>
      </c>
      <c r="C209">
        <f>Inputs!$B$3+B209</f>
        <v>82.166666666666671</v>
      </c>
      <c r="D209">
        <f t="shared" si="27"/>
        <v>82</v>
      </c>
      <c r="E209">
        <f>Inputs!$B$7+1+INT((A209-1)/Inputs!$B$6)</f>
        <v>2043</v>
      </c>
      <c r="F209">
        <f>Inputs!$B$16</f>
        <v>8333.3333333333339</v>
      </c>
      <c r="G209">
        <f>Inputs!$B$12</f>
        <v>25</v>
      </c>
      <c r="H209">
        <f>IFERROR(INDEX(RP2014_Qx!$B:$B,MATCH(D209,RP2014_Qx!$A:$A,0)),"")</f>
        <v>4.3246E-2</v>
      </c>
      <c r="I209">
        <f>SUMIFS(MP2016_Long!$C:$C,MP2016_Long!$A:$A,D209,MP2016_Long!$B:$B,"&gt;=2014",MP2016_Long!$B:$B,"&lt;"&amp;E209)</f>
        <v>0.18969999999999998</v>
      </c>
      <c r="J209">
        <f t="shared" si="28"/>
        <v>5.2279521890904464E-2</v>
      </c>
      <c r="K209">
        <f t="shared" si="29"/>
        <v>5.3695674520495611E-2</v>
      </c>
      <c r="L209">
        <f>EXP(-K209/Inputs!$B$6)</f>
        <v>0.99553535674066629</v>
      </c>
      <c r="M209">
        <f t="shared" si="35"/>
        <v>0.66430172936538934</v>
      </c>
      <c r="N209">
        <f>IFERROR(INDEX(MonthlyCurve!$I:$I,MATCH(A209,MonthlyCurve!$A:$A,0)),"")</f>
        <v>4.7713516666666664E-2</v>
      </c>
      <c r="O209">
        <f>IFERROR(INDEX(MonthlyCurve!$J:$J,MATCH(A209,MonthlyCurve!$A:$A,0)),"")</f>
        <v>0.44083614048371633</v>
      </c>
      <c r="P209">
        <f t="shared" si="30"/>
        <v>5535.8477447115783</v>
      </c>
      <c r="Q209">
        <f t="shared" si="31"/>
        <v>16.607543234134734</v>
      </c>
      <c r="R209">
        <f t="shared" si="32"/>
        <v>5552.4552879457133</v>
      </c>
      <c r="S209">
        <f t="shared" si="33"/>
        <v>2440.4017540841378</v>
      </c>
      <c r="T209">
        <f t="shared" si="34"/>
        <v>7.3212052622524126</v>
      </c>
      <c r="U209">
        <f>SUMPRODUCT(R210:R543,O210:O543)/(M209*O209)</f>
        <v>630637.33383908507</v>
      </c>
    </row>
    <row r="210" spans="1:21" x14ac:dyDescent="0.35">
      <c r="A210">
        <v>207</v>
      </c>
      <c r="B210">
        <f>A210/Inputs!$B$6</f>
        <v>17.25</v>
      </c>
      <c r="C210">
        <f>Inputs!$B$3+B210</f>
        <v>82.25</v>
      </c>
      <c r="D210">
        <f t="shared" si="27"/>
        <v>82</v>
      </c>
      <c r="E210">
        <f>Inputs!$B$7+1+INT((A210-1)/Inputs!$B$6)</f>
        <v>2043</v>
      </c>
      <c r="F210">
        <f>Inputs!$B$16</f>
        <v>8333.3333333333339</v>
      </c>
      <c r="G210">
        <f>Inputs!$B$12</f>
        <v>25</v>
      </c>
      <c r="H210">
        <f>IFERROR(INDEX(RP2014_Qx!$B:$B,MATCH(D210,RP2014_Qx!$A:$A,0)),"")</f>
        <v>4.3246E-2</v>
      </c>
      <c r="I210">
        <f>SUMIFS(MP2016_Long!$C:$C,MP2016_Long!$A:$A,D210,MP2016_Long!$B:$B,"&gt;=2014",MP2016_Long!$B:$B,"&lt;"&amp;E210)</f>
        <v>0.18969999999999998</v>
      </c>
      <c r="J210">
        <f t="shared" si="28"/>
        <v>5.2279521890904464E-2</v>
      </c>
      <c r="K210">
        <f t="shared" si="29"/>
        <v>5.3695674520495611E-2</v>
      </c>
      <c r="L210">
        <f>EXP(-K210/Inputs!$B$6)</f>
        <v>0.99553535674066629</v>
      </c>
      <c r="M210">
        <f t="shared" si="35"/>
        <v>0.66133585912721438</v>
      </c>
      <c r="N210">
        <f>IFERROR(INDEX(MonthlyCurve!$I:$I,MATCH(A210,MonthlyCurve!$A:$A,0)),"")</f>
        <v>4.7780105000000003E-2</v>
      </c>
      <c r="O210">
        <f>IFERROR(INDEX(MonthlyCurve!$J:$J,MATCH(A210,MonthlyCurve!$A:$A,0)),"")</f>
        <v>0.43858273342470561</v>
      </c>
      <c r="P210">
        <f t="shared" si="30"/>
        <v>5511.1321593934535</v>
      </c>
      <c r="Q210">
        <f t="shared" si="31"/>
        <v>16.533396478180361</v>
      </c>
      <c r="R210">
        <f t="shared" si="32"/>
        <v>5527.6655558716338</v>
      </c>
      <c r="S210">
        <f t="shared" si="33"/>
        <v>2417.0874067315813</v>
      </c>
      <c r="T210">
        <f t="shared" si="34"/>
        <v>7.2512622201947439</v>
      </c>
      <c r="U210">
        <f>SUMPRODUCT(R211:R543,O211:O543)/(M210*O210)</f>
        <v>628361.89921006293</v>
      </c>
    </row>
    <row r="211" spans="1:21" x14ac:dyDescent="0.35">
      <c r="A211">
        <v>208</v>
      </c>
      <c r="B211">
        <f>A211/Inputs!$B$6</f>
        <v>17.333333333333332</v>
      </c>
      <c r="C211">
        <f>Inputs!$B$3+B211</f>
        <v>82.333333333333329</v>
      </c>
      <c r="D211">
        <f t="shared" si="27"/>
        <v>82</v>
      </c>
      <c r="E211">
        <f>Inputs!$B$7+1+INT((A211-1)/Inputs!$B$6)</f>
        <v>2043</v>
      </c>
      <c r="F211">
        <f>Inputs!$B$16</f>
        <v>8333.3333333333339</v>
      </c>
      <c r="G211">
        <f>Inputs!$B$12</f>
        <v>25</v>
      </c>
      <c r="H211">
        <f>IFERROR(INDEX(RP2014_Qx!$B:$B,MATCH(D211,RP2014_Qx!$A:$A,0)),"")</f>
        <v>4.3246E-2</v>
      </c>
      <c r="I211">
        <f>SUMIFS(MP2016_Long!$C:$C,MP2016_Long!$A:$A,D211,MP2016_Long!$B:$B,"&gt;=2014",MP2016_Long!$B:$B,"&lt;"&amp;E211)</f>
        <v>0.18969999999999998</v>
      </c>
      <c r="J211">
        <f t="shared" si="28"/>
        <v>5.2279521890904464E-2</v>
      </c>
      <c r="K211">
        <f t="shared" si="29"/>
        <v>5.3695674520495611E-2</v>
      </c>
      <c r="L211">
        <f>EXP(-K211/Inputs!$B$6)</f>
        <v>0.99553535674066629</v>
      </c>
      <c r="M211">
        <f t="shared" si="35"/>
        <v>0.6583832304416064</v>
      </c>
      <c r="N211">
        <f>IFERROR(INDEX(MonthlyCurve!$I:$I,MATCH(A211,MonthlyCurve!$A:$A,0)),"")</f>
        <v>4.7846693333333336E-2</v>
      </c>
      <c r="O211">
        <f>IFERROR(INDEX(MonthlyCurve!$J:$J,MATCH(A211,MonthlyCurve!$A:$A,0)),"")</f>
        <v>0.43633600252160948</v>
      </c>
      <c r="P211">
        <f t="shared" si="30"/>
        <v>5486.5269203467205</v>
      </c>
      <c r="Q211">
        <f t="shared" si="31"/>
        <v>16.459580761040161</v>
      </c>
      <c r="R211">
        <f t="shared" si="32"/>
        <v>5502.9865011077609</v>
      </c>
      <c r="S211">
        <f t="shared" si="33"/>
        <v>2393.9692241512848</v>
      </c>
      <c r="T211">
        <f t="shared" si="34"/>
        <v>7.1819076724538551</v>
      </c>
      <c r="U211">
        <f>SUMPRODUCT(R212:R543,O212:O543)/(M211*O211)</f>
        <v>626071.55746404408</v>
      </c>
    </row>
    <row r="212" spans="1:21" x14ac:dyDescent="0.35">
      <c r="A212">
        <v>209</v>
      </c>
      <c r="B212">
        <f>A212/Inputs!$B$6</f>
        <v>17.416666666666668</v>
      </c>
      <c r="C212">
        <f>Inputs!$B$3+B212</f>
        <v>82.416666666666671</v>
      </c>
      <c r="D212">
        <f t="shared" si="27"/>
        <v>82</v>
      </c>
      <c r="E212">
        <f>Inputs!$B$7+1+INT((A212-1)/Inputs!$B$6)</f>
        <v>2043</v>
      </c>
      <c r="F212">
        <f>Inputs!$B$16</f>
        <v>8333.3333333333339</v>
      </c>
      <c r="G212">
        <f>Inputs!$B$12</f>
        <v>25</v>
      </c>
      <c r="H212">
        <f>IFERROR(INDEX(RP2014_Qx!$B:$B,MATCH(D212,RP2014_Qx!$A:$A,0)),"")</f>
        <v>4.3246E-2</v>
      </c>
      <c r="I212">
        <f>SUMIFS(MP2016_Long!$C:$C,MP2016_Long!$A:$A,D212,MP2016_Long!$B:$B,"&gt;=2014",MP2016_Long!$B:$B,"&lt;"&amp;E212)</f>
        <v>0.18969999999999998</v>
      </c>
      <c r="J212">
        <f t="shared" si="28"/>
        <v>5.2279521890904464E-2</v>
      </c>
      <c r="K212">
        <f t="shared" si="29"/>
        <v>5.3695674520495611E-2</v>
      </c>
      <c r="L212">
        <f>EXP(-K212/Inputs!$B$6)</f>
        <v>0.99553535674066629</v>
      </c>
      <c r="M212">
        <f t="shared" si="35"/>
        <v>0.65544378418975691</v>
      </c>
      <c r="N212">
        <f>IFERROR(INDEX(MonthlyCurve!$I:$I,MATCH(A212,MonthlyCurve!$A:$A,0)),"")</f>
        <v>4.7913281666666668E-2</v>
      </c>
      <c r="O212">
        <f>IFERROR(INDEX(MonthlyCurve!$J:$J,MATCH(A212,MonthlyCurve!$A:$A,0)),"")</f>
        <v>0.43409596331511763</v>
      </c>
      <c r="P212">
        <f t="shared" si="30"/>
        <v>5462.0315349146413</v>
      </c>
      <c r="Q212">
        <f t="shared" si="31"/>
        <v>16.386094604743924</v>
      </c>
      <c r="R212">
        <f t="shared" si="32"/>
        <v>5478.4176295193856</v>
      </c>
      <c r="S212">
        <f t="shared" si="33"/>
        <v>2371.0458408063218</v>
      </c>
      <c r="T212">
        <f t="shared" si="34"/>
        <v>7.113137522418965</v>
      </c>
      <c r="U212">
        <f>SUMPRODUCT(R213:R543,O213:O543)/(M212*O212)</f>
        <v>623766.11356293096</v>
      </c>
    </row>
    <row r="213" spans="1:21" x14ac:dyDescent="0.35">
      <c r="A213">
        <v>210</v>
      </c>
      <c r="B213">
        <f>A213/Inputs!$B$6</f>
        <v>17.5</v>
      </c>
      <c r="C213">
        <f>Inputs!$B$3+B213</f>
        <v>82.5</v>
      </c>
      <c r="D213">
        <f t="shared" si="27"/>
        <v>82</v>
      </c>
      <c r="E213">
        <f>Inputs!$B$7+1+INT((A213-1)/Inputs!$B$6)</f>
        <v>2043</v>
      </c>
      <c r="F213">
        <f>Inputs!$B$16</f>
        <v>8333.3333333333339</v>
      </c>
      <c r="G213">
        <f>Inputs!$B$12</f>
        <v>25</v>
      </c>
      <c r="H213">
        <f>IFERROR(INDEX(RP2014_Qx!$B:$B,MATCH(D213,RP2014_Qx!$A:$A,0)),"")</f>
        <v>4.3246E-2</v>
      </c>
      <c r="I213">
        <f>SUMIFS(MP2016_Long!$C:$C,MP2016_Long!$A:$A,D213,MP2016_Long!$B:$B,"&gt;=2014",MP2016_Long!$B:$B,"&lt;"&amp;E213)</f>
        <v>0.18969999999999998</v>
      </c>
      <c r="J213">
        <f t="shared" si="28"/>
        <v>5.2279521890904464E-2</v>
      </c>
      <c r="K213">
        <f t="shared" si="29"/>
        <v>5.3695674520495611E-2</v>
      </c>
      <c r="L213">
        <f>EXP(-K213/Inputs!$B$6)</f>
        <v>0.99553535674066629</v>
      </c>
      <c r="M213">
        <f t="shared" si="35"/>
        <v>0.6525174615168019</v>
      </c>
      <c r="N213">
        <f>IFERROR(INDEX(MonthlyCurve!$I:$I,MATCH(A213,MonthlyCurve!$A:$A,0)),"")</f>
        <v>4.7979870000000001E-2</v>
      </c>
      <c r="O213">
        <f>IFERROR(INDEX(MonthlyCurve!$J:$J,MATCH(A213,MonthlyCurve!$A:$A,0)),"")</f>
        <v>0.43186263104400263</v>
      </c>
      <c r="P213">
        <f t="shared" si="30"/>
        <v>5437.645512640016</v>
      </c>
      <c r="Q213">
        <f t="shared" si="31"/>
        <v>16.312936537920049</v>
      </c>
      <c r="R213">
        <f t="shared" si="32"/>
        <v>5453.958449177936</v>
      </c>
      <c r="S213">
        <f t="shared" si="33"/>
        <v>2348.3158977733319</v>
      </c>
      <c r="T213">
        <f t="shared" si="34"/>
        <v>7.0449476933199957</v>
      </c>
      <c r="U213">
        <f>SUMPRODUCT(R214:R543,O214:O543)/(M213*O213)</f>
        <v>621445.37007883319</v>
      </c>
    </row>
    <row r="214" spans="1:21" x14ac:dyDescent="0.35">
      <c r="A214">
        <v>211</v>
      </c>
      <c r="B214">
        <f>A214/Inputs!$B$6</f>
        <v>17.583333333333332</v>
      </c>
      <c r="C214">
        <f>Inputs!$B$3+B214</f>
        <v>82.583333333333329</v>
      </c>
      <c r="D214">
        <f t="shared" si="27"/>
        <v>82</v>
      </c>
      <c r="E214">
        <f>Inputs!$B$7+1+INT((A214-1)/Inputs!$B$6)</f>
        <v>2043</v>
      </c>
      <c r="F214">
        <f>Inputs!$B$16</f>
        <v>8333.3333333333339</v>
      </c>
      <c r="G214">
        <f>Inputs!$B$12</f>
        <v>25</v>
      </c>
      <c r="H214">
        <f>IFERROR(INDEX(RP2014_Qx!$B:$B,MATCH(D214,RP2014_Qx!$A:$A,0)),"")</f>
        <v>4.3246E-2</v>
      </c>
      <c r="I214">
        <f>SUMIFS(MP2016_Long!$C:$C,MP2016_Long!$A:$A,D214,MP2016_Long!$B:$B,"&gt;=2014",MP2016_Long!$B:$B,"&lt;"&amp;E214)</f>
        <v>0.18969999999999998</v>
      </c>
      <c r="J214">
        <f t="shared" si="28"/>
        <v>5.2279521890904464E-2</v>
      </c>
      <c r="K214">
        <f t="shared" si="29"/>
        <v>5.3695674520495611E-2</v>
      </c>
      <c r="L214">
        <f>EXP(-K214/Inputs!$B$6)</f>
        <v>0.99553535674066629</v>
      </c>
      <c r="M214">
        <f t="shared" si="35"/>
        <v>0.64960420383064332</v>
      </c>
      <c r="N214">
        <f>IFERROR(INDEX(MonthlyCurve!$I:$I,MATCH(A214,MonthlyCurve!$A:$A,0)),"")</f>
        <v>4.8047605E-2</v>
      </c>
      <c r="O214">
        <f>IFERROR(INDEX(MonthlyCurve!$J:$J,MATCH(A214,MonthlyCurve!$A:$A,0)),"")</f>
        <v>0.42962735831639837</v>
      </c>
      <c r="P214">
        <f t="shared" si="30"/>
        <v>5413.3683652553618</v>
      </c>
      <c r="Q214">
        <f t="shared" si="31"/>
        <v>16.240105095766083</v>
      </c>
      <c r="R214">
        <f t="shared" si="32"/>
        <v>5429.6084703511278</v>
      </c>
      <c r="S214">
        <f t="shared" si="33"/>
        <v>2325.7311503582209</v>
      </c>
      <c r="T214">
        <f t="shared" si="34"/>
        <v>6.9771934510746618</v>
      </c>
      <c r="U214">
        <f>SUMPRODUCT(R215:R543,O215:O543)/(M214*O214)</f>
        <v>619121.77842807095</v>
      </c>
    </row>
    <row r="215" spans="1:21" x14ac:dyDescent="0.35">
      <c r="A215">
        <v>212</v>
      </c>
      <c r="B215">
        <f>A215/Inputs!$B$6</f>
        <v>17.666666666666668</v>
      </c>
      <c r="C215">
        <f>Inputs!$B$3+B215</f>
        <v>82.666666666666671</v>
      </c>
      <c r="D215">
        <f t="shared" si="27"/>
        <v>82</v>
      </c>
      <c r="E215">
        <f>Inputs!$B$7+1+INT((A215-1)/Inputs!$B$6)</f>
        <v>2043</v>
      </c>
      <c r="F215">
        <f>Inputs!$B$16</f>
        <v>8333.3333333333339</v>
      </c>
      <c r="G215">
        <f>Inputs!$B$12</f>
        <v>25</v>
      </c>
      <c r="H215">
        <f>IFERROR(INDEX(RP2014_Qx!$B:$B,MATCH(D215,RP2014_Qx!$A:$A,0)),"")</f>
        <v>4.3246E-2</v>
      </c>
      <c r="I215">
        <f>SUMIFS(MP2016_Long!$C:$C,MP2016_Long!$A:$A,D215,MP2016_Long!$B:$B,"&gt;=2014",MP2016_Long!$B:$B,"&lt;"&amp;E215)</f>
        <v>0.18969999999999998</v>
      </c>
      <c r="J215">
        <f t="shared" si="28"/>
        <v>5.2279521890904464E-2</v>
      </c>
      <c r="K215">
        <f t="shared" si="29"/>
        <v>5.3695674520495611E-2</v>
      </c>
      <c r="L215">
        <f>EXP(-K215/Inputs!$B$6)</f>
        <v>0.99553535674066629</v>
      </c>
      <c r="M215">
        <f t="shared" si="35"/>
        <v>0.64670395280077597</v>
      </c>
      <c r="N215">
        <f>IFERROR(INDEX(MonthlyCurve!$I:$I,MATCH(A215,MonthlyCurve!$A:$A,0)),"")</f>
        <v>4.8115339999999999E-2</v>
      </c>
      <c r="O215">
        <f>IFERROR(INDEX(MonthlyCurve!$J:$J,MATCH(A215,MonthlyCurve!$A:$A,0)),"")</f>
        <v>0.42739883010683066</v>
      </c>
      <c r="P215">
        <f t="shared" si="30"/>
        <v>5389.1996066731335</v>
      </c>
      <c r="Q215">
        <f t="shared" si="31"/>
        <v>16.1675988200194</v>
      </c>
      <c r="R215">
        <f t="shared" si="32"/>
        <v>5405.3672054931531</v>
      </c>
      <c r="S215">
        <f t="shared" si="33"/>
        <v>2303.3376071042894</v>
      </c>
      <c r="T215">
        <f t="shared" si="34"/>
        <v>6.9100128213128675</v>
      </c>
      <c r="U215">
        <f>SUMPRODUCT(R216:R543,O216:O543)/(M215*O215)</f>
        <v>616782.68008743599</v>
      </c>
    </row>
    <row r="216" spans="1:21" x14ac:dyDescent="0.35">
      <c r="A216">
        <v>213</v>
      </c>
      <c r="B216">
        <f>A216/Inputs!$B$6</f>
        <v>17.75</v>
      </c>
      <c r="C216">
        <f>Inputs!$B$3+B216</f>
        <v>82.75</v>
      </c>
      <c r="D216">
        <f t="shared" si="27"/>
        <v>82</v>
      </c>
      <c r="E216">
        <f>Inputs!$B$7+1+INT((A216-1)/Inputs!$B$6)</f>
        <v>2043</v>
      </c>
      <c r="F216">
        <f>Inputs!$B$16</f>
        <v>8333.3333333333339</v>
      </c>
      <c r="G216">
        <f>Inputs!$B$12</f>
        <v>25</v>
      </c>
      <c r="H216">
        <f>IFERROR(INDEX(RP2014_Qx!$B:$B,MATCH(D216,RP2014_Qx!$A:$A,0)),"")</f>
        <v>4.3246E-2</v>
      </c>
      <c r="I216">
        <f>SUMIFS(MP2016_Long!$C:$C,MP2016_Long!$A:$A,D216,MP2016_Long!$B:$B,"&gt;=2014",MP2016_Long!$B:$B,"&lt;"&amp;E216)</f>
        <v>0.18969999999999998</v>
      </c>
      <c r="J216">
        <f t="shared" si="28"/>
        <v>5.2279521890904464E-2</v>
      </c>
      <c r="K216">
        <f t="shared" si="29"/>
        <v>5.3695674520495611E-2</v>
      </c>
      <c r="L216">
        <f>EXP(-K216/Inputs!$B$6)</f>
        <v>0.99553535674066629</v>
      </c>
      <c r="M216">
        <f t="shared" si="35"/>
        <v>0.64381665035711955</v>
      </c>
      <c r="N216">
        <f>IFERROR(INDEX(MonthlyCurve!$I:$I,MATCH(A216,MonthlyCurve!$A:$A,0)),"")</f>
        <v>4.8183074999999999E-2</v>
      </c>
      <c r="O216">
        <f>IFERROR(INDEX(MonthlyCurve!$J:$J,MATCH(A216,MonthlyCurve!$A:$A,0)),"")</f>
        <v>0.42517706161635316</v>
      </c>
      <c r="P216">
        <f t="shared" si="30"/>
        <v>5365.1387529759968</v>
      </c>
      <c r="Q216">
        <f t="shared" si="31"/>
        <v>16.09541625892799</v>
      </c>
      <c r="R216">
        <f t="shared" si="32"/>
        <v>5381.2341692349246</v>
      </c>
      <c r="S216">
        <f t="shared" si="33"/>
        <v>2281.1339301543594</v>
      </c>
      <c r="T216">
        <f t="shared" si="34"/>
        <v>6.8434017904630782</v>
      </c>
      <c r="U216">
        <f>SUMPRODUCT(R217:R543,O217:O543)/(M216*O216)</f>
        <v>614427.87122758536</v>
      </c>
    </row>
    <row r="217" spans="1:21" x14ac:dyDescent="0.35">
      <c r="A217">
        <v>214</v>
      </c>
      <c r="B217">
        <f>A217/Inputs!$B$6</f>
        <v>17.833333333333332</v>
      </c>
      <c r="C217">
        <f>Inputs!$B$3+B217</f>
        <v>82.833333333333329</v>
      </c>
      <c r="D217">
        <f t="shared" si="27"/>
        <v>82</v>
      </c>
      <c r="E217">
        <f>Inputs!$B$7+1+INT((A217-1)/Inputs!$B$6)</f>
        <v>2043</v>
      </c>
      <c r="F217">
        <f>Inputs!$B$16</f>
        <v>8333.3333333333339</v>
      </c>
      <c r="G217">
        <f>Inputs!$B$12</f>
        <v>25</v>
      </c>
      <c r="H217">
        <f>IFERROR(INDEX(RP2014_Qx!$B:$B,MATCH(D217,RP2014_Qx!$A:$A,0)),"")</f>
        <v>4.3246E-2</v>
      </c>
      <c r="I217">
        <f>SUMIFS(MP2016_Long!$C:$C,MP2016_Long!$A:$A,D217,MP2016_Long!$B:$B,"&gt;=2014",MP2016_Long!$B:$B,"&lt;"&amp;E217)</f>
        <v>0.18969999999999998</v>
      </c>
      <c r="J217">
        <f t="shared" si="28"/>
        <v>5.2279521890904464E-2</v>
      </c>
      <c r="K217">
        <f t="shared" si="29"/>
        <v>5.3695674520495611E-2</v>
      </c>
      <c r="L217">
        <f>EXP(-K217/Inputs!$B$6)</f>
        <v>0.99553535674066629</v>
      </c>
      <c r="M217">
        <f t="shared" si="35"/>
        <v>0.6409422386888558</v>
      </c>
      <c r="N217">
        <f>IFERROR(INDEX(MonthlyCurve!$I:$I,MATCH(A217,MonthlyCurve!$A:$A,0)),"")</f>
        <v>4.8250809999999998E-2</v>
      </c>
      <c r="O217">
        <f>IFERROR(INDEX(MonthlyCurve!$J:$J,MATCH(A217,MonthlyCurve!$A:$A,0)),"")</f>
        <v>0.42296206773874606</v>
      </c>
      <c r="P217">
        <f t="shared" si="30"/>
        <v>5341.1853224071319</v>
      </c>
      <c r="Q217">
        <f t="shared" si="31"/>
        <v>16.023555967221395</v>
      </c>
      <c r="R217">
        <f t="shared" si="32"/>
        <v>5357.2088783743529</v>
      </c>
      <c r="S217">
        <f t="shared" si="33"/>
        <v>2259.1187881411615</v>
      </c>
      <c r="T217">
        <f t="shared" si="34"/>
        <v>6.7773563644234844</v>
      </c>
      <c r="U217">
        <f>SUMPRODUCT(R218:R543,O218:O543)/(M217*O217)</f>
        <v>612057.14550167311</v>
      </c>
    </row>
    <row r="218" spans="1:21" x14ac:dyDescent="0.35">
      <c r="A218">
        <v>215</v>
      </c>
      <c r="B218">
        <f>A218/Inputs!$B$6</f>
        <v>17.916666666666668</v>
      </c>
      <c r="C218">
        <f>Inputs!$B$3+B218</f>
        <v>82.916666666666671</v>
      </c>
      <c r="D218">
        <f t="shared" si="27"/>
        <v>82</v>
      </c>
      <c r="E218">
        <f>Inputs!$B$7+1+INT((A218-1)/Inputs!$B$6)</f>
        <v>2043</v>
      </c>
      <c r="F218">
        <f>Inputs!$B$16</f>
        <v>8333.3333333333339</v>
      </c>
      <c r="G218">
        <f>Inputs!$B$12</f>
        <v>25</v>
      </c>
      <c r="H218">
        <f>IFERROR(INDEX(RP2014_Qx!$B:$B,MATCH(D218,RP2014_Qx!$A:$A,0)),"")</f>
        <v>4.3246E-2</v>
      </c>
      <c r="I218">
        <f>SUMIFS(MP2016_Long!$C:$C,MP2016_Long!$A:$A,D218,MP2016_Long!$B:$B,"&gt;=2014",MP2016_Long!$B:$B,"&lt;"&amp;E218)</f>
        <v>0.18969999999999998</v>
      </c>
      <c r="J218">
        <f t="shared" si="28"/>
        <v>5.2279521890904464E-2</v>
      </c>
      <c r="K218">
        <f t="shared" si="29"/>
        <v>5.3695674520495611E-2</v>
      </c>
      <c r="L218">
        <f>EXP(-K218/Inputs!$B$6)</f>
        <v>0.99553535674066629</v>
      </c>
      <c r="M218">
        <f t="shared" si="35"/>
        <v>0.63808066024327137</v>
      </c>
      <c r="N218">
        <f>IFERROR(INDEX(MonthlyCurve!$I:$I,MATCH(A218,MonthlyCurve!$A:$A,0)),"")</f>
        <v>4.8318544999999997E-2</v>
      </c>
      <c r="O218">
        <f>IFERROR(INDEX(MonthlyCurve!$J:$J,MATCH(A218,MonthlyCurve!$A:$A,0)),"")</f>
        <v>0.42075386306144297</v>
      </c>
      <c r="P218">
        <f t="shared" si="30"/>
        <v>5317.3388353605951</v>
      </c>
      <c r="Q218">
        <f t="shared" si="31"/>
        <v>15.952016506081785</v>
      </c>
      <c r="R218">
        <f t="shared" si="32"/>
        <v>5333.2908518666773</v>
      </c>
      <c r="S218">
        <f t="shared" si="33"/>
        <v>2237.2908561846043</v>
      </c>
      <c r="T218">
        <f t="shared" si="34"/>
        <v>6.7118725685538134</v>
      </c>
      <c r="U218">
        <f>SUMPRODUCT(R219:R543,O219:O543)/(M218*O218)</f>
        <v>609670.29401148215</v>
      </c>
    </row>
    <row r="219" spans="1:21" x14ac:dyDescent="0.35">
      <c r="A219">
        <v>216</v>
      </c>
      <c r="B219">
        <f>A219/Inputs!$B$6</f>
        <v>18</v>
      </c>
      <c r="C219">
        <f>Inputs!$B$3+B219</f>
        <v>83</v>
      </c>
      <c r="D219">
        <f t="shared" si="27"/>
        <v>83</v>
      </c>
      <c r="E219">
        <f>Inputs!$B$7+1+INT((A219-1)/Inputs!$B$6)</f>
        <v>2043</v>
      </c>
      <c r="F219">
        <f>Inputs!$B$16</f>
        <v>8333.3333333333339</v>
      </c>
      <c r="G219">
        <f>Inputs!$B$12</f>
        <v>25</v>
      </c>
      <c r="H219">
        <f>IFERROR(INDEX(RP2014_Qx!$B:$B,MATCH(D219,RP2014_Qx!$A:$A,0)),"")</f>
        <v>4.8305000000000001E-2</v>
      </c>
      <c r="I219">
        <f>SUMIFS(MP2016_Long!$C:$C,MP2016_Long!$A:$A,D219,MP2016_Long!$B:$B,"&gt;=2014",MP2016_Long!$B:$B,"&lt;"&amp;E219)</f>
        <v>0.189</v>
      </c>
      <c r="J219">
        <f t="shared" si="28"/>
        <v>5.8354418209686579E-2</v>
      </c>
      <c r="K219">
        <f t="shared" si="29"/>
        <v>6.0126315339524214E-2</v>
      </c>
      <c r="L219">
        <f>EXP(-K219/Inputs!$B$6)</f>
        <v>0.99500200546954543</v>
      </c>
      <c r="M219">
        <f t="shared" si="35"/>
        <v>0.63489153659338671</v>
      </c>
      <c r="N219">
        <f>IFERROR(INDEX(MonthlyCurve!$I:$I,MATCH(A219,MonthlyCurve!$A:$A,0)),"")</f>
        <v>4.8386279999999997E-2</v>
      </c>
      <c r="O219">
        <f>IFERROR(INDEX(MonthlyCurve!$J:$J,MATCH(A219,MonthlyCurve!$A:$A,0)),"")</f>
        <v>0.41855246186646999</v>
      </c>
      <c r="P219">
        <f t="shared" si="30"/>
        <v>5290.7628049448895</v>
      </c>
      <c r="Q219">
        <f t="shared" si="31"/>
        <v>15.872288414834667</v>
      </c>
      <c r="R219">
        <f t="shared" si="32"/>
        <v>5306.6350933597241</v>
      </c>
      <c r="S219">
        <f t="shared" si="33"/>
        <v>2214.4617971612338</v>
      </c>
      <c r="T219">
        <f t="shared" si="34"/>
        <v>6.6433853914837009</v>
      </c>
      <c r="U219">
        <f>SUMPRODUCT(R220:R543,O220:O543)/(M219*O219)</f>
        <v>607597.09919109405</v>
      </c>
    </row>
    <row r="220" spans="1:21" x14ac:dyDescent="0.35">
      <c r="A220">
        <v>217</v>
      </c>
      <c r="B220">
        <f>A220/Inputs!$B$6</f>
        <v>18.083333333333332</v>
      </c>
      <c r="C220">
        <f>Inputs!$B$3+B220</f>
        <v>83.083333333333329</v>
      </c>
      <c r="D220">
        <f t="shared" si="27"/>
        <v>83</v>
      </c>
      <c r="E220">
        <f>Inputs!$B$7+1+INT((A220-1)/Inputs!$B$6)</f>
        <v>2044</v>
      </c>
      <c r="F220">
        <f>Inputs!$B$16</f>
        <v>8333.3333333333339</v>
      </c>
      <c r="G220">
        <f>Inputs!$B$12</f>
        <v>25</v>
      </c>
      <c r="H220">
        <f>IFERROR(INDEX(RP2014_Qx!$B:$B,MATCH(D220,RP2014_Qx!$A:$A,0)),"")</f>
        <v>4.8305000000000001E-2</v>
      </c>
      <c r="I220">
        <f>SUMIFS(MP2016_Long!$C:$C,MP2016_Long!$A:$A,D220,MP2016_Long!$B:$B,"&gt;=2014",MP2016_Long!$B:$B,"&lt;"&amp;E220)</f>
        <v>0.189</v>
      </c>
      <c r="J220">
        <f t="shared" si="28"/>
        <v>5.8354418209686579E-2</v>
      </c>
      <c r="K220">
        <f t="shared" si="29"/>
        <v>6.0126315339524214E-2</v>
      </c>
      <c r="L220">
        <f>EXP(-K220/Inputs!$B$6)</f>
        <v>0.99500200546954543</v>
      </c>
      <c r="M220">
        <f t="shared" si="35"/>
        <v>0.63171835216606109</v>
      </c>
      <c r="N220">
        <f>IFERROR(INDEX(MonthlyCurve!$I:$I,MATCH(A220,MonthlyCurve!$A:$A,0)),"")</f>
        <v>4.8455218333333328E-2</v>
      </c>
      <c r="O220">
        <f>IFERROR(INDEX(MonthlyCurve!$J:$J,MATCH(A220,MonthlyCurve!$A:$A,0)),"")</f>
        <v>0.41634881816688735</v>
      </c>
      <c r="P220">
        <f t="shared" si="30"/>
        <v>5264.3196013838424</v>
      </c>
      <c r="Q220">
        <f t="shared" si="31"/>
        <v>15.792958804151528</v>
      </c>
      <c r="R220">
        <f t="shared" si="32"/>
        <v>5280.1125601879939</v>
      </c>
      <c r="S220">
        <f t="shared" si="33"/>
        <v>2191.7932444889425</v>
      </c>
      <c r="T220">
        <f t="shared" si="34"/>
        <v>6.5753797334668276</v>
      </c>
      <c r="U220">
        <f>SUMPRODUCT(R221:R543,O221:O543)/(M220*O220)</f>
        <v>605522.81973974826</v>
      </c>
    </row>
    <row r="221" spans="1:21" x14ac:dyDescent="0.35">
      <c r="A221">
        <v>218</v>
      </c>
      <c r="B221">
        <f>A221/Inputs!$B$6</f>
        <v>18.166666666666668</v>
      </c>
      <c r="C221">
        <f>Inputs!$B$3+B221</f>
        <v>83.166666666666671</v>
      </c>
      <c r="D221">
        <f t="shared" si="27"/>
        <v>83</v>
      </c>
      <c r="E221">
        <f>Inputs!$B$7+1+INT((A221-1)/Inputs!$B$6)</f>
        <v>2044</v>
      </c>
      <c r="F221">
        <f>Inputs!$B$16</f>
        <v>8333.3333333333339</v>
      </c>
      <c r="G221">
        <f>Inputs!$B$12</f>
        <v>25</v>
      </c>
      <c r="H221">
        <f>IFERROR(INDEX(RP2014_Qx!$B:$B,MATCH(D221,RP2014_Qx!$A:$A,0)),"")</f>
        <v>4.8305000000000001E-2</v>
      </c>
      <c r="I221">
        <f>SUMIFS(MP2016_Long!$C:$C,MP2016_Long!$A:$A,D221,MP2016_Long!$B:$B,"&gt;=2014",MP2016_Long!$B:$B,"&lt;"&amp;E221)</f>
        <v>0.189</v>
      </c>
      <c r="J221">
        <f t="shared" si="28"/>
        <v>5.8354418209686579E-2</v>
      </c>
      <c r="K221">
        <f t="shared" si="29"/>
        <v>6.0126315339524214E-2</v>
      </c>
      <c r="L221">
        <f>EXP(-K221/Inputs!$B$6)</f>
        <v>0.99500200546954543</v>
      </c>
      <c r="M221">
        <f t="shared" si="35"/>
        <v>0.62856102729714736</v>
      </c>
      <c r="N221">
        <f>IFERROR(INDEX(MonthlyCurve!$I:$I,MATCH(A221,MonthlyCurve!$A:$A,0)),"")</f>
        <v>4.8524156666666665E-2</v>
      </c>
      <c r="O221">
        <f>IFERROR(INDEX(MonthlyCurve!$J:$J,MATCH(A221,MonthlyCurve!$A:$A,0)),"")</f>
        <v>0.41415201794806589</v>
      </c>
      <c r="P221">
        <f t="shared" si="30"/>
        <v>5238.0085608095615</v>
      </c>
      <c r="Q221">
        <f t="shared" si="31"/>
        <v>15.714025682428684</v>
      </c>
      <c r="R221">
        <f t="shared" si="32"/>
        <v>5253.7225864919901</v>
      </c>
      <c r="S221">
        <f t="shared" si="33"/>
        <v>2169.3318154885242</v>
      </c>
      <c r="T221">
        <f t="shared" si="34"/>
        <v>6.5079954464655723</v>
      </c>
      <c r="U221">
        <f>SUMPRODUCT(R222:R543,O222:O543)/(M221*O221)</f>
        <v>603434.11640336132</v>
      </c>
    </row>
    <row r="222" spans="1:21" x14ac:dyDescent="0.35">
      <c r="A222">
        <v>219</v>
      </c>
      <c r="B222">
        <f>A222/Inputs!$B$6</f>
        <v>18.25</v>
      </c>
      <c r="C222">
        <f>Inputs!$B$3+B222</f>
        <v>83.25</v>
      </c>
      <c r="D222">
        <f t="shared" si="27"/>
        <v>83</v>
      </c>
      <c r="E222">
        <f>Inputs!$B$7+1+INT((A222-1)/Inputs!$B$6)</f>
        <v>2044</v>
      </c>
      <c r="F222">
        <f>Inputs!$B$16</f>
        <v>8333.3333333333339</v>
      </c>
      <c r="G222">
        <f>Inputs!$B$12</f>
        <v>25</v>
      </c>
      <c r="H222">
        <f>IFERROR(INDEX(RP2014_Qx!$B:$B,MATCH(D222,RP2014_Qx!$A:$A,0)),"")</f>
        <v>4.8305000000000001E-2</v>
      </c>
      <c r="I222">
        <f>SUMIFS(MP2016_Long!$C:$C,MP2016_Long!$A:$A,D222,MP2016_Long!$B:$B,"&gt;=2014",MP2016_Long!$B:$B,"&lt;"&amp;E222)</f>
        <v>0.189</v>
      </c>
      <c r="J222">
        <f t="shared" si="28"/>
        <v>5.8354418209686579E-2</v>
      </c>
      <c r="K222">
        <f t="shared" si="29"/>
        <v>6.0126315339524214E-2</v>
      </c>
      <c r="L222">
        <f>EXP(-K222/Inputs!$B$6)</f>
        <v>0.99500200546954543</v>
      </c>
      <c r="M222">
        <f t="shared" si="35"/>
        <v>0.62541948272065928</v>
      </c>
      <c r="N222">
        <f>IFERROR(INDEX(MonthlyCurve!$I:$I,MATCH(A222,MonthlyCurve!$A:$A,0)),"")</f>
        <v>4.8593095000000003E-2</v>
      </c>
      <c r="O222">
        <f>IFERROR(INDEX(MonthlyCurve!$J:$J,MATCH(A222,MonthlyCurve!$A:$A,0)),"")</f>
        <v>0.41196207544921787</v>
      </c>
      <c r="P222">
        <f t="shared" si="30"/>
        <v>5211.829022672161</v>
      </c>
      <c r="Q222">
        <f t="shared" si="31"/>
        <v>15.635487068016483</v>
      </c>
      <c r="R222">
        <f t="shared" si="32"/>
        <v>5227.4645097401772</v>
      </c>
      <c r="S222">
        <f t="shared" si="33"/>
        <v>2147.0759010664924</v>
      </c>
      <c r="T222">
        <f t="shared" si="34"/>
        <v>6.4412277031994769</v>
      </c>
      <c r="U222">
        <f>SUMPRODUCT(R223:R543,O223:O543)/(M222*O222)</f>
        <v>601330.79158991156</v>
      </c>
    </row>
    <row r="223" spans="1:21" x14ac:dyDescent="0.35">
      <c r="A223">
        <v>220</v>
      </c>
      <c r="B223">
        <f>A223/Inputs!$B$6</f>
        <v>18.333333333333332</v>
      </c>
      <c r="C223">
        <f>Inputs!$B$3+B223</f>
        <v>83.333333333333329</v>
      </c>
      <c r="D223">
        <f t="shared" si="27"/>
        <v>83</v>
      </c>
      <c r="E223">
        <f>Inputs!$B$7+1+INT((A223-1)/Inputs!$B$6)</f>
        <v>2044</v>
      </c>
      <c r="F223">
        <f>Inputs!$B$16</f>
        <v>8333.3333333333339</v>
      </c>
      <c r="G223">
        <f>Inputs!$B$12</f>
        <v>25</v>
      </c>
      <c r="H223">
        <f>IFERROR(INDEX(RP2014_Qx!$B:$B,MATCH(D223,RP2014_Qx!$A:$A,0)),"")</f>
        <v>4.8305000000000001E-2</v>
      </c>
      <c r="I223">
        <f>SUMIFS(MP2016_Long!$C:$C,MP2016_Long!$A:$A,D223,MP2016_Long!$B:$B,"&gt;=2014",MP2016_Long!$B:$B,"&lt;"&amp;E223)</f>
        <v>0.189</v>
      </c>
      <c r="J223">
        <f t="shared" si="28"/>
        <v>5.8354418209686579E-2</v>
      </c>
      <c r="K223">
        <f t="shared" si="29"/>
        <v>6.0126315339524214E-2</v>
      </c>
      <c r="L223">
        <f>EXP(-K223/Inputs!$B$6)</f>
        <v>0.99500200546954543</v>
      </c>
      <c r="M223">
        <f t="shared" si="35"/>
        <v>0.62229363956678174</v>
      </c>
      <c r="N223">
        <f>IFERROR(INDEX(MonthlyCurve!$I:$I,MATCH(A223,MonthlyCurve!$A:$A,0)),"")</f>
        <v>4.8662033333333334E-2</v>
      </c>
      <c r="O223">
        <f>IFERROR(INDEX(MonthlyCurve!$J:$J,MATCH(A223,MonthlyCurve!$A:$A,0)),"")</f>
        <v>0.40977900459858974</v>
      </c>
      <c r="P223">
        <f t="shared" si="30"/>
        <v>5185.7803297231812</v>
      </c>
      <c r="Q223">
        <f t="shared" si="31"/>
        <v>15.557340989169543</v>
      </c>
      <c r="R223">
        <f t="shared" si="32"/>
        <v>5201.3376707123507</v>
      </c>
      <c r="S223">
        <f t="shared" si="33"/>
        <v>2125.0239015809116</v>
      </c>
      <c r="T223">
        <f t="shared" si="34"/>
        <v>6.3750717047427345</v>
      </c>
      <c r="U223">
        <f>SUMPRODUCT(R224:R543,O224:O543)/(M223*O223)</f>
        <v>599212.64515374182</v>
      </c>
    </row>
    <row r="224" spans="1:21" x14ac:dyDescent="0.35">
      <c r="A224">
        <v>221</v>
      </c>
      <c r="B224">
        <f>A224/Inputs!$B$6</f>
        <v>18.416666666666668</v>
      </c>
      <c r="C224">
        <f>Inputs!$B$3+B224</f>
        <v>83.416666666666671</v>
      </c>
      <c r="D224">
        <f t="shared" si="27"/>
        <v>83</v>
      </c>
      <c r="E224">
        <f>Inputs!$B$7+1+INT((A224-1)/Inputs!$B$6)</f>
        <v>2044</v>
      </c>
      <c r="F224">
        <f>Inputs!$B$16</f>
        <v>8333.3333333333339</v>
      </c>
      <c r="G224">
        <f>Inputs!$B$12</f>
        <v>25</v>
      </c>
      <c r="H224">
        <f>IFERROR(INDEX(RP2014_Qx!$B:$B,MATCH(D224,RP2014_Qx!$A:$A,0)),"")</f>
        <v>4.8305000000000001E-2</v>
      </c>
      <c r="I224">
        <f>SUMIFS(MP2016_Long!$C:$C,MP2016_Long!$A:$A,D224,MP2016_Long!$B:$B,"&gt;=2014",MP2016_Long!$B:$B,"&lt;"&amp;E224)</f>
        <v>0.189</v>
      </c>
      <c r="J224">
        <f t="shared" si="28"/>
        <v>5.8354418209686579E-2</v>
      </c>
      <c r="K224">
        <f t="shared" si="29"/>
        <v>6.0126315339524214E-2</v>
      </c>
      <c r="L224">
        <f>EXP(-K224/Inputs!$B$6)</f>
        <v>0.99500200546954543</v>
      </c>
      <c r="M224">
        <f t="shared" si="35"/>
        <v>0.6191834193598903</v>
      </c>
      <c r="N224">
        <f>IFERROR(INDEX(MonthlyCurve!$I:$I,MATCH(A224,MonthlyCurve!$A:$A,0)),"")</f>
        <v>4.8730971666666671E-2</v>
      </c>
      <c r="O224">
        <f>IFERROR(INDEX(MonthlyCurve!$J:$J,MATCH(A224,MonthlyCurve!$A:$A,0)),"")</f>
        <v>0.40760281901446804</v>
      </c>
      <c r="P224">
        <f t="shared" si="30"/>
        <v>5159.861827999086</v>
      </c>
      <c r="Q224">
        <f t="shared" si="31"/>
        <v>15.479585483997257</v>
      </c>
      <c r="R224">
        <f t="shared" si="32"/>
        <v>5175.3414134830837</v>
      </c>
      <c r="S224">
        <f t="shared" si="33"/>
        <v>2103.1742268175735</v>
      </c>
      <c r="T224">
        <f t="shared" si="34"/>
        <v>6.3095226804527202</v>
      </c>
      <c r="U224">
        <f>SUMPRODUCT(R225:R543,O225:O543)/(M224*O224)</f>
        <v>597079.47435984283</v>
      </c>
    </row>
    <row r="225" spans="1:21" x14ac:dyDescent="0.35">
      <c r="A225">
        <v>222</v>
      </c>
      <c r="B225">
        <f>A225/Inputs!$B$6</f>
        <v>18.5</v>
      </c>
      <c r="C225">
        <f>Inputs!$B$3+B225</f>
        <v>83.5</v>
      </c>
      <c r="D225">
        <f t="shared" si="27"/>
        <v>83</v>
      </c>
      <c r="E225">
        <f>Inputs!$B$7+1+INT((A225-1)/Inputs!$B$6)</f>
        <v>2044</v>
      </c>
      <c r="F225">
        <f>Inputs!$B$16</f>
        <v>8333.3333333333339</v>
      </c>
      <c r="G225">
        <f>Inputs!$B$12</f>
        <v>25</v>
      </c>
      <c r="H225">
        <f>IFERROR(INDEX(RP2014_Qx!$B:$B,MATCH(D225,RP2014_Qx!$A:$A,0)),"")</f>
        <v>4.8305000000000001E-2</v>
      </c>
      <c r="I225">
        <f>SUMIFS(MP2016_Long!$C:$C,MP2016_Long!$A:$A,D225,MP2016_Long!$B:$B,"&gt;=2014",MP2016_Long!$B:$B,"&lt;"&amp;E225)</f>
        <v>0.189</v>
      </c>
      <c r="J225">
        <f t="shared" si="28"/>
        <v>5.8354418209686579E-2</v>
      </c>
      <c r="K225">
        <f t="shared" si="29"/>
        <v>6.0126315339524214E-2</v>
      </c>
      <c r="L225">
        <f>EXP(-K225/Inputs!$B$6)</f>
        <v>0.99500200546954543</v>
      </c>
      <c r="M225">
        <f t="shared" si="35"/>
        <v>0.61608874401658142</v>
      </c>
      <c r="N225">
        <f>IFERROR(INDEX(MonthlyCurve!$I:$I,MATCH(A225,MonthlyCurve!$A:$A,0)),"")</f>
        <v>4.8799910000000002E-2</v>
      </c>
      <c r="O225">
        <f>IFERROR(INDEX(MonthlyCurve!$J:$J,MATCH(A225,MonthlyCurve!$A:$A,0)),"")</f>
        <v>0.40543353200619819</v>
      </c>
      <c r="P225">
        <f t="shared" si="30"/>
        <v>5134.0728668048459</v>
      </c>
      <c r="Q225">
        <f t="shared" si="31"/>
        <v>15.402218600414535</v>
      </c>
      <c r="R225">
        <f t="shared" si="32"/>
        <v>5149.4750854052609</v>
      </c>
      <c r="S225">
        <f t="shared" si="33"/>
        <v>2081.525295965876</v>
      </c>
      <c r="T225">
        <f t="shared" si="34"/>
        <v>6.2445758878976276</v>
      </c>
      <c r="U225">
        <f>SUMPRODUCT(R226:R543,O226:O543)/(M225*O225)</f>
        <v>594931.07384761726</v>
      </c>
    </row>
    <row r="226" spans="1:21" x14ac:dyDescent="0.35">
      <c r="A226">
        <v>223</v>
      </c>
      <c r="B226">
        <f>A226/Inputs!$B$6</f>
        <v>18.583333333333332</v>
      </c>
      <c r="C226">
        <f>Inputs!$B$3+B226</f>
        <v>83.583333333333329</v>
      </c>
      <c r="D226">
        <f t="shared" si="27"/>
        <v>83</v>
      </c>
      <c r="E226">
        <f>Inputs!$B$7+1+INT((A226-1)/Inputs!$B$6)</f>
        <v>2044</v>
      </c>
      <c r="F226">
        <f>Inputs!$B$16</f>
        <v>8333.3333333333339</v>
      </c>
      <c r="G226">
        <f>Inputs!$B$12</f>
        <v>25</v>
      </c>
      <c r="H226">
        <f>IFERROR(INDEX(RP2014_Qx!$B:$B,MATCH(D226,RP2014_Qx!$A:$A,0)),"")</f>
        <v>4.8305000000000001E-2</v>
      </c>
      <c r="I226">
        <f>SUMIFS(MP2016_Long!$C:$C,MP2016_Long!$A:$A,D226,MP2016_Long!$B:$B,"&gt;=2014",MP2016_Long!$B:$B,"&lt;"&amp;E226)</f>
        <v>0.189</v>
      </c>
      <c r="J226">
        <f t="shared" si="28"/>
        <v>5.8354418209686579E-2</v>
      </c>
      <c r="K226">
        <f t="shared" si="29"/>
        <v>6.0126315339524214E-2</v>
      </c>
      <c r="L226">
        <f>EXP(-K226/Inputs!$B$6)</f>
        <v>0.99500200546954543</v>
      </c>
      <c r="M226">
        <f t="shared" si="35"/>
        <v>0.61300953584371187</v>
      </c>
      <c r="N226">
        <f>IFERROR(INDEX(MonthlyCurve!$I:$I,MATCH(A226,MonthlyCurve!$A:$A,0)),"")</f>
        <v>4.8870111666666667E-2</v>
      </c>
      <c r="O226">
        <f>IFERROR(INDEX(MonthlyCurve!$J:$J,MATCH(A226,MonthlyCurve!$A:$A,0)),"")</f>
        <v>0.40326168911180965</v>
      </c>
      <c r="P226">
        <f t="shared" si="30"/>
        <v>5108.4127986975991</v>
      </c>
      <c r="Q226">
        <f t="shared" si="31"/>
        <v>15.325238396092796</v>
      </c>
      <c r="R226">
        <f t="shared" si="32"/>
        <v>5123.7380370936917</v>
      </c>
      <c r="S226">
        <f t="shared" si="33"/>
        <v>2060.0271738831807</v>
      </c>
      <c r="T226">
        <f t="shared" si="34"/>
        <v>6.1800815216495417</v>
      </c>
      <c r="U226">
        <f>SUMPRODUCT(R227:R543,O227:O543)/(M226*O226)</f>
        <v>592781.34835136193</v>
      </c>
    </row>
    <row r="227" spans="1:21" x14ac:dyDescent="0.35">
      <c r="A227">
        <v>224</v>
      </c>
      <c r="B227">
        <f>A227/Inputs!$B$6</f>
        <v>18.666666666666668</v>
      </c>
      <c r="C227">
        <f>Inputs!$B$3+B227</f>
        <v>83.666666666666671</v>
      </c>
      <c r="D227">
        <f t="shared" si="27"/>
        <v>83</v>
      </c>
      <c r="E227">
        <f>Inputs!$B$7+1+INT((A227-1)/Inputs!$B$6)</f>
        <v>2044</v>
      </c>
      <c r="F227">
        <f>Inputs!$B$16</f>
        <v>8333.3333333333339</v>
      </c>
      <c r="G227">
        <f>Inputs!$B$12</f>
        <v>25</v>
      </c>
      <c r="H227">
        <f>IFERROR(INDEX(RP2014_Qx!$B:$B,MATCH(D227,RP2014_Qx!$A:$A,0)),"")</f>
        <v>4.8305000000000001E-2</v>
      </c>
      <c r="I227">
        <f>SUMIFS(MP2016_Long!$C:$C,MP2016_Long!$A:$A,D227,MP2016_Long!$B:$B,"&gt;=2014",MP2016_Long!$B:$B,"&lt;"&amp;E227)</f>
        <v>0.189</v>
      </c>
      <c r="J227">
        <f t="shared" si="28"/>
        <v>5.8354418209686579E-2</v>
      </c>
      <c r="K227">
        <f t="shared" si="29"/>
        <v>6.0126315339524214E-2</v>
      </c>
      <c r="L227">
        <f>EXP(-K227/Inputs!$B$6)</f>
        <v>0.99500200546954543</v>
      </c>
      <c r="M227">
        <f t="shared" si="35"/>
        <v>0.60994571753644855</v>
      </c>
      <c r="N227">
        <f>IFERROR(INDEX(MonthlyCurve!$I:$I,MATCH(A227,MonthlyCurve!$A:$A,0)),"")</f>
        <v>4.8940313333333332E-2</v>
      </c>
      <c r="O227">
        <f>IFERROR(INDEX(MonthlyCurve!$J:$J,MATCH(A227,MonthlyCurve!$A:$A,0)),"")</f>
        <v>0.40109678746281052</v>
      </c>
      <c r="P227">
        <f t="shared" si="30"/>
        <v>5082.8809794704048</v>
      </c>
      <c r="Q227">
        <f t="shared" si="31"/>
        <v>15.248642938411214</v>
      </c>
      <c r="R227">
        <f t="shared" si="32"/>
        <v>5098.1296224088164</v>
      </c>
      <c r="S227">
        <f t="shared" si="33"/>
        <v>2038.727231921403</v>
      </c>
      <c r="T227">
        <f t="shared" si="34"/>
        <v>6.116181695764209</v>
      </c>
      <c r="U227">
        <f>SUMPRODUCT(R228:R543,O228:O543)/(M227*O227)</f>
        <v>590616.19678271667</v>
      </c>
    </row>
    <row r="228" spans="1:21" x14ac:dyDescent="0.35">
      <c r="A228">
        <v>225</v>
      </c>
      <c r="B228">
        <f>A228/Inputs!$B$6</f>
        <v>18.75</v>
      </c>
      <c r="C228">
        <f>Inputs!$B$3+B228</f>
        <v>83.75</v>
      </c>
      <c r="D228">
        <f t="shared" si="27"/>
        <v>83</v>
      </c>
      <c r="E228">
        <f>Inputs!$B$7+1+INT((A228-1)/Inputs!$B$6)</f>
        <v>2044</v>
      </c>
      <c r="F228">
        <f>Inputs!$B$16</f>
        <v>8333.3333333333339</v>
      </c>
      <c r="G228">
        <f>Inputs!$B$12</f>
        <v>25</v>
      </c>
      <c r="H228">
        <f>IFERROR(INDEX(RP2014_Qx!$B:$B,MATCH(D228,RP2014_Qx!$A:$A,0)),"")</f>
        <v>4.8305000000000001E-2</v>
      </c>
      <c r="I228">
        <f>SUMIFS(MP2016_Long!$C:$C,MP2016_Long!$A:$A,D228,MP2016_Long!$B:$B,"&gt;=2014",MP2016_Long!$B:$B,"&lt;"&amp;E228)</f>
        <v>0.189</v>
      </c>
      <c r="J228">
        <f t="shared" si="28"/>
        <v>5.8354418209686579E-2</v>
      </c>
      <c r="K228">
        <f t="shared" si="29"/>
        <v>6.0126315339524214E-2</v>
      </c>
      <c r="L228">
        <f>EXP(-K228/Inputs!$B$6)</f>
        <v>0.99500200546954543</v>
      </c>
      <c r="M228">
        <f t="shared" si="35"/>
        <v>0.60689721217632719</v>
      </c>
      <c r="N228">
        <f>IFERROR(INDEX(MonthlyCurve!$I:$I,MATCH(A228,MonthlyCurve!$A:$A,0)),"")</f>
        <v>4.9010515000000004E-2</v>
      </c>
      <c r="O228">
        <f>IFERROR(INDEX(MonthlyCurve!$J:$J,MATCH(A228,MonthlyCurve!$A:$A,0)),"")</f>
        <v>0.39893884031889776</v>
      </c>
      <c r="P228">
        <f t="shared" si="30"/>
        <v>5057.4767681360599</v>
      </c>
      <c r="Q228">
        <f t="shared" si="31"/>
        <v>15.172430304408181</v>
      </c>
      <c r="R228">
        <f t="shared" si="32"/>
        <v>5072.6491984404684</v>
      </c>
      <c r="S228">
        <f t="shared" si="33"/>
        <v>2017.6239168199668</v>
      </c>
      <c r="T228">
        <f t="shared" si="34"/>
        <v>6.0528717504599001</v>
      </c>
      <c r="U228">
        <f>SUMPRODUCT(R229:R543,O229:O543)/(M228*O228)</f>
        <v>588435.40704450605</v>
      </c>
    </row>
    <row r="229" spans="1:21" x14ac:dyDescent="0.35">
      <c r="A229">
        <v>226</v>
      </c>
      <c r="B229">
        <f>A229/Inputs!$B$6</f>
        <v>18.833333333333332</v>
      </c>
      <c r="C229">
        <f>Inputs!$B$3+B229</f>
        <v>83.833333333333329</v>
      </c>
      <c r="D229">
        <f t="shared" si="27"/>
        <v>83</v>
      </c>
      <c r="E229">
        <f>Inputs!$B$7+1+INT((A229-1)/Inputs!$B$6)</f>
        <v>2044</v>
      </c>
      <c r="F229">
        <f>Inputs!$B$16</f>
        <v>8333.3333333333339</v>
      </c>
      <c r="G229">
        <f>Inputs!$B$12</f>
        <v>25</v>
      </c>
      <c r="H229">
        <f>IFERROR(INDEX(RP2014_Qx!$B:$B,MATCH(D229,RP2014_Qx!$A:$A,0)),"")</f>
        <v>4.8305000000000001E-2</v>
      </c>
      <c r="I229">
        <f>SUMIFS(MP2016_Long!$C:$C,MP2016_Long!$A:$A,D229,MP2016_Long!$B:$B,"&gt;=2014",MP2016_Long!$B:$B,"&lt;"&amp;E229)</f>
        <v>0.189</v>
      </c>
      <c r="J229">
        <f t="shared" si="28"/>
        <v>5.8354418209686579E-2</v>
      </c>
      <c r="K229">
        <f t="shared" si="29"/>
        <v>6.0126315339524214E-2</v>
      </c>
      <c r="L229">
        <f>EXP(-K229/Inputs!$B$6)</f>
        <v>0.99500200546954543</v>
      </c>
      <c r="M229">
        <f t="shared" si="35"/>
        <v>0.6038639432293218</v>
      </c>
      <c r="N229">
        <f>IFERROR(INDEX(MonthlyCurve!$I:$I,MATCH(A229,MonthlyCurve!$A:$A,0)),"")</f>
        <v>4.908071666666667E-2</v>
      </c>
      <c r="O229">
        <f>IFERROR(INDEX(MonthlyCurve!$J:$J,MATCH(A229,MonthlyCurve!$A:$A,0)),"")</f>
        <v>0.39678786062505622</v>
      </c>
      <c r="P229">
        <f t="shared" si="30"/>
        <v>5032.1995269110157</v>
      </c>
      <c r="Q229">
        <f t="shared" si="31"/>
        <v>15.096598580733044</v>
      </c>
      <c r="R229">
        <f t="shared" si="32"/>
        <v>5047.2961254917491</v>
      </c>
      <c r="S229">
        <f t="shared" si="33"/>
        <v>1996.715684521442</v>
      </c>
      <c r="T229">
        <f t="shared" si="34"/>
        <v>5.9901470535643249</v>
      </c>
      <c r="U229">
        <f>SUMPRODUCT(R230:R543,O230:O543)/(M229*O229)</f>
        <v>586238.76427059365</v>
      </c>
    </row>
    <row r="230" spans="1:21" x14ac:dyDescent="0.35">
      <c r="A230">
        <v>227</v>
      </c>
      <c r="B230">
        <f>A230/Inputs!$B$6</f>
        <v>18.916666666666668</v>
      </c>
      <c r="C230">
        <f>Inputs!$B$3+B230</f>
        <v>83.916666666666671</v>
      </c>
      <c r="D230">
        <f t="shared" si="27"/>
        <v>83</v>
      </c>
      <c r="E230">
        <f>Inputs!$B$7+1+INT((A230-1)/Inputs!$B$6)</f>
        <v>2044</v>
      </c>
      <c r="F230">
        <f>Inputs!$B$16</f>
        <v>8333.3333333333339</v>
      </c>
      <c r="G230">
        <f>Inputs!$B$12</f>
        <v>25</v>
      </c>
      <c r="H230">
        <f>IFERROR(INDEX(RP2014_Qx!$B:$B,MATCH(D230,RP2014_Qx!$A:$A,0)),"")</f>
        <v>4.8305000000000001E-2</v>
      </c>
      <c r="I230">
        <f>SUMIFS(MP2016_Long!$C:$C,MP2016_Long!$A:$A,D230,MP2016_Long!$B:$B,"&gt;=2014",MP2016_Long!$B:$B,"&lt;"&amp;E230)</f>
        <v>0.189</v>
      </c>
      <c r="J230">
        <f t="shared" si="28"/>
        <v>5.8354418209686579E-2</v>
      </c>
      <c r="K230">
        <f t="shared" si="29"/>
        <v>6.0126315339524214E-2</v>
      </c>
      <c r="L230">
        <f>EXP(-K230/Inputs!$B$6)</f>
        <v>0.99500200546954543</v>
      </c>
      <c r="M230">
        <f t="shared" si="35"/>
        <v>0.60084583454392293</v>
      </c>
      <c r="N230">
        <f>IFERROR(INDEX(MonthlyCurve!$I:$I,MATCH(A230,MonthlyCurve!$A:$A,0)),"")</f>
        <v>4.9150918333333335E-2</v>
      </c>
      <c r="O230">
        <f>IFERROR(INDEX(MonthlyCurve!$J:$J,MATCH(A230,MonthlyCurve!$A:$A,0)),"")</f>
        <v>0.39464386101264748</v>
      </c>
      <c r="P230">
        <f t="shared" si="30"/>
        <v>5007.0486211993584</v>
      </c>
      <c r="Q230">
        <f t="shared" si="31"/>
        <v>15.021145863598074</v>
      </c>
      <c r="R230">
        <f t="shared" si="32"/>
        <v>5022.0697670629561</v>
      </c>
      <c r="S230">
        <f t="shared" si="33"/>
        <v>1976.0010001481678</v>
      </c>
      <c r="T230">
        <f t="shared" si="34"/>
        <v>5.9280030004445026</v>
      </c>
      <c r="U230">
        <f>SUMPRODUCT(R231:R543,O231:O543)/(M230*O230)</f>
        <v>584026.05078681151</v>
      </c>
    </row>
    <row r="231" spans="1:21" x14ac:dyDescent="0.35">
      <c r="A231">
        <v>228</v>
      </c>
      <c r="B231">
        <f>A231/Inputs!$B$6</f>
        <v>19</v>
      </c>
      <c r="C231">
        <f>Inputs!$B$3+B231</f>
        <v>84</v>
      </c>
      <c r="D231">
        <f t="shared" si="27"/>
        <v>84</v>
      </c>
      <c r="E231">
        <f>Inputs!$B$7+1+INT((A231-1)/Inputs!$B$6)</f>
        <v>2044</v>
      </c>
      <c r="F231">
        <f>Inputs!$B$16</f>
        <v>8333.3333333333339</v>
      </c>
      <c r="G231">
        <f>Inputs!$B$12</f>
        <v>25</v>
      </c>
      <c r="H231">
        <f>IFERROR(INDEX(RP2014_Qx!$B:$B,MATCH(D231,RP2014_Qx!$A:$A,0)),"")</f>
        <v>5.4031999999999997E-2</v>
      </c>
      <c r="I231">
        <f>SUMIFS(MP2016_Long!$C:$C,MP2016_Long!$A:$A,D231,MP2016_Long!$B:$B,"&gt;=2014",MP2016_Long!$B:$B,"&lt;"&amp;E231)</f>
        <v>0.18759999999999999</v>
      </c>
      <c r="J231">
        <f t="shared" si="28"/>
        <v>6.518155066588413E-2</v>
      </c>
      <c r="K231">
        <f t="shared" si="29"/>
        <v>6.740294038241168E-2</v>
      </c>
      <c r="L231">
        <f>EXP(-K231/Inputs!$B$6)</f>
        <v>0.9943988336560976</v>
      </c>
      <c r="M231">
        <f t="shared" si="35"/>
        <v>0.59748039707760159</v>
      </c>
      <c r="N231">
        <f>IFERROR(INDEX(MonthlyCurve!$I:$I,MATCH(A231,MonthlyCurve!$A:$A,0)),"")</f>
        <v>4.922112E-2</v>
      </c>
      <c r="O231">
        <f>IFERROR(INDEX(MonthlyCurve!$J:$J,MATCH(A231,MonthlyCurve!$A:$A,0)),"")</f>
        <v>0.39250685380051153</v>
      </c>
      <c r="P231">
        <f t="shared" si="30"/>
        <v>4979.0033089800136</v>
      </c>
      <c r="Q231">
        <f t="shared" si="31"/>
        <v>14.937009926940039</v>
      </c>
      <c r="R231">
        <f t="shared" si="32"/>
        <v>4993.9403189069535</v>
      </c>
      <c r="S231">
        <f t="shared" si="33"/>
        <v>1954.2929238700813</v>
      </c>
      <c r="T231">
        <f t="shared" si="34"/>
        <v>5.8628787716102435</v>
      </c>
      <c r="U231">
        <f>SUMPRODUCT(R232:R543,O232:O543)/(M231*O231)</f>
        <v>582155.01621203055</v>
      </c>
    </row>
    <row r="232" spans="1:21" x14ac:dyDescent="0.35">
      <c r="A232">
        <v>229</v>
      </c>
      <c r="B232">
        <f>A232/Inputs!$B$6</f>
        <v>19.083333333333332</v>
      </c>
      <c r="C232">
        <f>Inputs!$B$3+B232</f>
        <v>84.083333333333329</v>
      </c>
      <c r="D232">
        <f t="shared" si="27"/>
        <v>84</v>
      </c>
      <c r="E232">
        <f>Inputs!$B$7+1+INT((A232-1)/Inputs!$B$6)</f>
        <v>2045</v>
      </c>
      <c r="F232">
        <f>Inputs!$B$16</f>
        <v>8333.3333333333339</v>
      </c>
      <c r="G232">
        <f>Inputs!$B$12</f>
        <v>25</v>
      </c>
      <c r="H232">
        <f>IFERROR(INDEX(RP2014_Qx!$B:$B,MATCH(D232,RP2014_Qx!$A:$A,0)),"")</f>
        <v>5.4031999999999997E-2</v>
      </c>
      <c r="I232">
        <f>SUMIFS(MP2016_Long!$C:$C,MP2016_Long!$A:$A,D232,MP2016_Long!$B:$B,"&gt;=2014",MP2016_Long!$B:$B,"&lt;"&amp;E232)</f>
        <v>0.18759999999999999</v>
      </c>
      <c r="J232">
        <f t="shared" si="28"/>
        <v>6.518155066588413E-2</v>
      </c>
      <c r="K232">
        <f t="shared" si="29"/>
        <v>6.740294038241168E-2</v>
      </c>
      <c r="L232">
        <f>EXP(-K232/Inputs!$B$6)</f>
        <v>0.9943988336560976</v>
      </c>
      <c r="M232">
        <f t="shared" si="35"/>
        <v>0.59413380998634913</v>
      </c>
      <c r="N232">
        <f>IFERROR(INDEX(MonthlyCurve!$I:$I,MATCH(A232,MonthlyCurve!$A:$A,0)),"")</f>
        <v>4.9292646666666669E-2</v>
      </c>
      <c r="O232">
        <f>IFERROR(INDEX(MonthlyCurve!$J:$J,MATCH(A232,MonthlyCurve!$A:$A,0)),"")</f>
        <v>0.39036698027953914</v>
      </c>
      <c r="P232">
        <f t="shared" si="30"/>
        <v>4951.1150832195763</v>
      </c>
      <c r="Q232">
        <f t="shared" si="31"/>
        <v>14.853345249658728</v>
      </c>
      <c r="R232">
        <f t="shared" si="32"/>
        <v>4965.9684284692348</v>
      </c>
      <c r="S232">
        <f t="shared" si="33"/>
        <v>1932.7518440529052</v>
      </c>
      <c r="T232">
        <f t="shared" si="34"/>
        <v>5.7982555321587155</v>
      </c>
      <c r="U232">
        <f>SUMPRODUCT(R233:R543,O233:O543)/(M232*O232)</f>
        <v>580284.96936450747</v>
      </c>
    </row>
    <row r="233" spans="1:21" x14ac:dyDescent="0.35">
      <c r="A233">
        <v>230</v>
      </c>
      <c r="B233">
        <f>A233/Inputs!$B$6</f>
        <v>19.166666666666668</v>
      </c>
      <c r="C233">
        <f>Inputs!$B$3+B233</f>
        <v>84.166666666666671</v>
      </c>
      <c r="D233">
        <f t="shared" si="27"/>
        <v>84</v>
      </c>
      <c r="E233">
        <f>Inputs!$B$7+1+INT((A233-1)/Inputs!$B$6)</f>
        <v>2045</v>
      </c>
      <c r="F233">
        <f>Inputs!$B$16</f>
        <v>8333.3333333333339</v>
      </c>
      <c r="G233">
        <f>Inputs!$B$12</f>
        <v>25</v>
      </c>
      <c r="H233">
        <f>IFERROR(INDEX(RP2014_Qx!$B:$B,MATCH(D233,RP2014_Qx!$A:$A,0)),"")</f>
        <v>5.4031999999999997E-2</v>
      </c>
      <c r="I233">
        <f>SUMIFS(MP2016_Long!$C:$C,MP2016_Long!$A:$A,D233,MP2016_Long!$B:$B,"&gt;=2014",MP2016_Long!$B:$B,"&lt;"&amp;E233)</f>
        <v>0.18759999999999999</v>
      </c>
      <c r="J233">
        <f t="shared" si="28"/>
        <v>6.518155066588413E-2</v>
      </c>
      <c r="K233">
        <f t="shared" si="29"/>
        <v>6.740294038241168E-2</v>
      </c>
      <c r="L233">
        <f>EXP(-K233/Inputs!$B$6)</f>
        <v>0.9943988336560976</v>
      </c>
      <c r="M233">
        <f t="shared" si="35"/>
        <v>0.59080596768607907</v>
      </c>
      <c r="N233">
        <f>IFERROR(INDEX(MonthlyCurve!$I:$I,MATCH(A233,MonthlyCurve!$A:$A,0)),"")</f>
        <v>4.936417333333333E-2</v>
      </c>
      <c r="O233">
        <f>IFERROR(INDEX(MonthlyCurve!$J:$J,MATCH(A233,MonthlyCurve!$A:$A,0)),"")</f>
        <v>0.38823414473644563</v>
      </c>
      <c r="P233">
        <f t="shared" si="30"/>
        <v>4923.3830640506594</v>
      </c>
      <c r="Q233">
        <f t="shared" si="31"/>
        <v>14.770149192151976</v>
      </c>
      <c r="R233">
        <f t="shared" si="32"/>
        <v>4938.153213242811</v>
      </c>
      <c r="S233">
        <f t="shared" si="33"/>
        <v>1911.4254130816089</v>
      </c>
      <c r="T233">
        <f t="shared" si="34"/>
        <v>5.7342762392448261</v>
      </c>
      <c r="U233">
        <f>SUMPRODUCT(R234:R543,O234:O543)/(M233*O233)</f>
        <v>578401.0750849488</v>
      </c>
    </row>
    <row r="234" spans="1:21" x14ac:dyDescent="0.35">
      <c r="A234">
        <v>231</v>
      </c>
      <c r="B234">
        <f>A234/Inputs!$B$6</f>
        <v>19.25</v>
      </c>
      <c r="C234">
        <f>Inputs!$B$3+B234</f>
        <v>84.25</v>
      </c>
      <c r="D234">
        <f t="shared" si="27"/>
        <v>84</v>
      </c>
      <c r="E234">
        <f>Inputs!$B$7+1+INT((A234-1)/Inputs!$B$6)</f>
        <v>2045</v>
      </c>
      <c r="F234">
        <f>Inputs!$B$16</f>
        <v>8333.3333333333339</v>
      </c>
      <c r="G234">
        <f>Inputs!$B$12</f>
        <v>25</v>
      </c>
      <c r="H234">
        <f>IFERROR(INDEX(RP2014_Qx!$B:$B,MATCH(D234,RP2014_Qx!$A:$A,0)),"")</f>
        <v>5.4031999999999997E-2</v>
      </c>
      <c r="I234">
        <f>SUMIFS(MP2016_Long!$C:$C,MP2016_Long!$A:$A,D234,MP2016_Long!$B:$B,"&gt;=2014",MP2016_Long!$B:$B,"&lt;"&amp;E234)</f>
        <v>0.18759999999999999</v>
      </c>
      <c r="J234">
        <f t="shared" si="28"/>
        <v>6.518155066588413E-2</v>
      </c>
      <c r="K234">
        <f t="shared" si="29"/>
        <v>6.740294038241168E-2</v>
      </c>
      <c r="L234">
        <f>EXP(-K234/Inputs!$B$6)</f>
        <v>0.9943988336560976</v>
      </c>
      <c r="M234">
        <f t="shared" si="35"/>
        <v>0.5874967651840991</v>
      </c>
      <c r="N234">
        <f>IFERROR(INDEX(MonthlyCurve!$I:$I,MATCH(A234,MonthlyCurve!$A:$A,0)),"")</f>
        <v>4.9435699999999999E-2</v>
      </c>
      <c r="O234">
        <f>IFERROR(INDEX(MonthlyCurve!$J:$J,MATCH(A234,MonthlyCurve!$A:$A,0)),"")</f>
        <v>0.38610835943037597</v>
      </c>
      <c r="P234">
        <f t="shared" si="30"/>
        <v>4895.8063765341594</v>
      </c>
      <c r="Q234">
        <f t="shared" si="31"/>
        <v>14.687419129602478</v>
      </c>
      <c r="R234">
        <f t="shared" si="32"/>
        <v>4910.4937956637623</v>
      </c>
      <c r="S234">
        <f t="shared" si="33"/>
        <v>1890.3117681323779</v>
      </c>
      <c r="T234">
        <f t="shared" si="34"/>
        <v>5.6709353043971333</v>
      </c>
      <c r="U234">
        <f>SUMPRODUCT(R235:R543,O235:O543)/(M234*O234)</f>
        <v>576503.13370572194</v>
      </c>
    </row>
    <row r="235" spans="1:21" x14ac:dyDescent="0.35">
      <c r="A235">
        <v>232</v>
      </c>
      <c r="B235">
        <f>A235/Inputs!$B$6</f>
        <v>19.333333333333332</v>
      </c>
      <c r="C235">
        <f>Inputs!$B$3+B235</f>
        <v>84.333333333333329</v>
      </c>
      <c r="D235">
        <f t="shared" si="27"/>
        <v>84</v>
      </c>
      <c r="E235">
        <f>Inputs!$B$7+1+INT((A235-1)/Inputs!$B$6)</f>
        <v>2045</v>
      </c>
      <c r="F235">
        <f>Inputs!$B$16</f>
        <v>8333.3333333333339</v>
      </c>
      <c r="G235">
        <f>Inputs!$B$12</f>
        <v>25</v>
      </c>
      <c r="H235">
        <f>IFERROR(INDEX(RP2014_Qx!$B:$B,MATCH(D235,RP2014_Qx!$A:$A,0)),"")</f>
        <v>5.4031999999999997E-2</v>
      </c>
      <c r="I235">
        <f>SUMIFS(MP2016_Long!$C:$C,MP2016_Long!$A:$A,D235,MP2016_Long!$B:$B,"&gt;=2014",MP2016_Long!$B:$B,"&lt;"&amp;E235)</f>
        <v>0.18759999999999999</v>
      </c>
      <c r="J235">
        <f t="shared" si="28"/>
        <v>6.518155066588413E-2</v>
      </c>
      <c r="K235">
        <f t="shared" si="29"/>
        <v>6.740294038241168E-2</v>
      </c>
      <c r="L235">
        <f>EXP(-K235/Inputs!$B$6)</f>
        <v>0.9943988336560976</v>
      </c>
      <c r="M235">
        <f t="shared" si="35"/>
        <v>0.58420609807579837</v>
      </c>
      <c r="N235">
        <f>IFERROR(INDEX(MonthlyCurve!$I:$I,MATCH(A235,MonthlyCurve!$A:$A,0)),"")</f>
        <v>4.9507226666666668E-2</v>
      </c>
      <c r="O235">
        <f>IFERROR(INDEX(MonthlyCurve!$J:$J,MATCH(A235,MonthlyCurve!$A:$A,0)),"")</f>
        <v>0.38398963630197458</v>
      </c>
      <c r="P235">
        <f t="shared" si="30"/>
        <v>4868.384150631653</v>
      </c>
      <c r="Q235">
        <f t="shared" si="31"/>
        <v>14.605152451894959</v>
      </c>
      <c r="R235">
        <f t="shared" si="32"/>
        <v>4882.9893030835483</v>
      </c>
      <c r="S235">
        <f t="shared" si="33"/>
        <v>1869.4090593793458</v>
      </c>
      <c r="T235">
        <f t="shared" si="34"/>
        <v>5.6082271781380379</v>
      </c>
      <c r="U235">
        <f>SUMPRODUCT(R236:R543,O236:O543)/(M235*O235)</f>
        <v>574590.942825053</v>
      </c>
    </row>
    <row r="236" spans="1:21" x14ac:dyDescent="0.35">
      <c r="A236">
        <v>233</v>
      </c>
      <c r="B236">
        <f>A236/Inputs!$B$6</f>
        <v>19.416666666666668</v>
      </c>
      <c r="C236">
        <f>Inputs!$B$3+B236</f>
        <v>84.416666666666671</v>
      </c>
      <c r="D236">
        <f t="shared" si="27"/>
        <v>84</v>
      </c>
      <c r="E236">
        <f>Inputs!$B$7+1+INT((A236-1)/Inputs!$B$6)</f>
        <v>2045</v>
      </c>
      <c r="F236">
        <f>Inputs!$B$16</f>
        <v>8333.3333333333339</v>
      </c>
      <c r="G236">
        <f>Inputs!$B$12</f>
        <v>25</v>
      </c>
      <c r="H236">
        <f>IFERROR(INDEX(RP2014_Qx!$B:$B,MATCH(D236,RP2014_Qx!$A:$A,0)),"")</f>
        <v>5.4031999999999997E-2</v>
      </c>
      <c r="I236">
        <f>SUMIFS(MP2016_Long!$C:$C,MP2016_Long!$A:$A,D236,MP2016_Long!$B:$B,"&gt;=2014",MP2016_Long!$B:$B,"&lt;"&amp;E236)</f>
        <v>0.18759999999999999</v>
      </c>
      <c r="J236">
        <f t="shared" si="28"/>
        <v>6.518155066588413E-2</v>
      </c>
      <c r="K236">
        <f t="shared" si="29"/>
        <v>6.740294038241168E-2</v>
      </c>
      <c r="L236">
        <f>EXP(-K236/Inputs!$B$6)</f>
        <v>0.9943988336560976</v>
      </c>
      <c r="M236">
        <f t="shared" si="35"/>
        <v>0.58093386254135371</v>
      </c>
      <c r="N236">
        <f>IFERROR(INDEX(MonthlyCurve!$I:$I,MATCH(A236,MonthlyCurve!$A:$A,0)),"")</f>
        <v>4.9578753333333329E-2</v>
      </c>
      <c r="O236">
        <f>IFERROR(INDEX(MonthlyCurve!$J:$J,MATCH(A236,MonthlyCurve!$A:$A,0)),"")</f>
        <v>0.3818779869745616</v>
      </c>
      <c r="P236">
        <f t="shared" si="30"/>
        <v>4841.1155211779478</v>
      </c>
      <c r="Q236">
        <f t="shared" si="31"/>
        <v>14.523346563533842</v>
      </c>
      <c r="R236">
        <f t="shared" si="32"/>
        <v>4855.6388677414816</v>
      </c>
      <c r="S236">
        <f t="shared" si="33"/>
        <v>1848.7154499387404</v>
      </c>
      <c r="T236">
        <f t="shared" si="34"/>
        <v>5.5461463498162207</v>
      </c>
      <c r="U236">
        <f>SUMPRODUCT(R237:R543,O237:O543)/(M236*O236)</f>
        <v>572664.29726677726</v>
      </c>
    </row>
    <row r="237" spans="1:21" x14ac:dyDescent="0.35">
      <c r="A237">
        <v>234</v>
      </c>
      <c r="B237">
        <f>A237/Inputs!$B$6</f>
        <v>19.5</v>
      </c>
      <c r="C237">
        <f>Inputs!$B$3+B237</f>
        <v>84.5</v>
      </c>
      <c r="D237">
        <f t="shared" si="27"/>
        <v>84</v>
      </c>
      <c r="E237">
        <f>Inputs!$B$7+1+INT((A237-1)/Inputs!$B$6)</f>
        <v>2045</v>
      </c>
      <c r="F237">
        <f>Inputs!$B$16</f>
        <v>8333.3333333333339</v>
      </c>
      <c r="G237">
        <f>Inputs!$B$12</f>
        <v>25</v>
      </c>
      <c r="H237">
        <f>IFERROR(INDEX(RP2014_Qx!$B:$B,MATCH(D237,RP2014_Qx!$A:$A,0)),"")</f>
        <v>5.4031999999999997E-2</v>
      </c>
      <c r="I237">
        <f>SUMIFS(MP2016_Long!$C:$C,MP2016_Long!$A:$A,D237,MP2016_Long!$B:$B,"&gt;=2014",MP2016_Long!$B:$B,"&lt;"&amp;E237)</f>
        <v>0.18759999999999999</v>
      </c>
      <c r="J237">
        <f t="shared" si="28"/>
        <v>6.518155066588413E-2</v>
      </c>
      <c r="K237">
        <f t="shared" si="29"/>
        <v>6.740294038241168E-2</v>
      </c>
      <c r="L237">
        <f>EXP(-K237/Inputs!$B$6)</f>
        <v>0.9943988336560976</v>
      </c>
      <c r="M237">
        <f t="shared" si="35"/>
        <v>0.57767995534245387</v>
      </c>
      <c r="N237">
        <f>IFERROR(INDEX(MonthlyCurve!$I:$I,MATCH(A237,MonthlyCurve!$A:$A,0)),"")</f>
        <v>4.9650279999999998E-2</v>
      </c>
      <c r="O237">
        <f>IFERROR(INDEX(MonthlyCurve!$J:$J,MATCH(A237,MonthlyCurve!$A:$A,0)),"")</f>
        <v>0.37977342275532144</v>
      </c>
      <c r="P237">
        <f t="shared" si="30"/>
        <v>4813.9996278537828</v>
      </c>
      <c r="Q237">
        <f t="shared" si="31"/>
        <v>14.441998883561347</v>
      </c>
      <c r="R237">
        <f t="shared" si="32"/>
        <v>4828.4416267373444</v>
      </c>
      <c r="S237">
        <f t="shared" si="33"/>
        <v>1828.2291158128749</v>
      </c>
      <c r="T237">
        <f t="shared" si="34"/>
        <v>5.4846873474386237</v>
      </c>
      <c r="U237">
        <f>SUMPRODUCT(R238:R543,O238:O543)/(M237*O237)</f>
        <v>570722.98903948208</v>
      </c>
    </row>
    <row r="238" spans="1:21" x14ac:dyDescent="0.35">
      <c r="A238">
        <v>235</v>
      </c>
      <c r="B238">
        <f>A238/Inputs!$B$6</f>
        <v>19.583333333333332</v>
      </c>
      <c r="C238">
        <f>Inputs!$B$3+B238</f>
        <v>84.583333333333329</v>
      </c>
      <c r="D238">
        <f t="shared" si="27"/>
        <v>84</v>
      </c>
      <c r="E238">
        <f>Inputs!$B$7+1+INT((A238-1)/Inputs!$B$6)</f>
        <v>2045</v>
      </c>
      <c r="F238">
        <f>Inputs!$B$16</f>
        <v>8333.3333333333339</v>
      </c>
      <c r="G238">
        <f>Inputs!$B$12</f>
        <v>25</v>
      </c>
      <c r="H238">
        <f>IFERROR(INDEX(RP2014_Qx!$B:$B,MATCH(D238,RP2014_Qx!$A:$A,0)),"")</f>
        <v>5.4031999999999997E-2</v>
      </c>
      <c r="I238">
        <f>SUMIFS(MP2016_Long!$C:$C,MP2016_Long!$A:$A,D238,MP2016_Long!$B:$B,"&gt;=2014",MP2016_Long!$B:$B,"&lt;"&amp;E238)</f>
        <v>0.18759999999999999</v>
      </c>
      <c r="J238">
        <f t="shared" si="28"/>
        <v>6.518155066588413E-2</v>
      </c>
      <c r="K238">
        <f t="shared" si="29"/>
        <v>6.740294038241168E-2</v>
      </c>
      <c r="L238">
        <f>EXP(-K238/Inputs!$B$6)</f>
        <v>0.9943988336560976</v>
      </c>
      <c r="M238">
        <f t="shared" si="35"/>
        <v>0.57444427381904273</v>
      </c>
      <c r="N238">
        <f>IFERROR(INDEX(MonthlyCurve!$I:$I,MATCH(A238,MonthlyCurve!$A:$A,0)),"")</f>
        <v>4.9723199999999995E-2</v>
      </c>
      <c r="O238">
        <f>IFERROR(INDEX(MonthlyCurve!$J:$J,MATCH(A238,MonthlyCurve!$A:$A,0)),"")</f>
        <v>0.37766564946903602</v>
      </c>
      <c r="P238">
        <f t="shared" si="30"/>
        <v>4787.0356151586893</v>
      </c>
      <c r="Q238">
        <f t="shared" si="31"/>
        <v>14.361106845476069</v>
      </c>
      <c r="R238">
        <f t="shared" si="32"/>
        <v>4801.396722004165</v>
      </c>
      <c r="S238">
        <f t="shared" si="33"/>
        <v>1807.8989146303129</v>
      </c>
      <c r="T238">
        <f t="shared" si="34"/>
        <v>5.4236967438909387</v>
      </c>
      <c r="U238">
        <f>SUMPRODUCT(R239:R543,O239:O543)/(M238*O238)</f>
        <v>568782.55501057883</v>
      </c>
    </row>
    <row r="239" spans="1:21" x14ac:dyDescent="0.35">
      <c r="A239">
        <v>236</v>
      </c>
      <c r="B239">
        <f>A239/Inputs!$B$6</f>
        <v>19.666666666666668</v>
      </c>
      <c r="C239">
        <f>Inputs!$B$3+B239</f>
        <v>84.666666666666671</v>
      </c>
      <c r="D239">
        <f t="shared" si="27"/>
        <v>84</v>
      </c>
      <c r="E239">
        <f>Inputs!$B$7+1+INT((A239-1)/Inputs!$B$6)</f>
        <v>2045</v>
      </c>
      <c r="F239">
        <f>Inputs!$B$16</f>
        <v>8333.3333333333339</v>
      </c>
      <c r="G239">
        <f>Inputs!$B$12</f>
        <v>25</v>
      </c>
      <c r="H239">
        <f>IFERROR(INDEX(RP2014_Qx!$B:$B,MATCH(D239,RP2014_Qx!$A:$A,0)),"")</f>
        <v>5.4031999999999997E-2</v>
      </c>
      <c r="I239">
        <f>SUMIFS(MP2016_Long!$C:$C,MP2016_Long!$A:$A,D239,MP2016_Long!$B:$B,"&gt;=2014",MP2016_Long!$B:$B,"&lt;"&amp;E239)</f>
        <v>0.18759999999999999</v>
      </c>
      <c r="J239">
        <f t="shared" si="28"/>
        <v>6.518155066588413E-2</v>
      </c>
      <c r="K239">
        <f t="shared" si="29"/>
        <v>6.740294038241168E-2</v>
      </c>
      <c r="L239">
        <f>EXP(-K239/Inputs!$B$6)</f>
        <v>0.9943988336560976</v>
      </c>
      <c r="M239">
        <f t="shared" si="35"/>
        <v>0.57122671588608009</v>
      </c>
      <c r="N239">
        <f>IFERROR(INDEX(MonthlyCurve!$I:$I,MATCH(A239,MonthlyCurve!$A:$A,0)),"")</f>
        <v>4.9796119999999999E-2</v>
      </c>
      <c r="O239">
        <f>IFERROR(INDEX(MonthlyCurve!$J:$J,MATCH(A239,MonthlyCurve!$A:$A,0)),"")</f>
        <v>0.37556501010088406</v>
      </c>
      <c r="P239">
        <f t="shared" si="30"/>
        <v>4760.2226323840014</v>
      </c>
      <c r="Q239">
        <f t="shared" si="31"/>
        <v>14.280667897152002</v>
      </c>
      <c r="R239">
        <f t="shared" si="32"/>
        <v>4774.5033002811533</v>
      </c>
      <c r="S239">
        <f t="shared" si="33"/>
        <v>1787.7730610137544</v>
      </c>
      <c r="T239">
        <f t="shared" si="34"/>
        <v>5.3633191830412619</v>
      </c>
      <c r="U239">
        <f>SUMPRODUCT(R240:R543,O240:O543)/(M239*O239)</f>
        <v>566827.29077557044</v>
      </c>
    </row>
    <row r="240" spans="1:21" x14ac:dyDescent="0.35">
      <c r="A240">
        <v>237</v>
      </c>
      <c r="B240">
        <f>A240/Inputs!$B$6</f>
        <v>19.75</v>
      </c>
      <c r="C240">
        <f>Inputs!$B$3+B240</f>
        <v>84.75</v>
      </c>
      <c r="D240">
        <f t="shared" si="27"/>
        <v>84</v>
      </c>
      <c r="E240">
        <f>Inputs!$B$7+1+INT((A240-1)/Inputs!$B$6)</f>
        <v>2045</v>
      </c>
      <c r="F240">
        <f>Inputs!$B$16</f>
        <v>8333.3333333333339</v>
      </c>
      <c r="G240">
        <f>Inputs!$B$12</f>
        <v>25</v>
      </c>
      <c r="H240">
        <f>IFERROR(INDEX(RP2014_Qx!$B:$B,MATCH(D240,RP2014_Qx!$A:$A,0)),"")</f>
        <v>5.4031999999999997E-2</v>
      </c>
      <c r="I240">
        <f>SUMIFS(MP2016_Long!$C:$C,MP2016_Long!$A:$A,D240,MP2016_Long!$B:$B,"&gt;=2014",MP2016_Long!$B:$B,"&lt;"&amp;E240)</f>
        <v>0.18759999999999999</v>
      </c>
      <c r="J240">
        <f t="shared" si="28"/>
        <v>6.518155066588413E-2</v>
      </c>
      <c r="K240">
        <f t="shared" si="29"/>
        <v>6.740294038241168E-2</v>
      </c>
      <c r="L240">
        <f>EXP(-K240/Inputs!$B$6)</f>
        <v>0.9943988336560976</v>
      </c>
      <c r="M240">
        <f t="shared" si="35"/>
        <v>0.56802718003032104</v>
      </c>
      <c r="N240">
        <f>IFERROR(INDEX(MonthlyCurve!$I:$I,MATCH(A240,MonthlyCurve!$A:$A,0)),"")</f>
        <v>4.9869040000000003E-2</v>
      </c>
      <c r="O240">
        <f>IFERROR(INDEX(MonthlyCurve!$J:$J,MATCH(A240,MonthlyCurve!$A:$A,0)),"")</f>
        <v>0.37347151588805311</v>
      </c>
      <c r="P240">
        <f t="shared" si="30"/>
        <v>4733.5598335860086</v>
      </c>
      <c r="Q240">
        <f t="shared" si="31"/>
        <v>14.200679500758026</v>
      </c>
      <c r="R240">
        <f t="shared" si="32"/>
        <v>4747.7605130867669</v>
      </c>
      <c r="S240">
        <f t="shared" si="33"/>
        <v>1767.849766596167</v>
      </c>
      <c r="T240">
        <f t="shared" si="34"/>
        <v>5.303549299788501</v>
      </c>
      <c r="U240">
        <f>SUMPRODUCT(R241:R543,O241:O543)/(M240*O240)</f>
        <v>564856.98158966727</v>
      </c>
    </row>
    <row r="241" spans="1:21" x14ac:dyDescent="0.35">
      <c r="A241">
        <v>238</v>
      </c>
      <c r="B241">
        <f>A241/Inputs!$B$6</f>
        <v>19.833333333333332</v>
      </c>
      <c r="C241">
        <f>Inputs!$B$3+B241</f>
        <v>84.833333333333329</v>
      </c>
      <c r="D241">
        <f t="shared" si="27"/>
        <v>84</v>
      </c>
      <c r="E241">
        <f>Inputs!$B$7+1+INT((A241-1)/Inputs!$B$6)</f>
        <v>2045</v>
      </c>
      <c r="F241">
        <f>Inputs!$B$16</f>
        <v>8333.3333333333339</v>
      </c>
      <c r="G241">
        <f>Inputs!$B$12</f>
        <v>25</v>
      </c>
      <c r="H241">
        <f>IFERROR(INDEX(RP2014_Qx!$B:$B,MATCH(D241,RP2014_Qx!$A:$A,0)),"")</f>
        <v>5.4031999999999997E-2</v>
      </c>
      <c r="I241">
        <f>SUMIFS(MP2016_Long!$C:$C,MP2016_Long!$A:$A,D241,MP2016_Long!$B:$B,"&gt;=2014",MP2016_Long!$B:$B,"&lt;"&amp;E241)</f>
        <v>0.18759999999999999</v>
      </c>
      <c r="J241">
        <f t="shared" si="28"/>
        <v>6.518155066588413E-2</v>
      </c>
      <c r="K241">
        <f t="shared" si="29"/>
        <v>6.740294038241168E-2</v>
      </c>
      <c r="L241">
        <f>EXP(-K241/Inputs!$B$6)</f>
        <v>0.9943988336560976</v>
      </c>
      <c r="M241">
        <f t="shared" si="35"/>
        <v>0.56484556530711338</v>
      </c>
      <c r="N241">
        <f>IFERROR(INDEX(MonthlyCurve!$I:$I,MATCH(A241,MonthlyCurve!$A:$A,0)),"")</f>
        <v>4.9941960000000001E-2</v>
      </c>
      <c r="O241">
        <f>IFERROR(INDEX(MonthlyCurve!$J:$J,MATCH(A241,MonthlyCurve!$A:$A,0)),"")</f>
        <v>0.37138517774537527</v>
      </c>
      <c r="P241">
        <f t="shared" si="30"/>
        <v>4707.0463775592789</v>
      </c>
      <c r="Q241">
        <f t="shared" si="31"/>
        <v>14.121139132677834</v>
      </c>
      <c r="R241">
        <f t="shared" si="32"/>
        <v>4721.1675166919567</v>
      </c>
      <c r="S241">
        <f t="shared" si="33"/>
        <v>1748.1272555855776</v>
      </c>
      <c r="T241">
        <f t="shared" si="34"/>
        <v>5.2443817667567316</v>
      </c>
      <c r="U241">
        <f>SUMPRODUCT(R242:R543,O242:O543)/(M241*O241)</f>
        <v>562871.40973763634</v>
      </c>
    </row>
    <row r="242" spans="1:21" x14ac:dyDescent="0.35">
      <c r="A242">
        <v>239</v>
      </c>
      <c r="B242">
        <f>A242/Inputs!$B$6</f>
        <v>19.916666666666668</v>
      </c>
      <c r="C242">
        <f>Inputs!$B$3+B242</f>
        <v>84.916666666666671</v>
      </c>
      <c r="D242">
        <f t="shared" si="27"/>
        <v>84</v>
      </c>
      <c r="E242">
        <f>Inputs!$B$7+1+INT((A242-1)/Inputs!$B$6)</f>
        <v>2045</v>
      </c>
      <c r="F242">
        <f>Inputs!$B$16</f>
        <v>8333.3333333333339</v>
      </c>
      <c r="G242">
        <f>Inputs!$B$12</f>
        <v>25</v>
      </c>
      <c r="H242">
        <f>IFERROR(INDEX(RP2014_Qx!$B:$B,MATCH(D242,RP2014_Qx!$A:$A,0)),"")</f>
        <v>5.4031999999999997E-2</v>
      </c>
      <c r="I242">
        <f>SUMIFS(MP2016_Long!$C:$C,MP2016_Long!$A:$A,D242,MP2016_Long!$B:$B,"&gt;=2014",MP2016_Long!$B:$B,"&lt;"&amp;E242)</f>
        <v>0.18759999999999999</v>
      </c>
      <c r="J242">
        <f t="shared" si="28"/>
        <v>6.518155066588413E-2</v>
      </c>
      <c r="K242">
        <f t="shared" si="29"/>
        <v>6.740294038241168E-2</v>
      </c>
      <c r="L242">
        <f>EXP(-K242/Inputs!$B$6)</f>
        <v>0.9943988336560976</v>
      </c>
      <c r="M242">
        <f t="shared" si="35"/>
        <v>0.56168177133721264</v>
      </c>
      <c r="N242">
        <f>IFERROR(INDEX(MonthlyCurve!$I:$I,MATCH(A242,MonthlyCurve!$A:$A,0)),"")</f>
        <v>5.0014880000000005E-2</v>
      </c>
      <c r="O242">
        <f>IFERROR(INDEX(MonthlyCurve!$J:$J,MATCH(A242,MonthlyCurve!$A:$A,0)),"")</f>
        <v>0.36930600626659482</v>
      </c>
      <c r="P242">
        <f t="shared" si="30"/>
        <v>4680.6814278101056</v>
      </c>
      <c r="Q242">
        <f t="shared" si="31"/>
        <v>14.042044283430316</v>
      </c>
      <c r="R242">
        <f t="shared" si="32"/>
        <v>4694.7234720935357</v>
      </c>
      <c r="S242">
        <f t="shared" si="33"/>
        <v>1728.6037647107728</v>
      </c>
      <c r="T242">
        <f t="shared" si="34"/>
        <v>5.1858112941323187</v>
      </c>
      <c r="U242">
        <f>SUMPRODUCT(R243:R543,O243:O543)/(M242*O242)</f>
        <v>560870.35448968306</v>
      </c>
    </row>
    <row r="243" spans="1:21" x14ac:dyDescent="0.35">
      <c r="A243">
        <v>240</v>
      </c>
      <c r="B243">
        <f>A243/Inputs!$B$6</f>
        <v>20</v>
      </c>
      <c r="C243">
        <f>Inputs!$B$3+B243</f>
        <v>85</v>
      </c>
      <c r="D243">
        <f t="shared" si="27"/>
        <v>85</v>
      </c>
      <c r="E243">
        <f>Inputs!$B$7+1+INT((A243-1)/Inputs!$B$6)</f>
        <v>2045</v>
      </c>
      <c r="F243">
        <f>Inputs!$B$16</f>
        <v>8333.3333333333339</v>
      </c>
      <c r="G243">
        <f>Inputs!$B$12</f>
        <v>25</v>
      </c>
      <c r="H243">
        <f>IFERROR(INDEX(RP2014_Qx!$B:$B,MATCH(D243,RP2014_Qx!$A:$A,0)),"")</f>
        <v>6.0504000000000002E-2</v>
      </c>
      <c r="I243">
        <f>SUMIFS(MP2016_Long!$C:$C,MP2016_Long!$A:$A,D243,MP2016_Long!$B:$B,"&gt;=2014",MP2016_Long!$B:$B,"&lt;"&amp;E243)</f>
        <v>0.1857</v>
      </c>
      <c r="J243">
        <f t="shared" si="28"/>
        <v>7.2850506011484045E-2</v>
      </c>
      <c r="K243">
        <f t="shared" si="29"/>
        <v>7.5640459979787592E-2</v>
      </c>
      <c r="L243">
        <f>EXP(-K243/Inputs!$B$6)</f>
        <v>0.99371645290643973</v>
      </c>
      <c r="M243">
        <f t="shared" si="35"/>
        <v>0.55815241747542088</v>
      </c>
      <c r="N243">
        <f>IFERROR(INDEX(MonthlyCurve!$I:$I,MATCH(A243,MonthlyCurve!$A:$A,0)),"")</f>
        <v>5.0087800000000002E-2</v>
      </c>
      <c r="O243">
        <f>IFERROR(INDEX(MonthlyCurve!$J:$J,MATCH(A243,MonthlyCurve!$A:$A,0)),"")</f>
        <v>0.36723401172564907</v>
      </c>
      <c r="P243">
        <f t="shared" si="30"/>
        <v>4651.2701456285076</v>
      </c>
      <c r="Q243">
        <f t="shared" si="31"/>
        <v>13.953810436885522</v>
      </c>
      <c r="R243">
        <f t="shared" si="32"/>
        <v>4665.2239560653934</v>
      </c>
      <c r="S243">
        <f t="shared" si="33"/>
        <v>1708.1045951989008</v>
      </c>
      <c r="T243">
        <f t="shared" si="34"/>
        <v>5.1243137855967023</v>
      </c>
      <c r="U243">
        <f>SUMPRODUCT(R244:R543,O244:O543)/(M243*O243)</f>
        <v>559243.09400937322</v>
      </c>
    </row>
    <row r="244" spans="1:21" x14ac:dyDescent="0.35">
      <c r="A244">
        <v>241</v>
      </c>
      <c r="B244">
        <f>A244/Inputs!$B$6</f>
        <v>20.083333333333332</v>
      </c>
      <c r="C244">
        <f>Inputs!$B$3+B244</f>
        <v>85.083333333333329</v>
      </c>
      <c r="D244">
        <f t="shared" si="27"/>
        <v>85</v>
      </c>
      <c r="E244">
        <f>Inputs!$B$7+1+INT((A244-1)/Inputs!$B$6)</f>
        <v>2046</v>
      </c>
      <c r="F244">
        <f>Inputs!$B$16</f>
        <v>8333.3333333333339</v>
      </c>
      <c r="G244">
        <f>Inputs!$B$12</f>
        <v>25</v>
      </c>
      <c r="H244">
        <f>IFERROR(INDEX(RP2014_Qx!$B:$B,MATCH(D244,RP2014_Qx!$A:$A,0)),"")</f>
        <v>6.0504000000000002E-2</v>
      </c>
      <c r="I244">
        <f>SUMIFS(MP2016_Long!$C:$C,MP2016_Long!$A:$A,D244,MP2016_Long!$B:$B,"&gt;=2014",MP2016_Long!$B:$B,"&lt;"&amp;E244)</f>
        <v>0.1857</v>
      </c>
      <c r="J244">
        <f t="shared" si="28"/>
        <v>7.2850506011484045E-2</v>
      </c>
      <c r="K244">
        <f t="shared" si="29"/>
        <v>7.5640459979787592E-2</v>
      </c>
      <c r="L244">
        <f>EXP(-K244/Inputs!$B$6)</f>
        <v>0.99371645290643973</v>
      </c>
      <c r="M244">
        <f t="shared" si="35"/>
        <v>0.55464524047482955</v>
      </c>
      <c r="N244">
        <f>IFERROR(INDEX(MonthlyCurve!$I:$I,MATCH(A244,MonthlyCurve!$A:$A,0)),"")</f>
        <v>5.0079276666666665E-2</v>
      </c>
      <c r="O244">
        <f>IFERROR(INDEX(MonthlyCurve!$J:$J,MATCH(A244,MonthlyCurve!$A:$A,0)),"")</f>
        <v>0.36576698315175382</v>
      </c>
      <c r="P244">
        <f t="shared" si="30"/>
        <v>4622.0436706235796</v>
      </c>
      <c r="Q244">
        <f t="shared" si="31"/>
        <v>13.866131011870738</v>
      </c>
      <c r="R244">
        <f t="shared" si="32"/>
        <v>4635.9098016354501</v>
      </c>
      <c r="S244">
        <f t="shared" si="33"/>
        <v>1690.5909693996452</v>
      </c>
      <c r="T244">
        <f t="shared" si="34"/>
        <v>5.0717729081989358</v>
      </c>
      <c r="U244">
        <f>SUMPRODUCT(R245:R543,O245:O543)/(M244*O244)</f>
        <v>556678.22252256563</v>
      </c>
    </row>
    <row r="245" spans="1:21" x14ac:dyDescent="0.35">
      <c r="A245">
        <v>242</v>
      </c>
      <c r="B245">
        <f>A245/Inputs!$B$6</f>
        <v>20.166666666666668</v>
      </c>
      <c r="C245">
        <f>Inputs!$B$3+B245</f>
        <v>85.166666666666671</v>
      </c>
      <c r="D245">
        <f t="shared" si="27"/>
        <v>85</v>
      </c>
      <c r="E245">
        <f>Inputs!$B$7+1+INT((A245-1)/Inputs!$B$6)</f>
        <v>2046</v>
      </c>
      <c r="F245">
        <f>Inputs!$B$16</f>
        <v>8333.3333333333339</v>
      </c>
      <c r="G245">
        <f>Inputs!$B$12</f>
        <v>25</v>
      </c>
      <c r="H245">
        <f>IFERROR(INDEX(RP2014_Qx!$B:$B,MATCH(D245,RP2014_Qx!$A:$A,0)),"")</f>
        <v>6.0504000000000002E-2</v>
      </c>
      <c r="I245">
        <f>SUMIFS(MP2016_Long!$C:$C,MP2016_Long!$A:$A,D245,MP2016_Long!$B:$B,"&gt;=2014",MP2016_Long!$B:$B,"&lt;"&amp;E245)</f>
        <v>0.1857</v>
      </c>
      <c r="J245">
        <f t="shared" si="28"/>
        <v>7.2850506011484045E-2</v>
      </c>
      <c r="K245">
        <f t="shared" si="29"/>
        <v>7.5640459979787592E-2</v>
      </c>
      <c r="L245">
        <f>EXP(-K245/Inputs!$B$6)</f>
        <v>0.99371645290643973</v>
      </c>
      <c r="M245">
        <f t="shared" si="35"/>
        <v>0.55116010098608692</v>
      </c>
      <c r="N245">
        <f>IFERROR(INDEX(MonthlyCurve!$I:$I,MATCH(A245,MonthlyCurve!$A:$A,0)),"")</f>
        <v>5.0070753333333336E-2</v>
      </c>
      <c r="O245">
        <f>IFERROR(INDEX(MonthlyCurve!$J:$J,MATCH(A245,MonthlyCurve!$A:$A,0)),"")</f>
        <v>0.36430633258918671</v>
      </c>
      <c r="P245">
        <f t="shared" si="30"/>
        <v>4593.0008415507245</v>
      </c>
      <c r="Q245">
        <f t="shared" si="31"/>
        <v>13.779002524652173</v>
      </c>
      <c r="R245">
        <f t="shared" si="32"/>
        <v>4606.7798440753768</v>
      </c>
      <c r="S245">
        <f t="shared" si="33"/>
        <v>1673.2592921643927</v>
      </c>
      <c r="T245">
        <f t="shared" si="34"/>
        <v>5.019777876493178</v>
      </c>
      <c r="U245">
        <f>SUMPRODUCT(R246:R543,O246:O543)/(M245*O245)</f>
        <v>554085.98134353023</v>
      </c>
    </row>
    <row r="246" spans="1:21" x14ac:dyDescent="0.35">
      <c r="A246">
        <v>243</v>
      </c>
      <c r="B246">
        <f>A246/Inputs!$B$6</f>
        <v>20.25</v>
      </c>
      <c r="C246">
        <f>Inputs!$B$3+B246</f>
        <v>85.25</v>
      </c>
      <c r="D246">
        <f t="shared" si="27"/>
        <v>85</v>
      </c>
      <c r="E246">
        <f>Inputs!$B$7+1+INT((A246-1)/Inputs!$B$6)</f>
        <v>2046</v>
      </c>
      <c r="F246">
        <f>Inputs!$B$16</f>
        <v>8333.3333333333339</v>
      </c>
      <c r="G246">
        <f>Inputs!$B$12</f>
        <v>25</v>
      </c>
      <c r="H246">
        <f>IFERROR(INDEX(RP2014_Qx!$B:$B,MATCH(D246,RP2014_Qx!$A:$A,0)),"")</f>
        <v>6.0504000000000002E-2</v>
      </c>
      <c r="I246">
        <f>SUMIFS(MP2016_Long!$C:$C,MP2016_Long!$A:$A,D246,MP2016_Long!$B:$B,"&gt;=2014",MP2016_Long!$B:$B,"&lt;"&amp;E246)</f>
        <v>0.1857</v>
      </c>
      <c r="J246">
        <f t="shared" si="28"/>
        <v>7.2850506011484045E-2</v>
      </c>
      <c r="K246">
        <f t="shared" si="29"/>
        <v>7.5640459979787592E-2</v>
      </c>
      <c r="L246">
        <f>EXP(-K246/Inputs!$B$6)</f>
        <v>0.99371645290643973</v>
      </c>
      <c r="M246">
        <f t="shared" si="35"/>
        <v>0.54769686053544941</v>
      </c>
      <c r="N246">
        <f>IFERROR(INDEX(MonthlyCurve!$I:$I,MATCH(A246,MonthlyCurve!$A:$A,0)),"")</f>
        <v>5.0062229999999999E-2</v>
      </c>
      <c r="O246">
        <f>IFERROR(INDEX(MonthlyCurve!$J:$J,MATCH(A246,MonthlyCurve!$A:$A,0)),"")</f>
        <v>0.36285203042646796</v>
      </c>
      <c r="P246">
        <f t="shared" si="30"/>
        <v>4564.1405044620788</v>
      </c>
      <c r="Q246">
        <f t="shared" si="31"/>
        <v>13.692421513386236</v>
      </c>
      <c r="R246">
        <f t="shared" si="32"/>
        <v>4577.8329259754646</v>
      </c>
      <c r="S246">
        <f t="shared" si="33"/>
        <v>1656.107649195749</v>
      </c>
      <c r="T246">
        <f t="shared" si="34"/>
        <v>4.9683229475872475</v>
      </c>
      <c r="U246">
        <f>SUMPRODUCT(R247:R543,O247:O543)/(M246*O246)</f>
        <v>551466.09437903645</v>
      </c>
    </row>
    <row r="247" spans="1:21" x14ac:dyDescent="0.35">
      <c r="A247">
        <v>244</v>
      </c>
      <c r="B247">
        <f>A247/Inputs!$B$6</f>
        <v>20.333333333333332</v>
      </c>
      <c r="C247">
        <f>Inputs!$B$3+B247</f>
        <v>85.333333333333329</v>
      </c>
      <c r="D247">
        <f t="shared" si="27"/>
        <v>85</v>
      </c>
      <c r="E247">
        <f>Inputs!$B$7+1+INT((A247-1)/Inputs!$B$6)</f>
        <v>2046</v>
      </c>
      <c r="F247">
        <f>Inputs!$B$16</f>
        <v>8333.3333333333339</v>
      </c>
      <c r="G247">
        <f>Inputs!$B$12</f>
        <v>25</v>
      </c>
      <c r="H247">
        <f>IFERROR(INDEX(RP2014_Qx!$B:$B,MATCH(D247,RP2014_Qx!$A:$A,0)),"")</f>
        <v>6.0504000000000002E-2</v>
      </c>
      <c r="I247">
        <f>SUMIFS(MP2016_Long!$C:$C,MP2016_Long!$A:$A,D247,MP2016_Long!$B:$B,"&gt;=2014",MP2016_Long!$B:$B,"&lt;"&amp;E247)</f>
        <v>0.1857</v>
      </c>
      <c r="J247">
        <f t="shared" si="28"/>
        <v>7.2850506011484045E-2</v>
      </c>
      <c r="K247">
        <f t="shared" si="29"/>
        <v>7.5640459979787592E-2</v>
      </c>
      <c r="L247">
        <f>EXP(-K247/Inputs!$B$6)</f>
        <v>0.99371645290643973</v>
      </c>
      <c r="M247">
        <f t="shared" si="35"/>
        <v>0.54425538151927977</v>
      </c>
      <c r="N247">
        <f>IFERROR(INDEX(MonthlyCurve!$I:$I,MATCH(A247,MonthlyCurve!$A:$A,0)),"")</f>
        <v>5.0053706666666663E-2</v>
      </c>
      <c r="O247">
        <f>IFERROR(INDEX(MonthlyCurve!$J:$J,MATCH(A247,MonthlyCurve!$A:$A,0)),"")</f>
        <v>0.3614040471973472</v>
      </c>
      <c r="P247">
        <f t="shared" si="30"/>
        <v>4535.461512660665</v>
      </c>
      <c r="Q247">
        <f t="shared" si="31"/>
        <v>13.606384537981993</v>
      </c>
      <c r="R247">
        <f t="shared" si="32"/>
        <v>4549.0678971986472</v>
      </c>
      <c r="S247">
        <f t="shared" si="33"/>
        <v>1639.1341465833666</v>
      </c>
      <c r="T247">
        <f t="shared" si="34"/>
        <v>4.9174024397500995</v>
      </c>
      <c r="U247">
        <f>SUMPRODUCT(R248:R543,O248:O543)/(M247*O247)</f>
        <v>548818.28279469698</v>
      </c>
    </row>
    <row r="248" spans="1:21" x14ac:dyDescent="0.35">
      <c r="A248">
        <v>245</v>
      </c>
      <c r="B248">
        <f>A248/Inputs!$B$6</f>
        <v>20.416666666666668</v>
      </c>
      <c r="C248">
        <f>Inputs!$B$3+B248</f>
        <v>85.416666666666671</v>
      </c>
      <c r="D248">
        <f t="shared" si="27"/>
        <v>85</v>
      </c>
      <c r="E248">
        <f>Inputs!$B$7+1+INT((A248-1)/Inputs!$B$6)</f>
        <v>2046</v>
      </c>
      <c r="F248">
        <f>Inputs!$B$16</f>
        <v>8333.3333333333339</v>
      </c>
      <c r="G248">
        <f>Inputs!$B$12</f>
        <v>25</v>
      </c>
      <c r="H248">
        <f>IFERROR(INDEX(RP2014_Qx!$B:$B,MATCH(D248,RP2014_Qx!$A:$A,0)),"")</f>
        <v>6.0504000000000002E-2</v>
      </c>
      <c r="I248">
        <f>SUMIFS(MP2016_Long!$C:$C,MP2016_Long!$A:$A,D248,MP2016_Long!$B:$B,"&gt;=2014",MP2016_Long!$B:$B,"&lt;"&amp;E248)</f>
        <v>0.1857</v>
      </c>
      <c r="J248">
        <f t="shared" si="28"/>
        <v>7.2850506011484045E-2</v>
      </c>
      <c r="K248">
        <f t="shared" si="29"/>
        <v>7.5640459979787592E-2</v>
      </c>
      <c r="L248">
        <f>EXP(-K248/Inputs!$B$6)</f>
        <v>0.99371645290643973</v>
      </c>
      <c r="M248">
        <f t="shared" si="35"/>
        <v>0.54083552719857975</v>
      </c>
      <c r="N248">
        <f>IFERROR(INDEX(MonthlyCurve!$I:$I,MATCH(A248,MonthlyCurve!$A:$A,0)),"")</f>
        <v>5.0045183333333333E-2</v>
      </c>
      <c r="O248">
        <f>IFERROR(INDEX(MonthlyCurve!$J:$J,MATCH(A248,MonthlyCurve!$A:$A,0)),"")</f>
        <v>0.3599623535800574</v>
      </c>
      <c r="P248">
        <f t="shared" si="30"/>
        <v>4506.9627266548314</v>
      </c>
      <c r="Q248">
        <f t="shared" si="31"/>
        <v>13.520888179964494</v>
      </c>
      <c r="R248">
        <f t="shared" si="32"/>
        <v>4520.4836148347958</v>
      </c>
      <c r="S248">
        <f t="shared" si="33"/>
        <v>1622.336910584266</v>
      </c>
      <c r="T248">
        <f t="shared" si="34"/>
        <v>4.8670107317527984</v>
      </c>
      <c r="U248">
        <f>SUMPRODUCT(R249:R543,O249:O543)/(M248*O248)</f>
        <v>546142.26498816977</v>
      </c>
    </row>
    <row r="249" spans="1:21" x14ac:dyDescent="0.35">
      <c r="A249">
        <v>246</v>
      </c>
      <c r="B249">
        <f>A249/Inputs!$B$6</f>
        <v>20.5</v>
      </c>
      <c r="C249">
        <f>Inputs!$B$3+B249</f>
        <v>85.5</v>
      </c>
      <c r="D249">
        <f t="shared" si="27"/>
        <v>85</v>
      </c>
      <c r="E249">
        <f>Inputs!$B$7+1+INT((A249-1)/Inputs!$B$6)</f>
        <v>2046</v>
      </c>
      <c r="F249">
        <f>Inputs!$B$16</f>
        <v>8333.3333333333339</v>
      </c>
      <c r="G249">
        <f>Inputs!$B$12</f>
        <v>25</v>
      </c>
      <c r="H249">
        <f>IFERROR(INDEX(RP2014_Qx!$B:$B,MATCH(D249,RP2014_Qx!$A:$A,0)),"")</f>
        <v>6.0504000000000002E-2</v>
      </c>
      <c r="I249">
        <f>SUMIFS(MP2016_Long!$C:$C,MP2016_Long!$A:$A,D249,MP2016_Long!$B:$B,"&gt;=2014",MP2016_Long!$B:$B,"&lt;"&amp;E249)</f>
        <v>0.1857</v>
      </c>
      <c r="J249">
        <f t="shared" si="28"/>
        <v>7.2850506011484045E-2</v>
      </c>
      <c r="K249">
        <f t="shared" si="29"/>
        <v>7.5640459979787592E-2</v>
      </c>
      <c r="L249">
        <f>EXP(-K249/Inputs!$B$6)</f>
        <v>0.99371645290643973</v>
      </c>
      <c r="M249">
        <f t="shared" si="35"/>
        <v>0.53743716169355693</v>
      </c>
      <c r="N249">
        <f>IFERROR(INDEX(MonthlyCurve!$I:$I,MATCH(A249,MonthlyCurve!$A:$A,0)),"")</f>
        <v>5.0036659999999997E-2</v>
      </c>
      <c r="O249">
        <f>IFERROR(INDEX(MonthlyCurve!$J:$J,MATCH(A249,MonthlyCurve!$A:$A,0)),"")</f>
        <v>0.35852692039657202</v>
      </c>
      <c r="P249">
        <f t="shared" si="30"/>
        <v>4478.6430141129749</v>
      </c>
      <c r="Q249">
        <f t="shared" si="31"/>
        <v>13.435929042338923</v>
      </c>
      <c r="R249">
        <f t="shared" si="32"/>
        <v>4492.0789431553139</v>
      </c>
      <c r="S249">
        <f t="shared" si="33"/>
        <v>1605.714087405546</v>
      </c>
      <c r="T249">
        <f t="shared" si="34"/>
        <v>4.8171422622166373</v>
      </c>
      <c r="U249">
        <f>SUMPRODUCT(R250:R543,O250:O543)/(M249*O249)</f>
        <v>543437.7565621041</v>
      </c>
    </row>
    <row r="250" spans="1:21" x14ac:dyDescent="0.35">
      <c r="A250">
        <v>247</v>
      </c>
      <c r="B250">
        <f>A250/Inputs!$B$6</f>
        <v>20.583333333333332</v>
      </c>
      <c r="C250">
        <f>Inputs!$B$3+B250</f>
        <v>85.583333333333329</v>
      </c>
      <c r="D250">
        <f t="shared" si="27"/>
        <v>85</v>
      </c>
      <c r="E250">
        <f>Inputs!$B$7+1+INT((A250-1)/Inputs!$B$6)</f>
        <v>2046</v>
      </c>
      <c r="F250">
        <f>Inputs!$B$16</f>
        <v>8333.3333333333339</v>
      </c>
      <c r="G250">
        <f>Inputs!$B$12</f>
        <v>25</v>
      </c>
      <c r="H250">
        <f>IFERROR(INDEX(RP2014_Qx!$B:$B,MATCH(D250,RP2014_Qx!$A:$A,0)),"")</f>
        <v>6.0504000000000002E-2</v>
      </c>
      <c r="I250">
        <f>SUMIFS(MP2016_Long!$C:$C,MP2016_Long!$A:$A,D250,MP2016_Long!$B:$B,"&gt;=2014",MP2016_Long!$B:$B,"&lt;"&amp;E250)</f>
        <v>0.1857</v>
      </c>
      <c r="J250">
        <f t="shared" si="28"/>
        <v>7.2850506011484045E-2</v>
      </c>
      <c r="K250">
        <f t="shared" si="29"/>
        <v>7.5640459979787592E-2</v>
      </c>
      <c r="L250">
        <f>EXP(-K250/Inputs!$B$6)</f>
        <v>0.99371645290643973</v>
      </c>
      <c r="M250">
        <f t="shared" si="35"/>
        <v>0.53406014997822615</v>
      </c>
      <c r="N250">
        <f>IFERROR(INDEX(MonthlyCurve!$I:$I,MATCH(A250,MonthlyCurve!$A:$A,0)),"")</f>
        <v>5.0028614999999999E-2</v>
      </c>
      <c r="O250">
        <f>IFERROR(INDEX(MonthlyCurve!$J:$J,MATCH(A250,MonthlyCurve!$A:$A,0)),"")</f>
        <v>0.35709420275414983</v>
      </c>
      <c r="P250">
        <f t="shared" si="30"/>
        <v>4450.5012498185515</v>
      </c>
      <c r="Q250">
        <f t="shared" si="31"/>
        <v>13.351503749455654</v>
      </c>
      <c r="R250">
        <f t="shared" si="32"/>
        <v>4463.8527535680068</v>
      </c>
      <c r="S250">
        <f t="shared" si="33"/>
        <v>1589.2481956603031</v>
      </c>
      <c r="T250">
        <f t="shared" si="34"/>
        <v>4.7677445869809087</v>
      </c>
      <c r="U250">
        <f>SUMPRODUCT(R251:R543,O251:O543)/(M250*O250)</f>
        <v>540709.87622803391</v>
      </c>
    </row>
    <row r="251" spans="1:21" x14ac:dyDescent="0.35">
      <c r="A251">
        <v>248</v>
      </c>
      <c r="B251">
        <f>A251/Inputs!$B$6</f>
        <v>20.666666666666668</v>
      </c>
      <c r="C251">
        <f>Inputs!$B$3+B251</f>
        <v>85.666666666666671</v>
      </c>
      <c r="D251">
        <f t="shared" si="27"/>
        <v>85</v>
      </c>
      <c r="E251">
        <f>Inputs!$B$7+1+INT((A251-1)/Inputs!$B$6)</f>
        <v>2046</v>
      </c>
      <c r="F251">
        <f>Inputs!$B$16</f>
        <v>8333.3333333333339</v>
      </c>
      <c r="G251">
        <f>Inputs!$B$12</f>
        <v>25</v>
      </c>
      <c r="H251">
        <f>IFERROR(INDEX(RP2014_Qx!$B:$B,MATCH(D251,RP2014_Qx!$A:$A,0)),"")</f>
        <v>6.0504000000000002E-2</v>
      </c>
      <c r="I251">
        <f>SUMIFS(MP2016_Long!$C:$C,MP2016_Long!$A:$A,D251,MP2016_Long!$B:$B,"&gt;=2014",MP2016_Long!$B:$B,"&lt;"&amp;E251)</f>
        <v>0.1857</v>
      </c>
      <c r="J251">
        <f t="shared" si="28"/>
        <v>7.2850506011484045E-2</v>
      </c>
      <c r="K251">
        <f t="shared" si="29"/>
        <v>7.5640459979787592E-2</v>
      </c>
      <c r="L251">
        <f>EXP(-K251/Inputs!$B$6)</f>
        <v>0.99371645290643973</v>
      </c>
      <c r="M251">
        <f t="shared" si="35"/>
        <v>0.53070435787504411</v>
      </c>
      <c r="N251">
        <f>IFERROR(INDEX(MonthlyCurve!$I:$I,MATCH(A251,MonthlyCurve!$A:$A,0)),"")</f>
        <v>5.002057E-2</v>
      </c>
      <c r="O251">
        <f>IFERROR(INDEX(MonthlyCurve!$J:$J,MATCH(A251,MonthlyCurve!$A:$A,0)),"")</f>
        <v>0.35566768731830084</v>
      </c>
      <c r="P251">
        <f t="shared" si="30"/>
        <v>4422.5363156253679</v>
      </c>
      <c r="Q251">
        <f t="shared" si="31"/>
        <v>13.267608946876102</v>
      </c>
      <c r="R251">
        <f t="shared" si="32"/>
        <v>4435.8039245722439</v>
      </c>
      <c r="S251">
        <f t="shared" si="33"/>
        <v>1572.9532634596735</v>
      </c>
      <c r="T251">
        <f t="shared" si="34"/>
        <v>4.7188597903790201</v>
      </c>
      <c r="U251">
        <f>SUMPRODUCT(R252:R543,O252:O543)/(M251*O251)</f>
        <v>537953.0003429451</v>
      </c>
    </row>
    <row r="252" spans="1:21" x14ac:dyDescent="0.35">
      <c r="A252">
        <v>249</v>
      </c>
      <c r="B252">
        <f>A252/Inputs!$B$6</f>
        <v>20.75</v>
      </c>
      <c r="C252">
        <f>Inputs!$B$3+B252</f>
        <v>85.75</v>
      </c>
      <c r="D252">
        <f t="shared" si="27"/>
        <v>85</v>
      </c>
      <c r="E252">
        <f>Inputs!$B$7+1+INT((A252-1)/Inputs!$B$6)</f>
        <v>2046</v>
      </c>
      <c r="F252">
        <f>Inputs!$B$16</f>
        <v>8333.3333333333339</v>
      </c>
      <c r="G252">
        <f>Inputs!$B$12</f>
        <v>25</v>
      </c>
      <c r="H252">
        <f>IFERROR(INDEX(RP2014_Qx!$B:$B,MATCH(D252,RP2014_Qx!$A:$A,0)),"")</f>
        <v>6.0504000000000002E-2</v>
      </c>
      <c r="I252">
        <f>SUMIFS(MP2016_Long!$C:$C,MP2016_Long!$A:$A,D252,MP2016_Long!$B:$B,"&gt;=2014",MP2016_Long!$B:$B,"&lt;"&amp;E252)</f>
        <v>0.1857</v>
      </c>
      <c r="J252">
        <f t="shared" si="28"/>
        <v>7.2850506011484045E-2</v>
      </c>
      <c r="K252">
        <f t="shared" si="29"/>
        <v>7.5640459979787592E-2</v>
      </c>
      <c r="L252">
        <f>EXP(-K252/Inputs!$B$6)</f>
        <v>0.99371645290643973</v>
      </c>
      <c r="M252">
        <f t="shared" si="35"/>
        <v>0.52736965204957864</v>
      </c>
      <c r="N252">
        <f>IFERROR(INDEX(MonthlyCurve!$I:$I,MATCH(A252,MonthlyCurve!$A:$A,0)),"")</f>
        <v>5.0012525000000002E-2</v>
      </c>
      <c r="O252">
        <f>IFERROR(INDEX(MonthlyCurve!$J:$J,MATCH(A252,MonthlyCurve!$A:$A,0)),"")</f>
        <v>0.35424734549472781</v>
      </c>
      <c r="P252">
        <f t="shared" si="30"/>
        <v>4394.7471004131557</v>
      </c>
      <c r="Q252">
        <f t="shared" si="31"/>
        <v>13.184241301239465</v>
      </c>
      <c r="R252">
        <f t="shared" si="32"/>
        <v>4407.9313417143949</v>
      </c>
      <c r="S252">
        <f t="shared" si="33"/>
        <v>1556.8274944420125</v>
      </c>
      <c r="T252">
        <f t="shared" si="34"/>
        <v>4.6704824833260368</v>
      </c>
      <c r="U252">
        <f>SUMPRODUCT(R253:R543,O253:O543)/(M252*O252)</f>
        <v>535166.83596015908</v>
      </c>
    </row>
    <row r="253" spans="1:21" x14ac:dyDescent="0.35">
      <c r="A253">
        <v>250</v>
      </c>
      <c r="B253">
        <f>A253/Inputs!$B$6</f>
        <v>20.833333333333332</v>
      </c>
      <c r="C253">
        <f>Inputs!$B$3+B253</f>
        <v>85.833333333333329</v>
      </c>
      <c r="D253">
        <f t="shared" si="27"/>
        <v>85</v>
      </c>
      <c r="E253">
        <f>Inputs!$B$7+1+INT((A253-1)/Inputs!$B$6)</f>
        <v>2046</v>
      </c>
      <c r="F253">
        <f>Inputs!$B$16</f>
        <v>8333.3333333333339</v>
      </c>
      <c r="G253">
        <f>Inputs!$B$12</f>
        <v>25</v>
      </c>
      <c r="H253">
        <f>IFERROR(INDEX(RP2014_Qx!$B:$B,MATCH(D253,RP2014_Qx!$A:$A,0)),"")</f>
        <v>6.0504000000000002E-2</v>
      </c>
      <c r="I253">
        <f>SUMIFS(MP2016_Long!$C:$C,MP2016_Long!$A:$A,D253,MP2016_Long!$B:$B,"&gt;=2014",MP2016_Long!$B:$B,"&lt;"&amp;E253)</f>
        <v>0.1857</v>
      </c>
      <c r="J253">
        <f t="shared" si="28"/>
        <v>7.2850506011484045E-2</v>
      </c>
      <c r="K253">
        <f t="shared" si="29"/>
        <v>7.5640459979787592E-2</v>
      </c>
      <c r="L253">
        <f>EXP(-K253/Inputs!$B$6)</f>
        <v>0.99371645290643973</v>
      </c>
      <c r="M253">
        <f t="shared" si="35"/>
        <v>0.52405590000521063</v>
      </c>
      <c r="N253">
        <f>IFERROR(INDEX(MonthlyCurve!$I:$I,MATCH(A253,MonthlyCurve!$A:$A,0)),"")</f>
        <v>5.0004479999999997E-2</v>
      </c>
      <c r="O253">
        <f>IFERROR(INDEX(MonthlyCurve!$J:$J,MATCH(A253,MonthlyCurve!$A:$A,0)),"")</f>
        <v>0.35283314882812616</v>
      </c>
      <c r="P253">
        <f t="shared" si="30"/>
        <v>4367.1325000434226</v>
      </c>
      <c r="Q253">
        <f t="shared" si="31"/>
        <v>13.101397500130266</v>
      </c>
      <c r="R253">
        <f t="shared" si="32"/>
        <v>4380.2338975435532</v>
      </c>
      <c r="S253">
        <f t="shared" si="33"/>
        <v>1540.8691113399677</v>
      </c>
      <c r="T253">
        <f t="shared" si="34"/>
        <v>4.6226073340199028</v>
      </c>
      <c r="U253">
        <f>SUMPRODUCT(R254:R543,O254:O543)/(M253*O253)</f>
        <v>532351.08721685281</v>
      </c>
    </row>
    <row r="254" spans="1:21" x14ac:dyDescent="0.35">
      <c r="A254">
        <v>251</v>
      </c>
      <c r="B254">
        <f>A254/Inputs!$B$6</f>
        <v>20.916666666666668</v>
      </c>
      <c r="C254">
        <f>Inputs!$B$3+B254</f>
        <v>85.916666666666671</v>
      </c>
      <c r="D254">
        <f t="shared" si="27"/>
        <v>85</v>
      </c>
      <c r="E254">
        <f>Inputs!$B$7+1+INT((A254-1)/Inputs!$B$6)</f>
        <v>2046</v>
      </c>
      <c r="F254">
        <f>Inputs!$B$16</f>
        <v>8333.3333333333339</v>
      </c>
      <c r="G254">
        <f>Inputs!$B$12</f>
        <v>25</v>
      </c>
      <c r="H254">
        <f>IFERROR(INDEX(RP2014_Qx!$B:$B,MATCH(D254,RP2014_Qx!$A:$A,0)),"")</f>
        <v>6.0504000000000002E-2</v>
      </c>
      <c r="I254">
        <f>SUMIFS(MP2016_Long!$C:$C,MP2016_Long!$A:$A,D254,MP2016_Long!$B:$B,"&gt;=2014",MP2016_Long!$B:$B,"&lt;"&amp;E254)</f>
        <v>0.1857</v>
      </c>
      <c r="J254">
        <f t="shared" si="28"/>
        <v>7.2850506011484045E-2</v>
      </c>
      <c r="K254">
        <f t="shared" si="29"/>
        <v>7.5640459979787592E-2</v>
      </c>
      <c r="L254">
        <f>EXP(-K254/Inputs!$B$6)</f>
        <v>0.99371645290643973</v>
      </c>
      <c r="M254">
        <f t="shared" si="35"/>
        <v>0.52076297007786976</v>
      </c>
      <c r="N254">
        <f>IFERROR(INDEX(MonthlyCurve!$I:$I,MATCH(A254,MonthlyCurve!$A:$A,0)),"")</f>
        <v>4.9996434999999999E-2</v>
      </c>
      <c r="O254">
        <f>IFERROR(INDEX(MonthlyCurve!$J:$J,MATCH(A254,MonthlyCurve!$A:$A,0)),"")</f>
        <v>0.35142506900147646</v>
      </c>
      <c r="P254">
        <f t="shared" si="30"/>
        <v>4339.6914173155819</v>
      </c>
      <c r="Q254">
        <f t="shared" si="31"/>
        <v>13.019074251946744</v>
      </c>
      <c r="R254">
        <f t="shared" si="32"/>
        <v>4352.7104915675291</v>
      </c>
      <c r="S254">
        <f t="shared" si="33"/>
        <v>1525.0763557752437</v>
      </c>
      <c r="T254">
        <f t="shared" si="34"/>
        <v>4.5752290673257301</v>
      </c>
      <c r="U254">
        <f>SUMPRODUCT(R255:R543,O255:O543)/(M254*O254)</f>
        <v>529505.45530544745</v>
      </c>
    </row>
    <row r="255" spans="1:21" x14ac:dyDescent="0.35">
      <c r="A255">
        <v>252</v>
      </c>
      <c r="B255">
        <f>A255/Inputs!$B$6</f>
        <v>21</v>
      </c>
      <c r="C255">
        <f>Inputs!$B$3+B255</f>
        <v>86</v>
      </c>
      <c r="D255">
        <f t="shared" si="27"/>
        <v>86</v>
      </c>
      <c r="E255">
        <f>Inputs!$B$7+1+INT((A255-1)/Inputs!$B$6)</f>
        <v>2046</v>
      </c>
      <c r="F255">
        <f>Inputs!$B$16</f>
        <v>8333.3333333333339</v>
      </c>
      <c r="G255">
        <f>Inputs!$B$12</f>
        <v>25</v>
      </c>
      <c r="H255">
        <f>IFERROR(INDEX(RP2014_Qx!$B:$B,MATCH(D255,RP2014_Qx!$A:$A,0)),"")</f>
        <v>6.7801E-2</v>
      </c>
      <c r="I255">
        <f>SUMIFS(MP2016_Long!$C:$C,MP2016_Long!$A:$A,D255,MP2016_Long!$B:$B,"&gt;=2014",MP2016_Long!$B:$B,"&lt;"&amp;E255)</f>
        <v>0.18239999999999998</v>
      </c>
      <c r="J255">
        <f t="shared" si="28"/>
        <v>8.1367582483703668E-2</v>
      </c>
      <c r="K255">
        <f t="shared" si="29"/>
        <v>8.4869217579992703E-2</v>
      </c>
      <c r="L255">
        <f>EXP(-K255/Inputs!$B$6)</f>
        <v>0.99295251601300916</v>
      </c>
      <c r="M255">
        <f t="shared" si="35"/>
        <v>0.51709290138522823</v>
      </c>
      <c r="N255">
        <f>IFERROR(INDEX(MonthlyCurve!$I:$I,MATCH(A255,MonthlyCurve!$A:$A,0)),"")</f>
        <v>4.9988390000000001E-2</v>
      </c>
      <c r="O255">
        <f>IFERROR(INDEX(MonthlyCurve!$J:$J,MATCH(A255,MonthlyCurve!$A:$A,0)),"")</f>
        <v>0.35002307783534153</v>
      </c>
      <c r="P255">
        <f t="shared" si="30"/>
        <v>4309.1075115435688</v>
      </c>
      <c r="Q255">
        <f t="shared" si="31"/>
        <v>12.927322534630706</v>
      </c>
      <c r="R255">
        <f t="shared" si="32"/>
        <v>4322.0348340781993</v>
      </c>
      <c r="S255">
        <f t="shared" si="33"/>
        <v>1508.2870739138693</v>
      </c>
      <c r="T255">
        <f t="shared" si="34"/>
        <v>4.5248612217416087</v>
      </c>
      <c r="U255">
        <f>SUMPRODUCT(R256:R543,O256:O543)/(M255*O255)</f>
        <v>527041.23622265225</v>
      </c>
    </row>
    <row r="256" spans="1:21" x14ac:dyDescent="0.35">
      <c r="A256">
        <v>253</v>
      </c>
      <c r="B256">
        <f>A256/Inputs!$B$6</f>
        <v>21.083333333333332</v>
      </c>
      <c r="C256">
        <f>Inputs!$B$3+B256</f>
        <v>86.083333333333329</v>
      </c>
      <c r="D256">
        <f t="shared" si="27"/>
        <v>86</v>
      </c>
      <c r="E256">
        <f>Inputs!$B$7+1+INT((A256-1)/Inputs!$B$6)</f>
        <v>2047</v>
      </c>
      <c r="F256">
        <f>Inputs!$B$16</f>
        <v>8333.3333333333339</v>
      </c>
      <c r="G256">
        <f>Inputs!$B$12</f>
        <v>25</v>
      </c>
      <c r="H256">
        <f>IFERROR(INDEX(RP2014_Qx!$B:$B,MATCH(D256,RP2014_Qx!$A:$A,0)),"")</f>
        <v>6.7801E-2</v>
      </c>
      <c r="I256">
        <f>SUMIFS(MP2016_Long!$C:$C,MP2016_Long!$A:$A,D256,MP2016_Long!$B:$B,"&gt;=2014",MP2016_Long!$B:$B,"&lt;"&amp;E256)</f>
        <v>0.18239999999999998</v>
      </c>
      <c r="J256">
        <f t="shared" si="28"/>
        <v>8.1367582483703668E-2</v>
      </c>
      <c r="K256">
        <f t="shared" si="29"/>
        <v>8.4869217579992703E-2</v>
      </c>
      <c r="L256">
        <f>EXP(-K256/Inputs!$B$6)</f>
        <v>0.99295251601300916</v>
      </c>
      <c r="M256">
        <f t="shared" si="35"/>
        <v>0.5134486974429292</v>
      </c>
      <c r="N256">
        <f>IFERROR(INDEX(MonthlyCurve!$I:$I,MATCH(A256,MonthlyCurve!$A:$A,0)),"")</f>
        <v>4.998079166666667E-2</v>
      </c>
      <c r="O256">
        <f>IFERROR(INDEX(MonthlyCurve!$J:$J,MATCH(A256,MonthlyCurve!$A:$A,0)),"")</f>
        <v>0.34862386420330616</v>
      </c>
      <c r="P256">
        <f t="shared" si="30"/>
        <v>4278.7391453577438</v>
      </c>
      <c r="Q256">
        <f t="shared" si="31"/>
        <v>12.83621743607323</v>
      </c>
      <c r="R256">
        <f t="shared" si="32"/>
        <v>4291.5753627938175</v>
      </c>
      <c r="S256">
        <f t="shared" si="33"/>
        <v>1491.6705747725682</v>
      </c>
      <c r="T256">
        <f t="shared" si="34"/>
        <v>4.4750117243177048</v>
      </c>
      <c r="U256">
        <f>SUMPRODUCT(R257:R543,O257:O543)/(M256*O256)</f>
        <v>524553.89102653496</v>
      </c>
    </row>
    <row r="257" spans="1:21" x14ac:dyDescent="0.35">
      <c r="A257">
        <v>254</v>
      </c>
      <c r="B257">
        <f>A257/Inputs!$B$6</f>
        <v>21.166666666666668</v>
      </c>
      <c r="C257">
        <f>Inputs!$B$3+B257</f>
        <v>86.166666666666671</v>
      </c>
      <c r="D257">
        <f t="shared" si="27"/>
        <v>86</v>
      </c>
      <c r="E257">
        <f>Inputs!$B$7+1+INT((A257-1)/Inputs!$B$6)</f>
        <v>2047</v>
      </c>
      <c r="F257">
        <f>Inputs!$B$16</f>
        <v>8333.3333333333339</v>
      </c>
      <c r="G257">
        <f>Inputs!$B$12</f>
        <v>25</v>
      </c>
      <c r="H257">
        <f>IFERROR(INDEX(RP2014_Qx!$B:$B,MATCH(D257,RP2014_Qx!$A:$A,0)),"")</f>
        <v>6.7801E-2</v>
      </c>
      <c r="I257">
        <f>SUMIFS(MP2016_Long!$C:$C,MP2016_Long!$A:$A,D257,MP2016_Long!$B:$B,"&gt;=2014",MP2016_Long!$B:$B,"&lt;"&amp;E257)</f>
        <v>0.18239999999999998</v>
      </c>
      <c r="J257">
        <f t="shared" si="28"/>
        <v>8.1367582483703668E-2</v>
      </c>
      <c r="K257">
        <f t="shared" si="29"/>
        <v>8.4869217579992703E-2</v>
      </c>
      <c r="L257">
        <f>EXP(-K257/Inputs!$B$6)</f>
        <v>0.99295251601300916</v>
      </c>
      <c r="M257">
        <f t="shared" si="35"/>
        <v>0.50983017596955882</v>
      </c>
      <c r="N257">
        <f>IFERROR(INDEX(MonthlyCurve!$I:$I,MATCH(A257,MonthlyCurve!$A:$A,0)),"")</f>
        <v>4.9973193333333332E-2</v>
      </c>
      <c r="O257">
        <f>IFERROR(INDEX(MonthlyCurve!$J:$J,MATCH(A257,MonthlyCurve!$A:$A,0)),"")</f>
        <v>0.3472306836420887</v>
      </c>
      <c r="P257">
        <f t="shared" si="30"/>
        <v>4248.5847997463234</v>
      </c>
      <c r="Q257">
        <f t="shared" si="31"/>
        <v>12.745754399238971</v>
      </c>
      <c r="R257">
        <f t="shared" si="32"/>
        <v>4261.330554145562</v>
      </c>
      <c r="S257">
        <f t="shared" si="33"/>
        <v>1475.2390045273023</v>
      </c>
      <c r="T257">
        <f t="shared" si="34"/>
        <v>4.4257170135819077</v>
      </c>
      <c r="U257">
        <f>SUMPRODUCT(R258:R543,O258:O543)/(M257*O257)</f>
        <v>522038.16630196181</v>
      </c>
    </row>
    <row r="258" spans="1:21" x14ac:dyDescent="0.35">
      <c r="A258">
        <v>255</v>
      </c>
      <c r="B258">
        <f>A258/Inputs!$B$6</f>
        <v>21.25</v>
      </c>
      <c r="C258">
        <f>Inputs!$B$3+B258</f>
        <v>86.25</v>
      </c>
      <c r="D258">
        <f t="shared" si="27"/>
        <v>86</v>
      </c>
      <c r="E258">
        <f>Inputs!$B$7+1+INT((A258-1)/Inputs!$B$6)</f>
        <v>2047</v>
      </c>
      <c r="F258">
        <f>Inputs!$B$16</f>
        <v>8333.3333333333339</v>
      </c>
      <c r="G258">
        <f>Inputs!$B$12</f>
        <v>25</v>
      </c>
      <c r="H258">
        <f>IFERROR(INDEX(RP2014_Qx!$B:$B,MATCH(D258,RP2014_Qx!$A:$A,0)),"")</f>
        <v>6.7801E-2</v>
      </c>
      <c r="I258">
        <f>SUMIFS(MP2016_Long!$C:$C,MP2016_Long!$A:$A,D258,MP2016_Long!$B:$B,"&gt;=2014",MP2016_Long!$B:$B,"&lt;"&amp;E258)</f>
        <v>0.18239999999999998</v>
      </c>
      <c r="J258">
        <f t="shared" si="28"/>
        <v>8.1367582483703668E-2</v>
      </c>
      <c r="K258">
        <f t="shared" si="29"/>
        <v>8.4869217579992703E-2</v>
      </c>
      <c r="L258">
        <f>EXP(-K258/Inputs!$B$6)</f>
        <v>0.99295251601300916</v>
      </c>
      <c r="M258">
        <f t="shared" si="35"/>
        <v>0.50623715596832863</v>
      </c>
      <c r="N258">
        <f>IFERROR(INDEX(MonthlyCurve!$I:$I,MATCH(A258,MonthlyCurve!$A:$A,0)),"")</f>
        <v>4.9965595000000002E-2</v>
      </c>
      <c r="O258">
        <f>IFERROR(INDEX(MonthlyCurve!$J:$J,MATCH(A258,MonthlyCurve!$A:$A,0)),"")</f>
        <v>0.34584350852059226</v>
      </c>
      <c r="P258">
        <f t="shared" si="30"/>
        <v>4218.6429664027391</v>
      </c>
      <c r="Q258">
        <f t="shared" si="31"/>
        <v>12.655928899208217</v>
      </c>
      <c r="R258">
        <f t="shared" si="32"/>
        <v>4231.2988953019476</v>
      </c>
      <c r="S258">
        <f t="shared" si="33"/>
        <v>1458.9902846964424</v>
      </c>
      <c r="T258">
        <f t="shared" si="34"/>
        <v>4.3769708540893264</v>
      </c>
      <c r="U258">
        <f>SUMPRODUCT(R259:R543,O259:O543)/(M258*O258)</f>
        <v>519493.75235810631</v>
      </c>
    </row>
    <row r="259" spans="1:21" x14ac:dyDescent="0.35">
      <c r="A259">
        <v>256</v>
      </c>
      <c r="B259">
        <f>A259/Inputs!$B$6</f>
        <v>21.333333333333332</v>
      </c>
      <c r="C259">
        <f>Inputs!$B$3+B259</f>
        <v>86.333333333333329</v>
      </c>
      <c r="D259">
        <f t="shared" si="27"/>
        <v>86</v>
      </c>
      <c r="E259">
        <f>Inputs!$B$7+1+INT((A259-1)/Inputs!$B$6)</f>
        <v>2047</v>
      </c>
      <c r="F259">
        <f>Inputs!$B$16</f>
        <v>8333.3333333333339</v>
      </c>
      <c r="G259">
        <f>Inputs!$B$12</f>
        <v>25</v>
      </c>
      <c r="H259">
        <f>IFERROR(INDEX(RP2014_Qx!$B:$B,MATCH(D259,RP2014_Qx!$A:$A,0)),"")</f>
        <v>6.7801E-2</v>
      </c>
      <c r="I259">
        <f>SUMIFS(MP2016_Long!$C:$C,MP2016_Long!$A:$A,D259,MP2016_Long!$B:$B,"&gt;=2014",MP2016_Long!$B:$B,"&lt;"&amp;E259)</f>
        <v>0.18239999999999998</v>
      </c>
      <c r="J259">
        <f t="shared" si="28"/>
        <v>8.1367582483703668E-2</v>
      </c>
      <c r="K259">
        <f t="shared" si="29"/>
        <v>8.4869217579992703E-2</v>
      </c>
      <c r="L259">
        <f>EXP(-K259/Inputs!$B$6)</f>
        <v>0.99295251601300916</v>
      </c>
      <c r="M259">
        <f t="shared" si="35"/>
        <v>0.50266945771802207</v>
      </c>
      <c r="N259">
        <f>IFERROR(INDEX(MonthlyCurve!$I:$I,MATCH(A259,MonthlyCurve!$A:$A,0)),"")</f>
        <v>4.9957996666666671E-2</v>
      </c>
      <c r="O259">
        <f>IFERROR(INDEX(MonthlyCurve!$J:$J,MATCH(A259,MonthlyCurve!$A:$A,0)),"")</f>
        <v>0.34446231134089272</v>
      </c>
      <c r="P259">
        <f t="shared" si="30"/>
        <v>4188.9121476501841</v>
      </c>
      <c r="Q259">
        <f t="shared" si="31"/>
        <v>12.566736442950551</v>
      </c>
      <c r="R259">
        <f t="shared" si="32"/>
        <v>4201.4788840931351</v>
      </c>
      <c r="S259">
        <f t="shared" si="33"/>
        <v>1442.9223603835253</v>
      </c>
      <c r="T259">
        <f t="shared" si="34"/>
        <v>4.3287670811505761</v>
      </c>
      <c r="U259">
        <f>SUMPRODUCT(R260:R543,O260:O543)/(M259*O259)</f>
        <v>516920.3361645313</v>
      </c>
    </row>
    <row r="260" spans="1:21" x14ac:dyDescent="0.35">
      <c r="A260">
        <v>257</v>
      </c>
      <c r="B260">
        <f>A260/Inputs!$B$6</f>
        <v>21.416666666666668</v>
      </c>
      <c r="C260">
        <f>Inputs!$B$3+B260</f>
        <v>86.416666666666671</v>
      </c>
      <c r="D260">
        <f t="shared" ref="D260:D323" si="36">INT(C260)</f>
        <v>86</v>
      </c>
      <c r="E260">
        <f>Inputs!$B$7+1+INT((A260-1)/Inputs!$B$6)</f>
        <v>2047</v>
      </c>
      <c r="F260">
        <f>Inputs!$B$16</f>
        <v>8333.3333333333339</v>
      </c>
      <c r="G260">
        <f>Inputs!$B$12</f>
        <v>25</v>
      </c>
      <c r="H260">
        <f>IFERROR(INDEX(RP2014_Qx!$B:$B,MATCH(D260,RP2014_Qx!$A:$A,0)),"")</f>
        <v>6.7801E-2</v>
      </c>
      <c r="I260">
        <f>SUMIFS(MP2016_Long!$C:$C,MP2016_Long!$A:$A,D260,MP2016_Long!$B:$B,"&gt;=2014",MP2016_Long!$B:$B,"&lt;"&amp;E260)</f>
        <v>0.18239999999999998</v>
      </c>
      <c r="J260">
        <f t="shared" ref="J260:J323" si="37">MIN(0.999999,MAX(0,H260*EXP(I260)))</f>
        <v>8.1367582483703668E-2</v>
      </c>
      <c r="K260">
        <f t="shared" ref="K260:K323" si="38">-LN(1-J260)</f>
        <v>8.4869217579992703E-2</v>
      </c>
      <c r="L260">
        <f>EXP(-K260/Inputs!$B$6)</f>
        <v>0.99295251601300916</v>
      </c>
      <c r="M260">
        <f t="shared" si="35"/>
        <v>0.49912690276400495</v>
      </c>
      <c r="N260">
        <f>IFERROR(INDEX(MonthlyCurve!$I:$I,MATCH(A260,MonthlyCurve!$A:$A,0)),"")</f>
        <v>4.9950398333333333E-2</v>
      </c>
      <c r="O260">
        <f>IFERROR(INDEX(MonthlyCurve!$J:$J,MATCH(A260,MonthlyCurve!$A:$A,0)),"")</f>
        <v>0.34308706473756795</v>
      </c>
      <c r="P260">
        <f t="shared" ref="P260:P323" si="39">F260*M260</f>
        <v>4159.3908563667082</v>
      </c>
      <c r="Q260">
        <f t="shared" ref="Q260:Q323" si="40">G260*M260</f>
        <v>12.478172569100124</v>
      </c>
      <c r="R260">
        <f t="shared" ref="R260:R323" si="41">P260+Q260</f>
        <v>4171.8690289358083</v>
      </c>
      <c r="S260">
        <f t="shared" ref="S260:S323" si="42">P260*O260</f>
        <v>1427.033200007133</v>
      </c>
      <c r="T260">
        <f t="shared" ref="T260:T323" si="43">Q260*O260</f>
        <v>4.281099600021399</v>
      </c>
      <c r="U260">
        <f>SUMPRODUCT(R261:R543,O261:O543)/(M260*O260)</f>
        <v>514317.60131558904</v>
      </c>
    </row>
    <row r="261" spans="1:21" x14ac:dyDescent="0.35">
      <c r="A261">
        <v>258</v>
      </c>
      <c r="B261">
        <f>A261/Inputs!$B$6</f>
        <v>21.5</v>
      </c>
      <c r="C261">
        <f>Inputs!$B$3+B261</f>
        <v>86.5</v>
      </c>
      <c r="D261">
        <f t="shared" si="36"/>
        <v>86</v>
      </c>
      <c r="E261">
        <f>Inputs!$B$7+1+INT((A261-1)/Inputs!$B$6)</f>
        <v>2047</v>
      </c>
      <c r="F261">
        <f>Inputs!$B$16</f>
        <v>8333.3333333333339</v>
      </c>
      <c r="G261">
        <f>Inputs!$B$12</f>
        <v>25</v>
      </c>
      <c r="H261">
        <f>IFERROR(INDEX(RP2014_Qx!$B:$B,MATCH(D261,RP2014_Qx!$A:$A,0)),"")</f>
        <v>6.7801E-2</v>
      </c>
      <c r="I261">
        <f>SUMIFS(MP2016_Long!$C:$C,MP2016_Long!$A:$A,D261,MP2016_Long!$B:$B,"&gt;=2014",MP2016_Long!$B:$B,"&lt;"&amp;E261)</f>
        <v>0.18239999999999998</v>
      </c>
      <c r="J261">
        <f t="shared" si="37"/>
        <v>8.1367582483703668E-2</v>
      </c>
      <c r="K261">
        <f t="shared" si="38"/>
        <v>8.4869217579992703E-2</v>
      </c>
      <c r="L261">
        <f>EXP(-K261/Inputs!$B$6)</f>
        <v>0.99295251601300916</v>
      </c>
      <c r="M261">
        <f t="shared" ref="M261:M324" si="44">M260*L261</f>
        <v>0.4956093139092993</v>
      </c>
      <c r="N261">
        <f>IFERROR(INDEX(MonthlyCurve!$I:$I,MATCH(A261,MonthlyCurve!$A:$A,0)),"")</f>
        <v>4.9942800000000002E-2</v>
      </c>
      <c r="O261">
        <f>IFERROR(INDEX(MonthlyCurve!$J:$J,MATCH(A261,MonthlyCurve!$A:$A,0)),"")</f>
        <v>0.34171774147702993</v>
      </c>
      <c r="P261">
        <f t="shared" si="39"/>
        <v>4130.0776159108282</v>
      </c>
      <c r="Q261">
        <f t="shared" si="40"/>
        <v>12.390232847732483</v>
      </c>
      <c r="R261">
        <f t="shared" si="41"/>
        <v>4142.4678487585606</v>
      </c>
      <c r="S261">
        <f t="shared" si="42"/>
        <v>1411.3207950338845</v>
      </c>
      <c r="T261">
        <f t="shared" si="43"/>
        <v>4.2339623851016528</v>
      </c>
      <c r="U261">
        <f>SUMPRODUCT(R262:R543,O262:O543)/(M261*O261)</f>
        <v>511685.22799444868</v>
      </c>
    </row>
    <row r="262" spans="1:21" x14ac:dyDescent="0.35">
      <c r="A262">
        <v>259</v>
      </c>
      <c r="B262">
        <f>A262/Inputs!$B$6</f>
        <v>21.583333333333332</v>
      </c>
      <c r="C262">
        <f>Inputs!$B$3+B262</f>
        <v>86.583333333333329</v>
      </c>
      <c r="D262">
        <f t="shared" si="36"/>
        <v>86</v>
      </c>
      <c r="E262">
        <f>Inputs!$B$7+1+INT((A262-1)/Inputs!$B$6)</f>
        <v>2047</v>
      </c>
      <c r="F262">
        <f>Inputs!$B$16</f>
        <v>8333.3333333333339</v>
      </c>
      <c r="G262">
        <f>Inputs!$B$12</f>
        <v>25</v>
      </c>
      <c r="H262">
        <f>IFERROR(INDEX(RP2014_Qx!$B:$B,MATCH(D262,RP2014_Qx!$A:$A,0)),"")</f>
        <v>6.7801E-2</v>
      </c>
      <c r="I262">
        <f>SUMIFS(MP2016_Long!$C:$C,MP2016_Long!$A:$A,D262,MP2016_Long!$B:$B,"&gt;=2014",MP2016_Long!$B:$B,"&lt;"&amp;E262)</f>
        <v>0.18239999999999998</v>
      </c>
      <c r="J262">
        <f t="shared" si="37"/>
        <v>8.1367582483703668E-2</v>
      </c>
      <c r="K262">
        <f t="shared" si="38"/>
        <v>8.4869217579992703E-2</v>
      </c>
      <c r="L262">
        <f>EXP(-K262/Inputs!$B$6)</f>
        <v>0.99295251601300916</v>
      </c>
      <c r="M262">
        <f t="shared" si="44"/>
        <v>0.49211651520571997</v>
      </c>
      <c r="N262">
        <f>IFERROR(INDEX(MonthlyCurve!$I:$I,MATCH(A262,MonthlyCurve!$A:$A,0)),"")</f>
        <v>4.993562E-2</v>
      </c>
      <c r="O262">
        <f>IFERROR(INDEX(MonthlyCurve!$J:$J,MATCH(A262,MonthlyCurve!$A:$A,0)),"")</f>
        <v>0.34035124140217488</v>
      </c>
      <c r="P262">
        <f t="shared" si="39"/>
        <v>4100.9709600476672</v>
      </c>
      <c r="Q262">
        <f t="shared" si="40"/>
        <v>12.302912880142999</v>
      </c>
      <c r="R262">
        <f t="shared" si="41"/>
        <v>4113.2738729278099</v>
      </c>
      <c r="S262">
        <f t="shared" si="42"/>
        <v>1395.7705572064924</v>
      </c>
      <c r="T262">
        <f t="shared" si="43"/>
        <v>4.1873116716194767</v>
      </c>
      <c r="U262">
        <f>SUMPRODUCT(R263:R543,O263:O543)/(M262*O262)</f>
        <v>509027.56440729601</v>
      </c>
    </row>
    <row r="263" spans="1:21" x14ac:dyDescent="0.35">
      <c r="A263">
        <v>260</v>
      </c>
      <c r="B263">
        <f>A263/Inputs!$B$6</f>
        <v>21.666666666666668</v>
      </c>
      <c r="C263">
        <f>Inputs!$B$3+B263</f>
        <v>86.666666666666671</v>
      </c>
      <c r="D263">
        <f t="shared" si="36"/>
        <v>86</v>
      </c>
      <c r="E263">
        <f>Inputs!$B$7+1+INT((A263-1)/Inputs!$B$6)</f>
        <v>2047</v>
      </c>
      <c r="F263">
        <f>Inputs!$B$16</f>
        <v>8333.3333333333339</v>
      </c>
      <c r="G263">
        <f>Inputs!$B$12</f>
        <v>25</v>
      </c>
      <c r="H263">
        <f>IFERROR(INDEX(RP2014_Qx!$B:$B,MATCH(D263,RP2014_Qx!$A:$A,0)),"")</f>
        <v>6.7801E-2</v>
      </c>
      <c r="I263">
        <f>SUMIFS(MP2016_Long!$C:$C,MP2016_Long!$A:$A,D263,MP2016_Long!$B:$B,"&gt;=2014",MP2016_Long!$B:$B,"&lt;"&amp;E263)</f>
        <v>0.18239999999999998</v>
      </c>
      <c r="J263">
        <f t="shared" si="37"/>
        <v>8.1367582483703668E-2</v>
      </c>
      <c r="K263">
        <f t="shared" si="38"/>
        <v>8.4869217579992703E-2</v>
      </c>
      <c r="L263">
        <f>EXP(-K263/Inputs!$B$6)</f>
        <v>0.99295251601300916</v>
      </c>
      <c r="M263">
        <f t="shared" si="44"/>
        <v>0.4886483319450739</v>
      </c>
      <c r="N263">
        <f>IFERROR(INDEX(MonthlyCurve!$I:$I,MATCH(A263,MonthlyCurve!$A:$A,0)),"")</f>
        <v>4.9928440000000004E-2</v>
      </c>
      <c r="O263">
        <f>IFERROR(INDEX(MonthlyCurve!$J:$J,MATCH(A263,MonthlyCurve!$A:$A,0)),"")</f>
        <v>0.33899061150297988</v>
      </c>
      <c r="P263">
        <f t="shared" si="39"/>
        <v>4072.0694328756163</v>
      </c>
      <c r="Q263">
        <f t="shared" si="40"/>
        <v>12.216208298626848</v>
      </c>
      <c r="R263">
        <f t="shared" si="41"/>
        <v>4084.2856411742432</v>
      </c>
      <c r="S263">
        <f t="shared" si="42"/>
        <v>1380.3933071330976</v>
      </c>
      <c r="T263">
        <f t="shared" si="43"/>
        <v>4.1411799213992921</v>
      </c>
      <c r="U263">
        <f>SUMPRODUCT(R264:R543,O264:O543)/(M263*O263)</f>
        <v>506339.6759476767</v>
      </c>
    </row>
    <row r="264" spans="1:21" x14ac:dyDescent="0.35">
      <c r="A264">
        <v>261</v>
      </c>
      <c r="B264">
        <f>A264/Inputs!$B$6</f>
        <v>21.75</v>
      </c>
      <c r="C264">
        <f>Inputs!$B$3+B264</f>
        <v>86.75</v>
      </c>
      <c r="D264">
        <f t="shared" si="36"/>
        <v>86</v>
      </c>
      <c r="E264">
        <f>Inputs!$B$7+1+INT((A264-1)/Inputs!$B$6)</f>
        <v>2047</v>
      </c>
      <c r="F264">
        <f>Inputs!$B$16</f>
        <v>8333.3333333333339</v>
      </c>
      <c r="G264">
        <f>Inputs!$B$12</f>
        <v>25</v>
      </c>
      <c r="H264">
        <f>IFERROR(INDEX(RP2014_Qx!$B:$B,MATCH(D264,RP2014_Qx!$A:$A,0)),"")</f>
        <v>6.7801E-2</v>
      </c>
      <c r="I264">
        <f>SUMIFS(MP2016_Long!$C:$C,MP2016_Long!$A:$A,D264,MP2016_Long!$B:$B,"&gt;=2014",MP2016_Long!$B:$B,"&lt;"&amp;E264)</f>
        <v>0.18239999999999998</v>
      </c>
      <c r="J264">
        <f t="shared" si="37"/>
        <v>8.1367582483703668E-2</v>
      </c>
      <c r="K264">
        <f t="shared" si="38"/>
        <v>8.4869217579992703E-2</v>
      </c>
      <c r="L264">
        <f>EXP(-K264/Inputs!$B$6)</f>
        <v>0.99295251601300916</v>
      </c>
      <c r="M264">
        <f t="shared" si="44"/>
        <v>0.48520459065042121</v>
      </c>
      <c r="N264">
        <f>IFERROR(INDEX(MonthlyCurve!$I:$I,MATCH(A264,MonthlyCurve!$A:$A,0)),"")</f>
        <v>4.9921260000000002E-2</v>
      </c>
      <c r="O264">
        <f>IFERROR(INDEX(MonthlyCurve!$J:$J,MATCH(A264,MonthlyCurve!$A:$A,0)),"")</f>
        <v>0.33763582506217671</v>
      </c>
      <c r="P264">
        <f t="shared" si="39"/>
        <v>4043.3715887535104</v>
      </c>
      <c r="Q264">
        <f t="shared" si="40"/>
        <v>12.13011476626053</v>
      </c>
      <c r="R264">
        <f t="shared" si="41"/>
        <v>4055.5017035197711</v>
      </c>
      <c r="S264">
        <f t="shared" si="42"/>
        <v>1365.1871024017557</v>
      </c>
      <c r="T264">
        <f t="shared" si="43"/>
        <v>4.0955613072052666</v>
      </c>
      <c r="U264">
        <f>SUMPRODUCT(R265:R543,O265:O543)/(M264*O264)</f>
        <v>503621.23238660686</v>
      </c>
    </row>
    <row r="265" spans="1:21" x14ac:dyDescent="0.35">
      <c r="A265">
        <v>262</v>
      </c>
      <c r="B265">
        <f>A265/Inputs!$B$6</f>
        <v>21.833333333333332</v>
      </c>
      <c r="C265">
        <f>Inputs!$B$3+B265</f>
        <v>86.833333333333329</v>
      </c>
      <c r="D265">
        <f t="shared" si="36"/>
        <v>86</v>
      </c>
      <c r="E265">
        <f>Inputs!$B$7+1+INT((A265-1)/Inputs!$B$6)</f>
        <v>2047</v>
      </c>
      <c r="F265">
        <f>Inputs!$B$16</f>
        <v>8333.3333333333339</v>
      </c>
      <c r="G265">
        <f>Inputs!$B$12</f>
        <v>25</v>
      </c>
      <c r="H265">
        <f>IFERROR(INDEX(RP2014_Qx!$B:$B,MATCH(D265,RP2014_Qx!$A:$A,0)),"")</f>
        <v>6.7801E-2</v>
      </c>
      <c r="I265">
        <f>SUMIFS(MP2016_Long!$C:$C,MP2016_Long!$A:$A,D265,MP2016_Long!$B:$B,"&gt;=2014",MP2016_Long!$B:$B,"&lt;"&amp;E265)</f>
        <v>0.18239999999999998</v>
      </c>
      <c r="J265">
        <f t="shared" si="37"/>
        <v>8.1367582483703668E-2</v>
      </c>
      <c r="K265">
        <f t="shared" si="38"/>
        <v>8.4869217579992703E-2</v>
      </c>
      <c r="L265">
        <f>EXP(-K265/Inputs!$B$6)</f>
        <v>0.99295251601300916</v>
      </c>
      <c r="M265">
        <f t="shared" si="44"/>
        <v>0.4817851190673979</v>
      </c>
      <c r="N265">
        <f>IFERROR(INDEX(MonthlyCurve!$I:$I,MATCH(A265,MonthlyCurve!$A:$A,0)),"")</f>
        <v>4.991408E-2</v>
      </c>
      <c r="O265">
        <f>IFERROR(INDEX(MonthlyCurve!$J:$J,MATCH(A265,MonthlyCurve!$A:$A,0)),"")</f>
        <v>0.3362868554902253</v>
      </c>
      <c r="P265">
        <f t="shared" si="39"/>
        <v>4014.8759922283161</v>
      </c>
      <c r="Q265">
        <f t="shared" si="40"/>
        <v>12.044627976684948</v>
      </c>
      <c r="R265">
        <f t="shared" si="41"/>
        <v>4026.9206202050009</v>
      </c>
      <c r="S265">
        <f t="shared" si="42"/>
        <v>1350.1500226096587</v>
      </c>
      <c r="T265">
        <f t="shared" si="43"/>
        <v>4.0504500678289759</v>
      </c>
      <c r="U265">
        <f>SUMPRODUCT(R266:R543,O266:O543)/(M265*O265)</f>
        <v>500871.89992693503</v>
      </c>
    </row>
    <row r="266" spans="1:21" x14ac:dyDescent="0.35">
      <c r="A266">
        <v>263</v>
      </c>
      <c r="B266">
        <f>A266/Inputs!$B$6</f>
        <v>21.916666666666668</v>
      </c>
      <c r="C266">
        <f>Inputs!$B$3+B266</f>
        <v>86.916666666666671</v>
      </c>
      <c r="D266">
        <f t="shared" si="36"/>
        <v>86</v>
      </c>
      <c r="E266">
        <f>Inputs!$B$7+1+INT((A266-1)/Inputs!$B$6)</f>
        <v>2047</v>
      </c>
      <c r="F266">
        <f>Inputs!$B$16</f>
        <v>8333.3333333333339</v>
      </c>
      <c r="G266">
        <f>Inputs!$B$12</f>
        <v>25</v>
      </c>
      <c r="H266">
        <f>IFERROR(INDEX(RP2014_Qx!$B:$B,MATCH(D266,RP2014_Qx!$A:$A,0)),"")</f>
        <v>6.7801E-2</v>
      </c>
      <c r="I266">
        <f>SUMIFS(MP2016_Long!$C:$C,MP2016_Long!$A:$A,D266,MP2016_Long!$B:$B,"&gt;=2014",MP2016_Long!$B:$B,"&lt;"&amp;E266)</f>
        <v>0.18239999999999998</v>
      </c>
      <c r="J266">
        <f t="shared" si="37"/>
        <v>8.1367582483703668E-2</v>
      </c>
      <c r="K266">
        <f t="shared" si="38"/>
        <v>8.4869217579992703E-2</v>
      </c>
      <c r="L266">
        <f>EXP(-K266/Inputs!$B$6)</f>
        <v>0.99295251601300916</v>
      </c>
      <c r="M266">
        <f t="shared" si="44"/>
        <v>0.47838974615559993</v>
      </c>
      <c r="N266">
        <f>IFERROR(INDEX(MonthlyCurve!$I:$I,MATCH(A266,MonthlyCurve!$A:$A,0)),"")</f>
        <v>4.9906900000000004E-2</v>
      </c>
      <c r="O266">
        <f>IFERROR(INDEX(MonthlyCurve!$J:$J,MATCH(A266,MonthlyCurve!$A:$A,0)),"")</f>
        <v>0.33494367632467636</v>
      </c>
      <c r="P266">
        <f t="shared" si="39"/>
        <v>3986.5812179633331</v>
      </c>
      <c r="Q266">
        <f t="shared" si="40"/>
        <v>11.959743653889998</v>
      </c>
      <c r="R266">
        <f t="shared" si="41"/>
        <v>3998.5409616172233</v>
      </c>
      <c r="S266">
        <f t="shared" si="42"/>
        <v>1335.2801691115446</v>
      </c>
      <c r="T266">
        <f t="shared" si="43"/>
        <v>4.0058405073346339</v>
      </c>
      <c r="U266">
        <f>SUMPRODUCT(R267:R543,O267:O543)/(M266*O266)</f>
        <v>498091.34116520424</v>
      </c>
    </row>
    <row r="267" spans="1:21" x14ac:dyDescent="0.35">
      <c r="A267">
        <v>264</v>
      </c>
      <c r="B267">
        <f>A267/Inputs!$B$6</f>
        <v>22</v>
      </c>
      <c r="C267">
        <f>Inputs!$B$3+B267</f>
        <v>87</v>
      </c>
      <c r="D267">
        <f t="shared" si="36"/>
        <v>87</v>
      </c>
      <c r="E267">
        <f>Inputs!$B$7+1+INT((A267-1)/Inputs!$B$6)</f>
        <v>2047</v>
      </c>
      <c r="F267">
        <f>Inputs!$B$16</f>
        <v>8333.3333333333339</v>
      </c>
      <c r="G267">
        <f>Inputs!$B$12</f>
        <v>25</v>
      </c>
      <c r="H267">
        <f>IFERROR(INDEX(RP2014_Qx!$B:$B,MATCH(D267,RP2014_Qx!$A:$A,0)),"")</f>
        <v>7.6011999999999996E-2</v>
      </c>
      <c r="I267">
        <f>SUMIFS(MP2016_Long!$C:$C,MP2016_Long!$A:$A,D267,MP2016_Long!$B:$B,"&gt;=2014",MP2016_Long!$B:$B,"&lt;"&amp;E267)</f>
        <v>0.17859999999999998</v>
      </c>
      <c r="J267">
        <f t="shared" si="37"/>
        <v>9.0875571306151565E-2</v>
      </c>
      <c r="K267">
        <f t="shared" si="38"/>
        <v>9.5273308920830926E-2</v>
      </c>
      <c r="L267">
        <f>EXP(-K267/Inputs!$B$6)</f>
        <v>0.99209199171799478</v>
      </c>
      <c r="M267">
        <f t="shared" si="44"/>
        <v>0.47460663608097509</v>
      </c>
      <c r="N267">
        <f>IFERROR(INDEX(MonthlyCurve!$I:$I,MATCH(A267,MonthlyCurve!$A:$A,0)),"")</f>
        <v>4.9899720000000002E-2</v>
      </c>
      <c r="O267">
        <f>IFERROR(INDEX(MonthlyCurve!$J:$J,MATCH(A267,MonthlyCurve!$A:$A,0)),"")</f>
        <v>0.3336062612295379</v>
      </c>
      <c r="P267">
        <f t="shared" si="39"/>
        <v>3955.0553006747928</v>
      </c>
      <c r="Q267">
        <f t="shared" si="40"/>
        <v>11.865165902024376</v>
      </c>
      <c r="R267">
        <f t="shared" si="41"/>
        <v>3966.920466576817</v>
      </c>
      <c r="S267">
        <f t="shared" si="42"/>
        <v>1319.4312118141836</v>
      </c>
      <c r="T267">
        <f t="shared" si="43"/>
        <v>3.95829363544255</v>
      </c>
      <c r="U267">
        <f>SUMPRODUCT(R268:R543,O268:O543)/(M267*O267)</f>
        <v>495716.061988562</v>
      </c>
    </row>
    <row r="268" spans="1:21" x14ac:dyDescent="0.35">
      <c r="A268">
        <v>265</v>
      </c>
      <c r="B268">
        <f>A268/Inputs!$B$6</f>
        <v>22.083333333333332</v>
      </c>
      <c r="C268">
        <f>Inputs!$B$3+B268</f>
        <v>87.083333333333329</v>
      </c>
      <c r="D268">
        <f t="shared" si="36"/>
        <v>87</v>
      </c>
      <c r="E268">
        <f>Inputs!$B$7+1+INT((A268-1)/Inputs!$B$6)</f>
        <v>2048</v>
      </c>
      <c r="F268">
        <f>Inputs!$B$16</f>
        <v>8333.3333333333339</v>
      </c>
      <c r="G268">
        <f>Inputs!$B$12</f>
        <v>25</v>
      </c>
      <c r="H268">
        <f>IFERROR(INDEX(RP2014_Qx!$B:$B,MATCH(D268,RP2014_Qx!$A:$A,0)),"")</f>
        <v>7.6011999999999996E-2</v>
      </c>
      <c r="I268">
        <f>SUMIFS(MP2016_Long!$C:$C,MP2016_Long!$A:$A,D268,MP2016_Long!$B:$B,"&gt;=2014",MP2016_Long!$B:$B,"&lt;"&amp;E268)</f>
        <v>0.17859999999999998</v>
      </c>
      <c r="J268">
        <f t="shared" si="37"/>
        <v>9.0875571306151565E-2</v>
      </c>
      <c r="K268">
        <f t="shared" si="38"/>
        <v>9.5273308920830926E-2</v>
      </c>
      <c r="L268">
        <f>EXP(-K268/Inputs!$B$6)</f>
        <v>0.99209199171799478</v>
      </c>
      <c r="M268">
        <f t="shared" si="44"/>
        <v>0.47085344287215208</v>
      </c>
      <c r="N268">
        <f>IFERROR(INDEX(MonthlyCurve!$I:$I,MATCH(A268,MonthlyCurve!$A:$A,0)),"")</f>
        <v>4.9892933333333334E-2</v>
      </c>
      <c r="O268">
        <f>IFERROR(INDEX(MonthlyCurve!$J:$J,MATCH(A268,MonthlyCurve!$A:$A,0)),"")</f>
        <v>0.33227169783322202</v>
      </c>
      <c r="P268">
        <f t="shared" si="39"/>
        <v>3923.7786906012675</v>
      </c>
      <c r="Q268">
        <f t="shared" si="40"/>
        <v>11.771336071803802</v>
      </c>
      <c r="R268">
        <f t="shared" si="41"/>
        <v>3935.5500266730714</v>
      </c>
      <c r="S268">
        <f t="shared" si="42"/>
        <v>1303.7606074478999</v>
      </c>
      <c r="T268">
        <f t="shared" si="43"/>
        <v>3.9112818223436996</v>
      </c>
      <c r="U268">
        <f>SUMPRODUCT(R269:R543,O269:O543)/(M268*O268)</f>
        <v>493316.00829725654</v>
      </c>
    </row>
    <row r="269" spans="1:21" x14ac:dyDescent="0.35">
      <c r="A269">
        <v>266</v>
      </c>
      <c r="B269">
        <f>A269/Inputs!$B$6</f>
        <v>22.166666666666668</v>
      </c>
      <c r="C269">
        <f>Inputs!$B$3+B269</f>
        <v>87.166666666666671</v>
      </c>
      <c r="D269">
        <f t="shared" si="36"/>
        <v>87</v>
      </c>
      <c r="E269">
        <f>Inputs!$B$7+1+INT((A269-1)/Inputs!$B$6)</f>
        <v>2048</v>
      </c>
      <c r="F269">
        <f>Inputs!$B$16</f>
        <v>8333.3333333333339</v>
      </c>
      <c r="G269">
        <f>Inputs!$B$12</f>
        <v>25</v>
      </c>
      <c r="H269">
        <f>IFERROR(INDEX(RP2014_Qx!$B:$B,MATCH(D269,RP2014_Qx!$A:$A,0)),"")</f>
        <v>7.6011999999999996E-2</v>
      </c>
      <c r="I269">
        <f>SUMIFS(MP2016_Long!$C:$C,MP2016_Long!$A:$A,D269,MP2016_Long!$B:$B,"&gt;=2014",MP2016_Long!$B:$B,"&lt;"&amp;E269)</f>
        <v>0.17859999999999998</v>
      </c>
      <c r="J269">
        <f t="shared" si="37"/>
        <v>9.0875571306151565E-2</v>
      </c>
      <c r="K269">
        <f t="shared" si="38"/>
        <v>9.5273308920830926E-2</v>
      </c>
      <c r="L269">
        <f>EXP(-K269/Inputs!$B$6)</f>
        <v>0.99209199171799478</v>
      </c>
      <c r="M269">
        <f t="shared" si="44"/>
        <v>0.46712992994630842</v>
      </c>
      <c r="N269">
        <f>IFERROR(INDEX(MonthlyCurve!$I:$I,MATCH(A269,MonthlyCurve!$A:$A,0)),"")</f>
        <v>4.9886146666666666E-2</v>
      </c>
      <c r="O269">
        <f>IFERROR(INDEX(MonthlyCurve!$J:$J,MATCH(A269,MonthlyCurve!$A:$A,0)),"")</f>
        <v>0.33094284757687464</v>
      </c>
      <c r="P269">
        <f t="shared" si="39"/>
        <v>3892.749416219237</v>
      </c>
      <c r="Q269">
        <f t="shared" si="40"/>
        <v>11.678248248657711</v>
      </c>
      <c r="R269">
        <f t="shared" si="41"/>
        <v>3904.4276644678948</v>
      </c>
      <c r="S269">
        <f t="shared" si="42"/>
        <v>1288.2775767068108</v>
      </c>
      <c r="T269">
        <f t="shared" si="43"/>
        <v>3.8648327301204324</v>
      </c>
      <c r="U269">
        <f>SUMPRODUCT(R270:R543,O270:O543)/(M269*O269)</f>
        <v>490886.54235992552</v>
      </c>
    </row>
    <row r="270" spans="1:21" x14ac:dyDescent="0.35">
      <c r="A270">
        <v>267</v>
      </c>
      <c r="B270">
        <f>A270/Inputs!$B$6</f>
        <v>22.25</v>
      </c>
      <c r="C270">
        <f>Inputs!$B$3+B270</f>
        <v>87.25</v>
      </c>
      <c r="D270">
        <f t="shared" si="36"/>
        <v>87</v>
      </c>
      <c r="E270">
        <f>Inputs!$B$7+1+INT((A270-1)/Inputs!$B$6)</f>
        <v>2048</v>
      </c>
      <c r="F270">
        <f>Inputs!$B$16</f>
        <v>8333.3333333333339</v>
      </c>
      <c r="G270">
        <f>Inputs!$B$12</f>
        <v>25</v>
      </c>
      <c r="H270">
        <f>IFERROR(INDEX(RP2014_Qx!$B:$B,MATCH(D270,RP2014_Qx!$A:$A,0)),"")</f>
        <v>7.6011999999999996E-2</v>
      </c>
      <c r="I270">
        <f>SUMIFS(MP2016_Long!$C:$C,MP2016_Long!$A:$A,D270,MP2016_Long!$B:$B,"&gt;=2014",MP2016_Long!$B:$B,"&lt;"&amp;E270)</f>
        <v>0.17859999999999998</v>
      </c>
      <c r="J270">
        <f t="shared" si="37"/>
        <v>9.0875571306151565E-2</v>
      </c>
      <c r="K270">
        <f t="shared" si="38"/>
        <v>9.5273308920830926E-2</v>
      </c>
      <c r="L270">
        <f>EXP(-K270/Inputs!$B$6)</f>
        <v>0.99209199171799478</v>
      </c>
      <c r="M270">
        <f t="shared" si="44"/>
        <v>0.46343586259152048</v>
      </c>
      <c r="N270">
        <f>IFERROR(INDEX(MonthlyCurve!$I:$I,MATCH(A270,MonthlyCurve!$A:$A,0)),"")</f>
        <v>4.9879359999999998E-2</v>
      </c>
      <c r="O270">
        <f>IFERROR(INDEX(MonthlyCurve!$J:$J,MATCH(A270,MonthlyCurve!$A:$A,0)),"")</f>
        <v>0.32961968461185798</v>
      </c>
      <c r="P270">
        <f t="shared" si="39"/>
        <v>3861.9655215960042</v>
      </c>
      <c r="Q270">
        <f t="shared" si="40"/>
        <v>11.585896564788012</v>
      </c>
      <c r="R270">
        <f t="shared" si="41"/>
        <v>3873.5514181607923</v>
      </c>
      <c r="S270">
        <f t="shared" si="42"/>
        <v>1272.9798572103446</v>
      </c>
      <c r="T270">
        <f t="shared" si="43"/>
        <v>3.818939571631033</v>
      </c>
      <c r="U270">
        <f>SUMPRODUCT(R271:R543,O271:O543)/(M270*O270)</f>
        <v>488427.3162175488</v>
      </c>
    </row>
    <row r="271" spans="1:21" x14ac:dyDescent="0.35">
      <c r="A271">
        <v>268</v>
      </c>
      <c r="B271">
        <f>A271/Inputs!$B$6</f>
        <v>22.333333333333332</v>
      </c>
      <c r="C271">
        <f>Inputs!$B$3+B271</f>
        <v>87.333333333333329</v>
      </c>
      <c r="D271">
        <f t="shared" si="36"/>
        <v>87</v>
      </c>
      <c r="E271">
        <f>Inputs!$B$7+1+INT((A271-1)/Inputs!$B$6)</f>
        <v>2048</v>
      </c>
      <c r="F271">
        <f>Inputs!$B$16</f>
        <v>8333.3333333333339</v>
      </c>
      <c r="G271">
        <f>Inputs!$B$12</f>
        <v>25</v>
      </c>
      <c r="H271">
        <f>IFERROR(INDEX(RP2014_Qx!$B:$B,MATCH(D271,RP2014_Qx!$A:$A,0)),"")</f>
        <v>7.6011999999999996E-2</v>
      </c>
      <c r="I271">
        <f>SUMIFS(MP2016_Long!$C:$C,MP2016_Long!$A:$A,D271,MP2016_Long!$B:$B,"&gt;=2014",MP2016_Long!$B:$B,"&lt;"&amp;E271)</f>
        <v>0.17859999999999998</v>
      </c>
      <c r="J271">
        <f t="shared" si="37"/>
        <v>9.0875571306151565E-2</v>
      </c>
      <c r="K271">
        <f t="shared" si="38"/>
        <v>9.5273308920830926E-2</v>
      </c>
      <c r="L271">
        <f>EXP(-K271/Inputs!$B$6)</f>
        <v>0.99209199171799478</v>
      </c>
      <c r="M271">
        <f t="shared" si="44"/>
        <v>0.45977100795196851</v>
      </c>
      <c r="N271">
        <f>IFERROR(INDEX(MonthlyCurve!$I:$I,MATCH(A271,MonthlyCurve!$A:$A,0)),"")</f>
        <v>4.9872573333333337E-2</v>
      </c>
      <c r="O271">
        <f>IFERROR(INDEX(MonthlyCurve!$J:$J,MATCH(A271,MonthlyCurve!$A:$A,0)),"")</f>
        <v>0.32830218321215604</v>
      </c>
      <c r="P271">
        <f t="shared" si="39"/>
        <v>3831.4250662664044</v>
      </c>
      <c r="Q271">
        <f t="shared" si="40"/>
        <v>11.494275198799214</v>
      </c>
      <c r="R271">
        <f t="shared" si="41"/>
        <v>3842.9193414652036</v>
      </c>
      <c r="S271">
        <f t="shared" si="42"/>
        <v>1257.8652140690401</v>
      </c>
      <c r="T271">
        <f t="shared" si="43"/>
        <v>3.7735956422071206</v>
      </c>
      <c r="U271">
        <f>SUMPRODUCT(R272:R543,O272:O543)/(M271*O271)</f>
        <v>485937.9778309887</v>
      </c>
    </row>
    <row r="272" spans="1:21" x14ac:dyDescent="0.35">
      <c r="A272">
        <v>269</v>
      </c>
      <c r="B272">
        <f>A272/Inputs!$B$6</f>
        <v>22.416666666666668</v>
      </c>
      <c r="C272">
        <f>Inputs!$B$3+B272</f>
        <v>87.416666666666671</v>
      </c>
      <c r="D272">
        <f t="shared" si="36"/>
        <v>87</v>
      </c>
      <c r="E272">
        <f>Inputs!$B$7+1+INT((A272-1)/Inputs!$B$6)</f>
        <v>2048</v>
      </c>
      <c r="F272">
        <f>Inputs!$B$16</f>
        <v>8333.3333333333339</v>
      </c>
      <c r="G272">
        <f>Inputs!$B$12</f>
        <v>25</v>
      </c>
      <c r="H272">
        <f>IFERROR(INDEX(RP2014_Qx!$B:$B,MATCH(D272,RP2014_Qx!$A:$A,0)),"")</f>
        <v>7.6011999999999996E-2</v>
      </c>
      <c r="I272">
        <f>SUMIFS(MP2016_Long!$C:$C,MP2016_Long!$A:$A,D272,MP2016_Long!$B:$B,"&gt;=2014",MP2016_Long!$B:$B,"&lt;"&amp;E272)</f>
        <v>0.17859999999999998</v>
      </c>
      <c r="J272">
        <f t="shared" si="37"/>
        <v>9.0875571306151565E-2</v>
      </c>
      <c r="K272">
        <f t="shared" si="38"/>
        <v>9.5273308920830926E-2</v>
      </c>
      <c r="L272">
        <f>EXP(-K272/Inputs!$B$6)</f>
        <v>0.99209199171799478</v>
      </c>
      <c r="M272">
        <f t="shared" si="44"/>
        <v>0.45613513501325847</v>
      </c>
      <c r="N272">
        <f>IFERROR(INDEX(MonthlyCurve!$I:$I,MATCH(A272,MonthlyCurve!$A:$A,0)),"")</f>
        <v>4.9865786666666669E-2</v>
      </c>
      <c r="O272">
        <f>IFERROR(INDEX(MonthlyCurve!$J:$J,MATCH(A272,MonthlyCurve!$A:$A,0)),"")</f>
        <v>0.32699031777376819</v>
      </c>
      <c r="P272">
        <f t="shared" si="39"/>
        <v>3801.1261251104875</v>
      </c>
      <c r="Q272">
        <f t="shared" si="40"/>
        <v>11.403378375331462</v>
      </c>
      <c r="R272">
        <f t="shared" si="41"/>
        <v>3812.5295034858191</v>
      </c>
      <c r="S272">
        <f t="shared" si="42"/>
        <v>1242.9314395480505</v>
      </c>
      <c r="T272">
        <f t="shared" si="43"/>
        <v>3.7287943186441512</v>
      </c>
      <c r="U272">
        <f>SUMPRODUCT(R273:R543,O273:O543)/(M272*O272)</f>
        <v>483418.17103356181</v>
      </c>
    </row>
    <row r="273" spans="1:21" x14ac:dyDescent="0.35">
      <c r="A273">
        <v>270</v>
      </c>
      <c r="B273">
        <f>A273/Inputs!$B$6</f>
        <v>22.5</v>
      </c>
      <c r="C273">
        <f>Inputs!$B$3+B273</f>
        <v>87.5</v>
      </c>
      <c r="D273">
        <f t="shared" si="36"/>
        <v>87</v>
      </c>
      <c r="E273">
        <f>Inputs!$B$7+1+INT((A273-1)/Inputs!$B$6)</f>
        <v>2048</v>
      </c>
      <c r="F273">
        <f>Inputs!$B$16</f>
        <v>8333.3333333333339</v>
      </c>
      <c r="G273">
        <f>Inputs!$B$12</f>
        <v>25</v>
      </c>
      <c r="H273">
        <f>IFERROR(INDEX(RP2014_Qx!$B:$B,MATCH(D273,RP2014_Qx!$A:$A,0)),"")</f>
        <v>7.6011999999999996E-2</v>
      </c>
      <c r="I273">
        <f>SUMIFS(MP2016_Long!$C:$C,MP2016_Long!$A:$A,D273,MP2016_Long!$B:$B,"&gt;=2014",MP2016_Long!$B:$B,"&lt;"&amp;E273)</f>
        <v>0.17859999999999998</v>
      </c>
      <c r="J273">
        <f t="shared" si="37"/>
        <v>9.0875571306151565E-2</v>
      </c>
      <c r="K273">
        <f t="shared" si="38"/>
        <v>9.5273308920830926E-2</v>
      </c>
      <c r="L273">
        <f>EXP(-K273/Inputs!$B$6)</f>
        <v>0.99209199171799478</v>
      </c>
      <c r="M273">
        <f t="shared" si="44"/>
        <v>0.45252801458786007</v>
      </c>
      <c r="N273">
        <f>IFERROR(INDEX(MonthlyCurve!$I:$I,MATCH(A273,MonthlyCurve!$A:$A,0)),"")</f>
        <v>4.9859000000000001E-2</v>
      </c>
      <c r="O273">
        <f>IFERROR(INDEX(MonthlyCurve!$J:$J,MATCH(A273,MonthlyCurve!$A:$A,0)),"")</f>
        <v>0.32568406281410622</v>
      </c>
      <c r="P273">
        <f t="shared" si="39"/>
        <v>3771.0667882321677</v>
      </c>
      <c r="Q273">
        <f t="shared" si="40"/>
        <v>11.313200364696502</v>
      </c>
      <c r="R273">
        <f t="shared" si="41"/>
        <v>3782.3799885968642</v>
      </c>
      <c r="S273">
        <f t="shared" si="42"/>
        <v>1228.176352734795</v>
      </c>
      <c r="T273">
        <f t="shared" si="43"/>
        <v>3.6845290582043853</v>
      </c>
      <c r="U273">
        <f>SUMPRODUCT(R274:R543,O274:O543)/(M273*O273)</f>
        <v>480867.53548306122</v>
      </c>
    </row>
    <row r="274" spans="1:21" x14ac:dyDescent="0.35">
      <c r="A274">
        <v>271</v>
      </c>
      <c r="B274">
        <f>A274/Inputs!$B$6</f>
        <v>22.583333333333332</v>
      </c>
      <c r="C274">
        <f>Inputs!$B$3+B274</f>
        <v>87.583333333333329</v>
      </c>
      <c r="D274">
        <f t="shared" si="36"/>
        <v>87</v>
      </c>
      <c r="E274">
        <f>Inputs!$B$7+1+INT((A274-1)/Inputs!$B$6)</f>
        <v>2048</v>
      </c>
      <c r="F274">
        <f>Inputs!$B$16</f>
        <v>8333.3333333333339</v>
      </c>
      <c r="G274">
        <f>Inputs!$B$12</f>
        <v>25</v>
      </c>
      <c r="H274">
        <f>IFERROR(INDEX(RP2014_Qx!$B:$B,MATCH(D274,RP2014_Qx!$A:$A,0)),"")</f>
        <v>7.6011999999999996E-2</v>
      </c>
      <c r="I274">
        <f>SUMIFS(MP2016_Long!$C:$C,MP2016_Long!$A:$A,D274,MP2016_Long!$B:$B,"&gt;=2014",MP2016_Long!$B:$B,"&lt;"&amp;E274)</f>
        <v>0.17859999999999998</v>
      </c>
      <c r="J274">
        <f t="shared" si="37"/>
        <v>9.0875571306151565E-2</v>
      </c>
      <c r="K274">
        <f t="shared" si="38"/>
        <v>9.5273308920830926E-2</v>
      </c>
      <c r="L274">
        <f>EXP(-K274/Inputs!$B$6)</f>
        <v>0.99209199171799478</v>
      </c>
      <c r="M274">
        <f t="shared" si="44"/>
        <v>0.4489494193006599</v>
      </c>
      <c r="N274">
        <f>IFERROR(INDEX(MonthlyCurve!$I:$I,MATCH(A274,MonthlyCurve!$A:$A,0)),"")</f>
        <v>4.9852580000000001E-2</v>
      </c>
      <c r="O274">
        <f>IFERROR(INDEX(MonthlyCurve!$J:$J,MATCH(A274,MonthlyCurve!$A:$A,0)),"")</f>
        <v>0.32438070690780785</v>
      </c>
      <c r="P274">
        <f t="shared" si="39"/>
        <v>3741.2451608388328</v>
      </c>
      <c r="Q274">
        <f t="shared" si="40"/>
        <v>11.223735482516497</v>
      </c>
      <c r="R274">
        <f t="shared" si="41"/>
        <v>3752.4688963213493</v>
      </c>
      <c r="S274">
        <f t="shared" si="42"/>
        <v>1213.5877499883159</v>
      </c>
      <c r="T274">
        <f t="shared" si="43"/>
        <v>3.6407632499649472</v>
      </c>
      <c r="U274">
        <f>SUMPRODUCT(R275:R543,O275:O543)/(M274*O274)</f>
        <v>478289.73631292151</v>
      </c>
    </row>
    <row r="275" spans="1:21" x14ac:dyDescent="0.35">
      <c r="A275">
        <v>272</v>
      </c>
      <c r="B275">
        <f>A275/Inputs!$B$6</f>
        <v>22.666666666666668</v>
      </c>
      <c r="C275">
        <f>Inputs!$B$3+B275</f>
        <v>87.666666666666671</v>
      </c>
      <c r="D275">
        <f t="shared" si="36"/>
        <v>87</v>
      </c>
      <c r="E275">
        <f>Inputs!$B$7+1+INT((A275-1)/Inputs!$B$6)</f>
        <v>2048</v>
      </c>
      <c r="F275">
        <f>Inputs!$B$16</f>
        <v>8333.3333333333339</v>
      </c>
      <c r="G275">
        <f>Inputs!$B$12</f>
        <v>25</v>
      </c>
      <c r="H275">
        <f>IFERROR(INDEX(RP2014_Qx!$B:$B,MATCH(D275,RP2014_Qx!$A:$A,0)),"")</f>
        <v>7.6011999999999996E-2</v>
      </c>
      <c r="I275">
        <f>SUMIFS(MP2016_Long!$C:$C,MP2016_Long!$A:$A,D275,MP2016_Long!$B:$B,"&gt;=2014",MP2016_Long!$B:$B,"&lt;"&amp;E275)</f>
        <v>0.17859999999999998</v>
      </c>
      <c r="J275">
        <f t="shared" si="37"/>
        <v>9.0875571306151565E-2</v>
      </c>
      <c r="K275">
        <f t="shared" si="38"/>
        <v>9.5273308920830926E-2</v>
      </c>
      <c r="L275">
        <f>EXP(-K275/Inputs!$B$6)</f>
        <v>0.99209199171799478</v>
      </c>
      <c r="M275">
        <f t="shared" si="44"/>
        <v>0.44539912357462885</v>
      </c>
      <c r="N275">
        <f>IFERROR(INDEX(MonthlyCurve!$I:$I,MATCH(A275,MonthlyCurve!$A:$A,0)),"")</f>
        <v>4.984616E-2</v>
      </c>
      <c r="O275">
        <f>IFERROR(INDEX(MonthlyCurve!$J:$J,MATCH(A275,MonthlyCurve!$A:$A,0)),"")</f>
        <v>0.32308291260346539</v>
      </c>
      <c r="P275">
        <f t="shared" si="39"/>
        <v>3711.6593631219075</v>
      </c>
      <c r="Q275">
        <f t="shared" si="40"/>
        <v>11.13497808936572</v>
      </c>
      <c r="R275">
        <f t="shared" si="41"/>
        <v>3722.7943412112731</v>
      </c>
      <c r="S275">
        <f t="shared" si="42"/>
        <v>1199.1737176293493</v>
      </c>
      <c r="T275">
        <f t="shared" si="43"/>
        <v>3.5975211528880471</v>
      </c>
      <c r="U275">
        <f>SUMPRODUCT(R276:R543,O276:O543)/(M275*O275)</f>
        <v>475680.43136040115</v>
      </c>
    </row>
    <row r="276" spans="1:21" x14ac:dyDescent="0.35">
      <c r="A276">
        <v>273</v>
      </c>
      <c r="B276">
        <f>A276/Inputs!$B$6</f>
        <v>22.75</v>
      </c>
      <c r="C276">
        <f>Inputs!$B$3+B276</f>
        <v>87.75</v>
      </c>
      <c r="D276">
        <f t="shared" si="36"/>
        <v>87</v>
      </c>
      <c r="E276">
        <f>Inputs!$B$7+1+INT((A276-1)/Inputs!$B$6)</f>
        <v>2048</v>
      </c>
      <c r="F276">
        <f>Inputs!$B$16</f>
        <v>8333.3333333333339</v>
      </c>
      <c r="G276">
        <f>Inputs!$B$12</f>
        <v>25</v>
      </c>
      <c r="H276">
        <f>IFERROR(INDEX(RP2014_Qx!$B:$B,MATCH(D276,RP2014_Qx!$A:$A,0)),"")</f>
        <v>7.6011999999999996E-2</v>
      </c>
      <c r="I276">
        <f>SUMIFS(MP2016_Long!$C:$C,MP2016_Long!$A:$A,D276,MP2016_Long!$B:$B,"&gt;=2014",MP2016_Long!$B:$B,"&lt;"&amp;E276)</f>
        <v>0.17859999999999998</v>
      </c>
      <c r="J276">
        <f t="shared" si="37"/>
        <v>9.0875571306151565E-2</v>
      </c>
      <c r="K276">
        <f t="shared" si="38"/>
        <v>9.5273308920830926E-2</v>
      </c>
      <c r="L276">
        <f>EXP(-K276/Inputs!$B$6)</f>
        <v>0.99209199171799478</v>
      </c>
      <c r="M276">
        <f t="shared" si="44"/>
        <v>0.44187690361660281</v>
      </c>
      <c r="N276">
        <f>IFERROR(INDEX(MonthlyCurve!$I:$I,MATCH(A276,MonthlyCurve!$A:$A,0)),"")</f>
        <v>4.983974E-2</v>
      </c>
      <c r="O276">
        <f>IFERROR(INDEX(MonthlyCurve!$J:$J,MATCH(A276,MonthlyCurve!$A:$A,0)),"")</f>
        <v>0.32179065487829078</v>
      </c>
      <c r="P276">
        <f t="shared" si="39"/>
        <v>3682.3075301383569</v>
      </c>
      <c r="Q276">
        <f t="shared" si="40"/>
        <v>11.04692259041507</v>
      </c>
      <c r="R276">
        <f t="shared" si="41"/>
        <v>3693.3544527287718</v>
      </c>
      <c r="S276">
        <f t="shared" si="42"/>
        <v>1184.9321515864833</v>
      </c>
      <c r="T276">
        <f t="shared" si="43"/>
        <v>3.5547964547594497</v>
      </c>
      <c r="U276">
        <f>SUMPRODUCT(R277:R543,O277:O543)/(M276*O276)</f>
        <v>473039.2475444033</v>
      </c>
    </row>
    <row r="277" spans="1:21" x14ac:dyDescent="0.35">
      <c r="A277">
        <v>274</v>
      </c>
      <c r="B277">
        <f>A277/Inputs!$B$6</f>
        <v>22.833333333333332</v>
      </c>
      <c r="C277">
        <f>Inputs!$B$3+B277</f>
        <v>87.833333333333329</v>
      </c>
      <c r="D277">
        <f t="shared" si="36"/>
        <v>87</v>
      </c>
      <c r="E277">
        <f>Inputs!$B$7+1+INT((A277-1)/Inputs!$B$6)</f>
        <v>2048</v>
      </c>
      <c r="F277">
        <f>Inputs!$B$16</f>
        <v>8333.3333333333339</v>
      </c>
      <c r="G277">
        <f>Inputs!$B$12</f>
        <v>25</v>
      </c>
      <c r="H277">
        <f>IFERROR(INDEX(RP2014_Qx!$B:$B,MATCH(D277,RP2014_Qx!$A:$A,0)),"")</f>
        <v>7.6011999999999996E-2</v>
      </c>
      <c r="I277">
        <f>SUMIFS(MP2016_Long!$C:$C,MP2016_Long!$A:$A,D277,MP2016_Long!$B:$B,"&gt;=2014",MP2016_Long!$B:$B,"&lt;"&amp;E277)</f>
        <v>0.17859999999999998</v>
      </c>
      <c r="J277">
        <f t="shared" si="37"/>
        <v>9.0875571306151565E-2</v>
      </c>
      <c r="K277">
        <f t="shared" si="38"/>
        <v>9.5273308920830926E-2</v>
      </c>
      <c r="L277">
        <f>EXP(-K277/Inputs!$B$6)</f>
        <v>0.99209199171799478</v>
      </c>
      <c r="M277">
        <f t="shared" si="44"/>
        <v>0.4383825374031759</v>
      </c>
      <c r="N277">
        <f>IFERROR(INDEX(MonthlyCurve!$I:$I,MATCH(A277,MonthlyCurve!$A:$A,0)),"")</f>
        <v>4.983332E-2</v>
      </c>
      <c r="O277">
        <f>IFERROR(INDEX(MonthlyCurve!$J:$J,MATCH(A277,MonthlyCurve!$A:$A,0)),"")</f>
        <v>0.32050390882733187</v>
      </c>
      <c r="P277">
        <f t="shared" si="39"/>
        <v>3653.187811693133</v>
      </c>
      <c r="Q277">
        <f t="shared" si="40"/>
        <v>10.959563435079398</v>
      </c>
      <c r="R277">
        <f t="shared" si="41"/>
        <v>3664.1473751282124</v>
      </c>
      <c r="S277">
        <f t="shared" si="42"/>
        <v>1170.8609733280159</v>
      </c>
      <c r="T277">
        <f t="shared" si="43"/>
        <v>3.5125829199840473</v>
      </c>
      <c r="U277">
        <f>SUMPRODUCT(R278:R543,O278:O543)/(M277*O277)</f>
        <v>470365.80740255566</v>
      </c>
    </row>
    <row r="278" spans="1:21" x14ac:dyDescent="0.35">
      <c r="A278">
        <v>275</v>
      </c>
      <c r="B278">
        <f>A278/Inputs!$B$6</f>
        <v>22.916666666666668</v>
      </c>
      <c r="C278">
        <f>Inputs!$B$3+B278</f>
        <v>87.916666666666671</v>
      </c>
      <c r="D278">
        <f t="shared" si="36"/>
        <v>87</v>
      </c>
      <c r="E278">
        <f>Inputs!$B$7+1+INT((A278-1)/Inputs!$B$6)</f>
        <v>2048</v>
      </c>
      <c r="F278">
        <f>Inputs!$B$16</f>
        <v>8333.3333333333339</v>
      </c>
      <c r="G278">
        <f>Inputs!$B$12</f>
        <v>25</v>
      </c>
      <c r="H278">
        <f>IFERROR(INDEX(RP2014_Qx!$B:$B,MATCH(D278,RP2014_Qx!$A:$A,0)),"")</f>
        <v>7.6011999999999996E-2</v>
      </c>
      <c r="I278">
        <f>SUMIFS(MP2016_Long!$C:$C,MP2016_Long!$A:$A,D278,MP2016_Long!$B:$B,"&gt;=2014",MP2016_Long!$B:$B,"&lt;"&amp;E278)</f>
        <v>0.17859999999999998</v>
      </c>
      <c r="J278">
        <f t="shared" si="37"/>
        <v>9.0875571306151565E-2</v>
      </c>
      <c r="K278">
        <f t="shared" si="38"/>
        <v>9.5273308920830926E-2</v>
      </c>
      <c r="L278">
        <f>EXP(-K278/Inputs!$B$6)</f>
        <v>0.99209199171799478</v>
      </c>
      <c r="M278">
        <f t="shared" si="44"/>
        <v>0.4349158046667051</v>
      </c>
      <c r="N278">
        <f>IFERROR(INDEX(MonthlyCurve!$I:$I,MATCH(A278,MonthlyCurve!$A:$A,0)),"")</f>
        <v>4.98269E-2</v>
      </c>
      <c r="O278">
        <f>IFERROR(INDEX(MonthlyCurve!$J:$J,MATCH(A278,MonthlyCurve!$A:$A,0)),"")</f>
        <v>0.31922264966289421</v>
      </c>
      <c r="P278">
        <f t="shared" si="39"/>
        <v>3624.2983722225426</v>
      </c>
      <c r="Q278">
        <f t="shared" si="40"/>
        <v>10.872895116667628</v>
      </c>
      <c r="R278">
        <f t="shared" si="41"/>
        <v>3635.1712673392103</v>
      </c>
      <c r="S278">
        <f t="shared" si="42"/>
        <v>1156.9581295497944</v>
      </c>
      <c r="T278">
        <f t="shared" si="43"/>
        <v>3.4708743886493836</v>
      </c>
      <c r="U278">
        <f>SUMPRODUCT(R279:R543,O279:O543)/(M278*O278)</f>
        <v>467659.72904017824</v>
      </c>
    </row>
    <row r="279" spans="1:21" x14ac:dyDescent="0.35">
      <c r="A279">
        <v>276</v>
      </c>
      <c r="B279">
        <f>A279/Inputs!$B$6</f>
        <v>23</v>
      </c>
      <c r="C279">
        <f>Inputs!$B$3+B279</f>
        <v>88</v>
      </c>
      <c r="D279">
        <f t="shared" si="36"/>
        <v>88</v>
      </c>
      <c r="E279">
        <f>Inputs!$B$7+1+INT((A279-1)/Inputs!$B$6)</f>
        <v>2048</v>
      </c>
      <c r="F279">
        <f>Inputs!$B$16</f>
        <v>8333.3333333333339</v>
      </c>
      <c r="G279">
        <f>Inputs!$B$12</f>
        <v>25</v>
      </c>
      <c r="H279">
        <f>IFERROR(INDEX(RP2014_Qx!$B:$B,MATCH(D279,RP2014_Qx!$A:$A,0)),"")</f>
        <v>8.523E-2</v>
      </c>
      <c r="I279">
        <f>SUMIFS(MP2016_Long!$C:$C,MP2016_Long!$A:$A,D279,MP2016_Long!$B:$B,"&gt;=2014",MP2016_Long!$B:$B,"&lt;"&amp;E279)</f>
        <v>0.17520000000000002</v>
      </c>
      <c r="J279">
        <f t="shared" si="37"/>
        <v>0.10155022305561334</v>
      </c>
      <c r="K279">
        <f t="shared" si="38"/>
        <v>0.10708447087684672</v>
      </c>
      <c r="L279">
        <f>EXP(-K279/Inputs!$B$6)</f>
        <v>0.99111599218469093</v>
      </c>
      <c r="M279">
        <f t="shared" si="44"/>
        <v>0.43105200925904463</v>
      </c>
      <c r="N279">
        <f>IFERROR(INDEX(MonthlyCurve!$I:$I,MATCH(A279,MonthlyCurve!$A:$A,0)),"")</f>
        <v>4.982048E-2</v>
      </c>
      <c r="O279">
        <f>IFERROR(INDEX(MonthlyCurve!$J:$J,MATCH(A279,MonthlyCurve!$A:$A,0)),"")</f>
        <v>0.31794685271396667</v>
      </c>
      <c r="P279">
        <f t="shared" si="39"/>
        <v>3592.1000771587055</v>
      </c>
      <c r="Q279">
        <f t="shared" si="40"/>
        <v>10.776300231476116</v>
      </c>
      <c r="R279">
        <f t="shared" si="41"/>
        <v>3602.8763773901815</v>
      </c>
      <c r="S279">
        <f t="shared" si="42"/>
        <v>1142.0969141662072</v>
      </c>
      <c r="T279">
        <f t="shared" si="43"/>
        <v>3.4262907424986215</v>
      </c>
      <c r="U279">
        <f>SUMPRODUCT(R280:R543,O280:O543)/(M279*O279)</f>
        <v>465386.6866075474</v>
      </c>
    </row>
    <row r="280" spans="1:21" x14ac:dyDescent="0.35">
      <c r="A280">
        <v>277</v>
      </c>
      <c r="B280">
        <f>A280/Inputs!$B$6</f>
        <v>23.083333333333332</v>
      </c>
      <c r="C280">
        <f>Inputs!$B$3+B280</f>
        <v>88.083333333333329</v>
      </c>
      <c r="D280">
        <f t="shared" si="36"/>
        <v>88</v>
      </c>
      <c r="E280">
        <f>Inputs!$B$7+1+INT((A280-1)/Inputs!$B$6)</f>
        <v>2049</v>
      </c>
      <c r="F280">
        <f>Inputs!$B$16</f>
        <v>8333.3333333333339</v>
      </c>
      <c r="G280">
        <f>Inputs!$B$12</f>
        <v>25</v>
      </c>
      <c r="H280">
        <f>IFERROR(INDEX(RP2014_Qx!$B:$B,MATCH(D280,RP2014_Qx!$A:$A,0)),"")</f>
        <v>8.523E-2</v>
      </c>
      <c r="I280">
        <f>SUMIFS(MP2016_Long!$C:$C,MP2016_Long!$A:$A,D280,MP2016_Long!$B:$B,"&gt;=2014",MP2016_Long!$B:$B,"&lt;"&amp;E280)</f>
        <v>0.17520000000000002</v>
      </c>
      <c r="J280">
        <f t="shared" si="37"/>
        <v>0.10155022305561334</v>
      </c>
      <c r="K280">
        <f t="shared" si="38"/>
        <v>0.10708447087684672</v>
      </c>
      <c r="L280">
        <f>EXP(-K280/Inputs!$B$6)</f>
        <v>0.99111599218469093</v>
      </c>
      <c r="M280">
        <f t="shared" si="44"/>
        <v>0.4272225398399826</v>
      </c>
      <c r="N280">
        <f>IFERROR(INDEX(MonthlyCurve!$I:$I,MATCH(A280,MonthlyCurve!$A:$A,0)),"")</f>
        <v>4.9814404999999999E-2</v>
      </c>
      <c r="O280">
        <f>IFERROR(INDEX(MonthlyCurve!$J:$J,MATCH(A280,MonthlyCurve!$A:$A,0)),"")</f>
        <v>0.31667397150326704</v>
      </c>
      <c r="P280">
        <f t="shared" si="39"/>
        <v>3560.187831999855</v>
      </c>
      <c r="Q280">
        <f t="shared" si="40"/>
        <v>10.680563495999564</v>
      </c>
      <c r="R280">
        <f t="shared" si="41"/>
        <v>3570.8683954958547</v>
      </c>
      <c r="S280">
        <f t="shared" si="42"/>
        <v>1127.4188200570002</v>
      </c>
      <c r="T280">
        <f t="shared" si="43"/>
        <v>3.3822564601710003</v>
      </c>
      <c r="U280">
        <f>SUMPRODUCT(R281:R543,O281:O543)/(M280*O280)</f>
        <v>463087.31686580315</v>
      </c>
    </row>
    <row r="281" spans="1:21" x14ac:dyDescent="0.35">
      <c r="A281">
        <v>278</v>
      </c>
      <c r="B281">
        <f>A281/Inputs!$B$6</f>
        <v>23.166666666666668</v>
      </c>
      <c r="C281">
        <f>Inputs!$B$3+B281</f>
        <v>88.166666666666671</v>
      </c>
      <c r="D281">
        <f t="shared" si="36"/>
        <v>88</v>
      </c>
      <c r="E281">
        <f>Inputs!$B$7+1+INT((A281-1)/Inputs!$B$6)</f>
        <v>2049</v>
      </c>
      <c r="F281">
        <f>Inputs!$B$16</f>
        <v>8333.3333333333339</v>
      </c>
      <c r="G281">
        <f>Inputs!$B$12</f>
        <v>25</v>
      </c>
      <c r="H281">
        <f>IFERROR(INDEX(RP2014_Qx!$B:$B,MATCH(D281,RP2014_Qx!$A:$A,0)),"")</f>
        <v>8.523E-2</v>
      </c>
      <c r="I281">
        <f>SUMIFS(MP2016_Long!$C:$C,MP2016_Long!$A:$A,D281,MP2016_Long!$B:$B,"&gt;=2014",MP2016_Long!$B:$B,"&lt;"&amp;E281)</f>
        <v>0.17520000000000002</v>
      </c>
      <c r="J281">
        <f t="shared" si="37"/>
        <v>0.10155022305561334</v>
      </c>
      <c r="K281">
        <f t="shared" si="38"/>
        <v>0.10708447087684672</v>
      </c>
      <c r="L281">
        <f>EXP(-K281/Inputs!$B$6)</f>
        <v>0.99111599218469093</v>
      </c>
      <c r="M281">
        <f t="shared" si="44"/>
        <v>0.423427091457168</v>
      </c>
      <c r="N281">
        <f>IFERROR(INDEX(MonthlyCurve!$I:$I,MATCH(A281,MonthlyCurve!$A:$A,0)),"")</f>
        <v>4.9808329999999998E-2</v>
      </c>
      <c r="O281">
        <f>IFERROR(INDEX(MonthlyCurve!$J:$J,MATCH(A281,MonthlyCurve!$A:$A,0)),"")</f>
        <v>0.31540650554529748</v>
      </c>
      <c r="P281">
        <f t="shared" si="39"/>
        <v>3528.5590954764002</v>
      </c>
      <c r="Q281">
        <f t="shared" si="40"/>
        <v>10.585677286429201</v>
      </c>
      <c r="R281">
        <f t="shared" si="41"/>
        <v>3539.1447727628292</v>
      </c>
      <c r="S281">
        <f t="shared" si="42"/>
        <v>1112.9304939142871</v>
      </c>
      <c r="T281">
        <f t="shared" si="43"/>
        <v>3.3387914817428612</v>
      </c>
      <c r="U281">
        <f>SUMPRODUCT(R282:R543,O282:O543)/(M281*O281)</f>
        <v>460757.53618332598</v>
      </c>
    </row>
    <row r="282" spans="1:21" x14ac:dyDescent="0.35">
      <c r="A282">
        <v>279</v>
      </c>
      <c r="B282">
        <f>A282/Inputs!$B$6</f>
        <v>23.25</v>
      </c>
      <c r="C282">
        <f>Inputs!$B$3+B282</f>
        <v>88.25</v>
      </c>
      <c r="D282">
        <f t="shared" si="36"/>
        <v>88</v>
      </c>
      <c r="E282">
        <f>Inputs!$B$7+1+INT((A282-1)/Inputs!$B$6)</f>
        <v>2049</v>
      </c>
      <c r="F282">
        <f>Inputs!$B$16</f>
        <v>8333.3333333333339</v>
      </c>
      <c r="G282">
        <f>Inputs!$B$12</f>
        <v>25</v>
      </c>
      <c r="H282">
        <f>IFERROR(INDEX(RP2014_Qx!$B:$B,MATCH(D282,RP2014_Qx!$A:$A,0)),"")</f>
        <v>8.523E-2</v>
      </c>
      <c r="I282">
        <f>SUMIFS(MP2016_Long!$C:$C,MP2016_Long!$A:$A,D282,MP2016_Long!$B:$B,"&gt;=2014",MP2016_Long!$B:$B,"&lt;"&amp;E282)</f>
        <v>0.17520000000000002</v>
      </c>
      <c r="J282">
        <f t="shared" si="37"/>
        <v>0.10155022305561334</v>
      </c>
      <c r="K282">
        <f t="shared" si="38"/>
        <v>0.10708447087684672</v>
      </c>
      <c r="L282">
        <f>EXP(-K282/Inputs!$B$6)</f>
        <v>0.99111599218469093</v>
      </c>
      <c r="M282">
        <f t="shared" si="44"/>
        <v>0.41966536186744896</v>
      </c>
      <c r="N282">
        <f>IFERROR(INDEX(MonthlyCurve!$I:$I,MATCH(A282,MonthlyCurve!$A:$A,0)),"")</f>
        <v>4.9802255000000004E-2</v>
      </c>
      <c r="O282">
        <f>IFERROR(INDEX(MonthlyCurve!$J:$J,MATCH(A282,MonthlyCurve!$A:$A,0)),"")</f>
        <v>0.31414443060439523</v>
      </c>
      <c r="P282">
        <f t="shared" si="39"/>
        <v>3497.2113488954083</v>
      </c>
      <c r="Q282">
        <f t="shared" si="40"/>
        <v>10.491634046686224</v>
      </c>
      <c r="R282">
        <f t="shared" si="41"/>
        <v>3507.7029829420944</v>
      </c>
      <c r="S282">
        <f t="shared" si="42"/>
        <v>1098.629467901977</v>
      </c>
      <c r="T282">
        <f t="shared" si="43"/>
        <v>3.2958884037059311</v>
      </c>
      <c r="U282">
        <f>SUMPRODUCT(R283:R543,O283:O543)/(M282*O282)</f>
        <v>458396.95341361902</v>
      </c>
    </row>
    <row r="283" spans="1:21" x14ac:dyDescent="0.35">
      <c r="A283">
        <v>280</v>
      </c>
      <c r="B283">
        <f>A283/Inputs!$B$6</f>
        <v>23.333333333333332</v>
      </c>
      <c r="C283">
        <f>Inputs!$B$3+B283</f>
        <v>88.333333333333329</v>
      </c>
      <c r="D283">
        <f t="shared" si="36"/>
        <v>88</v>
      </c>
      <c r="E283">
        <f>Inputs!$B$7+1+INT((A283-1)/Inputs!$B$6)</f>
        <v>2049</v>
      </c>
      <c r="F283">
        <f>Inputs!$B$16</f>
        <v>8333.3333333333339</v>
      </c>
      <c r="G283">
        <f>Inputs!$B$12</f>
        <v>25</v>
      </c>
      <c r="H283">
        <f>IFERROR(INDEX(RP2014_Qx!$B:$B,MATCH(D283,RP2014_Qx!$A:$A,0)),"")</f>
        <v>8.523E-2</v>
      </c>
      <c r="I283">
        <f>SUMIFS(MP2016_Long!$C:$C,MP2016_Long!$A:$A,D283,MP2016_Long!$B:$B,"&gt;=2014",MP2016_Long!$B:$B,"&lt;"&amp;E283)</f>
        <v>0.17520000000000002</v>
      </c>
      <c r="J283">
        <f t="shared" si="37"/>
        <v>0.10155022305561334</v>
      </c>
      <c r="K283">
        <f t="shared" si="38"/>
        <v>0.10708447087684672</v>
      </c>
      <c r="L283">
        <f>EXP(-K283/Inputs!$B$6)</f>
        <v>0.99111599218469093</v>
      </c>
      <c r="M283">
        <f t="shared" si="44"/>
        <v>0.41593705151280402</v>
      </c>
      <c r="N283">
        <f>IFERROR(INDEX(MonthlyCurve!$I:$I,MATCH(A283,MonthlyCurve!$A:$A,0)),"")</f>
        <v>4.9796180000000002E-2</v>
      </c>
      <c r="O283">
        <f>IFERROR(INDEX(MonthlyCurve!$J:$J,MATCH(A283,MonthlyCurve!$A:$A,0)),"")</f>
        <v>0.31288772255822928</v>
      </c>
      <c r="P283">
        <f t="shared" si="39"/>
        <v>3466.1420959400339</v>
      </c>
      <c r="Q283">
        <f t="shared" si="40"/>
        <v>10.398426287820101</v>
      </c>
      <c r="R283">
        <f t="shared" si="41"/>
        <v>3476.5405222278541</v>
      </c>
      <c r="S283">
        <f t="shared" si="42"/>
        <v>1084.5133064618847</v>
      </c>
      <c r="T283">
        <f t="shared" si="43"/>
        <v>3.2535399193856538</v>
      </c>
      <c r="U283">
        <f>SUMPRODUCT(R284:R543,O284:O543)/(M283*O283)</f>
        <v>456005.1724125421</v>
      </c>
    </row>
    <row r="284" spans="1:21" x14ac:dyDescent="0.35">
      <c r="A284">
        <v>281</v>
      </c>
      <c r="B284">
        <f>A284/Inputs!$B$6</f>
        <v>23.416666666666668</v>
      </c>
      <c r="C284">
        <f>Inputs!$B$3+B284</f>
        <v>88.416666666666671</v>
      </c>
      <c r="D284">
        <f t="shared" si="36"/>
        <v>88</v>
      </c>
      <c r="E284">
        <f>Inputs!$B$7+1+INT((A284-1)/Inputs!$B$6)</f>
        <v>2049</v>
      </c>
      <c r="F284">
        <f>Inputs!$B$16</f>
        <v>8333.3333333333339</v>
      </c>
      <c r="G284">
        <f>Inputs!$B$12</f>
        <v>25</v>
      </c>
      <c r="H284">
        <f>IFERROR(INDEX(RP2014_Qx!$B:$B,MATCH(D284,RP2014_Qx!$A:$A,0)),"")</f>
        <v>8.523E-2</v>
      </c>
      <c r="I284">
        <f>SUMIFS(MP2016_Long!$C:$C,MP2016_Long!$A:$A,D284,MP2016_Long!$B:$B,"&gt;=2014",MP2016_Long!$B:$B,"&lt;"&amp;E284)</f>
        <v>0.17520000000000002</v>
      </c>
      <c r="J284">
        <f t="shared" si="37"/>
        <v>0.10155022305561334</v>
      </c>
      <c r="K284">
        <f t="shared" si="38"/>
        <v>0.10708447087684672</v>
      </c>
      <c r="L284">
        <f>EXP(-K284/Inputs!$B$6)</f>
        <v>0.99111599218469093</v>
      </c>
      <c r="M284">
        <f t="shared" si="44"/>
        <v>0.41224186349648767</v>
      </c>
      <c r="N284">
        <f>IFERROR(INDEX(MonthlyCurve!$I:$I,MATCH(A284,MonthlyCurve!$A:$A,0)),"")</f>
        <v>4.9790105000000001E-2</v>
      </c>
      <c r="O284">
        <f>IFERROR(INDEX(MonthlyCurve!$J:$J,MATCH(A284,MonthlyCurve!$A:$A,0)),"")</f>
        <v>0.31163635739724904</v>
      </c>
      <c r="P284">
        <f t="shared" si="39"/>
        <v>3435.3488624707306</v>
      </c>
      <c r="Q284">
        <f t="shared" si="40"/>
        <v>10.306046587412192</v>
      </c>
      <c r="R284">
        <f t="shared" si="41"/>
        <v>3445.6549090581429</v>
      </c>
      <c r="S284">
        <f t="shared" si="42"/>
        <v>1070.5796058891615</v>
      </c>
      <c r="T284">
        <f t="shared" si="43"/>
        <v>3.2117388176674848</v>
      </c>
      <c r="U284">
        <f>SUMPRODUCT(R285:R543,O285:O543)/(M284*O284)</f>
        <v>453581.79197487148</v>
      </c>
    </row>
    <row r="285" spans="1:21" x14ac:dyDescent="0.35">
      <c r="A285">
        <v>282</v>
      </c>
      <c r="B285">
        <f>A285/Inputs!$B$6</f>
        <v>23.5</v>
      </c>
      <c r="C285">
        <f>Inputs!$B$3+B285</f>
        <v>88.5</v>
      </c>
      <c r="D285">
        <f t="shared" si="36"/>
        <v>88</v>
      </c>
      <c r="E285">
        <f>Inputs!$B$7+1+INT((A285-1)/Inputs!$B$6)</f>
        <v>2049</v>
      </c>
      <c r="F285">
        <f>Inputs!$B$16</f>
        <v>8333.3333333333339</v>
      </c>
      <c r="G285">
        <f>Inputs!$B$12</f>
        <v>25</v>
      </c>
      <c r="H285">
        <f>IFERROR(INDEX(RP2014_Qx!$B:$B,MATCH(D285,RP2014_Qx!$A:$A,0)),"")</f>
        <v>8.523E-2</v>
      </c>
      <c r="I285">
        <f>SUMIFS(MP2016_Long!$C:$C,MP2016_Long!$A:$A,D285,MP2016_Long!$B:$B,"&gt;=2014",MP2016_Long!$B:$B,"&lt;"&amp;E285)</f>
        <v>0.17520000000000002</v>
      </c>
      <c r="J285">
        <f t="shared" si="37"/>
        <v>0.10155022305561334</v>
      </c>
      <c r="K285">
        <f t="shared" si="38"/>
        <v>0.10708447087684672</v>
      </c>
      <c r="L285">
        <f>EXP(-K285/Inputs!$B$6)</f>
        <v>0.99111599218469093</v>
      </c>
      <c r="M285">
        <f t="shared" si="44"/>
        <v>0.40857950355938732</v>
      </c>
      <c r="N285">
        <f>IFERROR(INDEX(MonthlyCurve!$I:$I,MATCH(A285,MonthlyCurve!$A:$A,0)),"")</f>
        <v>4.978403E-2</v>
      </c>
      <c r="O285">
        <f>IFERROR(INDEX(MonthlyCurve!$J:$J,MATCH(A285,MonthlyCurve!$A:$A,0)),"")</f>
        <v>0.31039031122413713</v>
      </c>
      <c r="P285">
        <f t="shared" si="39"/>
        <v>3404.8291963282281</v>
      </c>
      <c r="Q285">
        <f t="shared" si="40"/>
        <v>10.214487588984683</v>
      </c>
      <c r="R285">
        <f t="shared" si="41"/>
        <v>3415.043683917213</v>
      </c>
      <c r="S285">
        <f t="shared" si="42"/>
        <v>1056.8259939133475</v>
      </c>
      <c r="T285">
        <f t="shared" si="43"/>
        <v>3.1704779817400421</v>
      </c>
      <c r="U285">
        <f>SUMPRODUCT(R286:R543,O286:O543)/(M285*O285)</f>
        <v>451126.4057700588</v>
      </c>
    </row>
    <row r="286" spans="1:21" x14ac:dyDescent="0.35">
      <c r="A286">
        <v>283</v>
      </c>
      <c r="B286">
        <f>A286/Inputs!$B$6</f>
        <v>23.583333333333332</v>
      </c>
      <c r="C286">
        <f>Inputs!$B$3+B286</f>
        <v>88.583333333333329</v>
      </c>
      <c r="D286">
        <f t="shared" si="36"/>
        <v>88</v>
      </c>
      <c r="E286">
        <f>Inputs!$B$7+1+INT((A286-1)/Inputs!$B$6)</f>
        <v>2049</v>
      </c>
      <c r="F286">
        <f>Inputs!$B$16</f>
        <v>8333.3333333333339</v>
      </c>
      <c r="G286">
        <f>Inputs!$B$12</f>
        <v>25</v>
      </c>
      <c r="H286">
        <f>IFERROR(INDEX(RP2014_Qx!$B:$B,MATCH(D286,RP2014_Qx!$A:$A,0)),"")</f>
        <v>8.523E-2</v>
      </c>
      <c r="I286">
        <f>SUMIFS(MP2016_Long!$C:$C,MP2016_Long!$A:$A,D286,MP2016_Long!$B:$B,"&gt;=2014",MP2016_Long!$B:$B,"&lt;"&amp;E286)</f>
        <v>0.17520000000000002</v>
      </c>
      <c r="J286">
        <f t="shared" si="37"/>
        <v>0.10155022305561334</v>
      </c>
      <c r="K286">
        <f t="shared" si="38"/>
        <v>0.10708447087684672</v>
      </c>
      <c r="L286">
        <f>EXP(-K286/Inputs!$B$6)</f>
        <v>0.99111599218469093</v>
      </c>
      <c r="M286">
        <f t="shared" si="44"/>
        <v>0.40494968005659066</v>
      </c>
      <c r="N286">
        <f>IFERROR(INDEX(MonthlyCurve!$I:$I,MATCH(A286,MonthlyCurve!$A:$A,0)),"")</f>
        <v>4.9778280000000001E-2</v>
      </c>
      <c r="O286">
        <f>IFERROR(INDEX(MonthlyCurve!$J:$J,MATCH(A286,MonthlyCurve!$A:$A,0)),"")</f>
        <v>0.30914719075977631</v>
      </c>
      <c r="P286">
        <f t="shared" si="39"/>
        <v>3374.5806671382556</v>
      </c>
      <c r="Q286">
        <f t="shared" si="40"/>
        <v>10.123742001414767</v>
      </c>
      <c r="R286">
        <f t="shared" si="41"/>
        <v>3384.7044091396706</v>
      </c>
      <c r="S286">
        <f t="shared" si="42"/>
        <v>1043.2421332380436</v>
      </c>
      <c r="T286">
        <f t="shared" si="43"/>
        <v>3.1297263997141305</v>
      </c>
      <c r="U286">
        <f>SUMPRODUCT(R287:R543,O287:O543)/(M286*O286)</f>
        <v>448642.104981702</v>
      </c>
    </row>
    <row r="287" spans="1:21" x14ac:dyDescent="0.35">
      <c r="A287">
        <v>284</v>
      </c>
      <c r="B287">
        <f>A287/Inputs!$B$6</f>
        <v>23.666666666666668</v>
      </c>
      <c r="C287">
        <f>Inputs!$B$3+B287</f>
        <v>88.666666666666671</v>
      </c>
      <c r="D287">
        <f t="shared" si="36"/>
        <v>88</v>
      </c>
      <c r="E287">
        <f>Inputs!$B$7+1+INT((A287-1)/Inputs!$B$6)</f>
        <v>2049</v>
      </c>
      <c r="F287">
        <f>Inputs!$B$16</f>
        <v>8333.3333333333339</v>
      </c>
      <c r="G287">
        <f>Inputs!$B$12</f>
        <v>25</v>
      </c>
      <c r="H287">
        <f>IFERROR(INDEX(RP2014_Qx!$B:$B,MATCH(D287,RP2014_Qx!$A:$A,0)),"")</f>
        <v>8.523E-2</v>
      </c>
      <c r="I287">
        <f>SUMIFS(MP2016_Long!$C:$C,MP2016_Long!$A:$A,D287,MP2016_Long!$B:$B,"&gt;=2014",MP2016_Long!$B:$B,"&lt;"&amp;E287)</f>
        <v>0.17520000000000002</v>
      </c>
      <c r="J287">
        <f t="shared" si="37"/>
        <v>0.10155022305561334</v>
      </c>
      <c r="K287">
        <f t="shared" si="38"/>
        <v>0.10708447087684672</v>
      </c>
      <c r="L287">
        <f>EXP(-K287/Inputs!$B$6)</f>
        <v>0.99111599218469093</v>
      </c>
      <c r="M287">
        <f t="shared" si="44"/>
        <v>0.40135210393416099</v>
      </c>
      <c r="N287">
        <f>IFERROR(INDEX(MonthlyCurve!$I:$I,MATCH(A287,MonthlyCurve!$A:$A,0)),"")</f>
        <v>4.9772530000000002E-2</v>
      </c>
      <c r="O287">
        <f>IFERROR(INDEX(MonthlyCurve!$J:$J,MATCH(A287,MonthlyCurve!$A:$A,0)),"")</f>
        <v>0.30790934410163012</v>
      </c>
      <c r="P287">
        <f t="shared" si="39"/>
        <v>3344.6008661180085</v>
      </c>
      <c r="Q287">
        <f t="shared" si="40"/>
        <v>10.033802598354026</v>
      </c>
      <c r="R287">
        <f t="shared" si="41"/>
        <v>3354.6346687163627</v>
      </c>
      <c r="S287">
        <f t="shared" si="42"/>
        <v>1029.83385896814</v>
      </c>
      <c r="T287">
        <f t="shared" si="43"/>
        <v>3.0895015769044201</v>
      </c>
      <c r="U287">
        <f>SUMPRODUCT(R288:R543,O288:O543)/(M287*O287)</f>
        <v>446125.02103071945</v>
      </c>
    </row>
    <row r="288" spans="1:21" x14ac:dyDescent="0.35">
      <c r="A288">
        <v>285</v>
      </c>
      <c r="B288">
        <f>A288/Inputs!$B$6</f>
        <v>23.75</v>
      </c>
      <c r="C288">
        <f>Inputs!$B$3+B288</f>
        <v>88.75</v>
      </c>
      <c r="D288">
        <f t="shared" si="36"/>
        <v>88</v>
      </c>
      <c r="E288">
        <f>Inputs!$B$7+1+INT((A288-1)/Inputs!$B$6)</f>
        <v>2049</v>
      </c>
      <c r="F288">
        <f>Inputs!$B$16</f>
        <v>8333.3333333333339</v>
      </c>
      <c r="G288">
        <f>Inputs!$B$12</f>
        <v>25</v>
      </c>
      <c r="H288">
        <f>IFERROR(INDEX(RP2014_Qx!$B:$B,MATCH(D288,RP2014_Qx!$A:$A,0)),"")</f>
        <v>8.523E-2</v>
      </c>
      <c r="I288">
        <f>SUMIFS(MP2016_Long!$C:$C,MP2016_Long!$A:$A,D288,MP2016_Long!$B:$B,"&gt;=2014",MP2016_Long!$B:$B,"&lt;"&amp;E288)</f>
        <v>0.17520000000000002</v>
      </c>
      <c r="J288">
        <f t="shared" si="37"/>
        <v>0.10155022305561334</v>
      </c>
      <c r="K288">
        <f t="shared" si="38"/>
        <v>0.10708447087684672</v>
      </c>
      <c r="L288">
        <f>EXP(-K288/Inputs!$B$6)</f>
        <v>0.99111599218469093</v>
      </c>
      <c r="M288">
        <f t="shared" si="44"/>
        <v>0.39778648870611916</v>
      </c>
      <c r="N288">
        <f>IFERROR(INDEX(MonthlyCurve!$I:$I,MATCH(A288,MonthlyCurve!$A:$A,0)),"")</f>
        <v>4.9766779999999997E-2</v>
      </c>
      <c r="O288">
        <f>IFERROR(INDEX(MonthlyCurve!$J:$J,MATCH(A288,MonthlyCurve!$A:$A,0)),"")</f>
        <v>0.30667674776522441</v>
      </c>
      <c r="P288">
        <f t="shared" si="39"/>
        <v>3314.8874058843267</v>
      </c>
      <c r="Q288">
        <f t="shared" si="40"/>
        <v>9.9446622176529793</v>
      </c>
      <c r="R288">
        <f t="shared" si="41"/>
        <v>3324.8320681019795</v>
      </c>
      <c r="S288">
        <f t="shared" si="42"/>
        <v>1016.5988888445067</v>
      </c>
      <c r="T288">
        <f t="shared" si="43"/>
        <v>3.0497966665335201</v>
      </c>
      <c r="U288">
        <f>SUMPRODUCT(R289:R543,O289:O543)/(M288*O288)</f>
        <v>443574.7319413239</v>
      </c>
    </row>
    <row r="289" spans="1:21" x14ac:dyDescent="0.35">
      <c r="A289">
        <v>286</v>
      </c>
      <c r="B289">
        <f>A289/Inputs!$B$6</f>
        <v>23.833333333333332</v>
      </c>
      <c r="C289">
        <f>Inputs!$B$3+B289</f>
        <v>88.833333333333329</v>
      </c>
      <c r="D289">
        <f t="shared" si="36"/>
        <v>88</v>
      </c>
      <c r="E289">
        <f>Inputs!$B$7+1+INT((A289-1)/Inputs!$B$6)</f>
        <v>2049</v>
      </c>
      <c r="F289">
        <f>Inputs!$B$16</f>
        <v>8333.3333333333339</v>
      </c>
      <c r="G289">
        <f>Inputs!$B$12</f>
        <v>25</v>
      </c>
      <c r="H289">
        <f>IFERROR(INDEX(RP2014_Qx!$B:$B,MATCH(D289,RP2014_Qx!$A:$A,0)),"")</f>
        <v>8.523E-2</v>
      </c>
      <c r="I289">
        <f>SUMIFS(MP2016_Long!$C:$C,MP2016_Long!$A:$A,D289,MP2016_Long!$B:$B,"&gt;=2014",MP2016_Long!$B:$B,"&lt;"&amp;E289)</f>
        <v>0.17520000000000002</v>
      </c>
      <c r="J289">
        <f t="shared" si="37"/>
        <v>0.10155022305561334</v>
      </c>
      <c r="K289">
        <f t="shared" si="38"/>
        <v>0.10708447087684672</v>
      </c>
      <c r="L289">
        <f>EXP(-K289/Inputs!$B$6)</f>
        <v>0.99111599218469093</v>
      </c>
      <c r="M289">
        <f t="shared" si="44"/>
        <v>0.39425255043162966</v>
      </c>
      <c r="N289">
        <f>IFERROR(INDEX(MonthlyCurve!$I:$I,MATCH(A289,MonthlyCurve!$A:$A,0)),"")</f>
        <v>4.9761029999999998E-2</v>
      </c>
      <c r="O289">
        <f>IFERROR(INDEX(MonthlyCurve!$J:$J,MATCH(A289,MonthlyCurve!$A:$A,0)),"")</f>
        <v>0.30544937837517155</v>
      </c>
      <c r="P289">
        <f t="shared" si="39"/>
        <v>3285.4379202635805</v>
      </c>
      <c r="Q289">
        <f t="shared" si="40"/>
        <v>9.8563137607907407</v>
      </c>
      <c r="R289">
        <f t="shared" si="41"/>
        <v>3295.2942340243712</v>
      </c>
      <c r="S289">
        <f t="shared" si="42"/>
        <v>1003.5349704347271</v>
      </c>
      <c r="T289">
        <f t="shared" si="43"/>
        <v>3.0106049113041813</v>
      </c>
      <c r="U289">
        <f>SUMPRODUCT(R290:R543,O290:O543)/(M289*O289)</f>
        <v>440990.81033996138</v>
      </c>
    </row>
    <row r="290" spans="1:21" x14ac:dyDescent="0.35">
      <c r="A290">
        <v>287</v>
      </c>
      <c r="B290">
        <f>A290/Inputs!$B$6</f>
        <v>23.916666666666668</v>
      </c>
      <c r="C290">
        <f>Inputs!$B$3+B290</f>
        <v>88.916666666666671</v>
      </c>
      <c r="D290">
        <f t="shared" si="36"/>
        <v>88</v>
      </c>
      <c r="E290">
        <f>Inputs!$B$7+1+INT((A290-1)/Inputs!$B$6)</f>
        <v>2049</v>
      </c>
      <c r="F290">
        <f>Inputs!$B$16</f>
        <v>8333.3333333333339</v>
      </c>
      <c r="G290">
        <f>Inputs!$B$12</f>
        <v>25</v>
      </c>
      <c r="H290">
        <f>IFERROR(INDEX(RP2014_Qx!$B:$B,MATCH(D290,RP2014_Qx!$A:$A,0)),"")</f>
        <v>8.523E-2</v>
      </c>
      <c r="I290">
        <f>SUMIFS(MP2016_Long!$C:$C,MP2016_Long!$A:$A,D290,MP2016_Long!$B:$B,"&gt;=2014",MP2016_Long!$B:$B,"&lt;"&amp;E290)</f>
        <v>0.17520000000000002</v>
      </c>
      <c r="J290">
        <f t="shared" si="37"/>
        <v>0.10155022305561334</v>
      </c>
      <c r="K290">
        <f t="shared" si="38"/>
        <v>0.10708447087684672</v>
      </c>
      <c r="L290">
        <f>EXP(-K290/Inputs!$B$6)</f>
        <v>0.99111599218469093</v>
      </c>
      <c r="M290">
        <f t="shared" si="44"/>
        <v>0.39075000769238954</v>
      </c>
      <c r="N290">
        <f>IFERROR(INDEX(MonthlyCurve!$I:$I,MATCH(A290,MonthlyCurve!$A:$A,0)),"")</f>
        <v>4.9755279999999999E-2</v>
      </c>
      <c r="O290">
        <f>IFERROR(INDEX(MonthlyCurve!$J:$J,MATCH(A290,MonthlyCurve!$A:$A,0)),"")</f>
        <v>0.30422721266464464</v>
      </c>
      <c r="P290">
        <f t="shared" si="39"/>
        <v>3256.2500641032466</v>
      </c>
      <c r="Q290">
        <f t="shared" si="40"/>
        <v>9.7687501923097386</v>
      </c>
      <c r="R290">
        <f t="shared" si="41"/>
        <v>3266.0188142955562</v>
      </c>
      <c r="S290">
        <f t="shared" si="42"/>
        <v>990.63988074120118</v>
      </c>
      <c r="T290">
        <f t="shared" si="43"/>
        <v>2.9719196422236029</v>
      </c>
      <c r="U290">
        <f>SUMPRODUCT(R291:R543,O291:O543)/(M290*O290)</f>
        <v>438372.82338668674</v>
      </c>
    </row>
    <row r="291" spans="1:21" x14ac:dyDescent="0.35">
      <c r="A291">
        <v>288</v>
      </c>
      <c r="B291">
        <f>A291/Inputs!$B$6</f>
        <v>24</v>
      </c>
      <c r="C291">
        <f>Inputs!$B$3+B291</f>
        <v>89</v>
      </c>
      <c r="D291">
        <f t="shared" si="36"/>
        <v>89</v>
      </c>
      <c r="E291">
        <f>Inputs!$B$7+1+INT((A291-1)/Inputs!$B$6)</f>
        <v>2049</v>
      </c>
      <c r="F291">
        <f>Inputs!$B$16</f>
        <v>8333.3333333333339</v>
      </c>
      <c r="G291">
        <f>Inputs!$B$12</f>
        <v>25</v>
      </c>
      <c r="H291">
        <f>IFERROR(INDEX(RP2014_Qx!$B:$B,MATCH(D291,RP2014_Qx!$A:$A,0)),"")</f>
        <v>9.5562999999999995E-2</v>
      </c>
      <c r="I291">
        <f>SUMIFS(MP2016_Long!$C:$C,MP2016_Long!$A:$A,D291,MP2016_Long!$B:$B,"&gt;=2014",MP2016_Long!$B:$B,"&lt;"&amp;E291)</f>
        <v>0.17179999999999998</v>
      </c>
      <c r="J291">
        <f t="shared" si="37"/>
        <v>0.1134753594338752</v>
      </c>
      <c r="K291">
        <f t="shared" si="38"/>
        <v>0.1204463585172995</v>
      </c>
      <c r="L291">
        <f>EXP(-K291/Inputs!$B$6)</f>
        <v>0.99001300800274716</v>
      </c>
      <c r="M291">
        <f t="shared" si="44"/>
        <v>0.38684759049263917</v>
      </c>
      <c r="N291">
        <f>IFERROR(INDEX(MonthlyCurve!$I:$I,MATCH(A291,MonthlyCurve!$A:$A,0)),"")</f>
        <v>4.974953E-2</v>
      </c>
      <c r="O291">
        <f>IFERROR(INDEX(MonthlyCurve!$J:$J,MATCH(A291,MonthlyCurve!$A:$A,0)),"")</f>
        <v>0.30301022747485407</v>
      </c>
      <c r="P291">
        <f t="shared" si="39"/>
        <v>3223.7299207719934</v>
      </c>
      <c r="Q291">
        <f t="shared" si="40"/>
        <v>9.6711897623159793</v>
      </c>
      <c r="R291">
        <f t="shared" si="41"/>
        <v>3233.4011105343093</v>
      </c>
      <c r="S291">
        <f t="shared" si="42"/>
        <v>976.82313661061505</v>
      </c>
      <c r="T291">
        <f t="shared" si="43"/>
        <v>2.9304694098318449</v>
      </c>
      <c r="U291">
        <f>SUMPRODUCT(R292:R543,O292:O543)/(M291*O291)</f>
        <v>436215.08554247406</v>
      </c>
    </row>
    <row r="292" spans="1:21" x14ac:dyDescent="0.35">
      <c r="A292">
        <v>289</v>
      </c>
      <c r="B292">
        <f>A292/Inputs!$B$6</f>
        <v>24.083333333333332</v>
      </c>
      <c r="C292">
        <f>Inputs!$B$3+B292</f>
        <v>89.083333333333329</v>
      </c>
      <c r="D292">
        <f t="shared" si="36"/>
        <v>89</v>
      </c>
      <c r="E292">
        <f>Inputs!$B$7+1+INT((A292-1)/Inputs!$B$6)</f>
        <v>2050</v>
      </c>
      <c r="F292">
        <f>Inputs!$B$16</f>
        <v>8333.3333333333339</v>
      </c>
      <c r="G292">
        <f>Inputs!$B$12</f>
        <v>25</v>
      </c>
      <c r="H292">
        <f>IFERROR(INDEX(RP2014_Qx!$B:$B,MATCH(D292,RP2014_Qx!$A:$A,0)),"")</f>
        <v>9.5562999999999995E-2</v>
      </c>
      <c r="I292">
        <f>SUMIFS(MP2016_Long!$C:$C,MP2016_Long!$A:$A,D292,MP2016_Long!$B:$B,"&gt;=2014",MP2016_Long!$B:$B,"&lt;"&amp;E292)</f>
        <v>0.17179999999999998</v>
      </c>
      <c r="J292">
        <f t="shared" si="37"/>
        <v>0.1134753594338752</v>
      </c>
      <c r="K292">
        <f t="shared" si="38"/>
        <v>0.1204463585172995</v>
      </c>
      <c r="L292">
        <f>EXP(-K292/Inputs!$B$6)</f>
        <v>0.99001300800274716</v>
      </c>
      <c r="M292">
        <f t="shared" si="44"/>
        <v>0.38298414670223263</v>
      </c>
      <c r="N292">
        <f>IFERROR(INDEX(MonthlyCurve!$I:$I,MATCH(A292,MonthlyCurve!$A:$A,0)),"")</f>
        <v>4.9744086666666666E-2</v>
      </c>
      <c r="O292">
        <f>IFERROR(INDEX(MonthlyCurve!$J:$J,MATCH(A292,MonthlyCurve!$A:$A,0)),"")</f>
        <v>0.30179617081390925</v>
      </c>
      <c r="P292">
        <f t="shared" si="39"/>
        <v>3191.5345558519389</v>
      </c>
      <c r="Q292">
        <f t="shared" si="40"/>
        <v>9.5746036675558166</v>
      </c>
      <c r="R292">
        <f t="shared" si="41"/>
        <v>3201.1091595194948</v>
      </c>
      <c r="S292">
        <f t="shared" si="42"/>
        <v>963.19290797638575</v>
      </c>
      <c r="T292">
        <f t="shared" si="43"/>
        <v>2.8895787239291573</v>
      </c>
      <c r="U292">
        <f>SUMPRODUCT(R293:R543,O293:O543)/(M292*O292)</f>
        <v>434029.67073917377</v>
      </c>
    </row>
    <row r="293" spans="1:21" x14ac:dyDescent="0.35">
      <c r="A293">
        <v>290</v>
      </c>
      <c r="B293">
        <f>A293/Inputs!$B$6</f>
        <v>24.166666666666668</v>
      </c>
      <c r="C293">
        <f>Inputs!$B$3+B293</f>
        <v>89.166666666666671</v>
      </c>
      <c r="D293">
        <f t="shared" si="36"/>
        <v>89</v>
      </c>
      <c r="E293">
        <f>Inputs!$B$7+1+INT((A293-1)/Inputs!$B$6)</f>
        <v>2050</v>
      </c>
      <c r="F293">
        <f>Inputs!$B$16</f>
        <v>8333.3333333333339</v>
      </c>
      <c r="G293">
        <f>Inputs!$B$12</f>
        <v>25</v>
      </c>
      <c r="H293">
        <f>IFERROR(INDEX(RP2014_Qx!$B:$B,MATCH(D293,RP2014_Qx!$A:$A,0)),"")</f>
        <v>9.5562999999999995E-2</v>
      </c>
      <c r="I293">
        <f>SUMIFS(MP2016_Long!$C:$C,MP2016_Long!$A:$A,D293,MP2016_Long!$B:$B,"&gt;=2014",MP2016_Long!$B:$B,"&lt;"&amp;E293)</f>
        <v>0.17179999999999998</v>
      </c>
      <c r="J293">
        <f t="shared" si="37"/>
        <v>0.1134753594338752</v>
      </c>
      <c r="K293">
        <f t="shared" si="38"/>
        <v>0.1204463585172995</v>
      </c>
      <c r="L293">
        <f>EXP(-K293/Inputs!$B$6)</f>
        <v>0.99001300800274716</v>
      </c>
      <c r="M293">
        <f t="shared" si="44"/>
        <v>0.37915928709404273</v>
      </c>
      <c r="N293">
        <f>IFERROR(INDEX(MonthlyCurve!$I:$I,MATCH(A293,MonthlyCurve!$A:$A,0)),"")</f>
        <v>4.9738643333333332E-2</v>
      </c>
      <c r="O293">
        <f>IFERROR(INDEX(MonthlyCurve!$J:$J,MATCH(A293,MonthlyCurve!$A:$A,0)),"")</f>
        <v>0.30058725115533219</v>
      </c>
      <c r="P293">
        <f t="shared" si="39"/>
        <v>3159.6607257836895</v>
      </c>
      <c r="Q293">
        <f t="shared" si="40"/>
        <v>9.4789821773510674</v>
      </c>
      <c r="R293">
        <f t="shared" si="41"/>
        <v>3169.1397079610406</v>
      </c>
      <c r="S293">
        <f t="shared" si="42"/>
        <v>949.75373214678109</v>
      </c>
      <c r="T293">
        <f t="shared" si="43"/>
        <v>2.8492611964403429</v>
      </c>
      <c r="U293">
        <f>SUMPRODUCT(R294:R543,O294:O543)/(M293*O293)</f>
        <v>431812.93060299952</v>
      </c>
    </row>
    <row r="294" spans="1:21" x14ac:dyDescent="0.35">
      <c r="A294">
        <v>291</v>
      </c>
      <c r="B294">
        <f>A294/Inputs!$B$6</f>
        <v>24.25</v>
      </c>
      <c r="C294">
        <f>Inputs!$B$3+B294</f>
        <v>89.25</v>
      </c>
      <c r="D294">
        <f t="shared" si="36"/>
        <v>89</v>
      </c>
      <c r="E294">
        <f>Inputs!$B$7+1+INT((A294-1)/Inputs!$B$6)</f>
        <v>2050</v>
      </c>
      <c r="F294">
        <f>Inputs!$B$16</f>
        <v>8333.3333333333339</v>
      </c>
      <c r="G294">
        <f>Inputs!$B$12</f>
        <v>25</v>
      </c>
      <c r="H294">
        <f>IFERROR(INDEX(RP2014_Qx!$B:$B,MATCH(D294,RP2014_Qx!$A:$A,0)),"")</f>
        <v>9.5562999999999995E-2</v>
      </c>
      <c r="I294">
        <f>SUMIFS(MP2016_Long!$C:$C,MP2016_Long!$A:$A,D294,MP2016_Long!$B:$B,"&gt;=2014",MP2016_Long!$B:$B,"&lt;"&amp;E294)</f>
        <v>0.17179999999999998</v>
      </c>
      <c r="J294">
        <f t="shared" si="37"/>
        <v>0.1134753594338752</v>
      </c>
      <c r="K294">
        <f t="shared" si="38"/>
        <v>0.1204463585172995</v>
      </c>
      <c r="L294">
        <f>EXP(-K294/Inputs!$B$6)</f>
        <v>0.99001300800274716</v>
      </c>
      <c r="M294">
        <f t="shared" si="44"/>
        <v>0.37537262632815044</v>
      </c>
      <c r="N294">
        <f>IFERROR(INDEX(MonthlyCurve!$I:$I,MATCH(A294,MonthlyCurve!$A:$A,0)),"")</f>
        <v>4.9733200000000005E-2</v>
      </c>
      <c r="O294">
        <f>IFERROR(INDEX(MonthlyCurve!$J:$J,MATCH(A294,MonthlyCurve!$A:$A,0)),"")</f>
        <v>0.29938344573245651</v>
      </c>
      <c r="P294">
        <f t="shared" si="39"/>
        <v>3128.1052194012541</v>
      </c>
      <c r="Q294">
        <f t="shared" si="40"/>
        <v>9.3843156582037608</v>
      </c>
      <c r="R294">
        <f t="shared" si="41"/>
        <v>3137.4895350594579</v>
      </c>
      <c r="S294">
        <f t="shared" si="42"/>
        <v>936.5029191980293</v>
      </c>
      <c r="T294">
        <f t="shared" si="43"/>
        <v>2.8095087575940876</v>
      </c>
      <c r="U294">
        <f>SUMPRODUCT(R295:R543,O295:O543)/(M294*O294)</f>
        <v>429564.42592580378</v>
      </c>
    </row>
    <row r="295" spans="1:21" x14ac:dyDescent="0.35">
      <c r="A295">
        <v>292</v>
      </c>
      <c r="B295">
        <f>A295/Inputs!$B$6</f>
        <v>24.333333333333332</v>
      </c>
      <c r="C295">
        <f>Inputs!$B$3+B295</f>
        <v>89.333333333333329</v>
      </c>
      <c r="D295">
        <f t="shared" si="36"/>
        <v>89</v>
      </c>
      <c r="E295">
        <f>Inputs!$B$7+1+INT((A295-1)/Inputs!$B$6)</f>
        <v>2050</v>
      </c>
      <c r="F295">
        <f>Inputs!$B$16</f>
        <v>8333.3333333333339</v>
      </c>
      <c r="G295">
        <f>Inputs!$B$12</f>
        <v>25</v>
      </c>
      <c r="H295">
        <f>IFERROR(INDEX(RP2014_Qx!$B:$B,MATCH(D295,RP2014_Qx!$A:$A,0)),"")</f>
        <v>9.5562999999999995E-2</v>
      </c>
      <c r="I295">
        <f>SUMIFS(MP2016_Long!$C:$C,MP2016_Long!$A:$A,D295,MP2016_Long!$B:$B,"&gt;=2014",MP2016_Long!$B:$B,"&lt;"&amp;E295)</f>
        <v>0.17179999999999998</v>
      </c>
      <c r="J295">
        <f t="shared" si="37"/>
        <v>0.1134753594338752</v>
      </c>
      <c r="K295">
        <f t="shared" si="38"/>
        <v>0.1204463585172995</v>
      </c>
      <c r="L295">
        <f>EXP(-K295/Inputs!$B$6)</f>
        <v>0.99001300800274716</v>
      </c>
      <c r="M295">
        <f t="shared" si="44"/>
        <v>0.37162378291302339</v>
      </c>
      <c r="N295">
        <f>IFERROR(INDEX(MonthlyCurve!$I:$I,MATCH(A295,MonthlyCurve!$A:$A,0)),"")</f>
        <v>4.9727756666666671E-2</v>
      </c>
      <c r="O295">
        <f>IFERROR(INDEX(MonthlyCurve!$J:$J,MATCH(A295,MonthlyCurve!$A:$A,0)),"")</f>
        <v>0.29818473188369449</v>
      </c>
      <c r="P295">
        <f t="shared" si="39"/>
        <v>3096.8648576085284</v>
      </c>
      <c r="Q295">
        <f t="shared" si="40"/>
        <v>9.2905945728255848</v>
      </c>
      <c r="R295">
        <f t="shared" si="41"/>
        <v>3106.1554521813541</v>
      </c>
      <c r="S295">
        <f t="shared" si="42"/>
        <v>923.4378172460348</v>
      </c>
      <c r="T295">
        <f t="shared" si="43"/>
        <v>2.7703134517381041</v>
      </c>
      <c r="U295">
        <f>SUMPRODUCT(R296:R543,O296:O543)/(M295*O295)</f>
        <v>427283.71137183579</v>
      </c>
    </row>
    <row r="296" spans="1:21" x14ac:dyDescent="0.35">
      <c r="A296">
        <v>293</v>
      </c>
      <c r="B296">
        <f>A296/Inputs!$B$6</f>
        <v>24.416666666666668</v>
      </c>
      <c r="C296">
        <f>Inputs!$B$3+B296</f>
        <v>89.416666666666671</v>
      </c>
      <c r="D296">
        <f t="shared" si="36"/>
        <v>89</v>
      </c>
      <c r="E296">
        <f>Inputs!$B$7+1+INT((A296-1)/Inputs!$B$6)</f>
        <v>2050</v>
      </c>
      <c r="F296">
        <f>Inputs!$B$16</f>
        <v>8333.3333333333339</v>
      </c>
      <c r="G296">
        <f>Inputs!$B$12</f>
        <v>25</v>
      </c>
      <c r="H296">
        <f>IFERROR(INDEX(RP2014_Qx!$B:$B,MATCH(D296,RP2014_Qx!$A:$A,0)),"")</f>
        <v>9.5562999999999995E-2</v>
      </c>
      <c r="I296">
        <f>SUMIFS(MP2016_Long!$C:$C,MP2016_Long!$A:$A,D296,MP2016_Long!$B:$B,"&gt;=2014",MP2016_Long!$B:$B,"&lt;"&amp;E296)</f>
        <v>0.17179999999999998</v>
      </c>
      <c r="J296">
        <f t="shared" si="37"/>
        <v>0.1134753594338752</v>
      </c>
      <c r="K296">
        <f t="shared" si="38"/>
        <v>0.1204463585172995</v>
      </c>
      <c r="L296">
        <f>EXP(-K296/Inputs!$B$6)</f>
        <v>0.99001300800274716</v>
      </c>
      <c r="M296">
        <f t="shared" si="44"/>
        <v>0.36791237916708219</v>
      </c>
      <c r="N296">
        <f>IFERROR(INDEX(MonthlyCurve!$I:$I,MATCH(A296,MonthlyCurve!$A:$A,0)),"")</f>
        <v>4.9722313333333337E-2</v>
      </c>
      <c r="O296">
        <f>IFERROR(INDEX(MonthlyCurve!$J:$J,MATCH(A296,MonthlyCurve!$A:$A,0)),"")</f>
        <v>0.29699108705203403</v>
      </c>
      <c r="P296">
        <f t="shared" si="39"/>
        <v>3065.9364930590186</v>
      </c>
      <c r="Q296">
        <f t="shared" si="40"/>
        <v>9.1978094791770548</v>
      </c>
      <c r="R296">
        <f t="shared" si="41"/>
        <v>3075.1343025381957</v>
      </c>
      <c r="S296">
        <f t="shared" si="42"/>
        <v>910.55581190609894</v>
      </c>
      <c r="T296">
        <f t="shared" si="43"/>
        <v>2.7316674357182964</v>
      </c>
      <c r="U296">
        <f>SUMPRODUCT(R297:R543,O297:O543)/(M296*O296)</f>
        <v>424970.33539266762</v>
      </c>
    </row>
    <row r="297" spans="1:21" x14ac:dyDescent="0.35">
      <c r="A297">
        <v>294</v>
      </c>
      <c r="B297">
        <f>A297/Inputs!$B$6</f>
        <v>24.5</v>
      </c>
      <c r="C297">
        <f>Inputs!$B$3+B297</f>
        <v>89.5</v>
      </c>
      <c r="D297">
        <f t="shared" si="36"/>
        <v>89</v>
      </c>
      <c r="E297">
        <f>Inputs!$B$7+1+INT((A297-1)/Inputs!$B$6)</f>
        <v>2050</v>
      </c>
      <c r="F297">
        <f>Inputs!$B$16</f>
        <v>8333.3333333333339</v>
      </c>
      <c r="G297">
        <f>Inputs!$B$12</f>
        <v>25</v>
      </c>
      <c r="H297">
        <f>IFERROR(INDEX(RP2014_Qx!$B:$B,MATCH(D297,RP2014_Qx!$A:$A,0)),"")</f>
        <v>9.5562999999999995E-2</v>
      </c>
      <c r="I297">
        <f>SUMIFS(MP2016_Long!$C:$C,MP2016_Long!$A:$A,D297,MP2016_Long!$B:$B,"&gt;=2014",MP2016_Long!$B:$B,"&lt;"&amp;E297)</f>
        <v>0.17179999999999998</v>
      </c>
      <c r="J297">
        <f t="shared" si="37"/>
        <v>0.1134753594338752</v>
      </c>
      <c r="K297">
        <f t="shared" si="38"/>
        <v>0.1204463585172995</v>
      </c>
      <c r="L297">
        <f>EXP(-K297/Inputs!$B$6)</f>
        <v>0.99001300800274716</v>
      </c>
      <c r="M297">
        <f t="shared" si="44"/>
        <v>0.36423804118065028</v>
      </c>
      <c r="N297">
        <f>IFERROR(INDEX(MonthlyCurve!$I:$I,MATCH(A297,MonthlyCurve!$A:$A,0)),"")</f>
        <v>4.9716870000000003E-2</v>
      </c>
      <c r="O297">
        <f>IFERROR(INDEX(MonthlyCurve!$J:$J,MATCH(A297,MonthlyCurve!$A:$A,0)),"")</f>
        <v>0.29580248878453841</v>
      </c>
      <c r="P297">
        <f t="shared" si="39"/>
        <v>3035.3170098387527</v>
      </c>
      <c r="Q297">
        <f t="shared" si="40"/>
        <v>9.1059510295162571</v>
      </c>
      <c r="R297">
        <f t="shared" si="41"/>
        <v>3044.422960868269</v>
      </c>
      <c r="S297">
        <f t="shared" si="42"/>
        <v>897.85432576034634</v>
      </c>
      <c r="T297">
        <f t="shared" si="43"/>
        <v>2.6935629772810388</v>
      </c>
      <c r="U297">
        <f>SUMPRODUCT(R298:R543,O298:O543)/(M297*O297)</f>
        <v>422623.84014094598</v>
      </c>
    </row>
    <row r="298" spans="1:21" x14ac:dyDescent="0.35">
      <c r="A298">
        <v>295</v>
      </c>
      <c r="B298">
        <f>A298/Inputs!$B$6</f>
        <v>24.583333333333332</v>
      </c>
      <c r="C298">
        <f>Inputs!$B$3+B298</f>
        <v>89.583333333333329</v>
      </c>
      <c r="D298">
        <f t="shared" si="36"/>
        <v>89</v>
      </c>
      <c r="E298">
        <f>Inputs!$B$7+1+INT((A298-1)/Inputs!$B$6)</f>
        <v>2050</v>
      </c>
      <c r="F298">
        <f>Inputs!$B$16</f>
        <v>8333.3333333333339</v>
      </c>
      <c r="G298">
        <f>Inputs!$B$12</f>
        <v>25</v>
      </c>
      <c r="H298">
        <f>IFERROR(INDEX(RP2014_Qx!$B:$B,MATCH(D298,RP2014_Qx!$A:$A,0)),"")</f>
        <v>9.5562999999999995E-2</v>
      </c>
      <c r="I298">
        <f>SUMIFS(MP2016_Long!$C:$C,MP2016_Long!$A:$A,D298,MP2016_Long!$B:$B,"&gt;=2014",MP2016_Long!$B:$B,"&lt;"&amp;E298)</f>
        <v>0.17179999999999998</v>
      </c>
      <c r="J298">
        <f t="shared" si="37"/>
        <v>0.1134753594338752</v>
      </c>
      <c r="K298">
        <f t="shared" si="38"/>
        <v>0.1204463585172995</v>
      </c>
      <c r="L298">
        <f>EXP(-K298/Inputs!$B$6)</f>
        <v>0.99001300800274716</v>
      </c>
      <c r="M298">
        <f t="shared" si="44"/>
        <v>0.36060039877828409</v>
      </c>
      <c r="N298">
        <f>IFERROR(INDEX(MonthlyCurve!$I:$I,MATCH(A298,MonthlyCurve!$A:$A,0)),"")</f>
        <v>4.9711716666666669E-2</v>
      </c>
      <c r="O298">
        <f>IFERROR(INDEX(MonthlyCurve!$J:$J,MATCH(A298,MonthlyCurve!$A:$A,0)),"")</f>
        <v>0.29461681435198894</v>
      </c>
      <c r="P298">
        <f t="shared" si="39"/>
        <v>3005.0033231523676</v>
      </c>
      <c r="Q298">
        <f t="shared" si="40"/>
        <v>9.0150099694571022</v>
      </c>
      <c r="R298">
        <f t="shared" si="41"/>
        <v>3014.0183331218245</v>
      </c>
      <c r="S298">
        <f t="shared" si="42"/>
        <v>885.32450618429095</v>
      </c>
      <c r="T298">
        <f t="shared" si="43"/>
        <v>2.6559735185528726</v>
      </c>
      <c r="U298">
        <f>SUMPRODUCT(R299:R543,O299:O543)/(M298*O298)</f>
        <v>420246.81696961052</v>
      </c>
    </row>
    <row r="299" spans="1:21" x14ac:dyDescent="0.35">
      <c r="A299">
        <v>296</v>
      </c>
      <c r="B299">
        <f>A299/Inputs!$B$6</f>
        <v>24.666666666666668</v>
      </c>
      <c r="C299">
        <f>Inputs!$B$3+B299</f>
        <v>89.666666666666671</v>
      </c>
      <c r="D299">
        <f t="shared" si="36"/>
        <v>89</v>
      </c>
      <c r="E299">
        <f>Inputs!$B$7+1+INT((A299-1)/Inputs!$B$6)</f>
        <v>2050</v>
      </c>
      <c r="F299">
        <f>Inputs!$B$16</f>
        <v>8333.3333333333339</v>
      </c>
      <c r="G299">
        <f>Inputs!$B$12</f>
        <v>25</v>
      </c>
      <c r="H299">
        <f>IFERROR(INDEX(RP2014_Qx!$B:$B,MATCH(D299,RP2014_Qx!$A:$A,0)),"")</f>
        <v>9.5562999999999995E-2</v>
      </c>
      <c r="I299">
        <f>SUMIFS(MP2016_Long!$C:$C,MP2016_Long!$A:$A,D299,MP2016_Long!$B:$B,"&gt;=2014",MP2016_Long!$B:$B,"&lt;"&amp;E299)</f>
        <v>0.17179999999999998</v>
      </c>
      <c r="J299">
        <f t="shared" si="37"/>
        <v>0.1134753594338752</v>
      </c>
      <c r="K299">
        <f t="shared" si="38"/>
        <v>0.1204463585172995</v>
      </c>
      <c r="L299">
        <f>EXP(-K299/Inputs!$B$6)</f>
        <v>0.99001300800274716</v>
      </c>
      <c r="M299">
        <f t="shared" si="44"/>
        <v>0.35699908548147918</v>
      </c>
      <c r="N299">
        <f>IFERROR(INDEX(MonthlyCurve!$I:$I,MATCH(A299,MonthlyCurve!$A:$A,0)),"")</f>
        <v>4.9706563333333335E-2</v>
      </c>
      <c r="O299">
        <f>IFERROR(INDEX(MonthlyCurve!$J:$J,MATCH(A299,MonthlyCurve!$A:$A,0)),"")</f>
        <v>0.29343614452454803</v>
      </c>
      <c r="P299">
        <f t="shared" si="39"/>
        <v>2974.9923790123266</v>
      </c>
      <c r="Q299">
        <f t="shared" si="40"/>
        <v>8.9249771370369793</v>
      </c>
      <c r="R299">
        <f t="shared" si="41"/>
        <v>2983.9173561493635</v>
      </c>
      <c r="S299">
        <f t="shared" si="42"/>
        <v>872.97029368729</v>
      </c>
      <c r="T299">
        <f t="shared" si="43"/>
        <v>2.6189108810618698</v>
      </c>
      <c r="U299">
        <f>SUMPRODUCT(R300:R543,O300:O543)/(M299*O299)</f>
        <v>417835.7862141247</v>
      </c>
    </row>
    <row r="300" spans="1:21" x14ac:dyDescent="0.35">
      <c r="A300">
        <v>297</v>
      </c>
      <c r="B300">
        <f>A300/Inputs!$B$6</f>
        <v>24.75</v>
      </c>
      <c r="C300">
        <f>Inputs!$B$3+B300</f>
        <v>89.75</v>
      </c>
      <c r="D300">
        <f t="shared" si="36"/>
        <v>89</v>
      </c>
      <c r="E300">
        <f>Inputs!$B$7+1+INT((A300-1)/Inputs!$B$6)</f>
        <v>2050</v>
      </c>
      <c r="F300">
        <f>Inputs!$B$16</f>
        <v>8333.3333333333339</v>
      </c>
      <c r="G300">
        <f>Inputs!$B$12</f>
        <v>25</v>
      </c>
      <c r="H300">
        <f>IFERROR(INDEX(RP2014_Qx!$B:$B,MATCH(D300,RP2014_Qx!$A:$A,0)),"")</f>
        <v>9.5562999999999995E-2</v>
      </c>
      <c r="I300">
        <f>SUMIFS(MP2016_Long!$C:$C,MP2016_Long!$A:$A,D300,MP2016_Long!$B:$B,"&gt;=2014",MP2016_Long!$B:$B,"&lt;"&amp;E300)</f>
        <v>0.17179999999999998</v>
      </c>
      <c r="J300">
        <f t="shared" si="37"/>
        <v>0.1134753594338752</v>
      </c>
      <c r="K300">
        <f t="shared" si="38"/>
        <v>0.1204463585172995</v>
      </c>
      <c r="L300">
        <f>EXP(-K300/Inputs!$B$6)</f>
        <v>0.99001300800274716</v>
      </c>
      <c r="M300">
        <f t="shared" si="44"/>
        <v>0.35343373847174908</v>
      </c>
      <c r="N300">
        <f>IFERROR(INDEX(MonthlyCurve!$I:$I,MATCH(A300,MonthlyCurve!$A:$A,0)),"")</f>
        <v>4.9701410000000001E-2</v>
      </c>
      <c r="O300">
        <f>IFERROR(INDEX(MonthlyCurve!$J:$J,MATCH(A300,MonthlyCurve!$A:$A,0)),"")</f>
        <v>0.29226045722231508</v>
      </c>
      <c r="P300">
        <f t="shared" si="39"/>
        <v>2945.2811539312424</v>
      </c>
      <c r="Q300">
        <f t="shared" si="40"/>
        <v>8.8358434617937274</v>
      </c>
      <c r="R300">
        <f t="shared" si="41"/>
        <v>2954.1169973930359</v>
      </c>
      <c r="S300">
        <f t="shared" si="42"/>
        <v>860.78921669621275</v>
      </c>
      <c r="T300">
        <f t="shared" si="43"/>
        <v>2.5823676500886381</v>
      </c>
      <c r="U300">
        <f>SUMPRODUCT(R301:R543,O301:O543)/(M300*O300)</f>
        <v>415390.27077253535</v>
      </c>
    </row>
    <row r="301" spans="1:21" x14ac:dyDescent="0.35">
      <c r="A301">
        <v>298</v>
      </c>
      <c r="B301">
        <f>A301/Inputs!$B$6</f>
        <v>24.833333333333332</v>
      </c>
      <c r="C301">
        <f>Inputs!$B$3+B301</f>
        <v>89.833333333333329</v>
      </c>
      <c r="D301">
        <f t="shared" si="36"/>
        <v>89</v>
      </c>
      <c r="E301">
        <f>Inputs!$B$7+1+INT((A301-1)/Inputs!$B$6)</f>
        <v>2050</v>
      </c>
      <c r="F301">
        <f>Inputs!$B$16</f>
        <v>8333.3333333333339</v>
      </c>
      <c r="G301">
        <f>Inputs!$B$12</f>
        <v>25</v>
      </c>
      <c r="H301">
        <f>IFERROR(INDEX(RP2014_Qx!$B:$B,MATCH(D301,RP2014_Qx!$A:$A,0)),"")</f>
        <v>9.5562999999999995E-2</v>
      </c>
      <c r="I301">
        <f>SUMIFS(MP2016_Long!$C:$C,MP2016_Long!$A:$A,D301,MP2016_Long!$B:$B,"&gt;=2014",MP2016_Long!$B:$B,"&lt;"&amp;E301)</f>
        <v>0.17179999999999998</v>
      </c>
      <c r="J301">
        <f t="shared" si="37"/>
        <v>0.1134753594338752</v>
      </c>
      <c r="K301">
        <f t="shared" si="38"/>
        <v>0.1204463585172995</v>
      </c>
      <c r="L301">
        <f>EXP(-K301/Inputs!$B$6)</f>
        <v>0.99001300800274716</v>
      </c>
      <c r="M301">
        <f t="shared" si="44"/>
        <v>0.34990399855407256</v>
      </c>
      <c r="N301">
        <f>IFERROR(INDEX(MonthlyCurve!$I:$I,MATCH(A301,MonthlyCurve!$A:$A,0)),"")</f>
        <v>4.9696256666666667E-2</v>
      </c>
      <c r="O301">
        <f>IFERROR(INDEX(MonthlyCurve!$J:$J,MATCH(A301,MonthlyCurve!$A:$A,0)),"")</f>
        <v>0.29108973046667747</v>
      </c>
      <c r="P301">
        <f t="shared" si="39"/>
        <v>2915.8666546172717</v>
      </c>
      <c r="Q301">
        <f t="shared" si="40"/>
        <v>8.7475999638518136</v>
      </c>
      <c r="R301">
        <f t="shared" si="41"/>
        <v>2924.6142545811235</v>
      </c>
      <c r="S301">
        <f t="shared" si="42"/>
        <v>848.77883856931419</v>
      </c>
      <c r="T301">
        <f t="shared" si="43"/>
        <v>2.5463365157079418</v>
      </c>
      <c r="U301">
        <f>SUMPRODUCT(R302:R543,O302:O543)/(M301*O301)</f>
        <v>412909.78688066819</v>
      </c>
    </row>
    <row r="302" spans="1:21" x14ac:dyDescent="0.35">
      <c r="A302">
        <v>299</v>
      </c>
      <c r="B302">
        <f>A302/Inputs!$B$6</f>
        <v>24.916666666666668</v>
      </c>
      <c r="C302">
        <f>Inputs!$B$3+B302</f>
        <v>89.916666666666671</v>
      </c>
      <c r="D302">
        <f t="shared" si="36"/>
        <v>89</v>
      </c>
      <c r="E302">
        <f>Inputs!$B$7+1+INT((A302-1)/Inputs!$B$6)</f>
        <v>2050</v>
      </c>
      <c r="F302">
        <f>Inputs!$B$16</f>
        <v>8333.3333333333339</v>
      </c>
      <c r="G302">
        <f>Inputs!$B$12</f>
        <v>25</v>
      </c>
      <c r="H302">
        <f>IFERROR(INDEX(RP2014_Qx!$B:$B,MATCH(D302,RP2014_Qx!$A:$A,0)),"")</f>
        <v>9.5562999999999995E-2</v>
      </c>
      <c r="I302">
        <f>SUMIFS(MP2016_Long!$C:$C,MP2016_Long!$A:$A,D302,MP2016_Long!$B:$B,"&gt;=2014",MP2016_Long!$B:$B,"&lt;"&amp;E302)</f>
        <v>0.17179999999999998</v>
      </c>
      <c r="J302">
        <f t="shared" si="37"/>
        <v>0.1134753594338752</v>
      </c>
      <c r="K302">
        <f t="shared" si="38"/>
        <v>0.1204463585172995</v>
      </c>
      <c r="L302">
        <f>EXP(-K302/Inputs!$B$6)</f>
        <v>0.99001300800274716</v>
      </c>
      <c r="M302">
        <f t="shared" si="44"/>
        <v>0.34640951012070625</v>
      </c>
      <c r="N302">
        <f>IFERROR(INDEX(MonthlyCurve!$I:$I,MATCH(A302,MonthlyCurve!$A:$A,0)),"")</f>
        <v>4.9691103333333334E-2</v>
      </c>
      <c r="O302">
        <f>IFERROR(INDEX(MonthlyCurve!$J:$J,MATCH(A302,MonthlyCurve!$A:$A,0)),"")</f>
        <v>0.28992394237982894</v>
      </c>
      <c r="P302">
        <f t="shared" si="39"/>
        <v>2886.7459176725524</v>
      </c>
      <c r="Q302">
        <f t="shared" si="40"/>
        <v>8.6602377530176557</v>
      </c>
      <c r="R302">
        <f t="shared" si="41"/>
        <v>2895.40615542557</v>
      </c>
      <c r="S302">
        <f t="shared" si="42"/>
        <v>836.93675710050354</v>
      </c>
      <c r="T302">
        <f t="shared" si="43"/>
        <v>2.5108102713015099</v>
      </c>
      <c r="U302">
        <f>SUMPRODUCT(R303:R543,O303:O543)/(M302*O302)</f>
        <v>410393.84401952557</v>
      </c>
    </row>
    <row r="303" spans="1:21" x14ac:dyDescent="0.35">
      <c r="A303">
        <v>300</v>
      </c>
      <c r="B303">
        <f>A303/Inputs!$B$6</f>
        <v>25</v>
      </c>
      <c r="C303">
        <f>Inputs!$B$3+B303</f>
        <v>90</v>
      </c>
      <c r="D303">
        <f t="shared" si="36"/>
        <v>90</v>
      </c>
      <c r="E303">
        <f>Inputs!$B$7+1+INT((A303-1)/Inputs!$B$6)</f>
        <v>2050</v>
      </c>
      <c r="F303">
        <f>Inputs!$B$16</f>
        <v>8333.3333333333339</v>
      </c>
      <c r="G303">
        <f>Inputs!$B$12</f>
        <v>25</v>
      </c>
      <c r="H303">
        <f>IFERROR(INDEX(RP2014_Qx!$B:$B,MATCH(D303,RP2014_Qx!$A:$A,0)),"")</f>
        <v>0.107126</v>
      </c>
      <c r="I303">
        <f>SUMIFS(MP2016_Long!$C:$C,MP2016_Long!$A:$A,D303,MP2016_Long!$B:$B,"&gt;=2014",MP2016_Long!$B:$B,"&lt;"&amp;E303)</f>
        <v>0.16839999999999994</v>
      </c>
      <c r="J303">
        <f t="shared" si="37"/>
        <v>0.12677396679841152</v>
      </c>
      <c r="K303">
        <f t="shared" si="38"/>
        <v>0.13556084118962247</v>
      </c>
      <c r="L303">
        <f>EXP(-K303/Inputs!$B$6)</f>
        <v>0.98876683176747304</v>
      </c>
      <c r="M303">
        <f t="shared" si="44"/>
        <v>0.34251823381617313</v>
      </c>
      <c r="N303">
        <f>IFERROR(INDEX(MonthlyCurve!$I:$I,MATCH(A303,MonthlyCurve!$A:$A,0)),"")</f>
        <v>4.968595E-2</v>
      </c>
      <c r="O303">
        <f>IFERROR(INDEX(MonthlyCurve!$J:$J,MATCH(A303,MonthlyCurve!$A:$A,0)),"")</f>
        <v>0.28876307118429151</v>
      </c>
      <c r="P303">
        <f t="shared" si="39"/>
        <v>2854.3186151347763</v>
      </c>
      <c r="Q303">
        <f t="shared" si="40"/>
        <v>8.5629558454043284</v>
      </c>
      <c r="R303">
        <f t="shared" si="41"/>
        <v>2862.8815709801806</v>
      </c>
      <c r="S303">
        <f t="shared" si="42"/>
        <v>824.22180944481181</v>
      </c>
      <c r="T303">
        <f t="shared" si="43"/>
        <v>2.4726654283344351</v>
      </c>
      <c r="U303">
        <f>SUMPRODUCT(R304:R543,O304:O543)/(M303*O303)</f>
        <v>408366.4960897952</v>
      </c>
    </row>
    <row r="304" spans="1:21" x14ac:dyDescent="0.35">
      <c r="A304">
        <v>301</v>
      </c>
      <c r="B304">
        <f>A304/Inputs!$B$6</f>
        <v>25.083333333333332</v>
      </c>
      <c r="C304">
        <f>Inputs!$B$3+B304</f>
        <v>90.083333333333329</v>
      </c>
      <c r="D304">
        <f t="shared" si="36"/>
        <v>90</v>
      </c>
      <c r="E304">
        <f>Inputs!$B$7+1+INT((A304-1)/Inputs!$B$6)</f>
        <v>2051</v>
      </c>
      <c r="F304">
        <f>Inputs!$B$16</f>
        <v>8333.3333333333339</v>
      </c>
      <c r="G304">
        <f>Inputs!$B$12</f>
        <v>25</v>
      </c>
      <c r="H304">
        <f>IFERROR(INDEX(RP2014_Qx!$B:$B,MATCH(D304,RP2014_Qx!$A:$A,0)),"")</f>
        <v>0.107126</v>
      </c>
      <c r="I304">
        <f>SUMIFS(MP2016_Long!$C:$C,MP2016_Long!$A:$A,D304,MP2016_Long!$B:$B,"&gt;=2014",MP2016_Long!$B:$B,"&lt;"&amp;E304)</f>
        <v>0.16839999999999994</v>
      </c>
      <c r="J304">
        <f t="shared" si="37"/>
        <v>0.12677396679841152</v>
      </c>
      <c r="K304">
        <f t="shared" si="38"/>
        <v>0.13556084118962247</v>
      </c>
      <c r="L304">
        <f>EXP(-K304/Inputs!$B$6)</f>
        <v>0.98876683176747304</v>
      </c>
      <c r="M304">
        <f t="shared" si="44"/>
        <v>0.33867066887300806</v>
      </c>
      <c r="N304">
        <f>IFERROR(INDEX(MonthlyCurve!$I:$I,MATCH(A304,MonthlyCurve!$A:$A,0)),"")</f>
        <v>4.9681068333333335E-2</v>
      </c>
      <c r="O304">
        <f>IFERROR(INDEX(MonthlyCurve!$J:$J,MATCH(A304,MonthlyCurve!$A:$A,0)),"")</f>
        <v>0.28760513536648891</v>
      </c>
      <c r="P304">
        <f t="shared" si="39"/>
        <v>2822.2555739417339</v>
      </c>
      <c r="Q304">
        <f t="shared" si="40"/>
        <v>8.4667667218252021</v>
      </c>
      <c r="R304">
        <f t="shared" si="41"/>
        <v>2830.722340663559</v>
      </c>
      <c r="S304">
        <f t="shared" si="42"/>
        <v>811.69519638234021</v>
      </c>
      <c r="T304">
        <f t="shared" si="43"/>
        <v>2.4350855891470209</v>
      </c>
      <c r="U304">
        <f>SUMPRODUCT(R305:R543,O305:O543)/(M304*O304)</f>
        <v>406310.34257345885</v>
      </c>
    </row>
    <row r="305" spans="1:21" x14ac:dyDescent="0.35">
      <c r="A305">
        <v>302</v>
      </c>
      <c r="B305">
        <f>A305/Inputs!$B$6</f>
        <v>25.166666666666668</v>
      </c>
      <c r="C305">
        <f>Inputs!$B$3+B305</f>
        <v>90.166666666666671</v>
      </c>
      <c r="D305">
        <f t="shared" si="36"/>
        <v>90</v>
      </c>
      <c r="E305">
        <f>Inputs!$B$7+1+INT((A305-1)/Inputs!$B$6)</f>
        <v>2051</v>
      </c>
      <c r="F305">
        <f>Inputs!$B$16</f>
        <v>8333.3333333333339</v>
      </c>
      <c r="G305">
        <f>Inputs!$B$12</f>
        <v>25</v>
      </c>
      <c r="H305">
        <f>IFERROR(INDEX(RP2014_Qx!$B:$B,MATCH(D305,RP2014_Qx!$A:$A,0)),"")</f>
        <v>0.107126</v>
      </c>
      <c r="I305">
        <f>SUMIFS(MP2016_Long!$C:$C,MP2016_Long!$A:$A,D305,MP2016_Long!$B:$B,"&gt;=2014",MP2016_Long!$B:$B,"&lt;"&amp;E305)</f>
        <v>0.16839999999999994</v>
      </c>
      <c r="J305">
        <f t="shared" si="37"/>
        <v>0.12677396679841152</v>
      </c>
      <c r="K305">
        <f t="shared" si="38"/>
        <v>0.13556084118962247</v>
      </c>
      <c r="L305">
        <f>EXP(-K305/Inputs!$B$6)</f>
        <v>0.98876683176747304</v>
      </c>
      <c r="M305">
        <f t="shared" si="44"/>
        <v>0.33486632427413515</v>
      </c>
      <c r="N305">
        <f>IFERROR(INDEX(MonthlyCurve!$I:$I,MATCH(A305,MonthlyCurve!$A:$A,0)),"")</f>
        <v>4.9676186666666663E-2</v>
      </c>
      <c r="O305">
        <f>IFERROR(INDEX(MonthlyCurve!$J:$J,MATCH(A305,MonthlyCurve!$A:$A,0)),"")</f>
        <v>0.28645207591538113</v>
      </c>
      <c r="P305">
        <f t="shared" si="39"/>
        <v>2790.5527022844599</v>
      </c>
      <c r="Q305">
        <f t="shared" si="40"/>
        <v>8.3716581068533795</v>
      </c>
      <c r="R305">
        <f t="shared" si="41"/>
        <v>2798.9243603913133</v>
      </c>
      <c r="S305">
        <f t="shared" si="42"/>
        <v>799.3596145206601</v>
      </c>
      <c r="T305">
        <f t="shared" si="43"/>
        <v>2.3980788435619802</v>
      </c>
      <c r="U305">
        <f>SUMPRODUCT(R306:R543,O306:O543)/(M305*O305)</f>
        <v>404222.1214662327</v>
      </c>
    </row>
    <row r="306" spans="1:21" x14ac:dyDescent="0.35">
      <c r="A306">
        <v>303</v>
      </c>
      <c r="B306">
        <f>A306/Inputs!$B$6</f>
        <v>25.25</v>
      </c>
      <c r="C306">
        <f>Inputs!$B$3+B306</f>
        <v>90.25</v>
      </c>
      <c r="D306">
        <f t="shared" si="36"/>
        <v>90</v>
      </c>
      <c r="E306">
        <f>Inputs!$B$7+1+INT((A306-1)/Inputs!$B$6)</f>
        <v>2051</v>
      </c>
      <c r="F306">
        <f>Inputs!$B$16</f>
        <v>8333.3333333333339</v>
      </c>
      <c r="G306">
        <f>Inputs!$B$12</f>
        <v>25</v>
      </c>
      <c r="H306">
        <f>IFERROR(INDEX(RP2014_Qx!$B:$B,MATCH(D306,RP2014_Qx!$A:$A,0)),"")</f>
        <v>0.107126</v>
      </c>
      <c r="I306">
        <f>SUMIFS(MP2016_Long!$C:$C,MP2016_Long!$A:$A,D306,MP2016_Long!$B:$B,"&gt;=2014",MP2016_Long!$B:$B,"&lt;"&amp;E306)</f>
        <v>0.16839999999999994</v>
      </c>
      <c r="J306">
        <f t="shared" si="37"/>
        <v>0.12677396679841152</v>
      </c>
      <c r="K306">
        <f t="shared" si="38"/>
        <v>0.13556084118962247</v>
      </c>
      <c r="L306">
        <f>EXP(-K306/Inputs!$B$6)</f>
        <v>0.98876683176747304</v>
      </c>
      <c r="M306">
        <f t="shared" si="44"/>
        <v>0.33110471451815587</v>
      </c>
      <c r="N306">
        <f>IFERROR(INDEX(MonthlyCurve!$I:$I,MATCH(A306,MonthlyCurve!$A:$A,0)),"")</f>
        <v>4.9671304999999999E-2</v>
      </c>
      <c r="O306">
        <f>IFERROR(INDEX(MonthlyCurve!$J:$J,MATCH(A306,MonthlyCurve!$A:$A,0)),"")</f>
        <v>0.28530387140823488</v>
      </c>
      <c r="P306">
        <f t="shared" si="39"/>
        <v>2759.2059543179657</v>
      </c>
      <c r="Q306">
        <f t="shared" si="40"/>
        <v>8.2776178629538961</v>
      </c>
      <c r="R306">
        <f t="shared" si="41"/>
        <v>2767.4835721809195</v>
      </c>
      <c r="S306">
        <f t="shared" si="42"/>
        <v>787.21214077956893</v>
      </c>
      <c r="T306">
        <f t="shared" si="43"/>
        <v>2.3616364223387065</v>
      </c>
      <c r="U306">
        <f>SUMPRODUCT(R307:R543,O307:O543)/(M306*O306)</f>
        <v>402101.34133071534</v>
      </c>
    </row>
    <row r="307" spans="1:21" x14ac:dyDescent="0.35">
      <c r="A307">
        <v>304</v>
      </c>
      <c r="B307">
        <f>A307/Inputs!$B$6</f>
        <v>25.333333333333332</v>
      </c>
      <c r="C307">
        <f>Inputs!$B$3+B307</f>
        <v>90.333333333333329</v>
      </c>
      <c r="D307">
        <f t="shared" si="36"/>
        <v>90</v>
      </c>
      <c r="E307">
        <f>Inputs!$B$7+1+INT((A307-1)/Inputs!$B$6)</f>
        <v>2051</v>
      </c>
      <c r="F307">
        <f>Inputs!$B$16</f>
        <v>8333.3333333333339</v>
      </c>
      <c r="G307">
        <f>Inputs!$B$12</f>
        <v>25</v>
      </c>
      <c r="H307">
        <f>IFERROR(INDEX(RP2014_Qx!$B:$B,MATCH(D307,RP2014_Qx!$A:$A,0)),"")</f>
        <v>0.107126</v>
      </c>
      <c r="I307">
        <f>SUMIFS(MP2016_Long!$C:$C,MP2016_Long!$A:$A,D307,MP2016_Long!$B:$B,"&gt;=2014",MP2016_Long!$B:$B,"&lt;"&amp;E307)</f>
        <v>0.16839999999999994</v>
      </c>
      <c r="J307">
        <f t="shared" si="37"/>
        <v>0.12677396679841152</v>
      </c>
      <c r="K307">
        <f t="shared" si="38"/>
        <v>0.13556084118962247</v>
      </c>
      <c r="L307">
        <f>EXP(-K307/Inputs!$B$6)</f>
        <v>0.98876683176747304</v>
      </c>
      <c r="M307">
        <f t="shared" si="44"/>
        <v>0.32738535955739062</v>
      </c>
      <c r="N307">
        <f>IFERROR(INDEX(MonthlyCurve!$I:$I,MATCH(A307,MonthlyCurve!$A:$A,0)),"")</f>
        <v>4.9666423333333334E-2</v>
      </c>
      <c r="O307">
        <f>IFERROR(INDEX(MonthlyCurve!$J:$J,MATCH(A307,MonthlyCurve!$A:$A,0)),"")</f>
        <v>0.28416050052002229</v>
      </c>
      <c r="P307">
        <f t="shared" si="39"/>
        <v>2728.211329644922</v>
      </c>
      <c r="Q307">
        <f t="shared" si="40"/>
        <v>8.184633988934765</v>
      </c>
      <c r="R307">
        <f t="shared" si="41"/>
        <v>2736.3959636338568</v>
      </c>
      <c r="S307">
        <f t="shared" si="42"/>
        <v>775.24989695629654</v>
      </c>
      <c r="T307">
        <f t="shared" si="43"/>
        <v>2.3257496908688893</v>
      </c>
      <c r="U307">
        <f>SUMPRODUCT(R308:R543,O308:O543)/(M307*O307)</f>
        <v>399947.50322601426</v>
      </c>
    </row>
    <row r="308" spans="1:21" x14ac:dyDescent="0.35">
      <c r="A308">
        <v>305</v>
      </c>
      <c r="B308">
        <f>A308/Inputs!$B$6</f>
        <v>25.416666666666668</v>
      </c>
      <c r="C308">
        <f>Inputs!$B$3+B308</f>
        <v>90.416666666666671</v>
      </c>
      <c r="D308">
        <f t="shared" si="36"/>
        <v>90</v>
      </c>
      <c r="E308">
        <f>Inputs!$B$7+1+INT((A308-1)/Inputs!$B$6)</f>
        <v>2051</v>
      </c>
      <c r="F308">
        <f>Inputs!$B$16</f>
        <v>8333.3333333333339</v>
      </c>
      <c r="G308">
        <f>Inputs!$B$12</f>
        <v>25</v>
      </c>
      <c r="H308">
        <f>IFERROR(INDEX(RP2014_Qx!$B:$B,MATCH(D308,RP2014_Qx!$A:$A,0)),"")</f>
        <v>0.107126</v>
      </c>
      <c r="I308">
        <f>SUMIFS(MP2016_Long!$C:$C,MP2016_Long!$A:$A,D308,MP2016_Long!$B:$B,"&gt;=2014",MP2016_Long!$B:$B,"&lt;"&amp;E308)</f>
        <v>0.16839999999999994</v>
      </c>
      <c r="J308">
        <f t="shared" si="37"/>
        <v>0.12677396679841152</v>
      </c>
      <c r="K308">
        <f t="shared" si="38"/>
        <v>0.13556084118962247</v>
      </c>
      <c r="L308">
        <f>EXP(-K308/Inputs!$B$6)</f>
        <v>0.98876683176747304</v>
      </c>
      <c r="M308">
        <f t="shared" si="44"/>
        <v>0.3237077847366161</v>
      </c>
      <c r="N308">
        <f>IFERROR(INDEX(MonthlyCurve!$I:$I,MATCH(A308,MonthlyCurve!$A:$A,0)),"")</f>
        <v>4.9661541666666663E-2</v>
      </c>
      <c r="O308">
        <f>IFERROR(INDEX(MonthlyCurve!$J:$J,MATCH(A308,MonthlyCurve!$A:$A,0)),"")</f>
        <v>0.28302194202295938</v>
      </c>
      <c r="P308">
        <f t="shared" si="39"/>
        <v>2697.5648728051342</v>
      </c>
      <c r="Q308">
        <f t="shared" si="40"/>
        <v>8.0926946184154023</v>
      </c>
      <c r="R308">
        <f t="shared" si="41"/>
        <v>2705.6575674235496</v>
      </c>
      <c r="S308">
        <f t="shared" si="42"/>
        <v>763.47004903422646</v>
      </c>
      <c r="T308">
        <f t="shared" si="43"/>
        <v>2.2904101471026794</v>
      </c>
      <c r="U308">
        <f>SUMPRODUCT(R309:R543,O309:O543)/(M308*O308)</f>
        <v>397760.10059359547</v>
      </c>
    </row>
    <row r="309" spans="1:21" x14ac:dyDescent="0.35">
      <c r="A309">
        <v>306</v>
      </c>
      <c r="B309">
        <f>A309/Inputs!$B$6</f>
        <v>25.5</v>
      </c>
      <c r="C309">
        <f>Inputs!$B$3+B309</f>
        <v>90.5</v>
      </c>
      <c r="D309">
        <f t="shared" si="36"/>
        <v>90</v>
      </c>
      <c r="E309">
        <f>Inputs!$B$7+1+INT((A309-1)/Inputs!$B$6)</f>
        <v>2051</v>
      </c>
      <c r="F309">
        <f>Inputs!$B$16</f>
        <v>8333.3333333333339</v>
      </c>
      <c r="G309">
        <f>Inputs!$B$12</f>
        <v>25</v>
      </c>
      <c r="H309">
        <f>IFERROR(INDEX(RP2014_Qx!$B:$B,MATCH(D309,RP2014_Qx!$A:$A,0)),"")</f>
        <v>0.107126</v>
      </c>
      <c r="I309">
        <f>SUMIFS(MP2016_Long!$C:$C,MP2016_Long!$A:$A,D309,MP2016_Long!$B:$B,"&gt;=2014",MP2016_Long!$B:$B,"&lt;"&amp;E309)</f>
        <v>0.16839999999999994</v>
      </c>
      <c r="J309">
        <f t="shared" si="37"/>
        <v>0.12677396679841152</v>
      </c>
      <c r="K309">
        <f t="shared" si="38"/>
        <v>0.13556084118962247</v>
      </c>
      <c r="L309">
        <f>EXP(-K309/Inputs!$B$6)</f>
        <v>0.98876683176747304</v>
      </c>
      <c r="M309">
        <f t="shared" si="44"/>
        <v>0.32007152073249107</v>
      </c>
      <c r="N309">
        <f>IFERROR(INDEX(MonthlyCurve!$I:$I,MATCH(A309,MonthlyCurve!$A:$A,0)),"")</f>
        <v>4.9656659999999998E-2</v>
      </c>
      <c r="O309">
        <f>IFERROR(INDEX(MonthlyCurve!$J:$J,MATCH(A309,MonthlyCurve!$A:$A,0)),"")</f>
        <v>0.28188817478604811</v>
      </c>
      <c r="P309">
        <f t="shared" si="39"/>
        <v>2667.2626727707589</v>
      </c>
      <c r="Q309">
        <f t="shared" si="40"/>
        <v>8.0017880183122774</v>
      </c>
      <c r="R309">
        <f t="shared" si="41"/>
        <v>2675.2644607890711</v>
      </c>
      <c r="S309">
        <f t="shared" si="42"/>
        <v>751.86980650230555</v>
      </c>
      <c r="T309">
        <f t="shared" si="43"/>
        <v>2.255609419506917</v>
      </c>
      <c r="U309">
        <f>SUMPRODUCT(R310:R543,O310:O543)/(M309*O309)</f>
        <v>395538.61914140347</v>
      </c>
    </row>
    <row r="310" spans="1:21" x14ac:dyDescent="0.35">
      <c r="A310">
        <v>307</v>
      </c>
      <c r="B310">
        <f>A310/Inputs!$B$6</f>
        <v>25.583333333333332</v>
      </c>
      <c r="C310">
        <f>Inputs!$B$3+B310</f>
        <v>90.583333333333329</v>
      </c>
      <c r="D310">
        <f t="shared" si="36"/>
        <v>90</v>
      </c>
      <c r="E310">
        <f>Inputs!$B$7+1+INT((A310-1)/Inputs!$B$6)</f>
        <v>2051</v>
      </c>
      <c r="F310">
        <f>Inputs!$B$16</f>
        <v>8333.3333333333339</v>
      </c>
      <c r="G310">
        <f>Inputs!$B$12</f>
        <v>25</v>
      </c>
      <c r="H310">
        <f>IFERROR(INDEX(RP2014_Qx!$B:$B,MATCH(D310,RP2014_Qx!$A:$A,0)),"")</f>
        <v>0.107126</v>
      </c>
      <c r="I310">
        <f>SUMIFS(MP2016_Long!$C:$C,MP2016_Long!$A:$A,D310,MP2016_Long!$B:$B,"&gt;=2014",MP2016_Long!$B:$B,"&lt;"&amp;E310)</f>
        <v>0.16839999999999994</v>
      </c>
      <c r="J310">
        <f t="shared" si="37"/>
        <v>0.12677396679841152</v>
      </c>
      <c r="K310">
        <f t="shared" si="38"/>
        <v>0.13556084118962247</v>
      </c>
      <c r="L310">
        <f>EXP(-K310/Inputs!$B$6)</f>
        <v>0.98876683176747304</v>
      </c>
      <c r="M310">
        <f t="shared" si="44"/>
        <v>0.31647610349366223</v>
      </c>
      <c r="N310">
        <f>IFERROR(INDEX(MonthlyCurve!$I:$I,MATCH(A310,MonthlyCurve!$A:$A,0)),"")</f>
        <v>4.9652040000000001E-2</v>
      </c>
      <c r="O310">
        <f>IFERROR(INDEX(MonthlyCurve!$J:$J,MATCH(A310,MonthlyCurve!$A:$A,0)),"")</f>
        <v>0.2807572982931868</v>
      </c>
      <c r="P310">
        <f t="shared" si="39"/>
        <v>2637.3008624471854</v>
      </c>
      <c r="Q310">
        <f t="shared" si="40"/>
        <v>7.9119025873415554</v>
      </c>
      <c r="R310">
        <f t="shared" si="41"/>
        <v>2645.2127650345269</v>
      </c>
      <c r="S310">
        <f t="shared" si="42"/>
        <v>740.44146492696325</v>
      </c>
      <c r="T310">
        <f t="shared" si="43"/>
        <v>2.2213243947808894</v>
      </c>
      <c r="U310">
        <f>SUMPRODUCT(R311:R543,O311:O543)/(M310*O310)</f>
        <v>393285.22544193186</v>
      </c>
    </row>
    <row r="311" spans="1:21" x14ac:dyDescent="0.35">
      <c r="A311">
        <v>308</v>
      </c>
      <c r="B311">
        <f>A311/Inputs!$B$6</f>
        <v>25.666666666666668</v>
      </c>
      <c r="C311">
        <f>Inputs!$B$3+B311</f>
        <v>90.666666666666671</v>
      </c>
      <c r="D311">
        <f t="shared" si="36"/>
        <v>90</v>
      </c>
      <c r="E311">
        <f>Inputs!$B$7+1+INT((A311-1)/Inputs!$B$6)</f>
        <v>2051</v>
      </c>
      <c r="F311">
        <f>Inputs!$B$16</f>
        <v>8333.3333333333339</v>
      </c>
      <c r="G311">
        <f>Inputs!$B$12</f>
        <v>25</v>
      </c>
      <c r="H311">
        <f>IFERROR(INDEX(RP2014_Qx!$B:$B,MATCH(D311,RP2014_Qx!$A:$A,0)),"")</f>
        <v>0.107126</v>
      </c>
      <c r="I311">
        <f>SUMIFS(MP2016_Long!$C:$C,MP2016_Long!$A:$A,D311,MP2016_Long!$B:$B,"&gt;=2014",MP2016_Long!$B:$B,"&lt;"&amp;E311)</f>
        <v>0.16839999999999994</v>
      </c>
      <c r="J311">
        <f t="shared" si="37"/>
        <v>0.12677396679841152</v>
      </c>
      <c r="K311">
        <f t="shared" si="38"/>
        <v>0.13556084118962247</v>
      </c>
      <c r="L311">
        <f>EXP(-K311/Inputs!$B$6)</f>
        <v>0.98876683176747304</v>
      </c>
      <c r="M311">
        <f t="shared" si="44"/>
        <v>0.3129210741815433</v>
      </c>
      <c r="N311">
        <f>IFERROR(INDEX(MonthlyCurve!$I:$I,MATCH(A311,MonthlyCurve!$A:$A,0)),"")</f>
        <v>4.9647419999999998E-2</v>
      </c>
      <c r="O311">
        <f>IFERROR(INDEX(MonthlyCurve!$J:$J,MATCH(A311,MonthlyCurve!$A:$A,0)),"")</f>
        <v>0.27963117395658438</v>
      </c>
      <c r="P311">
        <f t="shared" si="39"/>
        <v>2607.6756181795276</v>
      </c>
      <c r="Q311">
        <f t="shared" si="40"/>
        <v>7.8230268545385826</v>
      </c>
      <c r="R311">
        <f t="shared" si="41"/>
        <v>2615.4986450340662</v>
      </c>
      <c r="S311">
        <f t="shared" si="42"/>
        <v>729.18739440950321</v>
      </c>
      <c r="T311">
        <f t="shared" si="43"/>
        <v>2.1875621832285095</v>
      </c>
      <c r="U311">
        <f>SUMPRODUCT(R312:R543,O312:O543)/(M311*O311)</f>
        <v>390996.74424061854</v>
      </c>
    </row>
    <row r="312" spans="1:21" x14ac:dyDescent="0.35">
      <c r="A312">
        <v>309</v>
      </c>
      <c r="B312">
        <f>A312/Inputs!$B$6</f>
        <v>25.75</v>
      </c>
      <c r="C312">
        <f>Inputs!$B$3+B312</f>
        <v>90.75</v>
      </c>
      <c r="D312">
        <f t="shared" si="36"/>
        <v>90</v>
      </c>
      <c r="E312">
        <f>Inputs!$B$7+1+INT((A312-1)/Inputs!$B$6)</f>
        <v>2051</v>
      </c>
      <c r="F312">
        <f>Inputs!$B$16</f>
        <v>8333.3333333333339</v>
      </c>
      <c r="G312">
        <f>Inputs!$B$12</f>
        <v>25</v>
      </c>
      <c r="H312">
        <f>IFERROR(INDEX(RP2014_Qx!$B:$B,MATCH(D312,RP2014_Qx!$A:$A,0)),"")</f>
        <v>0.107126</v>
      </c>
      <c r="I312">
        <f>SUMIFS(MP2016_Long!$C:$C,MP2016_Long!$A:$A,D312,MP2016_Long!$B:$B,"&gt;=2014",MP2016_Long!$B:$B,"&lt;"&amp;E312)</f>
        <v>0.16839999999999994</v>
      </c>
      <c r="J312">
        <f t="shared" si="37"/>
        <v>0.12677396679841152</v>
      </c>
      <c r="K312">
        <f t="shared" si="38"/>
        <v>0.13556084118962247</v>
      </c>
      <c r="L312">
        <f>EXP(-K312/Inputs!$B$6)</f>
        <v>0.98876683176747304</v>
      </c>
      <c r="M312">
        <f t="shared" si="44"/>
        <v>0.30940597911175899</v>
      </c>
      <c r="N312">
        <f>IFERROR(INDEX(MonthlyCurve!$I:$I,MATCH(A312,MonthlyCurve!$A:$A,0)),"")</f>
        <v>4.9642800000000001E-2</v>
      </c>
      <c r="O312">
        <f>IFERROR(INDEX(MonthlyCurve!$J:$J,MATCH(A312,MonthlyCurve!$A:$A,0)),"")</f>
        <v>0.27850978098447249</v>
      </c>
      <c r="P312">
        <f t="shared" si="39"/>
        <v>2578.3831592646584</v>
      </c>
      <c r="Q312">
        <f t="shared" si="40"/>
        <v>7.7351494777939749</v>
      </c>
      <c r="R312">
        <f t="shared" si="41"/>
        <v>2586.1183087424524</v>
      </c>
      <c r="S312">
        <f t="shared" si="42"/>
        <v>718.10492898085226</v>
      </c>
      <c r="T312">
        <f t="shared" si="43"/>
        <v>2.1543147869425567</v>
      </c>
      <c r="U312">
        <f>SUMPRODUCT(R313:R543,O313:O543)/(M312*O312)</f>
        <v>388672.6375584121</v>
      </c>
    </row>
    <row r="313" spans="1:21" x14ac:dyDescent="0.35">
      <c r="A313">
        <v>310</v>
      </c>
      <c r="B313">
        <f>A313/Inputs!$B$6</f>
        <v>25.833333333333332</v>
      </c>
      <c r="C313">
        <f>Inputs!$B$3+B313</f>
        <v>90.833333333333329</v>
      </c>
      <c r="D313">
        <f t="shared" si="36"/>
        <v>90</v>
      </c>
      <c r="E313">
        <f>Inputs!$B$7+1+INT((A313-1)/Inputs!$B$6)</f>
        <v>2051</v>
      </c>
      <c r="F313">
        <f>Inputs!$B$16</f>
        <v>8333.3333333333339</v>
      </c>
      <c r="G313">
        <f>Inputs!$B$12</f>
        <v>25</v>
      </c>
      <c r="H313">
        <f>IFERROR(INDEX(RP2014_Qx!$B:$B,MATCH(D313,RP2014_Qx!$A:$A,0)),"")</f>
        <v>0.107126</v>
      </c>
      <c r="I313">
        <f>SUMIFS(MP2016_Long!$C:$C,MP2016_Long!$A:$A,D313,MP2016_Long!$B:$B,"&gt;=2014",MP2016_Long!$B:$B,"&lt;"&amp;E313)</f>
        <v>0.16839999999999994</v>
      </c>
      <c r="J313">
        <f t="shared" si="37"/>
        <v>0.12677396679841152</v>
      </c>
      <c r="K313">
        <f t="shared" si="38"/>
        <v>0.13556084118962247</v>
      </c>
      <c r="L313">
        <f>EXP(-K313/Inputs!$B$6)</f>
        <v>0.98876683176747304</v>
      </c>
      <c r="M313">
        <f t="shared" si="44"/>
        <v>0.30593036969624687</v>
      </c>
      <c r="N313">
        <f>IFERROR(INDEX(MonthlyCurve!$I:$I,MATCH(A313,MonthlyCurve!$A:$A,0)),"")</f>
        <v>4.9638180000000004E-2</v>
      </c>
      <c r="O313">
        <f>IFERROR(INDEX(MonthlyCurve!$J:$J,MATCH(A313,MonthlyCurve!$A:$A,0)),"")</f>
        <v>0.27739309867937895</v>
      </c>
      <c r="P313">
        <f t="shared" si="39"/>
        <v>2549.4197474687239</v>
      </c>
      <c r="Q313">
        <f t="shared" si="40"/>
        <v>7.6482592424061719</v>
      </c>
      <c r="R313">
        <f t="shared" si="41"/>
        <v>2557.0680067111302</v>
      </c>
      <c r="S313">
        <f t="shared" si="42"/>
        <v>707.19144358474909</v>
      </c>
      <c r="T313">
        <f t="shared" si="43"/>
        <v>2.1215743307542474</v>
      </c>
      <c r="U313">
        <f>SUMPRODUCT(R314:R543,O314:O543)/(M313*O313)</f>
        <v>386312.35919638461</v>
      </c>
    </row>
    <row r="314" spans="1:21" x14ac:dyDescent="0.35">
      <c r="A314">
        <v>311</v>
      </c>
      <c r="B314">
        <f>A314/Inputs!$B$6</f>
        <v>25.916666666666668</v>
      </c>
      <c r="C314">
        <f>Inputs!$B$3+B314</f>
        <v>90.916666666666671</v>
      </c>
      <c r="D314">
        <f t="shared" si="36"/>
        <v>90</v>
      </c>
      <c r="E314">
        <f>Inputs!$B$7+1+INT((A314-1)/Inputs!$B$6)</f>
        <v>2051</v>
      </c>
      <c r="F314">
        <f>Inputs!$B$16</f>
        <v>8333.3333333333339</v>
      </c>
      <c r="G314">
        <f>Inputs!$B$12</f>
        <v>25</v>
      </c>
      <c r="H314">
        <f>IFERROR(INDEX(RP2014_Qx!$B:$B,MATCH(D314,RP2014_Qx!$A:$A,0)),"")</f>
        <v>0.107126</v>
      </c>
      <c r="I314">
        <f>SUMIFS(MP2016_Long!$C:$C,MP2016_Long!$A:$A,D314,MP2016_Long!$B:$B,"&gt;=2014",MP2016_Long!$B:$B,"&lt;"&amp;E314)</f>
        <v>0.16839999999999994</v>
      </c>
      <c r="J314">
        <f t="shared" si="37"/>
        <v>0.12677396679841152</v>
      </c>
      <c r="K314">
        <f t="shared" si="38"/>
        <v>0.13556084118962247</v>
      </c>
      <c r="L314">
        <f>EXP(-K314/Inputs!$B$6)</f>
        <v>0.98876683176747304</v>
      </c>
      <c r="M314">
        <f t="shared" si="44"/>
        <v>0.30249380238600976</v>
      </c>
      <c r="N314">
        <f>IFERROR(INDEX(MonthlyCurve!$I:$I,MATCH(A314,MonthlyCurve!$A:$A,0)),"")</f>
        <v>4.963356E-2</v>
      </c>
      <c r="O314">
        <f>IFERROR(INDEX(MonthlyCurve!$J:$J,MATCH(A314,MonthlyCurve!$A:$A,0)),"")</f>
        <v>0.27628110643768539</v>
      </c>
      <c r="P314">
        <f t="shared" si="39"/>
        <v>2520.7816865500813</v>
      </c>
      <c r="Q314">
        <f t="shared" si="40"/>
        <v>7.5623450596502444</v>
      </c>
      <c r="R314">
        <f t="shared" si="41"/>
        <v>2528.3440316097317</v>
      </c>
      <c r="S314">
        <f t="shared" si="42"/>
        <v>696.44435344791111</v>
      </c>
      <c r="T314">
        <f t="shared" si="43"/>
        <v>2.0893330603437335</v>
      </c>
      <c r="U314">
        <f>SUMPRODUCT(R315:R543,O315:O543)/(M314*O314)</f>
        <v>383915.35461057269</v>
      </c>
    </row>
    <row r="315" spans="1:21" x14ac:dyDescent="0.35">
      <c r="A315">
        <v>312</v>
      </c>
      <c r="B315">
        <f>A315/Inputs!$B$6</f>
        <v>26</v>
      </c>
      <c r="C315">
        <f>Inputs!$B$3+B315</f>
        <v>91</v>
      </c>
      <c r="D315">
        <f t="shared" si="36"/>
        <v>91</v>
      </c>
      <c r="E315">
        <f>Inputs!$B$7+1+INT((A315-1)/Inputs!$B$6)</f>
        <v>2051</v>
      </c>
      <c r="F315">
        <f>Inputs!$B$16</f>
        <v>8333.3333333333339</v>
      </c>
      <c r="G315">
        <f>Inputs!$B$12</f>
        <v>25</v>
      </c>
      <c r="H315">
        <f>IFERROR(INDEX(RP2014_Qx!$B:$B,MATCH(D315,RP2014_Qx!$A:$A,0)),"")</f>
        <v>0.119744</v>
      </c>
      <c r="I315">
        <f>SUMIFS(MP2016_Long!$C:$C,MP2016_Long!$A:$A,D315,MP2016_Long!$B:$B,"&gt;=2014",MP2016_Long!$B:$B,"&lt;"&amp;E315)</f>
        <v>0.1651</v>
      </c>
      <c r="J315">
        <f t="shared" si="37"/>
        <v>0.14123937283808724</v>
      </c>
      <c r="K315">
        <f t="shared" si="38"/>
        <v>0.15226506036999485</v>
      </c>
      <c r="L315">
        <f>EXP(-K315/Inputs!$B$6)</f>
        <v>0.98739140780753132</v>
      </c>
      <c r="M315">
        <f t="shared" si="44"/>
        <v>0.29867978139097534</v>
      </c>
      <c r="N315">
        <f>IFERROR(INDEX(MonthlyCurve!$I:$I,MATCH(A315,MonthlyCurve!$A:$A,0)),"")</f>
        <v>4.9628940000000003E-2</v>
      </c>
      <c r="O315">
        <f>IFERROR(INDEX(MonthlyCurve!$J:$J,MATCH(A315,MonthlyCurve!$A:$A,0)),"")</f>
        <v>0.27517378374918799</v>
      </c>
      <c r="P315">
        <f t="shared" si="39"/>
        <v>2488.9981782581281</v>
      </c>
      <c r="Q315">
        <f t="shared" si="40"/>
        <v>7.4669945347743836</v>
      </c>
      <c r="R315">
        <f t="shared" si="41"/>
        <v>2496.4651727929026</v>
      </c>
      <c r="S315">
        <f t="shared" si="42"/>
        <v>684.90704645612504</v>
      </c>
      <c r="T315">
        <f t="shared" si="43"/>
        <v>2.0547211393683749</v>
      </c>
      <c r="U315">
        <f>SUMPRODUCT(R316:R543,O316:O543)/(M315*O315)</f>
        <v>382024.1022160633</v>
      </c>
    </row>
    <row r="316" spans="1:21" x14ac:dyDescent="0.35">
      <c r="A316">
        <v>313</v>
      </c>
      <c r="B316">
        <f>A316/Inputs!$B$6</f>
        <v>26.083333333333332</v>
      </c>
      <c r="C316">
        <f>Inputs!$B$3+B316</f>
        <v>91.083333333333329</v>
      </c>
      <c r="D316">
        <f t="shared" si="36"/>
        <v>91</v>
      </c>
      <c r="E316">
        <f>Inputs!$B$7+1+INT((A316-1)/Inputs!$B$6)</f>
        <v>2052</v>
      </c>
      <c r="F316">
        <f>Inputs!$B$16</f>
        <v>8333.3333333333339</v>
      </c>
      <c r="G316">
        <f>Inputs!$B$12</f>
        <v>25</v>
      </c>
      <c r="H316">
        <f>IFERROR(INDEX(RP2014_Qx!$B:$B,MATCH(D316,RP2014_Qx!$A:$A,0)),"")</f>
        <v>0.119744</v>
      </c>
      <c r="I316">
        <f>SUMIFS(MP2016_Long!$C:$C,MP2016_Long!$A:$A,D316,MP2016_Long!$B:$B,"&gt;=2014",MP2016_Long!$B:$B,"&lt;"&amp;E316)</f>
        <v>0.1651</v>
      </c>
      <c r="J316">
        <f t="shared" si="37"/>
        <v>0.14123937283808724</v>
      </c>
      <c r="K316">
        <f t="shared" si="38"/>
        <v>0.15226506036999485</v>
      </c>
      <c r="L316">
        <f>EXP(-K316/Inputs!$B$6)</f>
        <v>0.98739140780753132</v>
      </c>
      <c r="M316">
        <f t="shared" si="44"/>
        <v>0.29491384983128083</v>
      </c>
      <c r="N316">
        <f>IFERROR(INDEX(MonthlyCurve!$I:$I,MATCH(A316,MonthlyCurve!$A:$A,0)),"")</f>
        <v>4.9624565000000002E-2</v>
      </c>
      <c r="O316">
        <f>IFERROR(INDEX(MonthlyCurve!$J:$J,MATCH(A316,MonthlyCurve!$A:$A,0)),"")</f>
        <v>0.27406935877366573</v>
      </c>
      <c r="P316">
        <f t="shared" si="39"/>
        <v>2457.6154152606737</v>
      </c>
      <c r="Q316">
        <f t="shared" si="40"/>
        <v>7.3728462457820205</v>
      </c>
      <c r="R316">
        <f t="shared" si="41"/>
        <v>2464.9882615064557</v>
      </c>
      <c r="S316">
        <f t="shared" si="42"/>
        <v>673.55708097276909</v>
      </c>
      <c r="T316">
        <f t="shared" si="43"/>
        <v>2.0206712429183069</v>
      </c>
      <c r="U316">
        <f>SUMPRODUCT(R317:R543,O317:O543)/(M316*O316)</f>
        <v>380103.17485239223</v>
      </c>
    </row>
    <row r="317" spans="1:21" x14ac:dyDescent="0.35">
      <c r="A317">
        <v>314</v>
      </c>
      <c r="B317">
        <f>A317/Inputs!$B$6</f>
        <v>26.166666666666668</v>
      </c>
      <c r="C317">
        <f>Inputs!$B$3+B317</f>
        <v>91.166666666666671</v>
      </c>
      <c r="D317">
        <f t="shared" si="36"/>
        <v>91</v>
      </c>
      <c r="E317">
        <f>Inputs!$B$7+1+INT((A317-1)/Inputs!$B$6)</f>
        <v>2052</v>
      </c>
      <c r="F317">
        <f>Inputs!$B$16</f>
        <v>8333.3333333333339</v>
      </c>
      <c r="G317">
        <f>Inputs!$B$12</f>
        <v>25</v>
      </c>
      <c r="H317">
        <f>IFERROR(INDEX(RP2014_Qx!$B:$B,MATCH(D317,RP2014_Qx!$A:$A,0)),"")</f>
        <v>0.119744</v>
      </c>
      <c r="I317">
        <f>SUMIFS(MP2016_Long!$C:$C,MP2016_Long!$A:$A,D317,MP2016_Long!$B:$B,"&gt;=2014",MP2016_Long!$B:$B,"&lt;"&amp;E317)</f>
        <v>0.1651</v>
      </c>
      <c r="J317">
        <f t="shared" si="37"/>
        <v>0.14123937283808724</v>
      </c>
      <c r="K317">
        <f t="shared" si="38"/>
        <v>0.15226506036999485</v>
      </c>
      <c r="L317">
        <f>EXP(-K317/Inputs!$B$6)</f>
        <v>0.98739140780753132</v>
      </c>
      <c r="M317">
        <f t="shared" si="44"/>
        <v>0.29119540136684724</v>
      </c>
      <c r="N317">
        <f>IFERROR(INDEX(MonthlyCurve!$I:$I,MATCH(A317,MonthlyCurve!$A:$A,0)),"")</f>
        <v>4.9620190000000002E-2</v>
      </c>
      <c r="O317">
        <f>IFERROR(INDEX(MonthlyCurve!$J:$J,MATCH(A317,MonthlyCurve!$A:$A,0)),"")</f>
        <v>0.27296956550819923</v>
      </c>
      <c r="P317">
        <f t="shared" si="39"/>
        <v>2426.628344723727</v>
      </c>
      <c r="Q317">
        <f t="shared" si="40"/>
        <v>7.2798850341711807</v>
      </c>
      <c r="R317">
        <f t="shared" si="41"/>
        <v>2433.908229757898</v>
      </c>
      <c r="S317">
        <f t="shared" si="42"/>
        <v>662.39568490911643</v>
      </c>
      <c r="T317">
        <f t="shared" si="43"/>
        <v>1.9871870547273494</v>
      </c>
      <c r="U317">
        <f>SUMPRODUCT(R318:R543,O318:O543)/(M317*O317)</f>
        <v>378149.59652612294</v>
      </c>
    </row>
    <row r="318" spans="1:21" x14ac:dyDescent="0.35">
      <c r="A318">
        <v>315</v>
      </c>
      <c r="B318">
        <f>A318/Inputs!$B$6</f>
        <v>26.25</v>
      </c>
      <c r="C318">
        <f>Inputs!$B$3+B318</f>
        <v>91.25</v>
      </c>
      <c r="D318">
        <f t="shared" si="36"/>
        <v>91</v>
      </c>
      <c r="E318">
        <f>Inputs!$B$7+1+INT((A318-1)/Inputs!$B$6)</f>
        <v>2052</v>
      </c>
      <c r="F318">
        <f>Inputs!$B$16</f>
        <v>8333.3333333333339</v>
      </c>
      <c r="G318">
        <f>Inputs!$B$12</f>
        <v>25</v>
      </c>
      <c r="H318">
        <f>IFERROR(INDEX(RP2014_Qx!$B:$B,MATCH(D318,RP2014_Qx!$A:$A,0)),"")</f>
        <v>0.119744</v>
      </c>
      <c r="I318">
        <f>SUMIFS(MP2016_Long!$C:$C,MP2016_Long!$A:$A,D318,MP2016_Long!$B:$B,"&gt;=2014",MP2016_Long!$B:$B,"&lt;"&amp;E318)</f>
        <v>0.1651</v>
      </c>
      <c r="J318">
        <f t="shared" si="37"/>
        <v>0.14123937283808724</v>
      </c>
      <c r="K318">
        <f t="shared" si="38"/>
        <v>0.15226506036999485</v>
      </c>
      <c r="L318">
        <f>EXP(-K318/Inputs!$B$6)</f>
        <v>0.98739140780753132</v>
      </c>
      <c r="M318">
        <f t="shared" si="44"/>
        <v>0.28752383730269043</v>
      </c>
      <c r="N318">
        <f>IFERROR(INDEX(MonthlyCurve!$I:$I,MATCH(A318,MonthlyCurve!$A:$A,0)),"")</f>
        <v>4.9615815000000001E-2</v>
      </c>
      <c r="O318">
        <f>IFERROR(INDEX(MonthlyCurve!$J:$J,MATCH(A318,MonthlyCurve!$A:$A,0)),"")</f>
        <v>0.27187438376588402</v>
      </c>
      <c r="P318">
        <f t="shared" si="39"/>
        <v>2396.0319775224202</v>
      </c>
      <c r="Q318">
        <f t="shared" si="40"/>
        <v>7.1880959325672604</v>
      </c>
      <c r="R318">
        <f t="shared" si="41"/>
        <v>2403.2200734549874</v>
      </c>
      <c r="S318">
        <f t="shared" si="42"/>
        <v>651.41971737226049</v>
      </c>
      <c r="T318">
        <f t="shared" si="43"/>
        <v>1.9542591521167814</v>
      </c>
      <c r="U318">
        <f>SUMPRODUCT(R319:R543,O319:O543)/(M318*O318)</f>
        <v>376162.81994008721</v>
      </c>
    </row>
    <row r="319" spans="1:21" x14ac:dyDescent="0.35">
      <c r="A319">
        <v>316</v>
      </c>
      <c r="B319">
        <f>A319/Inputs!$B$6</f>
        <v>26.333333333333332</v>
      </c>
      <c r="C319">
        <f>Inputs!$B$3+B319</f>
        <v>91.333333333333329</v>
      </c>
      <c r="D319">
        <f t="shared" si="36"/>
        <v>91</v>
      </c>
      <c r="E319">
        <f>Inputs!$B$7+1+INT((A319-1)/Inputs!$B$6)</f>
        <v>2052</v>
      </c>
      <c r="F319">
        <f>Inputs!$B$16</f>
        <v>8333.3333333333339</v>
      </c>
      <c r="G319">
        <f>Inputs!$B$12</f>
        <v>25</v>
      </c>
      <c r="H319">
        <f>IFERROR(INDEX(RP2014_Qx!$B:$B,MATCH(D319,RP2014_Qx!$A:$A,0)),"")</f>
        <v>0.119744</v>
      </c>
      <c r="I319">
        <f>SUMIFS(MP2016_Long!$C:$C,MP2016_Long!$A:$A,D319,MP2016_Long!$B:$B,"&gt;=2014",MP2016_Long!$B:$B,"&lt;"&amp;E319)</f>
        <v>0.1651</v>
      </c>
      <c r="J319">
        <f t="shared" si="37"/>
        <v>0.14123937283808724</v>
      </c>
      <c r="K319">
        <f t="shared" si="38"/>
        <v>0.15226506036999485</v>
      </c>
      <c r="L319">
        <f>EXP(-K319/Inputs!$B$6)</f>
        <v>0.98739140780753132</v>
      </c>
      <c r="M319">
        <f t="shared" si="44"/>
        <v>0.28389856649252709</v>
      </c>
      <c r="N319">
        <f>IFERROR(INDEX(MonthlyCurve!$I:$I,MATCH(A319,MonthlyCurve!$A:$A,0)),"")</f>
        <v>4.961144E-2</v>
      </c>
      <c r="O319">
        <f>IFERROR(INDEX(MonthlyCurve!$J:$J,MATCH(A319,MonthlyCurve!$A:$A,0)),"")</f>
        <v>0.27078379345088199</v>
      </c>
      <c r="P319">
        <f t="shared" si="39"/>
        <v>2365.8213874377261</v>
      </c>
      <c r="Q319">
        <f t="shared" si="40"/>
        <v>7.0974641623131776</v>
      </c>
      <c r="R319">
        <f t="shared" si="41"/>
        <v>2372.9188516000395</v>
      </c>
      <c r="S319">
        <f t="shared" si="42"/>
        <v>640.62608991761624</v>
      </c>
      <c r="T319">
        <f t="shared" si="43"/>
        <v>1.9218782697528487</v>
      </c>
      <c r="U319">
        <f>SUMPRODUCT(R320:R543,O320:O543)/(M319*O319)</f>
        <v>374142.28864857188</v>
      </c>
    </row>
    <row r="320" spans="1:21" x14ac:dyDescent="0.35">
      <c r="A320">
        <v>317</v>
      </c>
      <c r="B320">
        <f>A320/Inputs!$B$6</f>
        <v>26.416666666666668</v>
      </c>
      <c r="C320">
        <f>Inputs!$B$3+B320</f>
        <v>91.416666666666671</v>
      </c>
      <c r="D320">
        <f t="shared" si="36"/>
        <v>91</v>
      </c>
      <c r="E320">
        <f>Inputs!$B$7+1+INT((A320-1)/Inputs!$B$6)</f>
        <v>2052</v>
      </c>
      <c r="F320">
        <f>Inputs!$B$16</f>
        <v>8333.3333333333339</v>
      </c>
      <c r="G320">
        <f>Inputs!$B$12</f>
        <v>25</v>
      </c>
      <c r="H320">
        <f>IFERROR(INDEX(RP2014_Qx!$B:$B,MATCH(D320,RP2014_Qx!$A:$A,0)),"")</f>
        <v>0.119744</v>
      </c>
      <c r="I320">
        <f>SUMIFS(MP2016_Long!$C:$C,MP2016_Long!$A:$A,D320,MP2016_Long!$B:$B,"&gt;=2014",MP2016_Long!$B:$B,"&lt;"&amp;E320)</f>
        <v>0.1651</v>
      </c>
      <c r="J320">
        <f t="shared" si="37"/>
        <v>0.14123937283808724</v>
      </c>
      <c r="K320">
        <f t="shared" si="38"/>
        <v>0.15226506036999485</v>
      </c>
      <c r="L320">
        <f>EXP(-K320/Inputs!$B$6)</f>
        <v>0.98739140780753132</v>
      </c>
      <c r="M320">
        <f t="shared" si="44"/>
        <v>0.28031900524359638</v>
      </c>
      <c r="N320">
        <f>IFERROR(INDEX(MonthlyCurve!$I:$I,MATCH(A320,MonthlyCurve!$A:$A,0)),"")</f>
        <v>4.9607064999999999E-2</v>
      </c>
      <c r="O320">
        <f>IFERROR(INDEX(MonthlyCurve!$J:$J,MATCH(A320,MonthlyCurve!$A:$A,0)),"")</f>
        <v>0.26969777455799804</v>
      </c>
      <c r="P320">
        <f t="shared" si="39"/>
        <v>2335.9917103633034</v>
      </c>
      <c r="Q320">
        <f t="shared" si="40"/>
        <v>7.0079751310899097</v>
      </c>
      <c r="R320">
        <f t="shared" si="41"/>
        <v>2342.9996854943934</v>
      </c>
      <c r="S320">
        <f t="shared" si="42"/>
        <v>630.01176567091443</v>
      </c>
      <c r="T320">
        <f t="shared" si="43"/>
        <v>1.8900352970127432</v>
      </c>
      <c r="U320">
        <f>SUMPRODUCT(R321:R543,O321:O543)/(M320*O320)</f>
        <v>372087.43690480845</v>
      </c>
    </row>
    <row r="321" spans="1:21" x14ac:dyDescent="0.35">
      <c r="A321">
        <v>318</v>
      </c>
      <c r="B321">
        <f>A321/Inputs!$B$6</f>
        <v>26.5</v>
      </c>
      <c r="C321">
        <f>Inputs!$B$3+B321</f>
        <v>91.5</v>
      </c>
      <c r="D321">
        <f t="shared" si="36"/>
        <v>91</v>
      </c>
      <c r="E321">
        <f>Inputs!$B$7+1+INT((A321-1)/Inputs!$B$6)</f>
        <v>2052</v>
      </c>
      <c r="F321">
        <f>Inputs!$B$16</f>
        <v>8333.3333333333339</v>
      </c>
      <c r="G321">
        <f>Inputs!$B$12</f>
        <v>25</v>
      </c>
      <c r="H321">
        <f>IFERROR(INDEX(RP2014_Qx!$B:$B,MATCH(D321,RP2014_Qx!$A:$A,0)),"")</f>
        <v>0.119744</v>
      </c>
      <c r="I321">
        <f>SUMIFS(MP2016_Long!$C:$C,MP2016_Long!$A:$A,D321,MP2016_Long!$B:$B,"&gt;=2014",MP2016_Long!$B:$B,"&lt;"&amp;E321)</f>
        <v>0.1651</v>
      </c>
      <c r="J321">
        <f t="shared" si="37"/>
        <v>0.14123937283808724</v>
      </c>
      <c r="K321">
        <f t="shared" si="38"/>
        <v>0.15226506036999485</v>
      </c>
      <c r="L321">
        <f>EXP(-K321/Inputs!$B$6)</f>
        <v>0.98739140780753132</v>
      </c>
      <c r="M321">
        <f t="shared" si="44"/>
        <v>0.2767845772226814</v>
      </c>
      <c r="N321">
        <f>IFERROR(INDEX(MonthlyCurve!$I:$I,MATCH(A321,MonthlyCurve!$A:$A,0)),"")</f>
        <v>4.9602689999999998E-2</v>
      </c>
      <c r="O321">
        <f>IFERROR(INDEX(MonthlyCurve!$J:$J,MATCH(A321,MonthlyCurve!$A:$A,0)),"")</f>
        <v>0.2686163071722581</v>
      </c>
      <c r="P321">
        <f t="shared" si="39"/>
        <v>2306.5381435223453</v>
      </c>
      <c r="Q321">
        <f t="shared" si="40"/>
        <v>6.9196144305670355</v>
      </c>
      <c r="R321">
        <f t="shared" si="41"/>
        <v>2313.4577579529123</v>
      </c>
      <c r="S321">
        <f t="shared" si="42"/>
        <v>619.57375846492823</v>
      </c>
      <c r="T321">
        <f t="shared" si="43"/>
        <v>1.8587212753947846</v>
      </c>
      <c r="U321">
        <f>SUMPRODUCT(R322:R543,O322:O543)/(M321*O321)</f>
        <v>369997.68950592796</v>
      </c>
    </row>
    <row r="322" spans="1:21" x14ac:dyDescent="0.35">
      <c r="A322">
        <v>319</v>
      </c>
      <c r="B322">
        <f>A322/Inputs!$B$6</f>
        <v>26.583333333333332</v>
      </c>
      <c r="C322">
        <f>Inputs!$B$3+B322</f>
        <v>91.583333333333329</v>
      </c>
      <c r="D322">
        <f t="shared" si="36"/>
        <v>91</v>
      </c>
      <c r="E322">
        <f>Inputs!$B$7+1+INT((A322-1)/Inputs!$B$6)</f>
        <v>2052</v>
      </c>
      <c r="F322">
        <f>Inputs!$B$16</f>
        <v>8333.3333333333339</v>
      </c>
      <c r="G322">
        <f>Inputs!$B$12</f>
        <v>25</v>
      </c>
      <c r="H322">
        <f>IFERROR(INDEX(RP2014_Qx!$B:$B,MATCH(D322,RP2014_Qx!$A:$A,0)),"")</f>
        <v>0.119744</v>
      </c>
      <c r="I322">
        <f>SUMIFS(MP2016_Long!$C:$C,MP2016_Long!$A:$A,D322,MP2016_Long!$B:$B,"&gt;=2014",MP2016_Long!$B:$B,"&lt;"&amp;E322)</f>
        <v>0.1651</v>
      </c>
      <c r="J322">
        <f t="shared" si="37"/>
        <v>0.14123937283808724</v>
      </c>
      <c r="K322">
        <f t="shared" si="38"/>
        <v>0.15226506036999485</v>
      </c>
      <c r="L322">
        <f>EXP(-K322/Inputs!$B$6)</f>
        <v>0.98739140780753132</v>
      </c>
      <c r="M322">
        <f t="shared" si="44"/>
        <v>0.27329471336331573</v>
      </c>
      <c r="N322">
        <f>IFERROR(INDEX(MonthlyCurve!$I:$I,MATCH(A322,MonthlyCurve!$A:$A,0)),"")</f>
        <v>4.9598548333333332E-2</v>
      </c>
      <c r="O322">
        <f>IFERROR(INDEX(MonthlyCurve!$J:$J,MATCH(A322,MonthlyCurve!$A:$A,0)),"")</f>
        <v>0.267537711986368</v>
      </c>
      <c r="P322">
        <f t="shared" si="39"/>
        <v>2277.4559446942981</v>
      </c>
      <c r="Q322">
        <f t="shared" si="40"/>
        <v>6.8323678340828931</v>
      </c>
      <c r="R322">
        <f t="shared" si="41"/>
        <v>2284.2883125283811</v>
      </c>
      <c r="S322">
        <f t="shared" si="42"/>
        <v>609.30535259326473</v>
      </c>
      <c r="T322">
        <f t="shared" si="43"/>
        <v>1.8279160577797939</v>
      </c>
      <c r="U322">
        <f>SUMPRODUCT(R323:R543,O323:O543)/(M322*O322)</f>
        <v>367874.79531859007</v>
      </c>
    </row>
    <row r="323" spans="1:21" x14ac:dyDescent="0.35">
      <c r="A323">
        <v>320</v>
      </c>
      <c r="B323">
        <f>A323/Inputs!$B$6</f>
        <v>26.666666666666668</v>
      </c>
      <c r="C323">
        <f>Inputs!$B$3+B323</f>
        <v>91.666666666666671</v>
      </c>
      <c r="D323">
        <f t="shared" si="36"/>
        <v>91</v>
      </c>
      <c r="E323">
        <f>Inputs!$B$7+1+INT((A323-1)/Inputs!$B$6)</f>
        <v>2052</v>
      </c>
      <c r="F323">
        <f>Inputs!$B$16</f>
        <v>8333.3333333333339</v>
      </c>
      <c r="G323">
        <f>Inputs!$B$12</f>
        <v>25</v>
      </c>
      <c r="H323">
        <f>IFERROR(INDEX(RP2014_Qx!$B:$B,MATCH(D323,RP2014_Qx!$A:$A,0)),"")</f>
        <v>0.119744</v>
      </c>
      <c r="I323">
        <f>SUMIFS(MP2016_Long!$C:$C,MP2016_Long!$A:$A,D323,MP2016_Long!$B:$B,"&gt;=2014",MP2016_Long!$B:$B,"&lt;"&amp;E323)</f>
        <v>0.1651</v>
      </c>
      <c r="J323">
        <f t="shared" si="37"/>
        <v>0.14123937283808724</v>
      </c>
      <c r="K323">
        <f t="shared" si="38"/>
        <v>0.15226506036999485</v>
      </c>
      <c r="L323">
        <f>EXP(-K323/Inputs!$B$6)</f>
        <v>0.98739140780753132</v>
      </c>
      <c r="M323">
        <f t="shared" si="44"/>
        <v>0.26984885177416007</v>
      </c>
      <c r="N323">
        <f>IFERROR(INDEX(MonthlyCurve!$I:$I,MATCH(A323,MonthlyCurve!$A:$A,0)),"")</f>
        <v>4.9594406666666667E-2</v>
      </c>
      <c r="O323">
        <f>IFERROR(INDEX(MonthlyCurve!$J:$J,MATCH(A323,MonthlyCurve!$A:$A,0)),"")</f>
        <v>0.26646363169840803</v>
      </c>
      <c r="P323">
        <f t="shared" si="39"/>
        <v>2248.7404314513342</v>
      </c>
      <c r="Q323">
        <f t="shared" si="40"/>
        <v>6.7462212943540019</v>
      </c>
      <c r="R323">
        <f t="shared" si="41"/>
        <v>2255.4866527456884</v>
      </c>
      <c r="S323">
        <f t="shared" si="42"/>
        <v>599.20754211156748</v>
      </c>
      <c r="T323">
        <f t="shared" si="43"/>
        <v>1.7976226263347024</v>
      </c>
      <c r="U323">
        <f>SUMPRODUCT(R324:R543,O324:O543)/(M323*O323)</f>
        <v>365715.86653719185</v>
      </c>
    </row>
    <row r="324" spans="1:21" x14ac:dyDescent="0.35">
      <c r="A324">
        <v>321</v>
      </c>
      <c r="B324">
        <f>A324/Inputs!$B$6</f>
        <v>26.75</v>
      </c>
      <c r="C324">
        <f>Inputs!$B$3+B324</f>
        <v>91.75</v>
      </c>
      <c r="D324">
        <f t="shared" ref="D324:D387" si="45">INT(C324)</f>
        <v>91</v>
      </c>
      <c r="E324">
        <f>Inputs!$B$7+1+INT((A324-1)/Inputs!$B$6)</f>
        <v>2052</v>
      </c>
      <c r="F324">
        <f>Inputs!$B$16</f>
        <v>8333.3333333333339</v>
      </c>
      <c r="G324">
        <f>Inputs!$B$12</f>
        <v>25</v>
      </c>
      <c r="H324">
        <f>IFERROR(INDEX(RP2014_Qx!$B:$B,MATCH(D324,RP2014_Qx!$A:$A,0)),"")</f>
        <v>0.119744</v>
      </c>
      <c r="I324">
        <f>SUMIFS(MP2016_Long!$C:$C,MP2016_Long!$A:$A,D324,MP2016_Long!$B:$B,"&gt;=2014",MP2016_Long!$B:$B,"&lt;"&amp;E324)</f>
        <v>0.1651</v>
      </c>
      <c r="J324">
        <f t="shared" ref="J324:J387" si="46">MIN(0.999999,MAX(0,H324*EXP(I324)))</f>
        <v>0.14123937283808724</v>
      </c>
      <c r="K324">
        <f t="shared" ref="K324:K387" si="47">-LN(1-J324)</f>
        <v>0.15226506036999485</v>
      </c>
      <c r="L324">
        <f>EXP(-K324/Inputs!$B$6)</f>
        <v>0.98739140780753132</v>
      </c>
      <c r="M324">
        <f t="shared" si="44"/>
        <v>0.26644643764853376</v>
      </c>
      <c r="N324">
        <f>IFERROR(INDEX(MonthlyCurve!$I:$I,MATCH(A324,MonthlyCurve!$A:$A,0)),"")</f>
        <v>4.9590264999999994E-2</v>
      </c>
      <c r="O324">
        <f>IFERROR(INDEX(MonthlyCurve!$J:$J,MATCH(A324,MonthlyCurve!$A:$A,0)),"")</f>
        <v>0.26539404670262307</v>
      </c>
      <c r="P324">
        <f t="shared" ref="P324:P387" si="48">F324*M324</f>
        <v>2220.386980404448</v>
      </c>
      <c r="Q324">
        <f t="shared" ref="Q324:Q387" si="49">G324*M324</f>
        <v>6.6611609412133443</v>
      </c>
      <c r="R324">
        <f t="shared" ref="R324:R387" si="50">P324+Q324</f>
        <v>2227.0481413456614</v>
      </c>
      <c r="S324">
        <f t="shared" ref="S324:S387" si="51">P324*O324</f>
        <v>589.27748597535424</v>
      </c>
      <c r="T324">
        <f t="shared" ref="T324:T387" si="52">Q324*O324</f>
        <v>1.7678324579260629</v>
      </c>
      <c r="U324">
        <f>SUMPRODUCT(R325:R543,O325:O543)/(M324*O324)</f>
        <v>363520.29891449359</v>
      </c>
    </row>
    <row r="325" spans="1:21" x14ac:dyDescent="0.35">
      <c r="A325">
        <v>322</v>
      </c>
      <c r="B325">
        <f>A325/Inputs!$B$6</f>
        <v>26.833333333333332</v>
      </c>
      <c r="C325">
        <f>Inputs!$B$3+B325</f>
        <v>91.833333333333329</v>
      </c>
      <c r="D325">
        <f t="shared" si="45"/>
        <v>91</v>
      </c>
      <c r="E325">
        <f>Inputs!$B$7+1+INT((A325-1)/Inputs!$B$6)</f>
        <v>2052</v>
      </c>
      <c r="F325">
        <f>Inputs!$B$16</f>
        <v>8333.3333333333339</v>
      </c>
      <c r="G325">
        <f>Inputs!$B$12</f>
        <v>25</v>
      </c>
      <c r="H325">
        <f>IFERROR(INDEX(RP2014_Qx!$B:$B,MATCH(D325,RP2014_Qx!$A:$A,0)),"")</f>
        <v>0.119744</v>
      </c>
      <c r="I325">
        <f>SUMIFS(MP2016_Long!$C:$C,MP2016_Long!$A:$A,D325,MP2016_Long!$B:$B,"&gt;=2014",MP2016_Long!$B:$B,"&lt;"&amp;E325)</f>
        <v>0.1651</v>
      </c>
      <c r="J325">
        <f t="shared" si="46"/>
        <v>0.14123937283808724</v>
      </c>
      <c r="K325">
        <f t="shared" si="47"/>
        <v>0.15226506036999485</v>
      </c>
      <c r="L325">
        <f>EXP(-K325/Inputs!$B$6)</f>
        <v>0.98739140780753132</v>
      </c>
      <c r="M325">
        <f t="shared" ref="M325:M388" si="53">M324*L325</f>
        <v>0.26308692317508736</v>
      </c>
      <c r="N325">
        <f>IFERROR(INDEX(MonthlyCurve!$I:$I,MATCH(A325,MonthlyCurve!$A:$A,0)),"")</f>
        <v>4.9586123333333329E-2</v>
      </c>
      <c r="O325">
        <f>IFERROR(INDEX(MonthlyCurve!$J:$J,MATCH(A325,MonthlyCurve!$A:$A,0)),"")</f>
        <v>0.26432893748125186</v>
      </c>
      <c r="P325">
        <f t="shared" si="48"/>
        <v>2192.3910264590613</v>
      </c>
      <c r="Q325">
        <f t="shared" si="49"/>
        <v>6.5771730793771841</v>
      </c>
      <c r="R325">
        <f t="shared" si="50"/>
        <v>2198.9681995384385</v>
      </c>
      <c r="S325">
        <f t="shared" si="51"/>
        <v>579.51239056735483</v>
      </c>
      <c r="T325">
        <f t="shared" si="52"/>
        <v>1.7385371717020646</v>
      </c>
      <c r="U325">
        <f>SUMPRODUCT(R326:R543,O326:O543)/(M325*O325)</f>
        <v>361287.47809724155</v>
      </c>
    </row>
    <row r="326" spans="1:21" x14ac:dyDescent="0.35">
      <c r="A326">
        <v>323</v>
      </c>
      <c r="B326">
        <f>A326/Inputs!$B$6</f>
        <v>26.916666666666668</v>
      </c>
      <c r="C326">
        <f>Inputs!$B$3+B326</f>
        <v>91.916666666666671</v>
      </c>
      <c r="D326">
        <f t="shared" si="45"/>
        <v>91</v>
      </c>
      <c r="E326">
        <f>Inputs!$B$7+1+INT((A326-1)/Inputs!$B$6)</f>
        <v>2052</v>
      </c>
      <c r="F326">
        <f>Inputs!$B$16</f>
        <v>8333.3333333333339</v>
      </c>
      <c r="G326">
        <f>Inputs!$B$12</f>
        <v>25</v>
      </c>
      <c r="H326">
        <f>IFERROR(INDEX(RP2014_Qx!$B:$B,MATCH(D326,RP2014_Qx!$A:$A,0)),"")</f>
        <v>0.119744</v>
      </c>
      <c r="I326">
        <f>SUMIFS(MP2016_Long!$C:$C,MP2016_Long!$A:$A,D326,MP2016_Long!$B:$B,"&gt;=2014",MP2016_Long!$B:$B,"&lt;"&amp;E326)</f>
        <v>0.1651</v>
      </c>
      <c r="J326">
        <f t="shared" si="46"/>
        <v>0.14123937283808724</v>
      </c>
      <c r="K326">
        <f t="shared" si="47"/>
        <v>0.15226506036999485</v>
      </c>
      <c r="L326">
        <f>EXP(-K326/Inputs!$B$6)</f>
        <v>0.98739140780753132</v>
      </c>
      <c r="M326">
        <f t="shared" si="53"/>
        <v>0.25976976744960134</v>
      </c>
      <c r="N326">
        <f>IFERROR(INDEX(MonthlyCurve!$I:$I,MATCH(A326,MonthlyCurve!$A:$A,0)),"")</f>
        <v>4.9581981666666664E-2</v>
      </c>
      <c r="O326">
        <f>IFERROR(INDEX(MonthlyCurve!$J:$J,MATCH(A326,MonthlyCurve!$A:$A,0)),"")</f>
        <v>0.26326828460412138</v>
      </c>
      <c r="P326">
        <f t="shared" si="48"/>
        <v>2164.7480620800116</v>
      </c>
      <c r="Q326">
        <f t="shared" si="49"/>
        <v>6.4942441862400333</v>
      </c>
      <c r="R326">
        <f t="shared" si="50"/>
        <v>2171.2423062662515</v>
      </c>
      <c r="S326">
        <f t="shared" si="51"/>
        <v>569.9095089039007</v>
      </c>
      <c r="T326">
        <f t="shared" si="52"/>
        <v>1.7097285267117017</v>
      </c>
      <c r="U326">
        <f>SUMPRODUCT(R327:R543,O327:O543)/(M326*O326)</f>
        <v>359016.77945757774</v>
      </c>
    </row>
    <row r="327" spans="1:21" x14ac:dyDescent="0.35">
      <c r="A327">
        <v>324</v>
      </c>
      <c r="B327">
        <f>A327/Inputs!$B$6</f>
        <v>27</v>
      </c>
      <c r="C327">
        <f>Inputs!$B$3+B327</f>
        <v>92</v>
      </c>
      <c r="D327">
        <f t="shared" si="45"/>
        <v>92</v>
      </c>
      <c r="E327">
        <f>Inputs!$B$7+1+INT((A327-1)/Inputs!$B$6)</f>
        <v>2052</v>
      </c>
      <c r="F327">
        <f>Inputs!$B$16</f>
        <v>8333.3333333333339</v>
      </c>
      <c r="G327">
        <f>Inputs!$B$12</f>
        <v>25</v>
      </c>
      <c r="H327">
        <f>IFERROR(INDEX(RP2014_Qx!$B:$B,MATCH(D327,RP2014_Qx!$A:$A,0)),"")</f>
        <v>0.133299</v>
      </c>
      <c r="I327">
        <f>SUMIFS(MP2016_Long!$C:$C,MP2016_Long!$A:$A,D327,MP2016_Long!$B:$B,"&gt;=2014",MP2016_Long!$B:$B,"&lt;"&amp;E327)</f>
        <v>0.16189999999999999</v>
      </c>
      <c r="J327">
        <f t="shared" si="46"/>
        <v>0.15672532099209599</v>
      </c>
      <c r="K327">
        <f t="shared" si="47"/>
        <v>0.17046253893094787</v>
      </c>
      <c r="L327">
        <f>EXP(-K327/Inputs!$B$6)</f>
        <v>0.98589520639190387</v>
      </c>
      <c r="M327">
        <f t="shared" si="53"/>
        <v>0.2561057684941016</v>
      </c>
      <c r="N327">
        <f>IFERROR(INDEX(MonthlyCurve!$I:$I,MATCH(A327,MonthlyCurve!$A:$A,0)),"")</f>
        <v>4.9577839999999998E-2</v>
      </c>
      <c r="O327">
        <f>IFERROR(INDEX(MonthlyCurve!$J:$J,MATCH(A327,MonthlyCurve!$A:$A,0)),"")</f>
        <v>0.26221206872824082</v>
      </c>
      <c r="P327">
        <f t="shared" si="48"/>
        <v>2134.2147374508468</v>
      </c>
      <c r="Q327">
        <f t="shared" si="49"/>
        <v>6.4026442123525404</v>
      </c>
      <c r="R327">
        <f t="shared" si="50"/>
        <v>2140.6173816631995</v>
      </c>
      <c r="S327">
        <f t="shared" si="51"/>
        <v>559.61686141728592</v>
      </c>
      <c r="T327">
        <f t="shared" si="52"/>
        <v>1.6788505842518577</v>
      </c>
      <c r="U327">
        <f>SUMPRODUCT(R328:R543,O328:O543)/(M327*O327)</f>
        <v>357261.59447002155</v>
      </c>
    </row>
    <row r="328" spans="1:21" x14ac:dyDescent="0.35">
      <c r="A328">
        <v>325</v>
      </c>
      <c r="B328">
        <f>A328/Inputs!$B$6</f>
        <v>27.083333333333332</v>
      </c>
      <c r="C328">
        <f>Inputs!$B$3+B328</f>
        <v>92.083333333333329</v>
      </c>
      <c r="D328">
        <f t="shared" si="45"/>
        <v>92</v>
      </c>
      <c r="E328">
        <f>Inputs!$B$7+1+INT((A328-1)/Inputs!$B$6)</f>
        <v>2053</v>
      </c>
      <c r="F328">
        <f>Inputs!$B$16</f>
        <v>8333.3333333333339</v>
      </c>
      <c r="G328">
        <f>Inputs!$B$12</f>
        <v>25</v>
      </c>
      <c r="H328">
        <f>IFERROR(INDEX(RP2014_Qx!$B:$B,MATCH(D328,RP2014_Qx!$A:$A,0)),"")</f>
        <v>0.133299</v>
      </c>
      <c r="I328">
        <f>SUMIFS(MP2016_Long!$C:$C,MP2016_Long!$A:$A,D328,MP2016_Long!$B:$B,"&gt;=2014",MP2016_Long!$B:$B,"&lt;"&amp;E328)</f>
        <v>0.16189999999999999</v>
      </c>
      <c r="J328">
        <f t="shared" si="46"/>
        <v>0.15672532099209599</v>
      </c>
      <c r="K328">
        <f t="shared" si="47"/>
        <v>0.17046253893094787</v>
      </c>
      <c r="L328">
        <f>EXP(-K328/Inputs!$B$6)</f>
        <v>0.98589520639190387</v>
      </c>
      <c r="M328">
        <f t="shared" si="53"/>
        <v>0.25249344948764946</v>
      </c>
      <c r="N328">
        <f>IFERROR(INDEX(MonthlyCurve!$I:$I,MATCH(A328,MonthlyCurve!$A:$A,0)),"")</f>
        <v>4.9573921666666666E-2</v>
      </c>
      <c r="O328">
        <f>IFERROR(INDEX(MonthlyCurve!$J:$J,MATCH(A328,MonthlyCurve!$A:$A,0)),"")</f>
        <v>0.26115869094526162</v>
      </c>
      <c r="P328">
        <f t="shared" si="48"/>
        <v>2104.1120790637456</v>
      </c>
      <c r="Q328">
        <f t="shared" si="49"/>
        <v>6.3123362371912366</v>
      </c>
      <c r="R328">
        <f t="shared" si="50"/>
        <v>2110.4244153009367</v>
      </c>
      <c r="S328">
        <f t="shared" si="51"/>
        <v>549.50715617040066</v>
      </c>
      <c r="T328">
        <f t="shared" si="52"/>
        <v>1.6485214685112017</v>
      </c>
      <c r="U328">
        <f>SUMPRODUCT(R329:R543,O329:O543)/(M328*O328)</f>
        <v>355476.07711472828</v>
      </c>
    </row>
    <row r="329" spans="1:21" x14ac:dyDescent="0.35">
      <c r="A329">
        <v>326</v>
      </c>
      <c r="B329">
        <f>A329/Inputs!$B$6</f>
        <v>27.166666666666668</v>
      </c>
      <c r="C329">
        <f>Inputs!$B$3+B329</f>
        <v>92.166666666666671</v>
      </c>
      <c r="D329">
        <f t="shared" si="45"/>
        <v>92</v>
      </c>
      <c r="E329">
        <f>Inputs!$B$7+1+INT((A329-1)/Inputs!$B$6)</f>
        <v>2053</v>
      </c>
      <c r="F329">
        <f>Inputs!$B$16</f>
        <v>8333.3333333333339</v>
      </c>
      <c r="G329">
        <f>Inputs!$B$12</f>
        <v>25</v>
      </c>
      <c r="H329">
        <f>IFERROR(INDEX(RP2014_Qx!$B:$B,MATCH(D329,RP2014_Qx!$A:$A,0)),"")</f>
        <v>0.133299</v>
      </c>
      <c r="I329">
        <f>SUMIFS(MP2016_Long!$C:$C,MP2016_Long!$A:$A,D329,MP2016_Long!$B:$B,"&gt;=2014",MP2016_Long!$B:$B,"&lt;"&amp;E329)</f>
        <v>0.16189999999999999</v>
      </c>
      <c r="J329">
        <f t="shared" si="46"/>
        <v>0.15672532099209599</v>
      </c>
      <c r="K329">
        <f t="shared" si="47"/>
        <v>0.17046253893094787</v>
      </c>
      <c r="L329">
        <f>EXP(-K329/Inputs!$B$6)</f>
        <v>0.98589520639190387</v>
      </c>
      <c r="M329">
        <f t="shared" si="53"/>
        <v>0.24893208149522991</v>
      </c>
      <c r="N329">
        <f>IFERROR(INDEX(MonthlyCurve!$I:$I,MATCH(A329,MonthlyCurve!$A:$A,0)),"")</f>
        <v>4.9570003333333335E-2</v>
      </c>
      <c r="O329">
        <f>IFERROR(INDEX(MonthlyCurve!$J:$J,MATCH(A329,MonthlyCurve!$A:$A,0)),"")</f>
        <v>0.26010971473572903</v>
      </c>
      <c r="P329">
        <f t="shared" si="48"/>
        <v>2074.4340124602495</v>
      </c>
      <c r="Q329">
        <f t="shared" si="49"/>
        <v>6.2233020373807477</v>
      </c>
      <c r="R329">
        <f t="shared" si="50"/>
        <v>2080.6573144976301</v>
      </c>
      <c r="S329">
        <f t="shared" si="51"/>
        <v>539.58043921912929</v>
      </c>
      <c r="T329">
        <f t="shared" si="52"/>
        <v>1.6187413176573875</v>
      </c>
      <c r="U329">
        <f>SUMPRODUCT(R330:R543,O330:O543)/(M329*O329)</f>
        <v>353657.47380862298</v>
      </c>
    </row>
    <row r="330" spans="1:21" x14ac:dyDescent="0.35">
      <c r="A330">
        <v>327</v>
      </c>
      <c r="B330">
        <f>A330/Inputs!$B$6</f>
        <v>27.25</v>
      </c>
      <c r="C330">
        <f>Inputs!$B$3+B330</f>
        <v>92.25</v>
      </c>
      <c r="D330">
        <f t="shared" si="45"/>
        <v>92</v>
      </c>
      <c r="E330">
        <f>Inputs!$B$7+1+INT((A330-1)/Inputs!$B$6)</f>
        <v>2053</v>
      </c>
      <c r="F330">
        <f>Inputs!$B$16</f>
        <v>8333.3333333333339</v>
      </c>
      <c r="G330">
        <f>Inputs!$B$12</f>
        <v>25</v>
      </c>
      <c r="H330">
        <f>IFERROR(INDEX(RP2014_Qx!$B:$B,MATCH(D330,RP2014_Qx!$A:$A,0)),"")</f>
        <v>0.133299</v>
      </c>
      <c r="I330">
        <f>SUMIFS(MP2016_Long!$C:$C,MP2016_Long!$A:$A,D330,MP2016_Long!$B:$B,"&gt;=2014",MP2016_Long!$B:$B,"&lt;"&amp;E330)</f>
        <v>0.16189999999999999</v>
      </c>
      <c r="J330">
        <f t="shared" si="46"/>
        <v>0.15672532099209599</v>
      </c>
      <c r="K330">
        <f t="shared" si="47"/>
        <v>0.17046253893094787</v>
      </c>
      <c r="L330">
        <f>EXP(-K330/Inputs!$B$6)</f>
        <v>0.98589520639190387</v>
      </c>
      <c r="M330">
        <f t="shared" si="53"/>
        <v>0.24542094586330593</v>
      </c>
      <c r="N330">
        <f>IFERROR(INDEX(MonthlyCurve!$I:$I,MATCH(A330,MonthlyCurve!$A:$A,0)),"")</f>
        <v>4.9566084999999996E-2</v>
      </c>
      <c r="O330">
        <f>IFERROR(INDEX(MonthlyCurve!$J:$J,MATCH(A330,MonthlyCurve!$A:$A,0)),"")</f>
        <v>0.25906512105285023</v>
      </c>
      <c r="P330">
        <f t="shared" si="48"/>
        <v>2045.1745488608829</v>
      </c>
      <c r="Q330">
        <f t="shared" si="49"/>
        <v>6.1355236465826479</v>
      </c>
      <c r="R330">
        <f t="shared" si="50"/>
        <v>2051.3100725074655</v>
      </c>
      <c r="S330">
        <f t="shared" si="51"/>
        <v>529.83339207485301</v>
      </c>
      <c r="T330">
        <f t="shared" si="52"/>
        <v>1.5895001762245589</v>
      </c>
      <c r="U330">
        <f>SUMPRODUCT(R331:R543,O331:O543)/(M330*O330)</f>
        <v>351805.17826320487</v>
      </c>
    </row>
    <row r="331" spans="1:21" x14ac:dyDescent="0.35">
      <c r="A331">
        <v>328</v>
      </c>
      <c r="B331">
        <f>A331/Inputs!$B$6</f>
        <v>27.333333333333332</v>
      </c>
      <c r="C331">
        <f>Inputs!$B$3+B331</f>
        <v>92.333333333333329</v>
      </c>
      <c r="D331">
        <f t="shared" si="45"/>
        <v>92</v>
      </c>
      <c r="E331">
        <f>Inputs!$B$7+1+INT((A331-1)/Inputs!$B$6)</f>
        <v>2053</v>
      </c>
      <c r="F331">
        <f>Inputs!$B$16</f>
        <v>8333.3333333333339</v>
      </c>
      <c r="G331">
        <f>Inputs!$B$12</f>
        <v>25</v>
      </c>
      <c r="H331">
        <f>IFERROR(INDEX(RP2014_Qx!$B:$B,MATCH(D331,RP2014_Qx!$A:$A,0)),"")</f>
        <v>0.133299</v>
      </c>
      <c r="I331">
        <f>SUMIFS(MP2016_Long!$C:$C,MP2016_Long!$A:$A,D331,MP2016_Long!$B:$B,"&gt;=2014",MP2016_Long!$B:$B,"&lt;"&amp;E331)</f>
        <v>0.16189999999999999</v>
      </c>
      <c r="J331">
        <f t="shared" si="46"/>
        <v>0.15672532099209599</v>
      </c>
      <c r="K331">
        <f t="shared" si="47"/>
        <v>0.17046253893094787</v>
      </c>
      <c r="L331">
        <f>EXP(-K331/Inputs!$B$6)</f>
        <v>0.98589520639190387</v>
      </c>
      <c r="M331">
        <f t="shared" si="53"/>
        <v>0.24195933407480028</v>
      </c>
      <c r="N331">
        <f>IFERROR(INDEX(MonthlyCurve!$I:$I,MATCH(A331,MonthlyCurve!$A:$A,0)),"")</f>
        <v>4.9562166666666664E-2</v>
      </c>
      <c r="O331">
        <f>IFERROR(INDEX(MonthlyCurve!$J:$J,MATCH(A331,MonthlyCurve!$A:$A,0)),"")</f>
        <v>0.25802489093489861</v>
      </c>
      <c r="P331">
        <f t="shared" si="48"/>
        <v>2016.327783956669</v>
      </c>
      <c r="Q331">
        <f t="shared" si="49"/>
        <v>6.0489833518700067</v>
      </c>
      <c r="R331">
        <f t="shared" si="50"/>
        <v>2022.376767308539</v>
      </c>
      <c r="S331">
        <f t="shared" si="51"/>
        <v>520.26275654442532</v>
      </c>
      <c r="T331">
        <f t="shared" si="52"/>
        <v>1.560788269633276</v>
      </c>
      <c r="U331">
        <f>SUMPRODUCT(R332:R543,O332:O543)/(M331*O331)</f>
        <v>349918.57310283894</v>
      </c>
    </row>
    <row r="332" spans="1:21" x14ac:dyDescent="0.35">
      <c r="A332">
        <v>329</v>
      </c>
      <c r="B332">
        <f>A332/Inputs!$B$6</f>
        <v>27.416666666666668</v>
      </c>
      <c r="C332">
        <f>Inputs!$B$3+B332</f>
        <v>92.416666666666671</v>
      </c>
      <c r="D332">
        <f t="shared" si="45"/>
        <v>92</v>
      </c>
      <c r="E332">
        <f>Inputs!$B$7+1+INT((A332-1)/Inputs!$B$6)</f>
        <v>2053</v>
      </c>
      <c r="F332">
        <f>Inputs!$B$16</f>
        <v>8333.3333333333339</v>
      </c>
      <c r="G332">
        <f>Inputs!$B$12</f>
        <v>25</v>
      </c>
      <c r="H332">
        <f>IFERROR(INDEX(RP2014_Qx!$B:$B,MATCH(D332,RP2014_Qx!$A:$A,0)),"")</f>
        <v>0.133299</v>
      </c>
      <c r="I332">
        <f>SUMIFS(MP2016_Long!$C:$C,MP2016_Long!$A:$A,D332,MP2016_Long!$B:$B,"&gt;=2014",MP2016_Long!$B:$B,"&lt;"&amp;E332)</f>
        <v>0.16189999999999999</v>
      </c>
      <c r="J332">
        <f t="shared" si="46"/>
        <v>0.15672532099209599</v>
      </c>
      <c r="K332">
        <f t="shared" si="47"/>
        <v>0.17046253893094787</v>
      </c>
      <c r="L332">
        <f>EXP(-K332/Inputs!$B$6)</f>
        <v>0.98589520639190387</v>
      </c>
      <c r="M332">
        <f t="shared" si="53"/>
        <v>0.23854654760612284</v>
      </c>
      <c r="N332">
        <f>IFERROR(INDEX(MonthlyCurve!$I:$I,MATCH(A332,MonthlyCurve!$A:$A,0)),"")</f>
        <v>4.9558248333333332E-2</v>
      </c>
      <c r="O332">
        <f>IFERROR(INDEX(MonthlyCurve!$J:$J,MATCH(A332,MonthlyCurve!$A:$A,0)),"")</f>
        <v>0.25698900550482301</v>
      </c>
      <c r="P332">
        <f t="shared" si="48"/>
        <v>1987.8878967176904</v>
      </c>
      <c r="Q332">
        <f t="shared" si="49"/>
        <v>5.9636636901530711</v>
      </c>
      <c r="R332">
        <f t="shared" si="50"/>
        <v>1993.8515604078434</v>
      </c>
      <c r="S332">
        <f t="shared" si="51"/>
        <v>510.86533363255359</v>
      </c>
      <c r="T332">
        <f t="shared" si="52"/>
        <v>1.5325960008976607</v>
      </c>
      <c r="U332">
        <f>SUMPRODUCT(R333:R543,O333:O543)/(M332*O332)</f>
        <v>347997.02966241946</v>
      </c>
    </row>
    <row r="333" spans="1:21" x14ac:dyDescent="0.35">
      <c r="A333">
        <v>330</v>
      </c>
      <c r="B333">
        <f>A333/Inputs!$B$6</f>
        <v>27.5</v>
      </c>
      <c r="C333">
        <f>Inputs!$B$3+B333</f>
        <v>92.5</v>
      </c>
      <c r="D333">
        <f t="shared" si="45"/>
        <v>92</v>
      </c>
      <c r="E333">
        <f>Inputs!$B$7+1+INT((A333-1)/Inputs!$B$6)</f>
        <v>2053</v>
      </c>
      <c r="F333">
        <f>Inputs!$B$16</f>
        <v>8333.3333333333339</v>
      </c>
      <c r="G333">
        <f>Inputs!$B$12</f>
        <v>25</v>
      </c>
      <c r="H333">
        <f>IFERROR(INDEX(RP2014_Qx!$B:$B,MATCH(D333,RP2014_Qx!$A:$A,0)),"")</f>
        <v>0.133299</v>
      </c>
      <c r="I333">
        <f>SUMIFS(MP2016_Long!$C:$C,MP2016_Long!$A:$A,D333,MP2016_Long!$B:$B,"&gt;=2014",MP2016_Long!$B:$B,"&lt;"&amp;E333)</f>
        <v>0.16189999999999999</v>
      </c>
      <c r="J333">
        <f t="shared" si="46"/>
        <v>0.15672532099209599</v>
      </c>
      <c r="K333">
        <f t="shared" si="47"/>
        <v>0.17046253893094787</v>
      </c>
      <c r="L333">
        <f>EXP(-K333/Inputs!$B$6)</f>
        <v>0.98589520639190387</v>
      </c>
      <c r="M333">
        <f t="shared" si="53"/>
        <v>0.23518189778621459</v>
      </c>
      <c r="N333">
        <f>IFERROR(INDEX(MonthlyCurve!$I:$I,MATCH(A333,MonthlyCurve!$A:$A,0)),"")</f>
        <v>4.9554330000000001E-2</v>
      </c>
      <c r="O333">
        <f>IFERROR(INDEX(MonthlyCurve!$J:$J,MATCH(A333,MonthlyCurve!$A:$A,0)),"")</f>
        <v>0.2559574459698587</v>
      </c>
      <c r="P333">
        <f t="shared" si="48"/>
        <v>1959.8491482184552</v>
      </c>
      <c r="Q333">
        <f t="shared" si="49"/>
        <v>5.8795474446553646</v>
      </c>
      <c r="R333">
        <f t="shared" si="50"/>
        <v>1965.7286956631106</v>
      </c>
      <c r="S333">
        <f t="shared" si="51"/>
        <v>501.63798246419884</v>
      </c>
      <c r="T333">
        <f t="shared" si="52"/>
        <v>1.5049139473925963</v>
      </c>
      <c r="U333">
        <f>SUMPRODUCT(R334:R543,O334:O543)/(M333*O333)</f>
        <v>346039.90778134827</v>
      </c>
    </row>
    <row r="334" spans="1:21" x14ac:dyDescent="0.35">
      <c r="A334">
        <v>331</v>
      </c>
      <c r="B334">
        <f>A334/Inputs!$B$6</f>
        <v>27.583333333333332</v>
      </c>
      <c r="C334">
        <f>Inputs!$B$3+B334</f>
        <v>92.583333333333329</v>
      </c>
      <c r="D334">
        <f t="shared" si="45"/>
        <v>92</v>
      </c>
      <c r="E334">
        <f>Inputs!$B$7+1+INT((A334-1)/Inputs!$B$6)</f>
        <v>2053</v>
      </c>
      <c r="F334">
        <f>Inputs!$B$16</f>
        <v>8333.3333333333339</v>
      </c>
      <c r="G334">
        <f>Inputs!$B$12</f>
        <v>25</v>
      </c>
      <c r="H334">
        <f>IFERROR(INDEX(RP2014_Qx!$B:$B,MATCH(D334,RP2014_Qx!$A:$A,0)),"")</f>
        <v>0.133299</v>
      </c>
      <c r="I334">
        <f>SUMIFS(MP2016_Long!$C:$C,MP2016_Long!$A:$A,D334,MP2016_Long!$B:$B,"&gt;=2014",MP2016_Long!$B:$B,"&lt;"&amp;E334)</f>
        <v>0.16189999999999999</v>
      </c>
      <c r="J334">
        <f t="shared" si="46"/>
        <v>0.15672532099209599</v>
      </c>
      <c r="K334">
        <f t="shared" si="47"/>
        <v>0.17046253893094787</v>
      </c>
      <c r="L334">
        <f>EXP(-K334/Inputs!$B$6)</f>
        <v>0.98589520639190387</v>
      </c>
      <c r="M334">
        <f t="shared" si="53"/>
        <v>0.23186470565757969</v>
      </c>
      <c r="N334">
        <f>IFERROR(INDEX(MonthlyCurve!$I:$I,MATCH(A334,MonthlyCurve!$A:$A,0)),"")</f>
        <v>4.9550621666666669E-2</v>
      </c>
      <c r="O334">
        <f>IFERROR(INDEX(MonthlyCurve!$J:$J,MATCH(A334,MonthlyCurve!$A:$A,0)),"")</f>
        <v>0.25492871694226976</v>
      </c>
      <c r="P334">
        <f t="shared" si="48"/>
        <v>1932.205880479831</v>
      </c>
      <c r="Q334">
        <f t="shared" si="49"/>
        <v>5.7966176414394921</v>
      </c>
      <c r="R334">
        <f t="shared" si="50"/>
        <v>1938.0024981212705</v>
      </c>
      <c r="S334">
        <f t="shared" si="51"/>
        <v>492.57476597903195</v>
      </c>
      <c r="T334">
        <f t="shared" si="52"/>
        <v>1.4777242979370957</v>
      </c>
      <c r="U334">
        <f>SUMPRODUCT(R335:R543,O335:O543)/(M334*O334)</f>
        <v>344048.59690499364</v>
      </c>
    </row>
    <row r="335" spans="1:21" x14ac:dyDescent="0.35">
      <c r="A335">
        <v>332</v>
      </c>
      <c r="B335">
        <f>A335/Inputs!$B$6</f>
        <v>27.666666666666668</v>
      </c>
      <c r="C335">
        <f>Inputs!$B$3+B335</f>
        <v>92.666666666666671</v>
      </c>
      <c r="D335">
        <f t="shared" si="45"/>
        <v>92</v>
      </c>
      <c r="E335">
        <f>Inputs!$B$7+1+INT((A335-1)/Inputs!$B$6)</f>
        <v>2053</v>
      </c>
      <c r="F335">
        <f>Inputs!$B$16</f>
        <v>8333.3333333333339</v>
      </c>
      <c r="G335">
        <f>Inputs!$B$12</f>
        <v>25</v>
      </c>
      <c r="H335">
        <f>IFERROR(INDEX(RP2014_Qx!$B:$B,MATCH(D335,RP2014_Qx!$A:$A,0)),"")</f>
        <v>0.133299</v>
      </c>
      <c r="I335">
        <f>SUMIFS(MP2016_Long!$C:$C,MP2016_Long!$A:$A,D335,MP2016_Long!$B:$B,"&gt;=2014",MP2016_Long!$B:$B,"&lt;"&amp;E335)</f>
        <v>0.16189999999999999</v>
      </c>
      <c r="J335">
        <f t="shared" si="46"/>
        <v>0.15672532099209599</v>
      </c>
      <c r="K335">
        <f t="shared" si="47"/>
        <v>0.17046253893094787</v>
      </c>
      <c r="L335">
        <f>EXP(-K335/Inputs!$B$6)</f>
        <v>0.98589520639190387</v>
      </c>
      <c r="M335">
        <f t="shared" si="53"/>
        <v>0.22859430183927756</v>
      </c>
      <c r="N335">
        <f>IFERROR(INDEX(MonthlyCurve!$I:$I,MATCH(A335,MonthlyCurve!$A:$A,0)),"")</f>
        <v>4.9546913333333331E-2</v>
      </c>
      <c r="O335">
        <f>IFERROR(INDEX(MonthlyCurve!$J:$J,MATCH(A335,MonthlyCurve!$A:$A,0)),"")</f>
        <v>0.25390427944844374</v>
      </c>
      <c r="P335">
        <f t="shared" si="48"/>
        <v>1904.9525153273132</v>
      </c>
      <c r="Q335">
        <f t="shared" si="49"/>
        <v>5.7148575459819391</v>
      </c>
      <c r="R335">
        <f t="shared" si="50"/>
        <v>1910.6673728732951</v>
      </c>
      <c r="S335">
        <f t="shared" si="51"/>
        <v>483.67559578768191</v>
      </c>
      <c r="T335">
        <f t="shared" si="52"/>
        <v>1.4510267873630456</v>
      </c>
      <c r="U335">
        <f>SUMPRODUCT(R336:R543,O336:O543)/(M335*O335)</f>
        <v>342020.42999853275</v>
      </c>
    </row>
    <row r="336" spans="1:21" x14ac:dyDescent="0.35">
      <c r="A336">
        <v>333</v>
      </c>
      <c r="B336">
        <f>A336/Inputs!$B$6</f>
        <v>27.75</v>
      </c>
      <c r="C336">
        <f>Inputs!$B$3+B336</f>
        <v>92.75</v>
      </c>
      <c r="D336">
        <f t="shared" si="45"/>
        <v>92</v>
      </c>
      <c r="E336">
        <f>Inputs!$B$7+1+INT((A336-1)/Inputs!$B$6)</f>
        <v>2053</v>
      </c>
      <c r="F336">
        <f>Inputs!$B$16</f>
        <v>8333.3333333333339</v>
      </c>
      <c r="G336">
        <f>Inputs!$B$12</f>
        <v>25</v>
      </c>
      <c r="H336">
        <f>IFERROR(INDEX(RP2014_Qx!$B:$B,MATCH(D336,RP2014_Qx!$A:$A,0)),"")</f>
        <v>0.133299</v>
      </c>
      <c r="I336">
        <f>SUMIFS(MP2016_Long!$C:$C,MP2016_Long!$A:$A,D336,MP2016_Long!$B:$B,"&gt;=2014",MP2016_Long!$B:$B,"&lt;"&amp;E336)</f>
        <v>0.16189999999999999</v>
      </c>
      <c r="J336">
        <f t="shared" si="46"/>
        <v>0.15672532099209599</v>
      </c>
      <c r="K336">
        <f t="shared" si="47"/>
        <v>0.17046253893094787</v>
      </c>
      <c r="L336">
        <f>EXP(-K336/Inputs!$B$6)</f>
        <v>0.98589520639190387</v>
      </c>
      <c r="M336">
        <f t="shared" si="53"/>
        <v>0.22537002639184772</v>
      </c>
      <c r="N336">
        <f>IFERROR(INDEX(MonthlyCurve!$I:$I,MATCH(A336,MonthlyCurve!$A:$A,0)),"")</f>
        <v>4.9543205E-2</v>
      </c>
      <c r="O336">
        <f>IFERROR(INDEX(MonthlyCurve!$J:$J,MATCH(A336,MonthlyCurve!$A:$A,0)),"")</f>
        <v>0.25288411497896907</v>
      </c>
      <c r="P336">
        <f t="shared" si="48"/>
        <v>1878.0835532653978</v>
      </c>
      <c r="Q336">
        <f t="shared" si="49"/>
        <v>5.6342506597961934</v>
      </c>
      <c r="R336">
        <f t="shared" si="50"/>
        <v>1883.7178039251939</v>
      </c>
      <c r="S336">
        <f t="shared" si="51"/>
        <v>474.93749722407762</v>
      </c>
      <c r="T336">
        <f t="shared" si="52"/>
        <v>1.4248124916722329</v>
      </c>
      <c r="U336">
        <f>SUMPRODUCT(R337:R543,O337:O543)/(M336*O336)</f>
        <v>339954.73147622473</v>
      </c>
    </row>
    <row r="337" spans="1:21" x14ac:dyDescent="0.35">
      <c r="A337">
        <v>334</v>
      </c>
      <c r="B337">
        <f>A337/Inputs!$B$6</f>
        <v>27.833333333333332</v>
      </c>
      <c r="C337">
        <f>Inputs!$B$3+B337</f>
        <v>92.833333333333329</v>
      </c>
      <c r="D337">
        <f t="shared" si="45"/>
        <v>92</v>
      </c>
      <c r="E337">
        <f>Inputs!$B$7+1+INT((A337-1)/Inputs!$B$6)</f>
        <v>2053</v>
      </c>
      <c r="F337">
        <f>Inputs!$B$16</f>
        <v>8333.3333333333339</v>
      </c>
      <c r="G337">
        <f>Inputs!$B$12</f>
        <v>25</v>
      </c>
      <c r="H337">
        <f>IFERROR(INDEX(RP2014_Qx!$B:$B,MATCH(D337,RP2014_Qx!$A:$A,0)),"")</f>
        <v>0.133299</v>
      </c>
      <c r="I337">
        <f>SUMIFS(MP2016_Long!$C:$C,MP2016_Long!$A:$A,D337,MP2016_Long!$B:$B,"&gt;=2014",MP2016_Long!$B:$B,"&lt;"&amp;E337)</f>
        <v>0.16189999999999999</v>
      </c>
      <c r="J337">
        <f t="shared" si="46"/>
        <v>0.15672532099209599</v>
      </c>
      <c r="K337">
        <f t="shared" si="47"/>
        <v>0.17046253893094787</v>
      </c>
      <c r="L337">
        <f>EXP(-K337/Inputs!$B$6)</f>
        <v>0.98589520639190387</v>
      </c>
      <c r="M337">
        <f t="shared" si="53"/>
        <v>0.22219122868413954</v>
      </c>
      <c r="N337">
        <f>IFERROR(INDEX(MonthlyCurve!$I:$I,MATCH(A337,MonthlyCurve!$A:$A,0)),"")</f>
        <v>4.9539496666666669E-2</v>
      </c>
      <c r="O337">
        <f>IFERROR(INDEX(MonthlyCurve!$J:$J,MATCH(A337,MonthlyCurve!$A:$A,0)),"")</f>
        <v>0.25186820510671615</v>
      </c>
      <c r="P337">
        <f t="shared" si="48"/>
        <v>1851.5935723678297</v>
      </c>
      <c r="Q337">
        <f t="shared" si="49"/>
        <v>5.5547807171034886</v>
      </c>
      <c r="R337">
        <f t="shared" si="50"/>
        <v>1857.1483530849332</v>
      </c>
      <c r="S337">
        <f t="shared" si="51"/>
        <v>466.35754965941777</v>
      </c>
      <c r="T337">
        <f t="shared" si="52"/>
        <v>1.3990726489782532</v>
      </c>
      <c r="U337">
        <f>SUMPRODUCT(R338:R543,O338:O543)/(M337*O337)</f>
        <v>337850.81339263736</v>
      </c>
    </row>
    <row r="338" spans="1:21" x14ac:dyDescent="0.35">
      <c r="A338">
        <v>335</v>
      </c>
      <c r="B338">
        <f>A338/Inputs!$B$6</f>
        <v>27.916666666666668</v>
      </c>
      <c r="C338">
        <f>Inputs!$B$3+B338</f>
        <v>92.916666666666671</v>
      </c>
      <c r="D338">
        <f t="shared" si="45"/>
        <v>92</v>
      </c>
      <c r="E338">
        <f>Inputs!$B$7+1+INT((A338-1)/Inputs!$B$6)</f>
        <v>2053</v>
      </c>
      <c r="F338">
        <f>Inputs!$B$16</f>
        <v>8333.3333333333339</v>
      </c>
      <c r="G338">
        <f>Inputs!$B$12</f>
        <v>25</v>
      </c>
      <c r="H338">
        <f>IFERROR(INDEX(RP2014_Qx!$B:$B,MATCH(D338,RP2014_Qx!$A:$A,0)),"")</f>
        <v>0.133299</v>
      </c>
      <c r="I338">
        <f>SUMIFS(MP2016_Long!$C:$C,MP2016_Long!$A:$A,D338,MP2016_Long!$B:$B,"&gt;=2014",MP2016_Long!$B:$B,"&lt;"&amp;E338)</f>
        <v>0.16189999999999999</v>
      </c>
      <c r="J338">
        <f t="shared" si="46"/>
        <v>0.15672532099209599</v>
      </c>
      <c r="K338">
        <f t="shared" si="47"/>
        <v>0.17046253893094787</v>
      </c>
      <c r="L338">
        <f>EXP(-K338/Inputs!$B$6)</f>
        <v>0.98589520639190387</v>
      </c>
      <c r="M338">
        <f t="shared" si="53"/>
        <v>0.21905726726202046</v>
      </c>
      <c r="N338">
        <f>IFERROR(INDEX(MonthlyCurve!$I:$I,MATCH(A338,MonthlyCurve!$A:$A,0)),"")</f>
        <v>4.953578833333333E-2</v>
      </c>
      <c r="O338">
        <f>IFERROR(INDEX(MonthlyCurve!$J:$J,MATCH(A338,MonthlyCurve!$A:$A,0)),"")</f>
        <v>0.25085653148646098</v>
      </c>
      <c r="P338">
        <f t="shared" si="48"/>
        <v>1825.4772271835041</v>
      </c>
      <c r="Q338">
        <f t="shared" si="49"/>
        <v>5.4764316815505119</v>
      </c>
      <c r="R338">
        <f t="shared" si="50"/>
        <v>1830.9536588650546</v>
      </c>
      <c r="S338">
        <f t="shared" si="51"/>
        <v>457.93288551877617</v>
      </c>
      <c r="T338">
        <f t="shared" si="52"/>
        <v>1.3737986565563285</v>
      </c>
      <c r="U338">
        <f>SUMPRODUCT(R339:R543,O339:O543)/(M338*O338)</f>
        <v>335707.97521696478</v>
      </c>
    </row>
    <row r="339" spans="1:21" x14ac:dyDescent="0.35">
      <c r="A339">
        <v>336</v>
      </c>
      <c r="B339">
        <f>A339/Inputs!$B$6</f>
        <v>28</v>
      </c>
      <c r="C339">
        <f>Inputs!$B$3+B339</f>
        <v>93</v>
      </c>
      <c r="D339">
        <f t="shared" si="45"/>
        <v>93</v>
      </c>
      <c r="E339">
        <f>Inputs!$B$7+1+INT((A339-1)/Inputs!$B$6)</f>
        <v>2053</v>
      </c>
      <c r="F339">
        <f>Inputs!$B$16</f>
        <v>8333.3333333333339</v>
      </c>
      <c r="G339">
        <f>Inputs!$B$12</f>
        <v>25</v>
      </c>
      <c r="H339">
        <f>IFERROR(INDEX(RP2014_Qx!$B:$B,MATCH(D339,RP2014_Qx!$A:$A,0)),"")</f>
        <v>0.14771999999999999</v>
      </c>
      <c r="I339">
        <f>SUMIFS(MP2016_Long!$C:$C,MP2016_Long!$A:$A,D339,MP2016_Long!$B:$B,"&gt;=2014",MP2016_Long!$B:$B,"&lt;"&amp;E339)</f>
        <v>0.15900000000000003</v>
      </c>
      <c r="J339">
        <f t="shared" si="46"/>
        <v>0.17317776148367561</v>
      </c>
      <c r="K339">
        <f t="shared" si="47"/>
        <v>0.19016555444344735</v>
      </c>
      <c r="L339">
        <f>EXP(-K339/Inputs!$B$6)</f>
        <v>0.98427777555420615</v>
      </c>
      <c r="M339">
        <f t="shared" si="53"/>
        <v>0.21561319973964471</v>
      </c>
      <c r="N339">
        <f>IFERROR(INDEX(MonthlyCurve!$I:$I,MATCH(A339,MonthlyCurve!$A:$A,0)),"")</f>
        <v>4.9532079999999999E-2</v>
      </c>
      <c r="O339">
        <f>IFERROR(INDEX(MonthlyCurve!$J:$J,MATCH(A339,MonthlyCurve!$A:$A,0)),"")</f>
        <v>0.24984907585451108</v>
      </c>
      <c r="P339">
        <f t="shared" si="48"/>
        <v>1796.7766644970393</v>
      </c>
      <c r="Q339">
        <f t="shared" si="49"/>
        <v>5.3903299934911182</v>
      </c>
      <c r="R339">
        <f t="shared" si="50"/>
        <v>1802.1669944905304</v>
      </c>
      <c r="S339">
        <f t="shared" si="51"/>
        <v>448.92298914153616</v>
      </c>
      <c r="T339">
        <f t="shared" si="52"/>
        <v>1.3467689674246086</v>
      </c>
      <c r="U339">
        <f>SUMPRODUCT(R340:R543,O340:O543)/(M339*O339)</f>
        <v>334087.30990883528</v>
      </c>
    </row>
    <row r="340" spans="1:21" x14ac:dyDescent="0.35">
      <c r="A340">
        <v>337</v>
      </c>
      <c r="B340">
        <f>A340/Inputs!$B$6</f>
        <v>28.083333333333332</v>
      </c>
      <c r="C340">
        <f>Inputs!$B$3+B340</f>
        <v>93.083333333333329</v>
      </c>
      <c r="D340">
        <f t="shared" si="45"/>
        <v>93</v>
      </c>
      <c r="E340">
        <f>Inputs!$B$7+1+INT((A340-1)/Inputs!$B$6)</f>
        <v>2054</v>
      </c>
      <c r="F340">
        <f>Inputs!$B$16</f>
        <v>8333.3333333333339</v>
      </c>
      <c r="G340">
        <f>Inputs!$B$12</f>
        <v>25</v>
      </c>
      <c r="H340">
        <f>IFERROR(INDEX(RP2014_Qx!$B:$B,MATCH(D340,RP2014_Qx!$A:$A,0)),"")</f>
        <v>0.14771999999999999</v>
      </c>
      <c r="I340">
        <f>SUMIFS(MP2016_Long!$C:$C,MP2016_Long!$A:$A,D340,MP2016_Long!$B:$B,"&gt;=2014",MP2016_Long!$B:$B,"&lt;"&amp;E340)</f>
        <v>0.15900000000000003</v>
      </c>
      <c r="J340">
        <f t="shared" si="46"/>
        <v>0.17317776148367561</v>
      </c>
      <c r="K340">
        <f t="shared" si="47"/>
        <v>0.19016555444344735</v>
      </c>
      <c r="L340">
        <f>EXP(-K340/Inputs!$B$6)</f>
        <v>0.98427777555420615</v>
      </c>
      <c r="M340">
        <f t="shared" si="53"/>
        <v>0.21222328061986223</v>
      </c>
      <c r="N340">
        <f>IFERROR(INDEX(MonthlyCurve!$I:$I,MATCH(A340,MonthlyCurve!$A:$A,0)),"")</f>
        <v>4.9528574999999998E-2</v>
      </c>
      <c r="O340">
        <f>IFERROR(INDEX(MonthlyCurve!$J:$J,MATCH(A340,MonthlyCurve!$A:$A,0)),"")</f>
        <v>0.24884439905363387</v>
      </c>
      <c r="P340">
        <f t="shared" si="48"/>
        <v>1768.527338498852</v>
      </c>
      <c r="Q340">
        <f t="shared" si="49"/>
        <v>5.3055820154965554</v>
      </c>
      <c r="R340">
        <f t="shared" si="50"/>
        <v>1773.8329205143486</v>
      </c>
      <c r="S340">
        <f t="shared" si="51"/>
        <v>440.08812275866939</v>
      </c>
      <c r="T340">
        <f t="shared" si="52"/>
        <v>1.3202643682760078</v>
      </c>
      <c r="U340">
        <f>SUMPRODUCT(R341:R543,O341:O543)/(M340*O340)</f>
        <v>332435.85320001515</v>
      </c>
    </row>
    <row r="341" spans="1:21" x14ac:dyDescent="0.35">
      <c r="A341">
        <v>338</v>
      </c>
      <c r="B341">
        <f>A341/Inputs!$B$6</f>
        <v>28.166666666666668</v>
      </c>
      <c r="C341">
        <f>Inputs!$B$3+B341</f>
        <v>93.166666666666671</v>
      </c>
      <c r="D341">
        <f t="shared" si="45"/>
        <v>93</v>
      </c>
      <c r="E341">
        <f>Inputs!$B$7+1+INT((A341-1)/Inputs!$B$6)</f>
        <v>2054</v>
      </c>
      <c r="F341">
        <f>Inputs!$B$16</f>
        <v>8333.3333333333339</v>
      </c>
      <c r="G341">
        <f>Inputs!$B$12</f>
        <v>25</v>
      </c>
      <c r="H341">
        <f>IFERROR(INDEX(RP2014_Qx!$B:$B,MATCH(D341,RP2014_Qx!$A:$A,0)),"")</f>
        <v>0.14771999999999999</v>
      </c>
      <c r="I341">
        <f>SUMIFS(MP2016_Long!$C:$C,MP2016_Long!$A:$A,D341,MP2016_Long!$B:$B,"&gt;=2014",MP2016_Long!$B:$B,"&lt;"&amp;E341)</f>
        <v>0.15900000000000003</v>
      </c>
      <c r="J341">
        <f t="shared" si="46"/>
        <v>0.17317776148367561</v>
      </c>
      <c r="K341">
        <f t="shared" si="47"/>
        <v>0.19016555444344735</v>
      </c>
      <c r="L341">
        <f>EXP(-K341/Inputs!$B$6)</f>
        <v>0.98427777555420615</v>
      </c>
      <c r="M341">
        <f t="shared" si="53"/>
        <v>0.20888665856933405</v>
      </c>
      <c r="N341">
        <f>IFERROR(INDEX(MonthlyCurve!$I:$I,MATCH(A341,MonthlyCurve!$A:$A,0)),"")</f>
        <v>4.9525069999999997E-2</v>
      </c>
      <c r="O341">
        <f>IFERROR(INDEX(MonthlyCurve!$J:$J,MATCH(A341,MonthlyCurve!$A:$A,0)),"")</f>
        <v>0.24784390697565864</v>
      </c>
      <c r="P341">
        <f t="shared" si="48"/>
        <v>1740.7221547444506</v>
      </c>
      <c r="Q341">
        <f t="shared" si="49"/>
        <v>5.222166464233351</v>
      </c>
      <c r="R341">
        <f t="shared" si="50"/>
        <v>1745.944321208684</v>
      </c>
      <c r="S341">
        <f t="shared" si="51"/>
        <v>431.42737979095165</v>
      </c>
      <c r="T341">
        <f t="shared" si="52"/>
        <v>1.2942821393728547</v>
      </c>
      <c r="U341">
        <f>SUMPRODUCT(R342:R543,O342:O543)/(M341*O341)</f>
        <v>330751.04503611906</v>
      </c>
    </row>
    <row r="342" spans="1:21" x14ac:dyDescent="0.35">
      <c r="A342">
        <v>339</v>
      </c>
      <c r="B342">
        <f>A342/Inputs!$B$6</f>
        <v>28.25</v>
      </c>
      <c r="C342">
        <f>Inputs!$B$3+B342</f>
        <v>93.25</v>
      </c>
      <c r="D342">
        <f t="shared" si="45"/>
        <v>93</v>
      </c>
      <c r="E342">
        <f>Inputs!$B$7+1+INT((A342-1)/Inputs!$B$6)</f>
        <v>2054</v>
      </c>
      <c r="F342">
        <f>Inputs!$B$16</f>
        <v>8333.3333333333339</v>
      </c>
      <c r="G342">
        <f>Inputs!$B$12</f>
        <v>25</v>
      </c>
      <c r="H342">
        <f>IFERROR(INDEX(RP2014_Qx!$B:$B,MATCH(D342,RP2014_Qx!$A:$A,0)),"")</f>
        <v>0.14771999999999999</v>
      </c>
      <c r="I342">
        <f>SUMIFS(MP2016_Long!$C:$C,MP2016_Long!$A:$A,D342,MP2016_Long!$B:$B,"&gt;=2014",MP2016_Long!$B:$B,"&lt;"&amp;E342)</f>
        <v>0.15900000000000003</v>
      </c>
      <c r="J342">
        <f t="shared" si="46"/>
        <v>0.17317776148367561</v>
      </c>
      <c r="K342">
        <f t="shared" si="47"/>
        <v>0.19016555444344735</v>
      </c>
      <c r="L342">
        <f>EXP(-K342/Inputs!$B$6)</f>
        <v>0.98427777555420615</v>
      </c>
      <c r="M342">
        <f t="shared" si="53"/>
        <v>0.20560249563957508</v>
      </c>
      <c r="N342">
        <f>IFERROR(INDEX(MonthlyCurve!$I:$I,MATCH(A342,MonthlyCurve!$A:$A,0)),"")</f>
        <v>4.9521565000000003E-2</v>
      </c>
      <c r="O342">
        <f>IFERROR(INDEX(MonthlyCurve!$J:$J,MATCH(A342,MonthlyCurve!$A:$A,0)),"")</f>
        <v>0.24684758162912673</v>
      </c>
      <c r="P342">
        <f t="shared" si="48"/>
        <v>1713.3541303297925</v>
      </c>
      <c r="Q342">
        <f t="shared" si="49"/>
        <v>5.1400623909893772</v>
      </c>
      <c r="R342">
        <f t="shared" si="50"/>
        <v>1718.4941927207819</v>
      </c>
      <c r="S342">
        <f t="shared" si="51"/>
        <v>422.93732354618487</v>
      </c>
      <c r="T342">
        <f t="shared" si="52"/>
        <v>1.2688119706385546</v>
      </c>
      <c r="U342">
        <f>SUMPRODUCT(R343:R543,O343:O543)/(M342*O342)</f>
        <v>329032.2178873595</v>
      </c>
    </row>
    <row r="343" spans="1:21" x14ac:dyDescent="0.35">
      <c r="A343">
        <v>340</v>
      </c>
      <c r="B343">
        <f>A343/Inputs!$B$6</f>
        <v>28.333333333333332</v>
      </c>
      <c r="C343">
        <f>Inputs!$B$3+B343</f>
        <v>93.333333333333329</v>
      </c>
      <c r="D343">
        <f t="shared" si="45"/>
        <v>93</v>
      </c>
      <c r="E343">
        <f>Inputs!$B$7+1+INT((A343-1)/Inputs!$B$6)</f>
        <v>2054</v>
      </c>
      <c r="F343">
        <f>Inputs!$B$16</f>
        <v>8333.3333333333339</v>
      </c>
      <c r="G343">
        <f>Inputs!$B$12</f>
        <v>25</v>
      </c>
      <c r="H343">
        <f>IFERROR(INDEX(RP2014_Qx!$B:$B,MATCH(D343,RP2014_Qx!$A:$A,0)),"")</f>
        <v>0.14771999999999999</v>
      </c>
      <c r="I343">
        <f>SUMIFS(MP2016_Long!$C:$C,MP2016_Long!$A:$A,D343,MP2016_Long!$B:$B,"&gt;=2014",MP2016_Long!$B:$B,"&lt;"&amp;E343)</f>
        <v>0.15900000000000003</v>
      </c>
      <c r="J343">
        <f t="shared" si="46"/>
        <v>0.17317776148367561</v>
      </c>
      <c r="K343">
        <f t="shared" si="47"/>
        <v>0.19016555444344735</v>
      </c>
      <c r="L343">
        <f>EXP(-K343/Inputs!$B$6)</f>
        <v>0.98427777555420615</v>
      </c>
      <c r="M343">
        <f t="shared" si="53"/>
        <v>0.20236996705651433</v>
      </c>
      <c r="N343">
        <f>IFERROR(INDEX(MonthlyCurve!$I:$I,MATCH(A343,MonthlyCurve!$A:$A,0)),"")</f>
        <v>4.9518060000000003E-2</v>
      </c>
      <c r="O343">
        <f>IFERROR(INDEX(MonthlyCurve!$J:$J,MATCH(A343,MonthlyCurve!$A:$A,0)),"")</f>
        <v>0.2458554051021975</v>
      </c>
      <c r="P343">
        <f t="shared" si="48"/>
        <v>1686.4163921376196</v>
      </c>
      <c r="Q343">
        <f t="shared" si="49"/>
        <v>5.059249176412858</v>
      </c>
      <c r="R343">
        <f t="shared" si="50"/>
        <v>1691.4756413140324</v>
      </c>
      <c r="S343">
        <f t="shared" si="51"/>
        <v>414.6145852599808</v>
      </c>
      <c r="T343">
        <f t="shared" si="52"/>
        <v>1.2438437557799422</v>
      </c>
      <c r="U343">
        <f>SUMPRODUCT(R344:R543,O344:O543)/(M343*O343)</f>
        <v>327278.69088395499</v>
      </c>
    </row>
    <row r="344" spans="1:21" x14ac:dyDescent="0.35">
      <c r="A344">
        <v>341</v>
      </c>
      <c r="B344">
        <f>A344/Inputs!$B$6</f>
        <v>28.416666666666668</v>
      </c>
      <c r="C344">
        <f>Inputs!$B$3+B344</f>
        <v>93.416666666666671</v>
      </c>
      <c r="D344">
        <f t="shared" si="45"/>
        <v>93</v>
      </c>
      <c r="E344">
        <f>Inputs!$B$7+1+INT((A344-1)/Inputs!$B$6)</f>
        <v>2054</v>
      </c>
      <c r="F344">
        <f>Inputs!$B$16</f>
        <v>8333.3333333333339</v>
      </c>
      <c r="G344">
        <f>Inputs!$B$12</f>
        <v>25</v>
      </c>
      <c r="H344">
        <f>IFERROR(INDEX(RP2014_Qx!$B:$B,MATCH(D344,RP2014_Qx!$A:$A,0)),"")</f>
        <v>0.14771999999999999</v>
      </c>
      <c r="I344">
        <f>SUMIFS(MP2016_Long!$C:$C,MP2016_Long!$A:$A,D344,MP2016_Long!$B:$B,"&gt;=2014",MP2016_Long!$B:$B,"&lt;"&amp;E344)</f>
        <v>0.15900000000000003</v>
      </c>
      <c r="J344">
        <f t="shared" si="46"/>
        <v>0.17317776148367561</v>
      </c>
      <c r="K344">
        <f t="shared" si="47"/>
        <v>0.19016555444344735</v>
      </c>
      <c r="L344">
        <f>EXP(-K344/Inputs!$B$6)</f>
        <v>0.98427777555420615</v>
      </c>
      <c r="M344">
        <f t="shared" si="53"/>
        <v>0.1991882610133639</v>
      </c>
      <c r="N344">
        <f>IFERROR(INDEX(MonthlyCurve!$I:$I,MATCH(A344,MonthlyCurve!$A:$A,0)),"")</f>
        <v>4.9514555000000002E-2</v>
      </c>
      <c r="O344">
        <f>IFERROR(INDEX(MonthlyCurve!$J:$J,MATCH(A344,MonthlyCurve!$A:$A,0)),"")</f>
        <v>0.24486735956228603</v>
      </c>
      <c r="P344">
        <f t="shared" si="48"/>
        <v>1659.902175111366</v>
      </c>
      <c r="Q344">
        <f t="shared" si="49"/>
        <v>4.9797065253340973</v>
      </c>
      <c r="R344">
        <f t="shared" si="50"/>
        <v>1664.8818816367</v>
      </c>
      <c r="S344">
        <f t="shared" si="51"/>
        <v>406.45586275121553</v>
      </c>
      <c r="T344">
        <f t="shared" si="52"/>
        <v>1.2193675882536463</v>
      </c>
      <c r="U344">
        <f>SUMPRODUCT(R345:R543,O345:O543)/(M344*O344)</f>
        <v>325489.76954994746</v>
      </c>
    </row>
    <row r="345" spans="1:21" x14ac:dyDescent="0.35">
      <c r="A345">
        <v>342</v>
      </c>
      <c r="B345">
        <f>A345/Inputs!$B$6</f>
        <v>28.5</v>
      </c>
      <c r="C345">
        <f>Inputs!$B$3+B345</f>
        <v>93.5</v>
      </c>
      <c r="D345">
        <f t="shared" si="45"/>
        <v>93</v>
      </c>
      <c r="E345">
        <f>Inputs!$B$7+1+INT((A345-1)/Inputs!$B$6)</f>
        <v>2054</v>
      </c>
      <c r="F345">
        <f>Inputs!$B$16</f>
        <v>8333.3333333333339</v>
      </c>
      <c r="G345">
        <f>Inputs!$B$12</f>
        <v>25</v>
      </c>
      <c r="H345">
        <f>IFERROR(INDEX(RP2014_Qx!$B:$B,MATCH(D345,RP2014_Qx!$A:$A,0)),"")</f>
        <v>0.14771999999999999</v>
      </c>
      <c r="I345">
        <f>SUMIFS(MP2016_Long!$C:$C,MP2016_Long!$A:$A,D345,MP2016_Long!$B:$B,"&gt;=2014",MP2016_Long!$B:$B,"&lt;"&amp;E345)</f>
        <v>0.15900000000000003</v>
      </c>
      <c r="J345">
        <f t="shared" si="46"/>
        <v>0.17317776148367561</v>
      </c>
      <c r="K345">
        <f t="shared" si="47"/>
        <v>0.19016555444344735</v>
      </c>
      <c r="L345">
        <f>EXP(-K345/Inputs!$B$6)</f>
        <v>0.98427777555420615</v>
      </c>
      <c r="M345">
        <f t="shared" si="53"/>
        <v>0.19605657846674443</v>
      </c>
      <c r="N345">
        <f>IFERROR(INDEX(MonthlyCurve!$I:$I,MATCH(A345,MonthlyCurve!$A:$A,0)),"")</f>
        <v>4.9511050000000001E-2</v>
      </c>
      <c r="O345">
        <f>IFERROR(INDEX(MonthlyCurve!$J:$J,MATCH(A345,MonthlyCurve!$A:$A,0)),"")</f>
        <v>0.24388342725570364</v>
      </c>
      <c r="P345">
        <f t="shared" si="48"/>
        <v>1633.8048205562036</v>
      </c>
      <c r="Q345">
        <f t="shared" si="49"/>
        <v>4.9014144616686108</v>
      </c>
      <c r="R345">
        <f t="shared" si="50"/>
        <v>1638.7062350178721</v>
      </c>
      <c r="S345">
        <f t="shared" si="51"/>
        <v>398.45791910413681</v>
      </c>
      <c r="T345">
        <f t="shared" si="52"/>
        <v>1.1953737573124104</v>
      </c>
      <c r="U345">
        <f>SUMPRODUCT(R346:R543,O346:O543)/(M345*O345)</f>
        <v>323664.74553172087</v>
      </c>
    </row>
    <row r="346" spans="1:21" x14ac:dyDescent="0.35">
      <c r="A346">
        <v>343</v>
      </c>
      <c r="B346">
        <f>A346/Inputs!$B$6</f>
        <v>28.583333333333332</v>
      </c>
      <c r="C346">
        <f>Inputs!$B$3+B346</f>
        <v>93.583333333333329</v>
      </c>
      <c r="D346">
        <f t="shared" si="45"/>
        <v>93</v>
      </c>
      <c r="E346">
        <f>Inputs!$B$7+1+INT((A346-1)/Inputs!$B$6)</f>
        <v>2054</v>
      </c>
      <c r="F346">
        <f>Inputs!$B$16</f>
        <v>8333.3333333333339</v>
      </c>
      <c r="G346">
        <f>Inputs!$B$12</f>
        <v>25</v>
      </c>
      <c r="H346">
        <f>IFERROR(INDEX(RP2014_Qx!$B:$B,MATCH(D346,RP2014_Qx!$A:$A,0)),"")</f>
        <v>0.14771999999999999</v>
      </c>
      <c r="I346">
        <f>SUMIFS(MP2016_Long!$C:$C,MP2016_Long!$A:$A,D346,MP2016_Long!$B:$B,"&gt;=2014",MP2016_Long!$B:$B,"&lt;"&amp;E346)</f>
        <v>0.15900000000000003</v>
      </c>
      <c r="J346">
        <f t="shared" si="46"/>
        <v>0.17317776148367561</v>
      </c>
      <c r="K346">
        <f t="shared" si="47"/>
        <v>0.19016555444344735</v>
      </c>
      <c r="L346">
        <f>EXP(-K346/Inputs!$B$6)</f>
        <v>0.98427777555420615</v>
      </c>
      <c r="M346">
        <f t="shared" si="53"/>
        <v>0.19297413293601587</v>
      </c>
      <c r="N346">
        <f>IFERROR(INDEX(MonthlyCurve!$I:$I,MATCH(A346,MonthlyCurve!$A:$A,0)),"")</f>
        <v>4.9507738333333336E-2</v>
      </c>
      <c r="O346">
        <f>IFERROR(INDEX(MonthlyCurve!$J:$J,MATCH(A346,MonthlyCurve!$A:$A,0)),"")</f>
        <v>0.2429022481987774</v>
      </c>
      <c r="P346">
        <f t="shared" si="48"/>
        <v>1608.1177744667991</v>
      </c>
      <c r="Q346">
        <f t="shared" si="49"/>
        <v>4.8243533234003966</v>
      </c>
      <c r="R346">
        <f t="shared" si="50"/>
        <v>1612.9421277901995</v>
      </c>
      <c r="S346">
        <f t="shared" si="51"/>
        <v>390.61542278639996</v>
      </c>
      <c r="T346">
        <f t="shared" si="52"/>
        <v>1.1718462683591997</v>
      </c>
      <c r="U346">
        <f>SUMPRODUCT(R347:R543,O347:O543)/(M346*O346)</f>
        <v>321804.72083378874</v>
      </c>
    </row>
    <row r="347" spans="1:21" x14ac:dyDescent="0.35">
      <c r="A347">
        <v>344</v>
      </c>
      <c r="B347">
        <f>A347/Inputs!$B$6</f>
        <v>28.666666666666668</v>
      </c>
      <c r="C347">
        <f>Inputs!$B$3+B347</f>
        <v>93.666666666666671</v>
      </c>
      <c r="D347">
        <f t="shared" si="45"/>
        <v>93</v>
      </c>
      <c r="E347">
        <f>Inputs!$B$7+1+INT((A347-1)/Inputs!$B$6)</f>
        <v>2054</v>
      </c>
      <c r="F347">
        <f>Inputs!$B$16</f>
        <v>8333.3333333333339</v>
      </c>
      <c r="G347">
        <f>Inputs!$B$12</f>
        <v>25</v>
      </c>
      <c r="H347">
        <f>IFERROR(INDEX(RP2014_Qx!$B:$B,MATCH(D347,RP2014_Qx!$A:$A,0)),"")</f>
        <v>0.14771999999999999</v>
      </c>
      <c r="I347">
        <f>SUMIFS(MP2016_Long!$C:$C,MP2016_Long!$A:$A,D347,MP2016_Long!$B:$B,"&gt;=2014",MP2016_Long!$B:$B,"&lt;"&amp;E347)</f>
        <v>0.15900000000000003</v>
      </c>
      <c r="J347">
        <f t="shared" si="46"/>
        <v>0.17317776148367561</v>
      </c>
      <c r="K347">
        <f t="shared" si="47"/>
        <v>0.19016555444344735</v>
      </c>
      <c r="L347">
        <f>EXP(-K347/Inputs!$B$6)</f>
        <v>0.98427777555420615</v>
      </c>
      <c r="M347">
        <f t="shared" si="53"/>
        <v>0.18994015030576336</v>
      </c>
      <c r="N347">
        <f>IFERROR(INDEX(MonthlyCurve!$I:$I,MATCH(A347,MonthlyCurve!$A:$A,0)),"")</f>
        <v>4.950442666666667E-2</v>
      </c>
      <c r="O347">
        <f>IFERROR(INDEX(MonthlyCurve!$J:$J,MATCH(A347,MonthlyCurve!$A:$A,0)),"")</f>
        <v>0.24192515009935314</v>
      </c>
      <c r="P347">
        <f t="shared" si="48"/>
        <v>1582.8345858813614</v>
      </c>
      <c r="Q347">
        <f t="shared" si="49"/>
        <v>4.7485037576440838</v>
      </c>
      <c r="R347">
        <f t="shared" si="50"/>
        <v>1587.5830896390055</v>
      </c>
      <c r="S347">
        <f t="shared" si="51"/>
        <v>382.92749477179581</v>
      </c>
      <c r="T347">
        <f t="shared" si="52"/>
        <v>1.1487824843153873</v>
      </c>
      <c r="U347">
        <f>SUMPRODUCT(R348:R543,O348:O543)/(M347*O347)</f>
        <v>319907.17070957005</v>
      </c>
    </row>
    <row r="348" spans="1:21" x14ac:dyDescent="0.35">
      <c r="A348">
        <v>345</v>
      </c>
      <c r="B348">
        <f>A348/Inputs!$B$6</f>
        <v>28.75</v>
      </c>
      <c r="C348">
        <f>Inputs!$B$3+B348</f>
        <v>93.75</v>
      </c>
      <c r="D348">
        <f t="shared" si="45"/>
        <v>93</v>
      </c>
      <c r="E348">
        <f>Inputs!$B$7+1+INT((A348-1)/Inputs!$B$6)</f>
        <v>2054</v>
      </c>
      <c r="F348">
        <f>Inputs!$B$16</f>
        <v>8333.3333333333339</v>
      </c>
      <c r="G348">
        <f>Inputs!$B$12</f>
        <v>25</v>
      </c>
      <c r="H348">
        <f>IFERROR(INDEX(RP2014_Qx!$B:$B,MATCH(D348,RP2014_Qx!$A:$A,0)),"")</f>
        <v>0.14771999999999999</v>
      </c>
      <c r="I348">
        <f>SUMIFS(MP2016_Long!$C:$C,MP2016_Long!$A:$A,D348,MP2016_Long!$B:$B,"&gt;=2014",MP2016_Long!$B:$B,"&lt;"&amp;E348)</f>
        <v>0.15900000000000003</v>
      </c>
      <c r="J348">
        <f t="shared" si="46"/>
        <v>0.17317776148367561</v>
      </c>
      <c r="K348">
        <f t="shared" si="47"/>
        <v>0.19016555444344735</v>
      </c>
      <c r="L348">
        <f>EXP(-K348/Inputs!$B$6)</f>
        <v>0.98427777555420615</v>
      </c>
      <c r="M348">
        <f t="shared" si="53"/>
        <v>0.18695386863138833</v>
      </c>
      <c r="N348">
        <f>IFERROR(INDEX(MonthlyCurve!$I:$I,MATCH(A348,MonthlyCurve!$A:$A,0)),"")</f>
        <v>4.9501114999999998E-2</v>
      </c>
      <c r="O348">
        <f>IFERROR(INDEX(MonthlyCurve!$J:$J,MATCH(A348,MonthlyCurve!$A:$A,0)),"")</f>
        <v>0.24095211546494089</v>
      </c>
      <c r="P348">
        <f t="shared" si="48"/>
        <v>1557.9489052615695</v>
      </c>
      <c r="Q348">
        <f t="shared" si="49"/>
        <v>4.6738467157847081</v>
      </c>
      <c r="R348">
        <f t="shared" si="50"/>
        <v>1562.6227519773543</v>
      </c>
      <c r="S348">
        <f t="shared" si="51"/>
        <v>375.39108450906394</v>
      </c>
      <c r="T348">
        <f t="shared" si="52"/>
        <v>1.1261732535271918</v>
      </c>
      <c r="U348">
        <f>SUMPRODUCT(R349:R543,O349:O543)/(M348*O348)</f>
        <v>317971.34388730687</v>
      </c>
    </row>
    <row r="349" spans="1:21" x14ac:dyDescent="0.35">
      <c r="A349">
        <v>346</v>
      </c>
      <c r="B349">
        <f>A349/Inputs!$B$6</f>
        <v>28.833333333333332</v>
      </c>
      <c r="C349">
        <f>Inputs!$B$3+B349</f>
        <v>93.833333333333329</v>
      </c>
      <c r="D349">
        <f t="shared" si="45"/>
        <v>93</v>
      </c>
      <c r="E349">
        <f>Inputs!$B$7+1+INT((A349-1)/Inputs!$B$6)</f>
        <v>2054</v>
      </c>
      <c r="F349">
        <f>Inputs!$B$16</f>
        <v>8333.3333333333339</v>
      </c>
      <c r="G349">
        <f>Inputs!$B$12</f>
        <v>25</v>
      </c>
      <c r="H349">
        <f>IFERROR(INDEX(RP2014_Qx!$B:$B,MATCH(D349,RP2014_Qx!$A:$A,0)),"")</f>
        <v>0.14771999999999999</v>
      </c>
      <c r="I349">
        <f>SUMIFS(MP2016_Long!$C:$C,MP2016_Long!$A:$A,D349,MP2016_Long!$B:$B,"&gt;=2014",MP2016_Long!$B:$B,"&lt;"&amp;E349)</f>
        <v>0.15900000000000003</v>
      </c>
      <c r="J349">
        <f t="shared" si="46"/>
        <v>0.17317776148367561</v>
      </c>
      <c r="K349">
        <f t="shared" si="47"/>
        <v>0.19016555444344735</v>
      </c>
      <c r="L349">
        <f>EXP(-K349/Inputs!$B$6)</f>
        <v>0.98427777555420615</v>
      </c>
      <c r="M349">
        <f t="shared" si="53"/>
        <v>0.18401453794775618</v>
      </c>
      <c r="N349">
        <f>IFERROR(INDEX(MonthlyCurve!$I:$I,MATCH(A349,MonthlyCurve!$A:$A,0)),"")</f>
        <v>4.9497803333333333E-2</v>
      </c>
      <c r="O349">
        <f>IFERROR(INDEX(MonthlyCurve!$J:$J,MATCH(A349,MonthlyCurve!$A:$A,0)),"")</f>
        <v>0.23998312688012569</v>
      </c>
      <c r="P349">
        <f t="shared" si="48"/>
        <v>1533.4544828979683</v>
      </c>
      <c r="Q349">
        <f t="shared" si="49"/>
        <v>4.6003634486939049</v>
      </c>
      <c r="R349">
        <f t="shared" si="50"/>
        <v>1538.0548463466623</v>
      </c>
      <c r="S349">
        <f t="shared" si="51"/>
        <v>368.00320173420067</v>
      </c>
      <c r="T349">
        <f t="shared" si="52"/>
        <v>1.1040096052026021</v>
      </c>
      <c r="U349">
        <f>SUMPRODUCT(R350:R543,O350:O543)/(M349*O349)</f>
        <v>315996.47407639655</v>
      </c>
    </row>
    <row r="350" spans="1:21" x14ac:dyDescent="0.35">
      <c r="A350">
        <v>347</v>
      </c>
      <c r="B350">
        <f>A350/Inputs!$B$6</f>
        <v>28.916666666666668</v>
      </c>
      <c r="C350">
        <f>Inputs!$B$3+B350</f>
        <v>93.916666666666671</v>
      </c>
      <c r="D350">
        <f t="shared" si="45"/>
        <v>93</v>
      </c>
      <c r="E350">
        <f>Inputs!$B$7+1+INT((A350-1)/Inputs!$B$6)</f>
        <v>2054</v>
      </c>
      <c r="F350">
        <f>Inputs!$B$16</f>
        <v>8333.3333333333339</v>
      </c>
      <c r="G350">
        <f>Inputs!$B$12</f>
        <v>25</v>
      </c>
      <c r="H350">
        <f>IFERROR(INDEX(RP2014_Qx!$B:$B,MATCH(D350,RP2014_Qx!$A:$A,0)),"")</f>
        <v>0.14771999999999999</v>
      </c>
      <c r="I350">
        <f>SUMIFS(MP2016_Long!$C:$C,MP2016_Long!$A:$A,D350,MP2016_Long!$B:$B,"&gt;=2014",MP2016_Long!$B:$B,"&lt;"&amp;E350)</f>
        <v>0.15900000000000003</v>
      </c>
      <c r="J350">
        <f t="shared" si="46"/>
        <v>0.17317776148367561</v>
      </c>
      <c r="K350">
        <f t="shared" si="47"/>
        <v>0.19016555444344735</v>
      </c>
      <c r="L350">
        <f>EXP(-K350/Inputs!$B$6)</f>
        <v>0.98427777555420615</v>
      </c>
      <c r="M350">
        <f t="shared" si="53"/>
        <v>0.18112142008085252</v>
      </c>
      <c r="N350">
        <f>IFERROR(INDEX(MonthlyCurve!$I:$I,MATCH(A350,MonthlyCurve!$A:$A,0)),"")</f>
        <v>4.9494491666666668E-2</v>
      </c>
      <c r="O350">
        <f>IFERROR(INDEX(MonthlyCurve!$J:$J,MATCH(A350,MonthlyCurve!$A:$A,0)),"")</f>
        <v>0.23901816700621961</v>
      </c>
      <c r="P350">
        <f t="shared" si="48"/>
        <v>1509.3451673404379</v>
      </c>
      <c r="Q350">
        <f t="shared" si="49"/>
        <v>4.5280355020213134</v>
      </c>
      <c r="R350">
        <f t="shared" si="50"/>
        <v>1513.8732028424592</v>
      </c>
      <c r="S350">
        <f t="shared" si="51"/>
        <v>360.76091527740726</v>
      </c>
      <c r="T350">
        <f t="shared" si="52"/>
        <v>1.0822827458322217</v>
      </c>
      <c r="U350">
        <f>SUMPRODUCT(R351:R543,O351:O543)/(M350*O350)</f>
        <v>313981.77966757969</v>
      </c>
    </row>
    <row r="351" spans="1:21" x14ac:dyDescent="0.35">
      <c r="A351">
        <v>348</v>
      </c>
      <c r="B351">
        <f>A351/Inputs!$B$6</f>
        <v>29</v>
      </c>
      <c r="C351">
        <f>Inputs!$B$3+B351</f>
        <v>94</v>
      </c>
      <c r="D351">
        <f t="shared" si="45"/>
        <v>94</v>
      </c>
      <c r="E351">
        <f>Inputs!$B$7+1+INT((A351-1)/Inputs!$B$6)</f>
        <v>2054</v>
      </c>
      <c r="F351">
        <f>Inputs!$B$16</f>
        <v>8333.3333333333339</v>
      </c>
      <c r="G351">
        <f>Inputs!$B$12</f>
        <v>25</v>
      </c>
      <c r="H351">
        <f>IFERROR(INDEX(RP2014_Qx!$B:$B,MATCH(D351,RP2014_Qx!$A:$A,0)),"")</f>
        <v>0.162971</v>
      </c>
      <c r="I351">
        <f>SUMIFS(MP2016_Long!$C:$C,MP2016_Long!$A:$A,D351,MP2016_Long!$B:$B,"&gt;=2014",MP2016_Long!$B:$B,"&lt;"&amp;E351)</f>
        <v>0.15639999999999998</v>
      </c>
      <c r="J351">
        <f t="shared" si="46"/>
        <v>0.19056098429463061</v>
      </c>
      <c r="K351">
        <f t="shared" si="47"/>
        <v>0.21141384445851147</v>
      </c>
      <c r="L351">
        <f>EXP(-K351/Inputs!$B$6)</f>
        <v>0.98253646603371436</v>
      </c>
      <c r="M351">
        <f t="shared" si="53"/>
        <v>0.17795840000924867</v>
      </c>
      <c r="N351">
        <f>IFERROR(INDEX(MonthlyCurve!$I:$I,MATCH(A351,MonthlyCurve!$A:$A,0)),"")</f>
        <v>4.9491180000000003E-2</v>
      </c>
      <c r="O351">
        <f>IFERROR(INDEX(MonthlyCurve!$J:$J,MATCH(A351,MonthlyCurve!$A:$A,0)),"")</f>
        <v>0.23805721858091525</v>
      </c>
      <c r="P351">
        <f t="shared" si="48"/>
        <v>1482.9866667437391</v>
      </c>
      <c r="Q351">
        <f t="shared" si="49"/>
        <v>4.4489600002312173</v>
      </c>
      <c r="R351">
        <f t="shared" si="50"/>
        <v>1487.4356267439703</v>
      </c>
      <c r="S351">
        <f t="shared" si="51"/>
        <v>353.03568107759719</v>
      </c>
      <c r="T351">
        <f t="shared" si="52"/>
        <v>1.0591070432327916</v>
      </c>
      <c r="U351">
        <f>SUMPRODUCT(R352:R543,O352:O543)/(M351*O351)</f>
        <v>312494.09117955324</v>
      </c>
    </row>
    <row r="352" spans="1:21" x14ac:dyDescent="0.35">
      <c r="A352">
        <v>349</v>
      </c>
      <c r="B352">
        <f>A352/Inputs!$B$6</f>
        <v>29.083333333333332</v>
      </c>
      <c r="C352">
        <f>Inputs!$B$3+B352</f>
        <v>94.083333333333329</v>
      </c>
      <c r="D352">
        <f t="shared" si="45"/>
        <v>94</v>
      </c>
      <c r="E352">
        <f>Inputs!$B$7+1+INT((A352-1)/Inputs!$B$6)</f>
        <v>2055</v>
      </c>
      <c r="F352">
        <f>Inputs!$B$16</f>
        <v>8333.3333333333339</v>
      </c>
      <c r="G352">
        <f>Inputs!$B$12</f>
        <v>25</v>
      </c>
      <c r="H352">
        <f>IFERROR(INDEX(RP2014_Qx!$B:$B,MATCH(D352,RP2014_Qx!$A:$A,0)),"")</f>
        <v>0.162971</v>
      </c>
      <c r="I352">
        <f>SUMIFS(MP2016_Long!$C:$C,MP2016_Long!$A:$A,D352,MP2016_Long!$B:$B,"&gt;=2014",MP2016_Long!$B:$B,"&lt;"&amp;E352)</f>
        <v>0.15639999999999998</v>
      </c>
      <c r="J352">
        <f t="shared" si="46"/>
        <v>0.19056098429463061</v>
      </c>
      <c r="K352">
        <f t="shared" si="47"/>
        <v>0.21141384445851147</v>
      </c>
      <c r="L352">
        <f>EXP(-K352/Inputs!$B$6)</f>
        <v>0.98253646603371436</v>
      </c>
      <c r="M352">
        <f t="shared" si="53"/>
        <v>0.17485061744610131</v>
      </c>
      <c r="N352">
        <f>IFERROR(INDEX(MonthlyCurve!$I:$I,MATCH(A352,MonthlyCurve!$A:$A,0)),"")</f>
        <v>4.9488053333333337E-2</v>
      </c>
      <c r="O352">
        <f>IFERROR(INDEX(MonthlyCurve!$J:$J,MATCH(A352,MonthlyCurve!$A:$A,0)),"")</f>
        <v>0.23709898872315749</v>
      </c>
      <c r="P352">
        <f t="shared" si="48"/>
        <v>1457.088478717511</v>
      </c>
      <c r="Q352">
        <f t="shared" si="49"/>
        <v>4.3712654361525329</v>
      </c>
      <c r="R352">
        <f t="shared" si="50"/>
        <v>1461.4597441536635</v>
      </c>
      <c r="S352">
        <f t="shared" si="51"/>
        <v>345.47420478408583</v>
      </c>
      <c r="T352">
        <f t="shared" si="52"/>
        <v>1.0364226143522575</v>
      </c>
      <c r="U352">
        <f>SUMPRODUCT(R353:R543,O353:O543)/(M352*O352)</f>
        <v>310975.39052963065</v>
      </c>
    </row>
    <row r="353" spans="1:21" x14ac:dyDescent="0.35">
      <c r="A353">
        <v>350</v>
      </c>
      <c r="B353">
        <f>A353/Inputs!$B$6</f>
        <v>29.166666666666668</v>
      </c>
      <c r="C353">
        <f>Inputs!$B$3+B353</f>
        <v>94.166666666666671</v>
      </c>
      <c r="D353">
        <f t="shared" si="45"/>
        <v>94</v>
      </c>
      <c r="E353">
        <f>Inputs!$B$7+1+INT((A353-1)/Inputs!$B$6)</f>
        <v>2055</v>
      </c>
      <c r="F353">
        <f>Inputs!$B$16</f>
        <v>8333.3333333333339</v>
      </c>
      <c r="G353">
        <f>Inputs!$B$12</f>
        <v>25</v>
      </c>
      <c r="H353">
        <f>IFERROR(INDEX(RP2014_Qx!$B:$B,MATCH(D353,RP2014_Qx!$A:$A,0)),"")</f>
        <v>0.162971</v>
      </c>
      <c r="I353">
        <f>SUMIFS(MP2016_Long!$C:$C,MP2016_Long!$A:$A,D353,MP2016_Long!$B:$B,"&gt;=2014",MP2016_Long!$B:$B,"&lt;"&amp;E353)</f>
        <v>0.15639999999999998</v>
      </c>
      <c r="J353">
        <f t="shared" si="46"/>
        <v>0.19056098429463061</v>
      </c>
      <c r="K353">
        <f t="shared" si="47"/>
        <v>0.21141384445851147</v>
      </c>
      <c r="L353">
        <f>EXP(-K353/Inputs!$B$6)</f>
        <v>0.98253646603371436</v>
      </c>
      <c r="M353">
        <f t="shared" si="53"/>
        <v>0.17179710774930529</v>
      </c>
      <c r="N353">
        <f>IFERROR(INDEX(MonthlyCurve!$I:$I,MATCH(A353,MonthlyCurve!$A:$A,0)),"")</f>
        <v>4.9484926666666672E-2</v>
      </c>
      <c r="O353">
        <f>IFERROR(INDEX(MonthlyCurve!$J:$J,MATCH(A353,MonthlyCurve!$A:$A,0)),"")</f>
        <v>0.2361447389976534</v>
      </c>
      <c r="P353">
        <f t="shared" si="48"/>
        <v>1431.6425645775441</v>
      </c>
      <c r="Q353">
        <f t="shared" si="49"/>
        <v>4.2949276937326326</v>
      </c>
      <c r="R353">
        <f t="shared" si="50"/>
        <v>1435.9374922712768</v>
      </c>
      <c r="S353">
        <f t="shared" si="51"/>
        <v>338.0748597500953</v>
      </c>
      <c r="T353">
        <f t="shared" si="52"/>
        <v>1.014224579250286</v>
      </c>
      <c r="U353">
        <f>SUMPRODUCT(R354:R543,O354:O543)/(M353*O353)</f>
        <v>309423.28411689587</v>
      </c>
    </row>
    <row r="354" spans="1:21" x14ac:dyDescent="0.35">
      <c r="A354">
        <v>351</v>
      </c>
      <c r="B354">
        <f>A354/Inputs!$B$6</f>
        <v>29.25</v>
      </c>
      <c r="C354">
        <f>Inputs!$B$3+B354</f>
        <v>94.25</v>
      </c>
      <c r="D354">
        <f t="shared" si="45"/>
        <v>94</v>
      </c>
      <c r="E354">
        <f>Inputs!$B$7+1+INT((A354-1)/Inputs!$B$6)</f>
        <v>2055</v>
      </c>
      <c r="F354">
        <f>Inputs!$B$16</f>
        <v>8333.3333333333339</v>
      </c>
      <c r="G354">
        <f>Inputs!$B$12</f>
        <v>25</v>
      </c>
      <c r="H354">
        <f>IFERROR(INDEX(RP2014_Qx!$B:$B,MATCH(D354,RP2014_Qx!$A:$A,0)),"")</f>
        <v>0.162971</v>
      </c>
      <c r="I354">
        <f>SUMIFS(MP2016_Long!$C:$C,MP2016_Long!$A:$A,D354,MP2016_Long!$B:$B,"&gt;=2014",MP2016_Long!$B:$B,"&lt;"&amp;E354)</f>
        <v>0.15639999999999998</v>
      </c>
      <c r="J354">
        <f t="shared" si="46"/>
        <v>0.19056098429463061</v>
      </c>
      <c r="K354">
        <f t="shared" si="47"/>
        <v>0.21141384445851147</v>
      </c>
      <c r="L354">
        <f>EXP(-K354/Inputs!$B$6)</f>
        <v>0.98253646603371436</v>
      </c>
      <c r="M354">
        <f t="shared" si="53"/>
        <v>0.16879692312281566</v>
      </c>
      <c r="N354">
        <f>IFERROR(INDEX(MonthlyCurve!$I:$I,MATCH(A354,MonthlyCurve!$A:$A,0)),"")</f>
        <v>4.9481800000000006E-2</v>
      </c>
      <c r="O354">
        <f>IFERROR(INDEX(MonthlyCurve!$J:$J,MATCH(A354,MonthlyCurve!$A:$A,0)),"")</f>
        <v>0.23519445239306888</v>
      </c>
      <c r="P354">
        <f t="shared" si="48"/>
        <v>1406.6410260234641</v>
      </c>
      <c r="Q354">
        <f t="shared" si="49"/>
        <v>4.2199230780703916</v>
      </c>
      <c r="R354">
        <f t="shared" si="50"/>
        <v>1410.8609491015345</v>
      </c>
      <c r="S354">
        <f t="shared" si="51"/>
        <v>330.83416582921319</v>
      </c>
      <c r="T354">
        <f t="shared" si="52"/>
        <v>0.99250249748763941</v>
      </c>
      <c r="U354">
        <f>SUMPRODUCT(R355:R543,O355:O543)/(M354*O354)</f>
        <v>307837.04243458383</v>
      </c>
    </row>
    <row r="355" spans="1:21" x14ac:dyDescent="0.35">
      <c r="A355">
        <v>352</v>
      </c>
      <c r="B355">
        <f>A355/Inputs!$B$6</f>
        <v>29.333333333333332</v>
      </c>
      <c r="C355">
        <f>Inputs!$B$3+B355</f>
        <v>94.333333333333329</v>
      </c>
      <c r="D355">
        <f t="shared" si="45"/>
        <v>94</v>
      </c>
      <c r="E355">
        <f>Inputs!$B$7+1+INT((A355-1)/Inputs!$B$6)</f>
        <v>2055</v>
      </c>
      <c r="F355">
        <f>Inputs!$B$16</f>
        <v>8333.3333333333339</v>
      </c>
      <c r="G355">
        <f>Inputs!$B$12</f>
        <v>25</v>
      </c>
      <c r="H355">
        <f>IFERROR(INDEX(RP2014_Qx!$B:$B,MATCH(D355,RP2014_Qx!$A:$A,0)),"")</f>
        <v>0.162971</v>
      </c>
      <c r="I355">
        <f>SUMIFS(MP2016_Long!$C:$C,MP2016_Long!$A:$A,D355,MP2016_Long!$B:$B,"&gt;=2014",MP2016_Long!$B:$B,"&lt;"&amp;E355)</f>
        <v>0.15639999999999998</v>
      </c>
      <c r="J355">
        <f t="shared" si="46"/>
        <v>0.19056098429463061</v>
      </c>
      <c r="K355">
        <f t="shared" si="47"/>
        <v>0.21141384445851147</v>
      </c>
      <c r="L355">
        <f>EXP(-K355/Inputs!$B$6)</f>
        <v>0.98253646603371436</v>
      </c>
      <c r="M355">
        <f t="shared" si="53"/>
        <v>0.16584913232245588</v>
      </c>
      <c r="N355">
        <f>IFERROR(INDEX(MonthlyCurve!$I:$I,MATCH(A355,MonthlyCurve!$A:$A,0)),"")</f>
        <v>4.9478673333333334E-2</v>
      </c>
      <c r="O355">
        <f>IFERROR(INDEX(MonthlyCurve!$J:$J,MATCH(A355,MonthlyCurve!$A:$A,0)),"")</f>
        <v>0.23424811197271386</v>
      </c>
      <c r="P355">
        <f t="shared" si="48"/>
        <v>1382.0761026871323</v>
      </c>
      <c r="Q355">
        <f t="shared" si="49"/>
        <v>4.1462283080613966</v>
      </c>
      <c r="R355">
        <f t="shared" si="50"/>
        <v>1386.2223309951937</v>
      </c>
      <c r="S355">
        <f t="shared" si="51"/>
        <v>323.74871765706735</v>
      </c>
      <c r="T355">
        <f t="shared" si="52"/>
        <v>0.97124615297120198</v>
      </c>
      <c r="U355">
        <f>SUMPRODUCT(R356:R543,O356:O543)/(M355*O355)</f>
        <v>306215.92006357253</v>
      </c>
    </row>
    <row r="356" spans="1:21" x14ac:dyDescent="0.35">
      <c r="A356">
        <v>353</v>
      </c>
      <c r="B356">
        <f>A356/Inputs!$B$6</f>
        <v>29.416666666666668</v>
      </c>
      <c r="C356">
        <f>Inputs!$B$3+B356</f>
        <v>94.416666666666671</v>
      </c>
      <c r="D356">
        <f t="shared" si="45"/>
        <v>94</v>
      </c>
      <c r="E356">
        <f>Inputs!$B$7+1+INT((A356-1)/Inputs!$B$6)</f>
        <v>2055</v>
      </c>
      <c r="F356">
        <f>Inputs!$B$16</f>
        <v>8333.3333333333339</v>
      </c>
      <c r="G356">
        <f>Inputs!$B$12</f>
        <v>25</v>
      </c>
      <c r="H356">
        <f>IFERROR(INDEX(RP2014_Qx!$B:$B,MATCH(D356,RP2014_Qx!$A:$A,0)),"")</f>
        <v>0.162971</v>
      </c>
      <c r="I356">
        <f>SUMIFS(MP2016_Long!$C:$C,MP2016_Long!$A:$A,D356,MP2016_Long!$B:$B,"&gt;=2014",MP2016_Long!$B:$B,"&lt;"&amp;E356)</f>
        <v>0.15639999999999998</v>
      </c>
      <c r="J356">
        <f t="shared" si="46"/>
        <v>0.19056098429463061</v>
      </c>
      <c r="K356">
        <f t="shared" si="47"/>
        <v>0.21141384445851147</v>
      </c>
      <c r="L356">
        <f>EXP(-K356/Inputs!$B$6)</f>
        <v>0.98253646603371436</v>
      </c>
      <c r="M356">
        <f t="shared" si="53"/>
        <v>0.16295282036686368</v>
      </c>
      <c r="N356">
        <f>IFERROR(INDEX(MonthlyCurve!$I:$I,MATCH(A356,MonthlyCurve!$A:$A,0)),"")</f>
        <v>4.9475546666666669E-2</v>
      </c>
      <c r="O356">
        <f>IFERROR(INDEX(MonthlyCurve!$J:$J,MATCH(A356,MonthlyCurve!$A:$A,0)),"")</f>
        <v>0.23330570087420649</v>
      </c>
      <c r="P356">
        <f t="shared" si="48"/>
        <v>1357.9401697238641</v>
      </c>
      <c r="Q356">
        <f t="shared" si="49"/>
        <v>4.0738205091715916</v>
      </c>
      <c r="R356">
        <f t="shared" si="50"/>
        <v>1362.0139902330357</v>
      </c>
      <c r="S356">
        <f t="shared" si="51"/>
        <v>316.81518304266501</v>
      </c>
      <c r="T356">
        <f t="shared" si="52"/>
        <v>0.95044554912799495</v>
      </c>
      <c r="U356">
        <f>SUMPRODUCT(R357:R543,O357:O543)/(M356*O356)</f>
        <v>304559.15532569366</v>
      </c>
    </row>
    <row r="357" spans="1:21" x14ac:dyDescent="0.35">
      <c r="A357">
        <v>354</v>
      </c>
      <c r="B357">
        <f>A357/Inputs!$B$6</f>
        <v>29.5</v>
      </c>
      <c r="C357">
        <f>Inputs!$B$3+B357</f>
        <v>94.5</v>
      </c>
      <c r="D357">
        <f t="shared" si="45"/>
        <v>94</v>
      </c>
      <c r="E357">
        <f>Inputs!$B$7+1+INT((A357-1)/Inputs!$B$6)</f>
        <v>2055</v>
      </c>
      <c r="F357">
        <f>Inputs!$B$16</f>
        <v>8333.3333333333339</v>
      </c>
      <c r="G357">
        <f>Inputs!$B$12</f>
        <v>25</v>
      </c>
      <c r="H357">
        <f>IFERROR(INDEX(RP2014_Qx!$B:$B,MATCH(D357,RP2014_Qx!$A:$A,0)),"")</f>
        <v>0.162971</v>
      </c>
      <c r="I357">
        <f>SUMIFS(MP2016_Long!$C:$C,MP2016_Long!$A:$A,D357,MP2016_Long!$B:$B,"&gt;=2014",MP2016_Long!$B:$B,"&lt;"&amp;E357)</f>
        <v>0.15639999999999998</v>
      </c>
      <c r="J357">
        <f t="shared" si="46"/>
        <v>0.19056098429463061</v>
      </c>
      <c r="K357">
        <f t="shared" si="47"/>
        <v>0.21141384445851147</v>
      </c>
      <c r="L357">
        <f>EXP(-K357/Inputs!$B$6)</f>
        <v>0.98253646603371436</v>
      </c>
      <c r="M357">
        <f t="shared" si="53"/>
        <v>0.16010708825348491</v>
      </c>
      <c r="N357">
        <f>IFERROR(INDEX(MonthlyCurve!$I:$I,MATCH(A357,MonthlyCurve!$A:$A,0)),"")</f>
        <v>4.9472420000000003E-2</v>
      </c>
      <c r="O357">
        <f>IFERROR(INDEX(MonthlyCurve!$J:$J,MATCH(A357,MonthlyCurve!$A:$A,0)),"")</f>
        <v>0.23236720230913993</v>
      </c>
      <c r="P357">
        <f t="shared" si="48"/>
        <v>1334.2257354457076</v>
      </c>
      <c r="Q357">
        <f t="shared" si="49"/>
        <v>4.0026772063371228</v>
      </c>
      <c r="R357">
        <f t="shared" si="50"/>
        <v>1338.2284126520447</v>
      </c>
      <c r="S357">
        <f t="shared" si="51"/>
        <v>310.03030139437374</v>
      </c>
      <c r="T357">
        <f t="shared" si="52"/>
        <v>0.93009090418312124</v>
      </c>
      <c r="U357">
        <f>SUMPRODUCT(R358:R543,O358:O543)/(M357*O357)</f>
        <v>302865.96992949635</v>
      </c>
    </row>
    <row r="358" spans="1:21" x14ac:dyDescent="0.35">
      <c r="A358">
        <v>355</v>
      </c>
      <c r="B358">
        <f>A358/Inputs!$B$6</f>
        <v>29.583333333333332</v>
      </c>
      <c r="C358">
        <f>Inputs!$B$3+B358</f>
        <v>94.583333333333329</v>
      </c>
      <c r="D358">
        <f t="shared" si="45"/>
        <v>94</v>
      </c>
      <c r="E358">
        <f>Inputs!$B$7+1+INT((A358-1)/Inputs!$B$6)</f>
        <v>2055</v>
      </c>
      <c r="F358">
        <f>Inputs!$B$16</f>
        <v>8333.3333333333339</v>
      </c>
      <c r="G358">
        <f>Inputs!$B$12</f>
        <v>25</v>
      </c>
      <c r="H358">
        <f>IFERROR(INDEX(RP2014_Qx!$B:$B,MATCH(D358,RP2014_Qx!$A:$A,0)),"")</f>
        <v>0.162971</v>
      </c>
      <c r="I358">
        <f>SUMIFS(MP2016_Long!$C:$C,MP2016_Long!$A:$A,D358,MP2016_Long!$B:$B,"&gt;=2014",MP2016_Long!$B:$B,"&lt;"&amp;E358)</f>
        <v>0.15639999999999998</v>
      </c>
      <c r="J358">
        <f t="shared" si="46"/>
        <v>0.19056098429463061</v>
      </c>
      <c r="K358">
        <f t="shared" si="47"/>
        <v>0.21141384445851147</v>
      </c>
      <c r="L358">
        <f>EXP(-K358/Inputs!$B$6)</f>
        <v>0.98253646603371436</v>
      </c>
      <c r="M358">
        <f t="shared" si="53"/>
        <v>0.15731105267952708</v>
      </c>
      <c r="N358">
        <f>IFERROR(INDEX(MonthlyCurve!$I:$I,MATCH(A358,MonthlyCurve!$A:$A,0)),"")</f>
        <v>4.9469468333333336E-2</v>
      </c>
      <c r="O358">
        <f>IFERROR(INDEX(MonthlyCurve!$J:$J,MATCH(A358,MonthlyCurve!$A:$A,0)),"")</f>
        <v>0.23143140141999624</v>
      </c>
      <c r="P358">
        <f t="shared" si="48"/>
        <v>1310.925438996059</v>
      </c>
      <c r="Q358">
        <f t="shared" si="49"/>
        <v>3.9327763169881771</v>
      </c>
      <c r="R358">
        <f t="shared" si="50"/>
        <v>1314.8582153130471</v>
      </c>
      <c r="S358">
        <f t="shared" si="51"/>
        <v>303.38931150398173</v>
      </c>
      <c r="T358">
        <f t="shared" si="52"/>
        <v>0.91016793451194522</v>
      </c>
      <c r="U358">
        <f>SUMPRODUCT(R359:R543,O359:O543)/(M358*O358)</f>
        <v>301137.17088817502</v>
      </c>
    </row>
    <row r="359" spans="1:21" x14ac:dyDescent="0.35">
      <c r="A359">
        <v>356</v>
      </c>
      <c r="B359">
        <f>A359/Inputs!$B$6</f>
        <v>29.666666666666668</v>
      </c>
      <c r="C359">
        <f>Inputs!$B$3+B359</f>
        <v>94.666666666666671</v>
      </c>
      <c r="D359">
        <f t="shared" si="45"/>
        <v>94</v>
      </c>
      <c r="E359">
        <f>Inputs!$B$7+1+INT((A359-1)/Inputs!$B$6)</f>
        <v>2055</v>
      </c>
      <c r="F359">
        <f>Inputs!$B$16</f>
        <v>8333.3333333333339</v>
      </c>
      <c r="G359">
        <f>Inputs!$B$12</f>
        <v>25</v>
      </c>
      <c r="H359">
        <f>IFERROR(INDEX(RP2014_Qx!$B:$B,MATCH(D359,RP2014_Qx!$A:$A,0)),"")</f>
        <v>0.162971</v>
      </c>
      <c r="I359">
        <f>SUMIFS(MP2016_Long!$C:$C,MP2016_Long!$A:$A,D359,MP2016_Long!$B:$B,"&gt;=2014",MP2016_Long!$B:$B,"&lt;"&amp;E359)</f>
        <v>0.15639999999999998</v>
      </c>
      <c r="J359">
        <f t="shared" si="46"/>
        <v>0.19056098429463061</v>
      </c>
      <c r="K359">
        <f t="shared" si="47"/>
        <v>0.21141384445851147</v>
      </c>
      <c r="L359">
        <f>EXP(-K359/Inputs!$B$6)</f>
        <v>0.98253646603371436</v>
      </c>
      <c r="M359">
        <f t="shared" si="53"/>
        <v>0.15456384576778601</v>
      </c>
      <c r="N359">
        <f>IFERROR(INDEX(MonthlyCurve!$I:$I,MATCH(A359,MonthlyCurve!$A:$A,0)),"")</f>
        <v>4.9466516666666668E-2</v>
      </c>
      <c r="O359">
        <f>IFERROR(INDEX(MonthlyCurve!$J:$J,MATCH(A359,MonthlyCurve!$A:$A,0)),"")</f>
        <v>0.230499482628192</v>
      </c>
      <c r="P359">
        <f t="shared" si="48"/>
        <v>1288.0320480648834</v>
      </c>
      <c r="Q359">
        <f t="shared" si="49"/>
        <v>3.86409614419465</v>
      </c>
      <c r="R359">
        <f t="shared" si="50"/>
        <v>1291.8961442090781</v>
      </c>
      <c r="S359">
        <f t="shared" si="51"/>
        <v>296.89072068748618</v>
      </c>
      <c r="T359">
        <f t="shared" si="52"/>
        <v>0.89067216206245847</v>
      </c>
      <c r="U359">
        <f>SUMPRODUCT(R360:R543,O360:O543)/(M359*O359)</f>
        <v>299370.37820221449</v>
      </c>
    </row>
    <row r="360" spans="1:21" x14ac:dyDescent="0.35">
      <c r="A360">
        <v>357</v>
      </c>
      <c r="B360">
        <f>A360/Inputs!$B$6</f>
        <v>29.75</v>
      </c>
      <c r="C360">
        <f>Inputs!$B$3+B360</f>
        <v>94.75</v>
      </c>
      <c r="D360">
        <f t="shared" si="45"/>
        <v>94</v>
      </c>
      <c r="E360">
        <f>Inputs!$B$7+1+INT((A360-1)/Inputs!$B$6)</f>
        <v>2055</v>
      </c>
      <c r="F360">
        <f>Inputs!$B$16</f>
        <v>8333.3333333333339</v>
      </c>
      <c r="G360">
        <f>Inputs!$B$12</f>
        <v>25</v>
      </c>
      <c r="H360">
        <f>IFERROR(INDEX(RP2014_Qx!$B:$B,MATCH(D360,RP2014_Qx!$A:$A,0)),"")</f>
        <v>0.162971</v>
      </c>
      <c r="I360">
        <f>SUMIFS(MP2016_Long!$C:$C,MP2016_Long!$A:$A,D360,MP2016_Long!$B:$B,"&gt;=2014",MP2016_Long!$B:$B,"&lt;"&amp;E360)</f>
        <v>0.15639999999999998</v>
      </c>
      <c r="J360">
        <f t="shared" si="46"/>
        <v>0.19056098429463061</v>
      </c>
      <c r="K360">
        <f t="shared" si="47"/>
        <v>0.21141384445851147</v>
      </c>
      <c r="L360">
        <f>EXP(-K360/Inputs!$B$6)</f>
        <v>0.98253646603371436</v>
      </c>
      <c r="M360">
        <f t="shared" si="53"/>
        <v>0.15186461479726054</v>
      </c>
      <c r="N360">
        <f>IFERROR(INDEX(MonthlyCurve!$I:$I,MATCH(A360,MonthlyCurve!$A:$A,0)),"")</f>
        <v>4.9463565000000001E-2</v>
      </c>
      <c r="O360">
        <f>IFERROR(INDEX(MonthlyCurve!$J:$J,MATCH(A360,MonthlyCurve!$A:$A,0)),"")</f>
        <v>0.22957142938639286</v>
      </c>
      <c r="P360">
        <f t="shared" si="48"/>
        <v>1265.5384566438379</v>
      </c>
      <c r="Q360">
        <f t="shared" si="49"/>
        <v>3.7966153699315135</v>
      </c>
      <c r="R360">
        <f t="shared" si="50"/>
        <v>1269.3350720137694</v>
      </c>
      <c r="S360">
        <f t="shared" si="51"/>
        <v>290.53147243517543</v>
      </c>
      <c r="T360">
        <f t="shared" si="52"/>
        <v>0.87159441730552623</v>
      </c>
      <c r="U360">
        <f>SUMPRODUCT(R361:R543,O361:O543)/(M360*O360)</f>
        <v>297564.76199249947</v>
      </c>
    </row>
    <row r="361" spans="1:21" x14ac:dyDescent="0.35">
      <c r="A361">
        <v>358</v>
      </c>
      <c r="B361">
        <f>A361/Inputs!$B$6</f>
        <v>29.833333333333332</v>
      </c>
      <c r="C361">
        <f>Inputs!$B$3+B361</f>
        <v>94.833333333333329</v>
      </c>
      <c r="D361">
        <f t="shared" si="45"/>
        <v>94</v>
      </c>
      <c r="E361">
        <f>Inputs!$B$7+1+INT((A361-1)/Inputs!$B$6)</f>
        <v>2055</v>
      </c>
      <c r="F361">
        <f>Inputs!$B$16</f>
        <v>8333.3333333333339</v>
      </c>
      <c r="G361">
        <f>Inputs!$B$12</f>
        <v>25</v>
      </c>
      <c r="H361">
        <f>IFERROR(INDEX(RP2014_Qx!$B:$B,MATCH(D361,RP2014_Qx!$A:$A,0)),"")</f>
        <v>0.162971</v>
      </c>
      <c r="I361">
        <f>SUMIFS(MP2016_Long!$C:$C,MP2016_Long!$A:$A,D361,MP2016_Long!$B:$B,"&gt;=2014",MP2016_Long!$B:$B,"&lt;"&amp;E361)</f>
        <v>0.15639999999999998</v>
      </c>
      <c r="J361">
        <f t="shared" si="46"/>
        <v>0.19056098429463061</v>
      </c>
      <c r="K361">
        <f t="shared" si="47"/>
        <v>0.21141384445851147</v>
      </c>
      <c r="L361">
        <f>EXP(-K361/Inputs!$B$6)</f>
        <v>0.98253646603371436</v>
      </c>
      <c r="M361">
        <f t="shared" si="53"/>
        <v>0.1492125219384717</v>
      </c>
      <c r="N361">
        <f>IFERROR(INDEX(MonthlyCurve!$I:$I,MATCH(A361,MonthlyCurve!$A:$A,0)),"")</f>
        <v>4.9460613333333334E-2</v>
      </c>
      <c r="O361">
        <f>IFERROR(INDEX(MonthlyCurve!$J:$J,MATCH(A361,MonthlyCurve!$A:$A,0)),"")</f>
        <v>0.22864722521958594</v>
      </c>
      <c r="P361">
        <f t="shared" si="48"/>
        <v>1243.4376828205977</v>
      </c>
      <c r="Q361">
        <f t="shared" si="49"/>
        <v>3.7303130484617926</v>
      </c>
      <c r="R361">
        <f t="shared" si="50"/>
        <v>1247.1679958690595</v>
      </c>
      <c r="S361">
        <f t="shared" si="51"/>
        <v>284.30857591040126</v>
      </c>
      <c r="T361">
        <f t="shared" si="52"/>
        <v>0.85292572773120368</v>
      </c>
      <c r="U361">
        <f>SUMPRODUCT(R362:R543,O362:O543)/(M361*O361)</f>
        <v>295719.47427296406</v>
      </c>
    </row>
    <row r="362" spans="1:21" x14ac:dyDescent="0.35">
      <c r="A362">
        <v>359</v>
      </c>
      <c r="B362">
        <f>A362/Inputs!$B$6</f>
        <v>29.916666666666668</v>
      </c>
      <c r="C362">
        <f>Inputs!$B$3+B362</f>
        <v>94.916666666666671</v>
      </c>
      <c r="D362">
        <f t="shared" si="45"/>
        <v>94</v>
      </c>
      <c r="E362">
        <f>Inputs!$B$7+1+INT((A362-1)/Inputs!$B$6)</f>
        <v>2055</v>
      </c>
      <c r="F362">
        <f>Inputs!$B$16</f>
        <v>8333.3333333333339</v>
      </c>
      <c r="G362">
        <f>Inputs!$B$12</f>
        <v>25</v>
      </c>
      <c r="H362">
        <f>IFERROR(INDEX(RP2014_Qx!$B:$B,MATCH(D362,RP2014_Qx!$A:$A,0)),"")</f>
        <v>0.162971</v>
      </c>
      <c r="I362">
        <f>SUMIFS(MP2016_Long!$C:$C,MP2016_Long!$A:$A,D362,MP2016_Long!$B:$B,"&gt;=2014",MP2016_Long!$B:$B,"&lt;"&amp;E362)</f>
        <v>0.15639999999999998</v>
      </c>
      <c r="J362">
        <f t="shared" si="46"/>
        <v>0.19056098429463061</v>
      </c>
      <c r="K362">
        <f t="shared" si="47"/>
        <v>0.21141384445851147</v>
      </c>
      <c r="L362">
        <f>EXP(-K362/Inputs!$B$6)</f>
        <v>0.98253646603371436</v>
      </c>
      <c r="M362">
        <f t="shared" si="53"/>
        <v>0.14660674399340407</v>
      </c>
      <c r="N362">
        <f>IFERROR(INDEX(MonthlyCurve!$I:$I,MATCH(A362,MonthlyCurve!$A:$A,0)),"")</f>
        <v>4.9457661666666666E-2</v>
      </c>
      <c r="O362">
        <f>IFERROR(INDEX(MonthlyCurve!$J:$J,MATCH(A362,MonthlyCurve!$A:$A,0)),"")</f>
        <v>0.2277268537247564</v>
      </c>
      <c r="P362">
        <f t="shared" si="48"/>
        <v>1221.7228666117007</v>
      </c>
      <c r="Q362">
        <f t="shared" si="49"/>
        <v>3.6651685998351016</v>
      </c>
      <c r="R362">
        <f t="shared" si="50"/>
        <v>1225.3880352115359</v>
      </c>
      <c r="S362">
        <f t="shared" si="51"/>
        <v>278.21910453707284</v>
      </c>
      <c r="T362">
        <f t="shared" si="52"/>
        <v>0.83465731361121842</v>
      </c>
      <c r="U362">
        <f>SUMPRODUCT(R363:R543,O363:O543)/(M362*O362)</f>
        <v>293833.64855594723</v>
      </c>
    </row>
    <row r="363" spans="1:21" x14ac:dyDescent="0.35">
      <c r="A363">
        <v>360</v>
      </c>
      <c r="B363">
        <f>A363/Inputs!$B$6</f>
        <v>30</v>
      </c>
      <c r="C363">
        <f>Inputs!$B$3+B363</f>
        <v>95</v>
      </c>
      <c r="D363">
        <f t="shared" si="45"/>
        <v>95</v>
      </c>
      <c r="E363">
        <f>Inputs!$B$7+1+INT((A363-1)/Inputs!$B$6)</f>
        <v>2055</v>
      </c>
      <c r="F363">
        <f>Inputs!$B$16</f>
        <v>8333.3333333333339</v>
      </c>
      <c r="G363">
        <f>Inputs!$B$12</f>
        <v>25</v>
      </c>
      <c r="H363">
        <f>IFERROR(INDEX(RP2014_Qx!$B:$B,MATCH(D363,RP2014_Qx!$A:$A,0)),"")</f>
        <v>0.179034</v>
      </c>
      <c r="I363">
        <f>SUMIFS(MP2016_Long!$C:$C,MP2016_Long!$A:$A,D363,MP2016_Long!$B:$B,"&gt;=2014",MP2016_Long!$B:$B,"&lt;"&amp;E363)</f>
        <v>0.15450000000000005</v>
      </c>
      <c r="J363">
        <f t="shared" si="46"/>
        <v>0.20894597629774547</v>
      </c>
      <c r="K363">
        <f t="shared" si="47"/>
        <v>0.23438901556658981</v>
      </c>
      <c r="L363">
        <f>EXP(-K363/Inputs!$B$6)</f>
        <v>0.98065710376679138</v>
      </c>
      <c r="M363">
        <f t="shared" si="53"/>
        <v>0.14377094495725107</v>
      </c>
      <c r="N363">
        <f>IFERROR(INDEX(MonthlyCurve!$I:$I,MATCH(A363,MonthlyCurve!$A:$A,0)),"")</f>
        <v>4.9454709999999999E-2</v>
      </c>
      <c r="O363">
        <f>IFERROR(INDEX(MonthlyCurve!$J:$J,MATCH(A363,MonthlyCurve!$A:$A,0)),"")</f>
        <v>0.22681029857056539</v>
      </c>
      <c r="P363">
        <f t="shared" si="48"/>
        <v>1198.0912079770924</v>
      </c>
      <c r="Q363">
        <f t="shared" si="49"/>
        <v>3.5942736239312767</v>
      </c>
      <c r="R363">
        <f t="shared" si="50"/>
        <v>1201.6854816010236</v>
      </c>
      <c r="S363">
        <f t="shared" si="51"/>
        <v>271.73942459605371</v>
      </c>
      <c r="T363">
        <f t="shared" si="52"/>
        <v>0.81521827378816092</v>
      </c>
      <c r="U363">
        <f>SUMPRODUCT(R364:R543,O364:O543)/(M363*O363)</f>
        <v>292481.83627260401</v>
      </c>
    </row>
    <row r="364" spans="1:21" x14ac:dyDescent="0.35">
      <c r="A364">
        <v>361</v>
      </c>
      <c r="B364">
        <f>A364/Inputs!$B$6</f>
        <v>30.083333333333332</v>
      </c>
      <c r="C364">
        <f>Inputs!$B$3+B364</f>
        <v>95.083333333333329</v>
      </c>
      <c r="D364">
        <f t="shared" si="45"/>
        <v>95</v>
      </c>
      <c r="E364">
        <f>Inputs!$B$7+1+INT((A364-1)/Inputs!$B$6)</f>
        <v>2056</v>
      </c>
      <c r="F364">
        <f>Inputs!$B$16</f>
        <v>8333.3333333333339</v>
      </c>
      <c r="G364">
        <f>Inputs!$B$12</f>
        <v>25</v>
      </c>
      <c r="H364">
        <f>IFERROR(INDEX(RP2014_Qx!$B:$B,MATCH(D364,RP2014_Qx!$A:$A,0)),"")</f>
        <v>0.179034</v>
      </c>
      <c r="I364">
        <f>SUMIFS(MP2016_Long!$C:$C,MP2016_Long!$A:$A,D364,MP2016_Long!$B:$B,"&gt;=2014",MP2016_Long!$B:$B,"&lt;"&amp;E364)</f>
        <v>0.15450000000000005</v>
      </c>
      <c r="J364">
        <f t="shared" si="46"/>
        <v>0.20894597629774547</v>
      </c>
      <c r="K364">
        <f t="shared" si="47"/>
        <v>0.23438901556658981</v>
      </c>
      <c r="L364">
        <f>EXP(-K364/Inputs!$B$6)</f>
        <v>0.98065710376679138</v>
      </c>
      <c r="M364">
        <f t="shared" si="53"/>
        <v>0.14098999848759261</v>
      </c>
      <c r="N364">
        <f>IFERROR(INDEX(MonthlyCurve!$I:$I,MATCH(A364,MonthlyCurve!$A:$A,0)),"")</f>
        <v>4.9454709999999999E-2</v>
      </c>
      <c r="O364">
        <f>IFERROR(INDEX(MonthlyCurve!$J:$J,MATCH(A364,MonthlyCurve!$A:$A,0)),"")</f>
        <v>0.22587748559557538</v>
      </c>
      <c r="P364">
        <f t="shared" si="48"/>
        <v>1174.9166540632718</v>
      </c>
      <c r="Q364">
        <f t="shared" si="49"/>
        <v>3.5247499621898153</v>
      </c>
      <c r="R364">
        <f t="shared" si="50"/>
        <v>1178.4414040254617</v>
      </c>
      <c r="S364">
        <f t="shared" si="51"/>
        <v>265.38721960417831</v>
      </c>
      <c r="T364">
        <f t="shared" si="52"/>
        <v>0.79616165881253487</v>
      </c>
      <c r="U364">
        <f>SUMPRODUCT(R365:R543,O365:O543)/(M364*O364)</f>
        <v>291124.23410927469</v>
      </c>
    </row>
    <row r="365" spans="1:21" x14ac:dyDescent="0.35">
      <c r="A365">
        <v>362</v>
      </c>
      <c r="B365">
        <f>A365/Inputs!$B$6</f>
        <v>30.166666666666668</v>
      </c>
      <c r="C365">
        <f>Inputs!$B$3+B365</f>
        <v>95.166666666666671</v>
      </c>
      <c r="D365">
        <f t="shared" si="45"/>
        <v>95</v>
      </c>
      <c r="E365">
        <f>Inputs!$B$7+1+INT((A365-1)/Inputs!$B$6)</f>
        <v>2056</v>
      </c>
      <c r="F365">
        <f>Inputs!$B$16</f>
        <v>8333.3333333333339</v>
      </c>
      <c r="G365">
        <f>Inputs!$B$12</f>
        <v>25</v>
      </c>
      <c r="H365">
        <f>IFERROR(INDEX(RP2014_Qx!$B:$B,MATCH(D365,RP2014_Qx!$A:$A,0)),"")</f>
        <v>0.179034</v>
      </c>
      <c r="I365">
        <f>SUMIFS(MP2016_Long!$C:$C,MP2016_Long!$A:$A,D365,MP2016_Long!$B:$B,"&gt;=2014",MP2016_Long!$B:$B,"&lt;"&amp;E365)</f>
        <v>0.15450000000000005</v>
      </c>
      <c r="J365">
        <f t="shared" si="46"/>
        <v>0.20894597629774547</v>
      </c>
      <c r="K365">
        <f t="shared" si="47"/>
        <v>0.23438901556658981</v>
      </c>
      <c r="L365">
        <f>EXP(-K365/Inputs!$B$6)</f>
        <v>0.98065710376679138</v>
      </c>
      <c r="M365">
        <f t="shared" si="53"/>
        <v>0.13826284357692686</v>
      </c>
      <c r="N365">
        <f>IFERROR(INDEX(MonthlyCurve!$I:$I,MATCH(A365,MonthlyCurve!$A:$A,0)),"")</f>
        <v>4.9454709999999999E-2</v>
      </c>
      <c r="O365">
        <f>IFERROR(INDEX(MonthlyCurve!$J:$J,MATCH(A365,MonthlyCurve!$A:$A,0)),"")</f>
        <v>0.22494850904270464</v>
      </c>
      <c r="P365">
        <f t="shared" si="48"/>
        <v>1152.1903631410573</v>
      </c>
      <c r="Q365">
        <f t="shared" si="49"/>
        <v>3.4565710894231714</v>
      </c>
      <c r="R365">
        <f t="shared" si="50"/>
        <v>1155.6469342304806</v>
      </c>
      <c r="S365">
        <f t="shared" si="51"/>
        <v>259.18350432195325</v>
      </c>
      <c r="T365">
        <f t="shared" si="52"/>
        <v>0.77755051296585964</v>
      </c>
      <c r="U365">
        <f>SUMPRODUCT(R366:R543,O366:O543)/(M365*O365)</f>
        <v>289734.13691000617</v>
      </c>
    </row>
    <row r="366" spans="1:21" x14ac:dyDescent="0.35">
      <c r="A366">
        <v>363</v>
      </c>
      <c r="B366">
        <f>A366/Inputs!$B$6</f>
        <v>30.25</v>
      </c>
      <c r="C366">
        <f>Inputs!$B$3+B366</f>
        <v>95.25</v>
      </c>
      <c r="D366">
        <f t="shared" si="45"/>
        <v>95</v>
      </c>
      <c r="E366">
        <f>Inputs!$B$7+1+INT((A366-1)/Inputs!$B$6)</f>
        <v>2056</v>
      </c>
      <c r="F366">
        <f>Inputs!$B$16</f>
        <v>8333.3333333333339</v>
      </c>
      <c r="G366">
        <f>Inputs!$B$12</f>
        <v>25</v>
      </c>
      <c r="H366">
        <f>IFERROR(INDEX(RP2014_Qx!$B:$B,MATCH(D366,RP2014_Qx!$A:$A,0)),"")</f>
        <v>0.179034</v>
      </c>
      <c r="I366">
        <f>SUMIFS(MP2016_Long!$C:$C,MP2016_Long!$A:$A,D366,MP2016_Long!$B:$B,"&gt;=2014",MP2016_Long!$B:$B,"&lt;"&amp;E366)</f>
        <v>0.15450000000000005</v>
      </c>
      <c r="J366">
        <f t="shared" si="46"/>
        <v>0.20894597629774547</v>
      </c>
      <c r="K366">
        <f t="shared" si="47"/>
        <v>0.23438901556658981</v>
      </c>
      <c r="L366">
        <f>EXP(-K366/Inputs!$B$6)</f>
        <v>0.98065710376679138</v>
      </c>
      <c r="M366">
        <f t="shared" si="53"/>
        <v>0.13558843974071003</v>
      </c>
      <c r="N366">
        <f>IFERROR(INDEX(MonthlyCurve!$I:$I,MATCH(A366,MonthlyCurve!$A:$A,0)),"")</f>
        <v>4.9454709999999999E-2</v>
      </c>
      <c r="O366">
        <f>IFERROR(INDEX(MonthlyCurve!$J:$J,MATCH(A366,MonthlyCurve!$A:$A,0)),"")</f>
        <v>0.22402335313372637</v>
      </c>
      <c r="P366">
        <f t="shared" si="48"/>
        <v>1129.903664505917</v>
      </c>
      <c r="Q366">
        <f t="shared" si="49"/>
        <v>3.3897109935177507</v>
      </c>
      <c r="R366">
        <f t="shared" si="50"/>
        <v>1133.2933754994349</v>
      </c>
      <c r="S366">
        <f t="shared" si="51"/>
        <v>253.12480764070054</v>
      </c>
      <c r="T366">
        <f t="shared" si="52"/>
        <v>0.75937442292210156</v>
      </c>
      <c r="U366">
        <f>SUMPRODUCT(R367:R543,O367:O543)/(M366*O366)</f>
        <v>288310.7668862904</v>
      </c>
    </row>
    <row r="367" spans="1:21" x14ac:dyDescent="0.35">
      <c r="A367">
        <v>364</v>
      </c>
      <c r="B367">
        <f>A367/Inputs!$B$6</f>
        <v>30.333333333333332</v>
      </c>
      <c r="C367">
        <f>Inputs!$B$3+B367</f>
        <v>95.333333333333329</v>
      </c>
      <c r="D367">
        <f t="shared" si="45"/>
        <v>95</v>
      </c>
      <c r="E367">
        <f>Inputs!$B$7+1+INT((A367-1)/Inputs!$B$6)</f>
        <v>2056</v>
      </c>
      <c r="F367">
        <f>Inputs!$B$16</f>
        <v>8333.3333333333339</v>
      </c>
      <c r="G367">
        <f>Inputs!$B$12</f>
        <v>25</v>
      </c>
      <c r="H367">
        <f>IFERROR(INDEX(RP2014_Qx!$B:$B,MATCH(D367,RP2014_Qx!$A:$A,0)),"")</f>
        <v>0.179034</v>
      </c>
      <c r="I367">
        <f>SUMIFS(MP2016_Long!$C:$C,MP2016_Long!$A:$A,D367,MP2016_Long!$B:$B,"&gt;=2014",MP2016_Long!$B:$B,"&lt;"&amp;E367)</f>
        <v>0.15450000000000005</v>
      </c>
      <c r="J367">
        <f t="shared" si="46"/>
        <v>0.20894597629774547</v>
      </c>
      <c r="K367">
        <f t="shared" si="47"/>
        <v>0.23438901556658981</v>
      </c>
      <c r="L367">
        <f>EXP(-K367/Inputs!$B$6)</f>
        <v>0.98065710376679138</v>
      </c>
      <c r="M367">
        <f t="shared" si="53"/>
        <v>0.13296576662038281</v>
      </c>
      <c r="N367">
        <f>IFERROR(INDEX(MonthlyCurve!$I:$I,MATCH(A367,MonthlyCurve!$A:$A,0)),"")</f>
        <v>4.9454709999999999E-2</v>
      </c>
      <c r="O367">
        <f>IFERROR(INDEX(MonthlyCurve!$J:$J,MATCH(A367,MonthlyCurve!$A:$A,0)),"")</f>
        <v>0.22310200215530557</v>
      </c>
      <c r="P367">
        <f t="shared" si="48"/>
        <v>1108.0480551698568</v>
      </c>
      <c r="Q367">
        <f t="shared" si="49"/>
        <v>3.3241441655095705</v>
      </c>
      <c r="R367">
        <f t="shared" si="50"/>
        <v>1111.3721993353663</v>
      </c>
      <c r="S367">
        <f t="shared" si="51"/>
        <v>247.20773959268752</v>
      </c>
      <c r="T367">
        <f t="shared" si="52"/>
        <v>0.74162321877806259</v>
      </c>
      <c r="U367">
        <f>SUMPRODUCT(R368:R543,O368:O543)/(M367*O367)</f>
        <v>286853.32763277768</v>
      </c>
    </row>
    <row r="368" spans="1:21" x14ac:dyDescent="0.35">
      <c r="A368">
        <v>365</v>
      </c>
      <c r="B368">
        <f>A368/Inputs!$B$6</f>
        <v>30.416666666666668</v>
      </c>
      <c r="C368">
        <f>Inputs!$B$3+B368</f>
        <v>95.416666666666671</v>
      </c>
      <c r="D368">
        <f t="shared" si="45"/>
        <v>95</v>
      </c>
      <c r="E368">
        <f>Inputs!$B$7+1+INT((A368-1)/Inputs!$B$6)</f>
        <v>2056</v>
      </c>
      <c r="F368">
        <f>Inputs!$B$16</f>
        <v>8333.3333333333339</v>
      </c>
      <c r="G368">
        <f>Inputs!$B$12</f>
        <v>25</v>
      </c>
      <c r="H368">
        <f>IFERROR(INDEX(RP2014_Qx!$B:$B,MATCH(D368,RP2014_Qx!$A:$A,0)),"")</f>
        <v>0.179034</v>
      </c>
      <c r="I368">
        <f>SUMIFS(MP2016_Long!$C:$C,MP2016_Long!$A:$A,D368,MP2016_Long!$B:$B,"&gt;=2014",MP2016_Long!$B:$B,"&lt;"&amp;E368)</f>
        <v>0.15450000000000005</v>
      </c>
      <c r="J368">
        <f t="shared" si="46"/>
        <v>0.20894597629774547</v>
      </c>
      <c r="K368">
        <f t="shared" si="47"/>
        <v>0.23438901556658981</v>
      </c>
      <c r="L368">
        <f>EXP(-K368/Inputs!$B$6)</f>
        <v>0.98065710376679138</v>
      </c>
      <c r="M368">
        <f t="shared" si="53"/>
        <v>0.13039382359407573</v>
      </c>
      <c r="N368">
        <f>IFERROR(INDEX(MonthlyCurve!$I:$I,MATCH(A368,MonthlyCurve!$A:$A,0)),"")</f>
        <v>4.9454709999999999E-2</v>
      </c>
      <c r="O368">
        <f>IFERROR(INDEX(MonthlyCurve!$J:$J,MATCH(A368,MonthlyCurve!$A:$A,0)),"")</f>
        <v>0.2221844404587322</v>
      </c>
      <c r="P368">
        <f t="shared" si="48"/>
        <v>1086.6151966172979</v>
      </c>
      <c r="Q368">
        <f t="shared" si="49"/>
        <v>3.259845589851893</v>
      </c>
      <c r="R368">
        <f t="shared" si="50"/>
        <v>1089.8750422071498</v>
      </c>
      <c r="S368">
        <f t="shared" si="51"/>
        <v>241.4289894543696</v>
      </c>
      <c r="T368">
        <f t="shared" si="52"/>
        <v>0.72428696836310869</v>
      </c>
      <c r="U368">
        <f>SUMPRODUCT(R369:R543,O369:O543)/(M368*O368)</f>
        <v>285361.00368166954</v>
      </c>
    </row>
    <row r="369" spans="1:21" x14ac:dyDescent="0.35">
      <c r="A369">
        <v>366</v>
      </c>
      <c r="B369">
        <f>A369/Inputs!$B$6</f>
        <v>30.5</v>
      </c>
      <c r="C369">
        <f>Inputs!$B$3+B369</f>
        <v>95.5</v>
      </c>
      <c r="D369">
        <f t="shared" si="45"/>
        <v>95</v>
      </c>
      <c r="E369">
        <f>Inputs!$B$7+1+INT((A369-1)/Inputs!$B$6)</f>
        <v>2056</v>
      </c>
      <c r="F369">
        <f>Inputs!$B$16</f>
        <v>8333.3333333333339</v>
      </c>
      <c r="G369">
        <f>Inputs!$B$12</f>
        <v>25</v>
      </c>
      <c r="H369">
        <f>IFERROR(INDEX(RP2014_Qx!$B:$B,MATCH(D369,RP2014_Qx!$A:$A,0)),"")</f>
        <v>0.179034</v>
      </c>
      <c r="I369">
        <f>SUMIFS(MP2016_Long!$C:$C,MP2016_Long!$A:$A,D369,MP2016_Long!$B:$B,"&gt;=2014",MP2016_Long!$B:$B,"&lt;"&amp;E369)</f>
        <v>0.15450000000000005</v>
      </c>
      <c r="J369">
        <f t="shared" si="46"/>
        <v>0.20894597629774547</v>
      </c>
      <c r="K369">
        <f t="shared" si="47"/>
        <v>0.23438901556658981</v>
      </c>
      <c r="L369">
        <f>EXP(-K369/Inputs!$B$6)</f>
        <v>0.98065710376679138</v>
      </c>
      <c r="M369">
        <f t="shared" si="53"/>
        <v>0.1278716293948442</v>
      </c>
      <c r="N369">
        <f>IFERROR(INDEX(MonthlyCurve!$I:$I,MATCH(A369,MonthlyCurve!$A:$A,0)),"")</f>
        <v>4.9454709999999999E-2</v>
      </c>
      <c r="O369">
        <f>IFERROR(INDEX(MonthlyCurve!$J:$J,MATCH(A369,MonthlyCurve!$A:$A,0)),"")</f>
        <v>0.22127065245965549</v>
      </c>
      <c r="P369">
        <f t="shared" si="48"/>
        <v>1065.5969116237018</v>
      </c>
      <c r="Q369">
        <f t="shared" si="49"/>
        <v>3.1967907348711049</v>
      </c>
      <c r="R369">
        <f t="shared" si="50"/>
        <v>1068.7937023585728</v>
      </c>
      <c r="S369">
        <f t="shared" si="51"/>
        <v>235.78532389397034</v>
      </c>
      <c r="T369">
        <f t="shared" si="52"/>
        <v>0.70735597168191089</v>
      </c>
      <c r="U369">
        <f>SUMPRODUCT(R370:R543,O370:O543)/(M369*O369)</f>
        <v>283832.96004644892</v>
      </c>
    </row>
    <row r="370" spans="1:21" x14ac:dyDescent="0.35">
      <c r="A370">
        <v>367</v>
      </c>
      <c r="B370">
        <f>A370/Inputs!$B$6</f>
        <v>30.583333333333332</v>
      </c>
      <c r="C370">
        <f>Inputs!$B$3+B370</f>
        <v>95.583333333333329</v>
      </c>
      <c r="D370">
        <f t="shared" si="45"/>
        <v>95</v>
      </c>
      <c r="E370">
        <f>Inputs!$B$7+1+INT((A370-1)/Inputs!$B$6)</f>
        <v>2056</v>
      </c>
      <c r="F370">
        <f>Inputs!$B$16</f>
        <v>8333.3333333333339</v>
      </c>
      <c r="G370">
        <f>Inputs!$B$12</f>
        <v>25</v>
      </c>
      <c r="H370">
        <f>IFERROR(INDEX(RP2014_Qx!$B:$B,MATCH(D370,RP2014_Qx!$A:$A,0)),"")</f>
        <v>0.179034</v>
      </c>
      <c r="I370">
        <f>SUMIFS(MP2016_Long!$C:$C,MP2016_Long!$A:$A,D370,MP2016_Long!$B:$B,"&gt;=2014",MP2016_Long!$B:$B,"&lt;"&amp;E370)</f>
        <v>0.15450000000000005</v>
      </c>
      <c r="J370">
        <f t="shared" si="46"/>
        <v>0.20894597629774547</v>
      </c>
      <c r="K370">
        <f t="shared" si="47"/>
        <v>0.23438901556658981</v>
      </c>
      <c r="L370">
        <f>EXP(-K370/Inputs!$B$6)</f>
        <v>0.98065710376679138</v>
      </c>
      <c r="M370">
        <f t="shared" si="53"/>
        <v>0.12539822173628842</v>
      </c>
      <c r="N370">
        <f>IFERROR(INDEX(MonthlyCurve!$I:$I,MATCH(A370,MonthlyCurve!$A:$A,0)),"")</f>
        <v>4.9454709999999999E-2</v>
      </c>
      <c r="O370">
        <f>IFERROR(INDEX(MonthlyCurve!$J:$J,MATCH(A370,MonthlyCurve!$A:$A,0)),"")</f>
        <v>0.22036062263781897</v>
      </c>
      <c r="P370">
        <f t="shared" si="48"/>
        <v>1044.9851811357369</v>
      </c>
      <c r="Q370">
        <f t="shared" si="49"/>
        <v>3.1349555434072105</v>
      </c>
      <c r="R370">
        <f t="shared" si="50"/>
        <v>1048.120136679144</v>
      </c>
      <c r="S370">
        <f t="shared" si="51"/>
        <v>230.27358516236501</v>
      </c>
      <c r="T370">
        <f t="shared" si="52"/>
        <v>0.69082075548709498</v>
      </c>
      <c r="U370">
        <f>SUMPRODUCT(R371:R543,O371:O543)/(M370*O370)</f>
        <v>282268.34175468725</v>
      </c>
    </row>
    <row r="371" spans="1:21" x14ac:dyDescent="0.35">
      <c r="A371">
        <v>368</v>
      </c>
      <c r="B371">
        <f>A371/Inputs!$B$6</f>
        <v>30.666666666666668</v>
      </c>
      <c r="C371">
        <f>Inputs!$B$3+B371</f>
        <v>95.666666666666671</v>
      </c>
      <c r="D371">
        <f t="shared" si="45"/>
        <v>95</v>
      </c>
      <c r="E371">
        <f>Inputs!$B$7+1+INT((A371-1)/Inputs!$B$6)</f>
        <v>2056</v>
      </c>
      <c r="F371">
        <f>Inputs!$B$16</f>
        <v>8333.3333333333339</v>
      </c>
      <c r="G371">
        <f>Inputs!$B$12</f>
        <v>25</v>
      </c>
      <c r="H371">
        <f>IFERROR(INDEX(RP2014_Qx!$B:$B,MATCH(D371,RP2014_Qx!$A:$A,0)),"")</f>
        <v>0.179034</v>
      </c>
      <c r="I371">
        <f>SUMIFS(MP2016_Long!$C:$C,MP2016_Long!$A:$A,D371,MP2016_Long!$B:$B,"&gt;=2014",MP2016_Long!$B:$B,"&lt;"&amp;E371)</f>
        <v>0.15450000000000005</v>
      </c>
      <c r="J371">
        <f t="shared" si="46"/>
        <v>0.20894597629774547</v>
      </c>
      <c r="K371">
        <f t="shared" si="47"/>
        <v>0.23438901556658981</v>
      </c>
      <c r="L371">
        <f>EXP(-K371/Inputs!$B$6)</f>
        <v>0.98065710376679138</v>
      </c>
      <c r="M371">
        <f t="shared" si="53"/>
        <v>0.12297265694541451</v>
      </c>
      <c r="N371">
        <f>IFERROR(INDEX(MonthlyCurve!$I:$I,MATCH(A371,MonthlyCurve!$A:$A,0)),"")</f>
        <v>4.9454709999999999E-2</v>
      </c>
      <c r="O371">
        <f>IFERROR(INDEX(MonthlyCurve!$J:$J,MATCH(A371,MonthlyCurve!$A:$A,0)),"")</f>
        <v>0.21945433553679702</v>
      </c>
      <c r="P371">
        <f t="shared" si="48"/>
        <v>1024.7721412117876</v>
      </c>
      <c r="Q371">
        <f t="shared" si="49"/>
        <v>3.0743164236353628</v>
      </c>
      <c r="R371">
        <f t="shared" si="50"/>
        <v>1027.8464576354229</v>
      </c>
      <c r="S371">
        <f t="shared" si="51"/>
        <v>224.89068932625358</v>
      </c>
      <c r="T371">
        <f t="shared" si="52"/>
        <v>0.67467206797876078</v>
      </c>
      <c r="U371">
        <f>SUMPRODUCT(R372:R543,O372:O543)/(M371*O371)</f>
        <v>280666.27336966898</v>
      </c>
    </row>
    <row r="372" spans="1:21" x14ac:dyDescent="0.35">
      <c r="A372">
        <v>369</v>
      </c>
      <c r="B372">
        <f>A372/Inputs!$B$6</f>
        <v>30.75</v>
      </c>
      <c r="C372">
        <f>Inputs!$B$3+B372</f>
        <v>95.75</v>
      </c>
      <c r="D372">
        <f t="shared" si="45"/>
        <v>95</v>
      </c>
      <c r="E372">
        <f>Inputs!$B$7+1+INT((A372-1)/Inputs!$B$6)</f>
        <v>2056</v>
      </c>
      <c r="F372">
        <f>Inputs!$B$16</f>
        <v>8333.3333333333339</v>
      </c>
      <c r="G372">
        <f>Inputs!$B$12</f>
        <v>25</v>
      </c>
      <c r="H372">
        <f>IFERROR(INDEX(RP2014_Qx!$B:$B,MATCH(D372,RP2014_Qx!$A:$A,0)),"")</f>
        <v>0.179034</v>
      </c>
      <c r="I372">
        <f>SUMIFS(MP2016_Long!$C:$C,MP2016_Long!$A:$A,D372,MP2016_Long!$B:$B,"&gt;=2014",MP2016_Long!$B:$B,"&lt;"&amp;E372)</f>
        <v>0.15450000000000005</v>
      </c>
      <c r="J372">
        <f t="shared" si="46"/>
        <v>0.20894597629774547</v>
      </c>
      <c r="K372">
        <f t="shared" si="47"/>
        <v>0.23438901556658981</v>
      </c>
      <c r="L372">
        <f>EXP(-K372/Inputs!$B$6)</f>
        <v>0.98065710376679138</v>
      </c>
      <c r="M372">
        <f t="shared" si="53"/>
        <v>0.12059400960259739</v>
      </c>
      <c r="N372">
        <f>IFERROR(INDEX(MonthlyCurve!$I:$I,MATCH(A372,MonthlyCurve!$A:$A,0)),"")</f>
        <v>4.9454709999999999E-2</v>
      </c>
      <c r="O372">
        <f>IFERROR(INDEX(MonthlyCurve!$J:$J,MATCH(A372,MonthlyCurve!$A:$A,0)),"")</f>
        <v>0.21855177576373258</v>
      </c>
      <c r="P372">
        <f t="shared" si="48"/>
        <v>1004.950080021645</v>
      </c>
      <c r="Q372">
        <f t="shared" si="49"/>
        <v>3.0148502400649346</v>
      </c>
      <c r="R372">
        <f t="shared" si="50"/>
        <v>1007.9649302617099</v>
      </c>
      <c r="S372">
        <f t="shared" si="51"/>
        <v>219.63362454263569</v>
      </c>
      <c r="T372">
        <f t="shared" si="52"/>
        <v>0.65890087362790695</v>
      </c>
      <c r="U372">
        <f>SUMPRODUCT(R373:R543,O373:O543)/(M372*O372)</f>
        <v>279025.85850056674</v>
      </c>
    </row>
    <row r="373" spans="1:21" x14ac:dyDescent="0.35">
      <c r="A373">
        <v>370</v>
      </c>
      <c r="B373">
        <f>A373/Inputs!$B$6</f>
        <v>30.833333333333332</v>
      </c>
      <c r="C373">
        <f>Inputs!$B$3+B373</f>
        <v>95.833333333333329</v>
      </c>
      <c r="D373">
        <f t="shared" si="45"/>
        <v>95</v>
      </c>
      <c r="E373">
        <f>Inputs!$B$7+1+INT((A373-1)/Inputs!$B$6)</f>
        <v>2056</v>
      </c>
      <c r="F373">
        <f>Inputs!$B$16</f>
        <v>8333.3333333333339</v>
      </c>
      <c r="G373">
        <f>Inputs!$B$12</f>
        <v>25</v>
      </c>
      <c r="H373">
        <f>IFERROR(INDEX(RP2014_Qx!$B:$B,MATCH(D373,RP2014_Qx!$A:$A,0)),"")</f>
        <v>0.179034</v>
      </c>
      <c r="I373">
        <f>SUMIFS(MP2016_Long!$C:$C,MP2016_Long!$A:$A,D373,MP2016_Long!$B:$B,"&gt;=2014",MP2016_Long!$B:$B,"&lt;"&amp;E373)</f>
        <v>0.15450000000000005</v>
      </c>
      <c r="J373">
        <f t="shared" si="46"/>
        <v>0.20894597629774547</v>
      </c>
      <c r="K373">
        <f t="shared" si="47"/>
        <v>0.23438901556658981</v>
      </c>
      <c r="L373">
        <f>EXP(-K373/Inputs!$B$6)</f>
        <v>0.98065710376679138</v>
      </c>
      <c r="M373">
        <f t="shared" si="53"/>
        <v>0.11826137218850778</v>
      </c>
      <c r="N373">
        <f>IFERROR(INDEX(MonthlyCurve!$I:$I,MATCH(A373,MonthlyCurve!$A:$A,0)),"")</f>
        <v>4.9454709999999999E-2</v>
      </c>
      <c r="O373">
        <f>IFERROR(INDEX(MonthlyCurve!$J:$J,MATCH(A373,MonthlyCurve!$A:$A,0)),"")</f>
        <v>0.21765292798907532</v>
      </c>
      <c r="P373">
        <f t="shared" si="48"/>
        <v>985.51143490423158</v>
      </c>
      <c r="Q373">
        <f t="shared" si="49"/>
        <v>2.9565343047126946</v>
      </c>
      <c r="R373">
        <f t="shared" si="50"/>
        <v>988.46796920894428</v>
      </c>
      <c r="S373">
        <f t="shared" si="51"/>
        <v>214.49944937362099</v>
      </c>
      <c r="T373">
        <f t="shared" si="52"/>
        <v>0.64349834812086304</v>
      </c>
      <c r="U373">
        <f>SUMPRODUCT(R374:R543,O374:O543)/(M373*O373)</f>
        <v>277346.17930089193</v>
      </c>
    </row>
    <row r="374" spans="1:21" x14ac:dyDescent="0.35">
      <c r="A374">
        <v>371</v>
      </c>
      <c r="B374">
        <f>A374/Inputs!$B$6</f>
        <v>30.916666666666668</v>
      </c>
      <c r="C374">
        <f>Inputs!$B$3+B374</f>
        <v>95.916666666666671</v>
      </c>
      <c r="D374">
        <f t="shared" si="45"/>
        <v>95</v>
      </c>
      <c r="E374">
        <f>Inputs!$B$7+1+INT((A374-1)/Inputs!$B$6)</f>
        <v>2056</v>
      </c>
      <c r="F374">
        <f>Inputs!$B$16</f>
        <v>8333.3333333333339</v>
      </c>
      <c r="G374">
        <f>Inputs!$B$12</f>
        <v>25</v>
      </c>
      <c r="H374">
        <f>IFERROR(INDEX(RP2014_Qx!$B:$B,MATCH(D374,RP2014_Qx!$A:$A,0)),"")</f>
        <v>0.179034</v>
      </c>
      <c r="I374">
        <f>SUMIFS(MP2016_Long!$C:$C,MP2016_Long!$A:$A,D374,MP2016_Long!$B:$B,"&gt;=2014",MP2016_Long!$B:$B,"&lt;"&amp;E374)</f>
        <v>0.15450000000000005</v>
      </c>
      <c r="J374">
        <f t="shared" si="46"/>
        <v>0.20894597629774547</v>
      </c>
      <c r="K374">
        <f t="shared" si="47"/>
        <v>0.23438901556658981</v>
      </c>
      <c r="L374">
        <f>EXP(-K374/Inputs!$B$6)</f>
        <v>0.98065710376679138</v>
      </c>
      <c r="M374">
        <f t="shared" si="53"/>
        <v>0.11597385473786861</v>
      </c>
      <c r="N374">
        <f>IFERROR(INDEX(MonthlyCurve!$I:$I,MATCH(A374,MonthlyCurve!$A:$A,0)),"")</f>
        <v>4.9454709999999999E-2</v>
      </c>
      <c r="O374">
        <f>IFERROR(INDEX(MonthlyCurve!$J:$J,MATCH(A374,MonthlyCurve!$A:$A,0)),"")</f>
        <v>0.21675777694632131</v>
      </c>
      <c r="P374">
        <f t="shared" si="48"/>
        <v>966.44878948223857</v>
      </c>
      <c r="Q374">
        <f t="shared" si="49"/>
        <v>2.8993463684467153</v>
      </c>
      <c r="R374">
        <f t="shared" si="50"/>
        <v>969.34813585068525</v>
      </c>
      <c r="S374">
        <f t="shared" si="51"/>
        <v>209.48529114063331</v>
      </c>
      <c r="T374">
        <f t="shared" si="52"/>
        <v>0.6284558734218999</v>
      </c>
      <c r="U374">
        <f>SUMPRODUCT(R375:R543,O375:O543)/(M374*O374)</f>
        <v>275626.29595494055</v>
      </c>
    </row>
    <row r="375" spans="1:21" x14ac:dyDescent="0.35">
      <c r="A375">
        <v>372</v>
      </c>
      <c r="B375">
        <f>A375/Inputs!$B$6</f>
        <v>31</v>
      </c>
      <c r="C375">
        <f>Inputs!$B$3+B375</f>
        <v>96</v>
      </c>
      <c r="D375">
        <f t="shared" si="45"/>
        <v>96</v>
      </c>
      <c r="E375">
        <f>Inputs!$B$7+1+INT((A375-1)/Inputs!$B$6)</f>
        <v>2056</v>
      </c>
      <c r="F375">
        <f>Inputs!$B$16</f>
        <v>8333.3333333333339</v>
      </c>
      <c r="G375">
        <f>Inputs!$B$12</f>
        <v>25</v>
      </c>
      <c r="H375">
        <f>IFERROR(INDEX(RP2014_Qx!$B:$B,MATCH(D375,RP2014_Qx!$A:$A,0)),"")</f>
        <v>0.19590299999999999</v>
      </c>
      <c r="I375">
        <f>SUMIFS(MP2016_Long!$C:$C,MP2016_Long!$A:$A,D375,MP2016_Long!$B:$B,"&gt;=2014",MP2016_Long!$B:$B,"&lt;"&amp;E375)</f>
        <v>0.14640000000000003</v>
      </c>
      <c r="J375">
        <f t="shared" si="46"/>
        <v>0.22678890224792098</v>
      </c>
      <c r="K375">
        <f t="shared" si="47"/>
        <v>0.2572031787348254</v>
      </c>
      <c r="L375">
        <f>EXP(-K375/Inputs!$B$6)</f>
        <v>0.97879446899860845</v>
      </c>
      <c r="M375">
        <f t="shared" si="53"/>
        <v>0.11351456756587386</v>
      </c>
      <c r="N375">
        <f>IFERROR(INDEX(MonthlyCurve!$I:$I,MATCH(A375,MonthlyCurve!$A:$A,0)),"")</f>
        <v>4.9454709999999999E-2</v>
      </c>
      <c r="O375">
        <f>IFERROR(INDEX(MonthlyCurve!$J:$J,MATCH(A375,MonthlyCurve!$A:$A,0)),"")</f>
        <v>0.21586630743175428</v>
      </c>
      <c r="P375">
        <f t="shared" si="48"/>
        <v>945.9547297156156</v>
      </c>
      <c r="Q375">
        <f t="shared" si="49"/>
        <v>2.8378641891468463</v>
      </c>
      <c r="R375">
        <f t="shared" si="50"/>
        <v>948.7925939047625</v>
      </c>
      <c r="S375">
        <f t="shared" si="51"/>
        <v>204.19975450131309</v>
      </c>
      <c r="T375">
        <f t="shared" si="52"/>
        <v>0.61259926350393923</v>
      </c>
      <c r="U375">
        <f>SUMPRODUCT(R376:R543,O376:O543)/(M375*O375)</f>
        <v>274402.31442133279</v>
      </c>
    </row>
    <row r="376" spans="1:21" x14ac:dyDescent="0.35">
      <c r="A376">
        <v>373</v>
      </c>
      <c r="B376">
        <f>A376/Inputs!$B$6</f>
        <v>31.083333333333332</v>
      </c>
      <c r="C376">
        <f>Inputs!$B$3+B376</f>
        <v>96.083333333333329</v>
      </c>
      <c r="D376">
        <f t="shared" si="45"/>
        <v>96</v>
      </c>
      <c r="E376">
        <f>Inputs!$B$7+1+INT((A376-1)/Inputs!$B$6)</f>
        <v>2057</v>
      </c>
      <c r="F376">
        <f>Inputs!$B$16</f>
        <v>8333.3333333333339</v>
      </c>
      <c r="G376">
        <f>Inputs!$B$12</f>
        <v>25</v>
      </c>
      <c r="H376">
        <f>IFERROR(INDEX(RP2014_Qx!$B:$B,MATCH(D376,RP2014_Qx!$A:$A,0)),"")</f>
        <v>0.19590299999999999</v>
      </c>
      <c r="I376">
        <f>SUMIFS(MP2016_Long!$C:$C,MP2016_Long!$A:$A,D376,MP2016_Long!$B:$B,"&gt;=2014",MP2016_Long!$B:$B,"&lt;"&amp;E376)</f>
        <v>0.14640000000000003</v>
      </c>
      <c r="J376">
        <f t="shared" si="46"/>
        <v>0.22678890224792098</v>
      </c>
      <c r="K376">
        <f t="shared" si="47"/>
        <v>0.2572031787348254</v>
      </c>
      <c r="L376">
        <f>EXP(-K376/Inputs!$B$6)</f>
        <v>0.97879446899860845</v>
      </c>
      <c r="M376">
        <f t="shared" si="53"/>
        <v>0.11110743088424617</v>
      </c>
      <c r="N376">
        <f>IFERROR(INDEX(MonthlyCurve!$I:$I,MATCH(A376,MonthlyCurve!$A:$A,0)),"")</f>
        <v>4.9454709999999999E-2</v>
      </c>
      <c r="O376">
        <f>IFERROR(INDEX(MonthlyCurve!$J:$J,MATCH(A376,MonthlyCurve!$A:$A,0)),"")</f>
        <v>0.21497850430418658</v>
      </c>
      <c r="P376">
        <f t="shared" si="48"/>
        <v>925.89525736871815</v>
      </c>
      <c r="Q376">
        <f t="shared" si="49"/>
        <v>2.7776857721061541</v>
      </c>
      <c r="R376">
        <f t="shared" si="50"/>
        <v>928.67294314082426</v>
      </c>
      <c r="S376">
        <f t="shared" si="51"/>
        <v>199.04757757146692</v>
      </c>
      <c r="T376">
        <f t="shared" si="52"/>
        <v>0.59714273271440066</v>
      </c>
      <c r="U376">
        <f>SUMPRODUCT(R377:R543,O377:O543)/(M376*O376)</f>
        <v>273146.65116872621</v>
      </c>
    </row>
    <row r="377" spans="1:21" x14ac:dyDescent="0.35">
      <c r="A377">
        <v>374</v>
      </c>
      <c r="B377">
        <f>A377/Inputs!$B$6</f>
        <v>31.166666666666668</v>
      </c>
      <c r="C377">
        <f>Inputs!$B$3+B377</f>
        <v>96.166666666666671</v>
      </c>
      <c r="D377">
        <f t="shared" si="45"/>
        <v>96</v>
      </c>
      <c r="E377">
        <f>Inputs!$B$7+1+INT((A377-1)/Inputs!$B$6)</f>
        <v>2057</v>
      </c>
      <c r="F377">
        <f>Inputs!$B$16</f>
        <v>8333.3333333333339</v>
      </c>
      <c r="G377">
        <f>Inputs!$B$12</f>
        <v>25</v>
      </c>
      <c r="H377">
        <f>IFERROR(INDEX(RP2014_Qx!$B:$B,MATCH(D377,RP2014_Qx!$A:$A,0)),"")</f>
        <v>0.19590299999999999</v>
      </c>
      <c r="I377">
        <f>SUMIFS(MP2016_Long!$C:$C,MP2016_Long!$A:$A,D377,MP2016_Long!$B:$B,"&gt;=2014",MP2016_Long!$B:$B,"&lt;"&amp;E377)</f>
        <v>0.14640000000000003</v>
      </c>
      <c r="J377">
        <f t="shared" si="46"/>
        <v>0.22678890224792098</v>
      </c>
      <c r="K377">
        <f t="shared" si="47"/>
        <v>0.2572031787348254</v>
      </c>
      <c r="L377">
        <f>EXP(-K377/Inputs!$B$6)</f>
        <v>0.97879446899860845</v>
      </c>
      <c r="M377">
        <f t="shared" si="53"/>
        <v>0.10875133881414532</v>
      </c>
      <c r="N377">
        <f>IFERROR(INDEX(MonthlyCurve!$I:$I,MATCH(A377,MonthlyCurve!$A:$A,0)),"")</f>
        <v>4.9454709999999999E-2</v>
      </c>
      <c r="O377">
        <f>IFERROR(INDEX(MonthlyCurve!$J:$J,MATCH(A377,MonthlyCurve!$A:$A,0)),"")</f>
        <v>0.21409435248470249</v>
      </c>
      <c r="P377">
        <f t="shared" si="48"/>
        <v>906.26115678454448</v>
      </c>
      <c r="Q377">
        <f t="shared" si="49"/>
        <v>2.7187834703536331</v>
      </c>
      <c r="R377">
        <f t="shared" si="50"/>
        <v>908.97994025489811</v>
      </c>
      <c r="S377">
        <f t="shared" si="51"/>
        <v>194.02539554382449</v>
      </c>
      <c r="T377">
        <f t="shared" si="52"/>
        <v>0.58207618663147342</v>
      </c>
      <c r="U377">
        <f>SUMPRODUCT(R378:R543,O378:O543)/(M377*O377)</f>
        <v>271858.48614282167</v>
      </c>
    </row>
    <row r="378" spans="1:21" x14ac:dyDescent="0.35">
      <c r="A378">
        <v>375</v>
      </c>
      <c r="B378">
        <f>A378/Inputs!$B$6</f>
        <v>31.25</v>
      </c>
      <c r="C378">
        <f>Inputs!$B$3+B378</f>
        <v>96.25</v>
      </c>
      <c r="D378">
        <f t="shared" si="45"/>
        <v>96</v>
      </c>
      <c r="E378">
        <f>Inputs!$B$7+1+INT((A378-1)/Inputs!$B$6)</f>
        <v>2057</v>
      </c>
      <c r="F378">
        <f>Inputs!$B$16</f>
        <v>8333.3333333333339</v>
      </c>
      <c r="G378">
        <f>Inputs!$B$12</f>
        <v>25</v>
      </c>
      <c r="H378">
        <f>IFERROR(INDEX(RP2014_Qx!$B:$B,MATCH(D378,RP2014_Qx!$A:$A,0)),"")</f>
        <v>0.19590299999999999</v>
      </c>
      <c r="I378">
        <f>SUMIFS(MP2016_Long!$C:$C,MP2016_Long!$A:$A,D378,MP2016_Long!$B:$B,"&gt;=2014",MP2016_Long!$B:$B,"&lt;"&amp;E378)</f>
        <v>0.14640000000000003</v>
      </c>
      <c r="J378">
        <f t="shared" si="46"/>
        <v>0.22678890224792098</v>
      </c>
      <c r="K378">
        <f t="shared" si="47"/>
        <v>0.2572031787348254</v>
      </c>
      <c r="L378">
        <f>EXP(-K378/Inputs!$B$6)</f>
        <v>0.97879446899860845</v>
      </c>
      <c r="M378">
        <f t="shared" si="53"/>
        <v>0.10644520892747913</v>
      </c>
      <c r="N378">
        <f>IFERROR(INDEX(MonthlyCurve!$I:$I,MATCH(A378,MonthlyCurve!$A:$A,0)),"")</f>
        <v>4.9454709999999999E-2</v>
      </c>
      <c r="O378">
        <f>IFERROR(INDEX(MonthlyCurve!$J:$J,MATCH(A378,MonthlyCurve!$A:$A,0)),"")</f>
        <v>0.2132138369564022</v>
      </c>
      <c r="P378">
        <f t="shared" si="48"/>
        <v>887.04340772899286</v>
      </c>
      <c r="Q378">
        <f t="shared" si="49"/>
        <v>2.6611302231869782</v>
      </c>
      <c r="R378">
        <f t="shared" si="50"/>
        <v>889.70453795217986</v>
      </c>
      <c r="S378">
        <f t="shared" si="51"/>
        <v>189.12992850878089</v>
      </c>
      <c r="T378">
        <f t="shared" si="52"/>
        <v>0.56738978552634256</v>
      </c>
      <c r="U378">
        <f>SUMPRODUCT(R379:R543,O379:O543)/(M378*O378)</f>
        <v>270536.97806291323</v>
      </c>
    </row>
    <row r="379" spans="1:21" x14ac:dyDescent="0.35">
      <c r="A379">
        <v>376</v>
      </c>
      <c r="B379">
        <f>A379/Inputs!$B$6</f>
        <v>31.333333333333332</v>
      </c>
      <c r="C379">
        <f>Inputs!$B$3+B379</f>
        <v>96.333333333333329</v>
      </c>
      <c r="D379">
        <f t="shared" si="45"/>
        <v>96</v>
      </c>
      <c r="E379">
        <f>Inputs!$B$7+1+INT((A379-1)/Inputs!$B$6)</f>
        <v>2057</v>
      </c>
      <c r="F379">
        <f>Inputs!$B$16</f>
        <v>8333.3333333333339</v>
      </c>
      <c r="G379">
        <f>Inputs!$B$12</f>
        <v>25</v>
      </c>
      <c r="H379">
        <f>IFERROR(INDEX(RP2014_Qx!$B:$B,MATCH(D379,RP2014_Qx!$A:$A,0)),"")</f>
        <v>0.19590299999999999</v>
      </c>
      <c r="I379">
        <f>SUMIFS(MP2016_Long!$C:$C,MP2016_Long!$A:$A,D379,MP2016_Long!$B:$B,"&gt;=2014",MP2016_Long!$B:$B,"&lt;"&amp;E379)</f>
        <v>0.14640000000000003</v>
      </c>
      <c r="J379">
        <f t="shared" si="46"/>
        <v>0.22678890224792098</v>
      </c>
      <c r="K379">
        <f t="shared" si="47"/>
        <v>0.2572031787348254</v>
      </c>
      <c r="L379">
        <f>EXP(-K379/Inputs!$B$6)</f>
        <v>0.97879446899860845</v>
      </c>
      <c r="M379">
        <f t="shared" si="53"/>
        <v>0.10418798174961788</v>
      </c>
      <c r="N379">
        <f>IFERROR(INDEX(MonthlyCurve!$I:$I,MATCH(A379,MonthlyCurve!$A:$A,0)),"")</f>
        <v>4.9454709999999999E-2</v>
      </c>
      <c r="O379">
        <f>IFERROR(INDEX(MonthlyCurve!$J:$J,MATCH(A379,MonthlyCurve!$A:$A,0)),"")</f>
        <v>0.21233694276414644</v>
      </c>
      <c r="P379">
        <f t="shared" si="48"/>
        <v>868.23318124681578</v>
      </c>
      <c r="Q379">
        <f t="shared" si="49"/>
        <v>2.604699543740447</v>
      </c>
      <c r="R379">
        <f t="shared" si="50"/>
        <v>870.83788079055626</v>
      </c>
      <c r="S379">
        <f t="shared" si="51"/>
        <v>184.3579793123379</v>
      </c>
      <c r="T379">
        <f t="shared" si="52"/>
        <v>0.55307393793701365</v>
      </c>
      <c r="U379">
        <f>SUMPRODUCT(R380:R543,O380:O543)/(M379*O379)</f>
        <v>269181.26387246093</v>
      </c>
    </row>
    <row r="380" spans="1:21" x14ac:dyDescent="0.35">
      <c r="A380">
        <v>377</v>
      </c>
      <c r="B380">
        <f>A380/Inputs!$B$6</f>
        <v>31.416666666666668</v>
      </c>
      <c r="C380">
        <f>Inputs!$B$3+B380</f>
        <v>96.416666666666671</v>
      </c>
      <c r="D380">
        <f t="shared" si="45"/>
        <v>96</v>
      </c>
      <c r="E380">
        <f>Inputs!$B$7+1+INT((A380-1)/Inputs!$B$6)</f>
        <v>2057</v>
      </c>
      <c r="F380">
        <f>Inputs!$B$16</f>
        <v>8333.3333333333339</v>
      </c>
      <c r="G380">
        <f>Inputs!$B$12</f>
        <v>25</v>
      </c>
      <c r="H380">
        <f>IFERROR(INDEX(RP2014_Qx!$B:$B,MATCH(D380,RP2014_Qx!$A:$A,0)),"")</f>
        <v>0.19590299999999999</v>
      </c>
      <c r="I380">
        <f>SUMIFS(MP2016_Long!$C:$C,MP2016_Long!$A:$A,D380,MP2016_Long!$B:$B,"&gt;=2014",MP2016_Long!$B:$B,"&lt;"&amp;E380)</f>
        <v>0.14640000000000003</v>
      </c>
      <c r="J380">
        <f t="shared" si="46"/>
        <v>0.22678890224792098</v>
      </c>
      <c r="K380">
        <f t="shared" si="47"/>
        <v>0.2572031787348254</v>
      </c>
      <c r="L380">
        <f>EXP(-K380/Inputs!$B$6)</f>
        <v>0.97879446899860845</v>
      </c>
      <c r="M380">
        <f t="shared" si="53"/>
        <v>0.10197862027265395</v>
      </c>
      <c r="N380">
        <f>IFERROR(INDEX(MonthlyCurve!$I:$I,MATCH(A380,MonthlyCurve!$A:$A,0)),"")</f>
        <v>4.9454709999999999E-2</v>
      </c>
      <c r="O380">
        <f>IFERROR(INDEX(MonthlyCurve!$J:$J,MATCH(A380,MonthlyCurve!$A:$A,0)),"")</f>
        <v>0.21146365501430253</v>
      </c>
      <c r="P380">
        <f t="shared" si="48"/>
        <v>849.82183560544956</v>
      </c>
      <c r="Q380">
        <f t="shared" si="49"/>
        <v>2.5494655068163485</v>
      </c>
      <c r="R380">
        <f t="shared" si="50"/>
        <v>852.37130111226588</v>
      </c>
      <c r="S380">
        <f t="shared" si="51"/>
        <v>179.70643146809212</v>
      </c>
      <c r="T380">
        <f t="shared" si="52"/>
        <v>0.53911929440427631</v>
      </c>
      <c r="U380">
        <f>SUMPRODUCT(R381:R543,O381:O543)/(M380*O380)</f>
        <v>267790.45817544154</v>
      </c>
    </row>
    <row r="381" spans="1:21" x14ac:dyDescent="0.35">
      <c r="A381">
        <v>378</v>
      </c>
      <c r="B381">
        <f>A381/Inputs!$B$6</f>
        <v>31.5</v>
      </c>
      <c r="C381">
        <f>Inputs!$B$3+B381</f>
        <v>96.5</v>
      </c>
      <c r="D381">
        <f t="shared" si="45"/>
        <v>96</v>
      </c>
      <c r="E381">
        <f>Inputs!$B$7+1+INT((A381-1)/Inputs!$B$6)</f>
        <v>2057</v>
      </c>
      <c r="F381">
        <f>Inputs!$B$16</f>
        <v>8333.3333333333339</v>
      </c>
      <c r="G381">
        <f>Inputs!$B$12</f>
        <v>25</v>
      </c>
      <c r="H381">
        <f>IFERROR(INDEX(RP2014_Qx!$B:$B,MATCH(D381,RP2014_Qx!$A:$A,0)),"")</f>
        <v>0.19590299999999999</v>
      </c>
      <c r="I381">
        <f>SUMIFS(MP2016_Long!$C:$C,MP2016_Long!$A:$A,D381,MP2016_Long!$B:$B,"&gt;=2014",MP2016_Long!$B:$B,"&lt;"&amp;E381)</f>
        <v>0.14640000000000003</v>
      </c>
      <c r="J381">
        <f t="shared" si="46"/>
        <v>0.22678890224792098</v>
      </c>
      <c r="K381">
        <f t="shared" si="47"/>
        <v>0.2572031787348254</v>
      </c>
      <c r="L381">
        <f>EXP(-K381/Inputs!$B$6)</f>
        <v>0.97879446899860845</v>
      </c>
      <c r="M381">
        <f t="shared" si="53"/>
        <v>9.9816109478983048E-2</v>
      </c>
      <c r="N381">
        <f>IFERROR(INDEX(MonthlyCurve!$I:$I,MATCH(A381,MonthlyCurve!$A:$A,0)),"")</f>
        <v>4.9454709999999999E-2</v>
      </c>
      <c r="O381">
        <f>IFERROR(INDEX(MonthlyCurve!$J:$J,MATCH(A381,MonthlyCurve!$A:$A,0)),"")</f>
        <v>0.21059395887449178</v>
      </c>
      <c r="P381">
        <f t="shared" si="48"/>
        <v>831.80091232485881</v>
      </c>
      <c r="Q381">
        <f t="shared" si="49"/>
        <v>2.4954027369745764</v>
      </c>
      <c r="R381">
        <f t="shared" si="50"/>
        <v>834.29631506183341</v>
      </c>
      <c r="S381">
        <f t="shared" si="51"/>
        <v>175.17224712190605</v>
      </c>
      <c r="T381">
        <f t="shared" si="52"/>
        <v>0.52551674136571813</v>
      </c>
      <c r="U381">
        <f>SUMPRODUCT(R382:R543,O382:O543)/(M381*O381)</f>
        <v>266363.65265811025</v>
      </c>
    </row>
    <row r="382" spans="1:21" x14ac:dyDescent="0.35">
      <c r="A382">
        <v>379</v>
      </c>
      <c r="B382">
        <f>A382/Inputs!$B$6</f>
        <v>31.583333333333332</v>
      </c>
      <c r="C382">
        <f>Inputs!$B$3+B382</f>
        <v>96.583333333333329</v>
      </c>
      <c r="D382">
        <f t="shared" si="45"/>
        <v>96</v>
      </c>
      <c r="E382">
        <f>Inputs!$B$7+1+INT((A382-1)/Inputs!$B$6)</f>
        <v>2057</v>
      </c>
      <c r="F382">
        <f>Inputs!$B$16</f>
        <v>8333.3333333333339</v>
      </c>
      <c r="G382">
        <f>Inputs!$B$12</f>
        <v>25</v>
      </c>
      <c r="H382">
        <f>IFERROR(INDEX(RP2014_Qx!$B:$B,MATCH(D382,RP2014_Qx!$A:$A,0)),"")</f>
        <v>0.19590299999999999</v>
      </c>
      <c r="I382">
        <f>SUMIFS(MP2016_Long!$C:$C,MP2016_Long!$A:$A,D382,MP2016_Long!$B:$B,"&gt;=2014",MP2016_Long!$B:$B,"&lt;"&amp;E382)</f>
        <v>0.14640000000000003</v>
      </c>
      <c r="J382">
        <f t="shared" si="46"/>
        <v>0.22678890224792098</v>
      </c>
      <c r="K382">
        <f t="shared" si="47"/>
        <v>0.2572031787348254</v>
      </c>
      <c r="L382">
        <f>EXP(-K382/Inputs!$B$6)</f>
        <v>0.97879446899860845</v>
      </c>
      <c r="M382">
        <f t="shared" si="53"/>
        <v>9.7699455874988184E-2</v>
      </c>
      <c r="N382">
        <f>IFERROR(INDEX(MonthlyCurve!$I:$I,MATCH(A382,MonthlyCurve!$A:$A,0)),"")</f>
        <v>4.9454709999999999E-2</v>
      </c>
      <c r="O382">
        <f>IFERROR(INDEX(MonthlyCurve!$J:$J,MATCH(A382,MonthlyCurve!$A:$A,0)),"")</f>
        <v>0.2097278395733371</v>
      </c>
      <c r="P382">
        <f t="shared" si="48"/>
        <v>814.16213229156824</v>
      </c>
      <c r="Q382">
        <f t="shared" si="49"/>
        <v>2.4424863968747044</v>
      </c>
      <c r="R382">
        <f t="shared" si="50"/>
        <v>816.604618688443</v>
      </c>
      <c r="S382">
        <f t="shared" si="51"/>
        <v>170.75246506793209</v>
      </c>
      <c r="T382">
        <f t="shared" si="52"/>
        <v>0.51225739520379621</v>
      </c>
      <c r="U382">
        <f>SUMPRODUCT(R383:R543,O383:O543)/(M382*O382)</f>
        <v>264899.91549579514</v>
      </c>
    </row>
    <row r="383" spans="1:21" x14ac:dyDescent="0.35">
      <c r="A383">
        <v>380</v>
      </c>
      <c r="B383">
        <f>A383/Inputs!$B$6</f>
        <v>31.666666666666668</v>
      </c>
      <c r="C383">
        <f>Inputs!$B$3+B383</f>
        <v>96.666666666666671</v>
      </c>
      <c r="D383">
        <f t="shared" si="45"/>
        <v>96</v>
      </c>
      <c r="E383">
        <f>Inputs!$B$7+1+INT((A383-1)/Inputs!$B$6)</f>
        <v>2057</v>
      </c>
      <c r="F383">
        <f>Inputs!$B$16</f>
        <v>8333.3333333333339</v>
      </c>
      <c r="G383">
        <f>Inputs!$B$12</f>
        <v>25</v>
      </c>
      <c r="H383">
        <f>IFERROR(INDEX(RP2014_Qx!$B:$B,MATCH(D383,RP2014_Qx!$A:$A,0)),"")</f>
        <v>0.19590299999999999</v>
      </c>
      <c r="I383">
        <f>SUMIFS(MP2016_Long!$C:$C,MP2016_Long!$A:$A,D383,MP2016_Long!$B:$B,"&gt;=2014",MP2016_Long!$B:$B,"&lt;"&amp;E383)</f>
        <v>0.14640000000000003</v>
      </c>
      <c r="J383">
        <f t="shared" si="46"/>
        <v>0.22678890224792098</v>
      </c>
      <c r="K383">
        <f t="shared" si="47"/>
        <v>0.2572031787348254</v>
      </c>
      <c r="L383">
        <f>EXP(-K383/Inputs!$B$6)</f>
        <v>0.97879446899860845</v>
      </c>
      <c r="M383">
        <f t="shared" si="53"/>
        <v>9.5627687034612038E-2</v>
      </c>
      <c r="N383">
        <f>IFERROR(INDEX(MonthlyCurve!$I:$I,MATCH(A383,MonthlyCurve!$A:$A,0)),"")</f>
        <v>4.9454709999999999E-2</v>
      </c>
      <c r="O383">
        <f>IFERROR(INDEX(MonthlyCurve!$J:$J,MATCH(A383,MonthlyCurve!$A:$A,0)),"")</f>
        <v>0.20886528240021221</v>
      </c>
      <c r="P383">
        <f t="shared" si="48"/>
        <v>796.89739195510037</v>
      </c>
      <c r="Q383">
        <f t="shared" si="49"/>
        <v>2.390692175865301</v>
      </c>
      <c r="R383">
        <f t="shared" si="50"/>
        <v>799.28808413096567</v>
      </c>
      <c r="S383">
        <f t="shared" si="51"/>
        <v>166.44419881469463</v>
      </c>
      <c r="T383">
        <f t="shared" si="52"/>
        <v>0.4993325964440839</v>
      </c>
      <c r="U383">
        <f>SUMPRODUCT(R384:R543,O384:O543)/(M383*O383)</f>
        <v>263398.29074433655</v>
      </c>
    </row>
    <row r="384" spans="1:21" x14ac:dyDescent="0.35">
      <c r="A384">
        <v>381</v>
      </c>
      <c r="B384">
        <f>A384/Inputs!$B$6</f>
        <v>31.75</v>
      </c>
      <c r="C384">
        <f>Inputs!$B$3+B384</f>
        <v>96.75</v>
      </c>
      <c r="D384">
        <f t="shared" si="45"/>
        <v>96</v>
      </c>
      <c r="E384">
        <f>Inputs!$B$7+1+INT((A384-1)/Inputs!$B$6)</f>
        <v>2057</v>
      </c>
      <c r="F384">
        <f>Inputs!$B$16</f>
        <v>8333.3333333333339</v>
      </c>
      <c r="G384">
        <f>Inputs!$B$12</f>
        <v>25</v>
      </c>
      <c r="H384">
        <f>IFERROR(INDEX(RP2014_Qx!$B:$B,MATCH(D384,RP2014_Qx!$A:$A,0)),"")</f>
        <v>0.19590299999999999</v>
      </c>
      <c r="I384">
        <f>SUMIFS(MP2016_Long!$C:$C,MP2016_Long!$A:$A,D384,MP2016_Long!$B:$B,"&gt;=2014",MP2016_Long!$B:$B,"&lt;"&amp;E384)</f>
        <v>0.14640000000000003</v>
      </c>
      <c r="J384">
        <f t="shared" si="46"/>
        <v>0.22678890224792098</v>
      </c>
      <c r="K384">
        <f t="shared" si="47"/>
        <v>0.2572031787348254</v>
      </c>
      <c r="L384">
        <f>EXP(-K384/Inputs!$B$6)</f>
        <v>0.97879446899860845</v>
      </c>
      <c r="M384">
        <f t="shared" si="53"/>
        <v>9.3599851152608202E-2</v>
      </c>
      <c r="N384">
        <f>IFERROR(INDEX(MonthlyCurve!$I:$I,MATCH(A384,MonthlyCurve!$A:$A,0)),"")</f>
        <v>4.9454709999999999E-2</v>
      </c>
      <c r="O384">
        <f>IFERROR(INDEX(MonthlyCurve!$J:$J,MATCH(A384,MonthlyCurve!$A:$A,0)),"")</f>
        <v>0.2080062727049922</v>
      </c>
      <c r="P384">
        <f t="shared" si="48"/>
        <v>779.99875960506836</v>
      </c>
      <c r="Q384">
        <f t="shared" si="49"/>
        <v>2.3399962788152049</v>
      </c>
      <c r="R384">
        <f t="shared" si="50"/>
        <v>782.33875588388355</v>
      </c>
      <c r="S384">
        <f t="shared" si="51"/>
        <v>162.24463469996749</v>
      </c>
      <c r="T384">
        <f t="shared" si="52"/>
        <v>0.48673390409990247</v>
      </c>
      <c r="U384">
        <f>SUMPRODUCT(R385:R543,O385:O543)/(M384*O384)</f>
        <v>261857.79771577485</v>
      </c>
    </row>
    <row r="385" spans="1:21" x14ac:dyDescent="0.35">
      <c r="A385">
        <v>382</v>
      </c>
      <c r="B385">
        <f>A385/Inputs!$B$6</f>
        <v>31.833333333333332</v>
      </c>
      <c r="C385">
        <f>Inputs!$B$3+B385</f>
        <v>96.833333333333329</v>
      </c>
      <c r="D385">
        <f t="shared" si="45"/>
        <v>96</v>
      </c>
      <c r="E385">
        <f>Inputs!$B$7+1+INT((A385-1)/Inputs!$B$6)</f>
        <v>2057</v>
      </c>
      <c r="F385">
        <f>Inputs!$B$16</f>
        <v>8333.3333333333339</v>
      </c>
      <c r="G385">
        <f>Inputs!$B$12</f>
        <v>25</v>
      </c>
      <c r="H385">
        <f>IFERROR(INDEX(RP2014_Qx!$B:$B,MATCH(D385,RP2014_Qx!$A:$A,0)),"")</f>
        <v>0.19590299999999999</v>
      </c>
      <c r="I385">
        <f>SUMIFS(MP2016_Long!$C:$C,MP2016_Long!$A:$A,D385,MP2016_Long!$B:$B,"&gt;=2014",MP2016_Long!$B:$B,"&lt;"&amp;E385)</f>
        <v>0.14640000000000003</v>
      </c>
      <c r="J385">
        <f t="shared" si="46"/>
        <v>0.22678890224792098</v>
      </c>
      <c r="K385">
        <f t="shared" si="47"/>
        <v>0.2572031787348254</v>
      </c>
      <c r="L385">
        <f>EXP(-K385/Inputs!$B$6)</f>
        <v>0.97879446899860845</v>
      </c>
      <c r="M385">
        <f t="shared" si="53"/>
        <v>9.1615016607265939E-2</v>
      </c>
      <c r="N385">
        <f>IFERROR(INDEX(MonthlyCurve!$I:$I,MATCH(A385,MonthlyCurve!$A:$A,0)),"")</f>
        <v>4.9454709999999999E-2</v>
      </c>
      <c r="O385">
        <f>IFERROR(INDEX(MonthlyCurve!$J:$J,MATCH(A385,MonthlyCurve!$A:$A,0)),"")</f>
        <v>0.20715079589780414</v>
      </c>
      <c r="P385">
        <f t="shared" si="48"/>
        <v>763.45847172721619</v>
      </c>
      <c r="Q385">
        <f t="shared" si="49"/>
        <v>2.2903754151816487</v>
      </c>
      <c r="R385">
        <f t="shared" si="50"/>
        <v>765.74884714239784</v>
      </c>
      <c r="S385">
        <f t="shared" si="51"/>
        <v>158.15103005321404</v>
      </c>
      <c r="T385">
        <f t="shared" si="52"/>
        <v>0.4744530901596421</v>
      </c>
      <c r="U385">
        <f>SUMPRODUCT(R386:R543,O386:O543)/(M385*O385)</f>
        <v>260277.43033787815</v>
      </c>
    </row>
    <row r="386" spans="1:21" x14ac:dyDescent="0.35">
      <c r="A386">
        <v>383</v>
      </c>
      <c r="B386">
        <f>A386/Inputs!$B$6</f>
        <v>31.916666666666668</v>
      </c>
      <c r="C386">
        <f>Inputs!$B$3+B386</f>
        <v>96.916666666666671</v>
      </c>
      <c r="D386">
        <f t="shared" si="45"/>
        <v>96</v>
      </c>
      <c r="E386">
        <f>Inputs!$B$7+1+INT((A386-1)/Inputs!$B$6)</f>
        <v>2057</v>
      </c>
      <c r="F386">
        <f>Inputs!$B$16</f>
        <v>8333.3333333333339</v>
      </c>
      <c r="G386">
        <f>Inputs!$B$12</f>
        <v>25</v>
      </c>
      <c r="H386">
        <f>IFERROR(INDEX(RP2014_Qx!$B:$B,MATCH(D386,RP2014_Qx!$A:$A,0)),"")</f>
        <v>0.19590299999999999</v>
      </c>
      <c r="I386">
        <f>SUMIFS(MP2016_Long!$C:$C,MP2016_Long!$A:$A,D386,MP2016_Long!$B:$B,"&gt;=2014",MP2016_Long!$B:$B,"&lt;"&amp;E386)</f>
        <v>0.14640000000000003</v>
      </c>
      <c r="J386">
        <f t="shared" si="46"/>
        <v>0.22678890224792098</v>
      </c>
      <c r="K386">
        <f t="shared" si="47"/>
        <v>0.2572031787348254</v>
      </c>
      <c r="L386">
        <f>EXP(-K386/Inputs!$B$6)</f>
        <v>0.97879446899860845</v>
      </c>
      <c r="M386">
        <f t="shared" si="53"/>
        <v>8.967227153240756E-2</v>
      </c>
      <c r="N386">
        <f>IFERROR(INDEX(MonthlyCurve!$I:$I,MATCH(A386,MonthlyCurve!$A:$A,0)),"")</f>
        <v>4.9454709999999999E-2</v>
      </c>
      <c r="O386">
        <f>IFERROR(INDEX(MonthlyCurve!$J:$J,MATCH(A386,MonthlyCurve!$A:$A,0)),"")</f>
        <v>0.20629883744877953</v>
      </c>
      <c r="P386">
        <f t="shared" si="48"/>
        <v>747.26892943672976</v>
      </c>
      <c r="Q386">
        <f t="shared" si="49"/>
        <v>2.2418067883101891</v>
      </c>
      <c r="R386">
        <f t="shared" si="50"/>
        <v>749.51073622503998</v>
      </c>
      <c r="S386">
        <f t="shared" si="51"/>
        <v>154.16071140439141</v>
      </c>
      <c r="T386">
        <f t="shared" si="52"/>
        <v>0.46248213421317419</v>
      </c>
      <c r="U386">
        <f>SUMPRODUCT(R387:R543,O387:O543)/(M386*O386)</f>
        <v>258656.15649709266</v>
      </c>
    </row>
    <row r="387" spans="1:21" x14ac:dyDescent="0.35">
      <c r="A387">
        <v>384</v>
      </c>
      <c r="B387">
        <f>A387/Inputs!$B$6</f>
        <v>32</v>
      </c>
      <c r="C387">
        <f>Inputs!$B$3+B387</f>
        <v>97</v>
      </c>
      <c r="D387">
        <f t="shared" si="45"/>
        <v>97</v>
      </c>
      <c r="E387">
        <f>Inputs!$B$7+1+INT((A387-1)/Inputs!$B$6)</f>
        <v>2057</v>
      </c>
      <c r="F387">
        <f>Inputs!$B$16</f>
        <v>8333.3333333333339</v>
      </c>
      <c r="G387">
        <f>Inputs!$B$12</f>
        <v>25</v>
      </c>
      <c r="H387">
        <f>IFERROR(INDEX(RP2014_Qx!$B:$B,MATCH(D387,RP2014_Qx!$A:$A,0)),"")</f>
        <v>0.213565</v>
      </c>
      <c r="I387">
        <f>SUMIFS(MP2016_Long!$C:$C,MP2016_Long!$A:$A,D387,MP2016_Long!$B:$B,"&gt;=2014",MP2016_Long!$B:$B,"&lt;"&amp;E387)</f>
        <v>0.13889999999999997</v>
      </c>
      <c r="J387">
        <f t="shared" si="46"/>
        <v>0.24538814837545073</v>
      </c>
      <c r="K387">
        <f t="shared" si="47"/>
        <v>0.28155176573832985</v>
      </c>
      <c r="L387">
        <f>EXP(-K387/Inputs!$B$6)</f>
        <v>0.9768104606470468</v>
      </c>
      <c r="M387">
        <f t="shared" si="53"/>
        <v>8.7592812862838085E-2</v>
      </c>
      <c r="N387">
        <f>IFERROR(INDEX(MonthlyCurve!$I:$I,MATCH(A387,MonthlyCurve!$A:$A,0)),"")</f>
        <v>4.9454709999999999E-2</v>
      </c>
      <c r="O387">
        <f>IFERROR(INDEX(MonthlyCurve!$J:$J,MATCH(A387,MonthlyCurve!$A:$A,0)),"")</f>
        <v>0.20545038288780776</v>
      </c>
      <c r="P387">
        <f t="shared" si="48"/>
        <v>729.94010719031746</v>
      </c>
      <c r="Q387">
        <f t="shared" si="49"/>
        <v>2.1898203215709522</v>
      </c>
      <c r="R387">
        <f t="shared" si="50"/>
        <v>732.12992751188847</v>
      </c>
      <c r="S387">
        <f t="shared" si="51"/>
        <v>149.96647450741816</v>
      </c>
      <c r="T387">
        <f t="shared" si="52"/>
        <v>0.44989942352225443</v>
      </c>
      <c r="U387">
        <f>SUMPRODUCT(R388:R543,O388:O543)/(M387*O387)</f>
        <v>257531.87463274764</v>
      </c>
    </row>
    <row r="388" spans="1:21" x14ac:dyDescent="0.35">
      <c r="A388">
        <v>385</v>
      </c>
      <c r="B388">
        <f>A388/Inputs!$B$6</f>
        <v>32.083333333333336</v>
      </c>
      <c r="C388">
        <f>Inputs!$B$3+B388</f>
        <v>97.083333333333343</v>
      </c>
      <c r="D388">
        <f t="shared" ref="D388:D451" si="54">INT(C388)</f>
        <v>97</v>
      </c>
      <c r="E388">
        <f>Inputs!$B$7+1+INT((A388-1)/Inputs!$B$6)</f>
        <v>2058</v>
      </c>
      <c r="F388">
        <f>Inputs!$B$16</f>
        <v>8333.3333333333339</v>
      </c>
      <c r="G388">
        <f>Inputs!$B$12</f>
        <v>25</v>
      </c>
      <c r="H388">
        <f>IFERROR(INDEX(RP2014_Qx!$B:$B,MATCH(D388,RP2014_Qx!$A:$A,0)),"")</f>
        <v>0.213565</v>
      </c>
      <c r="I388">
        <f>SUMIFS(MP2016_Long!$C:$C,MP2016_Long!$A:$A,D388,MP2016_Long!$B:$B,"&gt;=2014",MP2016_Long!$B:$B,"&lt;"&amp;E388)</f>
        <v>0.13889999999999997</v>
      </c>
      <c r="J388">
        <f t="shared" ref="J388:J451" si="55">MIN(0.999999,MAX(0,H388*EXP(I388)))</f>
        <v>0.24538814837545073</v>
      </c>
      <c r="K388">
        <f t="shared" ref="K388:K451" si="56">-LN(1-J388)</f>
        <v>0.28155176573832985</v>
      </c>
      <c r="L388">
        <f>EXP(-K388/Inputs!$B$6)</f>
        <v>0.9768104606470468</v>
      </c>
      <c r="M388">
        <f t="shared" si="53"/>
        <v>8.5561575881919441E-2</v>
      </c>
      <c r="N388">
        <f>IFERROR(INDEX(MonthlyCurve!$I:$I,MATCH(A388,MonthlyCurve!$A:$A,0)),"")</f>
        <v>4.9454709999999999E-2</v>
      </c>
      <c r="O388">
        <f>IFERROR(INDEX(MonthlyCurve!$J:$J,MATCH(A388,MonthlyCurve!$A:$A,0)),"")</f>
        <v>0.20460541780428981</v>
      </c>
      <c r="P388">
        <f t="shared" ref="P388:P451" si="57">F388*M388</f>
        <v>713.01313234932877</v>
      </c>
      <c r="Q388">
        <f t="shared" ref="Q388:Q451" si="58">G388*M388</f>
        <v>2.139039397047986</v>
      </c>
      <c r="R388">
        <f t="shared" ref="R388:R451" si="59">P388+Q388</f>
        <v>715.15217174637678</v>
      </c>
      <c r="S388">
        <f t="shared" ref="S388:S451" si="60">P388*O388</f>
        <v>145.88634984427981</v>
      </c>
      <c r="T388">
        <f t="shared" ref="T388:T451" si="61">Q388*O388</f>
        <v>0.43765904953283935</v>
      </c>
      <c r="U388">
        <f>SUMPRODUCT(R389:R543,O389:O543)/(M388*O388)</f>
        <v>256376.14904410689</v>
      </c>
    </row>
    <row r="389" spans="1:21" x14ac:dyDescent="0.35">
      <c r="A389">
        <v>386</v>
      </c>
      <c r="B389">
        <f>A389/Inputs!$B$6</f>
        <v>32.166666666666664</v>
      </c>
      <c r="C389">
        <f>Inputs!$B$3+B389</f>
        <v>97.166666666666657</v>
      </c>
      <c r="D389">
        <f t="shared" si="54"/>
        <v>97</v>
      </c>
      <c r="E389">
        <f>Inputs!$B$7+1+INT((A389-1)/Inputs!$B$6)</f>
        <v>2058</v>
      </c>
      <c r="F389">
        <f>Inputs!$B$16</f>
        <v>8333.3333333333339</v>
      </c>
      <c r="G389">
        <f>Inputs!$B$12</f>
        <v>25</v>
      </c>
      <c r="H389">
        <f>IFERROR(INDEX(RP2014_Qx!$B:$B,MATCH(D389,RP2014_Qx!$A:$A,0)),"")</f>
        <v>0.213565</v>
      </c>
      <c r="I389">
        <f>SUMIFS(MP2016_Long!$C:$C,MP2016_Long!$A:$A,D389,MP2016_Long!$B:$B,"&gt;=2014",MP2016_Long!$B:$B,"&lt;"&amp;E389)</f>
        <v>0.13889999999999997</v>
      </c>
      <c r="J389">
        <f t="shared" si="55"/>
        <v>0.24538814837545073</v>
      </c>
      <c r="K389">
        <f t="shared" si="56"/>
        <v>0.28155176573832985</v>
      </c>
      <c r="L389">
        <f>EXP(-K389/Inputs!$B$6)</f>
        <v>0.9768104606470468</v>
      </c>
      <c r="M389">
        <f t="shared" ref="M389:M452" si="62">M388*L389</f>
        <v>8.3577442350904974E-2</v>
      </c>
      <c r="N389">
        <f>IFERROR(INDEX(MonthlyCurve!$I:$I,MATCH(A389,MonthlyCurve!$A:$A,0)),"")</f>
        <v>4.9454709999999999E-2</v>
      </c>
      <c r="O389">
        <f>IFERROR(INDEX(MonthlyCurve!$J:$J,MATCH(A389,MonthlyCurve!$A:$A,0)),"")</f>
        <v>0.20376392784689396</v>
      </c>
      <c r="P389">
        <f t="shared" si="57"/>
        <v>696.47868625754154</v>
      </c>
      <c r="Q389">
        <f t="shared" si="58"/>
        <v>2.0894360587726242</v>
      </c>
      <c r="R389">
        <f t="shared" si="59"/>
        <v>698.5681223163142</v>
      </c>
      <c r="S389">
        <f t="shared" si="60"/>
        <v>141.91723277348117</v>
      </c>
      <c r="T389">
        <f t="shared" si="61"/>
        <v>0.42575169832044346</v>
      </c>
      <c r="U389">
        <f>SUMPRODUCT(R390:R543,O390:O543)/(M389*O389)</f>
        <v>255188.10031842772</v>
      </c>
    </row>
    <row r="390" spans="1:21" x14ac:dyDescent="0.35">
      <c r="A390">
        <v>387</v>
      </c>
      <c r="B390">
        <f>A390/Inputs!$B$6</f>
        <v>32.25</v>
      </c>
      <c r="C390">
        <f>Inputs!$B$3+B390</f>
        <v>97.25</v>
      </c>
      <c r="D390">
        <f t="shared" si="54"/>
        <v>97</v>
      </c>
      <c r="E390">
        <f>Inputs!$B$7+1+INT((A390-1)/Inputs!$B$6)</f>
        <v>2058</v>
      </c>
      <c r="F390">
        <f>Inputs!$B$16</f>
        <v>8333.3333333333339</v>
      </c>
      <c r="G390">
        <f>Inputs!$B$12</f>
        <v>25</v>
      </c>
      <c r="H390">
        <f>IFERROR(INDEX(RP2014_Qx!$B:$B,MATCH(D390,RP2014_Qx!$A:$A,0)),"")</f>
        <v>0.213565</v>
      </c>
      <c r="I390">
        <f>SUMIFS(MP2016_Long!$C:$C,MP2016_Long!$A:$A,D390,MP2016_Long!$B:$B,"&gt;=2014",MP2016_Long!$B:$B,"&lt;"&amp;E390)</f>
        <v>0.13889999999999997</v>
      </c>
      <c r="J390">
        <f t="shared" si="55"/>
        <v>0.24538814837545073</v>
      </c>
      <c r="K390">
        <f t="shared" si="56"/>
        <v>0.28155176573832985</v>
      </c>
      <c r="L390">
        <f>EXP(-K390/Inputs!$B$6)</f>
        <v>0.9768104606470468</v>
      </c>
      <c r="M390">
        <f t="shared" si="62"/>
        <v>8.1639319962489479E-2</v>
      </c>
      <c r="N390">
        <f>IFERROR(INDEX(MonthlyCurve!$I:$I,MATCH(A390,MonthlyCurve!$A:$A,0)),"")</f>
        <v>4.9454709999999999E-2</v>
      </c>
      <c r="O390">
        <f>IFERROR(INDEX(MonthlyCurve!$J:$J,MATCH(A390,MonthlyCurve!$A:$A,0)),"")</f>
        <v>0.20292589872331177</v>
      </c>
      <c r="P390">
        <f t="shared" si="57"/>
        <v>680.32766635407904</v>
      </c>
      <c r="Q390">
        <f t="shared" si="58"/>
        <v>2.040982999062237</v>
      </c>
      <c r="R390">
        <f t="shared" si="59"/>
        <v>682.36864935314134</v>
      </c>
      <c r="S390">
        <f t="shared" si="60"/>
        <v>138.05610312123488</v>
      </c>
      <c r="T390">
        <f t="shared" si="61"/>
        <v>0.41416830936370463</v>
      </c>
      <c r="U390">
        <f>SUMPRODUCT(R391:R543,O391:O543)/(M390*O390)</f>
        <v>253966.82444770171</v>
      </c>
    </row>
    <row r="391" spans="1:21" x14ac:dyDescent="0.35">
      <c r="A391">
        <v>388</v>
      </c>
      <c r="B391">
        <f>A391/Inputs!$B$6</f>
        <v>32.333333333333336</v>
      </c>
      <c r="C391">
        <f>Inputs!$B$3+B391</f>
        <v>97.333333333333343</v>
      </c>
      <c r="D391">
        <f t="shared" si="54"/>
        <v>97</v>
      </c>
      <c r="E391">
        <f>Inputs!$B$7+1+INT((A391-1)/Inputs!$B$6)</f>
        <v>2058</v>
      </c>
      <c r="F391">
        <f>Inputs!$B$16</f>
        <v>8333.3333333333339</v>
      </c>
      <c r="G391">
        <f>Inputs!$B$12</f>
        <v>25</v>
      </c>
      <c r="H391">
        <f>IFERROR(INDEX(RP2014_Qx!$B:$B,MATCH(D391,RP2014_Qx!$A:$A,0)),"")</f>
        <v>0.213565</v>
      </c>
      <c r="I391">
        <f>SUMIFS(MP2016_Long!$C:$C,MP2016_Long!$A:$A,D391,MP2016_Long!$B:$B,"&gt;=2014",MP2016_Long!$B:$B,"&lt;"&amp;E391)</f>
        <v>0.13889999999999997</v>
      </c>
      <c r="J391">
        <f t="shared" si="55"/>
        <v>0.24538814837545073</v>
      </c>
      <c r="K391">
        <f t="shared" si="56"/>
        <v>0.28155176573832985</v>
      </c>
      <c r="L391">
        <f>EXP(-K391/Inputs!$B$6)</f>
        <v>0.9768104606470468</v>
      </c>
      <c r="M391">
        <f t="shared" si="62"/>
        <v>7.9746141739470991E-2</v>
      </c>
      <c r="N391">
        <f>IFERROR(INDEX(MonthlyCurve!$I:$I,MATCH(A391,MonthlyCurve!$A:$A,0)),"")</f>
        <v>4.9454709999999999E-2</v>
      </c>
      <c r="O391">
        <f>IFERROR(INDEX(MonthlyCurve!$J:$J,MATCH(A391,MonthlyCurve!$A:$A,0)),"")</f>
        <v>0.20209131620001544</v>
      </c>
      <c r="P391">
        <f t="shared" si="57"/>
        <v>664.55118116225833</v>
      </c>
      <c r="Q391">
        <f t="shared" si="58"/>
        <v>1.9936535434867748</v>
      </c>
      <c r="R391">
        <f t="shared" si="59"/>
        <v>666.54483470574507</v>
      </c>
      <c r="S391">
        <f t="shared" si="60"/>
        <v>134.30002288335569</v>
      </c>
      <c r="T391">
        <f t="shared" si="61"/>
        <v>0.40290006865006706</v>
      </c>
      <c r="U391">
        <f>SUMPRODUCT(R392:R543,O392:O543)/(M391*O391)</f>
        <v>252711.39214077746</v>
      </c>
    </row>
    <row r="392" spans="1:21" x14ac:dyDescent="0.35">
      <c r="A392">
        <v>389</v>
      </c>
      <c r="B392">
        <f>A392/Inputs!$B$6</f>
        <v>32.416666666666664</v>
      </c>
      <c r="C392">
        <f>Inputs!$B$3+B392</f>
        <v>97.416666666666657</v>
      </c>
      <c r="D392">
        <f t="shared" si="54"/>
        <v>97</v>
      </c>
      <c r="E392">
        <f>Inputs!$B$7+1+INT((A392-1)/Inputs!$B$6)</f>
        <v>2058</v>
      </c>
      <c r="F392">
        <f>Inputs!$B$16</f>
        <v>8333.3333333333339</v>
      </c>
      <c r="G392">
        <f>Inputs!$B$12</f>
        <v>25</v>
      </c>
      <c r="H392">
        <f>IFERROR(INDEX(RP2014_Qx!$B:$B,MATCH(D392,RP2014_Qx!$A:$A,0)),"")</f>
        <v>0.213565</v>
      </c>
      <c r="I392">
        <f>SUMIFS(MP2016_Long!$C:$C,MP2016_Long!$A:$A,D392,MP2016_Long!$B:$B,"&gt;=2014",MP2016_Long!$B:$B,"&lt;"&amp;E392)</f>
        <v>0.13889999999999997</v>
      </c>
      <c r="J392">
        <f t="shared" si="55"/>
        <v>0.24538814837545073</v>
      </c>
      <c r="K392">
        <f t="shared" si="56"/>
        <v>0.28155176573832985</v>
      </c>
      <c r="L392">
        <f>EXP(-K392/Inputs!$B$6)</f>
        <v>0.9768104606470468</v>
      </c>
      <c r="M392">
        <f t="shared" si="62"/>
        <v>7.7896865447357341E-2</v>
      </c>
      <c r="N392">
        <f>IFERROR(INDEX(MonthlyCurve!$I:$I,MATCH(A392,MonthlyCurve!$A:$A,0)),"")</f>
        <v>4.9454709999999999E-2</v>
      </c>
      <c r="O392">
        <f>IFERROR(INDEX(MonthlyCurve!$J:$J,MATCH(A392,MonthlyCurve!$A:$A,0)),"")</f>
        <v>0.20126016610201616</v>
      </c>
      <c r="P392">
        <f t="shared" si="57"/>
        <v>649.1405453946445</v>
      </c>
      <c r="Q392">
        <f t="shared" si="58"/>
        <v>1.9474216361839336</v>
      </c>
      <c r="R392">
        <f t="shared" si="59"/>
        <v>651.08796703082839</v>
      </c>
      <c r="S392">
        <f t="shared" si="60"/>
        <v>130.64613398967953</v>
      </c>
      <c r="T392">
        <f t="shared" si="61"/>
        <v>0.39193840196903856</v>
      </c>
      <c r="U392">
        <f>SUMPRODUCT(R393:R543,O393:O543)/(M392*O392)</f>
        <v>251420.84811624655</v>
      </c>
    </row>
    <row r="393" spans="1:21" x14ac:dyDescent="0.35">
      <c r="A393">
        <v>390</v>
      </c>
      <c r="B393">
        <f>A393/Inputs!$B$6</f>
        <v>32.5</v>
      </c>
      <c r="C393">
        <f>Inputs!$B$3+B393</f>
        <v>97.5</v>
      </c>
      <c r="D393">
        <f t="shared" si="54"/>
        <v>97</v>
      </c>
      <c r="E393">
        <f>Inputs!$B$7+1+INT((A393-1)/Inputs!$B$6)</f>
        <v>2058</v>
      </c>
      <c r="F393">
        <f>Inputs!$B$16</f>
        <v>8333.3333333333339</v>
      </c>
      <c r="G393">
        <f>Inputs!$B$12</f>
        <v>25</v>
      </c>
      <c r="H393">
        <f>IFERROR(INDEX(RP2014_Qx!$B:$B,MATCH(D393,RP2014_Qx!$A:$A,0)),"")</f>
        <v>0.213565</v>
      </c>
      <c r="I393">
        <f>SUMIFS(MP2016_Long!$C:$C,MP2016_Long!$A:$A,D393,MP2016_Long!$B:$B,"&gt;=2014",MP2016_Long!$B:$B,"&lt;"&amp;E393)</f>
        <v>0.13889999999999997</v>
      </c>
      <c r="J393">
        <f t="shared" si="55"/>
        <v>0.24538814837545073</v>
      </c>
      <c r="K393">
        <f t="shared" si="56"/>
        <v>0.28155176573832985</v>
      </c>
      <c r="L393">
        <f>EXP(-K393/Inputs!$B$6)</f>
        <v>0.9768104606470468</v>
      </c>
      <c r="M393">
        <f t="shared" si="62"/>
        <v>7.6090473020594143E-2</v>
      </c>
      <c r="N393">
        <f>IFERROR(INDEX(MonthlyCurve!$I:$I,MATCH(A393,MonthlyCurve!$A:$A,0)),"")</f>
        <v>4.9454709999999999E-2</v>
      </c>
      <c r="O393">
        <f>IFERROR(INDEX(MonthlyCurve!$J:$J,MATCH(A393,MonthlyCurve!$A:$A,0)),"")</f>
        <v>0.20043243431262303</v>
      </c>
      <c r="P393">
        <f t="shared" si="57"/>
        <v>634.08727517161788</v>
      </c>
      <c r="Q393">
        <f t="shared" si="58"/>
        <v>1.9022618255148536</v>
      </c>
      <c r="R393">
        <f t="shared" si="59"/>
        <v>635.98953699713275</v>
      </c>
      <c r="S393">
        <f t="shared" si="60"/>
        <v>127.09165612930542</v>
      </c>
      <c r="T393">
        <f t="shared" si="61"/>
        <v>0.38127496838791625</v>
      </c>
      <c r="U393">
        <f>SUMPRODUCT(R394:R543,O394:O543)/(M393*O393)</f>
        <v>250094.21037555262</v>
      </c>
    </row>
    <row r="394" spans="1:21" x14ac:dyDescent="0.35">
      <c r="A394">
        <v>391</v>
      </c>
      <c r="B394">
        <f>A394/Inputs!$B$6</f>
        <v>32.583333333333336</v>
      </c>
      <c r="C394">
        <f>Inputs!$B$3+B394</f>
        <v>97.583333333333343</v>
      </c>
      <c r="D394">
        <f t="shared" si="54"/>
        <v>97</v>
      </c>
      <c r="E394">
        <f>Inputs!$B$7+1+INT((A394-1)/Inputs!$B$6)</f>
        <v>2058</v>
      </c>
      <c r="F394">
        <f>Inputs!$B$16</f>
        <v>8333.3333333333339</v>
      </c>
      <c r="G394">
        <f>Inputs!$B$12</f>
        <v>25</v>
      </c>
      <c r="H394">
        <f>IFERROR(INDEX(RP2014_Qx!$B:$B,MATCH(D394,RP2014_Qx!$A:$A,0)),"")</f>
        <v>0.213565</v>
      </c>
      <c r="I394">
        <f>SUMIFS(MP2016_Long!$C:$C,MP2016_Long!$A:$A,D394,MP2016_Long!$B:$B,"&gt;=2014",MP2016_Long!$B:$B,"&lt;"&amp;E394)</f>
        <v>0.13889999999999997</v>
      </c>
      <c r="J394">
        <f t="shared" si="55"/>
        <v>0.24538814837545073</v>
      </c>
      <c r="K394">
        <f t="shared" si="56"/>
        <v>0.28155176573832985</v>
      </c>
      <c r="L394">
        <f>EXP(-K394/Inputs!$B$6)</f>
        <v>0.9768104606470468</v>
      </c>
      <c r="M394">
        <f t="shared" si="62"/>
        <v>7.4325970002098257E-2</v>
      </c>
      <c r="N394">
        <f>IFERROR(INDEX(MonthlyCurve!$I:$I,MATCH(A394,MonthlyCurve!$A:$A,0)),"")</f>
        <v>4.9454709999999999E-2</v>
      </c>
      <c r="O394">
        <f>IFERROR(INDEX(MonthlyCurve!$J:$J,MATCH(A394,MonthlyCurve!$A:$A,0)),"")</f>
        <v>0.19960810677320368</v>
      </c>
      <c r="P394">
        <f t="shared" si="57"/>
        <v>619.38308335081888</v>
      </c>
      <c r="Q394">
        <f t="shared" si="58"/>
        <v>1.8581492500524563</v>
      </c>
      <c r="R394">
        <f t="shared" si="59"/>
        <v>621.24123260087129</v>
      </c>
      <c r="S394">
        <f t="shared" si="60"/>
        <v>123.63388463500637</v>
      </c>
      <c r="T394">
        <f t="shared" si="61"/>
        <v>0.37090165390501906</v>
      </c>
      <c r="U394">
        <f>SUMPRODUCT(R395:R543,O395:O543)/(M394*O394)</f>
        <v>248730.46945577001</v>
      </c>
    </row>
    <row r="395" spans="1:21" x14ac:dyDescent="0.35">
      <c r="A395">
        <v>392</v>
      </c>
      <c r="B395">
        <f>A395/Inputs!$B$6</f>
        <v>32.666666666666664</v>
      </c>
      <c r="C395">
        <f>Inputs!$B$3+B395</f>
        <v>97.666666666666657</v>
      </c>
      <c r="D395">
        <f t="shared" si="54"/>
        <v>97</v>
      </c>
      <c r="E395">
        <f>Inputs!$B$7+1+INT((A395-1)/Inputs!$B$6)</f>
        <v>2058</v>
      </c>
      <c r="F395">
        <f>Inputs!$B$16</f>
        <v>8333.3333333333339</v>
      </c>
      <c r="G395">
        <f>Inputs!$B$12</f>
        <v>25</v>
      </c>
      <c r="H395">
        <f>IFERROR(INDEX(RP2014_Qx!$B:$B,MATCH(D395,RP2014_Qx!$A:$A,0)),"")</f>
        <v>0.213565</v>
      </c>
      <c r="I395">
        <f>SUMIFS(MP2016_Long!$C:$C,MP2016_Long!$A:$A,D395,MP2016_Long!$B:$B,"&gt;=2014",MP2016_Long!$B:$B,"&lt;"&amp;E395)</f>
        <v>0.13889999999999997</v>
      </c>
      <c r="J395">
        <f t="shared" si="55"/>
        <v>0.24538814837545073</v>
      </c>
      <c r="K395">
        <f t="shared" si="56"/>
        <v>0.28155176573832985</v>
      </c>
      <c r="L395">
        <f>EXP(-K395/Inputs!$B$6)</f>
        <v>0.9768104606470468</v>
      </c>
      <c r="M395">
        <f t="shared" si="62"/>
        <v>7.260238499578818E-2</v>
      </c>
      <c r="N395">
        <f>IFERROR(INDEX(MonthlyCurve!$I:$I,MATCH(A395,MonthlyCurve!$A:$A,0)),"")</f>
        <v>4.9454709999999999E-2</v>
      </c>
      <c r="O395">
        <f>IFERROR(INDEX(MonthlyCurve!$J:$J,MATCH(A395,MonthlyCurve!$A:$A,0)),"")</f>
        <v>0.19878716948294525</v>
      </c>
      <c r="P395">
        <f t="shared" si="57"/>
        <v>605.01987496490153</v>
      </c>
      <c r="Q395">
        <f t="shared" si="58"/>
        <v>1.8150596248947044</v>
      </c>
      <c r="R395">
        <f t="shared" si="59"/>
        <v>606.83493458979626</v>
      </c>
      <c r="S395">
        <f t="shared" si="60"/>
        <v>120.27018842519823</v>
      </c>
      <c r="T395">
        <f t="shared" si="61"/>
        <v>0.36081056527559463</v>
      </c>
      <c r="U395">
        <f>SUMPRODUCT(R396:R543,O396:O543)/(M395*O395)</f>
        <v>247328.58766148557</v>
      </c>
    </row>
    <row r="396" spans="1:21" x14ac:dyDescent="0.35">
      <c r="A396">
        <v>393</v>
      </c>
      <c r="B396">
        <f>A396/Inputs!$B$6</f>
        <v>32.75</v>
      </c>
      <c r="C396">
        <f>Inputs!$B$3+B396</f>
        <v>97.75</v>
      </c>
      <c r="D396">
        <f t="shared" si="54"/>
        <v>97</v>
      </c>
      <c r="E396">
        <f>Inputs!$B$7+1+INT((A396-1)/Inputs!$B$6)</f>
        <v>2058</v>
      </c>
      <c r="F396">
        <f>Inputs!$B$16</f>
        <v>8333.3333333333339</v>
      </c>
      <c r="G396">
        <f>Inputs!$B$12</f>
        <v>25</v>
      </c>
      <c r="H396">
        <f>IFERROR(INDEX(RP2014_Qx!$B:$B,MATCH(D396,RP2014_Qx!$A:$A,0)),"")</f>
        <v>0.213565</v>
      </c>
      <c r="I396">
        <f>SUMIFS(MP2016_Long!$C:$C,MP2016_Long!$A:$A,D396,MP2016_Long!$B:$B,"&gt;=2014",MP2016_Long!$B:$B,"&lt;"&amp;E396)</f>
        <v>0.13889999999999997</v>
      </c>
      <c r="J396">
        <f t="shared" si="55"/>
        <v>0.24538814837545073</v>
      </c>
      <c r="K396">
        <f t="shared" si="56"/>
        <v>0.28155176573832985</v>
      </c>
      <c r="L396">
        <f>EXP(-K396/Inputs!$B$6)</f>
        <v>0.9768104606470468</v>
      </c>
      <c r="M396">
        <f t="shared" si="62"/>
        <v>7.0918769131810097E-2</v>
      </c>
      <c r="N396">
        <f>IFERROR(INDEX(MonthlyCurve!$I:$I,MATCH(A396,MonthlyCurve!$A:$A,0)),"")</f>
        <v>4.9454709999999999E-2</v>
      </c>
      <c r="O396">
        <f>IFERROR(INDEX(MonthlyCurve!$J:$J,MATCH(A396,MonthlyCurve!$A:$A,0)),"")</f>
        <v>0.19796960849861658</v>
      </c>
      <c r="P396">
        <f t="shared" si="57"/>
        <v>590.9897427650842</v>
      </c>
      <c r="Q396">
        <f t="shared" si="58"/>
        <v>1.7729692282952525</v>
      </c>
      <c r="R396">
        <f t="shared" si="59"/>
        <v>592.76271199337941</v>
      </c>
      <c r="S396">
        <f t="shared" si="60"/>
        <v>116.99800800190184</v>
      </c>
      <c r="T396">
        <f t="shared" si="61"/>
        <v>0.35099402400570551</v>
      </c>
      <c r="U396">
        <f>SUMPRODUCT(R397:R543,O397:O543)/(M396*O396)</f>
        <v>245887.49827519702</v>
      </c>
    </row>
    <row r="397" spans="1:21" x14ac:dyDescent="0.35">
      <c r="A397">
        <v>394</v>
      </c>
      <c r="B397">
        <f>A397/Inputs!$B$6</f>
        <v>32.833333333333336</v>
      </c>
      <c r="C397">
        <f>Inputs!$B$3+B397</f>
        <v>97.833333333333343</v>
      </c>
      <c r="D397">
        <f t="shared" si="54"/>
        <v>97</v>
      </c>
      <c r="E397">
        <f>Inputs!$B$7+1+INT((A397-1)/Inputs!$B$6)</f>
        <v>2058</v>
      </c>
      <c r="F397">
        <f>Inputs!$B$16</f>
        <v>8333.3333333333339</v>
      </c>
      <c r="G397">
        <f>Inputs!$B$12</f>
        <v>25</v>
      </c>
      <c r="H397">
        <f>IFERROR(INDEX(RP2014_Qx!$B:$B,MATCH(D397,RP2014_Qx!$A:$A,0)),"")</f>
        <v>0.213565</v>
      </c>
      <c r="I397">
        <f>SUMIFS(MP2016_Long!$C:$C,MP2016_Long!$A:$A,D397,MP2016_Long!$B:$B,"&gt;=2014",MP2016_Long!$B:$B,"&lt;"&amp;E397)</f>
        <v>0.13889999999999997</v>
      </c>
      <c r="J397">
        <f t="shared" si="55"/>
        <v>0.24538814837545073</v>
      </c>
      <c r="K397">
        <f t="shared" si="56"/>
        <v>0.28155176573832985</v>
      </c>
      <c r="L397">
        <f>EXP(-K397/Inputs!$B$6)</f>
        <v>0.9768104606470468</v>
      </c>
      <c r="M397">
        <f t="shared" si="62"/>
        <v>6.9274195544164988E-2</v>
      </c>
      <c r="N397">
        <f>IFERROR(INDEX(MonthlyCurve!$I:$I,MATCH(A397,MonthlyCurve!$A:$A,0)),"")</f>
        <v>4.9454709999999999E-2</v>
      </c>
      <c r="O397">
        <f>IFERROR(INDEX(MonthlyCurve!$J:$J,MATCH(A397,MonthlyCurve!$A:$A,0)),"")</f>
        <v>0.19715540993433162</v>
      </c>
      <c r="P397">
        <f t="shared" si="57"/>
        <v>577.28496286804159</v>
      </c>
      <c r="Q397">
        <f t="shared" si="58"/>
        <v>1.7318548886041247</v>
      </c>
      <c r="R397">
        <f t="shared" si="59"/>
        <v>579.01681775664576</v>
      </c>
      <c r="S397">
        <f t="shared" si="60"/>
        <v>113.81485350317415</v>
      </c>
      <c r="T397">
        <f t="shared" si="61"/>
        <v>0.34144456050952243</v>
      </c>
      <c r="U397">
        <f>SUMPRODUCT(R398:R543,O398:O543)/(M397*O397)</f>
        <v>244406.10474562808</v>
      </c>
    </row>
    <row r="398" spans="1:21" x14ac:dyDescent="0.35">
      <c r="A398">
        <v>395</v>
      </c>
      <c r="B398">
        <f>A398/Inputs!$B$6</f>
        <v>32.916666666666664</v>
      </c>
      <c r="C398">
        <f>Inputs!$B$3+B398</f>
        <v>97.916666666666657</v>
      </c>
      <c r="D398">
        <f t="shared" si="54"/>
        <v>97</v>
      </c>
      <c r="E398">
        <f>Inputs!$B$7+1+INT((A398-1)/Inputs!$B$6)</f>
        <v>2058</v>
      </c>
      <c r="F398">
        <f>Inputs!$B$16</f>
        <v>8333.3333333333339</v>
      </c>
      <c r="G398">
        <f>Inputs!$B$12</f>
        <v>25</v>
      </c>
      <c r="H398">
        <f>IFERROR(INDEX(RP2014_Qx!$B:$B,MATCH(D398,RP2014_Qx!$A:$A,0)),"")</f>
        <v>0.213565</v>
      </c>
      <c r="I398">
        <f>SUMIFS(MP2016_Long!$C:$C,MP2016_Long!$A:$A,D398,MP2016_Long!$B:$B,"&gt;=2014",MP2016_Long!$B:$B,"&lt;"&amp;E398)</f>
        <v>0.13889999999999997</v>
      </c>
      <c r="J398">
        <f t="shared" si="55"/>
        <v>0.24538814837545073</v>
      </c>
      <c r="K398">
        <f t="shared" si="56"/>
        <v>0.28155176573832985</v>
      </c>
      <c r="L398">
        <f>EXP(-K398/Inputs!$B$6)</f>
        <v>0.9768104606470468</v>
      </c>
      <c r="M398">
        <f t="shared" si="62"/>
        <v>6.7667758860449401E-2</v>
      </c>
      <c r="N398">
        <f>IFERROR(INDEX(MonthlyCurve!$I:$I,MATCH(A398,MonthlyCurve!$A:$A,0)),"")</f>
        <v>4.9454709999999999E-2</v>
      </c>
      <c r="O398">
        <f>IFERROR(INDEX(MonthlyCurve!$J:$J,MATCH(A398,MonthlyCurve!$A:$A,0)),"")</f>
        <v>0.19634455996131334</v>
      </c>
      <c r="P398">
        <f t="shared" si="57"/>
        <v>563.89799050374506</v>
      </c>
      <c r="Q398">
        <f t="shared" si="58"/>
        <v>1.6916939715112349</v>
      </c>
      <c r="R398">
        <f t="shared" si="59"/>
        <v>565.58968447525626</v>
      </c>
      <c r="S398">
        <f t="shared" si="60"/>
        <v>110.71830280852667</v>
      </c>
      <c r="T398">
        <f t="shared" si="61"/>
        <v>0.33215490842557993</v>
      </c>
      <c r="U398">
        <f>SUMPRODUCT(R399:R543,O399:O543)/(M398*O398)</f>
        <v>242883.27985334239</v>
      </c>
    </row>
    <row r="399" spans="1:21" x14ac:dyDescent="0.35">
      <c r="A399">
        <v>396</v>
      </c>
      <c r="B399">
        <f>A399/Inputs!$B$6</f>
        <v>33</v>
      </c>
      <c r="C399">
        <f>Inputs!$B$3+B399</f>
        <v>98</v>
      </c>
      <c r="D399">
        <f t="shared" si="54"/>
        <v>98</v>
      </c>
      <c r="E399">
        <f>Inputs!$B$7+1+INT((A399-1)/Inputs!$B$6)</f>
        <v>2058</v>
      </c>
      <c r="F399">
        <f>Inputs!$B$16</f>
        <v>8333.3333333333339</v>
      </c>
      <c r="G399">
        <f>Inputs!$B$12</f>
        <v>25</v>
      </c>
      <c r="H399">
        <f>IFERROR(INDEX(RP2014_Qx!$B:$B,MATCH(D399,RP2014_Qx!$A:$A,0)),"")</f>
        <v>0.231991</v>
      </c>
      <c r="I399">
        <f>SUMIFS(MP2016_Long!$C:$C,MP2016_Long!$A:$A,D399,MP2016_Long!$B:$B,"&gt;=2014",MP2016_Long!$B:$B,"&lt;"&amp;E399)</f>
        <v>0.13109999999999999</v>
      </c>
      <c r="J399">
        <f t="shared" si="55"/>
        <v>0.26448871310326078</v>
      </c>
      <c r="K399">
        <f t="shared" si="56"/>
        <v>0.30718939317567345</v>
      </c>
      <c r="L399">
        <f>EXP(-K399/Inputs!$B$6)</f>
        <v>0.97472576316349124</v>
      </c>
      <c r="M399">
        <f t="shared" si="62"/>
        <v>6.5957507896814635E-2</v>
      </c>
      <c r="N399">
        <f>IFERROR(INDEX(MonthlyCurve!$I:$I,MATCH(A399,MonthlyCurve!$A:$A,0)),"")</f>
        <v>4.9454709999999999E-2</v>
      </c>
      <c r="O399">
        <f>IFERROR(INDEX(MonthlyCurve!$J:$J,MATCH(A399,MonthlyCurve!$A:$A,0)),"")</f>
        <v>0.19553704480765891</v>
      </c>
      <c r="P399">
        <f t="shared" si="57"/>
        <v>549.64589914012197</v>
      </c>
      <c r="Q399">
        <f t="shared" si="58"/>
        <v>1.6489376974203658</v>
      </c>
      <c r="R399">
        <f t="shared" si="59"/>
        <v>551.29483683754233</v>
      </c>
      <c r="S399">
        <f t="shared" si="60"/>
        <v>107.47613480850799</v>
      </c>
      <c r="T399">
        <f t="shared" si="61"/>
        <v>0.32242840442552395</v>
      </c>
      <c r="U399">
        <f>SUMPRODUCT(R400:R543,O400:O543)/(M399*O399)</f>
        <v>241851.8605282504</v>
      </c>
    </row>
    <row r="400" spans="1:21" x14ac:dyDescent="0.35">
      <c r="A400">
        <v>397</v>
      </c>
      <c r="B400">
        <f>A400/Inputs!$B$6</f>
        <v>33.083333333333336</v>
      </c>
      <c r="C400">
        <f>Inputs!$B$3+B400</f>
        <v>98.083333333333343</v>
      </c>
      <c r="D400">
        <f t="shared" si="54"/>
        <v>98</v>
      </c>
      <c r="E400">
        <f>Inputs!$B$7+1+INT((A400-1)/Inputs!$B$6)</f>
        <v>2059</v>
      </c>
      <c r="F400">
        <f>Inputs!$B$16</f>
        <v>8333.3333333333339</v>
      </c>
      <c r="G400">
        <f>Inputs!$B$12</f>
        <v>25</v>
      </c>
      <c r="H400">
        <f>IFERROR(INDEX(RP2014_Qx!$B:$B,MATCH(D400,RP2014_Qx!$A:$A,0)),"")</f>
        <v>0.231991</v>
      </c>
      <c r="I400">
        <f>SUMIFS(MP2016_Long!$C:$C,MP2016_Long!$A:$A,D400,MP2016_Long!$B:$B,"&gt;=2014",MP2016_Long!$B:$B,"&lt;"&amp;E400)</f>
        <v>0.13109999999999999</v>
      </c>
      <c r="J400">
        <f t="shared" si="55"/>
        <v>0.26448871310326078</v>
      </c>
      <c r="K400">
        <f t="shared" si="56"/>
        <v>0.30718939317567345</v>
      </c>
      <c r="L400">
        <f>EXP(-K400/Inputs!$B$6)</f>
        <v>0.97472576316349124</v>
      </c>
      <c r="M400">
        <f t="shared" si="62"/>
        <v>6.4290482221084647E-2</v>
      </c>
      <c r="N400">
        <f>IFERROR(INDEX(MonthlyCurve!$I:$I,MATCH(A400,MonthlyCurve!$A:$A,0)),"")</f>
        <v>4.9454709999999999E-2</v>
      </c>
      <c r="O400">
        <f>IFERROR(INDEX(MonthlyCurve!$J:$J,MATCH(A400,MonthlyCurve!$A:$A,0)),"")</f>
        <v>0.19473285075810592</v>
      </c>
      <c r="P400">
        <f t="shared" si="57"/>
        <v>535.75401850903881</v>
      </c>
      <c r="Q400">
        <f t="shared" si="58"/>
        <v>1.6072620555271162</v>
      </c>
      <c r="R400">
        <f t="shared" si="59"/>
        <v>537.36128056456596</v>
      </c>
      <c r="S400">
        <f t="shared" si="60"/>
        <v>104.32890732937618</v>
      </c>
      <c r="T400">
        <f t="shared" si="61"/>
        <v>0.31298672198812849</v>
      </c>
      <c r="U400">
        <f>SUMPRODUCT(R401:R543,O401:O543)/(M400*O400)</f>
        <v>240789.32699593107</v>
      </c>
    </row>
    <row r="401" spans="1:21" x14ac:dyDescent="0.35">
      <c r="A401">
        <v>398</v>
      </c>
      <c r="B401">
        <f>A401/Inputs!$B$6</f>
        <v>33.166666666666664</v>
      </c>
      <c r="C401">
        <f>Inputs!$B$3+B401</f>
        <v>98.166666666666657</v>
      </c>
      <c r="D401">
        <f t="shared" si="54"/>
        <v>98</v>
      </c>
      <c r="E401">
        <f>Inputs!$B$7+1+INT((A401-1)/Inputs!$B$6)</f>
        <v>2059</v>
      </c>
      <c r="F401">
        <f>Inputs!$B$16</f>
        <v>8333.3333333333339</v>
      </c>
      <c r="G401">
        <f>Inputs!$B$12</f>
        <v>25</v>
      </c>
      <c r="H401">
        <f>IFERROR(INDEX(RP2014_Qx!$B:$B,MATCH(D401,RP2014_Qx!$A:$A,0)),"")</f>
        <v>0.231991</v>
      </c>
      <c r="I401">
        <f>SUMIFS(MP2016_Long!$C:$C,MP2016_Long!$A:$A,D401,MP2016_Long!$B:$B,"&gt;=2014",MP2016_Long!$B:$B,"&lt;"&amp;E401)</f>
        <v>0.13109999999999999</v>
      </c>
      <c r="J401">
        <f t="shared" si="55"/>
        <v>0.26448871310326078</v>
      </c>
      <c r="K401">
        <f t="shared" si="56"/>
        <v>0.30718939317567345</v>
      </c>
      <c r="L401">
        <f>EXP(-K401/Inputs!$B$6)</f>
        <v>0.97472576316349124</v>
      </c>
      <c r="M401">
        <f t="shared" si="62"/>
        <v>6.2665589347095596E-2</v>
      </c>
      <c r="N401">
        <f>IFERROR(INDEX(MonthlyCurve!$I:$I,MATCH(A401,MonthlyCurve!$A:$A,0)),"")</f>
        <v>4.9454709999999999E-2</v>
      </c>
      <c r="O401">
        <f>IFERROR(INDEX(MonthlyCurve!$J:$J,MATCH(A401,MonthlyCurve!$A:$A,0)),"")</f>
        <v>0.19393196415379935</v>
      </c>
      <c r="P401">
        <f t="shared" si="57"/>
        <v>522.21324455912998</v>
      </c>
      <c r="Q401">
        <f t="shared" si="58"/>
        <v>1.5666397336773898</v>
      </c>
      <c r="R401">
        <f t="shared" si="59"/>
        <v>523.77988429280731</v>
      </c>
      <c r="S401">
        <f t="shared" si="60"/>
        <v>101.27384022448045</v>
      </c>
      <c r="T401">
        <f t="shared" si="61"/>
        <v>0.30382152067344131</v>
      </c>
      <c r="U401">
        <f>SUMPRODUCT(R402:R543,O402:O543)/(M401*O401)</f>
        <v>239694.74065278462</v>
      </c>
    </row>
    <row r="402" spans="1:21" x14ac:dyDescent="0.35">
      <c r="A402">
        <v>399</v>
      </c>
      <c r="B402">
        <f>A402/Inputs!$B$6</f>
        <v>33.25</v>
      </c>
      <c r="C402">
        <f>Inputs!$B$3+B402</f>
        <v>98.25</v>
      </c>
      <c r="D402">
        <f t="shared" si="54"/>
        <v>98</v>
      </c>
      <c r="E402">
        <f>Inputs!$B$7+1+INT((A402-1)/Inputs!$B$6)</f>
        <v>2059</v>
      </c>
      <c r="F402">
        <f>Inputs!$B$16</f>
        <v>8333.3333333333339</v>
      </c>
      <c r="G402">
        <f>Inputs!$B$12</f>
        <v>25</v>
      </c>
      <c r="H402">
        <f>IFERROR(INDEX(RP2014_Qx!$B:$B,MATCH(D402,RP2014_Qx!$A:$A,0)),"")</f>
        <v>0.231991</v>
      </c>
      <c r="I402">
        <f>SUMIFS(MP2016_Long!$C:$C,MP2016_Long!$A:$A,D402,MP2016_Long!$B:$B,"&gt;=2014",MP2016_Long!$B:$B,"&lt;"&amp;E402)</f>
        <v>0.13109999999999999</v>
      </c>
      <c r="J402">
        <f t="shared" si="55"/>
        <v>0.26448871310326078</v>
      </c>
      <c r="K402">
        <f t="shared" si="56"/>
        <v>0.30718939317567345</v>
      </c>
      <c r="L402">
        <f>EXP(-K402/Inputs!$B$6)</f>
        <v>0.97472576316349124</v>
      </c>
      <c r="M402">
        <f t="shared" si="62"/>
        <v>6.1081764400437701E-2</v>
      </c>
      <c r="N402">
        <f>IFERROR(INDEX(MonthlyCurve!$I:$I,MATCH(A402,MonthlyCurve!$A:$A,0)),"")</f>
        <v>4.9454709999999999E-2</v>
      </c>
      <c r="O402">
        <f>IFERROR(INDEX(MonthlyCurve!$J:$J,MATCH(A402,MonthlyCurve!$A:$A,0)),"")</f>
        <v>0.19313437139205938</v>
      </c>
      <c r="P402">
        <f t="shared" si="57"/>
        <v>509.01470333698086</v>
      </c>
      <c r="Q402">
        <f t="shared" si="58"/>
        <v>1.5270441100109424</v>
      </c>
      <c r="R402">
        <f t="shared" si="59"/>
        <v>510.54174744699179</v>
      </c>
      <c r="S402">
        <f t="shared" si="60"/>
        <v>98.308234758303385</v>
      </c>
      <c r="T402">
        <f t="shared" si="61"/>
        <v>0.29492470427491013</v>
      </c>
      <c r="U402">
        <f>SUMPRODUCT(R403:R543,O403:O543)/(M402*O402)</f>
        <v>238567.13458092063</v>
      </c>
    </row>
    <row r="403" spans="1:21" x14ac:dyDescent="0.35">
      <c r="A403">
        <v>400</v>
      </c>
      <c r="B403">
        <f>A403/Inputs!$B$6</f>
        <v>33.333333333333336</v>
      </c>
      <c r="C403">
        <f>Inputs!$B$3+B403</f>
        <v>98.333333333333343</v>
      </c>
      <c r="D403">
        <f t="shared" si="54"/>
        <v>98</v>
      </c>
      <c r="E403">
        <f>Inputs!$B$7+1+INT((A403-1)/Inputs!$B$6)</f>
        <v>2059</v>
      </c>
      <c r="F403">
        <f>Inputs!$B$16</f>
        <v>8333.3333333333339</v>
      </c>
      <c r="G403">
        <f>Inputs!$B$12</f>
        <v>25</v>
      </c>
      <c r="H403">
        <f>IFERROR(INDEX(RP2014_Qx!$B:$B,MATCH(D403,RP2014_Qx!$A:$A,0)),"")</f>
        <v>0.231991</v>
      </c>
      <c r="I403">
        <f>SUMIFS(MP2016_Long!$C:$C,MP2016_Long!$A:$A,D403,MP2016_Long!$B:$B,"&gt;=2014",MP2016_Long!$B:$B,"&lt;"&amp;E403)</f>
        <v>0.13109999999999999</v>
      </c>
      <c r="J403">
        <f t="shared" si="55"/>
        <v>0.26448871310326078</v>
      </c>
      <c r="K403">
        <f t="shared" si="56"/>
        <v>0.30718939317567345</v>
      </c>
      <c r="L403">
        <f>EXP(-K403/Inputs!$B$6)</f>
        <v>0.97472576316349124</v>
      </c>
      <c r="M403">
        <f t="shared" si="62"/>
        <v>5.9537969420589205E-2</v>
      </c>
      <c r="N403">
        <f>IFERROR(INDEX(MonthlyCurve!$I:$I,MATCH(A403,MonthlyCurve!$A:$A,0)),"")</f>
        <v>4.9454709999999999E-2</v>
      </c>
      <c r="O403">
        <f>IFERROR(INDEX(MonthlyCurve!$J:$J,MATCH(A403,MonthlyCurve!$A:$A,0)),"")</f>
        <v>0.19234005892615078</v>
      </c>
      <c r="P403">
        <f t="shared" si="57"/>
        <v>496.14974517157674</v>
      </c>
      <c r="Q403">
        <f t="shared" si="58"/>
        <v>1.4884492355147301</v>
      </c>
      <c r="R403">
        <f t="shared" si="59"/>
        <v>497.63819440709148</v>
      </c>
      <c r="S403">
        <f t="shared" si="60"/>
        <v>95.429471222495764</v>
      </c>
      <c r="T403">
        <f t="shared" si="61"/>
        <v>0.28628841366748725</v>
      </c>
      <c r="U403">
        <f>SUMPRODUCT(R404:R543,O404:O543)/(M403*O403)</f>
        <v>237405.51269401688</v>
      </c>
    </row>
    <row r="404" spans="1:21" x14ac:dyDescent="0.35">
      <c r="A404">
        <v>401</v>
      </c>
      <c r="B404">
        <f>A404/Inputs!$B$6</f>
        <v>33.416666666666664</v>
      </c>
      <c r="C404">
        <f>Inputs!$B$3+B404</f>
        <v>98.416666666666657</v>
      </c>
      <c r="D404">
        <f t="shared" si="54"/>
        <v>98</v>
      </c>
      <c r="E404">
        <f>Inputs!$B$7+1+INT((A404-1)/Inputs!$B$6)</f>
        <v>2059</v>
      </c>
      <c r="F404">
        <f>Inputs!$B$16</f>
        <v>8333.3333333333339</v>
      </c>
      <c r="G404">
        <f>Inputs!$B$12</f>
        <v>25</v>
      </c>
      <c r="H404">
        <f>IFERROR(INDEX(RP2014_Qx!$B:$B,MATCH(D404,RP2014_Qx!$A:$A,0)),"")</f>
        <v>0.231991</v>
      </c>
      <c r="I404">
        <f>SUMIFS(MP2016_Long!$C:$C,MP2016_Long!$A:$A,D404,MP2016_Long!$B:$B,"&gt;=2014",MP2016_Long!$B:$B,"&lt;"&amp;E404)</f>
        <v>0.13109999999999999</v>
      </c>
      <c r="J404">
        <f t="shared" si="55"/>
        <v>0.26448871310326078</v>
      </c>
      <c r="K404">
        <f t="shared" si="56"/>
        <v>0.30718939317567345</v>
      </c>
      <c r="L404">
        <f>EXP(-K404/Inputs!$B$6)</f>
        <v>0.97472576316349124</v>
      </c>
      <c r="M404">
        <f t="shared" si="62"/>
        <v>5.803319268068842E-2</v>
      </c>
      <c r="N404">
        <f>IFERROR(INDEX(MonthlyCurve!$I:$I,MATCH(A404,MonthlyCurve!$A:$A,0)),"")</f>
        <v>4.9454709999999999E-2</v>
      </c>
      <c r="O404">
        <f>IFERROR(INDEX(MonthlyCurve!$J:$J,MATCH(A404,MonthlyCurve!$A:$A,0)),"")</f>
        <v>0.19154901326505253</v>
      </c>
      <c r="P404">
        <f t="shared" si="57"/>
        <v>483.60993900573686</v>
      </c>
      <c r="Q404">
        <f t="shared" si="58"/>
        <v>1.4508298170172105</v>
      </c>
      <c r="R404">
        <f t="shared" si="59"/>
        <v>485.06076882275408</v>
      </c>
      <c r="S404">
        <f t="shared" si="60"/>
        <v>92.635006621721132</v>
      </c>
      <c r="T404">
        <f t="shared" si="61"/>
        <v>0.27790501986516336</v>
      </c>
      <c r="U404">
        <f>SUMPRODUCT(R405:R543,O405:O543)/(M404*O404)</f>
        <v>236208.8488574138</v>
      </c>
    </row>
    <row r="405" spans="1:21" x14ac:dyDescent="0.35">
      <c r="A405">
        <v>402</v>
      </c>
      <c r="B405">
        <f>A405/Inputs!$B$6</f>
        <v>33.5</v>
      </c>
      <c r="C405">
        <f>Inputs!$B$3+B405</f>
        <v>98.5</v>
      </c>
      <c r="D405">
        <f t="shared" si="54"/>
        <v>98</v>
      </c>
      <c r="E405">
        <f>Inputs!$B$7+1+INT((A405-1)/Inputs!$B$6)</f>
        <v>2059</v>
      </c>
      <c r="F405">
        <f>Inputs!$B$16</f>
        <v>8333.3333333333339</v>
      </c>
      <c r="G405">
        <f>Inputs!$B$12</f>
        <v>25</v>
      </c>
      <c r="H405">
        <f>IFERROR(INDEX(RP2014_Qx!$B:$B,MATCH(D405,RP2014_Qx!$A:$A,0)),"")</f>
        <v>0.231991</v>
      </c>
      <c r="I405">
        <f>SUMIFS(MP2016_Long!$C:$C,MP2016_Long!$A:$A,D405,MP2016_Long!$B:$B,"&gt;=2014",MP2016_Long!$B:$B,"&lt;"&amp;E405)</f>
        <v>0.13109999999999999</v>
      </c>
      <c r="J405">
        <f t="shared" si="55"/>
        <v>0.26448871310326078</v>
      </c>
      <c r="K405">
        <f t="shared" si="56"/>
        <v>0.30718939317567345</v>
      </c>
      <c r="L405">
        <f>EXP(-K405/Inputs!$B$6)</f>
        <v>0.97472576316349124</v>
      </c>
      <c r="M405">
        <f t="shared" si="62"/>
        <v>5.6566448024497951E-2</v>
      </c>
      <c r="N405">
        <f>IFERROR(INDEX(MonthlyCurve!$I:$I,MATCH(A405,MonthlyCurve!$A:$A,0)),"")</f>
        <v>4.9454709999999999E-2</v>
      </c>
      <c r="O405">
        <f>IFERROR(INDEX(MonthlyCurve!$J:$J,MATCH(A405,MonthlyCurve!$A:$A,0)),"")</f>
        <v>0.19076122097322862</v>
      </c>
      <c r="P405">
        <f t="shared" si="57"/>
        <v>471.38706687081628</v>
      </c>
      <c r="Q405">
        <f t="shared" si="58"/>
        <v>1.4141612006124489</v>
      </c>
      <c r="R405">
        <f t="shared" si="59"/>
        <v>472.80122807142874</v>
      </c>
      <c r="S405">
        <f t="shared" si="60"/>
        <v>89.922372427265884</v>
      </c>
      <c r="T405">
        <f t="shared" si="61"/>
        <v>0.26976711728179764</v>
      </c>
      <c r="U405">
        <f>SUMPRODUCT(R406:R543,O406:O543)/(M405*O405)</f>
        <v>234976.08598166381</v>
      </c>
    </row>
    <row r="406" spans="1:21" x14ac:dyDescent="0.35">
      <c r="A406">
        <v>403</v>
      </c>
      <c r="B406">
        <f>A406/Inputs!$B$6</f>
        <v>33.583333333333336</v>
      </c>
      <c r="C406">
        <f>Inputs!$B$3+B406</f>
        <v>98.583333333333343</v>
      </c>
      <c r="D406">
        <f t="shared" si="54"/>
        <v>98</v>
      </c>
      <c r="E406">
        <f>Inputs!$B$7+1+INT((A406-1)/Inputs!$B$6)</f>
        <v>2059</v>
      </c>
      <c r="F406">
        <f>Inputs!$B$16</f>
        <v>8333.3333333333339</v>
      </c>
      <c r="G406">
        <f>Inputs!$B$12</f>
        <v>25</v>
      </c>
      <c r="H406">
        <f>IFERROR(INDEX(RP2014_Qx!$B:$B,MATCH(D406,RP2014_Qx!$A:$A,0)),"")</f>
        <v>0.231991</v>
      </c>
      <c r="I406">
        <f>SUMIFS(MP2016_Long!$C:$C,MP2016_Long!$A:$A,D406,MP2016_Long!$B:$B,"&gt;=2014",MP2016_Long!$B:$B,"&lt;"&amp;E406)</f>
        <v>0.13109999999999999</v>
      </c>
      <c r="J406">
        <f t="shared" si="55"/>
        <v>0.26448871310326078</v>
      </c>
      <c r="K406">
        <f t="shared" si="56"/>
        <v>0.30718939317567345</v>
      </c>
      <c r="L406">
        <f>EXP(-K406/Inputs!$B$6)</f>
        <v>0.97472576316349124</v>
      </c>
      <c r="M406">
        <f t="shared" si="62"/>
        <v>5.5136774220126729E-2</v>
      </c>
      <c r="N406">
        <f>IFERROR(INDEX(MonthlyCurve!$I:$I,MATCH(A406,MonthlyCurve!$A:$A,0)),"")</f>
        <v>4.9454709999999999E-2</v>
      </c>
      <c r="O406">
        <f>IFERROR(INDEX(MonthlyCurve!$J:$J,MATCH(A406,MonthlyCurve!$A:$A,0)),"")</f>
        <v>0.18997666867040008</v>
      </c>
      <c r="P406">
        <f t="shared" si="57"/>
        <v>459.47311850105609</v>
      </c>
      <c r="Q406">
        <f t="shared" si="58"/>
        <v>1.3784193555031683</v>
      </c>
      <c r="R406">
        <f t="shared" si="59"/>
        <v>460.85153785655928</v>
      </c>
      <c r="S406">
        <f t="shared" si="60"/>
        <v>87.289172396430601</v>
      </c>
      <c r="T406">
        <f t="shared" si="61"/>
        <v>0.26186751718929185</v>
      </c>
      <c r="U406">
        <f>SUMPRODUCT(R407:R543,O407:O543)/(M406*O406)</f>
        <v>233706.13508873683</v>
      </c>
    </row>
    <row r="407" spans="1:21" x14ac:dyDescent="0.35">
      <c r="A407">
        <v>404</v>
      </c>
      <c r="B407">
        <f>A407/Inputs!$B$6</f>
        <v>33.666666666666664</v>
      </c>
      <c r="C407">
        <f>Inputs!$B$3+B407</f>
        <v>98.666666666666657</v>
      </c>
      <c r="D407">
        <f t="shared" si="54"/>
        <v>98</v>
      </c>
      <c r="E407">
        <f>Inputs!$B$7+1+INT((A407-1)/Inputs!$B$6)</f>
        <v>2059</v>
      </c>
      <c r="F407">
        <f>Inputs!$B$16</f>
        <v>8333.3333333333339</v>
      </c>
      <c r="G407">
        <f>Inputs!$B$12</f>
        <v>25</v>
      </c>
      <c r="H407">
        <f>IFERROR(INDEX(RP2014_Qx!$B:$B,MATCH(D407,RP2014_Qx!$A:$A,0)),"")</f>
        <v>0.231991</v>
      </c>
      <c r="I407">
        <f>SUMIFS(MP2016_Long!$C:$C,MP2016_Long!$A:$A,D407,MP2016_Long!$B:$B,"&gt;=2014",MP2016_Long!$B:$B,"&lt;"&amp;E407)</f>
        <v>0.13109999999999999</v>
      </c>
      <c r="J407">
        <f t="shared" si="55"/>
        <v>0.26448871310326078</v>
      </c>
      <c r="K407">
        <f t="shared" si="56"/>
        <v>0.30718939317567345</v>
      </c>
      <c r="L407">
        <f>EXP(-K407/Inputs!$B$6)</f>
        <v>0.97472576316349124</v>
      </c>
      <c r="M407">
        <f t="shared" si="62"/>
        <v>5.3743234330086133E-2</v>
      </c>
      <c r="N407">
        <f>IFERROR(INDEX(MonthlyCurve!$I:$I,MATCH(A407,MonthlyCurve!$A:$A,0)),"")</f>
        <v>4.9454709999999999E-2</v>
      </c>
      <c r="O407">
        <f>IFERROR(INDEX(MonthlyCurve!$J:$J,MATCH(A407,MonthlyCurve!$A:$A,0)),"")</f>
        <v>0.18919534303131769</v>
      </c>
      <c r="P407">
        <f t="shared" si="57"/>
        <v>447.86028608405115</v>
      </c>
      <c r="Q407">
        <f t="shared" si="58"/>
        <v>1.3435808582521533</v>
      </c>
      <c r="R407">
        <f t="shared" si="59"/>
        <v>449.20386694230331</v>
      </c>
      <c r="S407">
        <f t="shared" si="60"/>
        <v>84.733080455776133</v>
      </c>
      <c r="T407">
        <f t="shared" si="61"/>
        <v>0.25419924136732835</v>
      </c>
      <c r="U407">
        <f>SUMPRODUCT(R408:R543,O408:O543)/(M407*O407)</f>
        <v>232397.87435005693</v>
      </c>
    </row>
    <row r="408" spans="1:21" x14ac:dyDescent="0.35">
      <c r="A408">
        <v>405</v>
      </c>
      <c r="B408">
        <f>A408/Inputs!$B$6</f>
        <v>33.75</v>
      </c>
      <c r="C408">
        <f>Inputs!$B$3+B408</f>
        <v>98.75</v>
      </c>
      <c r="D408">
        <f t="shared" si="54"/>
        <v>98</v>
      </c>
      <c r="E408">
        <f>Inputs!$B$7+1+INT((A408-1)/Inputs!$B$6)</f>
        <v>2059</v>
      </c>
      <c r="F408">
        <f>Inputs!$B$16</f>
        <v>8333.3333333333339</v>
      </c>
      <c r="G408">
        <f>Inputs!$B$12</f>
        <v>25</v>
      </c>
      <c r="H408">
        <f>IFERROR(INDEX(RP2014_Qx!$B:$B,MATCH(D408,RP2014_Qx!$A:$A,0)),"")</f>
        <v>0.231991</v>
      </c>
      <c r="I408">
        <f>SUMIFS(MP2016_Long!$C:$C,MP2016_Long!$A:$A,D408,MP2016_Long!$B:$B,"&gt;=2014",MP2016_Long!$B:$B,"&lt;"&amp;E408)</f>
        <v>0.13109999999999999</v>
      </c>
      <c r="J408">
        <f t="shared" si="55"/>
        <v>0.26448871310326078</v>
      </c>
      <c r="K408">
        <f t="shared" si="56"/>
        <v>0.30718939317567345</v>
      </c>
      <c r="L408">
        <f>EXP(-K408/Inputs!$B$6)</f>
        <v>0.97472576316349124</v>
      </c>
      <c r="M408">
        <f t="shared" si="62"/>
        <v>5.2384915097267545E-2</v>
      </c>
      <c r="N408">
        <f>IFERROR(INDEX(MonthlyCurve!$I:$I,MATCH(A408,MonthlyCurve!$A:$A,0)),"")</f>
        <v>4.9454709999999999E-2</v>
      </c>
      <c r="O408">
        <f>IFERROR(INDEX(MonthlyCurve!$J:$J,MATCH(A408,MonthlyCurve!$A:$A,0)),"")</f>
        <v>0.18841723078553538</v>
      </c>
      <c r="P408">
        <f t="shared" si="57"/>
        <v>436.54095914389626</v>
      </c>
      <c r="Q408">
        <f t="shared" si="58"/>
        <v>1.3096228774316887</v>
      </c>
      <c r="R408">
        <f t="shared" si="59"/>
        <v>437.85058202132797</v>
      </c>
      <c r="S408">
        <f t="shared" si="60"/>
        <v>82.251838646354472</v>
      </c>
      <c r="T408">
        <f t="shared" si="61"/>
        <v>0.24675551593906339</v>
      </c>
      <c r="U408">
        <f>SUMPRODUCT(R409:R543,O409:O543)/(M408*O408)</f>
        <v>231050.14809551928</v>
      </c>
    </row>
    <row r="409" spans="1:21" x14ac:dyDescent="0.35">
      <c r="A409">
        <v>406</v>
      </c>
      <c r="B409">
        <f>A409/Inputs!$B$6</f>
        <v>33.833333333333336</v>
      </c>
      <c r="C409">
        <f>Inputs!$B$3+B409</f>
        <v>98.833333333333343</v>
      </c>
      <c r="D409">
        <f t="shared" si="54"/>
        <v>98</v>
      </c>
      <c r="E409">
        <f>Inputs!$B$7+1+INT((A409-1)/Inputs!$B$6)</f>
        <v>2059</v>
      </c>
      <c r="F409">
        <f>Inputs!$B$16</f>
        <v>8333.3333333333339</v>
      </c>
      <c r="G409">
        <f>Inputs!$B$12</f>
        <v>25</v>
      </c>
      <c r="H409">
        <f>IFERROR(INDEX(RP2014_Qx!$B:$B,MATCH(D409,RP2014_Qx!$A:$A,0)),"")</f>
        <v>0.231991</v>
      </c>
      <c r="I409">
        <f>SUMIFS(MP2016_Long!$C:$C,MP2016_Long!$A:$A,D409,MP2016_Long!$B:$B,"&gt;=2014",MP2016_Long!$B:$B,"&lt;"&amp;E409)</f>
        <v>0.13109999999999999</v>
      </c>
      <c r="J409">
        <f t="shared" si="55"/>
        <v>0.26448871310326078</v>
      </c>
      <c r="K409">
        <f t="shared" si="56"/>
        <v>0.30718939317567345</v>
      </c>
      <c r="L409">
        <f>EXP(-K409/Inputs!$B$6)</f>
        <v>0.97472576316349124</v>
      </c>
      <c r="M409">
        <f t="shared" si="62"/>
        <v>5.1060926346438801E-2</v>
      </c>
      <c r="N409">
        <f>IFERROR(INDEX(MonthlyCurve!$I:$I,MATCH(A409,MonthlyCurve!$A:$A,0)),"")</f>
        <v>4.9454709999999999E-2</v>
      </c>
      <c r="O409">
        <f>IFERROR(INDEX(MonthlyCurve!$J:$J,MATCH(A409,MonthlyCurve!$A:$A,0)),"")</f>
        <v>0.18764231871718523</v>
      </c>
      <c r="P409">
        <f t="shared" si="57"/>
        <v>425.50771955365673</v>
      </c>
      <c r="Q409">
        <f t="shared" si="58"/>
        <v>1.27652315866097</v>
      </c>
      <c r="R409">
        <f t="shared" si="59"/>
        <v>426.78424271231768</v>
      </c>
      <c r="S409">
        <f t="shared" si="60"/>
        <v>79.84325512910992</v>
      </c>
      <c r="T409">
        <f t="shared" si="61"/>
        <v>0.23952976538732973</v>
      </c>
      <c r="U409">
        <f>SUMPRODUCT(R410:R543,O410:O543)/(M409*O409)</f>
        <v>229661.76579261286</v>
      </c>
    </row>
    <row r="410" spans="1:21" x14ac:dyDescent="0.35">
      <c r="A410">
        <v>407</v>
      </c>
      <c r="B410">
        <f>A410/Inputs!$B$6</f>
        <v>33.916666666666664</v>
      </c>
      <c r="C410">
        <f>Inputs!$B$3+B410</f>
        <v>98.916666666666657</v>
      </c>
      <c r="D410">
        <f t="shared" si="54"/>
        <v>98</v>
      </c>
      <c r="E410">
        <f>Inputs!$B$7+1+INT((A410-1)/Inputs!$B$6)</f>
        <v>2059</v>
      </c>
      <c r="F410">
        <f>Inputs!$B$16</f>
        <v>8333.3333333333339</v>
      </c>
      <c r="G410">
        <f>Inputs!$B$12</f>
        <v>25</v>
      </c>
      <c r="H410">
        <f>IFERROR(INDEX(RP2014_Qx!$B:$B,MATCH(D410,RP2014_Qx!$A:$A,0)),"")</f>
        <v>0.231991</v>
      </c>
      <c r="I410">
        <f>SUMIFS(MP2016_Long!$C:$C,MP2016_Long!$A:$A,D410,MP2016_Long!$B:$B,"&gt;=2014",MP2016_Long!$B:$B,"&lt;"&amp;E410)</f>
        <v>0.13109999999999999</v>
      </c>
      <c r="J410">
        <f t="shared" si="55"/>
        <v>0.26448871310326078</v>
      </c>
      <c r="K410">
        <f t="shared" si="56"/>
        <v>0.30718939317567345</v>
      </c>
      <c r="L410">
        <f>EXP(-K410/Inputs!$B$6)</f>
        <v>0.97472576316349124</v>
      </c>
      <c r="M410">
        <f t="shared" si="62"/>
        <v>4.9770400400867373E-2</v>
      </c>
      <c r="N410">
        <f>IFERROR(INDEX(MonthlyCurve!$I:$I,MATCH(A410,MonthlyCurve!$A:$A,0)),"")</f>
        <v>4.9454709999999999E-2</v>
      </c>
      <c r="O410">
        <f>IFERROR(INDEX(MonthlyCurve!$J:$J,MATCH(A410,MonthlyCurve!$A:$A,0)),"")</f>
        <v>0.18687059366475278</v>
      </c>
      <c r="P410">
        <f t="shared" si="57"/>
        <v>414.75333667389481</v>
      </c>
      <c r="Q410">
        <f t="shared" si="58"/>
        <v>1.2442600100216843</v>
      </c>
      <c r="R410">
        <f t="shared" si="59"/>
        <v>415.99759668391647</v>
      </c>
      <c r="S410">
        <f t="shared" si="60"/>
        <v>77.505202248687809</v>
      </c>
      <c r="T410">
        <f t="shared" si="61"/>
        <v>0.23251560674606339</v>
      </c>
      <c r="U410">
        <f>SUMPRODUCT(R411:R543,O411:O543)/(M410*O410)</f>
        <v>228231.50099474785</v>
      </c>
    </row>
    <row r="411" spans="1:21" x14ac:dyDescent="0.35">
      <c r="A411">
        <v>408</v>
      </c>
      <c r="B411">
        <f>A411/Inputs!$B$6</f>
        <v>34</v>
      </c>
      <c r="C411">
        <f>Inputs!$B$3+B411</f>
        <v>99</v>
      </c>
      <c r="D411">
        <f t="shared" si="54"/>
        <v>99</v>
      </c>
      <c r="E411">
        <f>Inputs!$B$7+1+INT((A411-1)/Inputs!$B$6)</f>
        <v>2059</v>
      </c>
      <c r="F411">
        <f>Inputs!$B$16</f>
        <v>8333.3333333333339</v>
      </c>
      <c r="G411">
        <f>Inputs!$B$12</f>
        <v>25</v>
      </c>
      <c r="H411">
        <f>IFERROR(INDEX(RP2014_Qx!$B:$B,MATCH(D411,RP2014_Qx!$A:$A,0)),"")</f>
        <v>0.25112299999999999</v>
      </c>
      <c r="I411">
        <f>SUMIFS(MP2016_Long!$C:$C,MP2016_Long!$A:$A,D411,MP2016_Long!$B:$B,"&gt;=2014",MP2016_Long!$B:$B,"&lt;"&amp;E411)</f>
        <v>0.12340000000000001</v>
      </c>
      <c r="J411">
        <f t="shared" si="55"/>
        <v>0.28410470759928957</v>
      </c>
      <c r="K411">
        <f t="shared" si="56"/>
        <v>0.33422136237936584</v>
      </c>
      <c r="L411">
        <f>EXP(-K411/Inputs!$B$6)</f>
        <v>0.97253250469394958</v>
      </c>
      <c r="M411">
        <f t="shared" si="62"/>
        <v>4.8403332161476298E-2</v>
      </c>
      <c r="N411">
        <f>IFERROR(INDEX(MonthlyCurve!$I:$I,MATCH(A411,MonthlyCurve!$A:$A,0)),"")</f>
        <v>4.9454709999999999E-2</v>
      </c>
      <c r="O411">
        <f>IFERROR(INDEX(MonthlyCurve!$J:$J,MATCH(A411,MonthlyCurve!$A:$A,0)),"")</f>
        <v>0.18610204252085338</v>
      </c>
      <c r="P411">
        <f t="shared" si="57"/>
        <v>403.36110134563586</v>
      </c>
      <c r="Q411">
        <f t="shared" si="58"/>
        <v>1.2100833040369074</v>
      </c>
      <c r="R411">
        <f t="shared" si="59"/>
        <v>404.57118464967277</v>
      </c>
      <c r="S411">
        <f t="shared" si="60"/>
        <v>75.066324833883769</v>
      </c>
      <c r="T411">
        <f t="shared" si="61"/>
        <v>0.2251989745016513</v>
      </c>
      <c r="U411">
        <f>SUMPRODUCT(R412:R543,O412:O543)/(M411*O411)</f>
        <v>227288.32558148974</v>
      </c>
    </row>
    <row r="412" spans="1:21" x14ac:dyDescent="0.35">
      <c r="A412">
        <v>409</v>
      </c>
      <c r="B412">
        <f>A412/Inputs!$B$6</f>
        <v>34.083333333333336</v>
      </c>
      <c r="C412">
        <f>Inputs!$B$3+B412</f>
        <v>99.083333333333343</v>
      </c>
      <c r="D412">
        <f t="shared" si="54"/>
        <v>99</v>
      </c>
      <c r="E412">
        <f>Inputs!$B$7+1+INT((A412-1)/Inputs!$B$6)</f>
        <v>2060</v>
      </c>
      <c r="F412">
        <f>Inputs!$B$16</f>
        <v>8333.3333333333339</v>
      </c>
      <c r="G412">
        <f>Inputs!$B$12</f>
        <v>25</v>
      </c>
      <c r="H412">
        <f>IFERROR(INDEX(RP2014_Qx!$B:$B,MATCH(D412,RP2014_Qx!$A:$A,0)),"")</f>
        <v>0.25112299999999999</v>
      </c>
      <c r="I412">
        <f>SUMIFS(MP2016_Long!$C:$C,MP2016_Long!$A:$A,D412,MP2016_Long!$B:$B,"&gt;=2014",MP2016_Long!$B:$B,"&lt;"&amp;E412)</f>
        <v>0.12340000000000001</v>
      </c>
      <c r="J412">
        <f t="shared" si="55"/>
        <v>0.28410470759928957</v>
      </c>
      <c r="K412">
        <f t="shared" si="56"/>
        <v>0.33422136237936584</v>
      </c>
      <c r="L412">
        <f>EXP(-K412/Inputs!$B$6)</f>
        <v>0.97253250469394958</v>
      </c>
      <c r="M412">
        <f t="shared" si="62"/>
        <v>4.7073813862533752E-2</v>
      </c>
      <c r="N412">
        <f>IFERROR(INDEX(MonthlyCurve!$I:$I,MATCH(A412,MonthlyCurve!$A:$A,0)),"")</f>
        <v>4.9454709999999999E-2</v>
      </c>
      <c r="O412">
        <f>IFERROR(INDEX(MonthlyCurve!$J:$J,MATCH(A412,MonthlyCurve!$A:$A,0)),"")</f>
        <v>0.18533665223200996</v>
      </c>
      <c r="P412">
        <f t="shared" si="57"/>
        <v>392.28178218778129</v>
      </c>
      <c r="Q412">
        <f t="shared" si="58"/>
        <v>1.1768453465633437</v>
      </c>
      <c r="R412">
        <f t="shared" si="59"/>
        <v>393.45862753434466</v>
      </c>
      <c r="S412">
        <f t="shared" si="60"/>
        <v>72.704192242289892</v>
      </c>
      <c r="T412">
        <f t="shared" si="61"/>
        <v>0.21811257672686968</v>
      </c>
      <c r="U412">
        <f>SUMPRODUCT(R413:R543,O413:O543)/(M412*O412)</f>
        <v>226314.50674431704</v>
      </c>
    </row>
    <row r="413" spans="1:21" x14ac:dyDescent="0.35">
      <c r="A413">
        <v>410</v>
      </c>
      <c r="B413">
        <f>A413/Inputs!$B$6</f>
        <v>34.166666666666664</v>
      </c>
      <c r="C413">
        <f>Inputs!$B$3+B413</f>
        <v>99.166666666666657</v>
      </c>
      <c r="D413">
        <f t="shared" si="54"/>
        <v>99</v>
      </c>
      <c r="E413">
        <f>Inputs!$B$7+1+INT((A413-1)/Inputs!$B$6)</f>
        <v>2060</v>
      </c>
      <c r="F413">
        <f>Inputs!$B$16</f>
        <v>8333.3333333333339</v>
      </c>
      <c r="G413">
        <f>Inputs!$B$12</f>
        <v>25</v>
      </c>
      <c r="H413">
        <f>IFERROR(INDEX(RP2014_Qx!$B:$B,MATCH(D413,RP2014_Qx!$A:$A,0)),"")</f>
        <v>0.25112299999999999</v>
      </c>
      <c r="I413">
        <f>SUMIFS(MP2016_Long!$C:$C,MP2016_Long!$A:$A,D413,MP2016_Long!$B:$B,"&gt;=2014",MP2016_Long!$B:$B,"&lt;"&amp;E413)</f>
        <v>0.12340000000000001</v>
      </c>
      <c r="J413">
        <f t="shared" si="55"/>
        <v>0.28410470759928957</v>
      </c>
      <c r="K413">
        <f t="shared" si="56"/>
        <v>0.33422136237936584</v>
      </c>
      <c r="L413">
        <f>EXP(-K413/Inputs!$B$6)</f>
        <v>0.97253250469394958</v>
      </c>
      <c r="M413">
        <f t="shared" si="62"/>
        <v>4.5780814101226718E-2</v>
      </c>
      <c r="N413">
        <f>IFERROR(INDEX(MonthlyCurve!$I:$I,MATCH(A413,MonthlyCurve!$A:$A,0)),"")</f>
        <v>4.9454709999999999E-2</v>
      </c>
      <c r="O413">
        <f>IFERROR(INDEX(MonthlyCurve!$J:$J,MATCH(A413,MonthlyCurve!$A:$A,0)),"")</f>
        <v>0.1845744097984309</v>
      </c>
      <c r="P413">
        <f t="shared" si="57"/>
        <v>381.50678417688937</v>
      </c>
      <c r="Q413">
        <f t="shared" si="58"/>
        <v>1.144520352530668</v>
      </c>
      <c r="R413">
        <f t="shared" si="59"/>
        <v>382.65130452942003</v>
      </c>
      <c r="S413">
        <f t="shared" si="60"/>
        <v>70.416389523546712</v>
      </c>
      <c r="T413">
        <f t="shared" si="61"/>
        <v>0.21124916857064011</v>
      </c>
      <c r="U413">
        <f>SUMPRODUCT(R414:R543,O414:O543)/(M413*O413)</f>
        <v>225309.04888960414</v>
      </c>
    </row>
    <row r="414" spans="1:21" x14ac:dyDescent="0.35">
      <c r="A414">
        <v>411</v>
      </c>
      <c r="B414">
        <f>A414/Inputs!$B$6</f>
        <v>34.25</v>
      </c>
      <c r="C414">
        <f>Inputs!$B$3+B414</f>
        <v>99.25</v>
      </c>
      <c r="D414">
        <f t="shared" si="54"/>
        <v>99</v>
      </c>
      <c r="E414">
        <f>Inputs!$B$7+1+INT((A414-1)/Inputs!$B$6)</f>
        <v>2060</v>
      </c>
      <c r="F414">
        <f>Inputs!$B$16</f>
        <v>8333.3333333333339</v>
      </c>
      <c r="G414">
        <f>Inputs!$B$12</f>
        <v>25</v>
      </c>
      <c r="H414">
        <f>IFERROR(INDEX(RP2014_Qx!$B:$B,MATCH(D414,RP2014_Qx!$A:$A,0)),"")</f>
        <v>0.25112299999999999</v>
      </c>
      <c r="I414">
        <f>SUMIFS(MP2016_Long!$C:$C,MP2016_Long!$A:$A,D414,MP2016_Long!$B:$B,"&gt;=2014",MP2016_Long!$B:$B,"&lt;"&amp;E414)</f>
        <v>0.12340000000000001</v>
      </c>
      <c r="J414">
        <f t="shared" si="55"/>
        <v>0.28410470759928957</v>
      </c>
      <c r="K414">
        <f t="shared" si="56"/>
        <v>0.33422136237936584</v>
      </c>
      <c r="L414">
        <f>EXP(-K414/Inputs!$B$6)</f>
        <v>0.97253250469394958</v>
      </c>
      <c r="M414">
        <f t="shared" si="62"/>
        <v>4.4523329804794107E-2</v>
      </c>
      <c r="N414">
        <f>IFERROR(INDEX(MonthlyCurve!$I:$I,MATCH(A414,MonthlyCurve!$A:$A,0)),"")</f>
        <v>4.9454709999999999E-2</v>
      </c>
      <c r="O414">
        <f>IFERROR(INDEX(MonthlyCurve!$J:$J,MATCH(A414,MonthlyCurve!$A:$A,0)),"")</f>
        <v>0.18381530227378942</v>
      </c>
      <c r="P414">
        <f t="shared" si="57"/>
        <v>371.02774837328423</v>
      </c>
      <c r="Q414">
        <f t="shared" si="58"/>
        <v>1.1130832451198527</v>
      </c>
      <c r="R414">
        <f t="shared" si="59"/>
        <v>372.14083161840409</v>
      </c>
      <c r="S414">
        <f t="shared" si="60"/>
        <v>68.200577719198719</v>
      </c>
      <c r="T414">
        <f t="shared" si="61"/>
        <v>0.20460173315759617</v>
      </c>
      <c r="U414">
        <f>SUMPRODUCT(R415:R543,O415:O543)/(M414*O414)</f>
        <v>224270.92407725321</v>
      </c>
    </row>
    <row r="415" spans="1:21" x14ac:dyDescent="0.35">
      <c r="A415">
        <v>412</v>
      </c>
      <c r="B415">
        <f>A415/Inputs!$B$6</f>
        <v>34.333333333333336</v>
      </c>
      <c r="C415">
        <f>Inputs!$B$3+B415</f>
        <v>99.333333333333343</v>
      </c>
      <c r="D415">
        <f t="shared" si="54"/>
        <v>99</v>
      </c>
      <c r="E415">
        <f>Inputs!$B$7+1+INT((A415-1)/Inputs!$B$6)</f>
        <v>2060</v>
      </c>
      <c r="F415">
        <f>Inputs!$B$16</f>
        <v>8333.3333333333339</v>
      </c>
      <c r="G415">
        <f>Inputs!$B$12</f>
        <v>25</v>
      </c>
      <c r="H415">
        <f>IFERROR(INDEX(RP2014_Qx!$B:$B,MATCH(D415,RP2014_Qx!$A:$A,0)),"")</f>
        <v>0.25112299999999999</v>
      </c>
      <c r="I415">
        <f>SUMIFS(MP2016_Long!$C:$C,MP2016_Long!$A:$A,D415,MP2016_Long!$B:$B,"&gt;=2014",MP2016_Long!$B:$B,"&lt;"&amp;E415)</f>
        <v>0.12340000000000001</v>
      </c>
      <c r="J415">
        <f t="shared" si="55"/>
        <v>0.28410470759928957</v>
      </c>
      <c r="K415">
        <f t="shared" si="56"/>
        <v>0.33422136237936584</v>
      </c>
      <c r="L415">
        <f>EXP(-K415/Inputs!$B$6)</f>
        <v>0.97253250469394958</v>
      </c>
      <c r="M415">
        <f t="shared" si="62"/>
        <v>4.3300385452371193E-2</v>
      </c>
      <c r="N415">
        <f>IFERROR(INDEX(MonthlyCurve!$I:$I,MATCH(A415,MonthlyCurve!$A:$A,0)),"")</f>
        <v>4.9454709999999999E-2</v>
      </c>
      <c r="O415">
        <f>IFERROR(INDEX(MonthlyCurve!$J:$J,MATCH(A415,MonthlyCurve!$A:$A,0)),"")</f>
        <v>0.18305931676500373</v>
      </c>
      <c r="P415">
        <f t="shared" si="57"/>
        <v>360.83654543642666</v>
      </c>
      <c r="Q415">
        <f t="shared" si="58"/>
        <v>1.0825096363092799</v>
      </c>
      <c r="R415">
        <f t="shared" si="59"/>
        <v>361.91905507273594</v>
      </c>
      <c r="S415">
        <f t="shared" si="60"/>
        <v>66.054491471436492</v>
      </c>
      <c r="T415">
        <f t="shared" si="61"/>
        <v>0.19816347441430945</v>
      </c>
      <c r="U415">
        <f>SUMPRODUCT(R416:R543,O416:O543)/(M415*O415)</f>
        <v>223199.07096976874</v>
      </c>
    </row>
    <row r="416" spans="1:21" x14ac:dyDescent="0.35">
      <c r="A416">
        <v>413</v>
      </c>
      <c r="B416">
        <f>A416/Inputs!$B$6</f>
        <v>34.416666666666664</v>
      </c>
      <c r="C416">
        <f>Inputs!$B$3+B416</f>
        <v>99.416666666666657</v>
      </c>
      <c r="D416">
        <f t="shared" si="54"/>
        <v>99</v>
      </c>
      <c r="E416">
        <f>Inputs!$B$7+1+INT((A416-1)/Inputs!$B$6)</f>
        <v>2060</v>
      </c>
      <c r="F416">
        <f>Inputs!$B$16</f>
        <v>8333.3333333333339</v>
      </c>
      <c r="G416">
        <f>Inputs!$B$12</f>
        <v>25</v>
      </c>
      <c r="H416">
        <f>IFERROR(INDEX(RP2014_Qx!$B:$B,MATCH(D416,RP2014_Qx!$A:$A,0)),"")</f>
        <v>0.25112299999999999</v>
      </c>
      <c r="I416">
        <f>SUMIFS(MP2016_Long!$C:$C,MP2016_Long!$A:$A,D416,MP2016_Long!$B:$B,"&gt;=2014",MP2016_Long!$B:$B,"&lt;"&amp;E416)</f>
        <v>0.12340000000000001</v>
      </c>
      <c r="J416">
        <f t="shared" si="55"/>
        <v>0.28410470759928957</v>
      </c>
      <c r="K416">
        <f t="shared" si="56"/>
        <v>0.33422136237936584</v>
      </c>
      <c r="L416">
        <f>EXP(-K416/Inputs!$B$6)</f>
        <v>0.97253250469394958</v>
      </c>
      <c r="M416">
        <f t="shared" si="62"/>
        <v>4.2111032318208015E-2</v>
      </c>
      <c r="N416">
        <f>IFERROR(INDEX(MonthlyCurve!$I:$I,MATCH(A416,MonthlyCurve!$A:$A,0)),"")</f>
        <v>4.9454709999999999E-2</v>
      </c>
      <c r="O416">
        <f>IFERROR(INDEX(MonthlyCurve!$J:$J,MATCH(A416,MonthlyCurve!$A:$A,0)),"")</f>
        <v>0.18230644043201807</v>
      </c>
      <c r="P416">
        <f t="shared" si="57"/>
        <v>350.92526931840013</v>
      </c>
      <c r="Q416">
        <f t="shared" si="58"/>
        <v>1.0527758079552003</v>
      </c>
      <c r="R416">
        <f t="shared" si="59"/>
        <v>351.97804512635531</v>
      </c>
      <c r="S416">
        <f t="shared" si="60"/>
        <v>63.975936707084813</v>
      </c>
      <c r="T416">
        <f t="shared" si="61"/>
        <v>0.19192781012125443</v>
      </c>
      <c r="U416">
        <f>SUMPRODUCT(R417:R543,O417:O543)/(M416*O416)</f>
        <v>222092.39374718841</v>
      </c>
    </row>
    <row r="417" spans="1:21" x14ac:dyDescent="0.35">
      <c r="A417">
        <v>414</v>
      </c>
      <c r="B417">
        <f>A417/Inputs!$B$6</f>
        <v>34.5</v>
      </c>
      <c r="C417">
        <f>Inputs!$B$3+B417</f>
        <v>99.5</v>
      </c>
      <c r="D417">
        <f t="shared" si="54"/>
        <v>99</v>
      </c>
      <c r="E417">
        <f>Inputs!$B$7+1+INT((A417-1)/Inputs!$B$6)</f>
        <v>2060</v>
      </c>
      <c r="F417">
        <f>Inputs!$B$16</f>
        <v>8333.3333333333339</v>
      </c>
      <c r="G417">
        <f>Inputs!$B$12</f>
        <v>25</v>
      </c>
      <c r="H417">
        <f>IFERROR(INDEX(RP2014_Qx!$B:$B,MATCH(D417,RP2014_Qx!$A:$A,0)),"")</f>
        <v>0.25112299999999999</v>
      </c>
      <c r="I417">
        <f>SUMIFS(MP2016_Long!$C:$C,MP2016_Long!$A:$A,D417,MP2016_Long!$B:$B,"&gt;=2014",MP2016_Long!$B:$B,"&lt;"&amp;E417)</f>
        <v>0.12340000000000001</v>
      </c>
      <c r="J417">
        <f t="shared" si="55"/>
        <v>0.28410470759928957</v>
      </c>
      <c r="K417">
        <f t="shared" si="56"/>
        <v>0.33422136237936584</v>
      </c>
      <c r="L417">
        <f>EXP(-K417/Inputs!$B$6)</f>
        <v>0.97253250469394958</v>
      </c>
      <c r="M417">
        <f t="shared" si="62"/>
        <v>4.0954347735674697E-2</v>
      </c>
      <c r="N417">
        <f>IFERROR(INDEX(MonthlyCurve!$I:$I,MATCH(A417,MonthlyCurve!$A:$A,0)),"")</f>
        <v>4.9454709999999999E-2</v>
      </c>
      <c r="O417">
        <f>IFERROR(INDEX(MonthlyCurve!$J:$J,MATCH(A417,MonthlyCurve!$A:$A,0)),"")</f>
        <v>0.18155666048758437</v>
      </c>
      <c r="P417">
        <f t="shared" si="57"/>
        <v>341.28623113062253</v>
      </c>
      <c r="Q417">
        <f t="shared" si="58"/>
        <v>1.0238586933918674</v>
      </c>
      <c r="R417">
        <f t="shared" si="59"/>
        <v>342.31008982401437</v>
      </c>
      <c r="S417">
        <f t="shared" si="60"/>
        <v>61.962788394469683</v>
      </c>
      <c r="T417">
        <f t="shared" si="61"/>
        <v>0.18588836518340901</v>
      </c>
      <c r="U417">
        <f>SUMPRODUCT(R418:R543,O418:O543)/(M417*O417)</f>
        <v>220949.76098676072</v>
      </c>
    </row>
    <row r="418" spans="1:21" x14ac:dyDescent="0.35">
      <c r="A418">
        <v>415</v>
      </c>
      <c r="B418">
        <f>A418/Inputs!$B$6</f>
        <v>34.583333333333336</v>
      </c>
      <c r="C418">
        <f>Inputs!$B$3+B418</f>
        <v>99.583333333333343</v>
      </c>
      <c r="D418">
        <f t="shared" si="54"/>
        <v>99</v>
      </c>
      <c r="E418">
        <f>Inputs!$B$7+1+INT((A418-1)/Inputs!$B$6)</f>
        <v>2060</v>
      </c>
      <c r="F418">
        <f>Inputs!$B$16</f>
        <v>8333.3333333333339</v>
      </c>
      <c r="G418">
        <f>Inputs!$B$12</f>
        <v>25</v>
      </c>
      <c r="H418">
        <f>IFERROR(INDEX(RP2014_Qx!$B:$B,MATCH(D418,RP2014_Qx!$A:$A,0)),"")</f>
        <v>0.25112299999999999</v>
      </c>
      <c r="I418">
        <f>SUMIFS(MP2016_Long!$C:$C,MP2016_Long!$A:$A,D418,MP2016_Long!$B:$B,"&gt;=2014",MP2016_Long!$B:$B,"&lt;"&amp;E418)</f>
        <v>0.12340000000000001</v>
      </c>
      <c r="J418">
        <f t="shared" si="55"/>
        <v>0.28410470759928957</v>
      </c>
      <c r="K418">
        <f t="shared" si="56"/>
        <v>0.33422136237936584</v>
      </c>
      <c r="L418">
        <f>EXP(-K418/Inputs!$B$6)</f>
        <v>0.97253250469394958</v>
      </c>
      <c r="M418">
        <f t="shared" si="62"/>
        <v>3.9829434381482696E-2</v>
      </c>
      <c r="N418">
        <f>IFERROR(INDEX(MonthlyCurve!$I:$I,MATCH(A418,MonthlyCurve!$A:$A,0)),"")</f>
        <v>4.9454709999999999E-2</v>
      </c>
      <c r="O418">
        <f>IFERROR(INDEX(MonthlyCurve!$J:$J,MATCH(A418,MonthlyCurve!$A:$A,0)),"")</f>
        <v>0.18080996419704543</v>
      </c>
      <c r="P418">
        <f t="shared" si="57"/>
        <v>331.91195317902248</v>
      </c>
      <c r="Q418">
        <f t="shared" si="58"/>
        <v>0.99573585953706745</v>
      </c>
      <c r="R418">
        <f t="shared" si="59"/>
        <v>332.90768903855957</v>
      </c>
      <c r="S418">
        <f t="shared" si="60"/>
        <v>60.012988370870474</v>
      </c>
      <c r="T418">
        <f t="shared" si="61"/>
        <v>0.18003896511261142</v>
      </c>
      <c r="U418">
        <f>SUMPRODUCT(R419:R543,O419:O543)/(M418*O418)</f>
        <v>219770.00450622305</v>
      </c>
    </row>
    <row r="419" spans="1:21" x14ac:dyDescent="0.35">
      <c r="A419">
        <v>416</v>
      </c>
      <c r="B419">
        <f>A419/Inputs!$B$6</f>
        <v>34.666666666666664</v>
      </c>
      <c r="C419">
        <f>Inputs!$B$3+B419</f>
        <v>99.666666666666657</v>
      </c>
      <c r="D419">
        <f t="shared" si="54"/>
        <v>99</v>
      </c>
      <c r="E419">
        <f>Inputs!$B$7+1+INT((A419-1)/Inputs!$B$6)</f>
        <v>2060</v>
      </c>
      <c r="F419">
        <f>Inputs!$B$16</f>
        <v>8333.3333333333339</v>
      </c>
      <c r="G419">
        <f>Inputs!$B$12</f>
        <v>25</v>
      </c>
      <c r="H419">
        <f>IFERROR(INDEX(RP2014_Qx!$B:$B,MATCH(D419,RP2014_Qx!$A:$A,0)),"")</f>
        <v>0.25112299999999999</v>
      </c>
      <c r="I419">
        <f>SUMIFS(MP2016_Long!$C:$C,MP2016_Long!$A:$A,D419,MP2016_Long!$B:$B,"&gt;=2014",MP2016_Long!$B:$B,"&lt;"&amp;E419)</f>
        <v>0.12340000000000001</v>
      </c>
      <c r="J419">
        <f t="shared" si="55"/>
        <v>0.28410470759928957</v>
      </c>
      <c r="K419">
        <f t="shared" si="56"/>
        <v>0.33422136237936584</v>
      </c>
      <c r="L419">
        <f>EXP(-K419/Inputs!$B$6)</f>
        <v>0.97253250469394958</v>
      </c>
      <c r="M419">
        <f t="shared" si="62"/>
        <v>3.8735419579566679E-2</v>
      </c>
      <c r="N419">
        <f>IFERROR(INDEX(MonthlyCurve!$I:$I,MATCH(A419,MonthlyCurve!$A:$A,0)),"")</f>
        <v>4.9454709999999999E-2</v>
      </c>
      <c r="O419">
        <f>IFERROR(INDEX(MonthlyCurve!$J:$J,MATCH(A419,MonthlyCurve!$A:$A,0)),"")</f>
        <v>0.18006633887811838</v>
      </c>
      <c r="P419">
        <f t="shared" si="57"/>
        <v>322.79516316305569</v>
      </c>
      <c r="Q419">
        <f t="shared" si="58"/>
        <v>0.96838548948916703</v>
      </c>
      <c r="R419">
        <f t="shared" si="59"/>
        <v>323.76354865254484</v>
      </c>
      <c r="S419">
        <f t="shared" si="60"/>
        <v>58.124543238336301</v>
      </c>
      <c r="T419">
        <f t="shared" si="61"/>
        <v>0.17437362971500889</v>
      </c>
      <c r="U419">
        <f>SUMPRODUCT(R420:R543,O420:O543)/(M419*O419)</f>
        <v>218551.9181694985</v>
      </c>
    </row>
    <row r="420" spans="1:21" x14ac:dyDescent="0.35">
      <c r="A420">
        <v>417</v>
      </c>
      <c r="B420">
        <f>A420/Inputs!$B$6</f>
        <v>34.75</v>
      </c>
      <c r="C420">
        <f>Inputs!$B$3+B420</f>
        <v>99.75</v>
      </c>
      <c r="D420">
        <f t="shared" si="54"/>
        <v>99</v>
      </c>
      <c r="E420">
        <f>Inputs!$B$7+1+INT((A420-1)/Inputs!$B$6)</f>
        <v>2060</v>
      </c>
      <c r="F420">
        <f>Inputs!$B$16</f>
        <v>8333.3333333333339</v>
      </c>
      <c r="G420">
        <f>Inputs!$B$12</f>
        <v>25</v>
      </c>
      <c r="H420">
        <f>IFERROR(INDEX(RP2014_Qx!$B:$B,MATCH(D420,RP2014_Qx!$A:$A,0)),"")</f>
        <v>0.25112299999999999</v>
      </c>
      <c r="I420">
        <f>SUMIFS(MP2016_Long!$C:$C,MP2016_Long!$A:$A,D420,MP2016_Long!$B:$B,"&gt;=2014",MP2016_Long!$B:$B,"&lt;"&amp;E420)</f>
        <v>0.12340000000000001</v>
      </c>
      <c r="J420">
        <f t="shared" si="55"/>
        <v>0.28410470759928957</v>
      </c>
      <c r="K420">
        <f t="shared" si="56"/>
        <v>0.33422136237936584</v>
      </c>
      <c r="L420">
        <f>EXP(-K420/Inputs!$B$6)</f>
        <v>0.97253250469394958</v>
      </c>
      <c r="M420">
        <f t="shared" si="62"/>
        <v>3.7671454624087039E-2</v>
      </c>
      <c r="N420">
        <f>IFERROR(INDEX(MonthlyCurve!$I:$I,MATCH(A420,MonthlyCurve!$A:$A,0)),"")</f>
        <v>4.9454709999999999E-2</v>
      </c>
      <c r="O420">
        <f>IFERROR(INDEX(MonthlyCurve!$J:$J,MATCH(A420,MonthlyCurve!$A:$A,0)),"")</f>
        <v>0.1793257719006793</v>
      </c>
      <c r="P420">
        <f t="shared" si="57"/>
        <v>313.9287885340587</v>
      </c>
      <c r="Q420">
        <f t="shared" si="58"/>
        <v>0.94178636560217599</v>
      </c>
      <c r="R420">
        <f t="shared" si="59"/>
        <v>314.87057489966088</v>
      </c>
      <c r="S420">
        <f t="shared" si="60"/>
        <v>56.295522325715197</v>
      </c>
      <c r="T420">
        <f t="shared" si="61"/>
        <v>0.16888656697714557</v>
      </c>
      <c r="U420">
        <f>SUMPRODUCT(R421:R543,O421:O543)/(M420*O420)</f>
        <v>217294.256653591</v>
      </c>
    </row>
    <row r="421" spans="1:21" x14ac:dyDescent="0.35">
      <c r="A421">
        <v>418</v>
      </c>
      <c r="B421">
        <f>A421/Inputs!$B$6</f>
        <v>34.833333333333336</v>
      </c>
      <c r="C421">
        <f>Inputs!$B$3+B421</f>
        <v>99.833333333333343</v>
      </c>
      <c r="D421">
        <f t="shared" si="54"/>
        <v>99</v>
      </c>
      <c r="E421">
        <f>Inputs!$B$7+1+INT((A421-1)/Inputs!$B$6)</f>
        <v>2060</v>
      </c>
      <c r="F421">
        <f>Inputs!$B$16</f>
        <v>8333.3333333333339</v>
      </c>
      <c r="G421">
        <f>Inputs!$B$12</f>
        <v>25</v>
      </c>
      <c r="H421">
        <f>IFERROR(INDEX(RP2014_Qx!$B:$B,MATCH(D421,RP2014_Qx!$A:$A,0)),"")</f>
        <v>0.25112299999999999</v>
      </c>
      <c r="I421">
        <f>SUMIFS(MP2016_Long!$C:$C,MP2016_Long!$A:$A,D421,MP2016_Long!$B:$B,"&gt;=2014",MP2016_Long!$B:$B,"&lt;"&amp;E421)</f>
        <v>0.12340000000000001</v>
      </c>
      <c r="J421">
        <f t="shared" si="55"/>
        <v>0.28410470759928957</v>
      </c>
      <c r="K421">
        <f t="shared" si="56"/>
        <v>0.33422136237936584</v>
      </c>
      <c r="L421">
        <f>EXP(-K421/Inputs!$B$6)</f>
        <v>0.97253250469394958</v>
      </c>
      <c r="M421">
        <f t="shared" si="62"/>
        <v>3.6636714121027834E-2</v>
      </c>
      <c r="N421">
        <f>IFERROR(INDEX(MonthlyCurve!$I:$I,MATCH(A421,MonthlyCurve!$A:$A,0)),"")</f>
        <v>4.9454709999999999E-2</v>
      </c>
      <c r="O421">
        <f>IFERROR(INDEX(MonthlyCurve!$J:$J,MATCH(A421,MonthlyCurve!$A:$A,0)),"")</f>
        <v>0.17858825068654888</v>
      </c>
      <c r="P421">
        <f t="shared" si="57"/>
        <v>305.30595100856533</v>
      </c>
      <c r="Q421">
        <f t="shared" si="58"/>
        <v>0.91591785302569584</v>
      </c>
      <c r="R421">
        <f t="shared" si="59"/>
        <v>306.22186886159102</v>
      </c>
      <c r="S421">
        <f t="shared" si="60"/>
        <v>54.524055714812874</v>
      </c>
      <c r="T421">
        <f t="shared" si="61"/>
        <v>0.16357216714443859</v>
      </c>
      <c r="U421">
        <f>SUMPRODUCT(R422:R543,O422:O543)/(M421*O421)</f>
        <v>215995.73417541565</v>
      </c>
    </row>
    <row r="422" spans="1:21" x14ac:dyDescent="0.35">
      <c r="A422">
        <v>419</v>
      </c>
      <c r="B422">
        <f>A422/Inputs!$B$6</f>
        <v>34.916666666666664</v>
      </c>
      <c r="C422">
        <f>Inputs!$B$3+B422</f>
        <v>99.916666666666657</v>
      </c>
      <c r="D422">
        <f t="shared" si="54"/>
        <v>99</v>
      </c>
      <c r="E422">
        <f>Inputs!$B$7+1+INT((A422-1)/Inputs!$B$6)</f>
        <v>2060</v>
      </c>
      <c r="F422">
        <f>Inputs!$B$16</f>
        <v>8333.3333333333339</v>
      </c>
      <c r="G422">
        <f>Inputs!$B$12</f>
        <v>25</v>
      </c>
      <c r="H422">
        <f>IFERROR(INDEX(RP2014_Qx!$B:$B,MATCH(D422,RP2014_Qx!$A:$A,0)),"")</f>
        <v>0.25112299999999999</v>
      </c>
      <c r="I422">
        <f>SUMIFS(MP2016_Long!$C:$C,MP2016_Long!$A:$A,D422,MP2016_Long!$B:$B,"&gt;=2014",MP2016_Long!$B:$B,"&lt;"&amp;E422)</f>
        <v>0.12340000000000001</v>
      </c>
      <c r="J422">
        <f t="shared" si="55"/>
        <v>0.28410470759928957</v>
      </c>
      <c r="K422">
        <f t="shared" si="56"/>
        <v>0.33422136237936584</v>
      </c>
      <c r="L422">
        <f>EXP(-K422/Inputs!$B$6)</f>
        <v>0.97253250469394958</v>
      </c>
      <c r="M422">
        <f t="shared" si="62"/>
        <v>3.5630395347879394E-2</v>
      </c>
      <c r="N422">
        <f>IFERROR(INDEX(MonthlyCurve!$I:$I,MATCH(A422,MonthlyCurve!$A:$A,0)),"")</f>
        <v>4.9454709999999999E-2</v>
      </c>
      <c r="O422">
        <f>IFERROR(INDEX(MonthlyCurve!$J:$J,MATCH(A422,MonthlyCurve!$A:$A,0)),"")</f>
        <v>0.17785376270927855</v>
      </c>
      <c r="P422">
        <f t="shared" si="57"/>
        <v>296.91996123232832</v>
      </c>
      <c r="Q422">
        <f t="shared" si="58"/>
        <v>0.89075988369698489</v>
      </c>
      <c r="R422">
        <f t="shared" si="59"/>
        <v>297.81072111602532</v>
      </c>
      <c r="S422">
        <f t="shared" si="60"/>
        <v>52.808332328662708</v>
      </c>
      <c r="T422">
        <f t="shared" si="61"/>
        <v>0.15842499698598811</v>
      </c>
      <c r="U422">
        <f>SUMPRODUCT(R423:R543,O423:O543)/(M422*O422)</f>
        <v>214655.02317726618</v>
      </c>
    </row>
    <row r="423" spans="1:21" x14ac:dyDescent="0.35">
      <c r="A423">
        <v>420</v>
      </c>
      <c r="B423">
        <f>A423/Inputs!$B$6</f>
        <v>35</v>
      </c>
      <c r="C423">
        <f>Inputs!$B$3+B423</f>
        <v>100</v>
      </c>
      <c r="D423">
        <f t="shared" si="54"/>
        <v>100</v>
      </c>
      <c r="E423">
        <f>Inputs!$B$7+1+INT((A423-1)/Inputs!$B$6)</f>
        <v>2060</v>
      </c>
      <c r="F423">
        <f>Inputs!$B$16</f>
        <v>8333.3333333333339</v>
      </c>
      <c r="G423">
        <f>Inputs!$B$12</f>
        <v>25</v>
      </c>
      <c r="H423">
        <f>IFERROR(INDEX(RP2014_Qx!$B:$B,MATCH(D423,RP2014_Qx!$A:$A,0)),"")</f>
        <v>0.27085799999999999</v>
      </c>
      <c r="I423">
        <f>SUMIFS(MP2016_Long!$C:$C,MP2016_Long!$A:$A,D423,MP2016_Long!$B:$B,"&gt;=2014",MP2016_Long!$B:$B,"&lt;"&amp;E423)</f>
        <v>0.11550000000000001</v>
      </c>
      <c r="J423">
        <f t="shared" si="55"/>
        <v>0.30402036774151781</v>
      </c>
      <c r="K423">
        <f t="shared" si="56"/>
        <v>0.36243488307235022</v>
      </c>
      <c r="L423">
        <f>EXP(-K423/Inputs!$B$6)</f>
        <v>0.97024864340751371</v>
      </c>
      <c r="M423">
        <f t="shared" si="62"/>
        <v>3.4570342750353367E-2</v>
      </c>
      <c r="N423">
        <f>IFERROR(INDEX(MonthlyCurve!$I:$I,MATCH(A423,MonthlyCurve!$A:$A,0)),"")</f>
        <v>4.9454709999999999E-2</v>
      </c>
      <c r="O423">
        <f>IFERROR(INDEX(MonthlyCurve!$J:$J,MATCH(A423,MonthlyCurve!$A:$A,0)),"")</f>
        <v>0.17712229549393782</v>
      </c>
      <c r="P423">
        <f t="shared" si="57"/>
        <v>288.08618958627807</v>
      </c>
      <c r="Q423">
        <f t="shared" si="58"/>
        <v>0.86425856875883422</v>
      </c>
      <c r="R423">
        <f t="shared" si="59"/>
        <v>288.9504481550369</v>
      </c>
      <c r="S423">
        <f t="shared" si="60"/>
        <v>51.02648719962334</v>
      </c>
      <c r="T423">
        <f t="shared" si="61"/>
        <v>0.15307946159887001</v>
      </c>
      <c r="U423">
        <f>SUMPRODUCT(R424:R543,O424:O543)/(M423*O423)</f>
        <v>213792.44407792343</v>
      </c>
    </row>
    <row r="424" spans="1:21" x14ac:dyDescent="0.35">
      <c r="A424">
        <v>421</v>
      </c>
      <c r="B424">
        <f>A424/Inputs!$B$6</f>
        <v>35.083333333333336</v>
      </c>
      <c r="C424">
        <f>Inputs!$B$3+B424</f>
        <v>100.08333333333334</v>
      </c>
      <c r="D424">
        <f t="shared" si="54"/>
        <v>100</v>
      </c>
      <c r="E424">
        <f>Inputs!$B$7+1+INT((A424-1)/Inputs!$B$6)</f>
        <v>2061</v>
      </c>
      <c r="F424">
        <f>Inputs!$B$16</f>
        <v>8333.3333333333339</v>
      </c>
      <c r="G424">
        <f>Inputs!$B$12</f>
        <v>25</v>
      </c>
      <c r="H424">
        <f>IFERROR(INDEX(RP2014_Qx!$B:$B,MATCH(D424,RP2014_Qx!$A:$A,0)),"")</f>
        <v>0.27085799999999999</v>
      </c>
      <c r="I424">
        <f>SUMIFS(MP2016_Long!$C:$C,MP2016_Long!$A:$A,D424,MP2016_Long!$B:$B,"&gt;=2014",MP2016_Long!$B:$B,"&lt;"&amp;E424)</f>
        <v>0.11550000000000001</v>
      </c>
      <c r="J424">
        <f t="shared" si="55"/>
        <v>0.30402036774151781</v>
      </c>
      <c r="K424">
        <f t="shared" si="56"/>
        <v>0.36243488307235022</v>
      </c>
      <c r="L424">
        <f>EXP(-K424/Inputs!$B$6)</f>
        <v>0.97024864340751371</v>
      </c>
      <c r="M424">
        <f t="shared" si="62"/>
        <v>3.3541828155663131E-2</v>
      </c>
      <c r="N424">
        <f>IFERROR(INDEX(MonthlyCurve!$I:$I,MATCH(A424,MonthlyCurve!$A:$A,0)),"")</f>
        <v>4.9454709999999999E-2</v>
      </c>
      <c r="O424">
        <f>IFERROR(INDEX(MonthlyCurve!$J:$J,MATCH(A424,MonthlyCurve!$A:$A,0)),"")</f>
        <v>0.17639383661690253</v>
      </c>
      <c r="P424">
        <f t="shared" si="57"/>
        <v>279.51523463052609</v>
      </c>
      <c r="Q424">
        <f t="shared" si="58"/>
        <v>0.83854570389157823</v>
      </c>
      <c r="R424">
        <f t="shared" si="59"/>
        <v>280.35378033441765</v>
      </c>
      <c r="S424">
        <f t="shared" si="60"/>
        <v>49.304764629352192</v>
      </c>
      <c r="T424">
        <f t="shared" si="61"/>
        <v>0.14791429388805657</v>
      </c>
      <c r="U424">
        <f>SUMPRODUCT(R425:R543,O425:O543)/(M424*O424)</f>
        <v>212899.74371311784</v>
      </c>
    </row>
    <row r="425" spans="1:21" x14ac:dyDescent="0.35">
      <c r="A425">
        <v>422</v>
      </c>
      <c r="B425">
        <f>A425/Inputs!$B$6</f>
        <v>35.166666666666664</v>
      </c>
      <c r="C425">
        <f>Inputs!$B$3+B425</f>
        <v>100.16666666666666</v>
      </c>
      <c r="D425">
        <f t="shared" si="54"/>
        <v>100</v>
      </c>
      <c r="E425">
        <f>Inputs!$B$7+1+INT((A425-1)/Inputs!$B$6)</f>
        <v>2061</v>
      </c>
      <c r="F425">
        <f>Inputs!$B$16</f>
        <v>8333.3333333333339</v>
      </c>
      <c r="G425">
        <f>Inputs!$B$12</f>
        <v>25</v>
      </c>
      <c r="H425">
        <f>IFERROR(INDEX(RP2014_Qx!$B:$B,MATCH(D425,RP2014_Qx!$A:$A,0)),"")</f>
        <v>0.27085799999999999</v>
      </c>
      <c r="I425">
        <f>SUMIFS(MP2016_Long!$C:$C,MP2016_Long!$A:$A,D425,MP2016_Long!$B:$B,"&gt;=2014",MP2016_Long!$B:$B,"&lt;"&amp;E425)</f>
        <v>0.11550000000000001</v>
      </c>
      <c r="J425">
        <f t="shared" si="55"/>
        <v>0.30402036774151781</v>
      </c>
      <c r="K425">
        <f t="shared" si="56"/>
        <v>0.36243488307235022</v>
      </c>
      <c r="L425">
        <f>EXP(-K425/Inputs!$B$6)</f>
        <v>0.97024864340751371</v>
      </c>
      <c r="M425">
        <f t="shared" si="62"/>
        <v>3.2543913265440101E-2</v>
      </c>
      <c r="N425">
        <f>IFERROR(INDEX(MonthlyCurve!$I:$I,MATCH(A425,MonthlyCurve!$A:$A,0)),"")</f>
        <v>4.9454709999999999E-2</v>
      </c>
      <c r="O425">
        <f>IFERROR(INDEX(MonthlyCurve!$J:$J,MATCH(A425,MonthlyCurve!$A:$A,0)),"")</f>
        <v>0.17566837370564362</v>
      </c>
      <c r="P425">
        <f t="shared" si="57"/>
        <v>271.19927721200088</v>
      </c>
      <c r="Q425">
        <f t="shared" si="58"/>
        <v>0.81359783163600252</v>
      </c>
      <c r="R425">
        <f t="shared" si="59"/>
        <v>272.01287504363688</v>
      </c>
      <c r="S425">
        <f t="shared" si="60"/>
        <v>47.641135977978209</v>
      </c>
      <c r="T425">
        <f t="shared" si="61"/>
        <v>0.1429234079339346</v>
      </c>
      <c r="U425">
        <f>SUMPRODUCT(R426:R543,O426:O543)/(M425*O425)</f>
        <v>211975.87024814368</v>
      </c>
    </row>
    <row r="426" spans="1:21" x14ac:dyDescent="0.35">
      <c r="A426">
        <v>423</v>
      </c>
      <c r="B426">
        <f>A426/Inputs!$B$6</f>
        <v>35.25</v>
      </c>
      <c r="C426">
        <f>Inputs!$B$3+B426</f>
        <v>100.25</v>
      </c>
      <c r="D426">
        <f t="shared" si="54"/>
        <v>100</v>
      </c>
      <c r="E426">
        <f>Inputs!$B$7+1+INT((A426-1)/Inputs!$B$6)</f>
        <v>2061</v>
      </c>
      <c r="F426">
        <f>Inputs!$B$16</f>
        <v>8333.3333333333339</v>
      </c>
      <c r="G426">
        <f>Inputs!$B$12</f>
        <v>25</v>
      </c>
      <c r="H426">
        <f>IFERROR(INDEX(RP2014_Qx!$B:$B,MATCH(D426,RP2014_Qx!$A:$A,0)),"")</f>
        <v>0.27085799999999999</v>
      </c>
      <c r="I426">
        <f>SUMIFS(MP2016_Long!$C:$C,MP2016_Long!$A:$A,D426,MP2016_Long!$B:$B,"&gt;=2014",MP2016_Long!$B:$B,"&lt;"&amp;E426)</f>
        <v>0.11550000000000001</v>
      </c>
      <c r="J426">
        <f t="shared" si="55"/>
        <v>0.30402036774151781</v>
      </c>
      <c r="K426">
        <f t="shared" si="56"/>
        <v>0.36243488307235022</v>
      </c>
      <c r="L426">
        <f>EXP(-K426/Inputs!$B$6)</f>
        <v>0.97024864340751371</v>
      </c>
      <c r="M426">
        <f t="shared" si="62"/>
        <v>3.1575687696965046E-2</v>
      </c>
      <c r="N426">
        <f>IFERROR(INDEX(MonthlyCurve!$I:$I,MATCH(A426,MonthlyCurve!$A:$A,0)),"")</f>
        <v>4.9454709999999999E-2</v>
      </c>
      <c r="O426">
        <f>IFERROR(INDEX(MonthlyCurve!$J:$J,MATCH(A426,MonthlyCurve!$A:$A,0)),"")</f>
        <v>0.17494589443851705</v>
      </c>
      <c r="P426">
        <f t="shared" si="57"/>
        <v>263.13073080804207</v>
      </c>
      <c r="Q426">
        <f t="shared" si="58"/>
        <v>0.78939219242412617</v>
      </c>
      <c r="R426">
        <f t="shared" si="59"/>
        <v>263.92012300046622</v>
      </c>
      <c r="S426">
        <f t="shared" si="60"/>
        <v>46.033641055473574</v>
      </c>
      <c r="T426">
        <f t="shared" si="61"/>
        <v>0.13810092316642072</v>
      </c>
      <c r="U426">
        <f>SUMPRODUCT(R427:R543,O427:O543)/(M426*O426)</f>
        <v>211019.73511822344</v>
      </c>
    </row>
    <row r="427" spans="1:21" x14ac:dyDescent="0.35">
      <c r="A427">
        <v>424</v>
      </c>
      <c r="B427">
        <f>A427/Inputs!$B$6</f>
        <v>35.333333333333336</v>
      </c>
      <c r="C427">
        <f>Inputs!$B$3+B427</f>
        <v>100.33333333333334</v>
      </c>
      <c r="D427">
        <f t="shared" si="54"/>
        <v>100</v>
      </c>
      <c r="E427">
        <f>Inputs!$B$7+1+INT((A427-1)/Inputs!$B$6)</f>
        <v>2061</v>
      </c>
      <c r="F427">
        <f>Inputs!$B$16</f>
        <v>8333.3333333333339</v>
      </c>
      <c r="G427">
        <f>Inputs!$B$12</f>
        <v>25</v>
      </c>
      <c r="H427">
        <f>IFERROR(INDEX(RP2014_Qx!$B:$B,MATCH(D427,RP2014_Qx!$A:$A,0)),"")</f>
        <v>0.27085799999999999</v>
      </c>
      <c r="I427">
        <f>SUMIFS(MP2016_Long!$C:$C,MP2016_Long!$A:$A,D427,MP2016_Long!$B:$B,"&gt;=2014",MP2016_Long!$B:$B,"&lt;"&amp;E427)</f>
        <v>0.11550000000000001</v>
      </c>
      <c r="J427">
        <f t="shared" si="55"/>
        <v>0.30402036774151781</v>
      </c>
      <c r="K427">
        <f t="shared" si="56"/>
        <v>0.36243488307235022</v>
      </c>
      <c r="L427">
        <f>EXP(-K427/Inputs!$B$6)</f>
        <v>0.97024864340751371</v>
      </c>
      <c r="M427">
        <f t="shared" si="62"/>
        <v>3.0636268152639656E-2</v>
      </c>
      <c r="N427">
        <f>IFERROR(INDEX(MonthlyCurve!$I:$I,MATCH(A427,MonthlyCurve!$A:$A,0)),"")</f>
        <v>4.9454709999999999E-2</v>
      </c>
      <c r="O427">
        <f>IFERROR(INDEX(MonthlyCurve!$J:$J,MATCH(A427,MonthlyCurve!$A:$A,0)),"")</f>
        <v>0.17422638654455469</v>
      </c>
      <c r="P427">
        <f t="shared" si="57"/>
        <v>255.30223460533048</v>
      </c>
      <c r="Q427">
        <f t="shared" si="58"/>
        <v>0.76590670381599135</v>
      </c>
      <c r="R427">
        <f t="shared" si="59"/>
        <v>256.06814130914648</v>
      </c>
      <c r="S427">
        <f t="shared" si="60"/>
        <v>44.480385812036893</v>
      </c>
      <c r="T427">
        <f t="shared" si="61"/>
        <v>0.13344115743611068</v>
      </c>
      <c r="U427">
        <f>SUMPRODUCT(R428:R543,O428:O543)/(M427*O427)</f>
        <v>210030.21174589332</v>
      </c>
    </row>
    <row r="428" spans="1:21" x14ac:dyDescent="0.35">
      <c r="A428">
        <v>425</v>
      </c>
      <c r="B428">
        <f>A428/Inputs!$B$6</f>
        <v>35.416666666666664</v>
      </c>
      <c r="C428">
        <f>Inputs!$B$3+B428</f>
        <v>100.41666666666666</v>
      </c>
      <c r="D428">
        <f t="shared" si="54"/>
        <v>100</v>
      </c>
      <c r="E428">
        <f>Inputs!$B$7+1+INT((A428-1)/Inputs!$B$6)</f>
        <v>2061</v>
      </c>
      <c r="F428">
        <f>Inputs!$B$16</f>
        <v>8333.3333333333339</v>
      </c>
      <c r="G428">
        <f>Inputs!$B$12</f>
        <v>25</v>
      </c>
      <c r="H428">
        <f>IFERROR(INDEX(RP2014_Qx!$B:$B,MATCH(D428,RP2014_Qx!$A:$A,0)),"")</f>
        <v>0.27085799999999999</v>
      </c>
      <c r="I428">
        <f>SUMIFS(MP2016_Long!$C:$C,MP2016_Long!$A:$A,D428,MP2016_Long!$B:$B,"&gt;=2014",MP2016_Long!$B:$B,"&lt;"&amp;E428)</f>
        <v>0.11550000000000001</v>
      </c>
      <c r="J428">
        <f t="shared" si="55"/>
        <v>0.30402036774151781</v>
      </c>
      <c r="K428">
        <f t="shared" si="56"/>
        <v>0.36243488307235022</v>
      </c>
      <c r="L428">
        <f>EXP(-K428/Inputs!$B$6)</f>
        <v>0.97024864340751371</v>
      </c>
      <c r="M428">
        <f t="shared" si="62"/>
        <v>2.9724797614167443E-2</v>
      </c>
      <c r="N428">
        <f>IFERROR(INDEX(MonthlyCurve!$I:$I,MATCH(A428,MonthlyCurve!$A:$A,0)),"")</f>
        <v>4.9454709999999999E-2</v>
      </c>
      <c r="O428">
        <f>IFERROR(INDEX(MonthlyCurve!$J:$J,MATCH(A428,MonthlyCurve!$A:$A,0)),"")</f>
        <v>0.17350983780325577</v>
      </c>
      <c r="P428">
        <f t="shared" si="57"/>
        <v>247.70664678472872</v>
      </c>
      <c r="Q428">
        <f t="shared" si="58"/>
        <v>0.74311994035418605</v>
      </c>
      <c r="R428">
        <f t="shared" si="59"/>
        <v>248.4497667250829</v>
      </c>
      <c r="S428">
        <f t="shared" si="60"/>
        <v>42.979540106406645</v>
      </c>
      <c r="T428">
        <f t="shared" si="61"/>
        <v>0.12893862031921993</v>
      </c>
      <c r="U428">
        <f>SUMPRODUCT(R429:R543,O429:O543)/(M428*O428)</f>
        <v>209006.13421359987</v>
      </c>
    </row>
    <row r="429" spans="1:21" x14ac:dyDescent="0.35">
      <c r="A429">
        <v>426</v>
      </c>
      <c r="B429">
        <f>A429/Inputs!$B$6</f>
        <v>35.5</v>
      </c>
      <c r="C429">
        <f>Inputs!$B$3+B429</f>
        <v>100.5</v>
      </c>
      <c r="D429">
        <f t="shared" si="54"/>
        <v>100</v>
      </c>
      <c r="E429">
        <f>Inputs!$B$7+1+INT((A429-1)/Inputs!$B$6)</f>
        <v>2061</v>
      </c>
      <c r="F429">
        <f>Inputs!$B$16</f>
        <v>8333.3333333333339</v>
      </c>
      <c r="G429">
        <f>Inputs!$B$12</f>
        <v>25</v>
      </c>
      <c r="H429">
        <f>IFERROR(INDEX(RP2014_Qx!$B:$B,MATCH(D429,RP2014_Qx!$A:$A,0)),"")</f>
        <v>0.27085799999999999</v>
      </c>
      <c r="I429">
        <f>SUMIFS(MP2016_Long!$C:$C,MP2016_Long!$A:$A,D429,MP2016_Long!$B:$B,"&gt;=2014",MP2016_Long!$B:$B,"&lt;"&amp;E429)</f>
        <v>0.11550000000000001</v>
      </c>
      <c r="J429">
        <f t="shared" si="55"/>
        <v>0.30402036774151781</v>
      </c>
      <c r="K429">
        <f t="shared" si="56"/>
        <v>0.36243488307235022</v>
      </c>
      <c r="L429">
        <f>EXP(-K429/Inputs!$B$6)</f>
        <v>0.97024864340751371</v>
      </c>
      <c r="M429">
        <f t="shared" si="62"/>
        <v>2.8840444560708861E-2</v>
      </c>
      <c r="N429">
        <f>IFERROR(INDEX(MonthlyCurve!$I:$I,MATCH(A429,MonthlyCurve!$A:$A,0)),"")</f>
        <v>4.9454709999999999E-2</v>
      </c>
      <c r="O429">
        <f>IFERROR(INDEX(MonthlyCurve!$J:$J,MATCH(A429,MonthlyCurve!$A:$A,0)),"")</f>
        <v>0.17279623604437913</v>
      </c>
      <c r="P429">
        <f t="shared" si="57"/>
        <v>240.3370380059072</v>
      </c>
      <c r="Q429">
        <f t="shared" si="58"/>
        <v>0.72101111401772155</v>
      </c>
      <c r="R429">
        <f t="shared" si="59"/>
        <v>241.05804911992493</v>
      </c>
      <c r="S429">
        <f t="shared" si="60"/>
        <v>41.529335549475661</v>
      </c>
      <c r="T429">
        <f t="shared" si="61"/>
        <v>0.12458800664842697</v>
      </c>
      <c r="U429">
        <f>SUMPRODUCT(R430:R543,O430:O543)/(M429*O429)</f>
        <v>207946.29588994448</v>
      </c>
    </row>
    <row r="430" spans="1:21" x14ac:dyDescent="0.35">
      <c r="A430">
        <v>427</v>
      </c>
      <c r="B430">
        <f>A430/Inputs!$B$6</f>
        <v>35.583333333333336</v>
      </c>
      <c r="C430">
        <f>Inputs!$B$3+B430</f>
        <v>100.58333333333334</v>
      </c>
      <c r="D430">
        <f t="shared" si="54"/>
        <v>100</v>
      </c>
      <c r="E430">
        <f>Inputs!$B$7+1+INT((A430-1)/Inputs!$B$6)</f>
        <v>2061</v>
      </c>
      <c r="F430">
        <f>Inputs!$B$16</f>
        <v>8333.3333333333339</v>
      </c>
      <c r="G430">
        <f>Inputs!$B$12</f>
        <v>25</v>
      </c>
      <c r="H430">
        <f>IFERROR(INDEX(RP2014_Qx!$B:$B,MATCH(D430,RP2014_Qx!$A:$A,0)),"")</f>
        <v>0.27085799999999999</v>
      </c>
      <c r="I430">
        <f>SUMIFS(MP2016_Long!$C:$C,MP2016_Long!$A:$A,D430,MP2016_Long!$B:$B,"&gt;=2014",MP2016_Long!$B:$B,"&lt;"&amp;E430)</f>
        <v>0.11550000000000001</v>
      </c>
      <c r="J430">
        <f t="shared" si="55"/>
        <v>0.30402036774151781</v>
      </c>
      <c r="K430">
        <f t="shared" si="56"/>
        <v>0.36243488307235022</v>
      </c>
      <c r="L430">
        <f>EXP(-K430/Inputs!$B$6)</f>
        <v>0.97024864340751371</v>
      </c>
      <c r="M430">
        <f t="shared" si="62"/>
        <v>2.798240221029738E-2</v>
      </c>
      <c r="N430">
        <f>IFERROR(INDEX(MonthlyCurve!$I:$I,MATCH(A430,MonthlyCurve!$A:$A,0)),"")</f>
        <v>4.9454709999999999E-2</v>
      </c>
      <c r="O430">
        <f>IFERROR(INDEX(MonthlyCurve!$J:$J,MATCH(A430,MonthlyCurve!$A:$A,0)),"")</f>
        <v>0.17208556914773696</v>
      </c>
      <c r="P430">
        <f t="shared" si="57"/>
        <v>233.18668508581152</v>
      </c>
      <c r="Q430">
        <f t="shared" si="58"/>
        <v>0.69956005525743448</v>
      </c>
      <c r="R430">
        <f t="shared" si="59"/>
        <v>233.88624514106894</v>
      </c>
      <c r="S430">
        <f t="shared" si="60"/>
        <v>40.128063420665981</v>
      </c>
      <c r="T430">
        <f t="shared" si="61"/>
        <v>0.12038419026199793</v>
      </c>
      <c r="U430">
        <f>SUMPRODUCT(R431:R543,O431:O543)/(M430*O430)</f>
        <v>206849.44800795548</v>
      </c>
    </row>
    <row r="431" spans="1:21" x14ac:dyDescent="0.35">
      <c r="A431">
        <v>428</v>
      </c>
      <c r="B431">
        <f>A431/Inputs!$B$6</f>
        <v>35.666666666666664</v>
      </c>
      <c r="C431">
        <f>Inputs!$B$3+B431</f>
        <v>100.66666666666666</v>
      </c>
      <c r="D431">
        <f t="shared" si="54"/>
        <v>100</v>
      </c>
      <c r="E431">
        <f>Inputs!$B$7+1+INT((A431-1)/Inputs!$B$6)</f>
        <v>2061</v>
      </c>
      <c r="F431">
        <f>Inputs!$B$16</f>
        <v>8333.3333333333339</v>
      </c>
      <c r="G431">
        <f>Inputs!$B$12</f>
        <v>25</v>
      </c>
      <c r="H431">
        <f>IFERROR(INDEX(RP2014_Qx!$B:$B,MATCH(D431,RP2014_Qx!$A:$A,0)),"")</f>
        <v>0.27085799999999999</v>
      </c>
      <c r="I431">
        <f>SUMIFS(MP2016_Long!$C:$C,MP2016_Long!$A:$A,D431,MP2016_Long!$B:$B,"&gt;=2014",MP2016_Long!$B:$B,"&lt;"&amp;E431)</f>
        <v>0.11550000000000001</v>
      </c>
      <c r="J431">
        <f t="shared" si="55"/>
        <v>0.30402036774151781</v>
      </c>
      <c r="K431">
        <f t="shared" si="56"/>
        <v>0.36243488307235022</v>
      </c>
      <c r="L431">
        <f>EXP(-K431/Inputs!$B$6)</f>
        <v>0.97024864340751371</v>
      </c>
      <c r="M431">
        <f t="shared" si="62"/>
        <v>2.7149887783824447E-2</v>
      </c>
      <c r="N431">
        <f>IFERROR(INDEX(MonthlyCurve!$I:$I,MATCH(A431,MonthlyCurve!$A:$A,0)),"")</f>
        <v>4.9454709999999999E-2</v>
      </c>
      <c r="O431">
        <f>IFERROR(INDEX(MonthlyCurve!$J:$J,MATCH(A431,MonthlyCurve!$A:$A,0)),"")</f>
        <v>0.17137782504298854</v>
      </c>
      <c r="P431">
        <f t="shared" si="57"/>
        <v>226.24906486520374</v>
      </c>
      <c r="Q431">
        <f t="shared" si="58"/>
        <v>0.67874719459561117</v>
      </c>
      <c r="R431">
        <f t="shared" si="59"/>
        <v>226.92781205979935</v>
      </c>
      <c r="S431">
        <f t="shared" si="60"/>
        <v>38.774072654608652</v>
      </c>
      <c r="T431">
        <f t="shared" si="61"/>
        <v>0.11632221796382596</v>
      </c>
      <c r="U431">
        <f>SUMPRODUCT(R432:R543,O432:O543)/(M431*O431)</f>
        <v>205714.29819371371</v>
      </c>
    </row>
    <row r="432" spans="1:21" x14ac:dyDescent="0.35">
      <c r="A432">
        <v>429</v>
      </c>
      <c r="B432">
        <f>A432/Inputs!$B$6</f>
        <v>35.75</v>
      </c>
      <c r="C432">
        <f>Inputs!$B$3+B432</f>
        <v>100.75</v>
      </c>
      <c r="D432">
        <f t="shared" si="54"/>
        <v>100</v>
      </c>
      <c r="E432">
        <f>Inputs!$B$7+1+INT((A432-1)/Inputs!$B$6)</f>
        <v>2061</v>
      </c>
      <c r="F432">
        <f>Inputs!$B$16</f>
        <v>8333.3333333333339</v>
      </c>
      <c r="G432">
        <f>Inputs!$B$12</f>
        <v>25</v>
      </c>
      <c r="H432">
        <f>IFERROR(INDEX(RP2014_Qx!$B:$B,MATCH(D432,RP2014_Qx!$A:$A,0)),"")</f>
        <v>0.27085799999999999</v>
      </c>
      <c r="I432">
        <f>SUMIFS(MP2016_Long!$C:$C,MP2016_Long!$A:$A,D432,MP2016_Long!$B:$B,"&gt;=2014",MP2016_Long!$B:$B,"&lt;"&amp;E432)</f>
        <v>0.11550000000000001</v>
      </c>
      <c r="J432">
        <f t="shared" si="55"/>
        <v>0.30402036774151781</v>
      </c>
      <c r="K432">
        <f t="shared" si="56"/>
        <v>0.36243488307235022</v>
      </c>
      <c r="L432">
        <f>EXP(-K432/Inputs!$B$6)</f>
        <v>0.97024864340751371</v>
      </c>
      <c r="M432">
        <f t="shared" si="62"/>
        <v>2.63421417909219E-2</v>
      </c>
      <c r="N432">
        <f>IFERROR(INDEX(MonthlyCurve!$I:$I,MATCH(A432,MonthlyCurve!$A:$A,0)),"")</f>
        <v>4.9454709999999999E-2</v>
      </c>
      <c r="O432">
        <f>IFERROR(INDEX(MonthlyCurve!$J:$J,MATCH(A432,MonthlyCurve!$A:$A,0)),"")</f>
        <v>0.17067299170943545</v>
      </c>
      <c r="P432">
        <f t="shared" si="57"/>
        <v>219.51784825768252</v>
      </c>
      <c r="Q432">
        <f t="shared" si="58"/>
        <v>0.65855354477304751</v>
      </c>
      <c r="R432">
        <f t="shared" si="59"/>
        <v>220.17640180245556</v>
      </c>
      <c r="S432">
        <f t="shared" si="60"/>
        <v>37.465767895756557</v>
      </c>
      <c r="T432">
        <f t="shared" si="61"/>
        <v>0.11239730368726966</v>
      </c>
      <c r="U432">
        <f>SUMPRODUCT(R433:R543,O433:O543)/(M432*O432)</f>
        <v>204539.50894359761</v>
      </c>
    </row>
    <row r="433" spans="1:21" x14ac:dyDescent="0.35">
      <c r="A433">
        <v>430</v>
      </c>
      <c r="B433">
        <f>A433/Inputs!$B$6</f>
        <v>35.833333333333336</v>
      </c>
      <c r="C433">
        <f>Inputs!$B$3+B433</f>
        <v>100.83333333333334</v>
      </c>
      <c r="D433">
        <f t="shared" si="54"/>
        <v>100</v>
      </c>
      <c r="E433">
        <f>Inputs!$B$7+1+INT((A433-1)/Inputs!$B$6)</f>
        <v>2061</v>
      </c>
      <c r="F433">
        <f>Inputs!$B$16</f>
        <v>8333.3333333333339</v>
      </c>
      <c r="G433">
        <f>Inputs!$B$12</f>
        <v>25</v>
      </c>
      <c r="H433">
        <f>IFERROR(INDEX(RP2014_Qx!$B:$B,MATCH(D433,RP2014_Qx!$A:$A,0)),"")</f>
        <v>0.27085799999999999</v>
      </c>
      <c r="I433">
        <f>SUMIFS(MP2016_Long!$C:$C,MP2016_Long!$A:$A,D433,MP2016_Long!$B:$B,"&gt;=2014",MP2016_Long!$B:$B,"&lt;"&amp;E433)</f>
        <v>0.11550000000000001</v>
      </c>
      <c r="J433">
        <f t="shared" si="55"/>
        <v>0.30402036774151781</v>
      </c>
      <c r="K433">
        <f t="shared" si="56"/>
        <v>0.36243488307235022</v>
      </c>
      <c r="L433">
        <f>EXP(-K433/Inputs!$B$6)</f>
        <v>0.97024864340751371</v>
      </c>
      <c r="M433">
        <f t="shared" si="62"/>
        <v>2.5558427337090347E-2</v>
      </c>
      <c r="N433">
        <f>IFERROR(INDEX(MonthlyCurve!$I:$I,MATCH(A433,MonthlyCurve!$A:$A,0)),"")</f>
        <v>4.9454709999999999E-2</v>
      </c>
      <c r="O433">
        <f>IFERROR(INDEX(MonthlyCurve!$J:$J,MATCH(A433,MonthlyCurve!$A:$A,0)),"")</f>
        <v>0.16997105717581731</v>
      </c>
      <c r="P433">
        <f t="shared" si="57"/>
        <v>212.98689447575291</v>
      </c>
      <c r="Q433">
        <f t="shared" si="58"/>
        <v>0.63896068342725865</v>
      </c>
      <c r="R433">
        <f t="shared" si="59"/>
        <v>213.62585515918016</v>
      </c>
      <c r="S433">
        <f t="shared" si="60"/>
        <v>36.201607618637965</v>
      </c>
      <c r="T433">
        <f t="shared" si="61"/>
        <v>0.10860482285591389</v>
      </c>
      <c r="U433">
        <f>SUMPRODUCT(R434:R543,O434:O543)/(M433*O433)</f>
        <v>203323.69604835435</v>
      </c>
    </row>
    <row r="434" spans="1:21" x14ac:dyDescent="0.35">
      <c r="A434">
        <v>431</v>
      </c>
      <c r="B434">
        <f>A434/Inputs!$B$6</f>
        <v>35.916666666666664</v>
      </c>
      <c r="C434">
        <f>Inputs!$B$3+B434</f>
        <v>100.91666666666666</v>
      </c>
      <c r="D434">
        <f t="shared" si="54"/>
        <v>100</v>
      </c>
      <c r="E434">
        <f>Inputs!$B$7+1+INT((A434-1)/Inputs!$B$6)</f>
        <v>2061</v>
      </c>
      <c r="F434">
        <f>Inputs!$B$16</f>
        <v>8333.3333333333339</v>
      </c>
      <c r="G434">
        <f>Inputs!$B$12</f>
        <v>25</v>
      </c>
      <c r="H434">
        <f>IFERROR(INDEX(RP2014_Qx!$B:$B,MATCH(D434,RP2014_Qx!$A:$A,0)),"")</f>
        <v>0.27085799999999999</v>
      </c>
      <c r="I434">
        <f>SUMIFS(MP2016_Long!$C:$C,MP2016_Long!$A:$A,D434,MP2016_Long!$B:$B,"&gt;=2014",MP2016_Long!$B:$B,"&lt;"&amp;E434)</f>
        <v>0.11550000000000001</v>
      </c>
      <c r="J434">
        <f t="shared" si="55"/>
        <v>0.30402036774151781</v>
      </c>
      <c r="K434">
        <f t="shared" si="56"/>
        <v>0.36243488307235022</v>
      </c>
      <c r="L434">
        <f>EXP(-K434/Inputs!$B$6)</f>
        <v>0.97024864340751371</v>
      </c>
      <c r="M434">
        <f t="shared" si="62"/>
        <v>2.4798029451441422E-2</v>
      </c>
      <c r="N434">
        <f>IFERROR(INDEX(MonthlyCurve!$I:$I,MATCH(A434,MonthlyCurve!$A:$A,0)),"")</f>
        <v>4.9454709999999999E-2</v>
      </c>
      <c r="O434">
        <f>IFERROR(INDEX(MonthlyCurve!$J:$J,MATCH(A434,MonthlyCurve!$A:$A,0)),"")</f>
        <v>0.16927200952010851</v>
      </c>
      <c r="P434">
        <f t="shared" si="57"/>
        <v>206.65024542867852</v>
      </c>
      <c r="Q434">
        <f t="shared" si="58"/>
        <v>0.61995073628603559</v>
      </c>
      <c r="R434">
        <f t="shared" si="59"/>
        <v>207.27019616496455</v>
      </c>
      <c r="S434">
        <f t="shared" si="60"/>
        <v>34.980102311536029</v>
      </c>
      <c r="T434">
        <f t="shared" si="61"/>
        <v>0.1049403069346081</v>
      </c>
      <c r="U434">
        <f>SUMPRODUCT(R435:R543,O435:O543)/(M434*O434)</f>
        <v>202065.42696213842</v>
      </c>
    </row>
    <row r="435" spans="1:21" x14ac:dyDescent="0.35">
      <c r="A435">
        <v>432</v>
      </c>
      <c r="B435">
        <f>A435/Inputs!$B$6</f>
        <v>36</v>
      </c>
      <c r="C435">
        <f>Inputs!$B$3+B435</f>
        <v>101</v>
      </c>
      <c r="D435">
        <f t="shared" si="54"/>
        <v>101</v>
      </c>
      <c r="E435">
        <f>Inputs!$B$7+1+INT((A435-1)/Inputs!$B$6)</f>
        <v>2061</v>
      </c>
      <c r="F435">
        <f>Inputs!$B$16</f>
        <v>8333.3333333333339</v>
      </c>
      <c r="G435">
        <f>Inputs!$B$12</f>
        <v>25</v>
      </c>
      <c r="H435">
        <f>IFERROR(INDEX(RP2014_Qx!$B:$B,MATCH(D435,RP2014_Qx!$A:$A,0)),"")</f>
        <v>0.29104000000000002</v>
      </c>
      <c r="I435">
        <f>SUMIFS(MP2016_Long!$C:$C,MP2016_Long!$A:$A,D435,MP2016_Long!$B:$B,"&gt;=2014",MP2016_Long!$B:$B,"&lt;"&amp;E435)</f>
        <v>0.108</v>
      </c>
      <c r="J435">
        <f t="shared" si="55"/>
        <v>0.32423245581727755</v>
      </c>
      <c r="K435">
        <f t="shared" si="56"/>
        <v>0.39190613162805044</v>
      </c>
      <c r="L435">
        <f>EXP(-K435/Inputs!$B$6)</f>
        <v>0.96786869719230417</v>
      </c>
      <c r="M435">
        <f t="shared" si="62"/>
        <v>2.4001236458102999E-2</v>
      </c>
      <c r="N435">
        <f>IFERROR(INDEX(MonthlyCurve!$I:$I,MATCH(A435,MonthlyCurve!$A:$A,0)),"")</f>
        <v>4.9454709999999999E-2</v>
      </c>
      <c r="O435">
        <f>IFERROR(INDEX(MonthlyCurve!$J:$J,MATCH(A435,MonthlyCurve!$A:$A,0)),"")</f>
        <v>0.16857583686931568</v>
      </c>
      <c r="P435">
        <f t="shared" si="57"/>
        <v>200.010303817525</v>
      </c>
      <c r="Q435">
        <f t="shared" si="58"/>
        <v>0.60003091145257492</v>
      </c>
      <c r="R435">
        <f t="shared" si="59"/>
        <v>200.61033472897756</v>
      </c>
      <c r="S435">
        <f t="shared" si="60"/>
        <v>33.716904348525361</v>
      </c>
      <c r="T435">
        <f t="shared" si="61"/>
        <v>0.10115071304557607</v>
      </c>
      <c r="U435">
        <f>SUMPRODUCT(R436:R543,O436:O543)/(M435*O435)</f>
        <v>201277.43974050612</v>
      </c>
    </row>
    <row r="436" spans="1:21" x14ac:dyDescent="0.35">
      <c r="A436">
        <v>433</v>
      </c>
      <c r="B436">
        <f>A436/Inputs!$B$6</f>
        <v>36.083333333333336</v>
      </c>
      <c r="C436">
        <f>Inputs!$B$3+B436</f>
        <v>101.08333333333334</v>
      </c>
      <c r="D436">
        <f t="shared" si="54"/>
        <v>101</v>
      </c>
      <c r="E436">
        <f>Inputs!$B$7+1+INT((A436-1)/Inputs!$B$6)</f>
        <v>2062</v>
      </c>
      <c r="F436">
        <f>Inputs!$B$16</f>
        <v>8333.3333333333339</v>
      </c>
      <c r="G436">
        <f>Inputs!$B$12</f>
        <v>25</v>
      </c>
      <c r="H436">
        <f>IFERROR(INDEX(RP2014_Qx!$B:$B,MATCH(D436,RP2014_Qx!$A:$A,0)),"")</f>
        <v>0.29104000000000002</v>
      </c>
      <c r="I436">
        <f>SUMIFS(MP2016_Long!$C:$C,MP2016_Long!$A:$A,D436,MP2016_Long!$B:$B,"&gt;=2014",MP2016_Long!$B:$B,"&lt;"&amp;E436)</f>
        <v>0.108</v>
      </c>
      <c r="J436">
        <f t="shared" si="55"/>
        <v>0.32423245581727755</v>
      </c>
      <c r="K436">
        <f t="shared" si="56"/>
        <v>0.39190613162805044</v>
      </c>
      <c r="L436">
        <f>EXP(-K436/Inputs!$B$6)</f>
        <v>0.96786869719230417</v>
      </c>
      <c r="M436">
        <f t="shared" si="62"/>
        <v>2.3230045461708582E-2</v>
      </c>
      <c r="N436">
        <f>IFERROR(INDEX(MonthlyCurve!$I:$I,MATCH(A436,MonthlyCurve!$A:$A,0)),"")</f>
        <v>4.9454709999999999E-2</v>
      </c>
      <c r="O436">
        <f>IFERROR(INDEX(MonthlyCurve!$J:$J,MATCH(A436,MonthlyCurve!$A:$A,0)),"")</f>
        <v>0.167882527399276</v>
      </c>
      <c r="P436">
        <f t="shared" si="57"/>
        <v>193.58371218090485</v>
      </c>
      <c r="Q436">
        <f t="shared" si="58"/>
        <v>0.5807511365427146</v>
      </c>
      <c r="R436">
        <f t="shared" si="59"/>
        <v>194.16446331744757</v>
      </c>
      <c r="S436">
        <f t="shared" si="60"/>
        <v>32.499322864264322</v>
      </c>
      <c r="T436">
        <f t="shared" si="61"/>
        <v>9.7497968592792958E-2</v>
      </c>
      <c r="U436">
        <f>SUMPRODUCT(R437:R543,O437:O543)/(M436*O436)</f>
        <v>200459.93071453046</v>
      </c>
    </row>
    <row r="437" spans="1:21" x14ac:dyDescent="0.35">
      <c r="A437">
        <v>434</v>
      </c>
      <c r="B437">
        <f>A437/Inputs!$B$6</f>
        <v>36.166666666666664</v>
      </c>
      <c r="C437">
        <f>Inputs!$B$3+B437</f>
        <v>101.16666666666666</v>
      </c>
      <c r="D437">
        <f t="shared" si="54"/>
        <v>101</v>
      </c>
      <c r="E437">
        <f>Inputs!$B$7+1+INT((A437-1)/Inputs!$B$6)</f>
        <v>2062</v>
      </c>
      <c r="F437">
        <f>Inputs!$B$16</f>
        <v>8333.3333333333339</v>
      </c>
      <c r="G437">
        <f>Inputs!$B$12</f>
        <v>25</v>
      </c>
      <c r="H437">
        <f>IFERROR(INDEX(RP2014_Qx!$B:$B,MATCH(D437,RP2014_Qx!$A:$A,0)),"")</f>
        <v>0.29104000000000002</v>
      </c>
      <c r="I437">
        <f>SUMIFS(MP2016_Long!$C:$C,MP2016_Long!$A:$A,D437,MP2016_Long!$B:$B,"&gt;=2014",MP2016_Long!$B:$B,"&lt;"&amp;E437)</f>
        <v>0.108</v>
      </c>
      <c r="J437">
        <f t="shared" si="55"/>
        <v>0.32423245581727755</v>
      </c>
      <c r="K437">
        <f t="shared" si="56"/>
        <v>0.39190613162805044</v>
      </c>
      <c r="L437">
        <f>EXP(-K437/Inputs!$B$6)</f>
        <v>0.96786869719230417</v>
      </c>
      <c r="M437">
        <f t="shared" si="62"/>
        <v>2.2483633836741884E-2</v>
      </c>
      <c r="N437">
        <f>IFERROR(INDEX(MonthlyCurve!$I:$I,MATCH(A437,MonthlyCurve!$A:$A,0)),"")</f>
        <v>4.9454709999999999E-2</v>
      </c>
      <c r="O437">
        <f>IFERROR(INDEX(MonthlyCurve!$J:$J,MATCH(A437,MonthlyCurve!$A:$A,0)),"")</f>
        <v>0.16719206933445657</v>
      </c>
      <c r="P437">
        <f t="shared" si="57"/>
        <v>187.36361530618237</v>
      </c>
      <c r="Q437">
        <f t="shared" si="58"/>
        <v>0.56209084591854708</v>
      </c>
      <c r="R437">
        <f t="shared" si="59"/>
        <v>187.9257061521009</v>
      </c>
      <c r="S437">
        <f t="shared" si="60"/>
        <v>31.325710561025691</v>
      </c>
      <c r="T437">
        <f t="shared" si="61"/>
        <v>9.3977131683077073E-2</v>
      </c>
      <c r="U437">
        <f>SUMPRODUCT(R438:R543,O438:O543)/(M437*O437)</f>
        <v>199611.793854941</v>
      </c>
    </row>
    <row r="438" spans="1:21" x14ac:dyDescent="0.35">
      <c r="A438">
        <v>435</v>
      </c>
      <c r="B438">
        <f>A438/Inputs!$B$6</f>
        <v>36.25</v>
      </c>
      <c r="C438">
        <f>Inputs!$B$3+B438</f>
        <v>101.25</v>
      </c>
      <c r="D438">
        <f t="shared" si="54"/>
        <v>101</v>
      </c>
      <c r="E438">
        <f>Inputs!$B$7+1+INT((A438-1)/Inputs!$B$6)</f>
        <v>2062</v>
      </c>
      <c r="F438">
        <f>Inputs!$B$16</f>
        <v>8333.3333333333339</v>
      </c>
      <c r="G438">
        <f>Inputs!$B$12</f>
        <v>25</v>
      </c>
      <c r="H438">
        <f>IFERROR(INDEX(RP2014_Qx!$B:$B,MATCH(D438,RP2014_Qx!$A:$A,0)),"")</f>
        <v>0.29104000000000002</v>
      </c>
      <c r="I438">
        <f>SUMIFS(MP2016_Long!$C:$C,MP2016_Long!$A:$A,D438,MP2016_Long!$B:$B,"&gt;=2014",MP2016_Long!$B:$B,"&lt;"&amp;E438)</f>
        <v>0.108</v>
      </c>
      <c r="J438">
        <f t="shared" si="55"/>
        <v>0.32423245581727755</v>
      </c>
      <c r="K438">
        <f t="shared" si="56"/>
        <v>0.39190613162805044</v>
      </c>
      <c r="L438">
        <f>EXP(-K438/Inputs!$B$6)</f>
        <v>0.96786869719230417</v>
      </c>
      <c r="M438">
        <f t="shared" si="62"/>
        <v>2.1761205389716175E-2</v>
      </c>
      <c r="N438">
        <f>IFERROR(INDEX(MonthlyCurve!$I:$I,MATCH(A438,MonthlyCurve!$A:$A,0)),"")</f>
        <v>4.9454709999999999E-2</v>
      </c>
      <c r="O438">
        <f>IFERROR(INDEX(MonthlyCurve!$J:$J,MATCH(A438,MonthlyCurve!$A:$A,0)),"")</f>
        <v>0.16650445094775404</v>
      </c>
      <c r="P438">
        <f t="shared" si="57"/>
        <v>181.3433782476348</v>
      </c>
      <c r="Q438">
        <f t="shared" si="58"/>
        <v>0.5440301347429044</v>
      </c>
      <c r="R438">
        <f t="shared" si="59"/>
        <v>181.88740838237771</v>
      </c>
      <c r="S438">
        <f t="shared" si="60"/>
        <v>30.194479628133315</v>
      </c>
      <c r="T438">
        <f t="shared" si="61"/>
        <v>9.0583438884399944E-2</v>
      </c>
      <c r="U438">
        <f>SUMPRODUCT(R439:R543,O439:O543)/(M438*O438)</f>
        <v>198731.88169527319</v>
      </c>
    </row>
    <row r="439" spans="1:21" x14ac:dyDescent="0.35">
      <c r="A439">
        <v>436</v>
      </c>
      <c r="B439">
        <f>A439/Inputs!$B$6</f>
        <v>36.333333333333336</v>
      </c>
      <c r="C439">
        <f>Inputs!$B$3+B439</f>
        <v>101.33333333333334</v>
      </c>
      <c r="D439">
        <f t="shared" si="54"/>
        <v>101</v>
      </c>
      <c r="E439">
        <f>Inputs!$B$7+1+INT((A439-1)/Inputs!$B$6)</f>
        <v>2062</v>
      </c>
      <c r="F439">
        <f>Inputs!$B$16</f>
        <v>8333.3333333333339</v>
      </c>
      <c r="G439">
        <f>Inputs!$B$12</f>
        <v>25</v>
      </c>
      <c r="H439">
        <f>IFERROR(INDEX(RP2014_Qx!$B:$B,MATCH(D439,RP2014_Qx!$A:$A,0)),"")</f>
        <v>0.29104000000000002</v>
      </c>
      <c r="I439">
        <f>SUMIFS(MP2016_Long!$C:$C,MP2016_Long!$A:$A,D439,MP2016_Long!$B:$B,"&gt;=2014",MP2016_Long!$B:$B,"&lt;"&amp;E439)</f>
        <v>0.108</v>
      </c>
      <c r="J439">
        <f t="shared" si="55"/>
        <v>0.32423245581727755</v>
      </c>
      <c r="K439">
        <f t="shared" si="56"/>
        <v>0.39190613162805044</v>
      </c>
      <c r="L439">
        <f>EXP(-K439/Inputs!$B$6)</f>
        <v>0.96786869719230417</v>
      </c>
      <c r="M439">
        <f t="shared" si="62"/>
        <v>2.1061989509878743E-2</v>
      </c>
      <c r="N439">
        <f>IFERROR(INDEX(MonthlyCurve!$I:$I,MATCH(A439,MonthlyCurve!$A:$A,0)),"")</f>
        <v>4.9454709999999999E-2</v>
      </c>
      <c r="O439">
        <f>IFERROR(INDEX(MonthlyCurve!$J:$J,MATCH(A439,MonthlyCurve!$A:$A,0)),"")</f>
        <v>0.16581966056029585</v>
      </c>
      <c r="P439">
        <f t="shared" si="57"/>
        <v>175.51657924898953</v>
      </c>
      <c r="Q439">
        <f t="shared" si="58"/>
        <v>0.52654973774696856</v>
      </c>
      <c r="R439">
        <f t="shared" si="59"/>
        <v>176.04312898673649</v>
      </c>
      <c r="S439">
        <f t="shared" si="60"/>
        <v>29.104099593771711</v>
      </c>
      <c r="T439">
        <f t="shared" si="61"/>
        <v>8.731229878131512E-2</v>
      </c>
      <c r="U439">
        <f>SUMPRODUCT(R440:R543,O440:O543)/(M439*O439)</f>
        <v>197819.00377943067</v>
      </c>
    </row>
    <row r="440" spans="1:21" x14ac:dyDescent="0.35">
      <c r="A440">
        <v>437</v>
      </c>
      <c r="B440">
        <f>A440/Inputs!$B$6</f>
        <v>36.416666666666664</v>
      </c>
      <c r="C440">
        <f>Inputs!$B$3+B440</f>
        <v>101.41666666666666</v>
      </c>
      <c r="D440">
        <f t="shared" si="54"/>
        <v>101</v>
      </c>
      <c r="E440">
        <f>Inputs!$B$7+1+INT((A440-1)/Inputs!$B$6)</f>
        <v>2062</v>
      </c>
      <c r="F440">
        <f>Inputs!$B$16</f>
        <v>8333.3333333333339</v>
      </c>
      <c r="G440">
        <f>Inputs!$B$12</f>
        <v>25</v>
      </c>
      <c r="H440">
        <f>IFERROR(INDEX(RP2014_Qx!$B:$B,MATCH(D440,RP2014_Qx!$A:$A,0)),"")</f>
        <v>0.29104000000000002</v>
      </c>
      <c r="I440">
        <f>SUMIFS(MP2016_Long!$C:$C,MP2016_Long!$A:$A,D440,MP2016_Long!$B:$B,"&gt;=2014",MP2016_Long!$B:$B,"&lt;"&amp;E440)</f>
        <v>0.108</v>
      </c>
      <c r="J440">
        <f t="shared" si="55"/>
        <v>0.32423245581727755</v>
      </c>
      <c r="K440">
        <f t="shared" si="56"/>
        <v>0.39190613162805044</v>
      </c>
      <c r="L440">
        <f>EXP(-K440/Inputs!$B$6)</f>
        <v>0.96786869719230417</v>
      </c>
      <c r="M440">
        <f t="shared" si="62"/>
        <v>2.0385240347204316E-2</v>
      </c>
      <c r="N440">
        <f>IFERROR(INDEX(MonthlyCurve!$I:$I,MATCH(A440,MonthlyCurve!$A:$A,0)),"")</f>
        <v>4.9454709999999999E-2</v>
      </c>
      <c r="O440">
        <f>IFERROR(INDEX(MonthlyCurve!$J:$J,MATCH(A440,MonthlyCurve!$A:$A,0)),"")</f>
        <v>0.16513768654124153</v>
      </c>
      <c r="P440">
        <f t="shared" si="57"/>
        <v>169.87700289336931</v>
      </c>
      <c r="Q440">
        <f t="shared" si="58"/>
        <v>0.50963100868010791</v>
      </c>
      <c r="R440">
        <f t="shared" si="59"/>
        <v>170.38663390204943</v>
      </c>
      <c r="S440">
        <f t="shared" si="60"/>
        <v>28.053095254370803</v>
      </c>
      <c r="T440">
        <f t="shared" si="61"/>
        <v>8.4159285763112407E-2</v>
      </c>
      <c r="U440">
        <f>SUMPRODUCT(R441:R543,O441:O543)/(M440*O440)</f>
        <v>196871.92505108623</v>
      </c>
    </row>
    <row r="441" spans="1:21" x14ac:dyDescent="0.35">
      <c r="A441">
        <v>438</v>
      </c>
      <c r="B441">
        <f>A441/Inputs!$B$6</f>
        <v>36.5</v>
      </c>
      <c r="C441">
        <f>Inputs!$B$3+B441</f>
        <v>101.5</v>
      </c>
      <c r="D441">
        <f t="shared" si="54"/>
        <v>101</v>
      </c>
      <c r="E441">
        <f>Inputs!$B$7+1+INT((A441-1)/Inputs!$B$6)</f>
        <v>2062</v>
      </c>
      <c r="F441">
        <f>Inputs!$B$16</f>
        <v>8333.3333333333339</v>
      </c>
      <c r="G441">
        <f>Inputs!$B$12</f>
        <v>25</v>
      </c>
      <c r="H441">
        <f>IFERROR(INDEX(RP2014_Qx!$B:$B,MATCH(D441,RP2014_Qx!$A:$A,0)),"")</f>
        <v>0.29104000000000002</v>
      </c>
      <c r="I441">
        <f>SUMIFS(MP2016_Long!$C:$C,MP2016_Long!$A:$A,D441,MP2016_Long!$B:$B,"&gt;=2014",MP2016_Long!$B:$B,"&lt;"&amp;E441)</f>
        <v>0.108</v>
      </c>
      <c r="J441">
        <f t="shared" si="55"/>
        <v>0.32423245581727755</v>
      </c>
      <c r="K441">
        <f t="shared" si="56"/>
        <v>0.39190613162805044</v>
      </c>
      <c r="L441">
        <f>EXP(-K441/Inputs!$B$6)</f>
        <v>0.96786869719230417</v>
      </c>
      <c r="M441">
        <f t="shared" si="62"/>
        <v>1.9730236016800635E-2</v>
      </c>
      <c r="N441">
        <f>IFERROR(INDEX(MonthlyCurve!$I:$I,MATCH(A441,MonthlyCurve!$A:$A,0)),"")</f>
        <v>4.9454709999999999E-2</v>
      </c>
      <c r="O441">
        <f>IFERROR(INDEX(MonthlyCurve!$J:$J,MATCH(A441,MonthlyCurve!$A:$A,0)),"")</f>
        <v>0.16445851730758534</v>
      </c>
      <c r="P441">
        <f t="shared" si="57"/>
        <v>164.41863347333864</v>
      </c>
      <c r="Q441">
        <f t="shared" si="58"/>
        <v>0.49325590042001588</v>
      </c>
      <c r="R441">
        <f t="shared" si="59"/>
        <v>164.91188937375867</v>
      </c>
      <c r="S441">
        <f t="shared" si="60"/>
        <v>27.040044678764595</v>
      </c>
      <c r="T441">
        <f t="shared" si="61"/>
        <v>8.112013403629377E-2</v>
      </c>
      <c r="U441">
        <f>SUMPRODUCT(R442:R543,O442:O543)/(M441*O441)</f>
        <v>195889.36418274193</v>
      </c>
    </row>
    <row r="442" spans="1:21" x14ac:dyDescent="0.35">
      <c r="A442">
        <v>439</v>
      </c>
      <c r="B442">
        <f>A442/Inputs!$B$6</f>
        <v>36.583333333333336</v>
      </c>
      <c r="C442">
        <f>Inputs!$B$3+B442</f>
        <v>101.58333333333334</v>
      </c>
      <c r="D442">
        <f t="shared" si="54"/>
        <v>101</v>
      </c>
      <c r="E442">
        <f>Inputs!$B$7+1+INT((A442-1)/Inputs!$B$6)</f>
        <v>2062</v>
      </c>
      <c r="F442">
        <f>Inputs!$B$16</f>
        <v>8333.3333333333339</v>
      </c>
      <c r="G442">
        <f>Inputs!$B$12</f>
        <v>25</v>
      </c>
      <c r="H442">
        <f>IFERROR(INDEX(RP2014_Qx!$B:$B,MATCH(D442,RP2014_Qx!$A:$A,0)),"")</f>
        <v>0.29104000000000002</v>
      </c>
      <c r="I442">
        <f>SUMIFS(MP2016_Long!$C:$C,MP2016_Long!$A:$A,D442,MP2016_Long!$B:$B,"&gt;=2014",MP2016_Long!$B:$B,"&lt;"&amp;E442)</f>
        <v>0.108</v>
      </c>
      <c r="J442">
        <f t="shared" si="55"/>
        <v>0.32423245581727755</v>
      </c>
      <c r="K442">
        <f t="shared" si="56"/>
        <v>0.39190613162805044</v>
      </c>
      <c r="L442">
        <f>EXP(-K442/Inputs!$B$6)</f>
        <v>0.96786869719230417</v>
      </c>
      <c r="M442">
        <f t="shared" si="62"/>
        <v>1.9096277828877507E-2</v>
      </c>
      <c r="N442">
        <f>IFERROR(INDEX(MonthlyCurve!$I:$I,MATCH(A442,MonthlyCurve!$A:$A,0)),"")</f>
        <v>4.9454709999999999E-2</v>
      </c>
      <c r="O442">
        <f>IFERROR(INDEX(MonthlyCurve!$J:$J,MATCH(A442,MonthlyCurve!$A:$A,0)),"")</f>
        <v>0.16378214132395952</v>
      </c>
      <c r="P442">
        <f t="shared" si="57"/>
        <v>159.13564857397924</v>
      </c>
      <c r="Q442">
        <f t="shared" si="58"/>
        <v>0.47740694572193765</v>
      </c>
      <c r="R442">
        <f t="shared" si="59"/>
        <v>159.61305551970116</v>
      </c>
      <c r="S442">
        <f t="shared" si="60"/>
        <v>26.063577284423424</v>
      </c>
      <c r="T442">
        <f t="shared" si="61"/>
        <v>7.8190731853270259E-2</v>
      </c>
      <c r="U442">
        <f>SUMPRODUCT(R443:R543,O443:O543)/(M442*O442)</f>
        <v>194869.99184218774</v>
      </c>
    </row>
    <row r="443" spans="1:21" x14ac:dyDescent="0.35">
      <c r="A443">
        <v>440</v>
      </c>
      <c r="B443">
        <f>A443/Inputs!$B$6</f>
        <v>36.666666666666664</v>
      </c>
      <c r="C443">
        <f>Inputs!$B$3+B443</f>
        <v>101.66666666666666</v>
      </c>
      <c r="D443">
        <f t="shared" si="54"/>
        <v>101</v>
      </c>
      <c r="E443">
        <f>Inputs!$B$7+1+INT((A443-1)/Inputs!$B$6)</f>
        <v>2062</v>
      </c>
      <c r="F443">
        <f>Inputs!$B$16</f>
        <v>8333.3333333333339</v>
      </c>
      <c r="G443">
        <f>Inputs!$B$12</f>
        <v>25</v>
      </c>
      <c r="H443">
        <f>IFERROR(INDEX(RP2014_Qx!$B:$B,MATCH(D443,RP2014_Qx!$A:$A,0)),"")</f>
        <v>0.29104000000000002</v>
      </c>
      <c r="I443">
        <f>SUMIFS(MP2016_Long!$C:$C,MP2016_Long!$A:$A,D443,MP2016_Long!$B:$B,"&gt;=2014",MP2016_Long!$B:$B,"&lt;"&amp;E443)</f>
        <v>0.108</v>
      </c>
      <c r="J443">
        <f t="shared" si="55"/>
        <v>0.32423245581727755</v>
      </c>
      <c r="K443">
        <f t="shared" si="56"/>
        <v>0.39190613162805044</v>
      </c>
      <c r="L443">
        <f>EXP(-K443/Inputs!$B$6)</f>
        <v>0.96786869719230417</v>
      </c>
      <c r="M443">
        <f t="shared" si="62"/>
        <v>1.8482689543457956E-2</v>
      </c>
      <c r="N443">
        <f>IFERROR(INDEX(MonthlyCurve!$I:$I,MATCH(A443,MonthlyCurve!$A:$A,0)),"")</f>
        <v>4.9454709999999999E-2</v>
      </c>
      <c r="O443">
        <f>IFERROR(INDEX(MonthlyCurve!$J:$J,MATCH(A443,MonthlyCurve!$A:$A,0)),"")</f>
        <v>0.16310854710243833</v>
      </c>
      <c r="P443">
        <f t="shared" si="57"/>
        <v>154.02241286214965</v>
      </c>
      <c r="Q443">
        <f t="shared" si="58"/>
        <v>0.46206723858644888</v>
      </c>
      <c r="R443">
        <f t="shared" si="59"/>
        <v>154.48448010073611</v>
      </c>
      <c r="S443">
        <f t="shared" si="60"/>
        <v>25.122371983157141</v>
      </c>
      <c r="T443">
        <f t="shared" si="61"/>
        <v>7.5367115949471403E-2</v>
      </c>
      <c r="U443">
        <f>SUMPRODUCT(R444:R543,O444:O543)/(M443*O443)</f>
        <v>193812.42889401349</v>
      </c>
    </row>
    <row r="444" spans="1:21" x14ac:dyDescent="0.35">
      <c r="A444">
        <v>441</v>
      </c>
      <c r="B444">
        <f>A444/Inputs!$B$6</f>
        <v>36.75</v>
      </c>
      <c r="C444">
        <f>Inputs!$B$3+B444</f>
        <v>101.75</v>
      </c>
      <c r="D444">
        <f t="shared" si="54"/>
        <v>101</v>
      </c>
      <c r="E444">
        <f>Inputs!$B$7+1+INT((A444-1)/Inputs!$B$6)</f>
        <v>2062</v>
      </c>
      <c r="F444">
        <f>Inputs!$B$16</f>
        <v>8333.3333333333339</v>
      </c>
      <c r="G444">
        <f>Inputs!$B$12</f>
        <v>25</v>
      </c>
      <c r="H444">
        <f>IFERROR(INDEX(RP2014_Qx!$B:$B,MATCH(D444,RP2014_Qx!$A:$A,0)),"")</f>
        <v>0.29104000000000002</v>
      </c>
      <c r="I444">
        <f>SUMIFS(MP2016_Long!$C:$C,MP2016_Long!$A:$A,D444,MP2016_Long!$B:$B,"&gt;=2014",MP2016_Long!$B:$B,"&lt;"&amp;E444)</f>
        <v>0.108</v>
      </c>
      <c r="J444">
        <f t="shared" si="55"/>
        <v>0.32423245581727755</v>
      </c>
      <c r="K444">
        <f t="shared" si="56"/>
        <v>0.39190613162805044</v>
      </c>
      <c r="L444">
        <f>EXP(-K444/Inputs!$B$6)</f>
        <v>0.96786869719230417</v>
      </c>
      <c r="M444">
        <f t="shared" si="62"/>
        <v>1.7888816649036476E-2</v>
      </c>
      <c r="N444">
        <f>IFERROR(INDEX(MonthlyCurve!$I:$I,MATCH(A444,MonthlyCurve!$A:$A,0)),"")</f>
        <v>4.9454709999999999E-2</v>
      </c>
      <c r="O444">
        <f>IFERROR(INDEX(MonthlyCurve!$J:$J,MATCH(A444,MonthlyCurve!$A:$A,0)),"")</f>
        <v>0.16243772320234287</v>
      </c>
      <c r="P444">
        <f t="shared" si="57"/>
        <v>149.07347207530398</v>
      </c>
      <c r="Q444">
        <f t="shared" si="58"/>
        <v>0.44722041622591191</v>
      </c>
      <c r="R444">
        <f t="shared" si="59"/>
        <v>149.5206924915299</v>
      </c>
      <c r="S444">
        <f t="shared" si="60"/>
        <v>24.215155393780417</v>
      </c>
      <c r="T444">
        <f t="shared" si="61"/>
        <v>7.2645466181341253E-2</v>
      </c>
      <c r="U444">
        <f>SUMPRODUCT(R445:R543,O445:O543)/(M444*O444)</f>
        <v>192715.24453374042</v>
      </c>
    </row>
    <row r="445" spans="1:21" x14ac:dyDescent="0.35">
      <c r="A445">
        <v>442</v>
      </c>
      <c r="B445">
        <f>A445/Inputs!$B$6</f>
        <v>36.833333333333336</v>
      </c>
      <c r="C445">
        <f>Inputs!$B$3+B445</f>
        <v>101.83333333333334</v>
      </c>
      <c r="D445">
        <f t="shared" si="54"/>
        <v>101</v>
      </c>
      <c r="E445">
        <f>Inputs!$B$7+1+INT((A445-1)/Inputs!$B$6)</f>
        <v>2062</v>
      </c>
      <c r="F445">
        <f>Inputs!$B$16</f>
        <v>8333.3333333333339</v>
      </c>
      <c r="G445">
        <f>Inputs!$B$12</f>
        <v>25</v>
      </c>
      <c r="H445">
        <f>IFERROR(INDEX(RP2014_Qx!$B:$B,MATCH(D445,RP2014_Qx!$A:$A,0)),"")</f>
        <v>0.29104000000000002</v>
      </c>
      <c r="I445">
        <f>SUMIFS(MP2016_Long!$C:$C,MP2016_Long!$A:$A,D445,MP2016_Long!$B:$B,"&gt;=2014",MP2016_Long!$B:$B,"&lt;"&amp;E445)</f>
        <v>0.108</v>
      </c>
      <c r="J445">
        <f t="shared" si="55"/>
        <v>0.32423245581727755</v>
      </c>
      <c r="K445">
        <f t="shared" si="56"/>
        <v>0.39190613162805044</v>
      </c>
      <c r="L445">
        <f>EXP(-K445/Inputs!$B$6)</f>
        <v>0.96786869719230417</v>
      </c>
      <c r="M445">
        <f t="shared" si="62"/>
        <v>1.7314025664414933E-2</v>
      </c>
      <c r="N445">
        <f>IFERROR(INDEX(MonthlyCurve!$I:$I,MATCH(A445,MonthlyCurve!$A:$A,0)),"")</f>
        <v>4.9454709999999999E-2</v>
      </c>
      <c r="O445">
        <f>IFERROR(INDEX(MonthlyCurve!$J:$J,MATCH(A445,MonthlyCurve!$A:$A,0)),"")</f>
        <v>0.16176965823004694</v>
      </c>
      <c r="P445">
        <f t="shared" si="57"/>
        <v>144.28354720345777</v>
      </c>
      <c r="Q445">
        <f t="shared" si="58"/>
        <v>0.43285064161037334</v>
      </c>
      <c r="R445">
        <f t="shared" si="59"/>
        <v>144.71639784506814</v>
      </c>
      <c r="S445">
        <f t="shared" si="60"/>
        <v>23.340700119322207</v>
      </c>
      <c r="T445">
        <f t="shared" si="61"/>
        <v>7.0022100357966632E-2</v>
      </c>
      <c r="U445">
        <f>SUMPRODUCT(R446:R543,O446:O543)/(M445*O445)</f>
        <v>191576.95435204872</v>
      </c>
    </row>
    <row r="446" spans="1:21" x14ac:dyDescent="0.35">
      <c r="A446">
        <v>443</v>
      </c>
      <c r="B446">
        <f>A446/Inputs!$B$6</f>
        <v>36.916666666666664</v>
      </c>
      <c r="C446">
        <f>Inputs!$B$3+B446</f>
        <v>101.91666666666666</v>
      </c>
      <c r="D446">
        <f t="shared" si="54"/>
        <v>101</v>
      </c>
      <c r="E446">
        <f>Inputs!$B$7+1+INT((A446-1)/Inputs!$B$6)</f>
        <v>2062</v>
      </c>
      <c r="F446">
        <f>Inputs!$B$16</f>
        <v>8333.3333333333339</v>
      </c>
      <c r="G446">
        <f>Inputs!$B$12</f>
        <v>25</v>
      </c>
      <c r="H446">
        <f>IFERROR(INDEX(RP2014_Qx!$B:$B,MATCH(D446,RP2014_Qx!$A:$A,0)),"")</f>
        <v>0.29104000000000002</v>
      </c>
      <c r="I446">
        <f>SUMIFS(MP2016_Long!$C:$C,MP2016_Long!$A:$A,D446,MP2016_Long!$B:$B,"&gt;=2014",MP2016_Long!$B:$B,"&lt;"&amp;E446)</f>
        <v>0.108</v>
      </c>
      <c r="J446">
        <f t="shared" si="55"/>
        <v>0.32423245581727755</v>
      </c>
      <c r="K446">
        <f t="shared" si="56"/>
        <v>0.39190613162805044</v>
      </c>
      <c r="L446">
        <f>EXP(-K446/Inputs!$B$6)</f>
        <v>0.96786869719230417</v>
      </c>
      <c r="M446">
        <f t="shared" si="62"/>
        <v>1.67577034629714E-2</v>
      </c>
      <c r="N446">
        <f>IFERROR(INDEX(MonthlyCurve!$I:$I,MATCH(A446,MonthlyCurve!$A:$A,0)),"")</f>
        <v>4.9454709999999999E-2</v>
      </c>
      <c r="O446">
        <f>IFERROR(INDEX(MonthlyCurve!$J:$J,MATCH(A446,MonthlyCurve!$A:$A,0)),"")</f>
        <v>0.16110434083878339</v>
      </c>
      <c r="P446">
        <f t="shared" si="57"/>
        <v>139.647528858095</v>
      </c>
      <c r="Q446">
        <f t="shared" si="58"/>
        <v>0.41894258657428501</v>
      </c>
      <c r="R446">
        <f t="shared" si="59"/>
        <v>140.06647144466928</v>
      </c>
      <c r="S446">
        <f t="shared" si="60"/>
        <v>22.497823086448378</v>
      </c>
      <c r="T446">
        <f t="shared" si="61"/>
        <v>6.7493469259345129E-2</v>
      </c>
      <c r="U446">
        <f>SUMPRODUCT(R447:R543,O447:O543)/(M446*O446)</f>
        <v>190396.01832648093</v>
      </c>
    </row>
    <row r="447" spans="1:21" x14ac:dyDescent="0.35">
      <c r="A447">
        <v>444</v>
      </c>
      <c r="B447">
        <f>A447/Inputs!$B$6</f>
        <v>37</v>
      </c>
      <c r="C447">
        <f>Inputs!$B$3+B447</f>
        <v>102</v>
      </c>
      <c r="D447">
        <f t="shared" si="54"/>
        <v>102</v>
      </c>
      <c r="E447">
        <f>Inputs!$B$7+1+INT((A447-1)/Inputs!$B$6)</f>
        <v>2062</v>
      </c>
      <c r="F447">
        <f>Inputs!$B$16</f>
        <v>8333.3333333333339</v>
      </c>
      <c r="G447">
        <f>Inputs!$B$12</f>
        <v>25</v>
      </c>
      <c r="H447">
        <f>IFERROR(INDEX(RP2014_Qx!$B:$B,MATCH(D447,RP2014_Qx!$A:$A,0)),"")</f>
        <v>0.311444</v>
      </c>
      <c r="I447">
        <f>SUMIFS(MP2016_Long!$C:$C,MP2016_Long!$A:$A,D447,MP2016_Long!$B:$B,"&gt;=2014",MP2016_Long!$B:$B,"&lt;"&amp;E447)</f>
        <v>0.10029999999999999</v>
      </c>
      <c r="J447">
        <f t="shared" si="55"/>
        <v>0.34430212655507209</v>
      </c>
      <c r="K447">
        <f t="shared" si="56"/>
        <v>0.42205515490079037</v>
      </c>
      <c r="L447">
        <f>EXP(-K447/Inputs!$B$6)</f>
        <v>0.96544005802588218</v>
      </c>
      <c r="M447">
        <f t="shared" si="62"/>
        <v>1.6178558203671634E-2</v>
      </c>
      <c r="N447">
        <f>IFERROR(INDEX(MonthlyCurve!$I:$I,MATCH(A447,MonthlyCurve!$A:$A,0)),"")</f>
        <v>4.9454709999999999E-2</v>
      </c>
      <c r="O447">
        <f>IFERROR(INDEX(MonthlyCurve!$J:$J,MATCH(A447,MonthlyCurve!$A:$A,0)),"")</f>
        <v>0.16044175972845132</v>
      </c>
      <c r="P447">
        <f t="shared" si="57"/>
        <v>134.82131836393029</v>
      </c>
      <c r="Q447">
        <f t="shared" si="58"/>
        <v>0.40446395509179084</v>
      </c>
      <c r="R447">
        <f t="shared" si="59"/>
        <v>135.22578231902207</v>
      </c>
      <c r="S447">
        <f t="shared" si="60"/>
        <v>21.630969567218745</v>
      </c>
      <c r="T447">
        <f t="shared" si="61"/>
        <v>6.4892908701656232E-2</v>
      </c>
      <c r="U447">
        <f>SUMPRODUCT(R448:R543,O448:O543)/(M447*O447)</f>
        <v>189667.73865397583</v>
      </c>
    </row>
    <row r="448" spans="1:21" x14ac:dyDescent="0.35">
      <c r="A448">
        <v>445</v>
      </c>
      <c r="B448">
        <f>A448/Inputs!$B$6</f>
        <v>37.083333333333336</v>
      </c>
      <c r="C448">
        <f>Inputs!$B$3+B448</f>
        <v>102.08333333333334</v>
      </c>
      <c r="D448">
        <f t="shared" si="54"/>
        <v>102</v>
      </c>
      <c r="E448">
        <f>Inputs!$B$7+1+INT((A448-1)/Inputs!$B$6)</f>
        <v>2063</v>
      </c>
      <c r="F448">
        <f>Inputs!$B$16</f>
        <v>8333.3333333333339</v>
      </c>
      <c r="G448">
        <f>Inputs!$B$12</f>
        <v>25</v>
      </c>
      <c r="H448">
        <f>IFERROR(INDEX(RP2014_Qx!$B:$B,MATCH(D448,RP2014_Qx!$A:$A,0)),"")</f>
        <v>0.311444</v>
      </c>
      <c r="I448">
        <f>SUMIFS(MP2016_Long!$C:$C,MP2016_Long!$A:$A,D448,MP2016_Long!$B:$B,"&gt;=2014",MP2016_Long!$B:$B,"&lt;"&amp;E448)</f>
        <v>0.10029999999999999</v>
      </c>
      <c r="J448">
        <f t="shared" si="55"/>
        <v>0.34430212655507209</v>
      </c>
      <c r="K448">
        <f t="shared" si="56"/>
        <v>0.42205515490079037</v>
      </c>
      <c r="L448">
        <f>EXP(-K448/Inputs!$B$6)</f>
        <v>0.96544005802588218</v>
      </c>
      <c r="M448">
        <f t="shared" si="62"/>
        <v>1.5619428170927855E-2</v>
      </c>
      <c r="N448">
        <f>IFERROR(INDEX(MonthlyCurve!$I:$I,MATCH(A448,MonthlyCurve!$A:$A,0)),"")</f>
        <v>4.9454709999999999E-2</v>
      </c>
      <c r="O448">
        <f>IFERROR(INDEX(MonthlyCurve!$J:$J,MATCH(A448,MonthlyCurve!$A:$A,0)),"")</f>
        <v>0.15978190364542444</v>
      </c>
      <c r="P448">
        <f t="shared" si="57"/>
        <v>130.16190142439879</v>
      </c>
      <c r="Q448">
        <f t="shared" si="58"/>
        <v>0.39048570427319634</v>
      </c>
      <c r="R448">
        <f t="shared" si="59"/>
        <v>130.552387128672</v>
      </c>
      <c r="S448">
        <f t="shared" si="60"/>
        <v>20.797516391698522</v>
      </c>
      <c r="T448">
        <f t="shared" si="61"/>
        <v>6.2392549175095562E-2</v>
      </c>
      <c r="U448">
        <f>SUMPRODUCT(R449:R543,O449:O543)/(M448*O448)</f>
        <v>188910.27342900925</v>
      </c>
    </row>
    <row r="449" spans="1:21" x14ac:dyDescent="0.35">
      <c r="A449">
        <v>446</v>
      </c>
      <c r="B449">
        <f>A449/Inputs!$B$6</f>
        <v>37.166666666666664</v>
      </c>
      <c r="C449">
        <f>Inputs!$B$3+B449</f>
        <v>102.16666666666666</v>
      </c>
      <c r="D449">
        <f t="shared" si="54"/>
        <v>102</v>
      </c>
      <c r="E449">
        <f>Inputs!$B$7+1+INT((A449-1)/Inputs!$B$6)</f>
        <v>2063</v>
      </c>
      <c r="F449">
        <f>Inputs!$B$16</f>
        <v>8333.3333333333339</v>
      </c>
      <c r="G449">
        <f>Inputs!$B$12</f>
        <v>25</v>
      </c>
      <c r="H449">
        <f>IFERROR(INDEX(RP2014_Qx!$B:$B,MATCH(D449,RP2014_Qx!$A:$A,0)),"")</f>
        <v>0.311444</v>
      </c>
      <c r="I449">
        <f>SUMIFS(MP2016_Long!$C:$C,MP2016_Long!$A:$A,D449,MP2016_Long!$B:$B,"&gt;=2014",MP2016_Long!$B:$B,"&lt;"&amp;E449)</f>
        <v>0.10029999999999999</v>
      </c>
      <c r="J449">
        <f t="shared" si="55"/>
        <v>0.34430212655507209</v>
      </c>
      <c r="K449">
        <f t="shared" si="56"/>
        <v>0.42205515490079037</v>
      </c>
      <c r="L449">
        <f>EXP(-K449/Inputs!$B$6)</f>
        <v>0.96544005802588218</v>
      </c>
      <c r="M449">
        <f t="shared" si="62"/>
        <v>1.5079621639671687E-2</v>
      </c>
      <c r="N449">
        <f>IFERROR(INDEX(MonthlyCurve!$I:$I,MATCH(A449,MonthlyCurve!$A:$A,0)),"")</f>
        <v>4.9454709999999999E-2</v>
      </c>
      <c r="O449">
        <f>IFERROR(INDEX(MonthlyCurve!$J:$J,MATCH(A449,MonthlyCurve!$A:$A,0)),"")</f>
        <v>0.15912476138235976</v>
      </c>
      <c r="P449">
        <f t="shared" si="57"/>
        <v>125.66351366393073</v>
      </c>
      <c r="Q449">
        <f t="shared" si="58"/>
        <v>0.37699054099179219</v>
      </c>
      <c r="R449">
        <f t="shared" si="59"/>
        <v>126.04050420492253</v>
      </c>
      <c r="S449">
        <f t="shared" si="60"/>
        <v>19.996176626241883</v>
      </c>
      <c r="T449">
        <f t="shared" si="61"/>
        <v>5.9988529878725647E-2</v>
      </c>
      <c r="U449">
        <f>SUMPRODUCT(R450:R543,O450:O543)/(M449*O449)</f>
        <v>188122.45305080191</v>
      </c>
    </row>
    <row r="450" spans="1:21" x14ac:dyDescent="0.35">
      <c r="A450">
        <v>447</v>
      </c>
      <c r="B450">
        <f>A450/Inputs!$B$6</f>
        <v>37.25</v>
      </c>
      <c r="C450">
        <f>Inputs!$B$3+B450</f>
        <v>102.25</v>
      </c>
      <c r="D450">
        <f t="shared" si="54"/>
        <v>102</v>
      </c>
      <c r="E450">
        <f>Inputs!$B$7+1+INT((A450-1)/Inputs!$B$6)</f>
        <v>2063</v>
      </c>
      <c r="F450">
        <f>Inputs!$B$16</f>
        <v>8333.3333333333339</v>
      </c>
      <c r="G450">
        <f>Inputs!$B$12</f>
        <v>25</v>
      </c>
      <c r="H450">
        <f>IFERROR(INDEX(RP2014_Qx!$B:$B,MATCH(D450,RP2014_Qx!$A:$A,0)),"")</f>
        <v>0.311444</v>
      </c>
      <c r="I450">
        <f>SUMIFS(MP2016_Long!$C:$C,MP2016_Long!$A:$A,D450,MP2016_Long!$B:$B,"&gt;=2014",MP2016_Long!$B:$B,"&lt;"&amp;E450)</f>
        <v>0.10029999999999999</v>
      </c>
      <c r="J450">
        <f t="shared" si="55"/>
        <v>0.34430212655507209</v>
      </c>
      <c r="K450">
        <f t="shared" si="56"/>
        <v>0.42205515490079037</v>
      </c>
      <c r="L450">
        <f>EXP(-K450/Inputs!$B$6)</f>
        <v>0.96544005802588218</v>
      </c>
      <c r="M450">
        <f t="shared" si="62"/>
        <v>1.4558470790812982E-2</v>
      </c>
      <c r="N450">
        <f>IFERROR(INDEX(MonthlyCurve!$I:$I,MATCH(A450,MonthlyCurve!$A:$A,0)),"")</f>
        <v>4.9454709999999999E-2</v>
      </c>
      <c r="O450">
        <f>IFERROR(INDEX(MonthlyCurve!$J:$J,MATCH(A450,MonthlyCurve!$A:$A,0)),"")</f>
        <v>0.15847032177800696</v>
      </c>
      <c r="P450">
        <f t="shared" si="57"/>
        <v>121.32058992344152</v>
      </c>
      <c r="Q450">
        <f t="shared" si="58"/>
        <v>0.36396176977032452</v>
      </c>
      <c r="R450">
        <f t="shared" si="59"/>
        <v>121.68455169321184</v>
      </c>
      <c r="S450">
        <f t="shared" si="60"/>
        <v>19.225712923465405</v>
      </c>
      <c r="T450">
        <f t="shared" si="61"/>
        <v>5.7677138770396215E-2</v>
      </c>
      <c r="U450">
        <f>SUMPRODUCT(R451:R543,O451:O543)/(M450*O450)</f>
        <v>187303.06104723376</v>
      </c>
    </row>
    <row r="451" spans="1:21" x14ac:dyDescent="0.35">
      <c r="A451">
        <v>448</v>
      </c>
      <c r="B451">
        <f>A451/Inputs!$B$6</f>
        <v>37.333333333333336</v>
      </c>
      <c r="C451">
        <f>Inputs!$B$3+B451</f>
        <v>102.33333333333334</v>
      </c>
      <c r="D451">
        <f t="shared" si="54"/>
        <v>102</v>
      </c>
      <c r="E451">
        <f>Inputs!$B$7+1+INT((A451-1)/Inputs!$B$6)</f>
        <v>2063</v>
      </c>
      <c r="F451">
        <f>Inputs!$B$16</f>
        <v>8333.3333333333339</v>
      </c>
      <c r="G451">
        <f>Inputs!$B$12</f>
        <v>25</v>
      </c>
      <c r="H451">
        <f>IFERROR(INDEX(RP2014_Qx!$B:$B,MATCH(D451,RP2014_Qx!$A:$A,0)),"")</f>
        <v>0.311444</v>
      </c>
      <c r="I451">
        <f>SUMIFS(MP2016_Long!$C:$C,MP2016_Long!$A:$A,D451,MP2016_Long!$B:$B,"&gt;=2014",MP2016_Long!$B:$B,"&lt;"&amp;E451)</f>
        <v>0.10029999999999999</v>
      </c>
      <c r="J451">
        <f t="shared" si="55"/>
        <v>0.34430212655507209</v>
      </c>
      <c r="K451">
        <f t="shared" si="56"/>
        <v>0.42205515490079037</v>
      </c>
      <c r="L451">
        <f>EXP(-K451/Inputs!$B$6)</f>
        <v>0.96544005802588218</v>
      </c>
      <c r="M451">
        <f t="shared" si="62"/>
        <v>1.4055330885050595E-2</v>
      </c>
      <c r="N451">
        <f>IFERROR(INDEX(MonthlyCurve!$I:$I,MATCH(A451,MonthlyCurve!$A:$A,0)),"")</f>
        <v>4.9454709999999999E-2</v>
      </c>
      <c r="O451">
        <f>IFERROR(INDEX(MonthlyCurve!$J:$J,MATCH(A451,MonthlyCurve!$A:$A,0)),"")</f>
        <v>0.15781857371701943</v>
      </c>
      <c r="P451">
        <f t="shared" si="57"/>
        <v>117.12775737542164</v>
      </c>
      <c r="Q451">
        <f t="shared" si="58"/>
        <v>0.35138327212626486</v>
      </c>
      <c r="R451">
        <f t="shared" si="59"/>
        <v>117.47914064754791</v>
      </c>
      <c r="S451">
        <f t="shared" si="60"/>
        <v>18.484935611662145</v>
      </c>
      <c r="T451">
        <f t="shared" si="61"/>
        <v>5.545480683498643E-2</v>
      </c>
      <c r="U451">
        <f>SUMPRODUCT(R452:R543,O452:O543)/(M451*O451)</f>
        <v>186450.83219649084</v>
      </c>
    </row>
    <row r="452" spans="1:21" x14ac:dyDescent="0.35">
      <c r="A452">
        <v>449</v>
      </c>
      <c r="B452">
        <f>A452/Inputs!$B$6</f>
        <v>37.416666666666664</v>
      </c>
      <c r="C452">
        <f>Inputs!$B$3+B452</f>
        <v>102.41666666666666</v>
      </c>
      <c r="D452">
        <f t="shared" ref="D452:D515" si="63">INT(C452)</f>
        <v>102</v>
      </c>
      <c r="E452">
        <f>Inputs!$B$7+1+INT((A452-1)/Inputs!$B$6)</f>
        <v>2063</v>
      </c>
      <c r="F452">
        <f>Inputs!$B$16</f>
        <v>8333.3333333333339</v>
      </c>
      <c r="G452">
        <f>Inputs!$B$12</f>
        <v>25</v>
      </c>
      <c r="H452">
        <f>IFERROR(INDEX(RP2014_Qx!$B:$B,MATCH(D452,RP2014_Qx!$A:$A,0)),"")</f>
        <v>0.311444</v>
      </c>
      <c r="I452">
        <f>SUMIFS(MP2016_Long!$C:$C,MP2016_Long!$A:$A,D452,MP2016_Long!$B:$B,"&gt;=2014",MP2016_Long!$B:$B,"&lt;"&amp;E452)</f>
        <v>0.10029999999999999</v>
      </c>
      <c r="J452">
        <f t="shared" ref="J452:J515" si="64">MIN(0.999999,MAX(0,H452*EXP(I452)))</f>
        <v>0.34430212655507209</v>
      </c>
      <c r="K452">
        <f t="shared" ref="K452:K515" si="65">-LN(1-J452)</f>
        <v>0.42205515490079037</v>
      </c>
      <c r="L452">
        <f>EXP(-K452/Inputs!$B$6)</f>
        <v>0.96544005802588218</v>
      </c>
      <c r="M452">
        <f t="shared" si="62"/>
        <v>1.3569579465236219E-2</v>
      </c>
      <c r="N452">
        <f>IFERROR(INDEX(MonthlyCurve!$I:$I,MATCH(A452,MonthlyCurve!$A:$A,0)),"")</f>
        <v>4.9454709999999999E-2</v>
      </c>
      <c r="O452">
        <f>IFERROR(INDEX(MonthlyCurve!$J:$J,MATCH(A452,MonthlyCurve!$A:$A,0)),"")</f>
        <v>0.15716950612976507</v>
      </c>
      <c r="P452">
        <f t="shared" ref="P452:P515" si="66">F452*M452</f>
        <v>113.07982887696851</v>
      </c>
      <c r="Q452">
        <f t="shared" ref="Q452:Q515" si="67">G452*M452</f>
        <v>0.33923948663090547</v>
      </c>
      <c r="R452">
        <f t="shared" ref="R452:R515" si="68">P452+Q452</f>
        <v>113.41906836359941</v>
      </c>
      <c r="S452">
        <f t="shared" ref="S452:S515" si="69">P452*O452</f>
        <v>17.772700857831488</v>
      </c>
      <c r="T452">
        <f t="shared" ref="T452:T515" si="70">Q452*O452</f>
        <v>5.3318102573494452E-2</v>
      </c>
      <c r="U452">
        <f>SUMPRODUCT(R453:R543,O453:O543)/(M452*O452)</f>
        <v>185564.45057343866</v>
      </c>
    </row>
    <row r="453" spans="1:21" x14ac:dyDescent="0.35">
      <c r="A453">
        <v>450</v>
      </c>
      <c r="B453">
        <f>A453/Inputs!$B$6</f>
        <v>37.5</v>
      </c>
      <c r="C453">
        <f>Inputs!$B$3+B453</f>
        <v>102.5</v>
      </c>
      <c r="D453">
        <f t="shared" si="63"/>
        <v>102</v>
      </c>
      <c r="E453">
        <f>Inputs!$B$7+1+INT((A453-1)/Inputs!$B$6)</f>
        <v>2063</v>
      </c>
      <c r="F453">
        <f>Inputs!$B$16</f>
        <v>8333.3333333333339</v>
      </c>
      <c r="G453">
        <f>Inputs!$B$12</f>
        <v>25</v>
      </c>
      <c r="H453">
        <f>IFERROR(INDEX(RP2014_Qx!$B:$B,MATCH(D453,RP2014_Qx!$A:$A,0)),"")</f>
        <v>0.311444</v>
      </c>
      <c r="I453">
        <f>SUMIFS(MP2016_Long!$C:$C,MP2016_Long!$A:$A,D453,MP2016_Long!$B:$B,"&gt;=2014",MP2016_Long!$B:$B,"&lt;"&amp;E453)</f>
        <v>0.10029999999999999</v>
      </c>
      <c r="J453">
        <f t="shared" si="64"/>
        <v>0.34430212655507209</v>
      </c>
      <c r="K453">
        <f t="shared" si="65"/>
        <v>0.42205515490079037</v>
      </c>
      <c r="L453">
        <f>EXP(-K453/Inputs!$B$6)</f>
        <v>0.96544005802588218</v>
      </c>
      <c r="M453">
        <f t="shared" ref="M453:M516" si="71">M452*L453</f>
        <v>1.3100615586304475E-2</v>
      </c>
      <c r="N453">
        <f>IFERROR(INDEX(MonthlyCurve!$I:$I,MATCH(A453,MonthlyCurve!$A:$A,0)),"")</f>
        <v>4.9454709999999999E-2</v>
      </c>
      <c r="O453">
        <f>IFERROR(INDEX(MonthlyCurve!$J:$J,MATCH(A453,MonthlyCurve!$A:$A,0)),"")</f>
        <v>0.15652310799213814</v>
      </c>
      <c r="P453">
        <f t="shared" si="66"/>
        <v>109.1717965525373</v>
      </c>
      <c r="Q453">
        <f t="shared" si="67"/>
        <v>0.3275153896576119</v>
      </c>
      <c r="R453">
        <f t="shared" si="68"/>
        <v>109.49931194219491</v>
      </c>
      <c r="S453">
        <f t="shared" si="69"/>
        <v>17.087908901488532</v>
      </c>
      <c r="T453">
        <f t="shared" si="70"/>
        <v>5.1263726704465593E-2</v>
      </c>
      <c r="U453">
        <f>SUMPRODUCT(R454:R543,O454:O543)/(M453*O453)</f>
        <v>184642.54751770478</v>
      </c>
    </row>
    <row r="454" spans="1:21" x14ac:dyDescent="0.35">
      <c r="A454">
        <v>451</v>
      </c>
      <c r="B454">
        <f>A454/Inputs!$B$6</f>
        <v>37.583333333333336</v>
      </c>
      <c r="C454">
        <f>Inputs!$B$3+B454</f>
        <v>102.58333333333334</v>
      </c>
      <c r="D454">
        <f t="shared" si="63"/>
        <v>102</v>
      </c>
      <c r="E454">
        <f>Inputs!$B$7+1+INT((A454-1)/Inputs!$B$6)</f>
        <v>2063</v>
      </c>
      <c r="F454">
        <f>Inputs!$B$16</f>
        <v>8333.3333333333339</v>
      </c>
      <c r="G454">
        <f>Inputs!$B$12</f>
        <v>25</v>
      </c>
      <c r="H454">
        <f>IFERROR(INDEX(RP2014_Qx!$B:$B,MATCH(D454,RP2014_Qx!$A:$A,0)),"")</f>
        <v>0.311444</v>
      </c>
      <c r="I454">
        <f>SUMIFS(MP2016_Long!$C:$C,MP2016_Long!$A:$A,D454,MP2016_Long!$B:$B,"&gt;=2014",MP2016_Long!$B:$B,"&lt;"&amp;E454)</f>
        <v>0.10029999999999999</v>
      </c>
      <c r="J454">
        <f t="shared" si="64"/>
        <v>0.34430212655507209</v>
      </c>
      <c r="K454">
        <f t="shared" si="65"/>
        <v>0.42205515490079037</v>
      </c>
      <c r="L454">
        <f>EXP(-K454/Inputs!$B$6)</f>
        <v>0.96544005802588218</v>
      </c>
      <c r="M454">
        <f t="shared" si="71"/>
        <v>1.2647859071816569E-2</v>
      </c>
      <c r="N454">
        <f>IFERROR(INDEX(MonthlyCurve!$I:$I,MATCH(A454,MonthlyCurve!$A:$A,0)),"")</f>
        <v>4.9454709999999999E-2</v>
      </c>
      <c r="O454">
        <f>IFERROR(INDEX(MonthlyCurve!$J:$J,MATCH(A454,MonthlyCurve!$A:$A,0)),"")</f>
        <v>0.15587936832537252</v>
      </c>
      <c r="P454">
        <f t="shared" si="66"/>
        <v>105.39882559847142</v>
      </c>
      <c r="Q454">
        <f t="shared" si="67"/>
        <v>0.31619647679541424</v>
      </c>
      <c r="R454">
        <f t="shared" si="68"/>
        <v>105.71502207526683</v>
      </c>
      <c r="S454">
        <f t="shared" si="69"/>
        <v>16.429502356525827</v>
      </c>
      <c r="T454">
        <f t="shared" si="70"/>
        <v>4.9288507069577485E-2</v>
      </c>
      <c r="U454">
        <f>SUMPRODUCT(R455:R543,O455:O543)/(M454*O454)</f>
        <v>183683.69952033216</v>
      </c>
    </row>
    <row r="455" spans="1:21" x14ac:dyDescent="0.35">
      <c r="A455">
        <v>452</v>
      </c>
      <c r="B455">
        <f>A455/Inputs!$B$6</f>
        <v>37.666666666666664</v>
      </c>
      <c r="C455">
        <f>Inputs!$B$3+B455</f>
        <v>102.66666666666666</v>
      </c>
      <c r="D455">
        <f t="shared" si="63"/>
        <v>102</v>
      </c>
      <c r="E455">
        <f>Inputs!$B$7+1+INT((A455-1)/Inputs!$B$6)</f>
        <v>2063</v>
      </c>
      <c r="F455">
        <f>Inputs!$B$16</f>
        <v>8333.3333333333339</v>
      </c>
      <c r="G455">
        <f>Inputs!$B$12</f>
        <v>25</v>
      </c>
      <c r="H455">
        <f>IFERROR(INDEX(RP2014_Qx!$B:$B,MATCH(D455,RP2014_Qx!$A:$A,0)),"")</f>
        <v>0.311444</v>
      </c>
      <c r="I455">
        <f>SUMIFS(MP2016_Long!$C:$C,MP2016_Long!$A:$A,D455,MP2016_Long!$B:$B,"&gt;=2014",MP2016_Long!$B:$B,"&lt;"&amp;E455)</f>
        <v>0.10029999999999999</v>
      </c>
      <c r="J455">
        <f t="shared" si="64"/>
        <v>0.34430212655507209</v>
      </c>
      <c r="K455">
        <f t="shared" si="65"/>
        <v>0.42205515490079037</v>
      </c>
      <c r="L455">
        <f>EXP(-K455/Inputs!$B$6)</f>
        <v>0.96544005802588218</v>
      </c>
      <c r="M455">
        <f t="shared" si="71"/>
        <v>1.2210749796197769E-2</v>
      </c>
      <c r="N455">
        <f>IFERROR(INDEX(MonthlyCurve!$I:$I,MATCH(A455,MonthlyCurve!$A:$A,0)),"")</f>
        <v>4.9454709999999999E-2</v>
      </c>
      <c r="O455">
        <f>IFERROR(INDEX(MonthlyCurve!$J:$J,MATCH(A455,MonthlyCurve!$A:$A,0)),"")</f>
        <v>0.15523827619585487</v>
      </c>
      <c r="P455">
        <f t="shared" si="66"/>
        <v>101.75624830164809</v>
      </c>
      <c r="Q455">
        <f t="shared" si="67"/>
        <v>0.30526874490494421</v>
      </c>
      <c r="R455">
        <f t="shared" si="68"/>
        <v>102.06151704655304</v>
      </c>
      <c r="S455">
        <f t="shared" si="69"/>
        <v>15.796464578505233</v>
      </c>
      <c r="T455">
        <f t="shared" si="70"/>
        <v>4.7389393735515692E-2</v>
      </c>
      <c r="U455">
        <f>SUMPRODUCT(R456:R543,O456:O543)/(M455*O455)</f>
        <v>182686.42602574138</v>
      </c>
    </row>
    <row r="456" spans="1:21" x14ac:dyDescent="0.35">
      <c r="A456">
        <v>453</v>
      </c>
      <c r="B456">
        <f>A456/Inputs!$B$6</f>
        <v>37.75</v>
      </c>
      <c r="C456">
        <f>Inputs!$B$3+B456</f>
        <v>102.75</v>
      </c>
      <c r="D456">
        <f t="shared" si="63"/>
        <v>102</v>
      </c>
      <c r="E456">
        <f>Inputs!$B$7+1+INT((A456-1)/Inputs!$B$6)</f>
        <v>2063</v>
      </c>
      <c r="F456">
        <f>Inputs!$B$16</f>
        <v>8333.3333333333339</v>
      </c>
      <c r="G456">
        <f>Inputs!$B$12</f>
        <v>25</v>
      </c>
      <c r="H456">
        <f>IFERROR(INDEX(RP2014_Qx!$B:$B,MATCH(D456,RP2014_Qx!$A:$A,0)),"")</f>
        <v>0.311444</v>
      </c>
      <c r="I456">
        <f>SUMIFS(MP2016_Long!$C:$C,MP2016_Long!$A:$A,D456,MP2016_Long!$B:$B,"&gt;=2014",MP2016_Long!$B:$B,"&lt;"&amp;E456)</f>
        <v>0.10029999999999999</v>
      </c>
      <c r="J456">
        <f t="shared" si="64"/>
        <v>0.34430212655507209</v>
      </c>
      <c r="K456">
        <f t="shared" si="65"/>
        <v>0.42205515490079037</v>
      </c>
      <c r="L456">
        <f>EXP(-K456/Inputs!$B$6)</f>
        <v>0.96544005802588218</v>
      </c>
      <c r="M456">
        <f t="shared" si="71"/>
        <v>1.1788746991780704E-2</v>
      </c>
      <c r="N456">
        <f>IFERROR(INDEX(MonthlyCurve!$I:$I,MATCH(A456,MonthlyCurve!$A:$A,0)),"")</f>
        <v>4.9454709999999999E-2</v>
      </c>
      <c r="O456">
        <f>IFERROR(INDEX(MonthlyCurve!$J:$J,MATCH(A456,MonthlyCurve!$A:$A,0)),"")</f>
        <v>0.15459982071493883</v>
      </c>
      <c r="P456">
        <f t="shared" si="66"/>
        <v>98.239558264839204</v>
      </c>
      <c r="Q456">
        <f t="shared" si="67"/>
        <v>0.29471867479451758</v>
      </c>
      <c r="R456">
        <f t="shared" si="68"/>
        <v>98.534276939633727</v>
      </c>
      <c r="S456">
        <f t="shared" si="69"/>
        <v>15.187818094858928</v>
      </c>
      <c r="T456">
        <f t="shared" si="70"/>
        <v>4.5563454284576782E-2</v>
      </c>
      <c r="U456">
        <f>SUMPRODUCT(R457:R543,O457:O543)/(M456*O456)</f>
        <v>181649.18714560772</v>
      </c>
    </row>
    <row r="457" spans="1:21" x14ac:dyDescent="0.35">
      <c r="A457">
        <v>454</v>
      </c>
      <c r="B457">
        <f>A457/Inputs!$B$6</f>
        <v>37.833333333333336</v>
      </c>
      <c r="C457">
        <f>Inputs!$B$3+B457</f>
        <v>102.83333333333334</v>
      </c>
      <c r="D457">
        <f t="shared" si="63"/>
        <v>102</v>
      </c>
      <c r="E457">
        <f>Inputs!$B$7+1+INT((A457-1)/Inputs!$B$6)</f>
        <v>2063</v>
      </c>
      <c r="F457">
        <f>Inputs!$B$16</f>
        <v>8333.3333333333339</v>
      </c>
      <c r="G457">
        <f>Inputs!$B$12</f>
        <v>25</v>
      </c>
      <c r="H457">
        <f>IFERROR(INDEX(RP2014_Qx!$B:$B,MATCH(D457,RP2014_Qx!$A:$A,0)),"")</f>
        <v>0.311444</v>
      </c>
      <c r="I457">
        <f>SUMIFS(MP2016_Long!$C:$C,MP2016_Long!$A:$A,D457,MP2016_Long!$B:$B,"&gt;=2014",MP2016_Long!$B:$B,"&lt;"&amp;E457)</f>
        <v>0.10029999999999999</v>
      </c>
      <c r="J457">
        <f t="shared" si="64"/>
        <v>0.34430212655507209</v>
      </c>
      <c r="K457">
        <f t="shared" si="65"/>
        <v>0.42205515490079037</v>
      </c>
      <c r="L457">
        <f>EXP(-K457/Inputs!$B$6)</f>
        <v>0.96544005802588218</v>
      </c>
      <c r="M457">
        <f t="shared" si="71"/>
        <v>1.1381328579797206E-2</v>
      </c>
      <c r="N457">
        <f>IFERROR(INDEX(MonthlyCurve!$I:$I,MATCH(A457,MonthlyCurve!$A:$A,0)),"")</f>
        <v>4.9454709999999999E-2</v>
      </c>
      <c r="O457">
        <f>IFERROR(INDEX(MonthlyCurve!$J:$J,MATCH(A457,MonthlyCurve!$A:$A,0)),"")</f>
        <v>0.15396399103876054</v>
      </c>
      <c r="P457">
        <f t="shared" si="66"/>
        <v>94.844404831643388</v>
      </c>
      <c r="Q457">
        <f t="shared" si="67"/>
        <v>0.28453321449493019</v>
      </c>
      <c r="R457">
        <f t="shared" si="68"/>
        <v>95.128938046138316</v>
      </c>
      <c r="S457">
        <f t="shared" si="69"/>
        <v>14.602623095575719</v>
      </c>
      <c r="T457">
        <f t="shared" si="70"/>
        <v>4.3807869286727162E-2</v>
      </c>
      <c r="U457">
        <f>SUMPRODUCT(R458:R543,O458:O543)/(M457*O457)</f>
        <v>180570.38128112178</v>
      </c>
    </row>
    <row r="458" spans="1:21" x14ac:dyDescent="0.35">
      <c r="A458">
        <v>455</v>
      </c>
      <c r="B458">
        <f>A458/Inputs!$B$6</f>
        <v>37.916666666666664</v>
      </c>
      <c r="C458">
        <f>Inputs!$B$3+B458</f>
        <v>102.91666666666666</v>
      </c>
      <c r="D458">
        <f t="shared" si="63"/>
        <v>102</v>
      </c>
      <c r="E458">
        <f>Inputs!$B$7+1+INT((A458-1)/Inputs!$B$6)</f>
        <v>2063</v>
      </c>
      <c r="F458">
        <f>Inputs!$B$16</f>
        <v>8333.3333333333339</v>
      </c>
      <c r="G458">
        <f>Inputs!$B$12</f>
        <v>25</v>
      </c>
      <c r="H458">
        <f>IFERROR(INDEX(RP2014_Qx!$B:$B,MATCH(D458,RP2014_Qx!$A:$A,0)),"")</f>
        <v>0.311444</v>
      </c>
      <c r="I458">
        <f>SUMIFS(MP2016_Long!$C:$C,MP2016_Long!$A:$A,D458,MP2016_Long!$B:$B,"&gt;=2014",MP2016_Long!$B:$B,"&lt;"&amp;E458)</f>
        <v>0.10029999999999999</v>
      </c>
      <c r="J458">
        <f t="shared" si="64"/>
        <v>0.34430212655507209</v>
      </c>
      <c r="K458">
        <f t="shared" si="65"/>
        <v>0.42205515490079037</v>
      </c>
      <c r="L458">
        <f>EXP(-K458/Inputs!$B$6)</f>
        <v>0.96544005802588218</v>
      </c>
      <c r="M458">
        <f t="shared" si="71"/>
        <v>1.0987990524491046E-2</v>
      </c>
      <c r="N458">
        <f>IFERROR(INDEX(MonthlyCurve!$I:$I,MATCH(A458,MonthlyCurve!$A:$A,0)),"")</f>
        <v>4.9454709999999999E-2</v>
      </c>
      <c r="O458">
        <f>IFERROR(INDEX(MonthlyCurve!$J:$J,MATCH(A458,MonthlyCurve!$A:$A,0)),"")</f>
        <v>0.15333077636805412</v>
      </c>
      <c r="P458">
        <f t="shared" si="66"/>
        <v>91.566587704092058</v>
      </c>
      <c r="Q458">
        <f t="shared" si="67"/>
        <v>0.27469976311227612</v>
      </c>
      <c r="R458">
        <f t="shared" si="68"/>
        <v>91.841287467204339</v>
      </c>
      <c r="S458">
        <f t="shared" si="69"/>
        <v>14.039975982041954</v>
      </c>
      <c r="T458">
        <f t="shared" si="70"/>
        <v>4.2119927946125853E-2</v>
      </c>
      <c r="U458">
        <f>SUMPRODUCT(R459:R543,O459:O543)/(M458*O458)</f>
        <v>179448.34264996351</v>
      </c>
    </row>
    <row r="459" spans="1:21" x14ac:dyDescent="0.35">
      <c r="A459">
        <v>456</v>
      </c>
      <c r="B459">
        <f>A459/Inputs!$B$6</f>
        <v>38</v>
      </c>
      <c r="C459">
        <f>Inputs!$B$3+B459</f>
        <v>103</v>
      </c>
      <c r="D459">
        <f t="shared" si="63"/>
        <v>103</v>
      </c>
      <c r="E459">
        <f>Inputs!$B$7+1+INT((A459-1)/Inputs!$B$6)</f>
        <v>2063</v>
      </c>
      <c r="F459">
        <f>Inputs!$B$16</f>
        <v>8333.3333333333339</v>
      </c>
      <c r="G459">
        <f>Inputs!$B$12</f>
        <v>25</v>
      </c>
      <c r="H459">
        <f>IFERROR(INDEX(RP2014_Qx!$B:$B,MATCH(D459,RP2014_Qx!$A:$A,0)),"")</f>
        <v>0.33189999999999997</v>
      </c>
      <c r="I459">
        <f>SUMIFS(MP2016_Long!$C:$C,MP2016_Long!$A:$A,D459,MP2016_Long!$B:$B,"&gt;=2014",MP2016_Long!$B:$B,"&lt;"&amp;E459)</f>
        <v>9.2699999999999991E-2</v>
      </c>
      <c r="J459">
        <f t="shared" si="64"/>
        <v>0.36413829205999648</v>
      </c>
      <c r="K459">
        <f t="shared" si="65"/>
        <v>0.45277417963150079</v>
      </c>
      <c r="L459">
        <f>EXP(-K459/Inputs!$B$6)</f>
        <v>0.96297177059654193</v>
      </c>
      <c r="M459">
        <f t="shared" si="71"/>
        <v>1.0581124690667168E-2</v>
      </c>
      <c r="N459">
        <f>IFERROR(INDEX(MonthlyCurve!$I:$I,MATCH(A459,MonthlyCurve!$A:$A,0)),"")</f>
        <v>4.9454709999999999E-2</v>
      </c>
      <c r="O459">
        <f>IFERROR(INDEX(MonthlyCurve!$J:$J,MATCH(A459,MonthlyCurve!$A:$A,0)),"")</f>
        <v>0.15270016594796809</v>
      </c>
      <c r="P459">
        <f t="shared" si="66"/>
        <v>88.176039088893077</v>
      </c>
      <c r="Q459">
        <f t="shared" si="67"/>
        <v>0.26452811726667919</v>
      </c>
      <c r="R459">
        <f t="shared" si="68"/>
        <v>88.440567206159756</v>
      </c>
      <c r="S459">
        <f t="shared" si="69"/>
        <v>13.464495801508495</v>
      </c>
      <c r="T459">
        <f t="shared" si="70"/>
        <v>4.0393487404525474E-2</v>
      </c>
      <c r="U459">
        <f>SUMPRODUCT(R460:R543,O460:O543)/(M459*O459)</f>
        <v>178759.73317016367</v>
      </c>
    </row>
    <row r="460" spans="1:21" x14ac:dyDescent="0.35">
      <c r="A460">
        <v>457</v>
      </c>
      <c r="B460">
        <f>A460/Inputs!$B$6</f>
        <v>38.083333333333336</v>
      </c>
      <c r="C460">
        <f>Inputs!$B$3+B460</f>
        <v>103.08333333333334</v>
      </c>
      <c r="D460">
        <f t="shared" si="63"/>
        <v>103</v>
      </c>
      <c r="E460">
        <f>Inputs!$B$7+1+INT((A460-1)/Inputs!$B$6)</f>
        <v>2064</v>
      </c>
      <c r="F460">
        <f>Inputs!$B$16</f>
        <v>8333.3333333333339</v>
      </c>
      <c r="G460">
        <f>Inputs!$B$12</f>
        <v>25</v>
      </c>
      <c r="H460">
        <f>IFERROR(INDEX(RP2014_Qx!$B:$B,MATCH(D460,RP2014_Qx!$A:$A,0)),"")</f>
        <v>0.33189999999999997</v>
      </c>
      <c r="I460">
        <f>SUMIFS(MP2016_Long!$C:$C,MP2016_Long!$A:$A,D460,MP2016_Long!$B:$B,"&gt;=2014",MP2016_Long!$B:$B,"&lt;"&amp;E460)</f>
        <v>9.2699999999999991E-2</v>
      </c>
      <c r="J460">
        <f t="shared" si="64"/>
        <v>0.36413829205999648</v>
      </c>
      <c r="K460">
        <f t="shared" si="65"/>
        <v>0.45277417963150079</v>
      </c>
      <c r="L460">
        <f>EXP(-K460/Inputs!$B$6)</f>
        <v>0.96297177059654193</v>
      </c>
      <c r="M460">
        <f t="shared" si="71"/>
        <v>1.018932437827455E-2</v>
      </c>
      <c r="N460">
        <f>IFERROR(INDEX(MonthlyCurve!$I:$I,MATCH(A460,MonthlyCurve!$A:$A,0)),"")</f>
        <v>4.9454709999999999E-2</v>
      </c>
      <c r="O460">
        <f>IFERROR(INDEX(MonthlyCurve!$J:$J,MATCH(A460,MonthlyCurve!$A:$A,0)),"")</f>
        <v>0.15207214906788327</v>
      </c>
      <c r="P460">
        <f t="shared" si="66"/>
        <v>84.911036485621253</v>
      </c>
      <c r="Q460">
        <f t="shared" si="67"/>
        <v>0.25473310945686378</v>
      </c>
      <c r="R460">
        <f t="shared" si="68"/>
        <v>85.165769595078118</v>
      </c>
      <c r="S460">
        <f t="shared" si="69"/>
        <v>12.91260379794987</v>
      </c>
      <c r="T460">
        <f t="shared" si="70"/>
        <v>3.8737811393849617E-2</v>
      </c>
      <c r="U460">
        <f>SUMPRODUCT(R461:R543,O461:O543)/(M460*O460)</f>
        <v>178041.69213098011</v>
      </c>
    </row>
    <row r="461" spans="1:21" x14ac:dyDescent="0.35">
      <c r="A461">
        <v>458</v>
      </c>
      <c r="B461">
        <f>A461/Inputs!$B$6</f>
        <v>38.166666666666664</v>
      </c>
      <c r="C461">
        <f>Inputs!$B$3+B461</f>
        <v>103.16666666666666</v>
      </c>
      <c r="D461">
        <f t="shared" si="63"/>
        <v>103</v>
      </c>
      <c r="E461">
        <f>Inputs!$B$7+1+INT((A461-1)/Inputs!$B$6)</f>
        <v>2064</v>
      </c>
      <c r="F461">
        <f>Inputs!$B$16</f>
        <v>8333.3333333333339</v>
      </c>
      <c r="G461">
        <f>Inputs!$B$12</f>
        <v>25</v>
      </c>
      <c r="H461">
        <f>IFERROR(INDEX(RP2014_Qx!$B:$B,MATCH(D461,RP2014_Qx!$A:$A,0)),"")</f>
        <v>0.33189999999999997</v>
      </c>
      <c r="I461">
        <f>SUMIFS(MP2016_Long!$C:$C,MP2016_Long!$A:$A,D461,MP2016_Long!$B:$B,"&gt;=2014",MP2016_Long!$B:$B,"&lt;"&amp;E461)</f>
        <v>9.2699999999999991E-2</v>
      </c>
      <c r="J461">
        <f t="shared" si="64"/>
        <v>0.36413829205999648</v>
      </c>
      <c r="K461">
        <f t="shared" si="65"/>
        <v>0.45277417963150079</v>
      </c>
      <c r="L461">
        <f>EXP(-K461/Inputs!$B$6)</f>
        <v>0.96297177059654193</v>
      </c>
      <c r="M461">
        <f t="shared" si="71"/>
        <v>9.8120317377295516E-3</v>
      </c>
      <c r="N461">
        <f>IFERROR(INDEX(MonthlyCurve!$I:$I,MATCH(A461,MonthlyCurve!$A:$A,0)),"")</f>
        <v>4.9454709999999999E-2</v>
      </c>
      <c r="O461">
        <f>IFERROR(INDEX(MonthlyCurve!$J:$J,MATCH(A461,MonthlyCurve!$A:$A,0)),"")</f>
        <v>0.15144671506123042</v>
      </c>
      <c r="P461">
        <f t="shared" si="66"/>
        <v>81.766931147746263</v>
      </c>
      <c r="Q461">
        <f t="shared" si="67"/>
        <v>0.2453007934432388</v>
      </c>
      <c r="R461">
        <f t="shared" si="68"/>
        <v>82.012231941189498</v>
      </c>
      <c r="S461">
        <f t="shared" si="69"/>
        <v>12.383333122963975</v>
      </c>
      <c r="T461">
        <f t="shared" si="70"/>
        <v>3.7149999368891927E-2</v>
      </c>
      <c r="U461">
        <f>SUMPRODUCT(R462:R543,O462:O543)/(M461*O461)</f>
        <v>177292.96161088685</v>
      </c>
    </row>
    <row r="462" spans="1:21" x14ac:dyDescent="0.35">
      <c r="A462">
        <v>459</v>
      </c>
      <c r="B462">
        <f>A462/Inputs!$B$6</f>
        <v>38.25</v>
      </c>
      <c r="C462">
        <f>Inputs!$B$3+B462</f>
        <v>103.25</v>
      </c>
      <c r="D462">
        <f t="shared" si="63"/>
        <v>103</v>
      </c>
      <c r="E462">
        <f>Inputs!$B$7+1+INT((A462-1)/Inputs!$B$6)</f>
        <v>2064</v>
      </c>
      <c r="F462">
        <f>Inputs!$B$16</f>
        <v>8333.3333333333339</v>
      </c>
      <c r="G462">
        <f>Inputs!$B$12</f>
        <v>25</v>
      </c>
      <c r="H462">
        <f>IFERROR(INDEX(RP2014_Qx!$B:$B,MATCH(D462,RP2014_Qx!$A:$A,0)),"")</f>
        <v>0.33189999999999997</v>
      </c>
      <c r="I462">
        <f>SUMIFS(MP2016_Long!$C:$C,MP2016_Long!$A:$A,D462,MP2016_Long!$B:$B,"&gt;=2014",MP2016_Long!$B:$B,"&lt;"&amp;E462)</f>
        <v>9.2699999999999991E-2</v>
      </c>
      <c r="J462">
        <f t="shared" si="64"/>
        <v>0.36413829205999648</v>
      </c>
      <c r="K462">
        <f t="shared" si="65"/>
        <v>0.45277417963150079</v>
      </c>
      <c r="L462">
        <f>EXP(-K462/Inputs!$B$6)</f>
        <v>0.96297177059654193</v>
      </c>
      <c r="M462">
        <f t="shared" si="71"/>
        <v>9.4487095756308898E-3</v>
      </c>
      <c r="N462">
        <f>IFERROR(INDEX(MonthlyCurve!$I:$I,MATCH(A462,MonthlyCurve!$A:$A,0)),"")</f>
        <v>4.9454709999999999E-2</v>
      </c>
      <c r="O462">
        <f>IFERROR(INDEX(MonthlyCurve!$J:$J,MATCH(A462,MonthlyCurve!$A:$A,0)),"")</f>
        <v>0.15082385330530895</v>
      </c>
      <c r="P462">
        <f t="shared" si="66"/>
        <v>78.73924646359076</v>
      </c>
      <c r="Q462">
        <f t="shared" si="67"/>
        <v>0.23621773939077223</v>
      </c>
      <c r="R462">
        <f t="shared" si="68"/>
        <v>78.975464202981527</v>
      </c>
      <c r="S462">
        <f t="shared" si="69"/>
        <v>11.87575655799518</v>
      </c>
      <c r="T462">
        <f t="shared" si="70"/>
        <v>3.562726967398553E-2</v>
      </c>
      <c r="U462">
        <f>SUMPRODUCT(R463:R543,O463:O543)/(M462*O462)</f>
        <v>176512.22992407874</v>
      </c>
    </row>
    <row r="463" spans="1:21" x14ac:dyDescent="0.35">
      <c r="A463">
        <v>460</v>
      </c>
      <c r="B463">
        <f>A463/Inputs!$B$6</f>
        <v>38.333333333333336</v>
      </c>
      <c r="C463">
        <f>Inputs!$B$3+B463</f>
        <v>103.33333333333334</v>
      </c>
      <c r="D463">
        <f t="shared" si="63"/>
        <v>103</v>
      </c>
      <c r="E463">
        <f>Inputs!$B$7+1+INT((A463-1)/Inputs!$B$6)</f>
        <v>2064</v>
      </c>
      <c r="F463">
        <f>Inputs!$B$16</f>
        <v>8333.3333333333339</v>
      </c>
      <c r="G463">
        <f>Inputs!$B$12</f>
        <v>25</v>
      </c>
      <c r="H463">
        <f>IFERROR(INDEX(RP2014_Qx!$B:$B,MATCH(D463,RP2014_Qx!$A:$A,0)),"")</f>
        <v>0.33189999999999997</v>
      </c>
      <c r="I463">
        <f>SUMIFS(MP2016_Long!$C:$C,MP2016_Long!$A:$A,D463,MP2016_Long!$B:$B,"&gt;=2014",MP2016_Long!$B:$B,"&lt;"&amp;E463)</f>
        <v>9.2699999999999991E-2</v>
      </c>
      <c r="J463">
        <f t="shared" si="64"/>
        <v>0.36413829205999648</v>
      </c>
      <c r="K463">
        <f t="shared" si="65"/>
        <v>0.45277417963150079</v>
      </c>
      <c r="L463">
        <f>EXP(-K463/Inputs!$B$6)</f>
        <v>0.96297177059654193</v>
      </c>
      <c r="M463">
        <f t="shared" si="71"/>
        <v>9.0988405898977786E-3</v>
      </c>
      <c r="N463">
        <f>IFERROR(INDEX(MonthlyCurve!$I:$I,MATCH(A463,MonthlyCurve!$A:$A,0)),"")</f>
        <v>4.9454709999999999E-2</v>
      </c>
      <c r="O463">
        <f>IFERROR(INDEX(MonthlyCurve!$J:$J,MATCH(A463,MonthlyCurve!$A:$A,0)),"")</f>
        <v>0.15020355322110704</v>
      </c>
      <c r="P463">
        <f t="shared" si="66"/>
        <v>75.823671582481495</v>
      </c>
      <c r="Q463">
        <f t="shared" si="67"/>
        <v>0.22747101474744447</v>
      </c>
      <c r="R463">
        <f t="shared" si="68"/>
        <v>76.051142597228946</v>
      </c>
      <c r="S463">
        <f t="shared" si="69"/>
        <v>11.388984889959001</v>
      </c>
      <c r="T463">
        <f t="shared" si="70"/>
        <v>3.4166954669877E-2</v>
      </c>
      <c r="U463">
        <f>SUMPRODUCT(R464:R543,O464:O543)/(M463*O463)</f>
        <v>175698.12932255637</v>
      </c>
    </row>
    <row r="464" spans="1:21" x14ac:dyDescent="0.35">
      <c r="A464">
        <v>461</v>
      </c>
      <c r="B464">
        <f>A464/Inputs!$B$6</f>
        <v>38.416666666666664</v>
      </c>
      <c r="C464">
        <f>Inputs!$B$3+B464</f>
        <v>103.41666666666666</v>
      </c>
      <c r="D464">
        <f t="shared" si="63"/>
        <v>103</v>
      </c>
      <c r="E464">
        <f>Inputs!$B$7+1+INT((A464-1)/Inputs!$B$6)</f>
        <v>2064</v>
      </c>
      <c r="F464">
        <f>Inputs!$B$16</f>
        <v>8333.3333333333339</v>
      </c>
      <c r="G464">
        <f>Inputs!$B$12</f>
        <v>25</v>
      </c>
      <c r="H464">
        <f>IFERROR(INDEX(RP2014_Qx!$B:$B,MATCH(D464,RP2014_Qx!$A:$A,0)),"")</f>
        <v>0.33189999999999997</v>
      </c>
      <c r="I464">
        <f>SUMIFS(MP2016_Long!$C:$C,MP2016_Long!$A:$A,D464,MP2016_Long!$B:$B,"&gt;=2014",MP2016_Long!$B:$B,"&lt;"&amp;E464)</f>
        <v>9.2699999999999991E-2</v>
      </c>
      <c r="J464">
        <f t="shared" si="64"/>
        <v>0.36413829205999648</v>
      </c>
      <c r="K464">
        <f t="shared" si="65"/>
        <v>0.45277417963150079</v>
      </c>
      <c r="L464">
        <f>EXP(-K464/Inputs!$B$6)</f>
        <v>0.96297177059654193</v>
      </c>
      <c r="M464">
        <f t="shared" si="71"/>
        <v>8.7619266332295484E-3</v>
      </c>
      <c r="N464">
        <f>IFERROR(INDEX(MonthlyCurve!$I:$I,MATCH(A464,MonthlyCurve!$A:$A,0)),"")</f>
        <v>4.9454709999999999E-2</v>
      </c>
      <c r="O464">
        <f>IFERROR(INDEX(MonthlyCurve!$J:$J,MATCH(A464,MonthlyCurve!$A:$A,0)),"")</f>
        <v>0.14958580427312157</v>
      </c>
      <c r="P464">
        <f t="shared" si="66"/>
        <v>73.016055276912908</v>
      </c>
      <c r="Q464">
        <f t="shared" si="67"/>
        <v>0.21904816583073872</v>
      </c>
      <c r="R464">
        <f t="shared" si="68"/>
        <v>73.23510344274365</v>
      </c>
      <c r="S464">
        <f t="shared" si="69"/>
        <v>10.922165353447721</v>
      </c>
      <c r="T464">
        <f t="shared" si="70"/>
        <v>3.276649606034316E-2</v>
      </c>
      <c r="U464">
        <f>SUMPRODUCT(R465:R543,O465:O543)/(M464*O464)</f>
        <v>174849.23359999538</v>
      </c>
    </row>
    <row r="465" spans="1:21" x14ac:dyDescent="0.35">
      <c r="A465">
        <v>462</v>
      </c>
      <c r="B465">
        <f>A465/Inputs!$B$6</f>
        <v>38.5</v>
      </c>
      <c r="C465">
        <f>Inputs!$B$3+B465</f>
        <v>103.5</v>
      </c>
      <c r="D465">
        <f t="shared" si="63"/>
        <v>103</v>
      </c>
      <c r="E465">
        <f>Inputs!$B$7+1+INT((A465-1)/Inputs!$B$6)</f>
        <v>2064</v>
      </c>
      <c r="F465">
        <f>Inputs!$B$16</f>
        <v>8333.3333333333339</v>
      </c>
      <c r="G465">
        <f>Inputs!$B$12</f>
        <v>25</v>
      </c>
      <c r="H465">
        <f>IFERROR(INDEX(RP2014_Qx!$B:$B,MATCH(D465,RP2014_Qx!$A:$A,0)),"")</f>
        <v>0.33189999999999997</v>
      </c>
      <c r="I465">
        <f>SUMIFS(MP2016_Long!$C:$C,MP2016_Long!$A:$A,D465,MP2016_Long!$B:$B,"&gt;=2014",MP2016_Long!$B:$B,"&lt;"&amp;E465)</f>
        <v>9.2699999999999991E-2</v>
      </c>
      <c r="J465">
        <f t="shared" si="64"/>
        <v>0.36413829205999648</v>
      </c>
      <c r="K465">
        <f t="shared" si="65"/>
        <v>0.45277417963150079</v>
      </c>
      <c r="L465">
        <f>EXP(-K465/Inputs!$B$6)</f>
        <v>0.96297177059654193</v>
      </c>
      <c r="M465">
        <f t="shared" si="71"/>
        <v>8.4374880038380565E-3</v>
      </c>
      <c r="N465">
        <f>IFERROR(INDEX(MonthlyCurve!$I:$I,MATCH(A465,MonthlyCurve!$A:$A,0)),"")</f>
        <v>4.9454709999999999E-2</v>
      </c>
      <c r="O465">
        <f>IFERROR(INDEX(MonthlyCurve!$J:$J,MATCH(A465,MonthlyCurve!$A:$A,0)),"")</f>
        <v>0.14897059596917908</v>
      </c>
      <c r="P465">
        <f t="shared" si="66"/>
        <v>70.312400031983813</v>
      </c>
      <c r="Q465">
        <f t="shared" si="67"/>
        <v>0.2109372000959514</v>
      </c>
      <c r="R465">
        <f t="shared" si="68"/>
        <v>70.523337232079768</v>
      </c>
      <c r="S465">
        <f t="shared" si="69"/>
        <v>10.474480136787955</v>
      </c>
      <c r="T465">
        <f t="shared" si="70"/>
        <v>3.1423440410363858E-2</v>
      </c>
      <c r="U465">
        <f>SUMPRODUCT(R466:R543,O466:O543)/(M465*O465)</f>
        <v>173964.05559320527</v>
      </c>
    </row>
    <row r="466" spans="1:21" x14ac:dyDescent="0.35">
      <c r="A466">
        <v>463</v>
      </c>
      <c r="B466">
        <f>A466/Inputs!$B$6</f>
        <v>38.583333333333336</v>
      </c>
      <c r="C466">
        <f>Inputs!$B$3+B466</f>
        <v>103.58333333333334</v>
      </c>
      <c r="D466">
        <f t="shared" si="63"/>
        <v>103</v>
      </c>
      <c r="E466">
        <f>Inputs!$B$7+1+INT((A466-1)/Inputs!$B$6)</f>
        <v>2064</v>
      </c>
      <c r="F466">
        <f>Inputs!$B$16</f>
        <v>8333.3333333333339</v>
      </c>
      <c r="G466">
        <f>Inputs!$B$12</f>
        <v>25</v>
      </c>
      <c r="H466">
        <f>IFERROR(INDEX(RP2014_Qx!$B:$B,MATCH(D466,RP2014_Qx!$A:$A,0)),"")</f>
        <v>0.33189999999999997</v>
      </c>
      <c r="I466">
        <f>SUMIFS(MP2016_Long!$C:$C,MP2016_Long!$A:$A,D466,MP2016_Long!$B:$B,"&gt;=2014",MP2016_Long!$B:$B,"&lt;"&amp;E466)</f>
        <v>9.2699999999999991E-2</v>
      </c>
      <c r="J466">
        <f t="shared" si="64"/>
        <v>0.36413829205999648</v>
      </c>
      <c r="K466">
        <f t="shared" si="65"/>
        <v>0.45277417963150079</v>
      </c>
      <c r="L466">
        <f>EXP(-K466/Inputs!$B$6)</f>
        <v>0.96297177059654193</v>
      </c>
      <c r="M466">
        <f t="shared" si="71"/>
        <v>8.1250627624430156E-3</v>
      </c>
      <c r="N466">
        <f>IFERROR(INDEX(MonthlyCurve!$I:$I,MATCH(A466,MonthlyCurve!$A:$A,0)),"")</f>
        <v>4.9454709999999999E-2</v>
      </c>
      <c r="O466">
        <f>IFERROR(INDEX(MonthlyCurve!$J:$J,MATCH(A466,MonthlyCurve!$A:$A,0)),"")</f>
        <v>0.14835791786025798</v>
      </c>
      <c r="P466">
        <f t="shared" si="66"/>
        <v>67.7088563536918</v>
      </c>
      <c r="Q466">
        <f t="shared" si="67"/>
        <v>0.2031265690610754</v>
      </c>
      <c r="R466">
        <f t="shared" si="68"/>
        <v>67.91198292275287</v>
      </c>
      <c r="S466">
        <f t="shared" si="69"/>
        <v>10.045144949333014</v>
      </c>
      <c r="T466">
        <f t="shared" si="70"/>
        <v>3.0135434847999045E-2</v>
      </c>
      <c r="U466">
        <f>SUMPRODUCT(R467:R543,O467:O543)/(M466*O466)</f>
        <v>173041.04457679772</v>
      </c>
    </row>
    <row r="467" spans="1:21" x14ac:dyDescent="0.35">
      <c r="A467">
        <v>464</v>
      </c>
      <c r="B467">
        <f>A467/Inputs!$B$6</f>
        <v>38.666666666666664</v>
      </c>
      <c r="C467">
        <f>Inputs!$B$3+B467</f>
        <v>103.66666666666666</v>
      </c>
      <c r="D467">
        <f t="shared" si="63"/>
        <v>103</v>
      </c>
      <c r="E467">
        <f>Inputs!$B$7+1+INT((A467-1)/Inputs!$B$6)</f>
        <v>2064</v>
      </c>
      <c r="F467">
        <f>Inputs!$B$16</f>
        <v>8333.3333333333339</v>
      </c>
      <c r="G467">
        <f>Inputs!$B$12</f>
        <v>25</v>
      </c>
      <c r="H467">
        <f>IFERROR(INDEX(RP2014_Qx!$B:$B,MATCH(D467,RP2014_Qx!$A:$A,0)),"")</f>
        <v>0.33189999999999997</v>
      </c>
      <c r="I467">
        <f>SUMIFS(MP2016_Long!$C:$C,MP2016_Long!$A:$A,D467,MP2016_Long!$B:$B,"&gt;=2014",MP2016_Long!$B:$B,"&lt;"&amp;E467)</f>
        <v>9.2699999999999991E-2</v>
      </c>
      <c r="J467">
        <f t="shared" si="64"/>
        <v>0.36413829205999648</v>
      </c>
      <c r="K467">
        <f t="shared" si="65"/>
        <v>0.45277417963150079</v>
      </c>
      <c r="L467">
        <f>EXP(-K467/Inputs!$B$6)</f>
        <v>0.96297177059654193</v>
      </c>
      <c r="M467">
        <f t="shared" si="71"/>
        <v>7.8242060745577803E-3</v>
      </c>
      <c r="N467">
        <f>IFERROR(INDEX(MonthlyCurve!$I:$I,MATCH(A467,MonthlyCurve!$A:$A,0)),"")</f>
        <v>4.9454709999999999E-2</v>
      </c>
      <c r="O467">
        <f>IFERROR(INDEX(MonthlyCurve!$J:$J,MATCH(A467,MonthlyCurve!$A:$A,0)),"")</f>
        <v>0.1477477595403108</v>
      </c>
      <c r="P467">
        <f t="shared" si="66"/>
        <v>65.201717287981509</v>
      </c>
      <c r="Q467">
        <f t="shared" si="67"/>
        <v>0.1956051518639445</v>
      </c>
      <c r="R467">
        <f t="shared" si="68"/>
        <v>65.397322439845453</v>
      </c>
      <c r="S467">
        <f t="shared" si="69"/>
        <v>9.6334076474800181</v>
      </c>
      <c r="T467">
        <f t="shared" si="70"/>
        <v>2.8900222942440049E-2</v>
      </c>
      <c r="U467">
        <f>SUMPRODUCT(R468:R543,O468:O543)/(M467*O467)</f>
        <v>172078.58354650269</v>
      </c>
    </row>
    <row r="468" spans="1:21" x14ac:dyDescent="0.35">
      <c r="A468">
        <v>465</v>
      </c>
      <c r="B468">
        <f>A468/Inputs!$B$6</f>
        <v>38.75</v>
      </c>
      <c r="C468">
        <f>Inputs!$B$3+B468</f>
        <v>103.75</v>
      </c>
      <c r="D468">
        <f t="shared" si="63"/>
        <v>103</v>
      </c>
      <c r="E468">
        <f>Inputs!$B$7+1+INT((A468-1)/Inputs!$B$6)</f>
        <v>2064</v>
      </c>
      <c r="F468">
        <f>Inputs!$B$16</f>
        <v>8333.3333333333339</v>
      </c>
      <c r="G468">
        <f>Inputs!$B$12</f>
        <v>25</v>
      </c>
      <c r="H468">
        <f>IFERROR(INDEX(RP2014_Qx!$B:$B,MATCH(D468,RP2014_Qx!$A:$A,0)),"")</f>
        <v>0.33189999999999997</v>
      </c>
      <c r="I468">
        <f>SUMIFS(MP2016_Long!$C:$C,MP2016_Long!$A:$A,D468,MP2016_Long!$B:$B,"&gt;=2014",MP2016_Long!$B:$B,"&lt;"&amp;E468)</f>
        <v>9.2699999999999991E-2</v>
      </c>
      <c r="J468">
        <f t="shared" si="64"/>
        <v>0.36413829205999648</v>
      </c>
      <c r="K468">
        <f t="shared" si="65"/>
        <v>0.45277417963150079</v>
      </c>
      <c r="L468">
        <f>EXP(-K468/Inputs!$B$6)</f>
        <v>0.96297177059654193</v>
      </c>
      <c r="M468">
        <f t="shared" si="71"/>
        <v>7.534489577129125E-3</v>
      </c>
      <c r="N468">
        <f>IFERROR(INDEX(MonthlyCurve!$I:$I,MATCH(A468,MonthlyCurve!$A:$A,0)),"")</f>
        <v>4.9454709999999999E-2</v>
      </c>
      <c r="O468">
        <f>IFERROR(INDEX(MonthlyCurve!$J:$J,MATCH(A468,MonthlyCurve!$A:$A,0)),"")</f>
        <v>0.14714011064608726</v>
      </c>
      <c r="P468">
        <f t="shared" si="66"/>
        <v>62.787413142742714</v>
      </c>
      <c r="Q468">
        <f t="shared" si="67"/>
        <v>0.18836223942822813</v>
      </c>
      <c r="R468">
        <f t="shared" si="68"/>
        <v>62.975775382170944</v>
      </c>
      <c r="S468">
        <f t="shared" si="69"/>
        <v>9.2385469170047561</v>
      </c>
      <c r="T468">
        <f t="shared" si="70"/>
        <v>2.7715640751014268E-2</v>
      </c>
      <c r="U468">
        <f>SUMPRODUCT(R469:R543,O469:O543)/(M468*O468)</f>
        <v>171074.98638637154</v>
      </c>
    </row>
    <row r="469" spans="1:21" x14ac:dyDescent="0.35">
      <c r="A469">
        <v>466</v>
      </c>
      <c r="B469">
        <f>A469/Inputs!$B$6</f>
        <v>38.833333333333336</v>
      </c>
      <c r="C469">
        <f>Inputs!$B$3+B469</f>
        <v>103.83333333333334</v>
      </c>
      <c r="D469">
        <f t="shared" si="63"/>
        <v>103</v>
      </c>
      <c r="E469">
        <f>Inputs!$B$7+1+INT((A469-1)/Inputs!$B$6)</f>
        <v>2064</v>
      </c>
      <c r="F469">
        <f>Inputs!$B$16</f>
        <v>8333.3333333333339</v>
      </c>
      <c r="G469">
        <f>Inputs!$B$12</f>
        <v>25</v>
      </c>
      <c r="H469">
        <f>IFERROR(INDEX(RP2014_Qx!$B:$B,MATCH(D469,RP2014_Qx!$A:$A,0)),"")</f>
        <v>0.33189999999999997</v>
      </c>
      <c r="I469">
        <f>SUMIFS(MP2016_Long!$C:$C,MP2016_Long!$A:$A,D469,MP2016_Long!$B:$B,"&gt;=2014",MP2016_Long!$B:$B,"&lt;"&amp;E469)</f>
        <v>9.2699999999999991E-2</v>
      </c>
      <c r="J469">
        <f t="shared" si="64"/>
        <v>0.36413829205999648</v>
      </c>
      <c r="K469">
        <f t="shared" si="65"/>
        <v>0.45277417963150079</v>
      </c>
      <c r="L469">
        <f>EXP(-K469/Inputs!$B$6)</f>
        <v>0.96297177059654193</v>
      </c>
      <c r="M469">
        <f t="shared" si="71"/>
        <v>7.2555007686292243E-3</v>
      </c>
      <c r="N469">
        <f>IFERROR(INDEX(MonthlyCurve!$I:$I,MATCH(A469,MonthlyCurve!$A:$A,0)),"")</f>
        <v>4.9454709999999999E-2</v>
      </c>
      <c r="O469">
        <f>IFERROR(INDEX(MonthlyCurve!$J:$J,MATCH(A469,MonthlyCurve!$A:$A,0)),"")</f>
        <v>0.14653496085695883</v>
      </c>
      <c r="P469">
        <f t="shared" si="66"/>
        <v>60.462506405243538</v>
      </c>
      <c r="Q469">
        <f t="shared" si="67"/>
        <v>0.1813875192157306</v>
      </c>
      <c r="R469">
        <f t="shared" si="68"/>
        <v>60.64389392445927</v>
      </c>
      <c r="S469">
        <f t="shared" si="69"/>
        <v>8.8598710094059836</v>
      </c>
      <c r="T469">
        <f t="shared" si="70"/>
        <v>2.6579613028217951E-2</v>
      </c>
      <c r="U469">
        <f>SUMPRODUCT(R470:R543,O470:O543)/(M469*O469)</f>
        <v>170028.49491490409</v>
      </c>
    </row>
    <row r="470" spans="1:21" x14ac:dyDescent="0.35">
      <c r="A470">
        <v>467</v>
      </c>
      <c r="B470">
        <f>A470/Inputs!$B$6</f>
        <v>38.916666666666664</v>
      </c>
      <c r="C470">
        <f>Inputs!$B$3+B470</f>
        <v>103.91666666666666</v>
      </c>
      <c r="D470">
        <f t="shared" si="63"/>
        <v>103</v>
      </c>
      <c r="E470">
        <f>Inputs!$B$7+1+INT((A470-1)/Inputs!$B$6)</f>
        <v>2064</v>
      </c>
      <c r="F470">
        <f>Inputs!$B$16</f>
        <v>8333.3333333333339</v>
      </c>
      <c r="G470">
        <f>Inputs!$B$12</f>
        <v>25</v>
      </c>
      <c r="H470">
        <f>IFERROR(INDEX(RP2014_Qx!$B:$B,MATCH(D470,RP2014_Qx!$A:$A,0)),"")</f>
        <v>0.33189999999999997</v>
      </c>
      <c r="I470">
        <f>SUMIFS(MP2016_Long!$C:$C,MP2016_Long!$A:$A,D470,MP2016_Long!$B:$B,"&gt;=2014",MP2016_Long!$B:$B,"&lt;"&amp;E470)</f>
        <v>9.2699999999999991E-2</v>
      </c>
      <c r="J470">
        <f t="shared" si="64"/>
        <v>0.36413829205999648</v>
      </c>
      <c r="K470">
        <f t="shared" si="65"/>
        <v>0.45277417963150079</v>
      </c>
      <c r="L470">
        <f>EXP(-K470/Inputs!$B$6)</f>
        <v>0.96297177059654193</v>
      </c>
      <c r="M470">
        <f t="shared" si="71"/>
        <v>6.9868424217314554E-3</v>
      </c>
      <c r="N470">
        <f>IFERROR(INDEX(MonthlyCurve!$I:$I,MATCH(A470,MonthlyCurve!$A:$A,0)),"")</f>
        <v>4.9454709999999999E-2</v>
      </c>
      <c r="O470">
        <f>IFERROR(INDEX(MonthlyCurve!$J:$J,MATCH(A470,MonthlyCurve!$A:$A,0)),"")</f>
        <v>0.14593229989474293</v>
      </c>
      <c r="P470">
        <f t="shared" si="66"/>
        <v>58.223686847762131</v>
      </c>
      <c r="Q470">
        <f t="shared" si="67"/>
        <v>0.17467106054328638</v>
      </c>
      <c r="R470">
        <f t="shared" si="68"/>
        <v>58.398357908305421</v>
      </c>
      <c r="S470">
        <f t="shared" si="69"/>
        <v>8.496716530045223</v>
      </c>
      <c r="T470">
        <f t="shared" si="70"/>
        <v>2.5490149590135666E-2</v>
      </c>
      <c r="U470">
        <f>SUMPRODUCT(R471:R543,O471:O543)/(M470*O470)</f>
        <v>168937.27580492679</v>
      </c>
    </row>
    <row r="471" spans="1:21" x14ac:dyDescent="0.35">
      <c r="A471">
        <v>468</v>
      </c>
      <c r="B471">
        <f>A471/Inputs!$B$6</f>
        <v>39</v>
      </c>
      <c r="C471">
        <f>Inputs!$B$3+B471</f>
        <v>104</v>
      </c>
      <c r="D471">
        <f t="shared" si="63"/>
        <v>104</v>
      </c>
      <c r="E471">
        <f>Inputs!$B$7+1+INT((A471-1)/Inputs!$B$6)</f>
        <v>2064</v>
      </c>
      <c r="F471">
        <f>Inputs!$B$16</f>
        <v>8333.3333333333339</v>
      </c>
      <c r="G471">
        <f>Inputs!$B$12</f>
        <v>25</v>
      </c>
      <c r="H471">
        <f>IFERROR(INDEX(RP2014_Qx!$B:$B,MATCH(D471,RP2014_Qx!$A:$A,0)),"")</f>
        <v>0.35223199999999999</v>
      </c>
      <c r="I471">
        <f>SUMIFS(MP2016_Long!$C:$C,MP2016_Long!$A:$A,D471,MP2016_Long!$B:$B,"&gt;=2014",MP2016_Long!$B:$B,"&lt;"&amp;E471)</f>
        <v>8.4699999999999998E-2</v>
      </c>
      <c r="J471">
        <f t="shared" si="64"/>
        <v>0.38336596279527818</v>
      </c>
      <c r="K471">
        <f t="shared" si="65"/>
        <v>0.48347956361879096</v>
      </c>
      <c r="L471">
        <f>EXP(-K471/Inputs!$B$6)</f>
        <v>0.96051088554133424</v>
      </c>
      <c r="M471">
        <f t="shared" si="71"/>
        <v>6.7109382016350408E-3</v>
      </c>
      <c r="N471">
        <f>IFERROR(INDEX(MonthlyCurve!$I:$I,MATCH(A471,MonthlyCurve!$A:$A,0)),"")</f>
        <v>4.9454709999999999E-2</v>
      </c>
      <c r="O471">
        <f>IFERROR(INDEX(MonthlyCurve!$J:$J,MATCH(A471,MonthlyCurve!$A:$A,0)),"")</f>
        <v>0.14533211752352843</v>
      </c>
      <c r="P471">
        <f t="shared" si="66"/>
        <v>55.924485013625343</v>
      </c>
      <c r="Q471">
        <f t="shared" si="67"/>
        <v>0.16777345504087601</v>
      </c>
      <c r="R471">
        <f t="shared" si="68"/>
        <v>56.092258468666216</v>
      </c>
      <c r="S471">
        <f t="shared" si="69"/>
        <v>8.1276238284430029</v>
      </c>
      <c r="T471">
        <f t="shared" si="70"/>
        <v>2.4382871485329007E-2</v>
      </c>
      <c r="U471">
        <f>SUMPRODUCT(R472:R543,O472:O543)/(M471*O471)</f>
        <v>168250.7438300607</v>
      </c>
    </row>
    <row r="472" spans="1:21" x14ac:dyDescent="0.35">
      <c r="A472">
        <v>469</v>
      </c>
      <c r="B472">
        <f>A472/Inputs!$B$6</f>
        <v>39.083333333333336</v>
      </c>
      <c r="C472">
        <f>Inputs!$B$3+B472</f>
        <v>104.08333333333334</v>
      </c>
      <c r="D472">
        <f t="shared" si="63"/>
        <v>104</v>
      </c>
      <c r="E472">
        <f>Inputs!$B$7+1+INT((A472-1)/Inputs!$B$6)</f>
        <v>2065</v>
      </c>
      <c r="F472">
        <f>Inputs!$B$16</f>
        <v>8333.3333333333339</v>
      </c>
      <c r="G472">
        <f>Inputs!$B$12</f>
        <v>25</v>
      </c>
      <c r="H472">
        <f>IFERROR(INDEX(RP2014_Qx!$B:$B,MATCH(D472,RP2014_Qx!$A:$A,0)),"")</f>
        <v>0.35223199999999999</v>
      </c>
      <c r="I472">
        <f>SUMIFS(MP2016_Long!$C:$C,MP2016_Long!$A:$A,D472,MP2016_Long!$B:$B,"&gt;=2014",MP2016_Long!$B:$B,"&lt;"&amp;E472)</f>
        <v>8.4699999999999998E-2</v>
      </c>
      <c r="J472">
        <f t="shared" si="64"/>
        <v>0.38336596279527818</v>
      </c>
      <c r="K472">
        <f t="shared" si="65"/>
        <v>0.48347956361879096</v>
      </c>
      <c r="L472">
        <f>EXP(-K472/Inputs!$B$6)</f>
        <v>0.96051088554133424</v>
      </c>
      <c r="M472">
        <f t="shared" si="71"/>
        <v>6.4459291948656423E-3</v>
      </c>
      <c r="N472">
        <f>IFERROR(INDEX(MonthlyCurve!$I:$I,MATCH(A472,MonthlyCurve!$A:$A,0)),"")</f>
        <v>4.9454709999999999E-2</v>
      </c>
      <c r="O472">
        <f>IFERROR(INDEX(MonthlyCurve!$J:$J,MATCH(A472,MonthlyCurve!$A:$A,0)),"")</f>
        <v>0.14473440354950207</v>
      </c>
      <c r="P472">
        <f t="shared" si="66"/>
        <v>53.716076623880355</v>
      </c>
      <c r="Q472">
        <f t="shared" si="67"/>
        <v>0.16114822987164107</v>
      </c>
      <c r="R472">
        <f t="shared" si="68"/>
        <v>53.877224853751997</v>
      </c>
      <c r="S472">
        <f t="shared" si="69"/>
        <v>7.7745643111766736</v>
      </c>
      <c r="T472">
        <f t="shared" si="70"/>
        <v>2.3323692933530021E-2</v>
      </c>
      <c r="U472">
        <f>SUMPRODUCT(R473:R543,O473:O543)/(M472*O472)</f>
        <v>167533.03497660274</v>
      </c>
    </row>
    <row r="473" spans="1:21" x14ac:dyDescent="0.35">
      <c r="A473">
        <v>470</v>
      </c>
      <c r="B473">
        <f>A473/Inputs!$B$6</f>
        <v>39.166666666666664</v>
      </c>
      <c r="C473">
        <f>Inputs!$B$3+B473</f>
        <v>104.16666666666666</v>
      </c>
      <c r="D473">
        <f t="shared" si="63"/>
        <v>104</v>
      </c>
      <c r="E473">
        <f>Inputs!$B$7+1+INT((A473-1)/Inputs!$B$6)</f>
        <v>2065</v>
      </c>
      <c r="F473">
        <f>Inputs!$B$16</f>
        <v>8333.3333333333339</v>
      </c>
      <c r="G473">
        <f>Inputs!$B$12</f>
        <v>25</v>
      </c>
      <c r="H473">
        <f>IFERROR(INDEX(RP2014_Qx!$B:$B,MATCH(D473,RP2014_Qx!$A:$A,0)),"")</f>
        <v>0.35223199999999999</v>
      </c>
      <c r="I473">
        <f>SUMIFS(MP2016_Long!$C:$C,MP2016_Long!$A:$A,D473,MP2016_Long!$B:$B,"&gt;=2014",MP2016_Long!$B:$B,"&lt;"&amp;E473)</f>
        <v>8.4699999999999998E-2</v>
      </c>
      <c r="J473">
        <f t="shared" si="64"/>
        <v>0.38336596279527818</v>
      </c>
      <c r="K473">
        <f t="shared" si="65"/>
        <v>0.48347956361879096</v>
      </c>
      <c r="L473">
        <f>EXP(-K473/Inputs!$B$6)</f>
        <v>0.96051088554133424</v>
      </c>
      <c r="M473">
        <f t="shared" si="71"/>
        <v>6.191385159097138E-3</v>
      </c>
      <c r="N473">
        <f>IFERROR(INDEX(MonthlyCurve!$I:$I,MATCH(A473,MonthlyCurve!$A:$A,0)),"")</f>
        <v>4.9454709999999999E-2</v>
      </c>
      <c r="O473">
        <f>IFERROR(INDEX(MonthlyCurve!$J:$J,MATCH(A473,MonthlyCurve!$A:$A,0)),"")</f>
        <v>0.14413914782077511</v>
      </c>
      <c r="P473">
        <f t="shared" si="66"/>
        <v>51.594876325809487</v>
      </c>
      <c r="Q473">
        <f t="shared" si="67"/>
        <v>0.15478462897742845</v>
      </c>
      <c r="R473">
        <f t="shared" si="68"/>
        <v>51.749660954786918</v>
      </c>
      <c r="S473">
        <f t="shared" si="69"/>
        <v>7.436841505520464</v>
      </c>
      <c r="T473">
        <f t="shared" si="70"/>
        <v>2.2310524516561389E-2</v>
      </c>
      <c r="U473">
        <f>SUMPRODUCT(R474:R543,O474:O543)/(M473*O473)</f>
        <v>166782.73343612105</v>
      </c>
    </row>
    <row r="474" spans="1:21" x14ac:dyDescent="0.35">
      <c r="A474">
        <v>471</v>
      </c>
      <c r="B474">
        <f>A474/Inputs!$B$6</f>
        <v>39.25</v>
      </c>
      <c r="C474">
        <f>Inputs!$B$3+B474</f>
        <v>104.25</v>
      </c>
      <c r="D474">
        <f t="shared" si="63"/>
        <v>104</v>
      </c>
      <c r="E474">
        <f>Inputs!$B$7+1+INT((A474-1)/Inputs!$B$6)</f>
        <v>2065</v>
      </c>
      <c r="F474">
        <f>Inputs!$B$16</f>
        <v>8333.3333333333339</v>
      </c>
      <c r="G474">
        <f>Inputs!$B$12</f>
        <v>25</v>
      </c>
      <c r="H474">
        <f>IFERROR(INDEX(RP2014_Qx!$B:$B,MATCH(D474,RP2014_Qx!$A:$A,0)),"")</f>
        <v>0.35223199999999999</v>
      </c>
      <c r="I474">
        <f>SUMIFS(MP2016_Long!$C:$C,MP2016_Long!$A:$A,D474,MP2016_Long!$B:$B,"&gt;=2014",MP2016_Long!$B:$B,"&lt;"&amp;E474)</f>
        <v>8.4699999999999998E-2</v>
      </c>
      <c r="J474">
        <f t="shared" si="64"/>
        <v>0.38336596279527818</v>
      </c>
      <c r="K474">
        <f t="shared" si="65"/>
        <v>0.48347956361879096</v>
      </c>
      <c r="L474">
        <f>EXP(-K474/Inputs!$B$6)</f>
        <v>0.96051088554133424</v>
      </c>
      <c r="M474">
        <f t="shared" si="71"/>
        <v>5.9468928418918666E-3</v>
      </c>
      <c r="N474">
        <f>IFERROR(INDEX(MonthlyCurve!$I:$I,MATCH(A474,MonthlyCurve!$A:$A,0)),"")</f>
        <v>4.9454709999999999E-2</v>
      </c>
      <c r="O474">
        <f>IFERROR(INDEX(MonthlyCurve!$J:$J,MATCH(A474,MonthlyCurve!$A:$A,0)),"")</f>
        <v>0.14354634022721074</v>
      </c>
      <c r="P474">
        <f t="shared" si="66"/>
        <v>49.55744034909889</v>
      </c>
      <c r="Q474">
        <f t="shared" si="67"/>
        <v>0.14867232104729666</v>
      </c>
      <c r="R474">
        <f t="shared" si="68"/>
        <v>49.706112670146183</v>
      </c>
      <c r="S474">
        <f t="shared" si="69"/>
        <v>7.113789193141451</v>
      </c>
      <c r="T474">
        <f t="shared" si="70"/>
        <v>2.1341367579424352E-2</v>
      </c>
      <c r="U474">
        <f>SUMPRODUCT(R475:R543,O475:O543)/(M474*O474)</f>
        <v>165998.35910530889</v>
      </c>
    </row>
    <row r="475" spans="1:21" x14ac:dyDescent="0.35">
      <c r="A475">
        <v>472</v>
      </c>
      <c r="B475">
        <f>A475/Inputs!$B$6</f>
        <v>39.333333333333336</v>
      </c>
      <c r="C475">
        <f>Inputs!$B$3+B475</f>
        <v>104.33333333333334</v>
      </c>
      <c r="D475">
        <f t="shared" si="63"/>
        <v>104</v>
      </c>
      <c r="E475">
        <f>Inputs!$B$7+1+INT((A475-1)/Inputs!$B$6)</f>
        <v>2065</v>
      </c>
      <c r="F475">
        <f>Inputs!$B$16</f>
        <v>8333.3333333333339</v>
      </c>
      <c r="G475">
        <f>Inputs!$B$12</f>
        <v>25</v>
      </c>
      <c r="H475">
        <f>IFERROR(INDEX(RP2014_Qx!$B:$B,MATCH(D475,RP2014_Qx!$A:$A,0)),"")</f>
        <v>0.35223199999999999</v>
      </c>
      <c r="I475">
        <f>SUMIFS(MP2016_Long!$C:$C,MP2016_Long!$A:$A,D475,MP2016_Long!$B:$B,"&gt;=2014",MP2016_Long!$B:$B,"&lt;"&amp;E475)</f>
        <v>8.4699999999999998E-2</v>
      </c>
      <c r="J475">
        <f t="shared" si="64"/>
        <v>0.38336596279527818</v>
      </c>
      <c r="K475">
        <f t="shared" si="65"/>
        <v>0.48347956361879096</v>
      </c>
      <c r="L475">
        <f>EXP(-K475/Inputs!$B$6)</f>
        <v>0.96051088554133424</v>
      </c>
      <c r="M475">
        <f t="shared" si="71"/>
        <v>5.7120553097849787E-3</v>
      </c>
      <c r="N475">
        <f>IFERROR(INDEX(MonthlyCurve!$I:$I,MATCH(A475,MonthlyCurve!$A:$A,0)),"")</f>
        <v>4.9454709999999999E-2</v>
      </c>
      <c r="O475">
        <f>IFERROR(INDEX(MonthlyCurve!$J:$J,MATCH(A475,MonthlyCurve!$A:$A,0)),"")</f>
        <v>0.1429559707002529</v>
      </c>
      <c r="P475">
        <f t="shared" si="66"/>
        <v>47.600460914874823</v>
      </c>
      <c r="Q475">
        <f t="shared" si="67"/>
        <v>0.14280138274462448</v>
      </c>
      <c r="R475">
        <f t="shared" si="68"/>
        <v>47.743262297619445</v>
      </c>
      <c r="S475">
        <f t="shared" si="69"/>
        <v>6.8047700958653783</v>
      </c>
      <c r="T475">
        <f t="shared" si="70"/>
        <v>2.0414310287596136E-2</v>
      </c>
      <c r="U475">
        <f>SUMPRODUCT(R476:R543,O476:O543)/(M475*O475)</f>
        <v>165178.36466621686</v>
      </c>
    </row>
    <row r="476" spans="1:21" x14ac:dyDescent="0.35">
      <c r="A476">
        <v>473</v>
      </c>
      <c r="B476">
        <f>A476/Inputs!$B$6</f>
        <v>39.416666666666664</v>
      </c>
      <c r="C476">
        <f>Inputs!$B$3+B476</f>
        <v>104.41666666666666</v>
      </c>
      <c r="D476">
        <f t="shared" si="63"/>
        <v>104</v>
      </c>
      <c r="E476">
        <f>Inputs!$B$7+1+INT((A476-1)/Inputs!$B$6)</f>
        <v>2065</v>
      </c>
      <c r="F476">
        <f>Inputs!$B$16</f>
        <v>8333.3333333333339</v>
      </c>
      <c r="G476">
        <f>Inputs!$B$12</f>
        <v>25</v>
      </c>
      <c r="H476">
        <f>IFERROR(INDEX(RP2014_Qx!$B:$B,MATCH(D476,RP2014_Qx!$A:$A,0)),"")</f>
        <v>0.35223199999999999</v>
      </c>
      <c r="I476">
        <f>SUMIFS(MP2016_Long!$C:$C,MP2016_Long!$A:$A,D476,MP2016_Long!$B:$B,"&gt;=2014",MP2016_Long!$B:$B,"&lt;"&amp;E476)</f>
        <v>8.4699999999999998E-2</v>
      </c>
      <c r="J476">
        <f t="shared" si="64"/>
        <v>0.38336596279527818</v>
      </c>
      <c r="K476">
        <f t="shared" si="65"/>
        <v>0.48347956361879096</v>
      </c>
      <c r="L476">
        <f>EXP(-K476/Inputs!$B$6)</f>
        <v>0.96051088554133424</v>
      </c>
      <c r="M476">
        <f t="shared" si="71"/>
        <v>5.4864913038626499E-3</v>
      </c>
      <c r="N476">
        <f>IFERROR(INDEX(MonthlyCurve!$I:$I,MATCH(A476,MonthlyCurve!$A:$A,0)),"")</f>
        <v>4.9454709999999999E-2</v>
      </c>
      <c r="O476">
        <f>IFERROR(INDEX(MonthlyCurve!$J:$J,MATCH(A476,MonthlyCurve!$A:$A,0)),"")</f>
        <v>0.14236802921275479</v>
      </c>
      <c r="P476">
        <f t="shared" si="66"/>
        <v>45.720760865522088</v>
      </c>
      <c r="Q476">
        <f t="shared" si="67"/>
        <v>0.13716228259656624</v>
      </c>
      <c r="R476">
        <f t="shared" si="68"/>
        <v>45.857923148118651</v>
      </c>
      <c r="S476">
        <f t="shared" si="69"/>
        <v>6.5091746185320245</v>
      </c>
      <c r="T476">
        <f t="shared" si="70"/>
        <v>1.9527523855596071E-2</v>
      </c>
      <c r="U476">
        <f>SUMPRODUCT(R477:R543,O477:O543)/(M476*O476)</f>
        <v>164321.13253389354</v>
      </c>
    </row>
    <row r="477" spans="1:21" x14ac:dyDescent="0.35">
      <c r="A477">
        <v>474</v>
      </c>
      <c r="B477">
        <f>A477/Inputs!$B$6</f>
        <v>39.5</v>
      </c>
      <c r="C477">
        <f>Inputs!$B$3+B477</f>
        <v>104.5</v>
      </c>
      <c r="D477">
        <f t="shared" si="63"/>
        <v>104</v>
      </c>
      <c r="E477">
        <f>Inputs!$B$7+1+INT((A477-1)/Inputs!$B$6)</f>
        <v>2065</v>
      </c>
      <c r="F477">
        <f>Inputs!$B$16</f>
        <v>8333.3333333333339</v>
      </c>
      <c r="G477">
        <f>Inputs!$B$12</f>
        <v>25</v>
      </c>
      <c r="H477">
        <f>IFERROR(INDEX(RP2014_Qx!$B:$B,MATCH(D477,RP2014_Qx!$A:$A,0)),"")</f>
        <v>0.35223199999999999</v>
      </c>
      <c r="I477">
        <f>SUMIFS(MP2016_Long!$C:$C,MP2016_Long!$A:$A,D477,MP2016_Long!$B:$B,"&gt;=2014",MP2016_Long!$B:$B,"&lt;"&amp;E477)</f>
        <v>8.4699999999999998E-2</v>
      </c>
      <c r="J477">
        <f t="shared" si="64"/>
        <v>0.38336596279527818</v>
      </c>
      <c r="K477">
        <f t="shared" si="65"/>
        <v>0.48347956361879096</v>
      </c>
      <c r="L477">
        <f>EXP(-K477/Inputs!$B$6)</f>
        <v>0.96051088554133424</v>
      </c>
      <c r="M477">
        <f t="shared" si="71"/>
        <v>5.2698346207879438E-3</v>
      </c>
      <c r="N477">
        <f>IFERROR(INDEX(MonthlyCurve!$I:$I,MATCH(A477,MonthlyCurve!$A:$A,0)),"")</f>
        <v>4.9454709999999999E-2</v>
      </c>
      <c r="O477">
        <f>IFERROR(INDEX(MonthlyCurve!$J:$J,MATCH(A477,MonthlyCurve!$A:$A,0)),"")</f>
        <v>0.14178250577880849</v>
      </c>
      <c r="P477">
        <f t="shared" si="66"/>
        <v>43.915288506566199</v>
      </c>
      <c r="Q477">
        <f t="shared" si="67"/>
        <v>0.13174586551969861</v>
      </c>
      <c r="R477">
        <f t="shared" si="68"/>
        <v>44.047034372085896</v>
      </c>
      <c r="S477">
        <f t="shared" si="69"/>
        <v>6.2264196464602639</v>
      </c>
      <c r="T477">
        <f t="shared" si="70"/>
        <v>1.8679258939380796E-2</v>
      </c>
      <c r="U477">
        <f>SUMPRODUCT(R478:R543,O478:O543)/(M477*O477)</f>
        <v>163424.97166541082</v>
      </c>
    </row>
    <row r="478" spans="1:21" x14ac:dyDescent="0.35">
      <c r="A478">
        <v>475</v>
      </c>
      <c r="B478">
        <f>A478/Inputs!$B$6</f>
        <v>39.583333333333336</v>
      </c>
      <c r="C478">
        <f>Inputs!$B$3+B478</f>
        <v>104.58333333333334</v>
      </c>
      <c r="D478">
        <f t="shared" si="63"/>
        <v>104</v>
      </c>
      <c r="E478">
        <f>Inputs!$B$7+1+INT((A478-1)/Inputs!$B$6)</f>
        <v>2065</v>
      </c>
      <c r="F478">
        <f>Inputs!$B$16</f>
        <v>8333.3333333333339</v>
      </c>
      <c r="G478">
        <f>Inputs!$B$12</f>
        <v>25</v>
      </c>
      <c r="H478">
        <f>IFERROR(INDEX(RP2014_Qx!$B:$B,MATCH(D478,RP2014_Qx!$A:$A,0)),"")</f>
        <v>0.35223199999999999</v>
      </c>
      <c r="I478">
        <f>SUMIFS(MP2016_Long!$C:$C,MP2016_Long!$A:$A,D478,MP2016_Long!$B:$B,"&gt;=2014",MP2016_Long!$B:$B,"&lt;"&amp;E478)</f>
        <v>8.4699999999999998E-2</v>
      </c>
      <c r="J478">
        <f t="shared" si="64"/>
        <v>0.38336596279527818</v>
      </c>
      <c r="K478">
        <f t="shared" si="65"/>
        <v>0.48347956361879096</v>
      </c>
      <c r="L478">
        <f>EXP(-K478/Inputs!$B$6)</f>
        <v>0.96051088554133424</v>
      </c>
      <c r="M478">
        <f t="shared" si="71"/>
        <v>5.0617335182694088E-3</v>
      </c>
      <c r="N478">
        <f>IFERROR(INDEX(MonthlyCurve!$I:$I,MATCH(A478,MonthlyCurve!$A:$A,0)),"")</f>
        <v>4.9454709999999999E-2</v>
      </c>
      <c r="O478">
        <f>IFERROR(INDEX(MonthlyCurve!$J:$J,MATCH(A478,MonthlyCurve!$A:$A,0)),"")</f>
        <v>0.14119939045357593</v>
      </c>
      <c r="P478">
        <f t="shared" si="66"/>
        <v>42.181112652245076</v>
      </c>
      <c r="Q478">
        <f t="shared" si="67"/>
        <v>0.12654333795673522</v>
      </c>
      <c r="R478">
        <f t="shared" si="68"/>
        <v>42.307655990201809</v>
      </c>
      <c r="S478">
        <f t="shared" si="69"/>
        <v>5.9559473951506243</v>
      </c>
      <c r="T478">
        <f t="shared" si="70"/>
        <v>1.7867842185451874E-2</v>
      </c>
      <c r="U478">
        <f>SUMPRODUCT(R479:R543,O479:O543)/(M478*O478)</f>
        <v>162488.11422398136</v>
      </c>
    </row>
    <row r="479" spans="1:21" x14ac:dyDescent="0.35">
      <c r="A479">
        <v>476</v>
      </c>
      <c r="B479">
        <f>A479/Inputs!$B$6</f>
        <v>39.666666666666664</v>
      </c>
      <c r="C479">
        <f>Inputs!$B$3+B479</f>
        <v>104.66666666666666</v>
      </c>
      <c r="D479">
        <f t="shared" si="63"/>
        <v>104</v>
      </c>
      <c r="E479">
        <f>Inputs!$B$7+1+INT((A479-1)/Inputs!$B$6)</f>
        <v>2065</v>
      </c>
      <c r="F479">
        <f>Inputs!$B$16</f>
        <v>8333.3333333333339</v>
      </c>
      <c r="G479">
        <f>Inputs!$B$12</f>
        <v>25</v>
      </c>
      <c r="H479">
        <f>IFERROR(INDEX(RP2014_Qx!$B:$B,MATCH(D479,RP2014_Qx!$A:$A,0)),"")</f>
        <v>0.35223199999999999</v>
      </c>
      <c r="I479">
        <f>SUMIFS(MP2016_Long!$C:$C,MP2016_Long!$A:$A,D479,MP2016_Long!$B:$B,"&gt;=2014",MP2016_Long!$B:$B,"&lt;"&amp;E479)</f>
        <v>8.4699999999999998E-2</v>
      </c>
      <c r="J479">
        <f t="shared" si="64"/>
        <v>0.38336596279527818</v>
      </c>
      <c r="K479">
        <f t="shared" si="65"/>
        <v>0.48347956361879096</v>
      </c>
      <c r="L479">
        <f>EXP(-K479/Inputs!$B$6)</f>
        <v>0.96051088554133424</v>
      </c>
      <c r="M479">
        <f t="shared" si="71"/>
        <v>4.8618501440072029E-3</v>
      </c>
      <c r="N479">
        <f>IFERROR(INDEX(MonthlyCurve!$I:$I,MATCH(A479,MonthlyCurve!$A:$A,0)),"")</f>
        <v>4.9454709999999999E-2</v>
      </c>
      <c r="O479">
        <f>IFERROR(INDEX(MonthlyCurve!$J:$J,MATCH(A479,MonthlyCurve!$A:$A,0)),"")</f>
        <v>0.1406186733331195</v>
      </c>
      <c r="P479">
        <f t="shared" si="66"/>
        <v>40.515417866726693</v>
      </c>
      <c r="Q479">
        <f t="shared" si="67"/>
        <v>0.12154625360018007</v>
      </c>
      <c r="R479">
        <f t="shared" si="68"/>
        <v>40.636964120326873</v>
      </c>
      <c r="S479">
        <f t="shared" si="69"/>
        <v>5.6972243099560744</v>
      </c>
      <c r="T479">
        <f t="shared" si="70"/>
        <v>1.7091672929868219E-2</v>
      </c>
      <c r="U479">
        <f>SUMPRODUCT(R480:R543,O480:O543)/(M479*O479)</f>
        <v>161508.71209158524</v>
      </c>
    </row>
    <row r="480" spans="1:21" x14ac:dyDescent="0.35">
      <c r="A480">
        <v>477</v>
      </c>
      <c r="B480">
        <f>A480/Inputs!$B$6</f>
        <v>39.75</v>
      </c>
      <c r="C480">
        <f>Inputs!$B$3+B480</f>
        <v>104.75</v>
      </c>
      <c r="D480">
        <f t="shared" si="63"/>
        <v>104</v>
      </c>
      <c r="E480">
        <f>Inputs!$B$7+1+INT((A480-1)/Inputs!$B$6)</f>
        <v>2065</v>
      </c>
      <c r="F480">
        <f>Inputs!$B$16</f>
        <v>8333.3333333333339</v>
      </c>
      <c r="G480">
        <f>Inputs!$B$12</f>
        <v>25</v>
      </c>
      <c r="H480">
        <f>IFERROR(INDEX(RP2014_Qx!$B:$B,MATCH(D480,RP2014_Qx!$A:$A,0)),"")</f>
        <v>0.35223199999999999</v>
      </c>
      <c r="I480">
        <f>SUMIFS(MP2016_Long!$C:$C,MP2016_Long!$A:$A,D480,MP2016_Long!$B:$B,"&gt;=2014",MP2016_Long!$B:$B,"&lt;"&amp;E480)</f>
        <v>8.4699999999999998E-2</v>
      </c>
      <c r="J480">
        <f t="shared" si="64"/>
        <v>0.38336596279527818</v>
      </c>
      <c r="K480">
        <f t="shared" si="65"/>
        <v>0.48347956361879096</v>
      </c>
      <c r="L480">
        <f>EXP(-K480/Inputs!$B$6)</f>
        <v>0.96051088554133424</v>
      </c>
      <c r="M480">
        <f t="shared" si="71"/>
        <v>4.6698599871896219E-3</v>
      </c>
      <c r="N480">
        <f>IFERROR(INDEX(MonthlyCurve!$I:$I,MATCH(A480,MonthlyCurve!$A:$A,0)),"")</f>
        <v>4.9454709999999999E-2</v>
      </c>
      <c r="O480">
        <f>IFERROR(INDEX(MonthlyCurve!$J:$J,MATCH(A480,MonthlyCurve!$A:$A,0)),"")</f>
        <v>0.14004034455423378</v>
      </c>
      <c r="P480">
        <f t="shared" si="66"/>
        <v>38.915499893246853</v>
      </c>
      <c r="Q480">
        <f t="shared" si="67"/>
        <v>0.11674649967974055</v>
      </c>
      <c r="R480">
        <f t="shared" si="68"/>
        <v>39.032246392926595</v>
      </c>
      <c r="S480">
        <f t="shared" si="69"/>
        <v>5.4497400135505369</v>
      </c>
      <c r="T480">
        <f t="shared" si="70"/>
        <v>1.6349220040651608E-2</v>
      </c>
      <c r="U480">
        <f>SUMPRODUCT(R481:R543,O481:O543)/(M480*O480)</f>
        <v>160484.8332232291</v>
      </c>
    </row>
    <row r="481" spans="1:21" x14ac:dyDescent="0.35">
      <c r="A481">
        <v>478</v>
      </c>
      <c r="B481">
        <f>A481/Inputs!$B$6</f>
        <v>39.833333333333336</v>
      </c>
      <c r="C481">
        <f>Inputs!$B$3+B481</f>
        <v>104.83333333333334</v>
      </c>
      <c r="D481">
        <f t="shared" si="63"/>
        <v>104</v>
      </c>
      <c r="E481">
        <f>Inputs!$B$7+1+INT((A481-1)/Inputs!$B$6)</f>
        <v>2065</v>
      </c>
      <c r="F481">
        <f>Inputs!$B$16</f>
        <v>8333.3333333333339</v>
      </c>
      <c r="G481">
        <f>Inputs!$B$12</f>
        <v>25</v>
      </c>
      <c r="H481">
        <f>IFERROR(INDEX(RP2014_Qx!$B:$B,MATCH(D481,RP2014_Qx!$A:$A,0)),"")</f>
        <v>0.35223199999999999</v>
      </c>
      <c r="I481">
        <f>SUMIFS(MP2016_Long!$C:$C,MP2016_Long!$A:$A,D481,MP2016_Long!$B:$B,"&gt;=2014",MP2016_Long!$B:$B,"&lt;"&amp;E481)</f>
        <v>8.4699999999999998E-2</v>
      </c>
      <c r="J481">
        <f t="shared" si="64"/>
        <v>0.38336596279527818</v>
      </c>
      <c r="K481">
        <f t="shared" si="65"/>
        <v>0.48347956361879096</v>
      </c>
      <c r="L481">
        <f>EXP(-K481/Inputs!$B$6)</f>
        <v>0.96051088554133424</v>
      </c>
      <c r="M481">
        <f t="shared" si="71"/>
        <v>4.4854513516495477E-3</v>
      </c>
      <c r="N481">
        <f>IFERROR(INDEX(MonthlyCurve!$I:$I,MATCH(A481,MonthlyCurve!$A:$A,0)),"")</f>
        <v>4.9454709999999999E-2</v>
      </c>
      <c r="O481">
        <f>IFERROR(INDEX(MonthlyCurve!$J:$J,MATCH(A481,MonthlyCurve!$A:$A,0)),"")</f>
        <v>0.13946439429427848</v>
      </c>
      <c r="P481">
        <f t="shared" si="66"/>
        <v>37.378761263746235</v>
      </c>
      <c r="Q481">
        <f t="shared" si="67"/>
        <v>0.11213628379123869</v>
      </c>
      <c r="R481">
        <f t="shared" si="68"/>
        <v>37.490897547537472</v>
      </c>
      <c r="S481">
        <f t="shared" si="69"/>
        <v>5.213006299118808</v>
      </c>
      <c r="T481">
        <f t="shared" si="70"/>
        <v>1.5639018897356423E-2</v>
      </c>
      <c r="U481">
        <f>SUMPRODUCT(R482:R543,O482:O543)/(M481*O481)</f>
        <v>159414.45783564268</v>
      </c>
    </row>
    <row r="482" spans="1:21" x14ac:dyDescent="0.35">
      <c r="A482">
        <v>479</v>
      </c>
      <c r="B482">
        <f>A482/Inputs!$B$6</f>
        <v>39.916666666666664</v>
      </c>
      <c r="C482">
        <f>Inputs!$B$3+B482</f>
        <v>104.91666666666666</v>
      </c>
      <c r="D482">
        <f t="shared" si="63"/>
        <v>104</v>
      </c>
      <c r="E482">
        <f>Inputs!$B$7+1+INT((A482-1)/Inputs!$B$6)</f>
        <v>2065</v>
      </c>
      <c r="F482">
        <f>Inputs!$B$16</f>
        <v>8333.3333333333339</v>
      </c>
      <c r="G482">
        <f>Inputs!$B$12</f>
        <v>25</v>
      </c>
      <c r="H482">
        <f>IFERROR(INDEX(RP2014_Qx!$B:$B,MATCH(D482,RP2014_Qx!$A:$A,0)),"")</f>
        <v>0.35223199999999999</v>
      </c>
      <c r="I482">
        <f>SUMIFS(MP2016_Long!$C:$C,MP2016_Long!$A:$A,D482,MP2016_Long!$B:$B,"&gt;=2014",MP2016_Long!$B:$B,"&lt;"&amp;E482)</f>
        <v>8.4699999999999998E-2</v>
      </c>
      <c r="J482">
        <f t="shared" si="64"/>
        <v>0.38336596279527818</v>
      </c>
      <c r="K482">
        <f t="shared" si="65"/>
        <v>0.48347956361879096</v>
      </c>
      <c r="L482">
        <f>EXP(-K482/Inputs!$B$6)</f>
        <v>0.96051088554133424</v>
      </c>
      <c r="M482">
        <f t="shared" si="71"/>
        <v>4.3083248498254813E-3</v>
      </c>
      <c r="N482">
        <f>IFERROR(INDEX(MonthlyCurve!$I:$I,MATCH(A482,MonthlyCurve!$A:$A,0)),"")</f>
        <v>4.9454709999999999E-2</v>
      </c>
      <c r="O482">
        <f>IFERROR(INDEX(MonthlyCurve!$J:$J,MATCH(A482,MonthlyCurve!$A:$A,0)),"")</f>
        <v>0.1388908127710112</v>
      </c>
      <c r="P482">
        <f t="shared" si="66"/>
        <v>35.902707081879015</v>
      </c>
      <c r="Q482">
        <f t="shared" si="67"/>
        <v>0.10770812124563703</v>
      </c>
      <c r="R482">
        <f t="shared" si="68"/>
        <v>36.010415203124651</v>
      </c>
      <c r="S482">
        <f t="shared" si="69"/>
        <v>4.9865561672817158</v>
      </c>
      <c r="T482">
        <f t="shared" si="70"/>
        <v>1.4959668501845146E-2</v>
      </c>
      <c r="U482">
        <f>SUMPRODUCT(R483:R543,O483:O543)/(M482*O482)</f>
        <v>158295.47442289762</v>
      </c>
    </row>
    <row r="483" spans="1:21" x14ac:dyDescent="0.35">
      <c r="A483">
        <v>480</v>
      </c>
      <c r="B483">
        <f>A483/Inputs!$B$6</f>
        <v>40</v>
      </c>
      <c r="C483">
        <f>Inputs!$B$3+B483</f>
        <v>105</v>
      </c>
      <c r="D483">
        <f t="shared" si="63"/>
        <v>105</v>
      </c>
      <c r="E483">
        <f>Inputs!$B$7+1+INT((A483-1)/Inputs!$B$6)</f>
        <v>2065</v>
      </c>
      <c r="F483">
        <f>Inputs!$B$16</f>
        <v>8333.3333333333339</v>
      </c>
      <c r="G483">
        <f>Inputs!$B$12</f>
        <v>25</v>
      </c>
      <c r="H483">
        <f>IFERROR(INDEX(RP2014_Qx!$B:$B,MATCH(D483,RP2014_Qx!$A:$A,0)),"")</f>
        <v>0.37227300000000002</v>
      </c>
      <c r="I483">
        <f>SUMIFS(MP2016_Long!$C:$C,MP2016_Long!$A:$A,D483,MP2016_Long!$B:$B,"&gt;=2014",MP2016_Long!$B:$B,"&lt;"&amp;E483)</f>
        <v>7.7100000000000016E-2</v>
      </c>
      <c r="J483">
        <f t="shared" si="64"/>
        <v>0.40211071296571249</v>
      </c>
      <c r="K483">
        <f t="shared" si="65"/>
        <v>0.51434968091044675</v>
      </c>
      <c r="L483">
        <f>EXP(-K483/Inputs!$B$6)</f>
        <v>0.95804313741396541</v>
      </c>
      <c r="M483">
        <f t="shared" si="71"/>
        <v>4.1275610561253553E-3</v>
      </c>
      <c r="N483">
        <f>IFERROR(INDEX(MonthlyCurve!$I:$I,MATCH(A483,MonthlyCurve!$A:$A,0)),"")</f>
        <v>4.9454709999999999E-2</v>
      </c>
      <c r="O483">
        <f>IFERROR(INDEX(MonthlyCurve!$J:$J,MATCH(A483,MonthlyCurve!$A:$A,0)),"")</f>
        <v>0.13831959024242127</v>
      </c>
      <c r="P483">
        <f t="shared" si="66"/>
        <v>34.39634213437796</v>
      </c>
      <c r="Q483">
        <f t="shared" si="67"/>
        <v>0.10318902640313388</v>
      </c>
      <c r="R483">
        <f t="shared" si="68"/>
        <v>34.499531160781096</v>
      </c>
      <c r="S483">
        <f t="shared" si="69"/>
        <v>4.7576879498652893</v>
      </c>
      <c r="T483">
        <f t="shared" si="70"/>
        <v>1.4273063849595867E-2</v>
      </c>
      <c r="U483">
        <f>SUMPRODUCT(R484:R543,O484:O543)/(M483*O483)</f>
        <v>157551.93286195904</v>
      </c>
    </row>
    <row r="484" spans="1:21" x14ac:dyDescent="0.35">
      <c r="A484">
        <v>481</v>
      </c>
      <c r="B484">
        <f>A484/Inputs!$B$6</f>
        <v>40.083333333333336</v>
      </c>
      <c r="C484">
        <f>Inputs!$B$3+B484</f>
        <v>105.08333333333334</v>
      </c>
      <c r="D484">
        <f t="shared" si="63"/>
        <v>105</v>
      </c>
      <c r="E484">
        <f>Inputs!$B$7+1+INT((A484-1)/Inputs!$B$6)</f>
        <v>2066</v>
      </c>
      <c r="F484">
        <f>Inputs!$B$16</f>
        <v>8333.3333333333339</v>
      </c>
      <c r="G484">
        <f>Inputs!$B$12</f>
        <v>25</v>
      </c>
      <c r="H484">
        <f>IFERROR(INDEX(RP2014_Qx!$B:$B,MATCH(D484,RP2014_Qx!$A:$A,0)),"")</f>
        <v>0.37227300000000002</v>
      </c>
      <c r="I484">
        <f>SUMIFS(MP2016_Long!$C:$C,MP2016_Long!$A:$A,D484,MP2016_Long!$B:$B,"&gt;=2014",MP2016_Long!$B:$B,"&lt;"&amp;E484)</f>
        <v>7.7100000000000016E-2</v>
      </c>
      <c r="J484">
        <f t="shared" si="64"/>
        <v>0.40211071296571249</v>
      </c>
      <c r="K484">
        <f t="shared" si="65"/>
        <v>0.51434968091044675</v>
      </c>
      <c r="L484">
        <f>EXP(-K484/Inputs!$B$6)</f>
        <v>0.95804313741396541</v>
      </c>
      <c r="M484">
        <f t="shared" si="71"/>
        <v>3.954381544078036E-3</v>
      </c>
      <c r="N484">
        <f>IFERROR(INDEX(MonthlyCurve!$I:$I,MATCH(A484,MonthlyCurve!$A:$A,0)),"")</f>
        <v>4.9454709999999999E-2</v>
      </c>
      <c r="O484">
        <f>IFERROR(INDEX(MonthlyCurve!$J:$J,MATCH(A484,MonthlyCurve!$A:$A,0)),"")</f>
        <v>0.13775071700656472</v>
      </c>
      <c r="P484">
        <f t="shared" si="66"/>
        <v>32.953179533983636</v>
      </c>
      <c r="Q484">
        <f t="shared" si="67"/>
        <v>9.8859538601950903E-2</v>
      </c>
      <c r="R484">
        <f t="shared" si="68"/>
        <v>33.052039072585586</v>
      </c>
      <c r="S484">
        <f t="shared" si="69"/>
        <v>4.5393241084523002</v>
      </c>
      <c r="T484">
        <f t="shared" si="70"/>
        <v>1.3617972325356898E-2</v>
      </c>
      <c r="U484">
        <f>SUMPRODUCT(R485:R543,O485:O543)/(M484*O484)</f>
        <v>156772.6232907137</v>
      </c>
    </row>
    <row r="485" spans="1:21" x14ac:dyDescent="0.35">
      <c r="A485">
        <v>482</v>
      </c>
      <c r="B485">
        <f>A485/Inputs!$B$6</f>
        <v>40.166666666666664</v>
      </c>
      <c r="C485">
        <f>Inputs!$B$3+B485</f>
        <v>105.16666666666666</v>
      </c>
      <c r="D485">
        <f t="shared" si="63"/>
        <v>105</v>
      </c>
      <c r="E485">
        <f>Inputs!$B$7+1+INT((A485-1)/Inputs!$B$6)</f>
        <v>2066</v>
      </c>
      <c r="F485">
        <f>Inputs!$B$16</f>
        <v>8333.3333333333339</v>
      </c>
      <c r="G485">
        <f>Inputs!$B$12</f>
        <v>25</v>
      </c>
      <c r="H485">
        <f>IFERROR(INDEX(RP2014_Qx!$B:$B,MATCH(D485,RP2014_Qx!$A:$A,0)),"")</f>
        <v>0.37227300000000002</v>
      </c>
      <c r="I485">
        <f>SUMIFS(MP2016_Long!$C:$C,MP2016_Long!$A:$A,D485,MP2016_Long!$B:$B,"&gt;=2014",MP2016_Long!$B:$B,"&lt;"&amp;E485)</f>
        <v>7.7100000000000016E-2</v>
      </c>
      <c r="J485">
        <f t="shared" si="64"/>
        <v>0.40211071296571249</v>
      </c>
      <c r="K485">
        <f t="shared" si="65"/>
        <v>0.51434968091044675</v>
      </c>
      <c r="L485">
        <f>EXP(-K485/Inputs!$B$6)</f>
        <v>0.95804313741396541</v>
      </c>
      <c r="M485">
        <f t="shared" si="71"/>
        <v>3.7884681010204027E-3</v>
      </c>
      <c r="N485">
        <f>IFERROR(INDEX(MonthlyCurve!$I:$I,MATCH(A485,MonthlyCurve!$A:$A,0)),"")</f>
        <v>4.9454709999999999E-2</v>
      </c>
      <c r="O485">
        <f>IFERROR(INDEX(MonthlyCurve!$J:$J,MATCH(A485,MonthlyCurve!$A:$A,0)),"")</f>
        <v>0.13718418340139904</v>
      </c>
      <c r="P485">
        <f t="shared" si="66"/>
        <v>31.570567508503359</v>
      </c>
      <c r="Q485">
        <f t="shared" si="67"/>
        <v>9.4711702525510061E-2</v>
      </c>
      <c r="R485">
        <f t="shared" si="68"/>
        <v>31.665279211028871</v>
      </c>
      <c r="S485">
        <f t="shared" si="69"/>
        <v>4.3309825231727741</v>
      </c>
      <c r="T485">
        <f t="shared" si="70"/>
        <v>1.2992947569518321E-2</v>
      </c>
      <c r="U485">
        <f>SUMPRODUCT(R486:R543,O486:O543)/(M485*O485)</f>
        <v>155955.82509174282</v>
      </c>
    </row>
    <row r="486" spans="1:21" x14ac:dyDescent="0.35">
      <c r="A486">
        <v>483</v>
      </c>
      <c r="B486">
        <f>A486/Inputs!$B$6</f>
        <v>40.25</v>
      </c>
      <c r="C486">
        <f>Inputs!$B$3+B486</f>
        <v>105.25</v>
      </c>
      <c r="D486">
        <f t="shared" si="63"/>
        <v>105</v>
      </c>
      <c r="E486">
        <f>Inputs!$B$7+1+INT((A486-1)/Inputs!$B$6)</f>
        <v>2066</v>
      </c>
      <c r="F486">
        <f>Inputs!$B$16</f>
        <v>8333.3333333333339</v>
      </c>
      <c r="G486">
        <f>Inputs!$B$12</f>
        <v>25</v>
      </c>
      <c r="H486">
        <f>IFERROR(INDEX(RP2014_Qx!$B:$B,MATCH(D486,RP2014_Qx!$A:$A,0)),"")</f>
        <v>0.37227300000000002</v>
      </c>
      <c r="I486">
        <f>SUMIFS(MP2016_Long!$C:$C,MP2016_Long!$A:$A,D486,MP2016_Long!$B:$B,"&gt;=2014",MP2016_Long!$B:$B,"&lt;"&amp;E486)</f>
        <v>7.7100000000000016E-2</v>
      </c>
      <c r="J486">
        <f t="shared" si="64"/>
        <v>0.40211071296571249</v>
      </c>
      <c r="K486">
        <f t="shared" si="65"/>
        <v>0.51434968091044675</v>
      </c>
      <c r="L486">
        <f>EXP(-K486/Inputs!$B$6)</f>
        <v>0.95804313741396541</v>
      </c>
      <c r="M486">
        <f t="shared" si="71"/>
        <v>3.6295158654943141E-3</v>
      </c>
      <c r="N486">
        <f>IFERROR(INDEX(MonthlyCurve!$I:$I,MATCH(A486,MonthlyCurve!$A:$A,0)),"")</f>
        <v>4.9454709999999999E-2</v>
      </c>
      <c r="O486">
        <f>IFERROR(INDEX(MonthlyCurve!$J:$J,MATCH(A486,MonthlyCurve!$A:$A,0)),"")</f>
        <v>0.13661997980461915</v>
      </c>
      <c r="P486">
        <f t="shared" si="66"/>
        <v>30.245965545785953</v>
      </c>
      <c r="Q486">
        <f t="shared" si="67"/>
        <v>9.0737896637357845E-2</v>
      </c>
      <c r="R486">
        <f t="shared" si="68"/>
        <v>30.33670344242331</v>
      </c>
      <c r="S486">
        <f t="shared" si="69"/>
        <v>4.1322032020364841</v>
      </c>
      <c r="T486">
        <f t="shared" si="70"/>
        <v>1.2396609606109448E-2</v>
      </c>
      <c r="U486">
        <f>SUMPRODUCT(R487:R543,O487:O543)/(M486*O486)</f>
        <v>155099.73487745749</v>
      </c>
    </row>
    <row r="487" spans="1:21" x14ac:dyDescent="0.35">
      <c r="A487">
        <v>484</v>
      </c>
      <c r="B487">
        <f>A487/Inputs!$B$6</f>
        <v>40.333333333333336</v>
      </c>
      <c r="C487">
        <f>Inputs!$B$3+B487</f>
        <v>105.33333333333334</v>
      </c>
      <c r="D487">
        <f t="shared" si="63"/>
        <v>105</v>
      </c>
      <c r="E487">
        <f>Inputs!$B$7+1+INT((A487-1)/Inputs!$B$6)</f>
        <v>2066</v>
      </c>
      <c r="F487">
        <f>Inputs!$B$16</f>
        <v>8333.3333333333339</v>
      </c>
      <c r="G487">
        <f>Inputs!$B$12</f>
        <v>25</v>
      </c>
      <c r="H487">
        <f>IFERROR(INDEX(RP2014_Qx!$B:$B,MATCH(D487,RP2014_Qx!$A:$A,0)),"")</f>
        <v>0.37227300000000002</v>
      </c>
      <c r="I487">
        <f>SUMIFS(MP2016_Long!$C:$C,MP2016_Long!$A:$A,D487,MP2016_Long!$B:$B,"&gt;=2014",MP2016_Long!$B:$B,"&lt;"&amp;E487)</f>
        <v>7.7100000000000016E-2</v>
      </c>
      <c r="J487">
        <f t="shared" si="64"/>
        <v>0.40211071296571249</v>
      </c>
      <c r="K487">
        <f t="shared" si="65"/>
        <v>0.51434968091044675</v>
      </c>
      <c r="L487">
        <f>EXP(-K487/Inputs!$B$6)</f>
        <v>0.95804313741396541</v>
      </c>
      <c r="M487">
        <f t="shared" si="71"/>
        <v>3.4772327670719366E-3</v>
      </c>
      <c r="N487">
        <f>IFERROR(INDEX(MonthlyCurve!$I:$I,MATCH(A487,MonthlyCurve!$A:$A,0)),"")</f>
        <v>4.9454709999999999E-2</v>
      </c>
      <c r="O487">
        <f>IFERROR(INDEX(MonthlyCurve!$J:$J,MATCH(A487,MonthlyCurve!$A:$A,0)),"")</f>
        <v>0.13605809663349419</v>
      </c>
      <c r="P487">
        <f t="shared" si="66"/>
        <v>28.976939725599475</v>
      </c>
      <c r="Q487">
        <f t="shared" si="67"/>
        <v>8.6930819176798416E-2</v>
      </c>
      <c r="R487">
        <f t="shared" si="68"/>
        <v>29.063870544776275</v>
      </c>
      <c r="S487">
        <f t="shared" si="69"/>
        <v>3.94254726532855</v>
      </c>
      <c r="T487">
        <f t="shared" si="70"/>
        <v>1.1827641795985649E-2</v>
      </c>
      <c r="U487">
        <f>SUMPRODUCT(R488:R543,O488:O543)/(M487*O487)</f>
        <v>154202.46250844595</v>
      </c>
    </row>
    <row r="488" spans="1:21" x14ac:dyDescent="0.35">
      <c r="A488">
        <v>485</v>
      </c>
      <c r="B488">
        <f>A488/Inputs!$B$6</f>
        <v>40.416666666666664</v>
      </c>
      <c r="C488">
        <f>Inputs!$B$3+B488</f>
        <v>105.41666666666666</v>
      </c>
      <c r="D488">
        <f t="shared" si="63"/>
        <v>105</v>
      </c>
      <c r="E488">
        <f>Inputs!$B$7+1+INT((A488-1)/Inputs!$B$6)</f>
        <v>2066</v>
      </c>
      <c r="F488">
        <f>Inputs!$B$16</f>
        <v>8333.3333333333339</v>
      </c>
      <c r="G488">
        <f>Inputs!$B$12</f>
        <v>25</v>
      </c>
      <c r="H488">
        <f>IFERROR(INDEX(RP2014_Qx!$B:$B,MATCH(D488,RP2014_Qx!$A:$A,0)),"")</f>
        <v>0.37227300000000002</v>
      </c>
      <c r="I488">
        <f>SUMIFS(MP2016_Long!$C:$C,MP2016_Long!$A:$A,D488,MP2016_Long!$B:$B,"&gt;=2014",MP2016_Long!$B:$B,"&lt;"&amp;E488)</f>
        <v>7.7100000000000016E-2</v>
      </c>
      <c r="J488">
        <f t="shared" si="64"/>
        <v>0.40211071296571249</v>
      </c>
      <c r="K488">
        <f t="shared" si="65"/>
        <v>0.51434968091044675</v>
      </c>
      <c r="L488">
        <f>EXP(-K488/Inputs!$B$6)</f>
        <v>0.95804313741396541</v>
      </c>
      <c r="M488">
        <f t="shared" si="71"/>
        <v>3.3313389896842426E-3</v>
      </c>
      <c r="N488">
        <f>IFERROR(INDEX(MonthlyCurve!$I:$I,MATCH(A488,MonthlyCurve!$A:$A,0)),"")</f>
        <v>4.9454709999999999E-2</v>
      </c>
      <c r="O488">
        <f>IFERROR(INDEX(MonthlyCurve!$J:$J,MATCH(A488,MonthlyCurve!$A:$A,0)),"")</f>
        <v>0.13549852434470472</v>
      </c>
      <c r="P488">
        <f t="shared" si="66"/>
        <v>27.761158247368691</v>
      </c>
      <c r="Q488">
        <f t="shared" si="67"/>
        <v>8.3283474742106067E-2</v>
      </c>
      <c r="R488">
        <f t="shared" si="68"/>
        <v>27.844441722110798</v>
      </c>
      <c r="S488">
        <f t="shared" si="69"/>
        <v>3.7615959766182869</v>
      </c>
      <c r="T488">
        <f t="shared" si="70"/>
        <v>1.1284787929854859E-2</v>
      </c>
      <c r="U488">
        <f>SUMPRODUCT(R489:R543,O489:O543)/(M488*O488)</f>
        <v>153262.02692028307</v>
      </c>
    </row>
    <row r="489" spans="1:21" x14ac:dyDescent="0.35">
      <c r="A489">
        <v>486</v>
      </c>
      <c r="B489">
        <f>A489/Inputs!$B$6</f>
        <v>40.5</v>
      </c>
      <c r="C489">
        <f>Inputs!$B$3+B489</f>
        <v>105.5</v>
      </c>
      <c r="D489">
        <f t="shared" si="63"/>
        <v>105</v>
      </c>
      <c r="E489">
        <f>Inputs!$B$7+1+INT((A489-1)/Inputs!$B$6)</f>
        <v>2066</v>
      </c>
      <c r="F489">
        <f>Inputs!$B$16</f>
        <v>8333.3333333333339</v>
      </c>
      <c r="G489">
        <f>Inputs!$B$12</f>
        <v>25</v>
      </c>
      <c r="H489">
        <f>IFERROR(INDEX(RP2014_Qx!$B:$B,MATCH(D489,RP2014_Qx!$A:$A,0)),"")</f>
        <v>0.37227300000000002</v>
      </c>
      <c r="I489">
        <f>SUMIFS(MP2016_Long!$C:$C,MP2016_Long!$A:$A,D489,MP2016_Long!$B:$B,"&gt;=2014",MP2016_Long!$B:$B,"&lt;"&amp;E489)</f>
        <v>7.7100000000000016E-2</v>
      </c>
      <c r="J489">
        <f t="shared" si="64"/>
        <v>0.40211071296571249</v>
      </c>
      <c r="K489">
        <f t="shared" si="65"/>
        <v>0.51434968091044675</v>
      </c>
      <c r="L489">
        <f>EXP(-K489/Inputs!$B$6)</f>
        <v>0.95804313741396541</v>
      </c>
      <c r="M489">
        <f t="shared" si="71"/>
        <v>3.1915664574665614E-3</v>
      </c>
      <c r="N489">
        <f>IFERROR(INDEX(MonthlyCurve!$I:$I,MATCH(A489,MonthlyCurve!$A:$A,0)),"")</f>
        <v>4.9454709999999999E-2</v>
      </c>
      <c r="O489">
        <f>IFERROR(INDEX(MonthlyCurve!$J:$J,MATCH(A489,MonthlyCurve!$A:$A,0)),"")</f>
        <v>0.13494125343418023</v>
      </c>
      <c r="P489">
        <f t="shared" si="66"/>
        <v>26.596387145554679</v>
      </c>
      <c r="Q489">
        <f t="shared" si="67"/>
        <v>7.9789161436664036E-2</v>
      </c>
      <c r="R489">
        <f t="shared" si="68"/>
        <v>26.676176306991344</v>
      </c>
      <c r="S489">
        <f t="shared" si="69"/>
        <v>3.5889498182418675</v>
      </c>
      <c r="T489">
        <f t="shared" si="70"/>
        <v>1.0766849454725601E-2</v>
      </c>
      <c r="U489">
        <f>SUMPRODUCT(R490:R543,O490:O543)/(M489*O489)</f>
        <v>152276.35174959083</v>
      </c>
    </row>
    <row r="490" spans="1:21" x14ac:dyDescent="0.35">
      <c r="A490">
        <v>487</v>
      </c>
      <c r="B490">
        <f>A490/Inputs!$B$6</f>
        <v>40.583333333333336</v>
      </c>
      <c r="C490">
        <f>Inputs!$B$3+B490</f>
        <v>105.58333333333334</v>
      </c>
      <c r="D490">
        <f t="shared" si="63"/>
        <v>105</v>
      </c>
      <c r="E490">
        <f>Inputs!$B$7+1+INT((A490-1)/Inputs!$B$6)</f>
        <v>2066</v>
      </c>
      <c r="F490">
        <f>Inputs!$B$16</f>
        <v>8333.3333333333339</v>
      </c>
      <c r="G490">
        <f>Inputs!$B$12</f>
        <v>25</v>
      </c>
      <c r="H490">
        <f>IFERROR(INDEX(RP2014_Qx!$B:$B,MATCH(D490,RP2014_Qx!$A:$A,0)),"")</f>
        <v>0.37227300000000002</v>
      </c>
      <c r="I490">
        <f>SUMIFS(MP2016_Long!$C:$C,MP2016_Long!$A:$A,D490,MP2016_Long!$B:$B,"&gt;=2014",MP2016_Long!$B:$B,"&lt;"&amp;E490)</f>
        <v>7.7100000000000016E-2</v>
      </c>
      <c r="J490">
        <f t="shared" si="64"/>
        <v>0.40211071296571249</v>
      </c>
      <c r="K490">
        <f t="shared" si="65"/>
        <v>0.51434968091044675</v>
      </c>
      <c r="L490">
        <f>EXP(-K490/Inputs!$B$6)</f>
        <v>0.95804313741396541</v>
      </c>
      <c r="M490">
        <f t="shared" si="71"/>
        <v>3.0576583421764395E-3</v>
      </c>
      <c r="N490">
        <f>IFERROR(INDEX(MonthlyCurve!$I:$I,MATCH(A490,MonthlyCurve!$A:$A,0)),"")</f>
        <v>4.9454709999999999E-2</v>
      </c>
      <c r="O490">
        <f>IFERROR(INDEX(MonthlyCurve!$J:$J,MATCH(A490,MonthlyCurve!$A:$A,0)),"")</f>
        <v>0.1343862744369384</v>
      </c>
      <c r="P490">
        <f t="shared" si="66"/>
        <v>25.480486184803663</v>
      </c>
      <c r="Q490">
        <f t="shared" si="67"/>
        <v>7.6441458554410993E-2</v>
      </c>
      <c r="R490">
        <f t="shared" si="68"/>
        <v>25.556927643358073</v>
      </c>
      <c r="S490">
        <f t="shared" si="69"/>
        <v>3.4242276092176427</v>
      </c>
      <c r="T490">
        <f t="shared" si="70"/>
        <v>1.0272682827652929E-2</v>
      </c>
      <c r="U490">
        <f>SUMPRODUCT(R491:R543,O491:O543)/(M490*O490)</f>
        <v>151243.26074968794</v>
      </c>
    </row>
    <row r="491" spans="1:21" x14ac:dyDescent="0.35">
      <c r="A491">
        <v>488</v>
      </c>
      <c r="B491">
        <f>A491/Inputs!$B$6</f>
        <v>40.666666666666664</v>
      </c>
      <c r="C491">
        <f>Inputs!$B$3+B491</f>
        <v>105.66666666666666</v>
      </c>
      <c r="D491">
        <f t="shared" si="63"/>
        <v>105</v>
      </c>
      <c r="E491">
        <f>Inputs!$B$7+1+INT((A491-1)/Inputs!$B$6)</f>
        <v>2066</v>
      </c>
      <c r="F491">
        <f>Inputs!$B$16</f>
        <v>8333.3333333333339</v>
      </c>
      <c r="G491">
        <f>Inputs!$B$12</f>
        <v>25</v>
      </c>
      <c r="H491">
        <f>IFERROR(INDEX(RP2014_Qx!$B:$B,MATCH(D491,RP2014_Qx!$A:$A,0)),"")</f>
        <v>0.37227300000000002</v>
      </c>
      <c r="I491">
        <f>SUMIFS(MP2016_Long!$C:$C,MP2016_Long!$A:$A,D491,MP2016_Long!$B:$B,"&gt;=2014",MP2016_Long!$B:$B,"&lt;"&amp;E491)</f>
        <v>7.7100000000000016E-2</v>
      </c>
      <c r="J491">
        <f t="shared" si="64"/>
        <v>0.40211071296571249</v>
      </c>
      <c r="K491">
        <f t="shared" si="65"/>
        <v>0.51434968091044675</v>
      </c>
      <c r="L491">
        <f>EXP(-K491/Inputs!$B$6)</f>
        <v>0.95804313741396541</v>
      </c>
      <c r="M491">
        <f t="shared" si="71"/>
        <v>2.9293685912787004E-3</v>
      </c>
      <c r="N491">
        <f>IFERROR(INDEX(MonthlyCurve!$I:$I,MATCH(A491,MonthlyCurve!$A:$A,0)),"")</f>
        <v>4.9454709999999999E-2</v>
      </c>
      <c r="O491">
        <f>IFERROR(INDEX(MonthlyCurve!$J:$J,MATCH(A491,MonthlyCurve!$A:$A,0)),"")</f>
        <v>0.13383357792692374</v>
      </c>
      <c r="P491">
        <f t="shared" si="66"/>
        <v>24.411404927322504</v>
      </c>
      <c r="Q491">
        <f t="shared" si="67"/>
        <v>7.323421478196751E-2</v>
      </c>
      <c r="R491">
        <f t="shared" si="68"/>
        <v>24.48463914210447</v>
      </c>
      <c r="S491">
        <f t="shared" si="69"/>
        <v>3.2670656636465067</v>
      </c>
      <c r="T491">
        <f t="shared" si="70"/>
        <v>9.8011969909395195E-3</v>
      </c>
      <c r="U491">
        <f>SUMPRODUCT(R492:R543,O492:O543)/(M491*O491)</f>
        <v>150160.4729857122</v>
      </c>
    </row>
    <row r="492" spans="1:21" x14ac:dyDescent="0.35">
      <c r="A492">
        <v>489</v>
      </c>
      <c r="B492">
        <f>A492/Inputs!$B$6</f>
        <v>40.75</v>
      </c>
      <c r="C492">
        <f>Inputs!$B$3+B492</f>
        <v>105.75</v>
      </c>
      <c r="D492">
        <f t="shared" si="63"/>
        <v>105</v>
      </c>
      <c r="E492">
        <f>Inputs!$B$7+1+INT((A492-1)/Inputs!$B$6)</f>
        <v>2066</v>
      </c>
      <c r="F492">
        <f>Inputs!$B$16</f>
        <v>8333.3333333333339</v>
      </c>
      <c r="G492">
        <f>Inputs!$B$12</f>
        <v>25</v>
      </c>
      <c r="H492">
        <f>IFERROR(INDEX(RP2014_Qx!$B:$B,MATCH(D492,RP2014_Qx!$A:$A,0)),"")</f>
        <v>0.37227300000000002</v>
      </c>
      <c r="I492">
        <f>SUMIFS(MP2016_Long!$C:$C,MP2016_Long!$A:$A,D492,MP2016_Long!$B:$B,"&gt;=2014",MP2016_Long!$B:$B,"&lt;"&amp;E492)</f>
        <v>7.7100000000000016E-2</v>
      </c>
      <c r="J492">
        <f t="shared" si="64"/>
        <v>0.40211071296571249</v>
      </c>
      <c r="K492">
        <f t="shared" si="65"/>
        <v>0.51434968091044675</v>
      </c>
      <c r="L492">
        <f>EXP(-K492/Inputs!$B$6)</f>
        <v>0.95804313741396541</v>
      </c>
      <c r="M492">
        <f t="shared" si="71"/>
        <v>2.8064614758305743E-3</v>
      </c>
      <c r="N492">
        <f>IFERROR(INDEX(MonthlyCurve!$I:$I,MATCH(A492,MonthlyCurve!$A:$A,0)),"")</f>
        <v>4.9454709999999999E-2</v>
      </c>
      <c r="O492">
        <f>IFERROR(INDEX(MonthlyCurve!$J:$J,MATCH(A492,MonthlyCurve!$A:$A,0)),"")</f>
        <v>0.13328315451684772</v>
      </c>
      <c r="P492">
        <f t="shared" si="66"/>
        <v>23.387178965254787</v>
      </c>
      <c r="Q492">
        <f t="shared" si="67"/>
        <v>7.0161536895764362E-2</v>
      </c>
      <c r="R492">
        <f t="shared" si="68"/>
        <v>23.457340502150551</v>
      </c>
      <c r="S492">
        <f t="shared" si="69"/>
        <v>3.1171169877392244</v>
      </c>
      <c r="T492">
        <f t="shared" si="70"/>
        <v>9.3513509632176736E-3</v>
      </c>
      <c r="U492">
        <f>SUMPRODUCT(R493:R543,O493:O543)/(M492*O492)</f>
        <v>149025.59779860309</v>
      </c>
    </row>
    <row r="493" spans="1:21" x14ac:dyDescent="0.35">
      <c r="A493">
        <v>490</v>
      </c>
      <c r="B493">
        <f>A493/Inputs!$B$6</f>
        <v>40.833333333333336</v>
      </c>
      <c r="C493">
        <f>Inputs!$B$3+B493</f>
        <v>105.83333333333334</v>
      </c>
      <c r="D493">
        <f t="shared" si="63"/>
        <v>105</v>
      </c>
      <c r="E493">
        <f>Inputs!$B$7+1+INT((A493-1)/Inputs!$B$6)</f>
        <v>2066</v>
      </c>
      <c r="F493">
        <f>Inputs!$B$16</f>
        <v>8333.3333333333339</v>
      </c>
      <c r="G493">
        <f>Inputs!$B$12</f>
        <v>25</v>
      </c>
      <c r="H493">
        <f>IFERROR(INDEX(RP2014_Qx!$B:$B,MATCH(D493,RP2014_Qx!$A:$A,0)),"")</f>
        <v>0.37227300000000002</v>
      </c>
      <c r="I493">
        <f>SUMIFS(MP2016_Long!$C:$C,MP2016_Long!$A:$A,D493,MP2016_Long!$B:$B,"&gt;=2014",MP2016_Long!$B:$B,"&lt;"&amp;E493)</f>
        <v>7.7100000000000016E-2</v>
      </c>
      <c r="J493">
        <f t="shared" si="64"/>
        <v>0.40211071296571249</v>
      </c>
      <c r="K493">
        <f t="shared" si="65"/>
        <v>0.51434968091044675</v>
      </c>
      <c r="L493">
        <f>EXP(-K493/Inputs!$B$6)</f>
        <v>0.95804313741396541</v>
      </c>
      <c r="M493">
        <f t="shared" si="71"/>
        <v>2.6887111573361509E-3</v>
      </c>
      <c r="N493">
        <f>IFERROR(INDEX(MonthlyCurve!$I:$I,MATCH(A493,MonthlyCurve!$A:$A,0)),"")</f>
        <v>4.9454709999999999E-2</v>
      </c>
      <c r="O493">
        <f>IFERROR(INDEX(MonthlyCurve!$J:$J,MATCH(A493,MonthlyCurve!$A:$A,0)),"")</f>
        <v>0.13273499485802945</v>
      </c>
      <c r="P493">
        <f t="shared" si="66"/>
        <v>22.405926311134593</v>
      </c>
      <c r="Q493">
        <f t="shared" si="67"/>
        <v>6.7217778933403777E-2</v>
      </c>
      <c r="R493">
        <f t="shared" si="68"/>
        <v>22.473144090067997</v>
      </c>
      <c r="S493">
        <f t="shared" si="69"/>
        <v>2.9740505136978368</v>
      </c>
      <c r="T493">
        <f t="shared" si="70"/>
        <v>8.92215154109351E-3</v>
      </c>
      <c r="U493">
        <f>SUMPRODUCT(R494:R543,O494:O543)/(M493*O493)</f>
        <v>147836.12952682746</v>
      </c>
    </row>
    <row r="494" spans="1:21" x14ac:dyDescent="0.35">
      <c r="A494">
        <v>491</v>
      </c>
      <c r="B494">
        <f>A494/Inputs!$B$6</f>
        <v>40.916666666666664</v>
      </c>
      <c r="C494">
        <f>Inputs!$B$3+B494</f>
        <v>105.91666666666666</v>
      </c>
      <c r="D494">
        <f t="shared" si="63"/>
        <v>105</v>
      </c>
      <c r="E494">
        <f>Inputs!$B$7+1+INT((A494-1)/Inputs!$B$6)</f>
        <v>2066</v>
      </c>
      <c r="F494">
        <f>Inputs!$B$16</f>
        <v>8333.3333333333339</v>
      </c>
      <c r="G494">
        <f>Inputs!$B$12</f>
        <v>25</v>
      </c>
      <c r="H494">
        <f>IFERROR(INDEX(RP2014_Qx!$B:$B,MATCH(D494,RP2014_Qx!$A:$A,0)),"")</f>
        <v>0.37227300000000002</v>
      </c>
      <c r="I494">
        <f>SUMIFS(MP2016_Long!$C:$C,MP2016_Long!$A:$A,D494,MP2016_Long!$B:$B,"&gt;=2014",MP2016_Long!$B:$B,"&lt;"&amp;E494)</f>
        <v>7.7100000000000016E-2</v>
      </c>
      <c r="J494">
        <f t="shared" si="64"/>
        <v>0.40211071296571249</v>
      </c>
      <c r="K494">
        <f t="shared" si="65"/>
        <v>0.51434968091044675</v>
      </c>
      <c r="L494">
        <f>EXP(-K494/Inputs!$B$6)</f>
        <v>0.95804313741396541</v>
      </c>
      <c r="M494">
        <f t="shared" si="71"/>
        <v>2.57590127277426E-3</v>
      </c>
      <c r="N494">
        <f>IFERROR(INDEX(MonthlyCurve!$I:$I,MATCH(A494,MonthlyCurve!$A:$A,0)),"")</f>
        <v>4.9454709999999999E-2</v>
      </c>
      <c r="O494">
        <f>IFERROR(INDEX(MonthlyCurve!$J:$J,MATCH(A494,MonthlyCurve!$A:$A,0)),"")</f>
        <v>0.13218908964023671</v>
      </c>
      <c r="P494">
        <f t="shared" si="66"/>
        <v>21.465843939785501</v>
      </c>
      <c r="Q494">
        <f t="shared" si="67"/>
        <v>6.4397531819356507E-2</v>
      </c>
      <c r="R494">
        <f t="shared" si="68"/>
        <v>21.530241471604857</v>
      </c>
      <c r="S494">
        <f t="shared" si="69"/>
        <v>2.8375503687596373</v>
      </c>
      <c r="T494">
        <f t="shared" si="70"/>
        <v>8.5126511062789123E-3</v>
      </c>
      <c r="U494">
        <f>SUMPRODUCT(R495:R543,O495:O543)/(M494*O494)</f>
        <v>146589.44197419455</v>
      </c>
    </row>
    <row r="495" spans="1:21" x14ac:dyDescent="0.35">
      <c r="A495">
        <v>492</v>
      </c>
      <c r="B495">
        <f>A495/Inputs!$B$6</f>
        <v>41</v>
      </c>
      <c r="C495">
        <f>Inputs!$B$3+B495</f>
        <v>106</v>
      </c>
      <c r="D495">
        <f t="shared" si="63"/>
        <v>106</v>
      </c>
      <c r="E495">
        <f>Inputs!$B$7+1+INT((A495-1)/Inputs!$B$6)</f>
        <v>2066</v>
      </c>
      <c r="F495">
        <f>Inputs!$B$16</f>
        <v>8333.3333333333339</v>
      </c>
      <c r="G495">
        <f>Inputs!$B$12</f>
        <v>25</v>
      </c>
      <c r="H495">
        <f>IFERROR(INDEX(RP2014_Qx!$B:$B,MATCH(D495,RP2014_Qx!$A:$A,0)),"")</f>
        <v>0.39185999999999999</v>
      </c>
      <c r="I495">
        <f>SUMIFS(MP2016_Long!$C:$C,MP2016_Long!$A:$A,D495,MP2016_Long!$B:$B,"&gt;=2014",MP2016_Long!$B:$B,"&lt;"&amp;E495)</f>
        <v>6.9400000000000003E-2</v>
      </c>
      <c r="J495">
        <f t="shared" si="64"/>
        <v>0.42002096770675601</v>
      </c>
      <c r="K495">
        <f t="shared" si="65"/>
        <v>0.54476332731368793</v>
      </c>
      <c r="L495">
        <f>EXP(-K495/Inputs!$B$6)</f>
        <v>0.95561807972901247</v>
      </c>
      <c r="M495">
        <f t="shared" si="71"/>
        <v>2.4615778278600574E-3</v>
      </c>
      <c r="N495">
        <f>IFERROR(INDEX(MonthlyCurve!$I:$I,MATCH(A495,MonthlyCurve!$A:$A,0)),"")</f>
        <v>4.9454709999999999E-2</v>
      </c>
      <c r="O495">
        <f>IFERROR(INDEX(MonthlyCurve!$J:$J,MATCH(A495,MonthlyCurve!$A:$A,0)),"")</f>
        <v>0.13164542959152792</v>
      </c>
      <c r="P495">
        <f t="shared" si="66"/>
        <v>20.513148565500479</v>
      </c>
      <c r="Q495">
        <f t="shared" si="67"/>
        <v>6.1539445696501431E-2</v>
      </c>
      <c r="R495">
        <f t="shared" si="68"/>
        <v>20.574688011196979</v>
      </c>
      <c r="S495">
        <f t="shared" si="69"/>
        <v>2.7004622551801454</v>
      </c>
      <c r="T495">
        <f t="shared" si="70"/>
        <v>8.1013867655404352E-3</v>
      </c>
      <c r="U495">
        <f>SUMPRODUCT(R496:R543,O496:O543)/(M495*O495)</f>
        <v>145672.67536980339</v>
      </c>
    </row>
    <row r="496" spans="1:21" x14ac:dyDescent="0.35">
      <c r="A496">
        <v>493</v>
      </c>
      <c r="B496">
        <f>A496/Inputs!$B$6</f>
        <v>41.083333333333336</v>
      </c>
      <c r="C496">
        <f>Inputs!$B$3+B496</f>
        <v>106.08333333333334</v>
      </c>
      <c r="D496">
        <f t="shared" si="63"/>
        <v>106</v>
      </c>
      <c r="E496">
        <f>Inputs!$B$7+1+INT((A496-1)/Inputs!$B$6)</f>
        <v>2067</v>
      </c>
      <c r="F496">
        <f>Inputs!$B$16</f>
        <v>8333.3333333333339</v>
      </c>
      <c r="G496">
        <f>Inputs!$B$12</f>
        <v>25</v>
      </c>
      <c r="H496">
        <f>IFERROR(INDEX(RP2014_Qx!$B:$B,MATCH(D496,RP2014_Qx!$A:$A,0)),"")</f>
        <v>0.39185999999999999</v>
      </c>
      <c r="I496">
        <f>SUMIFS(MP2016_Long!$C:$C,MP2016_Long!$A:$A,D496,MP2016_Long!$B:$B,"&gt;=2014",MP2016_Long!$B:$B,"&lt;"&amp;E496)</f>
        <v>6.9400000000000003E-2</v>
      </c>
      <c r="J496">
        <f t="shared" si="64"/>
        <v>0.42002096770675601</v>
      </c>
      <c r="K496">
        <f t="shared" si="65"/>
        <v>0.54476332731368793</v>
      </c>
      <c r="L496">
        <f>EXP(-K496/Inputs!$B$6)</f>
        <v>0.95561807972901247</v>
      </c>
      <c r="M496">
        <f t="shared" si="71"/>
        <v>2.3523282769631415E-3</v>
      </c>
      <c r="N496">
        <f>IFERROR(INDEX(MonthlyCurve!$I:$I,MATCH(A496,MonthlyCurve!$A:$A,0)),"")</f>
        <v>4.9454709999999999E-2</v>
      </c>
      <c r="O496">
        <f>IFERROR(INDEX(MonthlyCurve!$J:$J,MATCH(A496,MonthlyCurve!$A:$A,0)),"")</f>
        <v>0.13110400547809462</v>
      </c>
      <c r="P496">
        <f t="shared" si="66"/>
        <v>19.602735641359516</v>
      </c>
      <c r="Q496">
        <f t="shared" si="67"/>
        <v>5.8808206924078538E-2</v>
      </c>
      <c r="R496">
        <f t="shared" si="68"/>
        <v>19.661543848283593</v>
      </c>
      <c r="S496">
        <f t="shared" si="69"/>
        <v>2.5699971609104386</v>
      </c>
      <c r="T496">
        <f t="shared" si="70"/>
        <v>7.7099914827313144E-3</v>
      </c>
      <c r="U496">
        <f>SUMPRODUCT(R497:R543,O497:O543)/(M496*O496)</f>
        <v>144709.36939825481</v>
      </c>
    </row>
    <row r="497" spans="1:21" x14ac:dyDescent="0.35">
      <c r="A497">
        <v>494</v>
      </c>
      <c r="B497">
        <f>A497/Inputs!$B$6</f>
        <v>41.166666666666664</v>
      </c>
      <c r="C497">
        <f>Inputs!$B$3+B497</f>
        <v>106.16666666666666</v>
      </c>
      <c r="D497">
        <f t="shared" si="63"/>
        <v>106</v>
      </c>
      <c r="E497">
        <f>Inputs!$B$7+1+INT((A497-1)/Inputs!$B$6)</f>
        <v>2067</v>
      </c>
      <c r="F497">
        <f>Inputs!$B$16</f>
        <v>8333.3333333333339</v>
      </c>
      <c r="G497">
        <f>Inputs!$B$12</f>
        <v>25</v>
      </c>
      <c r="H497">
        <f>IFERROR(INDEX(RP2014_Qx!$B:$B,MATCH(D497,RP2014_Qx!$A:$A,0)),"")</f>
        <v>0.39185999999999999</v>
      </c>
      <c r="I497">
        <f>SUMIFS(MP2016_Long!$C:$C,MP2016_Long!$A:$A,D497,MP2016_Long!$B:$B,"&gt;=2014",MP2016_Long!$B:$B,"&lt;"&amp;E497)</f>
        <v>6.9400000000000003E-2</v>
      </c>
      <c r="J497">
        <f t="shared" si="64"/>
        <v>0.42002096770675601</v>
      </c>
      <c r="K497">
        <f t="shared" si="65"/>
        <v>0.54476332731368793</v>
      </c>
      <c r="L497">
        <f>EXP(-K497/Inputs!$B$6)</f>
        <v>0.95561807972901247</v>
      </c>
      <c r="M497">
        <f t="shared" si="71"/>
        <v>2.2479274309237739E-3</v>
      </c>
      <c r="N497">
        <f>IFERROR(INDEX(MonthlyCurve!$I:$I,MATCH(A497,MonthlyCurve!$A:$A,0)),"")</f>
        <v>4.9454709999999999E-2</v>
      </c>
      <c r="O497">
        <f>IFERROR(INDEX(MonthlyCurve!$J:$J,MATCH(A497,MonthlyCurve!$A:$A,0)),"")</f>
        <v>0.13056480810410473</v>
      </c>
      <c r="P497">
        <f t="shared" si="66"/>
        <v>18.732728591031449</v>
      </c>
      <c r="Q497">
        <f t="shared" si="67"/>
        <v>5.619818577309435E-2</v>
      </c>
      <c r="R497">
        <f t="shared" si="68"/>
        <v>18.788926776804544</v>
      </c>
      <c r="S497">
        <f t="shared" si="69"/>
        <v>2.4458351137542973</v>
      </c>
      <c r="T497">
        <f t="shared" si="70"/>
        <v>7.3375053412628923E-3</v>
      </c>
      <c r="U497">
        <f>SUMPRODUCT(R498:R543,O498:O543)/(M497*O497)</f>
        <v>143697.16150327207</v>
      </c>
    </row>
    <row r="498" spans="1:21" x14ac:dyDescent="0.35">
      <c r="A498">
        <v>495</v>
      </c>
      <c r="B498">
        <f>A498/Inputs!$B$6</f>
        <v>41.25</v>
      </c>
      <c r="C498">
        <f>Inputs!$B$3+B498</f>
        <v>106.25</v>
      </c>
      <c r="D498">
        <f t="shared" si="63"/>
        <v>106</v>
      </c>
      <c r="E498">
        <f>Inputs!$B$7+1+INT((A498-1)/Inputs!$B$6)</f>
        <v>2067</v>
      </c>
      <c r="F498">
        <f>Inputs!$B$16</f>
        <v>8333.3333333333339</v>
      </c>
      <c r="G498">
        <f>Inputs!$B$12</f>
        <v>25</v>
      </c>
      <c r="H498">
        <f>IFERROR(INDEX(RP2014_Qx!$B:$B,MATCH(D498,RP2014_Qx!$A:$A,0)),"")</f>
        <v>0.39185999999999999</v>
      </c>
      <c r="I498">
        <f>SUMIFS(MP2016_Long!$C:$C,MP2016_Long!$A:$A,D498,MP2016_Long!$B:$B,"&gt;=2014",MP2016_Long!$B:$B,"&lt;"&amp;E498)</f>
        <v>6.9400000000000003E-2</v>
      </c>
      <c r="J498">
        <f t="shared" si="64"/>
        <v>0.42002096770675601</v>
      </c>
      <c r="K498">
        <f t="shared" si="65"/>
        <v>0.54476332731368793</v>
      </c>
      <c r="L498">
        <f>EXP(-K498/Inputs!$B$6)</f>
        <v>0.95561807972901247</v>
      </c>
      <c r="M498">
        <f t="shared" si="71"/>
        <v>2.1481600949095491E-3</v>
      </c>
      <c r="N498">
        <f>IFERROR(INDEX(MonthlyCurve!$I:$I,MATCH(A498,MonthlyCurve!$A:$A,0)),"")</f>
        <v>4.9454709999999999E-2</v>
      </c>
      <c r="O498">
        <f>IFERROR(INDEX(MonthlyCurve!$J:$J,MATCH(A498,MonthlyCurve!$A:$A,0)),"")</f>
        <v>0.13002782831154605</v>
      </c>
      <c r="P498">
        <f t="shared" si="66"/>
        <v>17.901334124246244</v>
      </c>
      <c r="Q498">
        <f t="shared" si="67"/>
        <v>5.3704002372738729E-2</v>
      </c>
      <c r="R498">
        <f t="shared" si="68"/>
        <v>17.955038126618984</v>
      </c>
      <c r="S498">
        <f t="shared" si="69"/>
        <v>2.327671600055111</v>
      </c>
      <c r="T498">
        <f t="shared" si="70"/>
        <v>6.9830148001653334E-3</v>
      </c>
      <c r="U498">
        <f>SUMPRODUCT(R499:R543,O499:O543)/(M498*O498)</f>
        <v>142633.56919415537</v>
      </c>
    </row>
    <row r="499" spans="1:21" x14ac:dyDescent="0.35">
      <c r="A499">
        <v>496</v>
      </c>
      <c r="B499">
        <f>A499/Inputs!$B$6</f>
        <v>41.333333333333336</v>
      </c>
      <c r="C499">
        <f>Inputs!$B$3+B499</f>
        <v>106.33333333333334</v>
      </c>
      <c r="D499">
        <f t="shared" si="63"/>
        <v>106</v>
      </c>
      <c r="E499">
        <f>Inputs!$B$7+1+INT((A499-1)/Inputs!$B$6)</f>
        <v>2067</v>
      </c>
      <c r="F499">
        <f>Inputs!$B$16</f>
        <v>8333.3333333333339</v>
      </c>
      <c r="G499">
        <f>Inputs!$B$12</f>
        <v>25</v>
      </c>
      <c r="H499">
        <f>IFERROR(INDEX(RP2014_Qx!$B:$B,MATCH(D499,RP2014_Qx!$A:$A,0)),"")</f>
        <v>0.39185999999999999</v>
      </c>
      <c r="I499">
        <f>SUMIFS(MP2016_Long!$C:$C,MP2016_Long!$A:$A,D499,MP2016_Long!$B:$B,"&gt;=2014",MP2016_Long!$B:$B,"&lt;"&amp;E499)</f>
        <v>6.9400000000000003E-2</v>
      </c>
      <c r="J499">
        <f t="shared" si="64"/>
        <v>0.42002096770675601</v>
      </c>
      <c r="K499">
        <f t="shared" si="65"/>
        <v>0.54476332731368793</v>
      </c>
      <c r="L499">
        <f>EXP(-K499/Inputs!$B$6)</f>
        <v>0.95561807972901247</v>
      </c>
      <c r="M499">
        <f t="shared" si="71"/>
        <v>2.0528206248479563E-3</v>
      </c>
      <c r="N499">
        <f>IFERROR(INDEX(MonthlyCurve!$I:$I,MATCH(A499,MonthlyCurve!$A:$A,0)),"")</f>
        <v>4.9454709999999999E-2</v>
      </c>
      <c r="O499">
        <f>IFERROR(INDEX(MonthlyCurve!$J:$J,MATCH(A499,MonthlyCurve!$A:$A,0)),"")</f>
        <v>0.12949305698007124</v>
      </c>
      <c r="P499">
        <f t="shared" si="66"/>
        <v>17.106838540399636</v>
      </c>
      <c r="Q499">
        <f t="shared" si="67"/>
        <v>5.1320515621198909E-2</v>
      </c>
      <c r="R499">
        <f t="shared" si="68"/>
        <v>17.158159056020835</v>
      </c>
      <c r="S499">
        <f t="shared" si="69"/>
        <v>2.2152168178608487</v>
      </c>
      <c r="T499">
        <f t="shared" si="70"/>
        <v>6.6456504535825469E-3</v>
      </c>
      <c r="U499">
        <f>SUMPRODUCT(R500:R543,O500:O543)/(M499*O499)</f>
        <v>141515.98395734833</v>
      </c>
    </row>
    <row r="500" spans="1:21" x14ac:dyDescent="0.35">
      <c r="A500">
        <v>497</v>
      </c>
      <c r="B500">
        <f>A500/Inputs!$B$6</f>
        <v>41.416666666666664</v>
      </c>
      <c r="C500">
        <f>Inputs!$B$3+B500</f>
        <v>106.41666666666666</v>
      </c>
      <c r="D500">
        <f t="shared" si="63"/>
        <v>106</v>
      </c>
      <c r="E500">
        <f>Inputs!$B$7+1+INT((A500-1)/Inputs!$B$6)</f>
        <v>2067</v>
      </c>
      <c r="F500">
        <f>Inputs!$B$16</f>
        <v>8333.3333333333339</v>
      </c>
      <c r="G500">
        <f>Inputs!$B$12</f>
        <v>25</v>
      </c>
      <c r="H500">
        <f>IFERROR(INDEX(RP2014_Qx!$B:$B,MATCH(D500,RP2014_Qx!$A:$A,0)),"")</f>
        <v>0.39185999999999999</v>
      </c>
      <c r="I500">
        <f>SUMIFS(MP2016_Long!$C:$C,MP2016_Long!$A:$A,D500,MP2016_Long!$B:$B,"&gt;=2014",MP2016_Long!$B:$B,"&lt;"&amp;E500)</f>
        <v>6.9400000000000003E-2</v>
      </c>
      <c r="J500">
        <f t="shared" si="64"/>
        <v>0.42002096770675601</v>
      </c>
      <c r="K500">
        <f t="shared" si="65"/>
        <v>0.54476332731368793</v>
      </c>
      <c r="L500">
        <f>EXP(-K500/Inputs!$B$6)</f>
        <v>0.95561807972901247</v>
      </c>
      <c r="M500">
        <f t="shared" si="71"/>
        <v>1.9617125035453153E-3</v>
      </c>
      <c r="N500">
        <f>IFERROR(INDEX(MonthlyCurve!$I:$I,MATCH(A500,MonthlyCurve!$A:$A,0)),"")</f>
        <v>4.9454709999999999E-2</v>
      </c>
      <c r="O500">
        <f>IFERROR(INDEX(MonthlyCurve!$J:$J,MATCH(A500,MonthlyCurve!$A:$A,0)),"")</f>
        <v>0.12896048502684246</v>
      </c>
      <c r="P500">
        <f t="shared" si="66"/>
        <v>16.347604196210963</v>
      </c>
      <c r="Q500">
        <f t="shared" si="67"/>
        <v>4.9042812588632884E-2</v>
      </c>
      <c r="R500">
        <f t="shared" si="68"/>
        <v>16.396647008799597</v>
      </c>
      <c r="S500">
        <f t="shared" si="69"/>
        <v>2.1081949661702106</v>
      </c>
      <c r="T500">
        <f t="shared" si="70"/>
        <v>6.3245848985106316E-3</v>
      </c>
      <c r="U500">
        <f>SUMPRODUCT(R501:R543,O501:O543)/(M500*O500)</f>
        <v>140341.66485892769</v>
      </c>
    </row>
    <row r="501" spans="1:21" x14ac:dyDescent="0.35">
      <c r="A501">
        <v>498</v>
      </c>
      <c r="B501">
        <f>A501/Inputs!$B$6</f>
        <v>41.5</v>
      </c>
      <c r="C501">
        <f>Inputs!$B$3+B501</f>
        <v>106.5</v>
      </c>
      <c r="D501">
        <f t="shared" si="63"/>
        <v>106</v>
      </c>
      <c r="E501">
        <f>Inputs!$B$7+1+INT((A501-1)/Inputs!$B$6)</f>
        <v>2067</v>
      </c>
      <c r="F501">
        <f>Inputs!$B$16</f>
        <v>8333.3333333333339</v>
      </c>
      <c r="G501">
        <f>Inputs!$B$12</f>
        <v>25</v>
      </c>
      <c r="H501">
        <f>IFERROR(INDEX(RP2014_Qx!$B:$B,MATCH(D501,RP2014_Qx!$A:$A,0)),"")</f>
        <v>0.39185999999999999</v>
      </c>
      <c r="I501">
        <f>SUMIFS(MP2016_Long!$C:$C,MP2016_Long!$A:$A,D501,MP2016_Long!$B:$B,"&gt;=2014",MP2016_Long!$B:$B,"&lt;"&amp;E501)</f>
        <v>6.9400000000000003E-2</v>
      </c>
      <c r="J501">
        <f t="shared" si="64"/>
        <v>0.42002096770675601</v>
      </c>
      <c r="K501">
        <f t="shared" si="65"/>
        <v>0.54476332731368793</v>
      </c>
      <c r="L501">
        <f>EXP(-K501/Inputs!$B$6)</f>
        <v>0.95561807972901247</v>
      </c>
      <c r="M501">
        <f t="shared" si="71"/>
        <v>1.8746479356183678E-3</v>
      </c>
      <c r="N501">
        <f>IFERROR(INDEX(MonthlyCurve!$I:$I,MATCH(A501,MonthlyCurve!$A:$A,0)),"")</f>
        <v>4.9454709999999999E-2</v>
      </c>
      <c r="O501">
        <f>IFERROR(INDEX(MonthlyCurve!$J:$J,MATCH(A501,MonthlyCurve!$A:$A,0)),"")</f>
        <v>0.12843010340637731</v>
      </c>
      <c r="P501">
        <f t="shared" si="66"/>
        <v>15.622066130153067</v>
      </c>
      <c r="Q501">
        <f t="shared" si="67"/>
        <v>4.6866198390459197E-2</v>
      </c>
      <c r="R501">
        <f t="shared" si="68"/>
        <v>15.668932328543526</v>
      </c>
      <c r="S501">
        <f t="shared" si="69"/>
        <v>2.0063435685168232</v>
      </c>
      <c r="T501">
        <f t="shared" si="70"/>
        <v>6.0190307055504686E-3</v>
      </c>
      <c r="U501">
        <f>SUMPRODUCT(R502:R543,O502:O543)/(M501*O501)</f>
        <v>139107.73182232512</v>
      </c>
    </row>
    <row r="502" spans="1:21" x14ac:dyDescent="0.35">
      <c r="A502">
        <v>499</v>
      </c>
      <c r="B502">
        <f>A502/Inputs!$B$6</f>
        <v>41.583333333333336</v>
      </c>
      <c r="C502">
        <f>Inputs!$B$3+B502</f>
        <v>106.58333333333334</v>
      </c>
      <c r="D502">
        <f t="shared" si="63"/>
        <v>106</v>
      </c>
      <c r="E502">
        <f>Inputs!$B$7+1+INT((A502-1)/Inputs!$B$6)</f>
        <v>2067</v>
      </c>
      <c r="F502">
        <f>Inputs!$B$16</f>
        <v>8333.3333333333339</v>
      </c>
      <c r="G502">
        <f>Inputs!$B$12</f>
        <v>25</v>
      </c>
      <c r="H502">
        <f>IFERROR(INDEX(RP2014_Qx!$B:$B,MATCH(D502,RP2014_Qx!$A:$A,0)),"")</f>
        <v>0.39185999999999999</v>
      </c>
      <c r="I502">
        <f>SUMIFS(MP2016_Long!$C:$C,MP2016_Long!$A:$A,D502,MP2016_Long!$B:$B,"&gt;=2014",MP2016_Long!$B:$B,"&lt;"&amp;E502)</f>
        <v>6.9400000000000003E-2</v>
      </c>
      <c r="J502">
        <f t="shared" si="64"/>
        <v>0.42002096770675601</v>
      </c>
      <c r="K502">
        <f t="shared" si="65"/>
        <v>0.54476332731368793</v>
      </c>
      <c r="L502">
        <f>EXP(-K502/Inputs!$B$6)</f>
        <v>0.95561807972901247</v>
      </c>
      <c r="M502">
        <f t="shared" si="71"/>
        <v>1.7914474604035821E-3</v>
      </c>
      <c r="N502">
        <f>IFERROR(INDEX(MonthlyCurve!$I:$I,MATCH(A502,MonthlyCurve!$A:$A,0)),"")</f>
        <v>4.9454709999999999E-2</v>
      </c>
      <c r="O502">
        <f>IFERROR(INDEX(MonthlyCurve!$J:$J,MATCH(A502,MonthlyCurve!$A:$A,0)),"")</f>
        <v>0.12790190311039512</v>
      </c>
      <c r="P502">
        <f t="shared" si="66"/>
        <v>14.928728836696518</v>
      </c>
      <c r="Q502">
        <f t="shared" si="67"/>
        <v>4.4786186510089553E-2</v>
      </c>
      <c r="R502">
        <f t="shared" si="68"/>
        <v>14.973515023206607</v>
      </c>
      <c r="S502">
        <f t="shared" si="69"/>
        <v>1.9094128292325196</v>
      </c>
      <c r="T502">
        <f t="shared" si="70"/>
        <v>5.7282384876975586E-3</v>
      </c>
      <c r="U502">
        <f>SUMPRODUCT(R503:R543,O503:O543)/(M502*O502)</f>
        <v>137811.15856479493</v>
      </c>
    </row>
    <row r="503" spans="1:21" x14ac:dyDescent="0.35">
      <c r="A503">
        <v>500</v>
      </c>
      <c r="B503">
        <f>A503/Inputs!$B$6</f>
        <v>41.666666666666664</v>
      </c>
      <c r="C503">
        <f>Inputs!$B$3+B503</f>
        <v>106.66666666666666</v>
      </c>
      <c r="D503">
        <f t="shared" si="63"/>
        <v>106</v>
      </c>
      <c r="E503">
        <f>Inputs!$B$7+1+INT((A503-1)/Inputs!$B$6)</f>
        <v>2067</v>
      </c>
      <c r="F503">
        <f>Inputs!$B$16</f>
        <v>8333.3333333333339</v>
      </c>
      <c r="G503">
        <f>Inputs!$B$12</f>
        <v>25</v>
      </c>
      <c r="H503">
        <f>IFERROR(INDEX(RP2014_Qx!$B:$B,MATCH(D503,RP2014_Qx!$A:$A,0)),"")</f>
        <v>0.39185999999999999</v>
      </c>
      <c r="I503">
        <f>SUMIFS(MP2016_Long!$C:$C,MP2016_Long!$A:$A,D503,MP2016_Long!$B:$B,"&gt;=2014",MP2016_Long!$B:$B,"&lt;"&amp;E503)</f>
        <v>6.9400000000000003E-2</v>
      </c>
      <c r="J503">
        <f t="shared" si="64"/>
        <v>0.42002096770675601</v>
      </c>
      <c r="K503">
        <f t="shared" si="65"/>
        <v>0.54476332731368793</v>
      </c>
      <c r="L503">
        <f>EXP(-K503/Inputs!$B$6)</f>
        <v>0.95561807972901247</v>
      </c>
      <c r="M503">
        <f t="shared" si="71"/>
        <v>1.7119395820462872E-3</v>
      </c>
      <c r="N503">
        <f>IFERROR(INDEX(MonthlyCurve!$I:$I,MATCH(A503,MonthlyCurve!$A:$A,0)),"")</f>
        <v>4.9454709999999999E-2</v>
      </c>
      <c r="O503">
        <f>IFERROR(INDEX(MonthlyCurve!$J:$J,MATCH(A503,MonthlyCurve!$A:$A,0)),"")</f>
        <v>0.12737587516766413</v>
      </c>
      <c r="P503">
        <f t="shared" si="66"/>
        <v>14.266163183719062</v>
      </c>
      <c r="Q503">
        <f t="shared" si="67"/>
        <v>4.2798489551157184E-2</v>
      </c>
      <c r="R503">
        <f t="shared" si="68"/>
        <v>14.308961673270218</v>
      </c>
      <c r="S503">
        <f t="shared" si="69"/>
        <v>1.8171650208109251</v>
      </c>
      <c r="T503">
        <f t="shared" si="70"/>
        <v>5.4514950624327749E-3</v>
      </c>
      <c r="U503">
        <f>SUMPRODUCT(R504:R543,O504:O543)/(M503*O503)</f>
        <v>136448.76517530336</v>
      </c>
    </row>
    <row r="504" spans="1:21" x14ac:dyDescent="0.35">
      <c r="A504">
        <v>501</v>
      </c>
      <c r="B504">
        <f>A504/Inputs!$B$6</f>
        <v>41.75</v>
      </c>
      <c r="C504">
        <f>Inputs!$B$3+B504</f>
        <v>106.75</v>
      </c>
      <c r="D504">
        <f t="shared" si="63"/>
        <v>106</v>
      </c>
      <c r="E504">
        <f>Inputs!$B$7+1+INT((A504-1)/Inputs!$B$6)</f>
        <v>2067</v>
      </c>
      <c r="F504">
        <f>Inputs!$B$16</f>
        <v>8333.3333333333339</v>
      </c>
      <c r="G504">
        <f>Inputs!$B$12</f>
        <v>25</v>
      </c>
      <c r="H504">
        <f>IFERROR(INDEX(RP2014_Qx!$B:$B,MATCH(D504,RP2014_Qx!$A:$A,0)),"")</f>
        <v>0.39185999999999999</v>
      </c>
      <c r="I504">
        <f>SUMIFS(MP2016_Long!$C:$C,MP2016_Long!$A:$A,D504,MP2016_Long!$B:$B,"&gt;=2014",MP2016_Long!$B:$B,"&lt;"&amp;E504)</f>
        <v>6.9400000000000003E-2</v>
      </c>
      <c r="J504">
        <f t="shared" si="64"/>
        <v>0.42002096770675601</v>
      </c>
      <c r="K504">
        <f t="shared" si="65"/>
        <v>0.54476332731368793</v>
      </c>
      <c r="L504">
        <f>EXP(-K504/Inputs!$B$6)</f>
        <v>0.95561807972901247</v>
      </c>
      <c r="M504">
        <f t="shared" si="71"/>
        <v>1.6359604160071611E-3</v>
      </c>
      <c r="N504">
        <f>IFERROR(INDEX(MonthlyCurve!$I:$I,MATCH(A504,MonthlyCurve!$A:$A,0)),"")</f>
        <v>4.9454709999999999E-2</v>
      </c>
      <c r="O504">
        <f>IFERROR(INDEX(MonthlyCurve!$J:$J,MATCH(A504,MonthlyCurve!$A:$A,0)),"")</f>
        <v>0.12685201064384871</v>
      </c>
      <c r="P504">
        <f t="shared" si="66"/>
        <v>13.633003466726343</v>
      </c>
      <c r="Q504">
        <f t="shared" si="67"/>
        <v>4.0899010400179028E-2</v>
      </c>
      <c r="R504">
        <f t="shared" si="68"/>
        <v>13.673902477126523</v>
      </c>
      <c r="S504">
        <f t="shared" si="69"/>
        <v>1.7293739008687965</v>
      </c>
      <c r="T504">
        <f t="shared" si="70"/>
        <v>5.1881217026063893E-3</v>
      </c>
      <c r="U504">
        <f>SUMPRODUCT(R505:R543,O505:O543)/(M504*O504)</f>
        <v>135017.21031563752</v>
      </c>
    </row>
    <row r="505" spans="1:21" x14ac:dyDescent="0.35">
      <c r="A505">
        <v>502</v>
      </c>
      <c r="B505">
        <f>A505/Inputs!$B$6</f>
        <v>41.833333333333336</v>
      </c>
      <c r="C505">
        <f>Inputs!$B$3+B505</f>
        <v>106.83333333333334</v>
      </c>
      <c r="D505">
        <f t="shared" si="63"/>
        <v>106</v>
      </c>
      <c r="E505">
        <f>Inputs!$B$7+1+INT((A505-1)/Inputs!$B$6)</f>
        <v>2067</v>
      </c>
      <c r="F505">
        <f>Inputs!$B$16</f>
        <v>8333.3333333333339</v>
      </c>
      <c r="G505">
        <f>Inputs!$B$12</f>
        <v>25</v>
      </c>
      <c r="H505">
        <f>IFERROR(INDEX(RP2014_Qx!$B:$B,MATCH(D505,RP2014_Qx!$A:$A,0)),"")</f>
        <v>0.39185999999999999</v>
      </c>
      <c r="I505">
        <f>SUMIFS(MP2016_Long!$C:$C,MP2016_Long!$A:$A,D505,MP2016_Long!$B:$B,"&gt;=2014",MP2016_Long!$B:$B,"&lt;"&amp;E505)</f>
        <v>6.9400000000000003E-2</v>
      </c>
      <c r="J505">
        <f t="shared" si="64"/>
        <v>0.42002096770675601</v>
      </c>
      <c r="K505">
        <f t="shared" si="65"/>
        <v>0.54476332731368793</v>
      </c>
      <c r="L505">
        <f>EXP(-K505/Inputs!$B$6)</f>
        <v>0.95561807972901247</v>
      </c>
      <c r="M505">
        <f t="shared" si="71"/>
        <v>1.5633533512574398E-3</v>
      </c>
      <c r="N505">
        <f>IFERROR(INDEX(MonthlyCurve!$I:$I,MATCH(A505,MonthlyCurve!$A:$A,0)),"")</f>
        <v>4.9454709999999999E-2</v>
      </c>
      <c r="O505">
        <f>IFERROR(INDEX(MonthlyCurve!$J:$J,MATCH(A505,MonthlyCurve!$A:$A,0)),"")</f>
        <v>0.12633030064135806</v>
      </c>
      <c r="P505">
        <f t="shared" si="66"/>
        <v>13.027944593811998</v>
      </c>
      <c r="Q505">
        <f t="shared" si="67"/>
        <v>3.9083833781435998E-2</v>
      </c>
      <c r="R505">
        <f t="shared" si="68"/>
        <v>13.067028427593435</v>
      </c>
      <c r="S505">
        <f t="shared" si="69"/>
        <v>1.645824157275225</v>
      </c>
      <c r="T505">
        <f t="shared" si="70"/>
        <v>4.9374724718256758E-3</v>
      </c>
      <c r="U505">
        <f>SUMPRODUCT(R506:R543,O506:O543)/(M505*O505)</f>
        <v>133512.98302560515</v>
      </c>
    </row>
    <row r="506" spans="1:21" x14ac:dyDescent="0.35">
      <c r="A506">
        <v>503</v>
      </c>
      <c r="B506">
        <f>A506/Inputs!$B$6</f>
        <v>41.916666666666664</v>
      </c>
      <c r="C506">
        <f>Inputs!$B$3+B506</f>
        <v>106.91666666666666</v>
      </c>
      <c r="D506">
        <f t="shared" si="63"/>
        <v>106</v>
      </c>
      <c r="E506">
        <f>Inputs!$B$7+1+INT((A506-1)/Inputs!$B$6)</f>
        <v>2067</v>
      </c>
      <c r="F506">
        <f>Inputs!$B$16</f>
        <v>8333.3333333333339</v>
      </c>
      <c r="G506">
        <f>Inputs!$B$12</f>
        <v>25</v>
      </c>
      <c r="H506">
        <f>IFERROR(INDEX(RP2014_Qx!$B:$B,MATCH(D506,RP2014_Qx!$A:$A,0)),"")</f>
        <v>0.39185999999999999</v>
      </c>
      <c r="I506">
        <f>SUMIFS(MP2016_Long!$C:$C,MP2016_Long!$A:$A,D506,MP2016_Long!$B:$B,"&gt;=2014",MP2016_Long!$B:$B,"&lt;"&amp;E506)</f>
        <v>6.9400000000000003E-2</v>
      </c>
      <c r="J506">
        <f t="shared" si="64"/>
        <v>0.42002096770675601</v>
      </c>
      <c r="K506">
        <f t="shared" si="65"/>
        <v>0.54476332731368793</v>
      </c>
      <c r="L506">
        <f>EXP(-K506/Inputs!$B$6)</f>
        <v>0.95561807972901247</v>
      </c>
      <c r="M506">
        <f t="shared" si="71"/>
        <v>1.493968727466551E-3</v>
      </c>
      <c r="N506">
        <f>IFERROR(INDEX(MonthlyCurve!$I:$I,MATCH(A506,MonthlyCurve!$A:$A,0)),"")</f>
        <v>4.9454709999999999E-2</v>
      </c>
      <c r="O506">
        <f>IFERROR(INDEX(MonthlyCurve!$J:$J,MATCH(A506,MonthlyCurve!$A:$A,0)),"")</f>
        <v>0.1258107362991949</v>
      </c>
      <c r="P506">
        <f t="shared" si="66"/>
        <v>12.449739395554593</v>
      </c>
      <c r="Q506">
        <f t="shared" si="67"/>
        <v>3.7349218186663778E-2</v>
      </c>
      <c r="R506">
        <f t="shared" si="68"/>
        <v>12.487088613741257</v>
      </c>
      <c r="S506">
        <f t="shared" si="69"/>
        <v>1.5663108800878169</v>
      </c>
      <c r="T506">
        <f t="shared" si="70"/>
        <v>4.698932640263451E-3</v>
      </c>
      <c r="U506">
        <f>SUMPRODUCT(R507:R543,O507:O543)/(M506*O506)</f>
        <v>131932.39411222853</v>
      </c>
    </row>
    <row r="507" spans="1:21" x14ac:dyDescent="0.35">
      <c r="A507">
        <v>504</v>
      </c>
      <c r="B507">
        <f>A507/Inputs!$B$6</f>
        <v>42</v>
      </c>
      <c r="C507">
        <f>Inputs!$B$3+B507</f>
        <v>107</v>
      </c>
      <c r="D507">
        <f t="shared" si="63"/>
        <v>107</v>
      </c>
      <c r="E507">
        <f>Inputs!$B$7+1+INT((A507-1)/Inputs!$B$6)</f>
        <v>2067</v>
      </c>
      <c r="F507">
        <f>Inputs!$B$16</f>
        <v>8333.3333333333339</v>
      </c>
      <c r="G507">
        <f>Inputs!$B$12</f>
        <v>25</v>
      </c>
      <c r="H507">
        <f>IFERROR(INDEX(RP2014_Qx!$B:$B,MATCH(D507,RP2014_Qx!$A:$A,0)),"")</f>
        <v>0.41084900000000002</v>
      </c>
      <c r="I507">
        <f>SUMIFS(MP2016_Long!$C:$C,MP2016_Long!$A:$A,D507,MP2016_Long!$B:$B,"&gt;=2014",MP2016_Long!$B:$B,"&lt;"&amp;E507)</f>
        <v>6.1800000000000001E-2</v>
      </c>
      <c r="J507">
        <f t="shared" si="64"/>
        <v>0.43704044853806862</v>
      </c>
      <c r="K507">
        <f t="shared" si="65"/>
        <v>0.57454749807360772</v>
      </c>
      <c r="L507">
        <f>EXP(-K507/Inputs!$B$6)</f>
        <v>0.95324916311518038</v>
      </c>
      <c r="M507">
        <f t="shared" si="71"/>
        <v>1.4241244391777408E-3</v>
      </c>
      <c r="N507">
        <f>IFERROR(INDEX(MonthlyCurve!$I:$I,MATCH(A507,MonthlyCurve!$A:$A,0)),"")</f>
        <v>4.9454709999999999E-2</v>
      </c>
      <c r="O507">
        <f>IFERROR(INDEX(MonthlyCurve!$J:$J,MATCH(A507,MonthlyCurve!$A:$A,0)),"")</f>
        <v>0.12529330879280492</v>
      </c>
      <c r="P507">
        <f t="shared" si="66"/>
        <v>11.867703659814508</v>
      </c>
      <c r="Q507">
        <f t="shared" si="67"/>
        <v>3.560311097944352E-2</v>
      </c>
      <c r="R507">
        <f t="shared" si="68"/>
        <v>11.903306770793952</v>
      </c>
      <c r="S507">
        <f t="shared" si="69"/>
        <v>1.4869438593106403</v>
      </c>
      <c r="T507">
        <f t="shared" si="70"/>
        <v>4.4608315779319204E-3</v>
      </c>
      <c r="U507">
        <f>SUMPRODUCT(R508:R543,O508:O543)/(M507*O507)</f>
        <v>130616.07584834268</v>
      </c>
    </row>
    <row r="508" spans="1:21" x14ac:dyDescent="0.35">
      <c r="A508">
        <v>505</v>
      </c>
      <c r="B508">
        <f>A508/Inputs!$B$6</f>
        <v>42.083333333333336</v>
      </c>
      <c r="C508">
        <f>Inputs!$B$3+B508</f>
        <v>107.08333333333334</v>
      </c>
      <c r="D508">
        <f t="shared" si="63"/>
        <v>107</v>
      </c>
      <c r="E508">
        <f>Inputs!$B$7+1+INT((A508-1)/Inputs!$B$6)</f>
        <v>2068</v>
      </c>
      <c r="F508">
        <f>Inputs!$B$16</f>
        <v>8333.3333333333339</v>
      </c>
      <c r="G508">
        <f>Inputs!$B$12</f>
        <v>25</v>
      </c>
      <c r="H508">
        <f>IFERROR(INDEX(RP2014_Qx!$B:$B,MATCH(D508,RP2014_Qx!$A:$A,0)),"")</f>
        <v>0.41084900000000002</v>
      </c>
      <c r="I508">
        <f>SUMIFS(MP2016_Long!$C:$C,MP2016_Long!$A:$A,D508,MP2016_Long!$B:$B,"&gt;=2014",MP2016_Long!$B:$B,"&lt;"&amp;E508)</f>
        <v>6.1800000000000001E-2</v>
      </c>
      <c r="J508">
        <f t="shared" si="64"/>
        <v>0.43704044853806862</v>
      </c>
      <c r="K508">
        <f t="shared" si="65"/>
        <v>0.57454749807360772</v>
      </c>
      <c r="L508">
        <f>EXP(-K508/Inputs!$B$6)</f>
        <v>0.95324916311518038</v>
      </c>
      <c r="M508">
        <f t="shared" si="71"/>
        <v>1.3575454298180569E-3</v>
      </c>
      <c r="N508">
        <f>IFERROR(INDEX(MonthlyCurve!$I:$I,MATCH(A508,MonthlyCurve!$A:$A,0)),"")</f>
        <v>4.9454709999999999E-2</v>
      </c>
      <c r="O508">
        <f>IFERROR(INDEX(MonthlyCurve!$J:$J,MATCH(A508,MonthlyCurve!$A:$A,0)),"")</f>
        <v>0.12477800933392698</v>
      </c>
      <c r="P508">
        <f t="shared" si="66"/>
        <v>11.312878581817142</v>
      </c>
      <c r="Q508">
        <f t="shared" si="67"/>
        <v>3.3938635745451425E-2</v>
      </c>
      <c r="R508">
        <f t="shared" si="68"/>
        <v>11.346817217562593</v>
      </c>
      <c r="S508">
        <f t="shared" si="69"/>
        <v>1.4115984692755619</v>
      </c>
      <c r="T508">
        <f t="shared" si="70"/>
        <v>4.234795407826686E-3</v>
      </c>
      <c r="U508">
        <f>SUMPRODUCT(R509:R543,O509:O543)/(M508*O508)</f>
        <v>129229.49786459919</v>
      </c>
    </row>
    <row r="509" spans="1:21" x14ac:dyDescent="0.35">
      <c r="A509">
        <v>506</v>
      </c>
      <c r="B509">
        <f>A509/Inputs!$B$6</f>
        <v>42.166666666666664</v>
      </c>
      <c r="C509">
        <f>Inputs!$B$3+B509</f>
        <v>107.16666666666666</v>
      </c>
      <c r="D509">
        <f t="shared" si="63"/>
        <v>107</v>
      </c>
      <c r="E509">
        <f>Inputs!$B$7+1+INT((A509-1)/Inputs!$B$6)</f>
        <v>2068</v>
      </c>
      <c r="F509">
        <f>Inputs!$B$16</f>
        <v>8333.3333333333339</v>
      </c>
      <c r="G509">
        <f>Inputs!$B$12</f>
        <v>25</v>
      </c>
      <c r="H509">
        <f>IFERROR(INDEX(RP2014_Qx!$B:$B,MATCH(D509,RP2014_Qx!$A:$A,0)),"")</f>
        <v>0.41084900000000002</v>
      </c>
      <c r="I509">
        <f>SUMIFS(MP2016_Long!$C:$C,MP2016_Long!$A:$A,D509,MP2016_Long!$B:$B,"&gt;=2014",MP2016_Long!$B:$B,"&lt;"&amp;E509)</f>
        <v>6.1800000000000001E-2</v>
      </c>
      <c r="J509">
        <f t="shared" si="64"/>
        <v>0.43704044853806862</v>
      </c>
      <c r="K509">
        <f t="shared" si="65"/>
        <v>0.57454749807360772</v>
      </c>
      <c r="L509">
        <f>EXP(-K509/Inputs!$B$6)</f>
        <v>0.95324916311518038</v>
      </c>
      <c r="M509">
        <f t="shared" si="71"/>
        <v>1.2940790448649007E-3</v>
      </c>
      <c r="N509">
        <f>IFERROR(INDEX(MonthlyCurve!$I:$I,MATCH(A509,MonthlyCurve!$A:$A,0)),"")</f>
        <v>4.9454709999999999E-2</v>
      </c>
      <c r="O509">
        <f>IFERROR(INDEX(MonthlyCurve!$J:$J,MATCH(A509,MonthlyCurve!$A:$A,0)),"")</f>
        <v>0.12426482917044385</v>
      </c>
      <c r="P509">
        <f t="shared" si="66"/>
        <v>10.78399204054084</v>
      </c>
      <c r="Q509">
        <f t="shared" si="67"/>
        <v>3.2351976121622515E-2</v>
      </c>
      <c r="R509">
        <f t="shared" si="68"/>
        <v>10.816344016662462</v>
      </c>
      <c r="S509">
        <f t="shared" si="69"/>
        <v>1.3400709286932335</v>
      </c>
      <c r="T509">
        <f t="shared" si="70"/>
        <v>4.0202127860797E-3</v>
      </c>
      <c r="U509">
        <f>SUMPRODUCT(R510:R543,O510:O543)/(M509*O509)</f>
        <v>127768.90998266356</v>
      </c>
    </row>
    <row r="510" spans="1:21" x14ac:dyDescent="0.35">
      <c r="A510">
        <v>507</v>
      </c>
      <c r="B510">
        <f>A510/Inputs!$B$6</f>
        <v>42.25</v>
      </c>
      <c r="C510">
        <f>Inputs!$B$3+B510</f>
        <v>107.25</v>
      </c>
      <c r="D510">
        <f t="shared" si="63"/>
        <v>107</v>
      </c>
      <c r="E510">
        <f>Inputs!$B$7+1+INT((A510-1)/Inputs!$B$6)</f>
        <v>2068</v>
      </c>
      <c r="F510">
        <f>Inputs!$B$16</f>
        <v>8333.3333333333339</v>
      </c>
      <c r="G510">
        <f>Inputs!$B$12</f>
        <v>25</v>
      </c>
      <c r="H510">
        <f>IFERROR(INDEX(RP2014_Qx!$B:$B,MATCH(D510,RP2014_Qx!$A:$A,0)),"")</f>
        <v>0.41084900000000002</v>
      </c>
      <c r="I510">
        <f>SUMIFS(MP2016_Long!$C:$C,MP2016_Long!$A:$A,D510,MP2016_Long!$B:$B,"&gt;=2014",MP2016_Long!$B:$B,"&lt;"&amp;E510)</f>
        <v>6.1800000000000001E-2</v>
      </c>
      <c r="J510">
        <f t="shared" si="64"/>
        <v>0.43704044853806862</v>
      </c>
      <c r="K510">
        <f t="shared" si="65"/>
        <v>0.57454749807360772</v>
      </c>
      <c r="L510">
        <f>EXP(-K510/Inputs!$B$6)</f>
        <v>0.95324916311518038</v>
      </c>
      <c r="M510">
        <f t="shared" si="71"/>
        <v>1.2335797665223584E-3</v>
      </c>
      <c r="N510">
        <f>IFERROR(INDEX(MonthlyCurve!$I:$I,MATCH(A510,MonthlyCurve!$A:$A,0)),"")</f>
        <v>4.9454709999999999E-2</v>
      </c>
      <c r="O510">
        <f>IFERROR(INDEX(MonthlyCurve!$J:$J,MATCH(A510,MonthlyCurve!$A:$A,0)),"")</f>
        <v>0.1237537595862334</v>
      </c>
      <c r="P510">
        <f t="shared" si="66"/>
        <v>10.279831387686322</v>
      </c>
      <c r="Q510">
        <f t="shared" si="67"/>
        <v>3.0839494163058961E-2</v>
      </c>
      <c r="R510">
        <f t="shared" si="68"/>
        <v>10.310670881849381</v>
      </c>
      <c r="S510">
        <f t="shared" si="69"/>
        <v>1.2721677821387491</v>
      </c>
      <c r="T510">
        <f t="shared" si="70"/>
        <v>3.816503346416247E-3</v>
      </c>
      <c r="U510">
        <f>SUMPRODUCT(R511:R543,O511:O543)/(M510*O510)</f>
        <v>126230.36185492139</v>
      </c>
    </row>
    <row r="511" spans="1:21" x14ac:dyDescent="0.35">
      <c r="A511">
        <v>508</v>
      </c>
      <c r="B511">
        <f>A511/Inputs!$B$6</f>
        <v>42.333333333333336</v>
      </c>
      <c r="C511">
        <f>Inputs!$B$3+B511</f>
        <v>107.33333333333334</v>
      </c>
      <c r="D511">
        <f t="shared" si="63"/>
        <v>107</v>
      </c>
      <c r="E511">
        <f>Inputs!$B$7+1+INT((A511-1)/Inputs!$B$6)</f>
        <v>2068</v>
      </c>
      <c r="F511">
        <f>Inputs!$B$16</f>
        <v>8333.3333333333339</v>
      </c>
      <c r="G511">
        <f>Inputs!$B$12</f>
        <v>25</v>
      </c>
      <c r="H511">
        <f>IFERROR(INDEX(RP2014_Qx!$B:$B,MATCH(D511,RP2014_Qx!$A:$A,0)),"")</f>
        <v>0.41084900000000002</v>
      </c>
      <c r="I511">
        <f>SUMIFS(MP2016_Long!$C:$C,MP2016_Long!$A:$A,D511,MP2016_Long!$B:$B,"&gt;=2014",MP2016_Long!$B:$B,"&lt;"&amp;E511)</f>
        <v>6.1800000000000001E-2</v>
      </c>
      <c r="J511">
        <f t="shared" si="64"/>
        <v>0.43704044853806862</v>
      </c>
      <c r="K511">
        <f t="shared" si="65"/>
        <v>0.57454749807360772</v>
      </c>
      <c r="L511">
        <f>EXP(-K511/Inputs!$B$6)</f>
        <v>0.95324916311518038</v>
      </c>
      <c r="M511">
        <f t="shared" si="71"/>
        <v>1.1759088800732578E-3</v>
      </c>
      <c r="N511">
        <f>IFERROR(INDEX(MonthlyCurve!$I:$I,MATCH(A511,MonthlyCurve!$A:$A,0)),"")</f>
        <v>4.9454709999999999E-2</v>
      </c>
      <c r="O511">
        <f>IFERROR(INDEX(MonthlyCurve!$J:$J,MATCH(A511,MonthlyCurve!$A:$A,0)),"")</f>
        <v>0.12324479190102083</v>
      </c>
      <c r="P511">
        <f t="shared" si="66"/>
        <v>9.7992406672771484</v>
      </c>
      <c r="Q511">
        <f t="shared" si="67"/>
        <v>2.9397722001831446E-2</v>
      </c>
      <c r="R511">
        <f t="shared" si="68"/>
        <v>9.8286383892789804</v>
      </c>
      <c r="S511">
        <f t="shared" si="69"/>
        <v>1.2077053768265926</v>
      </c>
      <c r="T511">
        <f t="shared" si="70"/>
        <v>3.623116130479778E-3</v>
      </c>
      <c r="U511">
        <f>SUMPRODUCT(R512:R543,O512:O543)/(M511*O511)</f>
        <v>124609.69228025526</v>
      </c>
    </row>
    <row r="512" spans="1:21" x14ac:dyDescent="0.35">
      <c r="A512">
        <v>509</v>
      </c>
      <c r="B512">
        <f>A512/Inputs!$B$6</f>
        <v>42.416666666666664</v>
      </c>
      <c r="C512">
        <f>Inputs!$B$3+B512</f>
        <v>107.41666666666666</v>
      </c>
      <c r="D512">
        <f t="shared" si="63"/>
        <v>107</v>
      </c>
      <c r="E512">
        <f>Inputs!$B$7+1+INT((A512-1)/Inputs!$B$6)</f>
        <v>2068</v>
      </c>
      <c r="F512">
        <f>Inputs!$B$16</f>
        <v>8333.3333333333339</v>
      </c>
      <c r="G512">
        <f>Inputs!$B$12</f>
        <v>25</v>
      </c>
      <c r="H512">
        <f>IFERROR(INDEX(RP2014_Qx!$B:$B,MATCH(D512,RP2014_Qx!$A:$A,0)),"")</f>
        <v>0.41084900000000002</v>
      </c>
      <c r="I512">
        <f>SUMIFS(MP2016_Long!$C:$C,MP2016_Long!$A:$A,D512,MP2016_Long!$B:$B,"&gt;=2014",MP2016_Long!$B:$B,"&lt;"&amp;E512)</f>
        <v>6.1800000000000001E-2</v>
      </c>
      <c r="J512">
        <f t="shared" si="64"/>
        <v>0.43704044853806862</v>
      </c>
      <c r="K512">
        <f t="shared" si="65"/>
        <v>0.57454749807360772</v>
      </c>
      <c r="L512">
        <f>EXP(-K512/Inputs!$B$6)</f>
        <v>0.95324916311518038</v>
      </c>
      <c r="M512">
        <f t="shared" si="71"/>
        <v>1.1209341558295421E-3</v>
      </c>
      <c r="N512">
        <f>IFERROR(INDEX(MonthlyCurve!$I:$I,MATCH(A512,MonthlyCurve!$A:$A,0)),"")</f>
        <v>4.9454709999999999E-2</v>
      </c>
      <c r="O512">
        <f>IFERROR(INDEX(MonthlyCurve!$J:$J,MATCH(A512,MonthlyCurve!$A:$A,0)),"")</f>
        <v>0.12273791747023105</v>
      </c>
      <c r="P512">
        <f t="shared" si="66"/>
        <v>9.341117965246184</v>
      </c>
      <c r="Q512">
        <f t="shared" si="67"/>
        <v>2.802335389573855E-2</v>
      </c>
      <c r="R512">
        <f t="shared" si="68"/>
        <v>9.3691413191419226</v>
      </c>
      <c r="S512">
        <f t="shared" si="69"/>
        <v>1.1465093658980787</v>
      </c>
      <c r="T512">
        <f t="shared" si="70"/>
        <v>3.4395280976942358E-3</v>
      </c>
      <c r="U512">
        <f>SUMPRODUCT(R513:R543,O513:O543)/(M512*O512)</f>
        <v>122902.51794954203</v>
      </c>
    </row>
    <row r="513" spans="1:21" x14ac:dyDescent="0.35">
      <c r="A513">
        <v>510</v>
      </c>
      <c r="B513">
        <f>A513/Inputs!$B$6</f>
        <v>42.5</v>
      </c>
      <c r="C513">
        <f>Inputs!$B$3+B513</f>
        <v>107.5</v>
      </c>
      <c r="D513">
        <f t="shared" si="63"/>
        <v>107</v>
      </c>
      <c r="E513">
        <f>Inputs!$B$7+1+INT((A513-1)/Inputs!$B$6)</f>
        <v>2068</v>
      </c>
      <c r="F513">
        <f>Inputs!$B$16</f>
        <v>8333.3333333333339</v>
      </c>
      <c r="G513">
        <f>Inputs!$B$12</f>
        <v>25</v>
      </c>
      <c r="H513">
        <f>IFERROR(INDEX(RP2014_Qx!$B:$B,MATCH(D513,RP2014_Qx!$A:$A,0)),"")</f>
        <v>0.41084900000000002</v>
      </c>
      <c r="I513">
        <f>SUMIFS(MP2016_Long!$C:$C,MP2016_Long!$A:$A,D513,MP2016_Long!$B:$B,"&gt;=2014",MP2016_Long!$B:$B,"&lt;"&amp;E513)</f>
        <v>6.1800000000000001E-2</v>
      </c>
      <c r="J513">
        <f t="shared" si="64"/>
        <v>0.43704044853806862</v>
      </c>
      <c r="K513">
        <f t="shared" si="65"/>
        <v>0.57454749807360772</v>
      </c>
      <c r="L513">
        <f>EXP(-K513/Inputs!$B$6)</f>
        <v>0.95324916311518038</v>
      </c>
      <c r="M513">
        <f t="shared" si="71"/>
        <v>1.0685295459517321E-3</v>
      </c>
      <c r="N513">
        <f>IFERROR(INDEX(MonthlyCurve!$I:$I,MATCH(A513,MonthlyCurve!$A:$A,0)),"")</f>
        <v>4.9454709999999999E-2</v>
      </c>
      <c r="O513">
        <f>IFERROR(INDEX(MonthlyCurve!$J:$J,MATCH(A513,MonthlyCurve!$A:$A,0)),"")</f>
        <v>0.12223312768484192</v>
      </c>
      <c r="P513">
        <f t="shared" si="66"/>
        <v>8.9044128829311013</v>
      </c>
      <c r="Q513">
        <f t="shared" si="67"/>
        <v>2.6713238648793304E-2</v>
      </c>
      <c r="R513">
        <f t="shared" si="68"/>
        <v>8.9311261215798954</v>
      </c>
      <c r="S513">
        <f t="shared" si="69"/>
        <v>1.0884142368778686</v>
      </c>
      <c r="T513">
        <f t="shared" si="70"/>
        <v>3.265242710633606E-3</v>
      </c>
      <c r="U513">
        <f>SUMPRODUCT(R514:R543,O514:O543)/(M513*O513)</f>
        <v>121104.22159042969</v>
      </c>
    </row>
    <row r="514" spans="1:21" x14ac:dyDescent="0.35">
      <c r="A514">
        <v>511</v>
      </c>
      <c r="B514">
        <f>A514/Inputs!$B$6</f>
        <v>42.583333333333336</v>
      </c>
      <c r="C514">
        <f>Inputs!$B$3+B514</f>
        <v>107.58333333333334</v>
      </c>
      <c r="D514">
        <f t="shared" si="63"/>
        <v>107</v>
      </c>
      <c r="E514">
        <f>Inputs!$B$7+1+INT((A514-1)/Inputs!$B$6)</f>
        <v>2068</v>
      </c>
      <c r="F514">
        <f>Inputs!$B$16</f>
        <v>8333.3333333333339</v>
      </c>
      <c r="G514">
        <f>Inputs!$B$12</f>
        <v>25</v>
      </c>
      <c r="H514">
        <f>IFERROR(INDEX(RP2014_Qx!$B:$B,MATCH(D514,RP2014_Qx!$A:$A,0)),"")</f>
        <v>0.41084900000000002</v>
      </c>
      <c r="I514">
        <f>SUMIFS(MP2016_Long!$C:$C,MP2016_Long!$A:$A,D514,MP2016_Long!$B:$B,"&gt;=2014",MP2016_Long!$B:$B,"&lt;"&amp;E514)</f>
        <v>6.1800000000000001E-2</v>
      </c>
      <c r="J514">
        <f t="shared" si="64"/>
        <v>0.43704044853806862</v>
      </c>
      <c r="K514">
        <f t="shared" si="65"/>
        <v>0.57454749807360772</v>
      </c>
      <c r="L514">
        <f>EXP(-K514/Inputs!$B$6)</f>
        <v>0.95324916311518038</v>
      </c>
      <c r="M514">
        <f t="shared" si="71"/>
        <v>1.0185748954423322E-3</v>
      </c>
      <c r="N514">
        <f>IFERROR(INDEX(MonthlyCurve!$I:$I,MATCH(A514,MonthlyCurve!$A:$A,0)),"")</f>
        <v>4.9454709999999999E-2</v>
      </c>
      <c r="O514">
        <f>IFERROR(INDEX(MonthlyCurve!$J:$J,MATCH(A514,MonthlyCurve!$A:$A,0)),"")</f>
        <v>0.12173041397123796</v>
      </c>
      <c r="P514">
        <f t="shared" si="66"/>
        <v>8.4881241286861027</v>
      </c>
      <c r="Q514">
        <f t="shared" si="67"/>
        <v>2.5464372386058306E-2</v>
      </c>
      <c r="R514">
        <f t="shared" si="68"/>
        <v>8.5135885010721601</v>
      </c>
      <c r="S514">
        <f t="shared" si="69"/>
        <v>1.0332628640242127</v>
      </c>
      <c r="T514">
        <f t="shared" si="70"/>
        <v>3.0997885920726383E-3</v>
      </c>
      <c r="U514">
        <f>SUMPRODUCT(R515:R543,O515:O543)/(M514*O514)</f>
        <v>119209.93947933114</v>
      </c>
    </row>
    <row r="515" spans="1:21" x14ac:dyDescent="0.35">
      <c r="A515">
        <v>512</v>
      </c>
      <c r="B515">
        <f>A515/Inputs!$B$6</f>
        <v>42.666666666666664</v>
      </c>
      <c r="C515">
        <f>Inputs!$B$3+B515</f>
        <v>107.66666666666666</v>
      </c>
      <c r="D515">
        <f t="shared" si="63"/>
        <v>107</v>
      </c>
      <c r="E515">
        <f>Inputs!$B$7+1+INT((A515-1)/Inputs!$B$6)</f>
        <v>2068</v>
      </c>
      <c r="F515">
        <f>Inputs!$B$16</f>
        <v>8333.3333333333339</v>
      </c>
      <c r="G515">
        <f>Inputs!$B$12</f>
        <v>25</v>
      </c>
      <c r="H515">
        <f>IFERROR(INDEX(RP2014_Qx!$B:$B,MATCH(D515,RP2014_Qx!$A:$A,0)),"")</f>
        <v>0.41084900000000002</v>
      </c>
      <c r="I515">
        <f>SUMIFS(MP2016_Long!$C:$C,MP2016_Long!$A:$A,D515,MP2016_Long!$B:$B,"&gt;=2014",MP2016_Long!$B:$B,"&lt;"&amp;E515)</f>
        <v>6.1800000000000001E-2</v>
      </c>
      <c r="J515">
        <f t="shared" si="64"/>
        <v>0.43704044853806862</v>
      </c>
      <c r="K515">
        <f t="shared" si="65"/>
        <v>0.57454749807360772</v>
      </c>
      <c r="L515">
        <f>EXP(-K515/Inputs!$B$6)</f>
        <v>0.95324916311518038</v>
      </c>
      <c r="M515">
        <f t="shared" si="71"/>
        <v>9.7095566665053557E-4</v>
      </c>
      <c r="N515">
        <f>IFERROR(INDEX(MonthlyCurve!$I:$I,MATCH(A515,MonthlyCurve!$A:$A,0)),"")</f>
        <v>4.9454709999999999E-2</v>
      </c>
      <c r="O515">
        <f>IFERROR(INDEX(MonthlyCurve!$J:$J,MATCH(A515,MonthlyCurve!$A:$A,0)),"")</f>
        <v>0.12122976779106491</v>
      </c>
      <c r="P515">
        <f t="shared" si="66"/>
        <v>8.0912972220877979</v>
      </c>
      <c r="Q515">
        <f t="shared" si="67"/>
        <v>2.4273891666263391E-2</v>
      </c>
      <c r="R515">
        <f t="shared" si="68"/>
        <v>8.1155711137540614</v>
      </c>
      <c r="S515">
        <f t="shared" si="69"/>
        <v>0.98090608336219232</v>
      </c>
      <c r="T515">
        <f t="shared" si="70"/>
        <v>2.9427182500865764E-3</v>
      </c>
      <c r="U515">
        <f>SUMPRODUCT(R516:R543,O516:O543)/(M515*O515)</f>
        <v>117214.54828685868</v>
      </c>
    </row>
    <row r="516" spans="1:21" x14ac:dyDescent="0.35">
      <c r="A516">
        <v>513</v>
      </c>
      <c r="B516">
        <f>A516/Inputs!$B$6</f>
        <v>42.75</v>
      </c>
      <c r="C516">
        <f>Inputs!$B$3+B516</f>
        <v>107.75</v>
      </c>
      <c r="D516">
        <f t="shared" ref="D516:D579" si="72">INT(C516)</f>
        <v>107</v>
      </c>
      <c r="E516">
        <f>Inputs!$B$7+1+INT((A516-1)/Inputs!$B$6)</f>
        <v>2068</v>
      </c>
      <c r="F516">
        <f>Inputs!$B$16</f>
        <v>8333.3333333333339</v>
      </c>
      <c r="G516">
        <f>Inputs!$B$12</f>
        <v>25</v>
      </c>
      <c r="H516">
        <f>IFERROR(INDEX(RP2014_Qx!$B:$B,MATCH(D516,RP2014_Qx!$A:$A,0)),"")</f>
        <v>0.41084900000000002</v>
      </c>
      <c r="I516">
        <f>SUMIFS(MP2016_Long!$C:$C,MP2016_Long!$A:$A,D516,MP2016_Long!$B:$B,"&gt;=2014",MP2016_Long!$B:$B,"&lt;"&amp;E516)</f>
        <v>6.1800000000000001E-2</v>
      </c>
      <c r="J516">
        <f t="shared" ref="J516:J579" si="73">MIN(0.999999,MAX(0,H516*EXP(I516)))</f>
        <v>0.43704044853806862</v>
      </c>
      <c r="K516">
        <f t="shared" ref="K516:K579" si="74">-LN(1-J516)</f>
        <v>0.57454749807360772</v>
      </c>
      <c r="L516">
        <f>EXP(-K516/Inputs!$B$6)</f>
        <v>0.95324916311518038</v>
      </c>
      <c r="M516">
        <f t="shared" si="71"/>
        <v>9.2556267665656509E-4</v>
      </c>
      <c r="N516">
        <f>IFERROR(INDEX(MonthlyCurve!$I:$I,MATCH(A516,MonthlyCurve!$A:$A,0)),"")</f>
        <v>4.9454709999999999E-2</v>
      </c>
      <c r="O516">
        <f>IFERROR(INDEX(MonthlyCurve!$J:$J,MATCH(A516,MonthlyCurve!$A:$A,0)),"")</f>
        <v>0.12073118064108437</v>
      </c>
      <c r="P516">
        <f t="shared" ref="P516:P543" si="75">F516*M516</f>
        <v>7.7130223054713767</v>
      </c>
      <c r="Q516">
        <f t="shared" ref="Q516:Q543" si="76">G516*M516</f>
        <v>2.3139066916414128E-2</v>
      </c>
      <c r="R516">
        <f t="shared" ref="R516:R579" si="77">P516+Q516</f>
        <v>7.7361613723877909</v>
      </c>
      <c r="S516">
        <f t="shared" ref="S516:S543" si="78">P516*O516</f>
        <v>0.9312022892505778</v>
      </c>
      <c r="T516">
        <f t="shared" ref="T516:T543" si="79">Q516*O516</f>
        <v>2.7936068677517334E-3</v>
      </c>
      <c r="U516">
        <f>SUMPRODUCT(R517:R543,O517:O543)/(M516*O516)</f>
        <v>115112.65122112154</v>
      </c>
    </row>
    <row r="517" spans="1:21" x14ac:dyDescent="0.35">
      <c r="A517">
        <v>514</v>
      </c>
      <c r="B517">
        <f>A517/Inputs!$B$6</f>
        <v>42.833333333333336</v>
      </c>
      <c r="C517">
        <f>Inputs!$B$3+B517</f>
        <v>107.83333333333334</v>
      </c>
      <c r="D517">
        <f t="shared" si="72"/>
        <v>107</v>
      </c>
      <c r="E517">
        <f>Inputs!$B$7+1+INT((A517-1)/Inputs!$B$6)</f>
        <v>2068</v>
      </c>
      <c r="F517">
        <f>Inputs!$B$16</f>
        <v>8333.3333333333339</v>
      </c>
      <c r="G517">
        <f>Inputs!$B$12</f>
        <v>25</v>
      </c>
      <c r="H517">
        <f>IFERROR(INDEX(RP2014_Qx!$B:$B,MATCH(D517,RP2014_Qx!$A:$A,0)),"")</f>
        <v>0.41084900000000002</v>
      </c>
      <c r="I517">
        <f>SUMIFS(MP2016_Long!$C:$C,MP2016_Long!$A:$A,D517,MP2016_Long!$B:$B,"&gt;=2014",MP2016_Long!$B:$B,"&lt;"&amp;E517)</f>
        <v>6.1800000000000001E-2</v>
      </c>
      <c r="J517">
        <f t="shared" si="73"/>
        <v>0.43704044853806862</v>
      </c>
      <c r="K517">
        <f t="shared" si="74"/>
        <v>0.57454749807360772</v>
      </c>
      <c r="L517">
        <f>EXP(-K517/Inputs!$B$6)</f>
        <v>0.95324916311518038</v>
      </c>
      <c r="M517">
        <f t="shared" ref="M517:M580" si="80">M516*L517</f>
        <v>8.8229184693351692E-4</v>
      </c>
      <c r="N517">
        <f>IFERROR(INDEX(MonthlyCurve!$I:$I,MATCH(A517,MonthlyCurve!$A:$A,0)),"")</f>
        <v>4.9454709999999999E-2</v>
      </c>
      <c r="O517">
        <f>IFERROR(INDEX(MonthlyCurve!$J:$J,MATCH(A517,MonthlyCurve!$A:$A,0)),"")</f>
        <v>0.12023464405302982</v>
      </c>
      <c r="P517">
        <f t="shared" si="75"/>
        <v>7.3524320577793079</v>
      </c>
      <c r="Q517">
        <f t="shared" si="76"/>
        <v>2.2057296173337924E-2</v>
      </c>
      <c r="R517">
        <f t="shared" si="77"/>
        <v>7.3744893539526455</v>
      </c>
      <c r="S517">
        <f t="shared" si="78"/>
        <v>0.8840170513911807</v>
      </c>
      <c r="T517">
        <f t="shared" si="79"/>
        <v>2.6520511541735419E-3</v>
      </c>
      <c r="U517">
        <f>SUMPRODUCT(R518:R543,O518:O543)/(M517*O517)</f>
        <v>112898.56343140829</v>
      </c>
    </row>
    <row r="518" spans="1:21" x14ac:dyDescent="0.35">
      <c r="A518">
        <v>515</v>
      </c>
      <c r="B518">
        <f>A518/Inputs!$B$6</f>
        <v>42.916666666666664</v>
      </c>
      <c r="C518">
        <f>Inputs!$B$3+B518</f>
        <v>107.91666666666666</v>
      </c>
      <c r="D518">
        <f t="shared" si="72"/>
        <v>107</v>
      </c>
      <c r="E518">
        <f>Inputs!$B$7+1+INT((A518-1)/Inputs!$B$6)</f>
        <v>2068</v>
      </c>
      <c r="F518">
        <f>Inputs!$B$16</f>
        <v>8333.3333333333339</v>
      </c>
      <c r="G518">
        <f>Inputs!$B$12</f>
        <v>25</v>
      </c>
      <c r="H518">
        <f>IFERROR(INDEX(RP2014_Qx!$B:$B,MATCH(D518,RP2014_Qx!$A:$A,0)),"")</f>
        <v>0.41084900000000002</v>
      </c>
      <c r="I518">
        <f>SUMIFS(MP2016_Long!$C:$C,MP2016_Long!$A:$A,D518,MP2016_Long!$B:$B,"&gt;=2014",MP2016_Long!$B:$B,"&lt;"&amp;E518)</f>
        <v>6.1800000000000001E-2</v>
      </c>
      <c r="J518">
        <f t="shared" si="73"/>
        <v>0.43704044853806862</v>
      </c>
      <c r="K518">
        <f t="shared" si="74"/>
        <v>0.57454749807360772</v>
      </c>
      <c r="L518">
        <f>EXP(-K518/Inputs!$B$6)</f>
        <v>0.95324916311518038</v>
      </c>
      <c r="M518">
        <f t="shared" si="80"/>
        <v>8.4104396471272179E-4</v>
      </c>
      <c r="N518">
        <f>IFERROR(INDEX(MonthlyCurve!$I:$I,MATCH(A518,MonthlyCurve!$A:$A,0)),"")</f>
        <v>4.9454709999999999E-2</v>
      </c>
      <c r="O518">
        <f>IFERROR(INDEX(MonthlyCurve!$J:$J,MATCH(A518,MonthlyCurve!$A:$A,0)),"")</f>
        <v>0.11974014959346242</v>
      </c>
      <c r="P518">
        <f t="shared" si="75"/>
        <v>7.0086997059393488</v>
      </c>
      <c r="Q518">
        <f t="shared" si="76"/>
        <v>2.1026099117818046E-2</v>
      </c>
      <c r="R518">
        <f t="shared" si="77"/>
        <v>7.0297258050571667</v>
      </c>
      <c r="S518">
        <f t="shared" si="78"/>
        <v>0.8392227512448337</v>
      </c>
      <c r="T518">
        <f t="shared" si="79"/>
        <v>2.5176682537345011E-3</v>
      </c>
      <c r="U518">
        <f>SUMPRODUCT(R519:R543,O519:O543)/(M518*O518)</f>
        <v>110566.296632778</v>
      </c>
    </row>
    <row r="519" spans="1:21" x14ac:dyDescent="0.35">
      <c r="A519">
        <v>516</v>
      </c>
      <c r="B519">
        <f>A519/Inputs!$B$6</f>
        <v>43</v>
      </c>
      <c r="C519">
        <f>Inputs!$B$3+B519</f>
        <v>108</v>
      </c>
      <c r="D519">
        <f t="shared" si="72"/>
        <v>108</v>
      </c>
      <c r="E519">
        <f>Inputs!$B$7+1+INT((A519-1)/Inputs!$B$6)</f>
        <v>2068</v>
      </c>
      <c r="F519">
        <f>Inputs!$B$16</f>
        <v>8333.3333333333339</v>
      </c>
      <c r="G519">
        <f>Inputs!$B$12</f>
        <v>25</v>
      </c>
      <c r="H519">
        <f>IFERROR(INDEX(RP2014_Qx!$B:$B,MATCH(D519,RP2014_Qx!$A:$A,0)),"")</f>
        <v>0.42911199999999999</v>
      </c>
      <c r="I519">
        <f>SUMIFS(MP2016_Long!$C:$C,MP2016_Long!$A:$A,D519,MP2016_Long!$B:$B,"&gt;=2014",MP2016_Long!$B:$B,"&lt;"&amp;E519)</f>
        <v>5.429999999999998E-2</v>
      </c>
      <c r="J519">
        <f t="shared" si="73"/>
        <v>0.45305700531603887</v>
      </c>
      <c r="K519">
        <f t="shared" si="74"/>
        <v>0.60341069646259593</v>
      </c>
      <c r="L519">
        <f>EXP(-K519/Inputs!$B$6)</f>
        <v>0.95095910001621042</v>
      </c>
      <c r="M519">
        <f t="shared" si="80"/>
        <v>7.997984117572753E-4</v>
      </c>
      <c r="N519">
        <f>IFERROR(INDEX(MonthlyCurve!$I:$I,MATCH(A519,MonthlyCurve!$A:$A,0)),"")</f>
        <v>4.9454709999999999E-2</v>
      </c>
      <c r="O519">
        <f>IFERROR(INDEX(MonthlyCurve!$J:$J,MATCH(A519,MonthlyCurve!$A:$A,0)),"")</f>
        <v>0.11924768886362799</v>
      </c>
      <c r="P519">
        <f t="shared" si="75"/>
        <v>6.6649867646439613</v>
      </c>
      <c r="Q519">
        <f t="shared" si="76"/>
        <v>1.9994960293931881E-2</v>
      </c>
      <c r="R519">
        <f t="shared" si="77"/>
        <v>6.6849817249378933</v>
      </c>
      <c r="S519">
        <f t="shared" si="78"/>
        <v>0.79478426799046165</v>
      </c>
      <c r="T519">
        <f t="shared" si="79"/>
        <v>2.3843528039713849E-3</v>
      </c>
      <c r="U519">
        <f>SUMPRODUCT(R520:R543,O520:O543)/(M519*O519)</f>
        <v>108390.01636629349</v>
      </c>
    </row>
    <row r="520" spans="1:21" x14ac:dyDescent="0.35">
      <c r="A520">
        <v>517</v>
      </c>
      <c r="B520">
        <f>A520/Inputs!$B$6</f>
        <v>43.083333333333336</v>
      </c>
      <c r="C520">
        <f>Inputs!$B$3+B520</f>
        <v>108.08333333333334</v>
      </c>
      <c r="D520">
        <f t="shared" si="72"/>
        <v>108</v>
      </c>
      <c r="E520">
        <f>Inputs!$B$7+1+INT((A520-1)/Inputs!$B$6)</f>
        <v>2069</v>
      </c>
      <c r="F520">
        <f>Inputs!$B$16</f>
        <v>8333.3333333333339</v>
      </c>
      <c r="G520">
        <f>Inputs!$B$12</f>
        <v>25</v>
      </c>
      <c r="H520">
        <f>IFERROR(INDEX(RP2014_Qx!$B:$B,MATCH(D520,RP2014_Qx!$A:$A,0)),"")</f>
        <v>0.42911199999999999</v>
      </c>
      <c r="I520">
        <f>SUMIFS(MP2016_Long!$C:$C,MP2016_Long!$A:$A,D520,MP2016_Long!$B:$B,"&gt;=2014",MP2016_Long!$B:$B,"&lt;"&amp;E520)</f>
        <v>5.429999999999998E-2</v>
      </c>
      <c r="J520">
        <f t="shared" si="73"/>
        <v>0.45305700531603887</v>
      </c>
      <c r="K520">
        <f t="shared" si="74"/>
        <v>0.60341069646259593</v>
      </c>
      <c r="L520">
        <f>EXP(-K520/Inputs!$B$6)</f>
        <v>0.95095910001621042</v>
      </c>
      <c r="M520">
        <f t="shared" si="80"/>
        <v>7.6057557783909297E-4</v>
      </c>
      <c r="N520">
        <f>IFERROR(INDEX(MonthlyCurve!$I:$I,MATCH(A520,MonthlyCurve!$A:$A,0)),"")</f>
        <v>4.9454709999999999E-2</v>
      </c>
      <c r="O520">
        <f>IFERROR(INDEX(MonthlyCurve!$J:$J,MATCH(A520,MonthlyCurve!$A:$A,0)),"")</f>
        <v>0.11875725349931425</v>
      </c>
      <c r="P520">
        <f t="shared" si="75"/>
        <v>6.3381298153257752</v>
      </c>
      <c r="Q520">
        <f t="shared" si="76"/>
        <v>1.9014389445977324E-2</v>
      </c>
      <c r="R520">
        <f t="shared" si="77"/>
        <v>6.3571442047717523</v>
      </c>
      <c r="S520">
        <f t="shared" si="78"/>
        <v>0.75269888919020489</v>
      </c>
      <c r="T520">
        <f t="shared" si="79"/>
        <v>2.2580966675706145E-3</v>
      </c>
      <c r="U520">
        <f>SUMPRODUCT(R521:R543,O521:O543)/(M520*O520)</f>
        <v>106092.05453403828</v>
      </c>
    </row>
    <row r="521" spans="1:21" x14ac:dyDescent="0.35">
      <c r="A521">
        <v>518</v>
      </c>
      <c r="B521">
        <f>A521/Inputs!$B$6</f>
        <v>43.166666666666664</v>
      </c>
      <c r="C521">
        <f>Inputs!$B$3+B521</f>
        <v>108.16666666666666</v>
      </c>
      <c r="D521">
        <f t="shared" si="72"/>
        <v>108</v>
      </c>
      <c r="E521">
        <f>Inputs!$B$7+1+INT((A521-1)/Inputs!$B$6)</f>
        <v>2069</v>
      </c>
      <c r="F521">
        <f>Inputs!$B$16</f>
        <v>8333.3333333333339</v>
      </c>
      <c r="G521">
        <f>Inputs!$B$12</f>
        <v>25</v>
      </c>
      <c r="H521">
        <f>IFERROR(INDEX(RP2014_Qx!$B:$B,MATCH(D521,RP2014_Qx!$A:$A,0)),"")</f>
        <v>0.42911199999999999</v>
      </c>
      <c r="I521">
        <f>SUMIFS(MP2016_Long!$C:$C,MP2016_Long!$A:$A,D521,MP2016_Long!$B:$B,"&gt;=2014",MP2016_Long!$B:$B,"&lt;"&amp;E521)</f>
        <v>5.429999999999998E-2</v>
      </c>
      <c r="J521">
        <f t="shared" si="73"/>
        <v>0.45305700531603887</v>
      </c>
      <c r="K521">
        <f t="shared" si="74"/>
        <v>0.60341069646259593</v>
      </c>
      <c r="L521">
        <f>EXP(-K521/Inputs!$B$6)</f>
        <v>0.95095910001621042</v>
      </c>
      <c r="M521">
        <f t="shared" si="80"/>
        <v>7.2327626699617302E-4</v>
      </c>
      <c r="N521">
        <f>IFERROR(INDEX(MonthlyCurve!$I:$I,MATCH(A521,MonthlyCurve!$A:$A,0)),"")</f>
        <v>4.9454709999999999E-2</v>
      </c>
      <c r="O521">
        <f>IFERROR(INDEX(MonthlyCurve!$J:$J,MATCH(A521,MonthlyCurve!$A:$A,0)),"")</f>
        <v>0.11826883517070885</v>
      </c>
      <c r="P521">
        <f t="shared" si="75"/>
        <v>6.0273022249681087</v>
      </c>
      <c r="Q521">
        <f t="shared" si="76"/>
        <v>1.8081906674904325E-2</v>
      </c>
      <c r="R521">
        <f t="shared" si="77"/>
        <v>6.0453841316430132</v>
      </c>
      <c r="S521">
        <f t="shared" si="78"/>
        <v>0.71284201336879993</v>
      </c>
      <c r="T521">
        <f t="shared" si="79"/>
        <v>2.1385260401063999E-3</v>
      </c>
      <c r="U521">
        <f>SUMPRODUCT(R522:R543,O522:O543)/(M521*O521)</f>
        <v>103665.60759895128</v>
      </c>
    </row>
    <row r="522" spans="1:21" x14ac:dyDescent="0.35">
      <c r="A522">
        <v>519</v>
      </c>
      <c r="B522">
        <f>A522/Inputs!$B$6</f>
        <v>43.25</v>
      </c>
      <c r="C522">
        <f>Inputs!$B$3+B522</f>
        <v>108.25</v>
      </c>
      <c r="D522">
        <f t="shared" si="72"/>
        <v>108</v>
      </c>
      <c r="E522">
        <f>Inputs!$B$7+1+INT((A522-1)/Inputs!$B$6)</f>
        <v>2069</v>
      </c>
      <c r="F522">
        <f>Inputs!$B$16</f>
        <v>8333.3333333333339</v>
      </c>
      <c r="G522">
        <f>Inputs!$B$12</f>
        <v>25</v>
      </c>
      <c r="H522">
        <f>IFERROR(INDEX(RP2014_Qx!$B:$B,MATCH(D522,RP2014_Qx!$A:$A,0)),"")</f>
        <v>0.42911199999999999</v>
      </c>
      <c r="I522">
        <f>SUMIFS(MP2016_Long!$C:$C,MP2016_Long!$A:$A,D522,MP2016_Long!$B:$B,"&gt;=2014",MP2016_Long!$B:$B,"&lt;"&amp;E522)</f>
        <v>5.429999999999998E-2</v>
      </c>
      <c r="J522">
        <f t="shared" si="73"/>
        <v>0.45305700531603887</v>
      </c>
      <c r="K522">
        <f t="shared" si="74"/>
        <v>0.60341069646259593</v>
      </c>
      <c r="L522">
        <f>EXP(-K522/Inputs!$B$6)</f>
        <v>0.95095910001621042</v>
      </c>
      <c r="M522">
        <f t="shared" si="80"/>
        <v>6.8780614792576496E-4</v>
      </c>
      <c r="N522">
        <f>IFERROR(INDEX(MonthlyCurve!$I:$I,MATCH(A522,MonthlyCurve!$A:$A,0)),"")</f>
        <v>4.9454709999999999E-2</v>
      </c>
      <c r="O522">
        <f>IFERROR(INDEX(MonthlyCurve!$J:$J,MATCH(A522,MonthlyCurve!$A:$A,0)),"")</f>
        <v>0.11778242558225771</v>
      </c>
      <c r="P522">
        <f t="shared" si="75"/>
        <v>5.7317178993813753</v>
      </c>
      <c r="Q522">
        <f t="shared" si="76"/>
        <v>1.7195153698144124E-2</v>
      </c>
      <c r="R522">
        <f t="shared" si="77"/>
        <v>5.7489130530795194</v>
      </c>
      <c r="S522">
        <f t="shared" si="78"/>
        <v>0.67509563694238128</v>
      </c>
      <c r="T522">
        <f t="shared" si="79"/>
        <v>2.0252869108271436E-3</v>
      </c>
      <c r="U522">
        <f>SUMPRODUCT(R523:R543,O523:O543)/(M522*O522)</f>
        <v>101103.49162028203</v>
      </c>
    </row>
    <row r="523" spans="1:21" x14ac:dyDescent="0.35">
      <c r="A523">
        <v>520</v>
      </c>
      <c r="B523">
        <f>A523/Inputs!$B$6</f>
        <v>43.333333333333336</v>
      </c>
      <c r="C523">
        <f>Inputs!$B$3+B523</f>
        <v>108.33333333333334</v>
      </c>
      <c r="D523">
        <f t="shared" si="72"/>
        <v>108</v>
      </c>
      <c r="E523">
        <f>Inputs!$B$7+1+INT((A523-1)/Inputs!$B$6)</f>
        <v>2069</v>
      </c>
      <c r="F523">
        <f>Inputs!$B$16</f>
        <v>8333.3333333333339</v>
      </c>
      <c r="G523">
        <f>Inputs!$B$12</f>
        <v>25</v>
      </c>
      <c r="H523">
        <f>IFERROR(INDEX(RP2014_Qx!$B:$B,MATCH(D523,RP2014_Qx!$A:$A,0)),"")</f>
        <v>0.42911199999999999</v>
      </c>
      <c r="I523">
        <f>SUMIFS(MP2016_Long!$C:$C,MP2016_Long!$A:$A,D523,MP2016_Long!$B:$B,"&gt;=2014",MP2016_Long!$B:$B,"&lt;"&amp;E523)</f>
        <v>5.429999999999998E-2</v>
      </c>
      <c r="J523">
        <f t="shared" si="73"/>
        <v>0.45305700531603887</v>
      </c>
      <c r="K523">
        <f t="shared" si="74"/>
        <v>0.60341069646259593</v>
      </c>
      <c r="L523">
        <f>EXP(-K523/Inputs!$B$6)</f>
        <v>0.95095910001621042</v>
      </c>
      <c r="M523">
        <f t="shared" si="80"/>
        <v>6.5407551541710196E-4</v>
      </c>
      <c r="N523">
        <f>IFERROR(INDEX(MonthlyCurve!$I:$I,MATCH(A523,MonthlyCurve!$A:$A,0)),"")</f>
        <v>4.9454709999999999E-2</v>
      </c>
      <c r="O523">
        <f>IFERROR(INDEX(MonthlyCurve!$J:$J,MATCH(A523,MonthlyCurve!$A:$A,0)),"")</f>
        <v>0.11729801647252434</v>
      </c>
      <c r="P523">
        <f t="shared" si="75"/>
        <v>5.4506292951425168</v>
      </c>
      <c r="Q523">
        <f t="shared" si="76"/>
        <v>1.635188788542755E-2</v>
      </c>
      <c r="R523">
        <f t="shared" si="77"/>
        <v>5.4669811830279444</v>
      </c>
      <c r="S523">
        <f t="shared" si="78"/>
        <v>0.63934800484725074</v>
      </c>
      <c r="T523">
        <f t="shared" si="79"/>
        <v>1.918044014541752E-3</v>
      </c>
      <c r="U523">
        <f>SUMPRODUCT(R524:R543,O524:O543)/(M523*O523)</f>
        <v>98398.120984217821</v>
      </c>
    </row>
    <row r="524" spans="1:21" x14ac:dyDescent="0.35">
      <c r="A524">
        <v>521</v>
      </c>
      <c r="B524">
        <f>A524/Inputs!$B$6</f>
        <v>43.416666666666664</v>
      </c>
      <c r="C524">
        <f>Inputs!$B$3+B524</f>
        <v>108.41666666666666</v>
      </c>
      <c r="D524">
        <f t="shared" si="72"/>
        <v>108</v>
      </c>
      <c r="E524">
        <f>Inputs!$B$7+1+INT((A524-1)/Inputs!$B$6)</f>
        <v>2069</v>
      </c>
      <c r="F524">
        <f>Inputs!$B$16</f>
        <v>8333.3333333333339</v>
      </c>
      <c r="G524">
        <f>Inputs!$B$12</f>
        <v>25</v>
      </c>
      <c r="H524">
        <f>IFERROR(INDEX(RP2014_Qx!$B:$B,MATCH(D524,RP2014_Qx!$A:$A,0)),"")</f>
        <v>0.42911199999999999</v>
      </c>
      <c r="I524">
        <f>SUMIFS(MP2016_Long!$C:$C,MP2016_Long!$A:$A,D524,MP2016_Long!$B:$B,"&gt;=2014",MP2016_Long!$B:$B,"&lt;"&amp;E524)</f>
        <v>5.429999999999998E-2</v>
      </c>
      <c r="J524">
        <f t="shared" si="73"/>
        <v>0.45305700531603887</v>
      </c>
      <c r="K524">
        <f t="shared" si="74"/>
        <v>0.60341069646259593</v>
      </c>
      <c r="L524">
        <f>EXP(-K524/Inputs!$B$6)</f>
        <v>0.95095910001621042</v>
      </c>
      <c r="M524">
        <f t="shared" si="80"/>
        <v>6.2199906348368622E-4</v>
      </c>
      <c r="N524">
        <f>IFERROR(INDEX(MonthlyCurve!$I:$I,MATCH(A524,MonthlyCurve!$A:$A,0)),"")</f>
        <v>4.9454709999999999E-2</v>
      </c>
      <c r="O524">
        <f>IFERROR(INDEX(MonthlyCurve!$J:$J,MATCH(A524,MonthlyCurve!$A:$A,0)),"")</f>
        <v>0.11681559961404947</v>
      </c>
      <c r="P524">
        <f t="shared" si="75"/>
        <v>5.1833255290307187</v>
      </c>
      <c r="Q524">
        <f t="shared" si="76"/>
        <v>1.5549976587092156E-2</v>
      </c>
      <c r="R524">
        <f t="shared" si="77"/>
        <v>5.1988755056178109</v>
      </c>
      <c r="S524">
        <f t="shared" si="78"/>
        <v>0.60549327966853361</v>
      </c>
      <c r="T524">
        <f t="shared" si="79"/>
        <v>1.8164798390056009E-3</v>
      </c>
      <c r="U524">
        <f>SUMPRODUCT(R525:R543,O525:O543)/(M524*O524)</f>
        <v>95541.485945284192</v>
      </c>
    </row>
    <row r="525" spans="1:21" x14ac:dyDescent="0.35">
      <c r="A525">
        <v>522</v>
      </c>
      <c r="B525">
        <f>A525/Inputs!$B$6</f>
        <v>43.5</v>
      </c>
      <c r="C525">
        <f>Inputs!$B$3+B525</f>
        <v>108.5</v>
      </c>
      <c r="D525">
        <f t="shared" si="72"/>
        <v>108</v>
      </c>
      <c r="E525">
        <f>Inputs!$B$7+1+INT((A525-1)/Inputs!$B$6)</f>
        <v>2069</v>
      </c>
      <c r="F525">
        <f>Inputs!$B$16</f>
        <v>8333.3333333333339</v>
      </c>
      <c r="G525">
        <f>Inputs!$B$12</f>
        <v>25</v>
      </c>
      <c r="H525">
        <f>IFERROR(INDEX(RP2014_Qx!$B:$B,MATCH(D525,RP2014_Qx!$A:$A,0)),"")</f>
        <v>0.42911199999999999</v>
      </c>
      <c r="I525">
        <f>SUMIFS(MP2016_Long!$C:$C,MP2016_Long!$A:$A,D525,MP2016_Long!$B:$B,"&gt;=2014",MP2016_Long!$B:$B,"&lt;"&amp;E525)</f>
        <v>5.429999999999998E-2</v>
      </c>
      <c r="J525">
        <f t="shared" si="73"/>
        <v>0.45305700531603887</v>
      </c>
      <c r="K525">
        <f t="shared" si="74"/>
        <v>0.60341069646259593</v>
      </c>
      <c r="L525">
        <f>EXP(-K525/Inputs!$B$6)</f>
        <v>0.95095910001621042</v>
      </c>
      <c r="M525">
        <f t="shared" si="80"/>
        <v>5.9149566962137196E-4</v>
      </c>
      <c r="N525">
        <f>IFERROR(INDEX(MonthlyCurve!$I:$I,MATCH(A525,MonthlyCurve!$A:$A,0)),"")</f>
        <v>4.9454709999999999E-2</v>
      </c>
      <c r="O525">
        <f>IFERROR(INDEX(MonthlyCurve!$J:$J,MATCH(A525,MonthlyCurve!$A:$A,0)),"")</f>
        <v>0.1163351668132112</v>
      </c>
      <c r="P525">
        <f t="shared" si="75"/>
        <v>4.9291305801781</v>
      </c>
      <c r="Q525">
        <f t="shared" si="76"/>
        <v>1.4787391740534299E-2</v>
      </c>
      <c r="R525">
        <f t="shared" si="77"/>
        <v>4.9439179719186344</v>
      </c>
      <c r="S525">
        <f t="shared" si="78"/>
        <v>0.57343122828911974</v>
      </c>
      <c r="T525">
        <f t="shared" si="79"/>
        <v>1.7202936848673591E-3</v>
      </c>
      <c r="U525">
        <f>SUMPRODUCT(R526:R543,O526:O543)/(M525*O525)</f>
        <v>92525.128912025626</v>
      </c>
    </row>
    <row r="526" spans="1:21" x14ac:dyDescent="0.35">
      <c r="A526">
        <v>523</v>
      </c>
      <c r="B526">
        <f>A526/Inputs!$B$6</f>
        <v>43.583333333333336</v>
      </c>
      <c r="C526">
        <f>Inputs!$B$3+B526</f>
        <v>108.58333333333334</v>
      </c>
      <c r="D526">
        <f t="shared" si="72"/>
        <v>108</v>
      </c>
      <c r="E526">
        <f>Inputs!$B$7+1+INT((A526-1)/Inputs!$B$6)</f>
        <v>2069</v>
      </c>
      <c r="F526">
        <f>Inputs!$B$16</f>
        <v>8333.3333333333339</v>
      </c>
      <c r="G526">
        <f>Inputs!$B$12</f>
        <v>25</v>
      </c>
      <c r="H526">
        <f>IFERROR(INDEX(RP2014_Qx!$B:$B,MATCH(D526,RP2014_Qx!$A:$A,0)),"")</f>
        <v>0.42911199999999999</v>
      </c>
      <c r="I526">
        <f>SUMIFS(MP2016_Long!$C:$C,MP2016_Long!$A:$A,D526,MP2016_Long!$B:$B,"&gt;=2014",MP2016_Long!$B:$B,"&lt;"&amp;E526)</f>
        <v>5.429999999999998E-2</v>
      </c>
      <c r="J526">
        <f t="shared" si="73"/>
        <v>0.45305700531603887</v>
      </c>
      <c r="K526">
        <f t="shared" si="74"/>
        <v>0.60341069646259593</v>
      </c>
      <c r="L526">
        <f>EXP(-K526/Inputs!$B$6)</f>
        <v>0.95095910001621042</v>
      </c>
      <c r="M526">
        <f t="shared" si="80"/>
        <v>5.6248818964662565E-4</v>
      </c>
      <c r="N526">
        <f>IFERROR(INDEX(MonthlyCurve!$I:$I,MATCH(A526,MonthlyCurve!$A:$A,0)),"")</f>
        <v>4.9454709999999999E-2</v>
      </c>
      <c r="O526">
        <f>IFERROR(INDEX(MonthlyCurve!$J:$J,MATCH(A526,MonthlyCurve!$A:$A,0)),"")</f>
        <v>0.11585670991008593</v>
      </c>
      <c r="P526">
        <f t="shared" si="75"/>
        <v>4.6874015803885474</v>
      </c>
      <c r="Q526">
        <f t="shared" si="76"/>
        <v>1.4062204741165641E-2</v>
      </c>
      <c r="R526">
        <f t="shared" si="77"/>
        <v>4.7014637851297127</v>
      </c>
      <c r="S526">
        <f t="shared" si="78"/>
        <v>0.54306692513115429</v>
      </c>
      <c r="T526">
        <f t="shared" si="79"/>
        <v>1.6292007753934627E-3</v>
      </c>
      <c r="U526">
        <f>SUMPRODUCT(R527:R543,O527:O543)/(M526*O526)</f>
        <v>89340.119406756552</v>
      </c>
    </row>
    <row r="527" spans="1:21" x14ac:dyDescent="0.35">
      <c r="A527">
        <v>524</v>
      </c>
      <c r="B527">
        <f>A527/Inputs!$B$6</f>
        <v>43.666666666666664</v>
      </c>
      <c r="C527">
        <f>Inputs!$B$3+B527</f>
        <v>108.66666666666666</v>
      </c>
      <c r="D527">
        <f t="shared" si="72"/>
        <v>108</v>
      </c>
      <c r="E527">
        <f>Inputs!$B$7+1+INT((A527-1)/Inputs!$B$6)</f>
        <v>2069</v>
      </c>
      <c r="F527">
        <f>Inputs!$B$16</f>
        <v>8333.3333333333339</v>
      </c>
      <c r="G527">
        <f>Inputs!$B$12</f>
        <v>25</v>
      </c>
      <c r="H527">
        <f>IFERROR(INDEX(RP2014_Qx!$B:$B,MATCH(D527,RP2014_Qx!$A:$A,0)),"")</f>
        <v>0.42911199999999999</v>
      </c>
      <c r="I527">
        <f>SUMIFS(MP2016_Long!$C:$C,MP2016_Long!$A:$A,D527,MP2016_Long!$B:$B,"&gt;=2014",MP2016_Long!$B:$B,"&lt;"&amp;E527)</f>
        <v>5.429999999999998E-2</v>
      </c>
      <c r="J527">
        <f t="shared" si="73"/>
        <v>0.45305700531603887</v>
      </c>
      <c r="K527">
        <f t="shared" si="74"/>
        <v>0.60341069646259593</v>
      </c>
      <c r="L527">
        <f>EXP(-K527/Inputs!$B$6)</f>
        <v>0.95095910001621042</v>
      </c>
      <c r="M527">
        <f t="shared" si="80"/>
        <v>5.3490326259610262E-4</v>
      </c>
      <c r="N527">
        <f>IFERROR(INDEX(MonthlyCurve!$I:$I,MATCH(A527,MonthlyCurve!$A:$A,0)),"")</f>
        <v>4.9454709999999999E-2</v>
      </c>
      <c r="O527">
        <f>IFERROR(INDEX(MonthlyCurve!$J:$J,MATCH(A527,MonthlyCurve!$A:$A,0)),"")</f>
        <v>0.11538022077830981</v>
      </c>
      <c r="P527">
        <f t="shared" si="75"/>
        <v>4.4575271883008556</v>
      </c>
      <c r="Q527">
        <f t="shared" si="76"/>
        <v>1.3372581564902565E-2</v>
      </c>
      <c r="R527">
        <f t="shared" si="77"/>
        <v>4.470899769865758</v>
      </c>
      <c r="S527">
        <f t="shared" si="78"/>
        <v>0.51431047111147132</v>
      </c>
      <c r="T527">
        <f t="shared" si="79"/>
        <v>1.5429314133344138E-3</v>
      </c>
      <c r="U527">
        <f>SUMPRODUCT(R528:R543,O528:O543)/(M527*O527)</f>
        <v>85977.02762524561</v>
      </c>
    </row>
    <row r="528" spans="1:21" x14ac:dyDescent="0.35">
      <c r="A528">
        <v>525</v>
      </c>
      <c r="B528">
        <f>A528/Inputs!$B$6</f>
        <v>43.75</v>
      </c>
      <c r="C528">
        <f>Inputs!$B$3+B528</f>
        <v>108.75</v>
      </c>
      <c r="D528">
        <f t="shared" si="72"/>
        <v>108</v>
      </c>
      <c r="E528">
        <f>Inputs!$B$7+1+INT((A528-1)/Inputs!$B$6)</f>
        <v>2069</v>
      </c>
      <c r="F528">
        <f>Inputs!$B$16</f>
        <v>8333.3333333333339</v>
      </c>
      <c r="G528">
        <f>Inputs!$B$12</f>
        <v>25</v>
      </c>
      <c r="H528">
        <f>IFERROR(INDEX(RP2014_Qx!$B:$B,MATCH(D528,RP2014_Qx!$A:$A,0)),"")</f>
        <v>0.42911199999999999</v>
      </c>
      <c r="I528">
        <f>SUMIFS(MP2016_Long!$C:$C,MP2016_Long!$A:$A,D528,MP2016_Long!$B:$B,"&gt;=2014",MP2016_Long!$B:$B,"&lt;"&amp;E528)</f>
        <v>5.429999999999998E-2</v>
      </c>
      <c r="J528">
        <f t="shared" si="73"/>
        <v>0.45305700531603887</v>
      </c>
      <c r="K528">
        <f t="shared" si="74"/>
        <v>0.60341069646259593</v>
      </c>
      <c r="L528">
        <f>EXP(-K528/Inputs!$B$6)</f>
        <v>0.95095910001621042</v>
      </c>
      <c r="M528">
        <f t="shared" si="80"/>
        <v>5.0867112519412442E-4</v>
      </c>
      <c r="N528">
        <f>IFERROR(INDEX(MonthlyCurve!$I:$I,MATCH(A528,MonthlyCurve!$A:$A,0)),"")</f>
        <v>4.9454709999999999E-2</v>
      </c>
      <c r="O528">
        <f>IFERROR(INDEX(MonthlyCurve!$J:$J,MATCH(A528,MonthlyCurve!$A:$A,0)),"")</f>
        <v>0.11490569132494051</v>
      </c>
      <c r="P528">
        <f t="shared" si="75"/>
        <v>4.2389260432843701</v>
      </c>
      <c r="Q528">
        <f t="shared" si="76"/>
        <v>1.2716778129853111E-2</v>
      </c>
      <c r="R528">
        <f t="shared" si="77"/>
        <v>4.2516428214142232</v>
      </c>
      <c r="S528">
        <f t="shared" si="78"/>
        <v>0.48707672747888525</v>
      </c>
      <c r="T528">
        <f t="shared" si="79"/>
        <v>1.4612301824366558E-3</v>
      </c>
      <c r="U528">
        <f>SUMPRODUCT(R529:R543,O529:O543)/(M528*O528)</f>
        <v>82425.896518052745</v>
      </c>
    </row>
    <row r="529" spans="1:21" x14ac:dyDescent="0.35">
      <c r="A529">
        <v>526</v>
      </c>
      <c r="B529">
        <f>A529/Inputs!$B$6</f>
        <v>43.833333333333336</v>
      </c>
      <c r="C529">
        <f>Inputs!$B$3+B529</f>
        <v>108.83333333333334</v>
      </c>
      <c r="D529">
        <f t="shared" si="72"/>
        <v>108</v>
      </c>
      <c r="E529">
        <f>Inputs!$B$7+1+INT((A529-1)/Inputs!$B$6)</f>
        <v>2069</v>
      </c>
      <c r="F529">
        <f>Inputs!$B$16</f>
        <v>8333.3333333333339</v>
      </c>
      <c r="G529">
        <f>Inputs!$B$12</f>
        <v>25</v>
      </c>
      <c r="H529">
        <f>IFERROR(INDEX(RP2014_Qx!$B:$B,MATCH(D529,RP2014_Qx!$A:$A,0)),"")</f>
        <v>0.42911199999999999</v>
      </c>
      <c r="I529">
        <f>SUMIFS(MP2016_Long!$C:$C,MP2016_Long!$A:$A,D529,MP2016_Long!$B:$B,"&gt;=2014",MP2016_Long!$B:$B,"&lt;"&amp;E529)</f>
        <v>5.429999999999998E-2</v>
      </c>
      <c r="J529">
        <f t="shared" si="73"/>
        <v>0.45305700531603887</v>
      </c>
      <c r="K529">
        <f t="shared" si="74"/>
        <v>0.60341069646259593</v>
      </c>
      <c r="L529">
        <f>EXP(-K529/Inputs!$B$6)</f>
        <v>0.95095910001621042</v>
      </c>
      <c r="M529">
        <f t="shared" si="80"/>
        <v>4.8372543541883766E-4</v>
      </c>
      <c r="N529">
        <f>IFERROR(INDEX(MonthlyCurve!$I:$I,MATCH(A529,MonthlyCurve!$A:$A,0)),"")</f>
        <v>4.9454709999999999E-2</v>
      </c>
      <c r="O529">
        <f>IFERROR(INDEX(MonthlyCurve!$J:$J,MATCH(A529,MonthlyCurve!$A:$A,0)),"")</f>
        <v>0.11443311349032004</v>
      </c>
      <c r="P529">
        <f t="shared" si="75"/>
        <v>4.0310452951569804</v>
      </c>
      <c r="Q529">
        <f t="shared" si="76"/>
        <v>1.2093135885470941E-2</v>
      </c>
      <c r="R529">
        <f t="shared" si="77"/>
        <v>4.0431384310424514</v>
      </c>
      <c r="S529">
        <f t="shared" si="78"/>
        <v>0.46128506374531936</v>
      </c>
      <c r="T529">
        <f t="shared" si="79"/>
        <v>1.3838551912359581E-3</v>
      </c>
      <c r="U529">
        <f>SUMPRODUCT(R530:R543,O530:O543)/(M529*O529)</f>
        <v>78676.212310859439</v>
      </c>
    </row>
    <row r="530" spans="1:21" x14ac:dyDescent="0.35">
      <c r="A530">
        <v>527</v>
      </c>
      <c r="B530">
        <f>A530/Inputs!$B$6</f>
        <v>43.916666666666664</v>
      </c>
      <c r="C530">
        <f>Inputs!$B$3+B530</f>
        <v>108.91666666666666</v>
      </c>
      <c r="D530">
        <f t="shared" si="72"/>
        <v>108</v>
      </c>
      <c r="E530">
        <f>Inputs!$B$7+1+INT((A530-1)/Inputs!$B$6)</f>
        <v>2069</v>
      </c>
      <c r="F530">
        <f>Inputs!$B$16</f>
        <v>8333.3333333333339</v>
      </c>
      <c r="G530">
        <f>Inputs!$B$12</f>
        <v>25</v>
      </c>
      <c r="H530">
        <f>IFERROR(INDEX(RP2014_Qx!$B:$B,MATCH(D530,RP2014_Qx!$A:$A,0)),"")</f>
        <v>0.42911199999999999</v>
      </c>
      <c r="I530">
        <f>SUMIFS(MP2016_Long!$C:$C,MP2016_Long!$A:$A,D530,MP2016_Long!$B:$B,"&gt;=2014",MP2016_Long!$B:$B,"&lt;"&amp;E530)</f>
        <v>5.429999999999998E-2</v>
      </c>
      <c r="J530">
        <f t="shared" si="73"/>
        <v>0.45305700531603887</v>
      </c>
      <c r="K530">
        <f t="shared" si="74"/>
        <v>0.60341069646259593</v>
      </c>
      <c r="L530">
        <f>EXP(-K530/Inputs!$B$6)</f>
        <v>0.95095910001621042</v>
      </c>
      <c r="M530">
        <f t="shared" si="80"/>
        <v>4.600031047208474E-4</v>
      </c>
      <c r="N530">
        <f>IFERROR(INDEX(MonthlyCurve!$I:$I,MATCH(A530,MonthlyCurve!$A:$A,0)),"")</f>
        <v>4.9454709999999999E-2</v>
      </c>
      <c r="O530">
        <f>IFERROR(INDEX(MonthlyCurve!$J:$J,MATCH(A530,MonthlyCurve!$A:$A,0)),"")</f>
        <v>0.11396247924793768</v>
      </c>
      <c r="P530">
        <f t="shared" si="75"/>
        <v>3.8333592060070618</v>
      </c>
      <c r="Q530">
        <f t="shared" si="76"/>
        <v>1.1500077618021185E-2</v>
      </c>
      <c r="R530">
        <f t="shared" si="77"/>
        <v>3.844859283625083</v>
      </c>
      <c r="S530">
        <f t="shared" si="78"/>
        <v>0.43685911896447061</v>
      </c>
      <c r="T530">
        <f t="shared" si="79"/>
        <v>1.3105773568934118E-3</v>
      </c>
      <c r="U530">
        <f>SUMPRODUCT(R531:R543,O531:O543)/(M530*O530)</f>
        <v>74716.873376513773</v>
      </c>
    </row>
    <row r="531" spans="1:21" x14ac:dyDescent="0.35">
      <c r="A531">
        <v>528</v>
      </c>
      <c r="B531">
        <f>A531/Inputs!$B$6</f>
        <v>44</v>
      </c>
      <c r="C531">
        <f>Inputs!$B$3+B531</f>
        <v>109</v>
      </c>
      <c r="D531">
        <f t="shared" si="72"/>
        <v>109</v>
      </c>
      <c r="E531">
        <f>Inputs!$B$7+1+INT((A531-1)/Inputs!$B$6)</f>
        <v>2069</v>
      </c>
      <c r="F531">
        <f>Inputs!$B$16</f>
        <v>8333.3333333333339</v>
      </c>
      <c r="G531">
        <f>Inputs!$B$12</f>
        <v>25</v>
      </c>
      <c r="H531">
        <f>IFERROR(INDEX(RP2014_Qx!$B:$B,MATCH(D531,RP2014_Qx!$A:$A,0)),"")</f>
        <v>0.446544</v>
      </c>
      <c r="I531">
        <f>SUMIFS(MP2016_Long!$C:$C,MP2016_Long!$A:$A,D531,MP2016_Long!$B:$B,"&gt;=2014",MP2016_Long!$B:$B,"&lt;"&amp;E531)</f>
        <v>4.65E-2</v>
      </c>
      <c r="J531">
        <f t="shared" si="73"/>
        <v>0.46779863661957932</v>
      </c>
      <c r="K531">
        <f t="shared" si="74"/>
        <v>0.63073335865975388</v>
      </c>
      <c r="L531">
        <f>EXP(-K531/Inputs!$B$6)</f>
        <v>0.94879633528323537</v>
      </c>
      <c r="M531">
        <f t="shared" si="80"/>
        <v>4.3644925997805037E-4</v>
      </c>
      <c r="N531">
        <f>IFERROR(INDEX(MonthlyCurve!$I:$I,MATCH(A531,MonthlyCurve!$A:$A,0)),"")</f>
        <v>4.9454709999999999E-2</v>
      </c>
      <c r="O531">
        <f>IFERROR(INDEX(MonthlyCurve!$J:$J,MATCH(A531,MonthlyCurve!$A:$A,0)),"")</f>
        <v>0.11349378060429371</v>
      </c>
      <c r="P531">
        <f t="shared" si="75"/>
        <v>3.6370771664837531</v>
      </c>
      <c r="Q531">
        <f t="shared" si="76"/>
        <v>1.0911231499451259E-2</v>
      </c>
      <c r="R531">
        <f t="shared" si="77"/>
        <v>3.6479883979832044</v>
      </c>
      <c r="S531">
        <f t="shared" si="78"/>
        <v>0.41278563797379331</v>
      </c>
      <c r="T531">
        <f t="shared" si="79"/>
        <v>1.2383569139213799E-3</v>
      </c>
      <c r="U531">
        <f>SUMPRODUCT(R532:R543,O532:O543)/(M531*O531)</f>
        <v>70715.995985062167</v>
      </c>
    </row>
    <row r="532" spans="1:21" x14ac:dyDescent="0.35">
      <c r="A532">
        <v>529</v>
      </c>
      <c r="B532">
        <f>A532/Inputs!$B$6</f>
        <v>44.083333333333336</v>
      </c>
      <c r="C532">
        <f>Inputs!$B$3+B532</f>
        <v>109.08333333333334</v>
      </c>
      <c r="D532">
        <f t="shared" si="72"/>
        <v>109</v>
      </c>
      <c r="E532">
        <f>Inputs!$B$7+1+INT((A532-1)/Inputs!$B$6)</f>
        <v>2070</v>
      </c>
      <c r="F532">
        <f>Inputs!$B$16</f>
        <v>8333.3333333333339</v>
      </c>
      <c r="G532">
        <f>Inputs!$B$12</f>
        <v>25</v>
      </c>
      <c r="H532">
        <f>IFERROR(INDEX(RP2014_Qx!$B:$B,MATCH(D532,RP2014_Qx!$A:$A,0)),"")</f>
        <v>0.446544</v>
      </c>
      <c r="I532">
        <f>SUMIFS(MP2016_Long!$C:$C,MP2016_Long!$A:$A,D532,MP2016_Long!$B:$B,"&gt;=2014",MP2016_Long!$B:$B,"&lt;"&amp;E532)</f>
        <v>4.65E-2</v>
      </c>
      <c r="J532">
        <f t="shared" si="73"/>
        <v>0.46779863661957932</v>
      </c>
      <c r="K532">
        <f t="shared" si="74"/>
        <v>0.63073335865975388</v>
      </c>
      <c r="L532">
        <f>EXP(-K532/Inputs!$B$6)</f>
        <v>0.94879633528323537</v>
      </c>
      <c r="M532">
        <f t="shared" si="80"/>
        <v>4.1410145840425422E-4</v>
      </c>
      <c r="N532">
        <f>IFERROR(INDEX(MonthlyCurve!$I:$I,MATCH(A532,MonthlyCurve!$A:$A,0)),"")</f>
        <v>4.9454709999999999E-2</v>
      </c>
      <c r="O532">
        <f>IFERROR(INDEX(MonthlyCurve!$J:$J,MATCH(A532,MonthlyCurve!$A:$A,0)),"")</f>
        <v>0.11302700959876368</v>
      </c>
      <c r="P532">
        <f t="shared" si="75"/>
        <v>3.4508454867021188</v>
      </c>
      <c r="Q532">
        <f t="shared" si="76"/>
        <v>1.0352536460106355E-2</v>
      </c>
      <c r="R532">
        <f t="shared" si="77"/>
        <v>3.461198023162225</v>
      </c>
      <c r="S532">
        <f t="shared" si="78"/>
        <v>0.39003874594933069</v>
      </c>
      <c r="T532">
        <f t="shared" si="79"/>
        <v>1.1701162378479919E-3</v>
      </c>
      <c r="U532">
        <f>SUMPRODUCT(R533:R543,O533:O543)/(M532*O532)</f>
        <v>66481.789143724862</v>
      </c>
    </row>
    <row r="533" spans="1:21" x14ac:dyDescent="0.35">
      <c r="A533">
        <v>530</v>
      </c>
      <c r="B533">
        <f>A533/Inputs!$B$6</f>
        <v>44.166666666666664</v>
      </c>
      <c r="C533">
        <f>Inputs!$B$3+B533</f>
        <v>109.16666666666666</v>
      </c>
      <c r="D533">
        <f t="shared" si="72"/>
        <v>109</v>
      </c>
      <c r="E533">
        <f>Inputs!$B$7+1+INT((A533-1)/Inputs!$B$6)</f>
        <v>2070</v>
      </c>
      <c r="F533">
        <f>Inputs!$B$16</f>
        <v>8333.3333333333339</v>
      </c>
      <c r="G533">
        <f>Inputs!$B$12</f>
        <v>25</v>
      </c>
      <c r="H533">
        <f>IFERROR(INDEX(RP2014_Qx!$B:$B,MATCH(D533,RP2014_Qx!$A:$A,0)),"")</f>
        <v>0.446544</v>
      </c>
      <c r="I533">
        <f>SUMIFS(MP2016_Long!$C:$C,MP2016_Long!$A:$A,D533,MP2016_Long!$B:$B,"&gt;=2014",MP2016_Long!$B:$B,"&lt;"&amp;E533)</f>
        <v>4.65E-2</v>
      </c>
      <c r="J533">
        <f t="shared" si="73"/>
        <v>0.46779863661957932</v>
      </c>
      <c r="K533">
        <f t="shared" si="74"/>
        <v>0.63073335865975388</v>
      </c>
      <c r="L533">
        <f>EXP(-K533/Inputs!$B$6)</f>
        <v>0.94879633528323537</v>
      </c>
      <c r="M533">
        <f t="shared" si="80"/>
        <v>3.9289794616939952E-4</v>
      </c>
      <c r="N533">
        <f>IFERROR(INDEX(MonthlyCurve!$I:$I,MATCH(A533,MonthlyCurve!$A:$A,0)),"")</f>
        <v>4.9454709999999999E-2</v>
      </c>
      <c r="O533">
        <f>IFERROR(INDEX(MonthlyCurve!$J:$J,MATCH(A533,MonthlyCurve!$A:$A,0)),"")</f>
        <v>0.11256215830346311</v>
      </c>
      <c r="P533">
        <f t="shared" si="75"/>
        <v>3.274149551411663</v>
      </c>
      <c r="Q533">
        <f t="shared" si="76"/>
        <v>9.8224486542349883E-3</v>
      </c>
      <c r="R533">
        <f t="shared" si="77"/>
        <v>3.2839720000658978</v>
      </c>
      <c r="S533">
        <f t="shared" si="78"/>
        <v>0.36854534011521234</v>
      </c>
      <c r="T533">
        <f t="shared" si="79"/>
        <v>1.105636020345637E-3</v>
      </c>
      <c r="U533">
        <f>SUMPRODUCT(R534:R543,O534:O543)/(M533*O533)</f>
        <v>62000.645179269894</v>
      </c>
    </row>
    <row r="534" spans="1:21" x14ac:dyDescent="0.35">
      <c r="A534">
        <v>531</v>
      </c>
      <c r="B534">
        <f>A534/Inputs!$B$6</f>
        <v>44.25</v>
      </c>
      <c r="C534">
        <f>Inputs!$B$3+B534</f>
        <v>109.25</v>
      </c>
      <c r="D534">
        <f t="shared" si="72"/>
        <v>109</v>
      </c>
      <c r="E534">
        <f>Inputs!$B$7+1+INT((A534-1)/Inputs!$B$6)</f>
        <v>2070</v>
      </c>
      <c r="F534">
        <f>Inputs!$B$16</f>
        <v>8333.3333333333339</v>
      </c>
      <c r="G534">
        <f>Inputs!$B$12</f>
        <v>25</v>
      </c>
      <c r="H534">
        <f>IFERROR(INDEX(RP2014_Qx!$B:$B,MATCH(D534,RP2014_Qx!$A:$A,0)),"")</f>
        <v>0.446544</v>
      </c>
      <c r="I534">
        <f>SUMIFS(MP2016_Long!$C:$C,MP2016_Long!$A:$A,D534,MP2016_Long!$B:$B,"&gt;=2014",MP2016_Long!$B:$B,"&lt;"&amp;E534)</f>
        <v>4.65E-2</v>
      </c>
      <c r="J534">
        <f t="shared" si="73"/>
        <v>0.46779863661957932</v>
      </c>
      <c r="K534">
        <f t="shared" si="74"/>
        <v>0.63073335865975388</v>
      </c>
      <c r="L534">
        <f>EXP(-K534/Inputs!$B$6)</f>
        <v>0.94879633528323537</v>
      </c>
      <c r="M534">
        <f t="shared" si="80"/>
        <v>3.7278013146583617E-4</v>
      </c>
      <c r="N534">
        <f>IFERROR(INDEX(MonthlyCurve!$I:$I,MATCH(A534,MonthlyCurve!$A:$A,0)),"")</f>
        <v>4.9454709999999999E-2</v>
      </c>
      <c r="O534">
        <f>IFERROR(INDEX(MonthlyCurve!$J:$J,MATCH(A534,MonthlyCurve!$A:$A,0)),"")</f>
        <v>0.11209921882311283</v>
      </c>
      <c r="P534">
        <f t="shared" si="75"/>
        <v>3.106501095548635</v>
      </c>
      <c r="Q534">
        <f t="shared" si="76"/>
        <v>9.3195032866459047E-3</v>
      </c>
      <c r="R534">
        <f t="shared" si="77"/>
        <v>3.1158205988352807</v>
      </c>
      <c r="S534">
        <f t="shared" si="78"/>
        <v>0.34823634608414616</v>
      </c>
      <c r="T534">
        <f t="shared" si="79"/>
        <v>1.0447090382524385E-3</v>
      </c>
      <c r="U534">
        <f>SUMPRODUCT(R535:R543,O535:O543)/(M534*O534)</f>
        <v>57258.162824811057</v>
      </c>
    </row>
    <row r="535" spans="1:21" x14ac:dyDescent="0.35">
      <c r="A535">
        <v>532</v>
      </c>
      <c r="B535">
        <f>A535/Inputs!$B$6</f>
        <v>44.333333333333336</v>
      </c>
      <c r="C535">
        <f>Inputs!$B$3+B535</f>
        <v>109.33333333333334</v>
      </c>
      <c r="D535">
        <f t="shared" si="72"/>
        <v>109</v>
      </c>
      <c r="E535">
        <f>Inputs!$B$7+1+INT((A535-1)/Inputs!$B$6)</f>
        <v>2070</v>
      </c>
      <c r="F535">
        <f>Inputs!$B$16</f>
        <v>8333.3333333333339</v>
      </c>
      <c r="G535">
        <f>Inputs!$B$12</f>
        <v>25</v>
      </c>
      <c r="H535">
        <f>IFERROR(INDEX(RP2014_Qx!$B:$B,MATCH(D535,RP2014_Qx!$A:$A,0)),"")</f>
        <v>0.446544</v>
      </c>
      <c r="I535">
        <f>SUMIFS(MP2016_Long!$C:$C,MP2016_Long!$A:$A,D535,MP2016_Long!$B:$B,"&gt;=2014",MP2016_Long!$B:$B,"&lt;"&amp;E535)</f>
        <v>4.65E-2</v>
      </c>
      <c r="J535">
        <f t="shared" si="73"/>
        <v>0.46779863661957932</v>
      </c>
      <c r="K535">
        <f t="shared" si="74"/>
        <v>0.63073335865975388</v>
      </c>
      <c r="L535">
        <f>EXP(-K535/Inputs!$B$6)</f>
        <v>0.94879633528323537</v>
      </c>
      <c r="M535">
        <f t="shared" si="80"/>
        <v>3.5369242260118805E-4</v>
      </c>
      <c r="N535">
        <f>IFERROR(INDEX(MonthlyCurve!$I:$I,MATCH(A535,MonthlyCurve!$A:$A,0)),"")</f>
        <v>4.9454709999999999E-2</v>
      </c>
      <c r="O535">
        <f>IFERROR(INDEX(MonthlyCurve!$J:$J,MATCH(A535,MonthlyCurve!$A:$A,0)),"")</f>
        <v>0.11163818329490505</v>
      </c>
      <c r="P535">
        <f t="shared" si="75"/>
        <v>2.9474368550099008</v>
      </c>
      <c r="Q535">
        <f t="shared" si="76"/>
        <v>8.8423105650297009E-3</v>
      </c>
      <c r="R535">
        <f t="shared" si="77"/>
        <v>2.9562791655749305</v>
      </c>
      <c r="S535">
        <f t="shared" si="78"/>
        <v>0.32904649586975376</v>
      </c>
      <c r="T535">
        <f t="shared" si="79"/>
        <v>9.8713948760926107E-4</v>
      </c>
      <c r="U535">
        <f>SUMPRODUCT(R536:R543,O536:O543)/(M535*O535)</f>
        <v>52239.100937767027</v>
      </c>
    </row>
    <row r="536" spans="1:21" x14ac:dyDescent="0.35">
      <c r="A536">
        <v>533</v>
      </c>
      <c r="B536">
        <f>A536/Inputs!$B$6</f>
        <v>44.416666666666664</v>
      </c>
      <c r="C536">
        <f>Inputs!$B$3+B536</f>
        <v>109.41666666666666</v>
      </c>
      <c r="D536">
        <f t="shared" si="72"/>
        <v>109</v>
      </c>
      <c r="E536">
        <f>Inputs!$B$7+1+INT((A536-1)/Inputs!$B$6)</f>
        <v>2070</v>
      </c>
      <c r="F536">
        <f>Inputs!$B$16</f>
        <v>8333.3333333333339</v>
      </c>
      <c r="G536">
        <f>Inputs!$B$12</f>
        <v>25</v>
      </c>
      <c r="H536">
        <f>IFERROR(INDEX(RP2014_Qx!$B:$B,MATCH(D536,RP2014_Qx!$A:$A,0)),"")</f>
        <v>0.446544</v>
      </c>
      <c r="I536">
        <f>SUMIFS(MP2016_Long!$C:$C,MP2016_Long!$A:$A,D536,MP2016_Long!$B:$B,"&gt;=2014",MP2016_Long!$B:$B,"&lt;"&amp;E536)</f>
        <v>4.65E-2</v>
      </c>
      <c r="J536">
        <f t="shared" si="73"/>
        <v>0.46779863661957932</v>
      </c>
      <c r="K536">
        <f t="shared" si="74"/>
        <v>0.63073335865975388</v>
      </c>
      <c r="L536">
        <f>EXP(-K536/Inputs!$B$6)</f>
        <v>0.94879633528323537</v>
      </c>
      <c r="M536">
        <f t="shared" si="80"/>
        <v>3.3558207438145657E-4</v>
      </c>
      <c r="N536">
        <f>IFERROR(INDEX(MonthlyCurve!$I:$I,MATCH(A536,MonthlyCurve!$A:$A,0)),"")</f>
        <v>4.9454709999999999E-2</v>
      </c>
      <c r="O536">
        <f>IFERROR(INDEX(MonthlyCurve!$J:$J,MATCH(A536,MonthlyCurve!$A:$A,0)),"")</f>
        <v>0.11117904388836969</v>
      </c>
      <c r="P536">
        <f t="shared" si="75"/>
        <v>2.7965172865121382</v>
      </c>
      <c r="Q536">
        <f t="shared" si="76"/>
        <v>8.3895518595364146E-3</v>
      </c>
      <c r="R536">
        <f t="shared" si="77"/>
        <v>2.8049068383716746</v>
      </c>
      <c r="S536">
        <f t="shared" si="78"/>
        <v>0.31091411813171754</v>
      </c>
      <c r="T536">
        <f t="shared" si="79"/>
        <v>9.3274235439515251E-4</v>
      </c>
      <c r="U536">
        <f>SUMPRODUCT(R537:R543,O537:O543)/(M536*O536)</f>
        <v>46927.329518671708</v>
      </c>
    </row>
    <row r="537" spans="1:21" x14ac:dyDescent="0.35">
      <c r="A537">
        <v>534</v>
      </c>
      <c r="B537">
        <f>A537/Inputs!$B$6</f>
        <v>44.5</v>
      </c>
      <c r="C537">
        <f>Inputs!$B$3+B537</f>
        <v>109.5</v>
      </c>
      <c r="D537">
        <f t="shared" si="72"/>
        <v>109</v>
      </c>
      <c r="E537">
        <f>Inputs!$B$7+1+INT((A537-1)/Inputs!$B$6)</f>
        <v>2070</v>
      </c>
      <c r="F537">
        <f>Inputs!$B$16</f>
        <v>8333.3333333333339</v>
      </c>
      <c r="G537">
        <f>Inputs!$B$12</f>
        <v>25</v>
      </c>
      <c r="H537">
        <f>IFERROR(INDEX(RP2014_Qx!$B:$B,MATCH(D537,RP2014_Qx!$A:$A,0)),"")</f>
        <v>0.446544</v>
      </c>
      <c r="I537">
        <f>SUMIFS(MP2016_Long!$C:$C,MP2016_Long!$A:$A,D537,MP2016_Long!$B:$B,"&gt;=2014",MP2016_Long!$B:$B,"&lt;"&amp;E537)</f>
        <v>4.65E-2</v>
      </c>
      <c r="J537">
        <f t="shared" si="73"/>
        <v>0.46779863661957932</v>
      </c>
      <c r="K537">
        <f t="shared" si="74"/>
        <v>0.63073335865975388</v>
      </c>
      <c r="L537">
        <f>EXP(-K537/Inputs!$B$6)</f>
        <v>0.94879633528323537</v>
      </c>
      <c r="M537">
        <f t="shared" si="80"/>
        <v>3.1839904235987209E-4</v>
      </c>
      <c r="N537">
        <f>IFERROR(INDEX(MonthlyCurve!$I:$I,MATCH(A537,MonthlyCurve!$A:$A,0)),"")</f>
        <v>4.9454709999999999E-2</v>
      </c>
      <c r="O537">
        <f>IFERROR(INDEX(MonthlyCurve!$J:$J,MATCH(A537,MonthlyCurve!$A:$A,0)),"")</f>
        <v>0.11072179280524133</v>
      </c>
      <c r="P537">
        <f t="shared" si="75"/>
        <v>2.6533253529989342</v>
      </c>
      <c r="Q537">
        <f t="shared" si="76"/>
        <v>7.9599760589968028E-3</v>
      </c>
      <c r="R537">
        <f t="shared" si="77"/>
        <v>2.661285329057931</v>
      </c>
      <c r="S537">
        <f t="shared" si="78"/>
        <v>0.29378093997964183</v>
      </c>
      <c r="T537">
        <f t="shared" si="79"/>
        <v>8.8134281993892548E-4</v>
      </c>
      <c r="U537">
        <f>SUMPRODUCT(R538:R543,O538:O543)/(M537*O537)</f>
        <v>41305.77787342298</v>
      </c>
    </row>
    <row r="538" spans="1:21" x14ac:dyDescent="0.35">
      <c r="A538">
        <v>535</v>
      </c>
      <c r="B538">
        <f>A538/Inputs!$B$6</f>
        <v>44.583333333333336</v>
      </c>
      <c r="C538">
        <f>Inputs!$B$3+B538</f>
        <v>109.58333333333334</v>
      </c>
      <c r="D538">
        <f t="shared" si="72"/>
        <v>109</v>
      </c>
      <c r="E538">
        <f>Inputs!$B$7+1+INT((A538-1)/Inputs!$B$6)</f>
        <v>2070</v>
      </c>
      <c r="F538">
        <f>Inputs!$B$16</f>
        <v>8333.3333333333339</v>
      </c>
      <c r="G538">
        <f>Inputs!$B$12</f>
        <v>25</v>
      </c>
      <c r="H538">
        <f>IFERROR(INDEX(RP2014_Qx!$B:$B,MATCH(D538,RP2014_Qx!$A:$A,0)),"")</f>
        <v>0.446544</v>
      </c>
      <c r="I538">
        <f>SUMIFS(MP2016_Long!$C:$C,MP2016_Long!$A:$A,D538,MP2016_Long!$B:$B,"&gt;=2014",MP2016_Long!$B:$B,"&lt;"&amp;E538)</f>
        <v>4.65E-2</v>
      </c>
      <c r="J538">
        <f t="shared" si="73"/>
        <v>0.46779863661957932</v>
      </c>
      <c r="K538">
        <f t="shared" si="74"/>
        <v>0.63073335865975388</v>
      </c>
      <c r="L538">
        <f>EXP(-K538/Inputs!$B$6)</f>
        <v>0.94879633528323537</v>
      </c>
      <c r="M538">
        <f t="shared" si="80"/>
        <v>3.0209584454873824E-4</v>
      </c>
      <c r="N538">
        <f>IFERROR(INDEX(MonthlyCurve!$I:$I,MATCH(A538,MonthlyCurve!$A:$A,0)),"")</f>
        <v>4.9454709999999999E-2</v>
      </c>
      <c r="O538">
        <f>IFERROR(INDEX(MonthlyCurve!$J:$J,MATCH(A538,MonthlyCurve!$A:$A,0)),"")</f>
        <v>0.11026642227932693</v>
      </c>
      <c r="P538">
        <f t="shared" si="75"/>
        <v>2.5174653712394854</v>
      </c>
      <c r="Q538">
        <f t="shared" si="76"/>
        <v>7.5523961137184559E-3</v>
      </c>
      <c r="R538">
        <f t="shared" si="77"/>
        <v>2.5250177673532037</v>
      </c>
      <c r="S538">
        <f t="shared" si="78"/>
        <v>0.27759189969867565</v>
      </c>
      <c r="T538">
        <f t="shared" si="79"/>
        <v>8.3277569909602684E-4</v>
      </c>
      <c r="U538">
        <f>SUMPRODUCT(R539:R543,O539:O543)/(M538*O538)</f>
        <v>35356.379752375578</v>
      </c>
    </row>
    <row r="539" spans="1:21" x14ac:dyDescent="0.35">
      <c r="A539">
        <v>536</v>
      </c>
      <c r="B539">
        <f>A539/Inputs!$B$6</f>
        <v>44.666666666666664</v>
      </c>
      <c r="C539">
        <f>Inputs!$B$3+B539</f>
        <v>109.66666666666666</v>
      </c>
      <c r="D539">
        <f t="shared" si="72"/>
        <v>109</v>
      </c>
      <c r="E539">
        <f>Inputs!$B$7+1+INT((A539-1)/Inputs!$B$6)</f>
        <v>2070</v>
      </c>
      <c r="F539">
        <f>Inputs!$B$16</f>
        <v>8333.3333333333339</v>
      </c>
      <c r="G539">
        <f>Inputs!$B$12</f>
        <v>25</v>
      </c>
      <c r="H539">
        <f>IFERROR(INDEX(RP2014_Qx!$B:$B,MATCH(D539,RP2014_Qx!$A:$A,0)),"")</f>
        <v>0.446544</v>
      </c>
      <c r="I539">
        <f>SUMIFS(MP2016_Long!$C:$C,MP2016_Long!$A:$A,D539,MP2016_Long!$B:$B,"&gt;=2014",MP2016_Long!$B:$B,"&lt;"&amp;E539)</f>
        <v>4.65E-2</v>
      </c>
      <c r="J539">
        <f t="shared" si="73"/>
        <v>0.46779863661957932</v>
      </c>
      <c r="K539">
        <f t="shared" si="74"/>
        <v>0.63073335865975388</v>
      </c>
      <c r="L539">
        <f>EXP(-K539/Inputs!$B$6)</f>
        <v>0.94879633528323537</v>
      </c>
      <c r="M539">
        <f t="shared" si="80"/>
        <v>2.8662743021213682E-4</v>
      </c>
      <c r="N539">
        <f>IFERROR(INDEX(MonthlyCurve!$I:$I,MATCH(A539,MonthlyCurve!$A:$A,0)),"")</f>
        <v>4.9454709999999999E-2</v>
      </c>
      <c r="O539">
        <f>IFERROR(INDEX(MonthlyCurve!$J:$J,MATCH(A539,MonthlyCurve!$A:$A,0)),"")</f>
        <v>0.10981292457637376</v>
      </c>
      <c r="P539">
        <f t="shared" si="75"/>
        <v>2.3885619184344735</v>
      </c>
      <c r="Q539">
        <f t="shared" si="76"/>
        <v>7.1656857553034203E-3</v>
      </c>
      <c r="R539">
        <f t="shared" si="77"/>
        <v>2.3957276041897768</v>
      </c>
      <c r="S539">
        <f t="shared" si="78"/>
        <v>0.26229496979504346</v>
      </c>
      <c r="T539">
        <f t="shared" si="79"/>
        <v>7.8688490938513031E-4</v>
      </c>
      <c r="U539">
        <f>SUMPRODUCT(R540:R543,O540:O543)/(M539*O539)</f>
        <v>29060.01528996991</v>
      </c>
    </row>
    <row r="540" spans="1:21" x14ac:dyDescent="0.35">
      <c r="A540">
        <v>537</v>
      </c>
      <c r="B540">
        <f>A540/Inputs!$B$6</f>
        <v>44.75</v>
      </c>
      <c r="C540">
        <f>Inputs!$B$3+B540</f>
        <v>109.75</v>
      </c>
      <c r="D540">
        <f t="shared" si="72"/>
        <v>109</v>
      </c>
      <c r="E540">
        <f>Inputs!$B$7+1+INT((A540-1)/Inputs!$B$6)</f>
        <v>2070</v>
      </c>
      <c r="F540">
        <f>Inputs!$B$16</f>
        <v>8333.3333333333339</v>
      </c>
      <c r="G540">
        <f>Inputs!$B$12</f>
        <v>25</v>
      </c>
      <c r="H540">
        <f>IFERROR(INDEX(RP2014_Qx!$B:$B,MATCH(D540,RP2014_Qx!$A:$A,0)),"")</f>
        <v>0.446544</v>
      </c>
      <c r="I540">
        <f>SUMIFS(MP2016_Long!$C:$C,MP2016_Long!$A:$A,D540,MP2016_Long!$B:$B,"&gt;=2014",MP2016_Long!$B:$B,"&lt;"&amp;E540)</f>
        <v>4.65E-2</v>
      </c>
      <c r="J540">
        <f t="shared" si="73"/>
        <v>0.46779863661957932</v>
      </c>
      <c r="K540">
        <f t="shared" si="74"/>
        <v>0.63073335865975388</v>
      </c>
      <c r="L540">
        <f>EXP(-K540/Inputs!$B$6)</f>
        <v>0.94879633528323537</v>
      </c>
      <c r="M540">
        <f t="shared" si="80"/>
        <v>2.7195105537692672E-4</v>
      </c>
      <c r="N540">
        <f>IFERROR(INDEX(MonthlyCurve!$I:$I,MATCH(A540,MonthlyCurve!$A:$A,0)),"")</f>
        <v>4.9454709999999999E-2</v>
      </c>
      <c r="O540">
        <f>IFERROR(INDEX(MonthlyCurve!$J:$J,MATCH(A540,MonthlyCurve!$A:$A,0)),"")</f>
        <v>0.10936129199393804</v>
      </c>
      <c r="P540">
        <f t="shared" si="75"/>
        <v>2.2662587948077229</v>
      </c>
      <c r="Q540">
        <f t="shared" si="76"/>
        <v>6.7987763844231681E-3</v>
      </c>
      <c r="R540">
        <f t="shared" si="77"/>
        <v>2.2730575711921461</v>
      </c>
      <c r="S540">
        <f t="shared" si="78"/>
        <v>0.24784098979279751</v>
      </c>
      <c r="T540">
        <f t="shared" si="79"/>
        <v>7.4352296937839249E-4</v>
      </c>
      <c r="U540">
        <f>SUMPRODUCT(R541:R543,O541:O543)/(M540*O540)</f>
        <v>22396.449558304674</v>
      </c>
    </row>
    <row r="541" spans="1:21" x14ac:dyDescent="0.35">
      <c r="A541">
        <v>538</v>
      </c>
      <c r="B541">
        <f>A541/Inputs!$B$6</f>
        <v>44.833333333333336</v>
      </c>
      <c r="C541">
        <f>Inputs!$B$3+B541</f>
        <v>109.83333333333334</v>
      </c>
      <c r="D541">
        <f t="shared" si="72"/>
        <v>109</v>
      </c>
      <c r="E541">
        <f>Inputs!$B$7+1+INT((A541-1)/Inputs!$B$6)</f>
        <v>2070</v>
      </c>
      <c r="F541">
        <f>Inputs!$B$16</f>
        <v>8333.3333333333339</v>
      </c>
      <c r="G541">
        <f>Inputs!$B$12</f>
        <v>25</v>
      </c>
      <c r="H541">
        <f>IFERROR(INDEX(RP2014_Qx!$B:$B,MATCH(D541,RP2014_Qx!$A:$A,0)),"")</f>
        <v>0.446544</v>
      </c>
      <c r="I541">
        <f>SUMIFS(MP2016_Long!$C:$C,MP2016_Long!$A:$A,D541,MP2016_Long!$B:$B,"&gt;=2014",MP2016_Long!$B:$B,"&lt;"&amp;E541)</f>
        <v>4.65E-2</v>
      </c>
      <c r="J541">
        <f t="shared" si="73"/>
        <v>0.46779863661957932</v>
      </c>
      <c r="K541">
        <f t="shared" si="74"/>
        <v>0.63073335865975388</v>
      </c>
      <c r="L541">
        <f>EXP(-K541/Inputs!$B$6)</f>
        <v>0.94879633528323537</v>
      </c>
      <c r="M541">
        <f t="shared" si="80"/>
        <v>2.5802616471803626E-4</v>
      </c>
      <c r="N541">
        <f>IFERROR(INDEX(MonthlyCurve!$I:$I,MATCH(A541,MonthlyCurve!$A:$A,0)),"")</f>
        <v>4.9454709999999999E-2</v>
      </c>
      <c r="O541">
        <f>IFERROR(INDEX(MonthlyCurve!$J:$J,MATCH(A541,MonthlyCurve!$A:$A,0)),"")</f>
        <v>0.1089115168612543</v>
      </c>
      <c r="P541">
        <f t="shared" si="75"/>
        <v>2.150218039316969</v>
      </c>
      <c r="Q541">
        <f t="shared" si="76"/>
        <v>6.4506541179509061E-3</v>
      </c>
      <c r="R541">
        <f t="shared" si="77"/>
        <v>2.15666869343492</v>
      </c>
      <c r="S541">
        <f t="shared" si="78"/>
        <v>0.23418350824444323</v>
      </c>
      <c r="T541">
        <f t="shared" si="79"/>
        <v>7.0255052473332962E-4</v>
      </c>
      <c r="U541">
        <f>SUMPRODUCT(R542:R543,O542:O543)/(M541*O541)</f>
        <v>15344.267537180367</v>
      </c>
    </row>
    <row r="542" spans="1:21" x14ac:dyDescent="0.35">
      <c r="A542">
        <v>539</v>
      </c>
      <c r="B542">
        <f>A542/Inputs!$B$6</f>
        <v>44.916666666666664</v>
      </c>
      <c r="C542">
        <f>Inputs!$B$3+B542</f>
        <v>109.91666666666666</v>
      </c>
      <c r="D542">
        <f t="shared" si="72"/>
        <v>109</v>
      </c>
      <c r="E542">
        <f>Inputs!$B$7+1+INT((A542-1)/Inputs!$B$6)</f>
        <v>2070</v>
      </c>
      <c r="F542">
        <f>Inputs!$B$16</f>
        <v>8333.3333333333339</v>
      </c>
      <c r="G542">
        <f>Inputs!$B$12</f>
        <v>25</v>
      </c>
      <c r="H542">
        <f>IFERROR(INDEX(RP2014_Qx!$B:$B,MATCH(D542,RP2014_Qx!$A:$A,0)),"")</f>
        <v>0.446544</v>
      </c>
      <c r="I542">
        <f>SUMIFS(MP2016_Long!$C:$C,MP2016_Long!$A:$A,D542,MP2016_Long!$B:$B,"&gt;=2014",MP2016_Long!$B:$B,"&lt;"&amp;E542)</f>
        <v>4.65E-2</v>
      </c>
      <c r="J542">
        <f t="shared" si="73"/>
        <v>0.46779863661957932</v>
      </c>
      <c r="K542">
        <f t="shared" si="74"/>
        <v>0.63073335865975388</v>
      </c>
      <c r="L542">
        <f>EXP(-K542/Inputs!$B$6)</f>
        <v>0.94879633528323537</v>
      </c>
      <c r="M542">
        <f t="shared" si="80"/>
        <v>2.4481427949166125E-4</v>
      </c>
      <c r="N542">
        <f>IFERROR(INDEX(MonthlyCurve!$I:$I,MATCH(A542,MonthlyCurve!$A:$A,0)),"")</f>
        <v>4.9454709999999999E-2</v>
      </c>
      <c r="O542">
        <f>IFERROR(INDEX(MonthlyCurve!$J:$J,MATCH(A542,MonthlyCurve!$A:$A,0)),"")</f>
        <v>0.10846359153910495</v>
      </c>
      <c r="P542">
        <f t="shared" si="75"/>
        <v>2.0401189957638439</v>
      </c>
      <c r="Q542">
        <f t="shared" si="76"/>
        <v>6.1203569872915311E-3</v>
      </c>
      <c r="R542">
        <f t="shared" si="77"/>
        <v>2.0462393527511353</v>
      </c>
      <c r="S542">
        <f t="shared" si="78"/>
        <v>0.22127863344769855</v>
      </c>
      <c r="T542">
        <f t="shared" si="79"/>
        <v>6.6383590034309564E-4</v>
      </c>
      <c r="U542">
        <f>SUMPRODUCT(R543:R543,O543:O543)/(M542*O542)</f>
        <v>7880.8052916236547</v>
      </c>
    </row>
    <row r="543" spans="1:21" x14ac:dyDescent="0.35">
      <c r="A543">
        <v>540</v>
      </c>
      <c r="B543">
        <f>A543/Inputs!$B$6</f>
        <v>45</v>
      </c>
      <c r="C543">
        <f>Inputs!$B$3+B543</f>
        <v>110</v>
      </c>
      <c r="D543">
        <f t="shared" si="72"/>
        <v>110</v>
      </c>
      <c r="E543">
        <f>Inputs!$B$7+1+INT((A543-1)/Inputs!$B$6)</f>
        <v>2070</v>
      </c>
      <c r="F543">
        <f>Inputs!$B$16</f>
        <v>8333.3333333333339</v>
      </c>
      <c r="G543">
        <f>Inputs!$B$12</f>
        <v>25</v>
      </c>
      <c r="H543">
        <f>IFERROR(INDEX(RP2014_Qx!$B:$B,MATCH(D543,RP2014_Qx!$A:$A,0)),"")</f>
        <v>0.463061</v>
      </c>
      <c r="I543">
        <f>SUMIFS(MP2016_Long!$C:$C,MP2016_Long!$A:$A,D543,MP2016_Long!$B:$B,"&gt;=2014",MP2016_Long!$B:$B,"&lt;"&amp;E543)</f>
        <v>3.8700000000000012E-2</v>
      </c>
      <c r="J543">
        <f t="shared" si="73"/>
        <v>0.48133273844585261</v>
      </c>
      <c r="K543">
        <f t="shared" si="74"/>
        <v>0.65649271595727043</v>
      </c>
      <c r="L543">
        <f>EXP(-K543/Inputs!$B$6)</f>
        <v>0.9467618210716563</v>
      </c>
      <c r="M543">
        <f t="shared" si="80"/>
        <v>2.3178081307587064E-4</v>
      </c>
      <c r="N543">
        <f>IFERROR(INDEX(MonthlyCurve!$I:$I,MATCH(A543,MonthlyCurve!$A:$A,0)),"")</f>
        <v>4.9454709999999999E-2</v>
      </c>
      <c r="O543">
        <f>IFERROR(INDEX(MonthlyCurve!$J:$J,MATCH(A543,MonthlyCurve!$A:$A,0)),"")</f>
        <v>0.10801750841969041</v>
      </c>
      <c r="P543">
        <f t="shared" si="75"/>
        <v>1.9315067756322555</v>
      </c>
      <c r="Q543">
        <f t="shared" si="76"/>
        <v>5.7945203268967658E-3</v>
      </c>
      <c r="R543">
        <f t="shared" si="77"/>
        <v>1.9373012959591522</v>
      </c>
      <c r="S543">
        <f t="shared" si="78"/>
        <v>0.20863654939954623</v>
      </c>
      <c r="T543">
        <f t="shared" si="79"/>
        <v>6.2590964819863855E-4</v>
      </c>
      <c r="U543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63"/>
  <sheetViews>
    <sheetView workbookViewId="0"/>
  </sheetViews>
  <sheetFormatPr defaultRowHeight="14.5" x14ac:dyDescent="0.35"/>
  <sheetData>
    <row r="1" spans="1:5" ht="18.5" x14ac:dyDescent="0.45">
      <c r="A1" s="3" t="s">
        <v>65</v>
      </c>
    </row>
    <row r="3" spans="1:5" x14ac:dyDescent="0.35">
      <c r="A3" s="2" t="s">
        <v>66</v>
      </c>
      <c r="D3" s="2" t="s">
        <v>67</v>
      </c>
    </row>
    <row r="4" spans="1:5" x14ac:dyDescent="0.35">
      <c r="A4" t="s">
        <v>1</v>
      </c>
      <c r="B4">
        <f>Inputs!B3</f>
        <v>65</v>
      </c>
      <c r="D4" t="s">
        <v>68</v>
      </c>
      <c r="E4" s="4">
        <f>Inputs!B10</f>
        <v>250</v>
      </c>
    </row>
    <row r="5" spans="1:5" x14ac:dyDescent="0.35">
      <c r="A5" t="s">
        <v>3</v>
      </c>
      <c r="B5" t="str">
        <f>Inputs!B4</f>
        <v>male</v>
      </c>
      <c r="D5" t="s">
        <v>14</v>
      </c>
      <c r="E5" s="5">
        <f>Inputs!B11</f>
        <v>0.01</v>
      </c>
    </row>
    <row r="6" spans="1:5" x14ac:dyDescent="0.35">
      <c r="A6" t="s">
        <v>6</v>
      </c>
      <c r="B6" s="4">
        <f>Inputs!B5</f>
        <v>100000</v>
      </c>
      <c r="D6" t="s">
        <v>69</v>
      </c>
      <c r="E6" s="4">
        <f>Inputs!B12</f>
        <v>25</v>
      </c>
    </row>
    <row r="7" spans="1:5" x14ac:dyDescent="0.35">
      <c r="A7" t="s">
        <v>70</v>
      </c>
      <c r="B7">
        <f>Inputs!B7</f>
        <v>2025</v>
      </c>
    </row>
    <row r="8" spans="1:5" x14ac:dyDescent="0.35">
      <c r="A8" t="s">
        <v>11</v>
      </c>
      <c r="B8">
        <f>Inputs!B8</f>
        <v>110</v>
      </c>
    </row>
    <row r="9" spans="1:5" x14ac:dyDescent="0.35">
      <c r="A9" t="s">
        <v>12</v>
      </c>
      <c r="B9">
        <f>Inputs!B9</f>
        <v>0</v>
      </c>
    </row>
    <row r="11" spans="1:5" x14ac:dyDescent="0.35">
      <c r="A11" s="2" t="s">
        <v>71</v>
      </c>
    </row>
    <row r="12" spans="1:5" x14ac:dyDescent="0.35">
      <c r="A12" t="s">
        <v>63</v>
      </c>
      <c r="B12" s="4">
        <f>Projection!X8</f>
        <v>1281342.3992172107</v>
      </c>
    </row>
    <row r="13" spans="1:5" x14ac:dyDescent="0.35">
      <c r="A13" t="s">
        <v>59</v>
      </c>
      <c r="B13" s="4">
        <f>Projection!X4</f>
        <v>1264485.5186690316</v>
      </c>
    </row>
    <row r="14" spans="1:5" x14ac:dyDescent="0.35">
      <c r="A14" t="s">
        <v>60</v>
      </c>
      <c r="B14" s="4">
        <f>Projection!X5</f>
        <v>3793.4565560070887</v>
      </c>
    </row>
    <row r="15" spans="1:5" x14ac:dyDescent="0.35">
      <c r="A15" t="s">
        <v>62</v>
      </c>
      <c r="B15" s="4">
        <f>Projection!X7</f>
        <v>1268278.9752250386</v>
      </c>
    </row>
    <row r="16" spans="1:5" x14ac:dyDescent="0.35">
      <c r="A16" t="s">
        <v>61</v>
      </c>
      <c r="B16" s="6">
        <f>Projection!X6</f>
        <v>151.73826224028369</v>
      </c>
    </row>
    <row r="17" spans="1:2" x14ac:dyDescent="0.35">
      <c r="A17" t="s">
        <v>72</v>
      </c>
      <c r="B17" s="4">
        <f>Projection!U2</f>
        <v>1268278.9752250386</v>
      </c>
    </row>
    <row r="54" spans="1:6" x14ac:dyDescent="0.35">
      <c r="A54" s="2" t="s">
        <v>73</v>
      </c>
    </row>
    <row r="55" spans="1:6" x14ac:dyDescent="0.35">
      <c r="A55" s="2" t="s">
        <v>74</v>
      </c>
      <c r="B55" s="2" t="s">
        <v>75</v>
      </c>
      <c r="C55" s="2" t="s">
        <v>76</v>
      </c>
      <c r="D55" s="2" t="s">
        <v>77</v>
      </c>
      <c r="E55" s="2" t="s">
        <v>78</v>
      </c>
      <c r="F55" s="2" t="s">
        <v>79</v>
      </c>
    </row>
    <row r="56" spans="1:6" x14ac:dyDescent="0.35">
      <c r="A56">
        <v>65</v>
      </c>
      <c r="B56">
        <f>IFERROR(MATCH(A56,Projection!$C$4:$C$543,0)+3,IF(A56&lt;INDEX(Projection!$C$4:$C$543,1),4,MATCH(A56,Projection!$C$4:$C$543,1)+3))</f>
        <v>4</v>
      </c>
      <c r="C56" s="6">
        <f>INDEX(Projection!$M:$M,B56)</f>
        <v>0.99928225223800848</v>
      </c>
      <c r="D56" s="4">
        <f>INDEX(Projection!$P:$P,B56)</f>
        <v>8327.3521019834043</v>
      </c>
      <c r="E56" s="4">
        <f>INDEX(Projection!$Q:$Q,B56)</f>
        <v>24.982056305950213</v>
      </c>
      <c r="F56" s="4">
        <f>INDEX(Projection!$U:$U,B56)</f>
        <v>1264777.5970735804</v>
      </c>
    </row>
    <row r="57" spans="1:6" x14ac:dyDescent="0.35">
      <c r="A57">
        <v>70</v>
      </c>
      <c r="B57">
        <f>IFERROR(MATCH(A57,Projection!$C$4:$C$543,0)+3,IF(A57&lt;INDEX(Projection!$C$4:$C$543,1),4,MATCH(A57,Projection!$C$4:$C$543,1)+3))</f>
        <v>63</v>
      </c>
      <c r="C57" s="6">
        <f>INDEX(Projection!$M:$M,B57)</f>
        <v>0.94695511339222882</v>
      </c>
      <c r="D57" s="4">
        <f>INDEX(Projection!$P:$P,B57)</f>
        <v>7891.2926116019071</v>
      </c>
      <c r="E57" s="4">
        <f>INDEX(Projection!$Q:$Q,B57)</f>
        <v>23.673877834805719</v>
      </c>
      <c r="F57" s="4">
        <f>INDEX(Projection!$U:$U,B57)</f>
        <v>1053573.5546777055</v>
      </c>
    </row>
    <row r="58" spans="1:6" x14ac:dyDescent="0.35">
      <c r="A58">
        <v>75</v>
      </c>
      <c r="B58">
        <f>IFERROR(MATCH(A58,Projection!$C$4:$C$543,0)+3,IF(A58&lt;INDEX(Projection!$C$4:$C$543,1),4,MATCH(A58,Projection!$C$4:$C$543,1)+3))</f>
        <v>123</v>
      </c>
      <c r="C58" s="6">
        <f>INDEX(Projection!$M:$M,B58)</f>
        <v>0.86181019186055108</v>
      </c>
      <c r="D58" s="4">
        <f>INDEX(Projection!$P:$P,B58)</f>
        <v>7181.7515988379264</v>
      </c>
      <c r="E58" s="4">
        <f>INDEX(Projection!$Q:$Q,B58)</f>
        <v>21.545254796513778</v>
      </c>
      <c r="F58" s="4">
        <f>INDEX(Projection!$U:$U,B58)</f>
        <v>866218.58446020179</v>
      </c>
    </row>
    <row r="59" spans="1:6" x14ac:dyDescent="0.35">
      <c r="A59">
        <v>80</v>
      </c>
      <c r="B59">
        <f>IFERROR(MATCH(A59,Projection!$C$4:$C$543,0)+3,IF(A59&lt;INDEX(Projection!$C$4:$C$543,1),4,MATCH(A59,Projection!$C$4:$C$543,1)+3))</f>
        <v>183</v>
      </c>
      <c r="C59" s="6">
        <f>INDEX(Projection!$M:$M,B59)</f>
        <v>0.73484967308855731</v>
      </c>
      <c r="D59" s="4">
        <f>INDEX(Projection!$P:$P,B59)</f>
        <v>6123.7472757379783</v>
      </c>
      <c r="E59" s="4">
        <f>INDEX(Projection!$Q:$Q,B59)</f>
        <v>18.371241827213932</v>
      </c>
      <c r="F59" s="4">
        <f>INDEX(Projection!$U:$U,B59)</f>
        <v>695260.79092747776</v>
      </c>
    </row>
    <row r="60" spans="1:6" x14ac:dyDescent="0.35">
      <c r="A60">
        <v>85</v>
      </c>
      <c r="B60">
        <f>IFERROR(MATCH(A60,Projection!$C$4:$C$543,0)+3,IF(A60&lt;INDEX(Projection!$C$4:$C$543,1),4,MATCH(A60,Projection!$C$4:$C$543,1)+3))</f>
        <v>243</v>
      </c>
      <c r="C60" s="6">
        <f>INDEX(Projection!$M:$M,B60)</f>
        <v>0.55815241747542088</v>
      </c>
      <c r="D60" s="4">
        <f>INDEX(Projection!$P:$P,B60)</f>
        <v>4651.2701456285076</v>
      </c>
      <c r="E60" s="4">
        <f>INDEX(Projection!$Q:$Q,B60)</f>
        <v>13.953810436885522</v>
      </c>
      <c r="F60" s="4">
        <f>INDEX(Projection!$U:$U,B60)</f>
        <v>559243.09400937322</v>
      </c>
    </row>
    <row r="61" spans="1:6" x14ac:dyDescent="0.35">
      <c r="A61">
        <v>90</v>
      </c>
      <c r="B61">
        <f>IFERROR(MATCH(A61,Projection!$C$4:$C$543,0)+3,IF(A61&lt;INDEX(Projection!$C$4:$C$543,1),4,MATCH(A61,Projection!$C$4:$C$543,1)+3))</f>
        <v>303</v>
      </c>
      <c r="C61" s="6">
        <f>INDEX(Projection!$M:$M,B61)</f>
        <v>0.34251823381617313</v>
      </c>
      <c r="D61" s="4">
        <f>INDEX(Projection!$P:$P,B61)</f>
        <v>2854.3186151347763</v>
      </c>
      <c r="E61" s="4">
        <f>INDEX(Projection!$Q:$Q,B61)</f>
        <v>8.5629558454043284</v>
      </c>
      <c r="F61" s="4">
        <f>INDEX(Projection!$U:$U,B61)</f>
        <v>408366.4960897952</v>
      </c>
    </row>
    <row r="62" spans="1:6" x14ac:dyDescent="0.35">
      <c r="A62">
        <v>100</v>
      </c>
      <c r="B62">
        <f>IFERROR(MATCH(A62,Projection!$C$4:$C$543,0)+3,IF(A62&lt;INDEX(Projection!$C$4:$C$543,1),4,MATCH(A62,Projection!$C$4:$C$543,1)+3))</f>
        <v>423</v>
      </c>
      <c r="C62" s="6">
        <f>INDEX(Projection!$M:$M,B62)</f>
        <v>3.4570342750353367E-2</v>
      </c>
      <c r="D62" s="4">
        <f>INDEX(Projection!$P:$P,B62)</f>
        <v>288.08618958627807</v>
      </c>
      <c r="E62" s="4">
        <f>INDEX(Projection!$Q:$Q,B62)</f>
        <v>0.86425856875883422</v>
      </c>
      <c r="F62" s="4">
        <f>INDEX(Projection!$U:$U,B62)</f>
        <v>213792.44407792343</v>
      </c>
    </row>
    <row r="63" spans="1:6" x14ac:dyDescent="0.35">
      <c r="A63">
        <v>110</v>
      </c>
      <c r="B63">
        <f>IFERROR(MATCH(A63,Projection!$C$4:$C$543,0)+3,IF(A63&lt;INDEX(Projection!$C$4:$C$543,1),4,MATCH(A63,Projection!$C$4:$C$543,1)+3))</f>
        <v>543</v>
      </c>
      <c r="C63" s="6">
        <f>INDEX(Projection!$M:$M,B63)</f>
        <v>2.3178081307587064E-4</v>
      </c>
      <c r="D63" s="4">
        <f>INDEX(Projection!$P:$P,B63)</f>
        <v>1.9315067756322555</v>
      </c>
      <c r="E63" s="4">
        <f>INDEX(Projection!$Q:$Q,B63)</f>
        <v>5.7945203268967658E-3</v>
      </c>
      <c r="F63" s="4">
        <f>INDEX(Projection!$U:$U,B63)</f>
        <v>0</v>
      </c>
    </row>
  </sheetData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96"/>
  <sheetViews>
    <sheetView tabSelected="1" topLeftCell="A18" workbookViewId="0">
      <selection activeCell="B32" sqref="B32"/>
    </sheetView>
  </sheetViews>
  <sheetFormatPr defaultRowHeight="14.5" x14ac:dyDescent="0.35"/>
  <cols>
    <col min="1" max="1" width="28" customWidth="1"/>
    <col min="2" max="2" width="120" customWidth="1"/>
  </cols>
  <sheetData>
    <row r="1" spans="1:2" ht="18.5" x14ac:dyDescent="0.45">
      <c r="A1" s="3" t="s">
        <v>80</v>
      </c>
    </row>
    <row r="3" spans="1:2" x14ac:dyDescent="0.35">
      <c r="A3" s="2" t="s">
        <v>81</v>
      </c>
      <c r="B3" t="s">
        <v>82</v>
      </c>
    </row>
    <row r="4" spans="1:2" x14ac:dyDescent="0.35">
      <c r="A4" t="s">
        <v>83</v>
      </c>
      <c r="B4" t="s">
        <v>84</v>
      </c>
    </row>
    <row r="5" spans="1:2" x14ac:dyDescent="0.35">
      <c r="A5" t="s">
        <v>85</v>
      </c>
      <c r="B5" t="s">
        <v>86</v>
      </c>
    </row>
    <row r="6" spans="1:2" x14ac:dyDescent="0.35">
      <c r="A6" t="s">
        <v>87</v>
      </c>
      <c r="B6" t="s">
        <v>88</v>
      </c>
    </row>
    <row r="8" spans="1:2" x14ac:dyDescent="0.35">
      <c r="A8" s="2" t="s">
        <v>89</v>
      </c>
      <c r="B8" t="s">
        <v>90</v>
      </c>
    </row>
    <row r="9" spans="1:2" x14ac:dyDescent="0.35">
      <c r="A9" t="s">
        <v>91</v>
      </c>
      <c r="B9" t="s">
        <v>92</v>
      </c>
    </row>
    <row r="10" spans="1:2" x14ac:dyDescent="0.35">
      <c r="A10" t="s">
        <v>93</v>
      </c>
      <c r="B10" t="s">
        <v>94</v>
      </c>
    </row>
    <row r="11" spans="1:2" x14ac:dyDescent="0.35">
      <c r="A11" t="s">
        <v>95</v>
      </c>
      <c r="B11" t="s">
        <v>96</v>
      </c>
    </row>
    <row r="13" spans="1:2" x14ac:dyDescent="0.35">
      <c r="A13" s="2" t="s">
        <v>97</v>
      </c>
      <c r="B13" t="s">
        <v>98</v>
      </c>
    </row>
    <row r="14" spans="1:2" x14ac:dyDescent="0.35">
      <c r="B14" t="s">
        <v>99</v>
      </c>
    </row>
    <row r="15" spans="1:2" x14ac:dyDescent="0.35">
      <c r="B15" t="s">
        <v>100</v>
      </c>
    </row>
    <row r="16" spans="1:2" x14ac:dyDescent="0.35">
      <c r="B16" t="s">
        <v>101</v>
      </c>
    </row>
    <row r="18" spans="1:2" x14ac:dyDescent="0.35">
      <c r="A18" s="2" t="s">
        <v>102</v>
      </c>
      <c r="B18" t="s">
        <v>103</v>
      </c>
    </row>
    <row r="19" spans="1:2" x14ac:dyDescent="0.35">
      <c r="B19" t="s">
        <v>104</v>
      </c>
    </row>
    <row r="20" spans="1:2" x14ac:dyDescent="0.35">
      <c r="B20" t="s">
        <v>105</v>
      </c>
    </row>
    <row r="21" spans="1:2" x14ac:dyDescent="0.35">
      <c r="B21" t="s">
        <v>106</v>
      </c>
    </row>
    <row r="23" spans="1:2" x14ac:dyDescent="0.35">
      <c r="A23" s="2" t="s">
        <v>107</v>
      </c>
      <c r="B23" t="s">
        <v>108</v>
      </c>
    </row>
    <row r="24" spans="1:2" x14ac:dyDescent="0.35">
      <c r="A24" t="s">
        <v>109</v>
      </c>
      <c r="B24" t="str" cm="1" vm="1">
        <f t="array" ref="B24">_xlfn._xlws.PY(0,1)</f>
        <v>import pandas as pd; pd.read_csv('treasury_zero_rate_curve_latest.csv').head()</v>
      </c>
    </row>
    <row r="25" spans="1:2" x14ac:dyDescent="0.35">
      <c r="A25" t="s">
        <v>109</v>
      </c>
      <c r="B25" t="str" cm="1" vm="2">
        <f t="array" ref="B25">_xlfn._xlws.PY(1,1)</f>
        <v>from spia_projection import _example_usage; _example_usage()</v>
      </c>
    </row>
    <row r="27" spans="1:2" x14ac:dyDescent="0.35">
      <c r="A27" t="s">
        <v>110</v>
      </c>
      <c r="B27" t="s">
        <v>111</v>
      </c>
    </row>
    <row r="28" spans="1:2" x14ac:dyDescent="0.35">
      <c r="A28" t="s">
        <v>112</v>
      </c>
      <c r="B28" t="s">
        <v>113</v>
      </c>
    </row>
    <row r="35" spans="1:1" x14ac:dyDescent="0.35">
      <c r="A35" s="2" t="s">
        <v>114</v>
      </c>
    </row>
    <row r="36" spans="1:1" x14ac:dyDescent="0.35">
      <c r="A36" t="s">
        <v>115</v>
      </c>
    </row>
    <row r="95" spans="1:1" x14ac:dyDescent="0.35">
      <c r="A95" s="2" t="s">
        <v>116</v>
      </c>
    </row>
    <row r="96" spans="1:1" x14ac:dyDescent="0.35">
      <c r="A96" t="s">
        <v>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Inputs</vt:lpstr>
      <vt:lpstr>YieldCurve</vt:lpstr>
      <vt:lpstr>RP2014_Qx</vt:lpstr>
      <vt:lpstr>MP2016_Long</vt:lpstr>
      <vt:lpstr>MonthlyCurve</vt:lpstr>
      <vt:lpstr>Projection</vt:lpstr>
      <vt:lpstr>Dashboard</vt:lpstr>
      <vt:lpstr>Python_Runbook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Tim Luo</cp:lastModifiedBy>
  <dcterms:created xsi:type="dcterms:W3CDTF">2026-03-20T21:52:09Z</dcterms:created>
  <dcterms:modified xsi:type="dcterms:W3CDTF">2026-03-20T21:56:51Z</dcterms:modified>
</cp:coreProperties>
</file>