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YieldCurve" sheetId="2" state="visible" r:id="rId2"/>
    <sheet name="BaseQx" sheetId="3" state="visible" r:id="rId3"/>
    <sheet name="MP2016_Long" sheetId="4" state="visible" r:id="rId4"/>
    <sheet name="MonthlyCurve" sheetId="5" state="visible" r:id="rId5"/>
    <sheet name="IndexScenario" sheetId="6" state="visible" r:id="rId6"/>
    <sheet name="Projection" sheetId="7" state="visible" r:id="rId7"/>
    <sheet name="Dashboard" sheetId="8" state="visible" r:id="rId8"/>
    <sheet name="Python_Runboo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Survival to Monthly Payment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'Projection'!$C$4:$C$543</f>
            </numRef>
          </cat>
          <val>
            <numRef>
              <f>'Projection'!$N$4:$N$543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Attained 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P(alive)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Expected Monthly Cashflows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'Projection'!$C$4:$C$543</f>
            </numRef>
          </cat>
          <val>
            <numRef>
              <f>'Projection'!$Q$4:$Q$543</f>
            </numRef>
          </val>
        </ser>
        <ser>
          <idx val="1"/>
          <order val="1"/>
          <tx>
            <strRef>
              <f>'Projection'!R3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'Projection'!$C$4:$C$543</f>
            </numRef>
          </cat>
          <val>
            <numRef>
              <f>'Projection'!$R$4:$R$543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Attained 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Cashflow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Economic Reserve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'Projection'!$C$2:$C$543</f>
            </numRef>
          </cat>
          <val>
            <numRef>
              <f>'Projection'!$V$2:$V$543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Attained 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Reserve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324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324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35</row>
      <rowOff>0</rowOff>
    </from>
    <ext cx="648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SPIA Inputs (matches model launcher / Python)</t>
        </is>
      </c>
    </row>
    <row r="3">
      <c r="A3" t="inlineStr">
        <is>
          <t>Issue Age</t>
        </is>
      </c>
      <c r="B3" t="n">
        <v>65</v>
      </c>
      <c r="D3" t="inlineStr">
        <is>
          <t>Notes</t>
        </is>
      </c>
    </row>
    <row r="4">
      <c r="A4" t="inlineStr">
        <is>
          <t>Sex</t>
        </is>
      </c>
      <c r="B4" t="inlineStr">
        <is>
          <t>male</t>
        </is>
      </c>
      <c r="D4" t="inlineStr">
        <is>
          <t>Rates are decimals unless labeled otherwise.</t>
        </is>
      </c>
    </row>
    <row r="5">
      <c r="A5" t="inlineStr">
        <is>
          <t>Annual Benefit</t>
        </is>
      </c>
      <c r="B5" t="n">
        <v>100000</v>
      </c>
      <c r="D5" t="inlineStr">
        <is>
          <t>Valuation date: 12/31 of Valuation Year (RP+MP path).</t>
        </is>
      </c>
    </row>
    <row r="6">
      <c r="A6" t="inlineStr">
        <is>
          <t>Payment Frequency</t>
        </is>
      </c>
      <c r="B6" t="n">
        <v>12</v>
      </c>
      <c r="D6" t="inlineStr">
        <is>
          <t>Mortality Excel Mode: rp_mp uses MP-2016 sums; static uses Base Qx only.</t>
        </is>
      </c>
    </row>
    <row r="7">
      <c r="A7" t="inlineStr">
        <is>
          <t>Valuation Year</t>
        </is>
      </c>
      <c r="B7" t="n">
        <v>2025</v>
      </c>
      <c r="D7" t="inlineStr">
        <is>
          <t>Discount factors use log-linear interpolation on DF nodes (matches Python YieldCurve).</t>
        </is>
      </c>
    </row>
    <row r="8">
      <c r="A8" t="inlineStr">
        <is>
          <t>Horizon Age</t>
        </is>
      </c>
      <c r="B8" t="n">
        <v>110</v>
      </c>
      <c r="D8" t="inlineStr">
        <is>
          <t>Benefits: return indexation from IndexScenario; expenses: monthly CPI-style from B17.</t>
        </is>
      </c>
    </row>
    <row r="9">
      <c r="A9" t="inlineStr">
        <is>
          <t>Spread (added to zero rate)</t>
        </is>
      </c>
      <c r="B9" t="n">
        <v>0</v>
      </c>
      <c r="D9" t="inlineStr">
        <is>
          <t>Changing horizon/issue age does not auto-resize sheets; regenerate from the launcher.</t>
        </is>
      </c>
    </row>
    <row r="10">
      <c r="A10" t="inlineStr">
        <is>
          <t>Policy Expense Dollars</t>
        </is>
      </c>
      <c r="B10" t="n">
        <v>250</v>
      </c>
    </row>
    <row r="11">
      <c r="A11" t="inlineStr">
        <is>
          <t>Premium Expense Rate (decimal)</t>
        </is>
      </c>
      <c r="B11" t="n">
        <v>0.01</v>
      </c>
    </row>
    <row r="12">
      <c r="A12" t="inlineStr">
        <is>
          <t>Monthly Expense Dollars</t>
        </is>
      </c>
      <c r="B12" t="n">
        <v>25</v>
      </c>
    </row>
    <row r="13">
      <c r="A13" t="inlineStr">
        <is>
          <t>Mortality Excel Mode</t>
        </is>
      </c>
      <c r="B13" t="inlineStr">
        <is>
          <t>rp_mp</t>
        </is>
      </c>
    </row>
    <row r="14">
      <c r="A14" t="inlineStr">
        <is>
          <t>Yield mode (documentation)</t>
        </is>
      </c>
      <c r="B14" t="inlineStr">
        <is>
          <t>zero_csv (CLI default)</t>
        </is>
      </c>
    </row>
    <row r="15">
      <c r="A15" t="inlineStr">
        <is>
          <t>Mortality mode (documentation)</t>
        </is>
      </c>
      <c r="B15" t="inlineStr">
        <is>
          <t>rp2014_mp2016 (CLI default)</t>
        </is>
      </c>
    </row>
    <row r="16">
      <c r="A16" t="inlineStr">
        <is>
          <t>Expense mode (documentation)</t>
        </is>
      </c>
      <c r="B16" t="inlineStr">
        <is>
          <t>csv (CLI default)</t>
        </is>
      </c>
    </row>
    <row r="17">
      <c r="A17" t="inlineStr">
        <is>
          <t>Expense annual inflation (decimal)</t>
        </is>
      </c>
      <c r="B17" t="n">
        <v>0.025</v>
      </c>
    </row>
    <row r="21">
      <c r="A21" s="2" t="inlineStr">
        <is>
          <t>Derived</t>
        </is>
      </c>
    </row>
    <row r="22">
      <c r="A22" t="inlineStr">
        <is>
          <t>Monthly base benefit (pre-index)</t>
        </is>
      </c>
      <c r="B22">
        <f>B5/B6</f>
        <v/>
      </c>
    </row>
    <row r="23">
      <c r="A23" t="inlineStr">
        <is>
          <t>Projection Months (info; grid is fixed at build)</t>
        </is>
      </c>
      <c r="B23">
        <f>MAX(1,ROUND((B8-B3)*B6,0))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Zero curve nodes (continuously compounded)</t>
        </is>
      </c>
    </row>
    <row r="3">
      <c r="A3" s="2" t="inlineStr">
        <is>
          <t>maturity_years</t>
        </is>
      </c>
      <c r="B3" s="2" t="inlineStr">
        <is>
          <t>zero_rate</t>
        </is>
      </c>
    </row>
    <row r="4">
      <c r="A4" t="n">
        <v>0.5</v>
      </c>
      <c r="B4" t="n">
        <v>0.03725093</v>
      </c>
    </row>
    <row r="5">
      <c r="A5" t="n">
        <v>1</v>
      </c>
      <c r="B5" t="n">
        <v>0.0369537</v>
      </c>
    </row>
    <row r="6">
      <c r="A6" t="n">
        <v>1.5</v>
      </c>
      <c r="B6" t="n">
        <v>0.03725465</v>
      </c>
    </row>
    <row r="7">
      <c r="A7" t="n">
        <v>2</v>
      </c>
      <c r="B7" t="n">
        <v>0.03755667</v>
      </c>
    </row>
    <row r="8">
      <c r="A8" t="n">
        <v>2.5</v>
      </c>
      <c r="B8" t="n">
        <v>0.03755441</v>
      </c>
    </row>
    <row r="9">
      <c r="A9" t="n">
        <v>3</v>
      </c>
      <c r="B9" t="n">
        <v>0.0375529</v>
      </c>
    </row>
    <row r="10">
      <c r="A10" t="n">
        <v>3.5</v>
      </c>
      <c r="B10" t="n">
        <v>0.03778571</v>
      </c>
    </row>
    <row r="11">
      <c r="A11" t="n">
        <v>4</v>
      </c>
      <c r="B11" t="n">
        <v>0.03801957</v>
      </c>
    </row>
    <row r="12">
      <c r="A12" t="n">
        <v>4.5</v>
      </c>
      <c r="B12" t="n">
        <v>0.03825472</v>
      </c>
    </row>
    <row r="13">
      <c r="A13" t="n">
        <v>5</v>
      </c>
      <c r="B13" t="n">
        <v>0.03849135</v>
      </c>
    </row>
    <row r="14">
      <c r="A14" t="n">
        <v>5.5</v>
      </c>
      <c r="B14" t="n">
        <v>0.03897383</v>
      </c>
    </row>
    <row r="15">
      <c r="A15" t="n">
        <v>6</v>
      </c>
      <c r="B15" t="n">
        <v>0.03945938</v>
      </c>
    </row>
    <row r="16">
      <c r="A16" t="n">
        <v>6.5</v>
      </c>
      <c r="B16" t="n">
        <v>0.03994845</v>
      </c>
    </row>
    <row r="17">
      <c r="A17" t="n">
        <v>7</v>
      </c>
      <c r="B17" t="n">
        <v>0.04044147</v>
      </c>
    </row>
    <row r="18">
      <c r="A18" t="n">
        <v>7.5</v>
      </c>
      <c r="B18" t="n">
        <v>0.04078636</v>
      </c>
    </row>
    <row r="19">
      <c r="A19" t="n">
        <v>8</v>
      </c>
      <c r="B19" t="n">
        <v>0.04113475</v>
      </c>
    </row>
    <row r="20">
      <c r="A20" t="n">
        <v>8.5</v>
      </c>
      <c r="B20" t="n">
        <v>0.04148675</v>
      </c>
    </row>
    <row r="21">
      <c r="A21" t="n">
        <v>9</v>
      </c>
      <c r="B21" t="n">
        <v>0.04184247</v>
      </c>
    </row>
    <row r="22">
      <c r="A22" t="n">
        <v>9.5</v>
      </c>
      <c r="B22" t="n">
        <v>0.04220204</v>
      </c>
    </row>
    <row r="23">
      <c r="A23" t="n">
        <v>10</v>
      </c>
      <c r="B23" t="n">
        <v>0.0425656</v>
      </c>
    </row>
    <row r="24">
      <c r="A24" t="n">
        <v>10.5</v>
      </c>
      <c r="B24" t="n">
        <v>0.04289403</v>
      </c>
    </row>
    <row r="25">
      <c r="A25" t="n">
        <v>11</v>
      </c>
      <c r="B25" t="n">
        <v>0.04322642</v>
      </c>
    </row>
    <row r="26">
      <c r="A26" t="n">
        <v>11.5</v>
      </c>
      <c r="B26" t="n">
        <v>0.04356289</v>
      </c>
    </row>
    <row r="27">
      <c r="A27" t="n">
        <v>12</v>
      </c>
      <c r="B27" t="n">
        <v>0.04390356</v>
      </c>
    </row>
    <row r="28">
      <c r="A28" t="n">
        <v>12.5</v>
      </c>
      <c r="B28" t="n">
        <v>0.04424859</v>
      </c>
    </row>
    <row r="29">
      <c r="A29" t="n">
        <v>13</v>
      </c>
      <c r="B29" t="n">
        <v>0.04459813</v>
      </c>
    </row>
    <row r="30">
      <c r="A30" t="n">
        <v>13.5</v>
      </c>
      <c r="B30" t="n">
        <v>0.04495236</v>
      </c>
    </row>
    <row r="31">
      <c r="A31" t="n">
        <v>14</v>
      </c>
      <c r="B31" t="n">
        <v>0.04531145</v>
      </c>
    </row>
    <row r="32">
      <c r="A32" t="n">
        <v>14.5</v>
      </c>
      <c r="B32" t="n">
        <v>0.04567561</v>
      </c>
    </row>
    <row r="33">
      <c r="A33" t="n">
        <v>15</v>
      </c>
      <c r="B33" t="n">
        <v>0.04604505</v>
      </c>
    </row>
    <row r="34">
      <c r="A34" t="n">
        <v>15.5</v>
      </c>
      <c r="B34" t="n">
        <v>0.04642</v>
      </c>
    </row>
    <row r="35">
      <c r="A35" t="n">
        <v>16</v>
      </c>
      <c r="B35" t="n">
        <v>0.04680068</v>
      </c>
    </row>
    <row r="36">
      <c r="A36" t="n">
        <v>16.5</v>
      </c>
      <c r="B36" t="n">
        <v>0.04718737</v>
      </c>
    </row>
    <row r="37">
      <c r="A37" t="n">
        <v>17</v>
      </c>
      <c r="B37" t="n">
        <v>0.04758034</v>
      </c>
    </row>
    <row r="38">
      <c r="A38" t="n">
        <v>17.5</v>
      </c>
      <c r="B38" t="n">
        <v>0.04797987</v>
      </c>
    </row>
    <row r="39">
      <c r="A39" t="n">
        <v>18</v>
      </c>
      <c r="B39" t="n">
        <v>0.04838628</v>
      </c>
    </row>
    <row r="40">
      <c r="A40" t="n">
        <v>18.5</v>
      </c>
      <c r="B40" t="n">
        <v>0.04879991</v>
      </c>
    </row>
    <row r="41">
      <c r="A41" t="n">
        <v>19</v>
      </c>
      <c r="B41" t="n">
        <v>0.04922112</v>
      </c>
    </row>
    <row r="42">
      <c r="A42" t="n">
        <v>19.5</v>
      </c>
      <c r="B42" t="n">
        <v>0.04965028</v>
      </c>
    </row>
    <row r="43">
      <c r="A43" t="n">
        <v>20</v>
      </c>
      <c r="B43" t="n">
        <v>0.0500878</v>
      </c>
    </row>
    <row r="44">
      <c r="A44" t="n">
        <v>20.5</v>
      </c>
      <c r="B44" t="n">
        <v>0.05003666</v>
      </c>
    </row>
    <row r="45">
      <c r="A45" t="n">
        <v>21</v>
      </c>
      <c r="B45" t="n">
        <v>0.04998839</v>
      </c>
    </row>
    <row r="46">
      <c r="A46" t="n">
        <v>21.5</v>
      </c>
      <c r="B46" t="n">
        <v>0.0499428</v>
      </c>
    </row>
    <row r="47">
      <c r="A47" t="n">
        <v>22</v>
      </c>
      <c r="B47" t="n">
        <v>0.04989972</v>
      </c>
    </row>
    <row r="48">
      <c r="A48" t="n">
        <v>22.5</v>
      </c>
      <c r="B48" t="n">
        <v>0.049859</v>
      </c>
    </row>
    <row r="49">
      <c r="A49" t="n">
        <v>23</v>
      </c>
      <c r="B49" t="n">
        <v>0.04982048</v>
      </c>
    </row>
    <row r="50">
      <c r="A50" t="n">
        <v>23.5</v>
      </c>
      <c r="B50" t="n">
        <v>0.04978403</v>
      </c>
    </row>
    <row r="51">
      <c r="A51" t="n">
        <v>24</v>
      </c>
      <c r="B51" t="n">
        <v>0.04974953</v>
      </c>
    </row>
    <row r="52">
      <c r="A52" t="n">
        <v>24.5</v>
      </c>
      <c r="B52" t="n">
        <v>0.04971687</v>
      </c>
    </row>
    <row r="53">
      <c r="A53" t="n">
        <v>25</v>
      </c>
      <c r="B53" t="n">
        <v>0.04968595</v>
      </c>
    </row>
    <row r="54">
      <c r="A54" t="n">
        <v>25.5</v>
      </c>
      <c r="B54" t="n">
        <v>0.04965666</v>
      </c>
    </row>
    <row r="55">
      <c r="A55" t="n">
        <v>26</v>
      </c>
      <c r="B55" t="n">
        <v>0.04962894</v>
      </c>
    </row>
    <row r="56">
      <c r="A56" t="n">
        <v>26.5</v>
      </c>
      <c r="B56" t="n">
        <v>0.04960269</v>
      </c>
    </row>
    <row r="57">
      <c r="A57" t="n">
        <v>27</v>
      </c>
      <c r="B57" t="n">
        <v>0.04957784</v>
      </c>
    </row>
    <row r="58">
      <c r="A58" t="n">
        <v>27.5</v>
      </c>
      <c r="B58" t="n">
        <v>0.04955433</v>
      </c>
    </row>
    <row r="59">
      <c r="A59" t="n">
        <v>28</v>
      </c>
      <c r="B59" t="n">
        <v>0.04953208</v>
      </c>
    </row>
    <row r="60">
      <c r="A60" t="n">
        <v>28.5</v>
      </c>
      <c r="B60" t="n">
        <v>0.04951105</v>
      </c>
    </row>
    <row r="61">
      <c r="A61" t="n">
        <v>29</v>
      </c>
      <c r="B61" t="n">
        <v>0.04949118</v>
      </c>
    </row>
    <row r="62">
      <c r="A62" t="n">
        <v>29.5</v>
      </c>
      <c r="B62" t="n">
        <v>0.04947242</v>
      </c>
    </row>
    <row r="63">
      <c r="A63" t="n">
        <v>30</v>
      </c>
      <c r="B63" t="n">
        <v>0.04945471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Base annual q_x by integer age</t>
        </is>
      </c>
    </row>
    <row r="3">
      <c r="A3" s="2" t="inlineStr">
        <is>
          <t>age</t>
        </is>
      </c>
      <c r="B3" s="2" t="inlineStr">
        <is>
          <t>qx</t>
        </is>
      </c>
    </row>
    <row r="4">
      <c r="A4" t="n">
        <v>50</v>
      </c>
      <c r="B4" t="n">
        <v>0.002768</v>
      </c>
    </row>
    <row r="5">
      <c r="A5" t="n">
        <v>51</v>
      </c>
      <c r="B5" t="n">
        <v>0.002905</v>
      </c>
    </row>
    <row r="6">
      <c r="A6" t="n">
        <v>52</v>
      </c>
      <c r="B6" t="n">
        <v>0.003057</v>
      </c>
    </row>
    <row r="7">
      <c r="A7" t="n">
        <v>53</v>
      </c>
      <c r="B7" t="n">
        <v>0.003225</v>
      </c>
    </row>
    <row r="8">
      <c r="A8" t="n">
        <v>54</v>
      </c>
      <c r="B8" t="n">
        <v>0.003412</v>
      </c>
    </row>
    <row r="9">
      <c r="A9" t="n">
        <v>55</v>
      </c>
      <c r="B9" t="n">
        <v>0.003622</v>
      </c>
    </row>
    <row r="10">
      <c r="A10" t="n">
        <v>56</v>
      </c>
      <c r="B10" t="n">
        <v>0.003858</v>
      </c>
    </row>
    <row r="11">
      <c r="A11" t="n">
        <v>57</v>
      </c>
      <c r="B11" t="n">
        <v>0.004128</v>
      </c>
    </row>
    <row r="12">
      <c r="A12" t="n">
        <v>58</v>
      </c>
      <c r="B12" t="n">
        <v>0.004436</v>
      </c>
    </row>
    <row r="13">
      <c r="A13" t="n">
        <v>59</v>
      </c>
      <c r="B13" t="n">
        <v>0.004789</v>
      </c>
    </row>
    <row r="14">
      <c r="A14" t="n">
        <v>60</v>
      </c>
      <c r="B14" t="n">
        <v>0.005191</v>
      </c>
    </row>
    <row r="15">
      <c r="A15" t="n">
        <v>61</v>
      </c>
      <c r="B15" t="n">
        <v>0.005646</v>
      </c>
    </row>
    <row r="16">
      <c r="A16" t="n">
        <v>62</v>
      </c>
      <c r="B16" t="n">
        <v>0.006156</v>
      </c>
    </row>
    <row r="17">
      <c r="A17" t="n">
        <v>63</v>
      </c>
      <c r="B17" t="n">
        <v>0.006723</v>
      </c>
    </row>
    <row r="18">
      <c r="A18" t="n">
        <v>64</v>
      </c>
      <c r="B18" t="n">
        <v>0.007352</v>
      </c>
    </row>
    <row r="19">
      <c r="A19" t="n">
        <v>65</v>
      </c>
      <c r="B19" t="n">
        <v>0.008048</v>
      </c>
    </row>
    <row r="20">
      <c r="A20" t="n">
        <v>66</v>
      </c>
      <c r="B20" t="n">
        <v>0.008821000000000001</v>
      </c>
    </row>
    <row r="21">
      <c r="A21" t="n">
        <v>67</v>
      </c>
      <c r="B21" t="n">
        <v>0.009679</v>
      </c>
    </row>
    <row r="22">
      <c r="A22" t="n">
        <v>68</v>
      </c>
      <c r="B22" t="n">
        <v>0.010633</v>
      </c>
    </row>
    <row r="23">
      <c r="A23" t="n">
        <v>69</v>
      </c>
      <c r="B23" t="n">
        <v>0.011692</v>
      </c>
    </row>
    <row r="24">
      <c r="A24" t="n">
        <v>70</v>
      </c>
      <c r="B24" t="n">
        <v>0.012868</v>
      </c>
    </row>
    <row r="25">
      <c r="A25" t="n">
        <v>71</v>
      </c>
      <c r="B25" t="n">
        <v>0.014171</v>
      </c>
    </row>
    <row r="26">
      <c r="A26" t="n">
        <v>72</v>
      </c>
      <c r="B26" t="n">
        <v>0.015614</v>
      </c>
    </row>
    <row r="27">
      <c r="A27" t="n">
        <v>73</v>
      </c>
      <c r="B27" t="n">
        <v>0.01721</v>
      </c>
    </row>
    <row r="28">
      <c r="A28" t="n">
        <v>74</v>
      </c>
      <c r="B28" t="n">
        <v>0.018977</v>
      </c>
    </row>
    <row r="29">
      <c r="A29" t="n">
        <v>75</v>
      </c>
      <c r="B29" t="n">
        <v>0.020938</v>
      </c>
    </row>
    <row r="30">
      <c r="A30" t="n">
        <v>76</v>
      </c>
      <c r="B30" t="n">
        <v>0.023118</v>
      </c>
    </row>
    <row r="31">
      <c r="A31" t="n">
        <v>77</v>
      </c>
      <c r="B31" t="n">
        <v>0.025554</v>
      </c>
    </row>
    <row r="32">
      <c r="A32" t="n">
        <v>78</v>
      </c>
      <c r="B32" t="n">
        <v>0.028288</v>
      </c>
    </row>
    <row r="33">
      <c r="A33" t="n">
        <v>79</v>
      </c>
      <c r="B33" t="n">
        <v>0.031366</v>
      </c>
    </row>
    <row r="34">
      <c r="A34" t="n">
        <v>80</v>
      </c>
      <c r="B34" t="n">
        <v>0.034844</v>
      </c>
    </row>
    <row r="35">
      <c r="A35" t="n">
        <v>81</v>
      </c>
      <c r="B35" t="n">
        <v>0.038783</v>
      </c>
    </row>
    <row r="36">
      <c r="A36" t="n">
        <v>82</v>
      </c>
      <c r="B36" t="n">
        <v>0.043246</v>
      </c>
    </row>
    <row r="37">
      <c r="A37" t="n">
        <v>83</v>
      </c>
      <c r="B37" t="n">
        <v>0.048305</v>
      </c>
    </row>
    <row r="38">
      <c r="A38" t="n">
        <v>84</v>
      </c>
      <c r="B38" t="n">
        <v>0.054032</v>
      </c>
    </row>
    <row r="39">
      <c r="A39" t="n">
        <v>85</v>
      </c>
      <c r="B39" t="n">
        <v>0.060504</v>
      </c>
    </row>
    <row r="40">
      <c r="A40" t="n">
        <v>86</v>
      </c>
      <c r="B40" t="n">
        <v>0.067801</v>
      </c>
    </row>
    <row r="41">
      <c r="A41" t="n">
        <v>87</v>
      </c>
      <c r="B41" t="n">
        <v>0.076012</v>
      </c>
    </row>
    <row r="42">
      <c r="A42" t="n">
        <v>88</v>
      </c>
      <c r="B42" t="n">
        <v>0.08523</v>
      </c>
    </row>
    <row r="43">
      <c r="A43" t="n">
        <v>89</v>
      </c>
      <c r="B43" t="n">
        <v>0.095563</v>
      </c>
    </row>
    <row r="44">
      <c r="A44" t="n">
        <v>90</v>
      </c>
      <c r="B44" t="n">
        <v>0.107126</v>
      </c>
    </row>
    <row r="45">
      <c r="A45" t="n">
        <v>91</v>
      </c>
      <c r="B45" t="n">
        <v>0.119744</v>
      </c>
    </row>
    <row r="46">
      <c r="A46" t="n">
        <v>92</v>
      </c>
      <c r="B46" t="n">
        <v>0.133299</v>
      </c>
    </row>
    <row r="47">
      <c r="A47" t="n">
        <v>93</v>
      </c>
      <c r="B47" t="n">
        <v>0.14772</v>
      </c>
    </row>
    <row r="48">
      <c r="A48" t="n">
        <v>94</v>
      </c>
      <c r="B48" t="n">
        <v>0.162971</v>
      </c>
    </row>
    <row r="49">
      <c r="A49" t="n">
        <v>95</v>
      </c>
      <c r="B49" t="n">
        <v>0.179034</v>
      </c>
    </row>
    <row r="50">
      <c r="A50" t="n">
        <v>96</v>
      </c>
      <c r="B50" t="n">
        <v>0.195903</v>
      </c>
    </row>
    <row r="51">
      <c r="A51" t="n">
        <v>97</v>
      </c>
      <c r="B51" t="n">
        <v>0.213565</v>
      </c>
    </row>
    <row r="52">
      <c r="A52" t="n">
        <v>98</v>
      </c>
      <c r="B52" t="n">
        <v>0.231991</v>
      </c>
    </row>
    <row r="53">
      <c r="A53" t="n">
        <v>99</v>
      </c>
      <c r="B53" t="n">
        <v>0.251123</v>
      </c>
    </row>
    <row r="54">
      <c r="A54" t="n">
        <v>100</v>
      </c>
      <c r="B54" t="n">
        <v>0.270858</v>
      </c>
    </row>
    <row r="55">
      <c r="A55" t="n">
        <v>101</v>
      </c>
      <c r="B55" t="n">
        <v>0.29104</v>
      </c>
    </row>
    <row r="56">
      <c r="A56" t="n">
        <v>102</v>
      </c>
      <c r="B56" t="n">
        <v>0.311444</v>
      </c>
    </row>
    <row r="57">
      <c r="A57" t="n">
        <v>103</v>
      </c>
      <c r="B57" t="n">
        <v>0.3319</v>
      </c>
    </row>
    <row r="58">
      <c r="A58" t="n">
        <v>104</v>
      </c>
      <c r="B58" t="n">
        <v>0.352232</v>
      </c>
    </row>
    <row r="59">
      <c r="A59" t="n">
        <v>105</v>
      </c>
      <c r="B59" t="n">
        <v>0.372273</v>
      </c>
    </row>
    <row r="60">
      <c r="A60" t="n">
        <v>106</v>
      </c>
      <c r="B60" t="n">
        <v>0.39186</v>
      </c>
    </row>
    <row r="61">
      <c r="A61" t="n">
        <v>107</v>
      </c>
      <c r="B61" t="n">
        <v>0.410849</v>
      </c>
    </row>
    <row r="62">
      <c r="A62" t="n">
        <v>108</v>
      </c>
      <c r="B62" t="n">
        <v>0.429112</v>
      </c>
    </row>
    <row r="63">
      <c r="A63" t="n">
        <v>109</v>
      </c>
      <c r="B63" t="n">
        <v>0.446544</v>
      </c>
    </row>
    <row r="64">
      <c r="A64" t="n">
        <v>110</v>
      </c>
      <c r="B64" t="n">
        <v>0.463061</v>
      </c>
    </row>
    <row r="65">
      <c r="A65" t="n">
        <v>111</v>
      </c>
      <c r="B65" t="n">
        <v>0.478604</v>
      </c>
    </row>
    <row r="66">
      <c r="A66" t="n">
        <v>112</v>
      </c>
      <c r="B66" t="n">
        <v>0.493137</v>
      </c>
    </row>
    <row r="67">
      <c r="A67" t="n">
        <v>113</v>
      </c>
      <c r="B67" t="n">
        <v>0.5</v>
      </c>
    </row>
    <row r="68">
      <c r="A68" t="n">
        <v>114</v>
      </c>
      <c r="B68" t="n">
        <v>0.5</v>
      </c>
    </row>
    <row r="69">
      <c r="A69" t="n">
        <v>115</v>
      </c>
      <c r="B69" t="n">
        <v>0.5</v>
      </c>
    </row>
    <row r="70">
      <c r="A70" t="n">
        <v>116</v>
      </c>
      <c r="B70" t="n">
        <v>0.5</v>
      </c>
    </row>
    <row r="71">
      <c r="A71" t="n">
        <v>117</v>
      </c>
      <c r="B71" t="n">
        <v>0.5</v>
      </c>
    </row>
    <row r="72">
      <c r="A72" t="n">
        <v>118</v>
      </c>
      <c r="B72" t="n">
        <v>0.5</v>
      </c>
    </row>
    <row r="73">
      <c r="A73" t="n">
        <v>119</v>
      </c>
      <c r="B73" t="n">
        <v>0.5</v>
      </c>
    </row>
    <row r="74">
      <c r="A74" t="n">
        <v>120</v>
      </c>
      <c r="B7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MP-2016 improvement rates (long)</t>
        </is>
      </c>
    </row>
    <row r="3">
      <c r="A3" s="2" t="inlineStr">
        <is>
          <t>age</t>
        </is>
      </c>
      <c r="B3" s="2" t="inlineStr">
        <is>
          <t>year</t>
        </is>
      </c>
      <c r="C3" s="2" t="inlineStr">
        <is>
          <t>improvement_rate</t>
        </is>
      </c>
    </row>
    <row r="4">
      <c r="A4" t="n">
        <v>21</v>
      </c>
      <c r="B4" t="n">
        <v>1951</v>
      </c>
      <c r="C4" t="n">
        <v>-0.0146</v>
      </c>
    </row>
    <row r="5">
      <c r="A5" t="n">
        <v>21</v>
      </c>
      <c r="B5" t="n">
        <v>1952</v>
      </c>
      <c r="C5" t="n">
        <v>-0.0062</v>
      </c>
    </row>
    <row r="6">
      <c r="A6" t="n">
        <v>21</v>
      </c>
      <c r="B6" t="n">
        <v>1953</v>
      </c>
      <c r="C6" t="n">
        <v>0.002</v>
      </c>
    </row>
    <row r="7">
      <c r="A7" t="n">
        <v>21</v>
      </c>
      <c r="B7" t="n">
        <v>1954</v>
      </c>
      <c r="C7" t="n">
        <v>0.0092</v>
      </c>
    </row>
    <row r="8">
      <c r="A8" t="n">
        <v>21</v>
      </c>
      <c r="B8" t="n">
        <v>1955</v>
      </c>
      <c r="C8" t="n">
        <v>0.0151</v>
      </c>
    </row>
    <row r="9">
      <c r="A9" t="n">
        <v>21</v>
      </c>
      <c r="B9" t="n">
        <v>1956</v>
      </c>
      <c r="C9" t="n">
        <v>0.0193</v>
      </c>
    </row>
    <row r="10">
      <c r="A10" t="n">
        <v>21</v>
      </c>
      <c r="B10" t="n">
        <v>1957</v>
      </c>
      <c r="C10" t="n">
        <v>0.0215</v>
      </c>
    </row>
    <row r="11">
      <c r="A11" t="n">
        <v>21</v>
      </c>
      <c r="B11" t="n">
        <v>1958</v>
      </c>
      <c r="C11" t="n">
        <v>0.0211</v>
      </c>
    </row>
    <row r="12">
      <c r="A12" t="n">
        <v>21</v>
      </c>
      <c r="B12" t="n">
        <v>1959</v>
      </c>
      <c r="C12" t="n">
        <v>0.018</v>
      </c>
    </row>
    <row r="13">
      <c r="A13" t="n">
        <v>21</v>
      </c>
      <c r="B13" t="n">
        <v>1960</v>
      </c>
      <c r="C13" t="n">
        <v>0.0121</v>
      </c>
    </row>
    <row r="14">
      <c r="A14" t="n">
        <v>21</v>
      </c>
      <c r="B14" t="n">
        <v>1961</v>
      </c>
      <c r="C14" t="n">
        <v>0.0038</v>
      </c>
    </row>
    <row r="15">
      <c r="A15" t="n">
        <v>21</v>
      </c>
      <c r="B15" t="n">
        <v>1962</v>
      </c>
      <c r="C15" t="n">
        <v>-0.0059</v>
      </c>
    </row>
    <row r="16">
      <c r="A16" t="n">
        <v>21</v>
      </c>
      <c r="B16" t="n">
        <v>1963</v>
      </c>
      <c r="C16" t="n">
        <v>-0.016</v>
      </c>
    </row>
    <row r="17">
      <c r="A17" t="n">
        <v>21</v>
      </c>
      <c r="B17" t="n">
        <v>1964</v>
      </c>
      <c r="C17" t="n">
        <v>-0.0253</v>
      </c>
    </row>
    <row r="18">
      <c r="A18" t="n">
        <v>21</v>
      </c>
      <c r="B18" t="n">
        <v>1965</v>
      </c>
      <c r="C18" t="n">
        <v>-0.0325</v>
      </c>
    </row>
    <row r="19">
      <c r="A19" t="n">
        <v>21</v>
      </c>
      <c r="B19" t="n">
        <v>1966</v>
      </c>
      <c r="C19" t="n">
        <v>-0.0365</v>
      </c>
    </row>
    <row r="20">
      <c r="A20" t="n">
        <v>21</v>
      </c>
      <c r="B20" t="n">
        <v>1967</v>
      </c>
      <c r="C20" t="n">
        <v>-0.0363</v>
      </c>
    </row>
    <row r="21">
      <c r="A21" t="n">
        <v>21</v>
      </c>
      <c r="B21" t="n">
        <v>1968</v>
      </c>
      <c r="C21" t="n">
        <v>-0.0321</v>
      </c>
    </row>
    <row r="22">
      <c r="A22" t="n">
        <v>21</v>
      </c>
      <c r="B22" t="n">
        <v>1969</v>
      </c>
      <c r="C22" t="n">
        <v>-0.0244</v>
      </c>
    </row>
    <row r="23">
      <c r="A23" t="n">
        <v>21</v>
      </c>
      <c r="B23" t="n">
        <v>1970</v>
      </c>
      <c r="C23" t="n">
        <v>-0.0146</v>
      </c>
    </row>
    <row r="24">
      <c r="A24" t="n">
        <v>21</v>
      </c>
      <c r="B24" t="n">
        <v>1971</v>
      </c>
      <c r="C24" t="n">
        <v>-0.0048</v>
      </c>
    </row>
    <row r="25">
      <c r="A25" t="n">
        <v>21</v>
      </c>
      <c r="B25" t="n">
        <v>1972</v>
      </c>
      <c r="C25" t="n">
        <v>0.0038</v>
      </c>
    </row>
    <row r="26">
      <c r="A26" t="n">
        <v>21</v>
      </c>
      <c r="B26" t="n">
        <v>1973</v>
      </c>
      <c r="C26" t="n">
        <v>0.0105</v>
      </c>
    </row>
    <row r="27">
      <c r="A27" t="n">
        <v>21</v>
      </c>
      <c r="B27" t="n">
        <v>1974</v>
      </c>
      <c r="C27" t="n">
        <v>0.0148</v>
      </c>
    </row>
    <row r="28">
      <c r="A28" t="n">
        <v>21</v>
      </c>
      <c r="B28" t="n">
        <v>1975</v>
      </c>
      <c r="C28" t="n">
        <v>0.0169</v>
      </c>
    </row>
    <row r="29">
      <c r="A29" t="n">
        <v>21</v>
      </c>
      <c r="B29" t="n">
        <v>1976</v>
      </c>
      <c r="C29" t="n">
        <v>0.0176</v>
      </c>
    </row>
    <row r="30">
      <c r="A30" t="n">
        <v>21</v>
      </c>
      <c r="B30" t="n">
        <v>1977</v>
      </c>
      <c r="C30" t="n">
        <v>0.0183</v>
      </c>
    </row>
    <row r="31">
      <c r="A31" t="n">
        <v>21</v>
      </c>
      <c r="B31" t="n">
        <v>1978</v>
      </c>
      <c r="C31" t="n">
        <v>0.0203</v>
      </c>
    </row>
    <row r="32">
      <c r="A32" t="n">
        <v>21</v>
      </c>
      <c r="B32" t="n">
        <v>1979</v>
      </c>
      <c r="C32" t="n">
        <v>0.024</v>
      </c>
    </row>
    <row r="33">
      <c r="A33" t="n">
        <v>21</v>
      </c>
      <c r="B33" t="n">
        <v>1980</v>
      </c>
      <c r="C33" t="n">
        <v>0.0287</v>
      </c>
    </row>
    <row r="34">
      <c r="A34" t="n">
        <v>21</v>
      </c>
      <c r="B34" t="n">
        <v>1981</v>
      </c>
      <c r="C34" t="n">
        <v>0.0324</v>
      </c>
    </row>
    <row r="35">
      <c r="A35" t="n">
        <v>21</v>
      </c>
      <c r="B35" t="n">
        <v>1982</v>
      </c>
      <c r="C35" t="n">
        <v>0.0328</v>
      </c>
    </row>
    <row r="36">
      <c r="A36" t="n">
        <v>21</v>
      </c>
      <c r="B36" t="n">
        <v>1983</v>
      </c>
      <c r="C36" t="n">
        <v>0.0291</v>
      </c>
    </row>
    <row r="37">
      <c r="A37" t="n">
        <v>21</v>
      </c>
      <c r="B37" t="n">
        <v>1984</v>
      </c>
      <c r="C37" t="n">
        <v>0.0219</v>
      </c>
    </row>
    <row r="38">
      <c r="A38" t="n">
        <v>21</v>
      </c>
      <c r="B38" t="n">
        <v>1985</v>
      </c>
      <c r="C38" t="n">
        <v>0.0134</v>
      </c>
    </row>
    <row r="39">
      <c r="A39" t="n">
        <v>21</v>
      </c>
      <c r="B39" t="n">
        <v>1986</v>
      </c>
      <c r="C39" t="n">
        <v>0.0055</v>
      </c>
    </row>
    <row r="40">
      <c r="A40" t="n">
        <v>21</v>
      </c>
      <c r="B40" t="n">
        <v>1987</v>
      </c>
      <c r="C40" t="n">
        <v>-0.0001</v>
      </c>
    </row>
    <row r="41">
      <c r="A41" t="n">
        <v>21</v>
      </c>
      <c r="B41" t="n">
        <v>1988</v>
      </c>
      <c r="C41" t="n">
        <v>-0.0029</v>
      </c>
    </row>
    <row r="42">
      <c r="A42" t="n">
        <v>21</v>
      </c>
      <c r="B42" t="n">
        <v>1989</v>
      </c>
      <c r="C42" t="n">
        <v>-0.003</v>
      </c>
    </row>
    <row r="43">
      <c r="A43" t="n">
        <v>21</v>
      </c>
      <c r="B43" t="n">
        <v>1990</v>
      </c>
      <c r="C43" t="n">
        <v>-0.0007</v>
      </c>
    </row>
    <row r="44">
      <c r="A44" t="n">
        <v>21</v>
      </c>
      <c r="B44" t="n">
        <v>1991</v>
      </c>
      <c r="C44" t="n">
        <v>0.0037</v>
      </c>
    </row>
    <row r="45">
      <c r="A45" t="n">
        <v>21</v>
      </c>
      <c r="B45" t="n">
        <v>1992</v>
      </c>
      <c r="C45" t="n">
        <v>0.0095</v>
      </c>
    </row>
    <row r="46">
      <c r="A46" t="n">
        <v>21</v>
      </c>
      <c r="B46" t="n">
        <v>1993</v>
      </c>
      <c r="C46" t="n">
        <v>0.0159</v>
      </c>
    </row>
    <row r="47">
      <c r="A47" t="n">
        <v>21</v>
      </c>
      <c r="B47" t="n">
        <v>1994</v>
      </c>
      <c r="C47" t="n">
        <v>0.0221</v>
      </c>
    </row>
    <row r="48">
      <c r="A48" t="n">
        <v>21</v>
      </c>
      <c r="B48" t="n">
        <v>1995</v>
      </c>
      <c r="C48" t="n">
        <v>0.0269</v>
      </c>
    </row>
    <row r="49">
      <c r="A49" t="n">
        <v>21</v>
      </c>
      <c r="B49" t="n">
        <v>1996</v>
      </c>
      <c r="C49" t="n">
        <v>0.0291</v>
      </c>
    </row>
    <row r="50">
      <c r="A50" t="n">
        <v>21</v>
      </c>
      <c r="B50" t="n">
        <v>1997</v>
      </c>
      <c r="C50" t="n">
        <v>0.0277</v>
      </c>
    </row>
    <row r="51">
      <c r="A51" t="n">
        <v>21</v>
      </c>
      <c r="B51" t="n">
        <v>1998</v>
      </c>
      <c r="C51" t="n">
        <v>0.0228</v>
      </c>
    </row>
    <row r="52">
      <c r="A52" t="n">
        <v>21</v>
      </c>
      <c r="B52" t="n">
        <v>1999</v>
      </c>
      <c r="C52" t="n">
        <v>0.0151</v>
      </c>
    </row>
    <row r="53">
      <c r="A53" t="n">
        <v>21</v>
      </c>
      <c r="B53" t="n">
        <v>2000</v>
      </c>
      <c r="C53" t="n">
        <v>0.0064</v>
      </c>
    </row>
    <row r="54">
      <c r="A54" t="n">
        <v>21</v>
      </c>
      <c r="B54" t="n">
        <v>2001</v>
      </c>
      <c r="C54" t="n">
        <v>-0.0012</v>
      </c>
    </row>
    <row r="55">
      <c r="A55" t="n">
        <v>21</v>
      </c>
      <c r="B55" t="n">
        <v>2002</v>
      </c>
      <c r="C55" t="n">
        <v>-0.0062</v>
      </c>
    </row>
    <row r="56">
      <c r="A56" t="n">
        <v>21</v>
      </c>
      <c r="B56" t="n">
        <v>2003</v>
      </c>
      <c r="C56" t="n">
        <v>-0.0075</v>
      </c>
    </row>
    <row r="57">
      <c r="A57" t="n">
        <v>21</v>
      </c>
      <c r="B57" t="n">
        <v>2004</v>
      </c>
      <c r="C57" t="n">
        <v>-0.005</v>
      </c>
    </row>
    <row r="58">
      <c r="A58" t="n">
        <v>21</v>
      </c>
      <c r="B58" t="n">
        <v>2005</v>
      </c>
      <c r="C58" t="n">
        <v>0.0008</v>
      </c>
    </row>
    <row r="59">
      <c r="A59" t="n">
        <v>21</v>
      </c>
      <c r="B59" t="n">
        <v>2006</v>
      </c>
      <c r="C59" t="n">
        <v>0.009299999999999999</v>
      </c>
    </row>
    <row r="60">
      <c r="A60" t="n">
        <v>21</v>
      </c>
      <c r="B60" t="n">
        <v>2007</v>
      </c>
      <c r="C60" t="n">
        <v>0.0187</v>
      </c>
    </row>
    <row r="61">
      <c r="A61" t="n">
        <v>21</v>
      </c>
      <c r="B61" t="n">
        <v>2008</v>
      </c>
      <c r="C61" t="n">
        <v>0.0269</v>
      </c>
    </row>
    <row r="62">
      <c r="A62" t="n">
        <v>21</v>
      </c>
      <c r="B62" t="n">
        <v>2009</v>
      </c>
      <c r="C62" t="n">
        <v>0.032</v>
      </c>
    </row>
    <row r="63">
      <c r="A63" t="n">
        <v>21</v>
      </c>
      <c r="B63" t="n">
        <v>2010</v>
      </c>
      <c r="C63" t="n">
        <v>0.0335</v>
      </c>
    </row>
    <row r="64">
      <c r="A64" t="n">
        <v>21</v>
      </c>
      <c r="B64" t="n">
        <v>2011</v>
      </c>
      <c r="C64" t="n">
        <v>0.0319</v>
      </c>
    </row>
    <row r="65">
      <c r="A65" t="n">
        <v>21</v>
      </c>
      <c r="B65" t="n">
        <v>2012</v>
      </c>
      <c r="C65" t="n">
        <v>0.0284</v>
      </c>
    </row>
    <row r="66">
      <c r="A66" t="n">
        <v>21</v>
      </c>
      <c r="B66" t="n">
        <v>2013</v>
      </c>
      <c r="C66" t="n">
        <v>0.0298</v>
      </c>
    </row>
    <row r="67">
      <c r="A67" t="n">
        <v>21</v>
      </c>
      <c r="B67" t="n">
        <v>2014</v>
      </c>
      <c r="C67" t="n">
        <v>0.0289</v>
      </c>
    </row>
    <row r="68">
      <c r="A68" t="n">
        <v>21</v>
      </c>
      <c r="B68" t="n">
        <v>2015</v>
      </c>
      <c r="C68" t="n">
        <v>0.0275</v>
      </c>
    </row>
    <row r="69">
      <c r="A69" t="n">
        <v>21</v>
      </c>
      <c r="B69" t="n">
        <v>2016</v>
      </c>
      <c r="C69" t="n">
        <v>0.0258</v>
      </c>
    </row>
    <row r="70">
      <c r="A70" t="n">
        <v>21</v>
      </c>
      <c r="B70" t="n">
        <v>2017</v>
      </c>
      <c r="C70" t="n">
        <v>0.0238</v>
      </c>
    </row>
    <row r="71">
      <c r="A71" t="n">
        <v>21</v>
      </c>
      <c r="B71" t="n">
        <v>2018</v>
      </c>
      <c r="C71" t="n">
        <v>0.0218</v>
      </c>
    </row>
    <row r="72">
      <c r="A72" t="n">
        <v>21</v>
      </c>
      <c r="B72" t="n">
        <v>2019</v>
      </c>
      <c r="C72" t="n">
        <v>0.0198</v>
      </c>
    </row>
    <row r="73">
      <c r="A73" t="n">
        <v>21</v>
      </c>
      <c r="B73" t="n">
        <v>2020</v>
      </c>
      <c r="C73" t="n">
        <v>0.018</v>
      </c>
    </row>
    <row r="74">
      <c r="A74" t="n">
        <v>21</v>
      </c>
      <c r="B74" t="n">
        <v>2021</v>
      </c>
      <c r="C74" t="n">
        <v>0.0165</v>
      </c>
    </row>
    <row r="75">
      <c r="A75" t="n">
        <v>21</v>
      </c>
      <c r="B75" t="n">
        <v>2022</v>
      </c>
      <c r="C75" t="n">
        <v>0.0155</v>
      </c>
    </row>
    <row r="76">
      <c r="A76" t="n">
        <v>21</v>
      </c>
      <c r="B76" t="n">
        <v>2023</v>
      </c>
      <c r="C76" t="n">
        <v>0.0146</v>
      </c>
    </row>
    <row r="77">
      <c r="A77" t="n">
        <v>21</v>
      </c>
      <c r="B77" t="n">
        <v>2024</v>
      </c>
      <c r="C77" t="n">
        <v>0.0138</v>
      </c>
    </row>
    <row r="78">
      <c r="A78" t="n">
        <v>21</v>
      </c>
      <c r="B78" t="n">
        <v>2025</v>
      </c>
      <c r="C78" t="n">
        <v>0.0131</v>
      </c>
    </row>
    <row r="79">
      <c r="A79" t="n">
        <v>21</v>
      </c>
      <c r="B79" t="n">
        <v>2026</v>
      </c>
      <c r="C79" t="n">
        <v>0.0124</v>
      </c>
    </row>
    <row r="80">
      <c r="A80" t="n">
        <v>21</v>
      </c>
      <c r="B80" t="n">
        <v>2027</v>
      </c>
      <c r="C80" t="n">
        <v>0.0117</v>
      </c>
    </row>
    <row r="81">
      <c r="A81" t="n">
        <v>21</v>
      </c>
      <c r="B81" t="n">
        <v>2028</v>
      </c>
      <c r="C81" t="n">
        <v>0.0111</v>
      </c>
    </row>
    <row r="82">
      <c r="A82" t="n">
        <v>21</v>
      </c>
      <c r="B82" t="n">
        <v>2029</v>
      </c>
      <c r="C82" t="n">
        <v>0.0107</v>
      </c>
    </row>
    <row r="83">
      <c r="A83" t="n">
        <v>21</v>
      </c>
      <c r="B83" t="n">
        <v>2030</v>
      </c>
      <c r="C83" t="n">
        <v>0.0103</v>
      </c>
    </row>
    <row r="84">
      <c r="A84" t="n">
        <v>21</v>
      </c>
      <c r="B84" t="n">
        <v>2031</v>
      </c>
      <c r="C84" t="n">
        <v>0.0101</v>
      </c>
    </row>
    <row r="85">
      <c r="A85" t="n">
        <v>22</v>
      </c>
      <c r="B85" t="n">
        <v>1951</v>
      </c>
      <c r="C85" t="n">
        <v>-0.0121</v>
      </c>
    </row>
    <row r="86">
      <c r="A86" t="n">
        <v>22</v>
      </c>
      <c r="B86" t="n">
        <v>1952</v>
      </c>
      <c r="C86" t="n">
        <v>-0.0042</v>
      </c>
    </row>
    <row r="87">
      <c r="A87" t="n">
        <v>22</v>
      </c>
      <c r="B87" t="n">
        <v>1953</v>
      </c>
      <c r="C87" t="n">
        <v>0.0034</v>
      </c>
    </row>
    <row r="88">
      <c r="A88" t="n">
        <v>22</v>
      </c>
      <c r="B88" t="n">
        <v>1954</v>
      </c>
      <c r="C88" t="n">
        <v>0.0103</v>
      </c>
    </row>
    <row r="89">
      <c r="A89" t="n">
        <v>22</v>
      </c>
      <c r="B89" t="n">
        <v>1955</v>
      </c>
      <c r="C89" t="n">
        <v>0.0157</v>
      </c>
    </row>
    <row r="90">
      <c r="A90" t="n">
        <v>22</v>
      </c>
      <c r="B90" t="n">
        <v>1956</v>
      </c>
      <c r="C90" t="n">
        <v>0.0195</v>
      </c>
    </row>
    <row r="91">
      <c r="A91" t="n">
        <v>22</v>
      </c>
      <c r="B91" t="n">
        <v>1957</v>
      </c>
      <c r="C91" t="n">
        <v>0.0212</v>
      </c>
    </row>
    <row r="92">
      <c r="A92" t="n">
        <v>22</v>
      </c>
      <c r="B92" t="n">
        <v>1958</v>
      </c>
      <c r="C92" t="n">
        <v>0.0205</v>
      </c>
    </row>
    <row r="93">
      <c r="A93" t="n">
        <v>22</v>
      </c>
      <c r="B93" t="n">
        <v>1959</v>
      </c>
      <c r="C93" t="n">
        <v>0.0171</v>
      </c>
    </row>
    <row r="94">
      <c r="A94" t="n">
        <v>22</v>
      </c>
      <c r="B94" t="n">
        <v>1960</v>
      </c>
      <c r="C94" t="n">
        <v>0.0111</v>
      </c>
    </row>
    <row r="95">
      <c r="A95" t="n">
        <v>22</v>
      </c>
      <c r="B95" t="n">
        <v>1961</v>
      </c>
      <c r="C95" t="n">
        <v>0.0031</v>
      </c>
    </row>
    <row r="96">
      <c r="A96" t="n">
        <v>22</v>
      </c>
      <c r="B96" t="n">
        <v>1962</v>
      </c>
      <c r="C96" t="n">
        <v>-0.0063</v>
      </c>
    </row>
    <row r="97">
      <c r="A97" t="n">
        <v>22</v>
      </c>
      <c r="B97" t="n">
        <v>1963</v>
      </c>
      <c r="C97" t="n">
        <v>-0.0159</v>
      </c>
    </row>
    <row r="98">
      <c r="A98" t="n">
        <v>22</v>
      </c>
      <c r="B98" t="n">
        <v>1964</v>
      </c>
      <c r="C98" t="n">
        <v>-0.0247</v>
      </c>
    </row>
    <row r="99">
      <c r="A99" t="n">
        <v>22</v>
      </c>
      <c r="B99" t="n">
        <v>1965</v>
      </c>
      <c r="C99" t="n">
        <v>-0.0314</v>
      </c>
    </row>
    <row r="100">
      <c r="A100" t="n">
        <v>22</v>
      </c>
      <c r="B100" t="n">
        <v>1966</v>
      </c>
      <c r="C100" t="n">
        <v>-0.035</v>
      </c>
    </row>
    <row r="101">
      <c r="A101" t="n">
        <v>22</v>
      </c>
      <c r="B101" t="n">
        <v>1967</v>
      </c>
      <c r="C101" t="n">
        <v>-0.0348</v>
      </c>
    </row>
    <row r="102">
      <c r="A102" t="n">
        <v>22</v>
      </c>
      <c r="B102" t="n">
        <v>1968</v>
      </c>
      <c r="C102" t="n">
        <v>-0.0306</v>
      </c>
    </row>
    <row r="103">
      <c r="A103" t="n">
        <v>22</v>
      </c>
      <c r="B103" t="n">
        <v>1969</v>
      </c>
      <c r="C103" t="n">
        <v>-0.0231</v>
      </c>
    </row>
    <row r="104">
      <c r="A104" t="n">
        <v>22</v>
      </c>
      <c r="B104" t="n">
        <v>1970</v>
      </c>
      <c r="C104" t="n">
        <v>-0.0138</v>
      </c>
    </row>
    <row r="105">
      <c r="A105" t="n">
        <v>22</v>
      </c>
      <c r="B105" t="n">
        <v>1971</v>
      </c>
      <c r="C105" t="n">
        <v>-0.0044</v>
      </c>
    </row>
    <row r="106">
      <c r="A106" t="n">
        <v>22</v>
      </c>
      <c r="B106" t="n">
        <v>1972</v>
      </c>
      <c r="C106" t="n">
        <v>0.0038</v>
      </c>
    </row>
    <row r="107">
      <c r="A107" t="n">
        <v>22</v>
      </c>
      <c r="B107" t="n">
        <v>1973</v>
      </c>
      <c r="C107" t="n">
        <v>0.009900000000000001</v>
      </c>
    </row>
    <row r="108">
      <c r="A108" t="n">
        <v>22</v>
      </c>
      <c r="B108" t="n">
        <v>1974</v>
      </c>
      <c r="C108" t="n">
        <v>0.0138</v>
      </c>
    </row>
    <row r="109">
      <c r="A109" t="n">
        <v>22</v>
      </c>
      <c r="B109" t="n">
        <v>1975</v>
      </c>
      <c r="C109" t="n">
        <v>0.0156</v>
      </c>
    </row>
    <row r="110">
      <c r="A110" t="n">
        <v>22</v>
      </c>
      <c r="B110" t="n">
        <v>1976</v>
      </c>
      <c r="C110" t="n">
        <v>0.0162</v>
      </c>
    </row>
    <row r="111">
      <c r="A111" t="n">
        <v>22</v>
      </c>
      <c r="B111" t="n">
        <v>1977</v>
      </c>
      <c r="C111" t="n">
        <v>0.0167</v>
      </c>
    </row>
    <row r="112">
      <c r="A112" t="n">
        <v>22</v>
      </c>
      <c r="B112" t="n">
        <v>1978</v>
      </c>
      <c r="C112" t="n">
        <v>0.0185</v>
      </c>
    </row>
    <row r="113">
      <c r="A113" t="n">
        <v>22</v>
      </c>
      <c r="B113" t="n">
        <v>1979</v>
      </c>
      <c r="C113" t="n">
        <v>0.0222</v>
      </c>
    </row>
    <row r="114">
      <c r="A114" t="n">
        <v>22</v>
      </c>
      <c r="B114" t="n">
        <v>1980</v>
      </c>
      <c r="C114" t="n">
        <v>0.0268</v>
      </c>
    </row>
    <row r="115">
      <c r="A115" t="n">
        <v>22</v>
      </c>
      <c r="B115" t="n">
        <v>1981</v>
      </c>
      <c r="C115" t="n">
        <v>0.0307</v>
      </c>
    </row>
    <row r="116">
      <c r="A116" t="n">
        <v>22</v>
      </c>
      <c r="B116" t="n">
        <v>1982</v>
      </c>
      <c r="C116" t="n">
        <v>0.0314</v>
      </c>
    </row>
    <row r="117">
      <c r="A117" t="n">
        <v>22</v>
      </c>
      <c r="B117" t="n">
        <v>1983</v>
      </c>
      <c r="C117" t="n">
        <v>0.028</v>
      </c>
    </row>
    <row r="118">
      <c r="A118" t="n">
        <v>22</v>
      </c>
      <c r="B118" t="n">
        <v>1984</v>
      </c>
      <c r="C118" t="n">
        <v>0.0212</v>
      </c>
    </row>
    <row r="119">
      <c r="A119" t="n">
        <v>22</v>
      </c>
      <c r="B119" t="n">
        <v>1985</v>
      </c>
      <c r="C119" t="n">
        <v>0.0129</v>
      </c>
    </row>
    <row r="120">
      <c r="A120" t="n">
        <v>22</v>
      </c>
      <c r="B120" t="n">
        <v>1986</v>
      </c>
      <c r="C120" t="n">
        <v>0.0053</v>
      </c>
    </row>
    <row r="121">
      <c r="A121" t="n">
        <v>22</v>
      </c>
      <c r="B121" t="n">
        <v>1987</v>
      </c>
      <c r="C121" t="n">
        <v>0.0001</v>
      </c>
    </row>
    <row r="122">
      <c r="A122" t="n">
        <v>22</v>
      </c>
      <c r="B122" t="n">
        <v>1988</v>
      </c>
      <c r="C122" t="n">
        <v>-0.0024</v>
      </c>
    </row>
    <row r="123">
      <c r="A123" t="n">
        <v>22</v>
      </c>
      <c r="B123" t="n">
        <v>1989</v>
      </c>
      <c r="C123" t="n">
        <v>-0.002</v>
      </c>
    </row>
    <row r="124">
      <c r="A124" t="n">
        <v>22</v>
      </c>
      <c r="B124" t="n">
        <v>1990</v>
      </c>
      <c r="C124" t="n">
        <v>0.0007</v>
      </c>
    </row>
    <row r="125">
      <c r="A125" t="n">
        <v>22</v>
      </c>
      <c r="B125" t="n">
        <v>1991</v>
      </c>
      <c r="C125" t="n">
        <v>0.0055</v>
      </c>
    </row>
    <row r="126">
      <c r="A126" t="n">
        <v>22</v>
      </c>
      <c r="B126" t="n">
        <v>1992</v>
      </c>
      <c r="C126" t="n">
        <v>0.0115</v>
      </c>
    </row>
    <row r="127">
      <c r="A127" t="n">
        <v>22</v>
      </c>
      <c r="B127" t="n">
        <v>1993</v>
      </c>
      <c r="C127" t="n">
        <v>0.0179</v>
      </c>
    </row>
    <row r="128">
      <c r="A128" t="n">
        <v>22</v>
      </c>
      <c r="B128" t="n">
        <v>1994</v>
      </c>
      <c r="C128" t="n">
        <v>0.0239</v>
      </c>
    </row>
    <row r="129">
      <c r="A129" t="n">
        <v>22</v>
      </c>
      <c r="B129" t="n">
        <v>1995</v>
      </c>
      <c r="C129" t="n">
        <v>0.0283</v>
      </c>
    </row>
    <row r="130">
      <c r="A130" t="n">
        <v>22</v>
      </c>
      <c r="B130" t="n">
        <v>1996</v>
      </c>
      <c r="C130" t="n">
        <v>0.0298</v>
      </c>
    </row>
    <row r="131">
      <c r="A131" t="n">
        <v>22</v>
      </c>
      <c r="B131" t="n">
        <v>1997</v>
      </c>
      <c r="C131" t="n">
        <v>0.0277</v>
      </c>
    </row>
    <row r="132">
      <c r="A132" t="n">
        <v>22</v>
      </c>
      <c r="B132" t="n">
        <v>1998</v>
      </c>
      <c r="C132" t="n">
        <v>0.0219</v>
      </c>
    </row>
    <row r="133">
      <c r="A133" t="n">
        <v>22</v>
      </c>
      <c r="B133" t="n">
        <v>1999</v>
      </c>
      <c r="C133" t="n">
        <v>0.0133</v>
      </c>
    </row>
    <row r="134">
      <c r="A134" t="n">
        <v>22</v>
      </c>
      <c r="B134" t="n">
        <v>2000</v>
      </c>
      <c r="C134" t="n">
        <v>0.0038</v>
      </c>
    </row>
    <row r="135">
      <c r="A135" t="n">
        <v>22</v>
      </c>
      <c r="B135" t="n">
        <v>2001</v>
      </c>
      <c r="C135" t="n">
        <v>-0.0044</v>
      </c>
    </row>
    <row r="136">
      <c r="A136" t="n">
        <v>22</v>
      </c>
      <c r="B136" t="n">
        <v>2002</v>
      </c>
      <c r="C136" t="n">
        <v>-0.0098</v>
      </c>
    </row>
    <row r="137">
      <c r="A137" t="n">
        <v>22</v>
      </c>
      <c r="B137" t="n">
        <v>2003</v>
      </c>
      <c r="C137" t="n">
        <v>-0.0114</v>
      </c>
    </row>
    <row r="138">
      <c r="A138" t="n">
        <v>22</v>
      </c>
      <c r="B138" t="n">
        <v>2004</v>
      </c>
      <c r="C138" t="n">
        <v>-0.0092</v>
      </c>
    </row>
    <row r="139">
      <c r="A139" t="n">
        <v>22</v>
      </c>
      <c r="B139" t="n">
        <v>2005</v>
      </c>
      <c r="C139" t="n">
        <v>-0.0034</v>
      </c>
    </row>
    <row r="140">
      <c r="A140" t="n">
        <v>22</v>
      </c>
      <c r="B140" t="n">
        <v>2006</v>
      </c>
      <c r="C140" t="n">
        <v>0.005</v>
      </c>
    </row>
    <row r="141">
      <c r="A141" t="n">
        <v>22</v>
      </c>
      <c r="B141" t="n">
        <v>2007</v>
      </c>
      <c r="C141" t="n">
        <v>0.0144</v>
      </c>
    </row>
    <row r="142">
      <c r="A142" t="n">
        <v>22</v>
      </c>
      <c r="B142" t="n">
        <v>2008</v>
      </c>
      <c r="C142" t="n">
        <v>0.0226</v>
      </c>
    </row>
    <row r="143">
      <c r="A143" t="n">
        <v>22</v>
      </c>
      <c r="B143" t="n">
        <v>2009</v>
      </c>
      <c r="C143" t="n">
        <v>0.0278</v>
      </c>
    </row>
    <row r="144">
      <c r="A144" t="n">
        <v>22</v>
      </c>
      <c r="B144" t="n">
        <v>2010</v>
      </c>
      <c r="C144" t="n">
        <v>0.0294</v>
      </c>
    </row>
    <row r="145">
      <c r="A145" t="n">
        <v>22</v>
      </c>
      <c r="B145" t="n">
        <v>2011</v>
      </c>
      <c r="C145" t="n">
        <v>0.028</v>
      </c>
    </row>
    <row r="146">
      <c r="A146" t="n">
        <v>22</v>
      </c>
      <c r="B146" t="n">
        <v>2012</v>
      </c>
      <c r="C146" t="n">
        <v>0.0247</v>
      </c>
    </row>
    <row r="147">
      <c r="A147" t="n">
        <v>22</v>
      </c>
      <c r="B147" t="n">
        <v>2013</v>
      </c>
      <c r="C147" t="n">
        <v>0.0263</v>
      </c>
    </row>
    <row r="148">
      <c r="A148" t="n">
        <v>22</v>
      </c>
      <c r="B148" t="n">
        <v>2014</v>
      </c>
      <c r="C148" t="n">
        <v>0.0272</v>
      </c>
    </row>
    <row r="149">
      <c r="A149" t="n">
        <v>22</v>
      </c>
      <c r="B149" t="n">
        <v>2015</v>
      </c>
      <c r="C149" t="n">
        <v>0.026</v>
      </c>
    </row>
    <row r="150">
      <c r="A150" t="n">
        <v>22</v>
      </c>
      <c r="B150" t="n">
        <v>2016</v>
      </c>
      <c r="C150" t="n">
        <v>0.0246</v>
      </c>
    </row>
    <row r="151">
      <c r="A151" t="n">
        <v>22</v>
      </c>
      <c r="B151" t="n">
        <v>2017</v>
      </c>
      <c r="C151" t="n">
        <v>0.0229</v>
      </c>
    </row>
    <row r="152">
      <c r="A152" t="n">
        <v>22</v>
      </c>
      <c r="B152" t="n">
        <v>2018</v>
      </c>
      <c r="C152" t="n">
        <v>0.0212</v>
      </c>
    </row>
    <row r="153">
      <c r="A153" t="n">
        <v>22</v>
      </c>
      <c r="B153" t="n">
        <v>2019</v>
      </c>
      <c r="C153" t="n">
        <v>0.0194</v>
      </c>
    </row>
    <row r="154">
      <c r="A154" t="n">
        <v>22</v>
      </c>
      <c r="B154" t="n">
        <v>2020</v>
      </c>
      <c r="C154" t="n">
        <v>0.0178</v>
      </c>
    </row>
    <row r="155">
      <c r="A155" t="n">
        <v>22</v>
      </c>
      <c r="B155" t="n">
        <v>2021</v>
      </c>
      <c r="C155" t="n">
        <v>0.0165</v>
      </c>
    </row>
    <row r="156">
      <c r="A156" t="n">
        <v>22</v>
      </c>
      <c r="B156" t="n">
        <v>2022</v>
      </c>
      <c r="C156" t="n">
        <v>0.0155</v>
      </c>
    </row>
    <row r="157">
      <c r="A157" t="n">
        <v>22</v>
      </c>
      <c r="B157" t="n">
        <v>2023</v>
      </c>
      <c r="C157" t="n">
        <v>0.0146</v>
      </c>
    </row>
    <row r="158">
      <c r="A158" t="n">
        <v>22</v>
      </c>
      <c r="B158" t="n">
        <v>2024</v>
      </c>
      <c r="C158" t="n">
        <v>0.0138</v>
      </c>
    </row>
    <row r="159">
      <c r="A159" t="n">
        <v>22</v>
      </c>
      <c r="B159" t="n">
        <v>2025</v>
      </c>
      <c r="C159" t="n">
        <v>0.0131</v>
      </c>
    </row>
    <row r="160">
      <c r="A160" t="n">
        <v>22</v>
      </c>
      <c r="B160" t="n">
        <v>2026</v>
      </c>
      <c r="C160" t="n">
        <v>0.0124</v>
      </c>
    </row>
    <row r="161">
      <c r="A161" t="n">
        <v>22</v>
      </c>
      <c r="B161" t="n">
        <v>2027</v>
      </c>
      <c r="C161" t="n">
        <v>0.0117</v>
      </c>
    </row>
    <row r="162">
      <c r="A162" t="n">
        <v>22</v>
      </c>
      <c r="B162" t="n">
        <v>2028</v>
      </c>
      <c r="C162" t="n">
        <v>0.0111</v>
      </c>
    </row>
    <row r="163">
      <c r="A163" t="n">
        <v>22</v>
      </c>
      <c r="B163" t="n">
        <v>2029</v>
      </c>
      <c r="C163" t="n">
        <v>0.0107</v>
      </c>
    </row>
    <row r="164">
      <c r="A164" t="n">
        <v>22</v>
      </c>
      <c r="B164" t="n">
        <v>2030</v>
      </c>
      <c r="C164" t="n">
        <v>0.0103</v>
      </c>
    </row>
    <row r="165">
      <c r="A165" t="n">
        <v>22</v>
      </c>
      <c r="B165" t="n">
        <v>2031</v>
      </c>
      <c r="C165" t="n">
        <v>0.0101</v>
      </c>
    </row>
    <row r="166">
      <c r="A166" t="n">
        <v>23</v>
      </c>
      <c r="B166" t="n">
        <v>1951</v>
      </c>
      <c r="C166" t="n">
        <v>-0.008200000000000001</v>
      </c>
    </row>
    <row r="167">
      <c r="A167" t="n">
        <v>23</v>
      </c>
      <c r="B167" t="n">
        <v>1952</v>
      </c>
      <c r="C167" t="n">
        <v>-0.001</v>
      </c>
    </row>
    <row r="168">
      <c r="A168" t="n">
        <v>23</v>
      </c>
      <c r="B168" t="n">
        <v>1953</v>
      </c>
      <c r="C168" t="n">
        <v>0.0059</v>
      </c>
    </row>
    <row r="169">
      <c r="A169" t="n">
        <v>23</v>
      </c>
      <c r="B169" t="n">
        <v>1954</v>
      </c>
      <c r="C169" t="n">
        <v>0.0119</v>
      </c>
    </row>
    <row r="170">
      <c r="A170" t="n">
        <v>23</v>
      </c>
      <c r="B170" t="n">
        <v>1955</v>
      </c>
      <c r="C170" t="n">
        <v>0.0166</v>
      </c>
    </row>
    <row r="171">
      <c r="A171" t="n">
        <v>23</v>
      </c>
      <c r="B171" t="n">
        <v>1956</v>
      </c>
      <c r="C171" t="n">
        <v>0.0197</v>
      </c>
    </row>
    <row r="172">
      <c r="A172" t="n">
        <v>23</v>
      </c>
      <c r="B172" t="n">
        <v>1957</v>
      </c>
      <c r="C172" t="n">
        <v>0.0208</v>
      </c>
    </row>
    <row r="173">
      <c r="A173" t="n">
        <v>23</v>
      </c>
      <c r="B173" t="n">
        <v>1958</v>
      </c>
      <c r="C173" t="n">
        <v>0.0196</v>
      </c>
    </row>
    <row r="174">
      <c r="A174" t="n">
        <v>23</v>
      </c>
      <c r="B174" t="n">
        <v>1959</v>
      </c>
      <c r="C174" t="n">
        <v>0.0159</v>
      </c>
    </row>
    <row r="175">
      <c r="A175" t="n">
        <v>23</v>
      </c>
      <c r="B175" t="n">
        <v>1960</v>
      </c>
      <c r="C175" t="n">
        <v>0.009900000000000001</v>
      </c>
    </row>
    <row r="176">
      <c r="A176" t="n">
        <v>23</v>
      </c>
      <c r="B176" t="n">
        <v>1961</v>
      </c>
      <c r="C176" t="n">
        <v>0.0021</v>
      </c>
    </row>
    <row r="177">
      <c r="A177" t="n">
        <v>23</v>
      </c>
      <c r="B177" t="n">
        <v>1962</v>
      </c>
      <c r="C177" t="n">
        <v>-0.0069</v>
      </c>
    </row>
    <row r="178">
      <c r="A178" t="n">
        <v>23</v>
      </c>
      <c r="B178" t="n">
        <v>1963</v>
      </c>
      <c r="C178" t="n">
        <v>-0.0159</v>
      </c>
    </row>
    <row r="179">
      <c r="A179" t="n">
        <v>23</v>
      </c>
      <c r="B179" t="n">
        <v>1964</v>
      </c>
      <c r="C179" t="n">
        <v>-0.0239</v>
      </c>
    </row>
    <row r="180">
      <c r="A180" t="n">
        <v>23</v>
      </c>
      <c r="B180" t="n">
        <v>1965</v>
      </c>
      <c r="C180" t="n">
        <v>-0.03</v>
      </c>
    </row>
    <row r="181">
      <c r="A181" t="n">
        <v>23</v>
      </c>
      <c r="B181" t="n">
        <v>1966</v>
      </c>
      <c r="C181" t="n">
        <v>-0.0332</v>
      </c>
    </row>
    <row r="182">
      <c r="A182" t="n">
        <v>23</v>
      </c>
      <c r="B182" t="n">
        <v>1967</v>
      </c>
      <c r="C182" t="n">
        <v>-0.0328</v>
      </c>
    </row>
    <row r="183">
      <c r="A183" t="n">
        <v>23</v>
      </c>
      <c r="B183" t="n">
        <v>1968</v>
      </c>
      <c r="C183" t="n">
        <v>-0.0287</v>
      </c>
    </row>
    <row r="184">
      <c r="A184" t="n">
        <v>23</v>
      </c>
      <c r="B184" t="n">
        <v>1969</v>
      </c>
      <c r="C184" t="n">
        <v>-0.0215</v>
      </c>
    </row>
    <row r="185">
      <c r="A185" t="n">
        <v>23</v>
      </c>
      <c r="B185" t="n">
        <v>1970</v>
      </c>
      <c r="C185" t="n">
        <v>-0.0126</v>
      </c>
    </row>
    <row r="186">
      <c r="A186" t="n">
        <v>23</v>
      </c>
      <c r="B186" t="n">
        <v>1971</v>
      </c>
      <c r="C186" t="n">
        <v>-0.0038</v>
      </c>
    </row>
    <row r="187">
      <c r="A187" t="n">
        <v>23</v>
      </c>
      <c r="B187" t="n">
        <v>1972</v>
      </c>
      <c r="C187" t="n">
        <v>0.0039</v>
      </c>
    </row>
    <row r="188">
      <c r="A188" t="n">
        <v>23</v>
      </c>
      <c r="B188" t="n">
        <v>1973</v>
      </c>
      <c r="C188" t="n">
        <v>0.009599999999999999</v>
      </c>
    </row>
    <row r="189">
      <c r="A189" t="n">
        <v>23</v>
      </c>
      <c r="B189" t="n">
        <v>1974</v>
      </c>
      <c r="C189" t="n">
        <v>0.0131</v>
      </c>
    </row>
    <row r="190">
      <c r="A190" t="n">
        <v>23</v>
      </c>
      <c r="B190" t="n">
        <v>1975</v>
      </c>
      <c r="C190" t="n">
        <v>0.0146</v>
      </c>
    </row>
    <row r="191">
      <c r="A191" t="n">
        <v>23</v>
      </c>
      <c r="B191" t="n">
        <v>1976</v>
      </c>
      <c r="C191" t="n">
        <v>0.0149</v>
      </c>
    </row>
    <row r="192">
      <c r="A192" t="n">
        <v>23</v>
      </c>
      <c r="B192" t="n">
        <v>1977</v>
      </c>
      <c r="C192" t="n">
        <v>0.0152</v>
      </c>
    </row>
    <row r="193">
      <c r="A193" t="n">
        <v>23</v>
      </c>
      <c r="B193" t="n">
        <v>1978</v>
      </c>
      <c r="C193" t="n">
        <v>0.0168</v>
      </c>
    </row>
    <row r="194">
      <c r="A194" t="n">
        <v>23</v>
      </c>
      <c r="B194" t="n">
        <v>1979</v>
      </c>
      <c r="C194" t="n">
        <v>0.0202</v>
      </c>
    </row>
    <row r="195">
      <c r="A195" t="n">
        <v>23</v>
      </c>
      <c r="B195" t="n">
        <v>1980</v>
      </c>
      <c r="C195" t="n">
        <v>0.0247</v>
      </c>
    </row>
    <row r="196">
      <c r="A196" t="n">
        <v>23</v>
      </c>
      <c r="B196" t="n">
        <v>1981</v>
      </c>
      <c r="C196" t="n">
        <v>0.0285</v>
      </c>
    </row>
    <row r="197">
      <c r="A197" t="n">
        <v>23</v>
      </c>
      <c r="B197" t="n">
        <v>1982</v>
      </c>
      <c r="C197" t="n">
        <v>0.0294</v>
      </c>
    </row>
    <row r="198">
      <c r="A198" t="n">
        <v>23</v>
      </c>
      <c r="B198" t="n">
        <v>1983</v>
      </c>
      <c r="C198" t="n">
        <v>0.0263</v>
      </c>
    </row>
    <row r="199">
      <c r="A199" t="n">
        <v>23</v>
      </c>
      <c r="B199" t="n">
        <v>1984</v>
      </c>
      <c r="C199" t="n">
        <v>0.0197</v>
      </c>
    </row>
    <row r="200">
      <c r="A200" t="n">
        <v>23</v>
      </c>
      <c r="B200" t="n">
        <v>1985</v>
      </c>
      <c r="C200" t="n">
        <v>0.0116</v>
      </c>
    </row>
    <row r="201">
      <c r="A201" t="n">
        <v>23</v>
      </c>
      <c r="B201" t="n">
        <v>1986</v>
      </c>
      <c r="C201" t="n">
        <v>0.0042</v>
      </c>
    </row>
    <row r="202">
      <c r="A202" t="n">
        <v>23</v>
      </c>
      <c r="B202" t="n">
        <v>1987</v>
      </c>
      <c r="C202" t="n">
        <v>-0.0008</v>
      </c>
    </row>
    <row r="203">
      <c r="A203" t="n">
        <v>23</v>
      </c>
      <c r="B203" t="n">
        <v>1988</v>
      </c>
      <c r="C203" t="n">
        <v>-0.0029</v>
      </c>
    </row>
    <row r="204">
      <c r="A204" t="n">
        <v>23</v>
      </c>
      <c r="B204" t="n">
        <v>1989</v>
      </c>
      <c r="C204" t="n">
        <v>-0.002</v>
      </c>
    </row>
    <row r="205">
      <c r="A205" t="n">
        <v>23</v>
      </c>
      <c r="B205" t="n">
        <v>1990</v>
      </c>
      <c r="C205" t="n">
        <v>0.0014</v>
      </c>
    </row>
    <row r="206">
      <c r="A206" t="n">
        <v>23</v>
      </c>
      <c r="B206" t="n">
        <v>1991</v>
      </c>
      <c r="C206" t="n">
        <v>0.0068</v>
      </c>
    </row>
    <row r="207">
      <c r="A207" t="n">
        <v>23</v>
      </c>
      <c r="B207" t="n">
        <v>1992</v>
      </c>
      <c r="C207" t="n">
        <v>0.0134</v>
      </c>
    </row>
    <row r="208">
      <c r="A208" t="n">
        <v>23</v>
      </c>
      <c r="B208" t="n">
        <v>1993</v>
      </c>
      <c r="C208" t="n">
        <v>0.0203</v>
      </c>
    </row>
    <row r="209">
      <c r="A209" t="n">
        <v>23</v>
      </c>
      <c r="B209" t="n">
        <v>1994</v>
      </c>
      <c r="C209" t="n">
        <v>0.0265</v>
      </c>
    </row>
    <row r="210">
      <c r="A210" t="n">
        <v>23</v>
      </c>
      <c r="B210" t="n">
        <v>1995</v>
      </c>
      <c r="C210" t="n">
        <v>0.0308</v>
      </c>
    </row>
    <row r="211">
      <c r="A211" t="n">
        <v>23</v>
      </c>
      <c r="B211" t="n">
        <v>1996</v>
      </c>
      <c r="C211" t="n">
        <v>0.032</v>
      </c>
    </row>
    <row r="212">
      <c r="A212" t="n">
        <v>23</v>
      </c>
      <c r="B212" t="n">
        <v>1997</v>
      </c>
      <c r="C212" t="n">
        <v>0.0292</v>
      </c>
    </row>
    <row r="213">
      <c r="A213" t="n">
        <v>23</v>
      </c>
      <c r="B213" t="n">
        <v>1998</v>
      </c>
      <c r="C213" t="n">
        <v>0.0225</v>
      </c>
    </row>
    <row r="214">
      <c r="A214" t="n">
        <v>23</v>
      </c>
      <c r="B214" t="n">
        <v>1999</v>
      </c>
      <c r="C214" t="n">
        <v>0.013</v>
      </c>
    </row>
    <row r="215">
      <c r="A215" t="n">
        <v>23</v>
      </c>
      <c r="B215" t="n">
        <v>2000</v>
      </c>
      <c r="C215" t="n">
        <v>0.0025</v>
      </c>
    </row>
    <row r="216">
      <c r="A216" t="n">
        <v>23</v>
      </c>
      <c r="B216" t="n">
        <v>2001</v>
      </c>
      <c r="C216" t="n">
        <v>-0.0066</v>
      </c>
    </row>
    <row r="217">
      <c r="A217" t="n">
        <v>23</v>
      </c>
      <c r="B217" t="n">
        <v>2002</v>
      </c>
      <c r="C217" t="n">
        <v>-0.0126</v>
      </c>
    </row>
    <row r="218">
      <c r="A218" t="n">
        <v>23</v>
      </c>
      <c r="B218" t="n">
        <v>2003</v>
      </c>
      <c r="C218" t="n">
        <v>-0.0147</v>
      </c>
    </row>
    <row r="219">
      <c r="A219" t="n">
        <v>23</v>
      </c>
      <c r="B219" t="n">
        <v>2004</v>
      </c>
      <c r="C219" t="n">
        <v>-0.0127</v>
      </c>
    </row>
    <row r="220">
      <c r="A220" t="n">
        <v>23</v>
      </c>
      <c r="B220" t="n">
        <v>2005</v>
      </c>
      <c r="C220" t="n">
        <v>-0.0071</v>
      </c>
    </row>
    <row r="221">
      <c r="A221" t="n">
        <v>23</v>
      </c>
      <c r="B221" t="n">
        <v>2006</v>
      </c>
      <c r="C221" t="n">
        <v>0.0011</v>
      </c>
    </row>
    <row r="222">
      <c r="A222" t="n">
        <v>23</v>
      </c>
      <c r="B222" t="n">
        <v>2007</v>
      </c>
      <c r="C222" t="n">
        <v>0.0104</v>
      </c>
    </row>
    <row r="223">
      <c r="A223" t="n">
        <v>23</v>
      </c>
      <c r="B223" t="n">
        <v>2008</v>
      </c>
      <c r="C223" t="n">
        <v>0.0185</v>
      </c>
    </row>
    <row r="224">
      <c r="A224" t="n">
        <v>23</v>
      </c>
      <c r="B224" t="n">
        <v>2009</v>
      </c>
      <c r="C224" t="n">
        <v>0.0237</v>
      </c>
    </row>
    <row r="225">
      <c r="A225" t="n">
        <v>23</v>
      </c>
      <c r="B225" t="n">
        <v>2010</v>
      </c>
      <c r="C225" t="n">
        <v>0.0253</v>
      </c>
    </row>
    <row r="226">
      <c r="A226" t="n">
        <v>23</v>
      </c>
      <c r="B226" t="n">
        <v>2011</v>
      </c>
      <c r="C226" t="n">
        <v>0.024</v>
      </c>
    </row>
    <row r="227">
      <c r="A227" t="n">
        <v>23</v>
      </c>
      <c r="B227" t="n">
        <v>2012</v>
      </c>
      <c r="C227" t="n">
        <v>0.0208</v>
      </c>
    </row>
    <row r="228">
      <c r="A228" t="n">
        <v>23</v>
      </c>
      <c r="B228" t="n">
        <v>2013</v>
      </c>
      <c r="C228" t="n">
        <v>0.0226</v>
      </c>
    </row>
    <row r="229">
      <c r="A229" t="n">
        <v>23</v>
      </c>
      <c r="B229" t="n">
        <v>2014</v>
      </c>
      <c r="C229" t="n">
        <v>0.0238</v>
      </c>
    </row>
    <row r="230">
      <c r="A230" t="n">
        <v>23</v>
      </c>
      <c r="B230" t="n">
        <v>2015</v>
      </c>
      <c r="C230" t="n">
        <v>0.0245</v>
      </c>
    </row>
    <row r="231">
      <c r="A231" t="n">
        <v>23</v>
      </c>
      <c r="B231" t="n">
        <v>2016</v>
      </c>
      <c r="C231" t="n">
        <v>0.0233</v>
      </c>
    </row>
    <row r="232">
      <c r="A232" t="n">
        <v>23</v>
      </c>
      <c r="B232" t="n">
        <v>2017</v>
      </c>
      <c r="C232" t="n">
        <v>0.0219</v>
      </c>
    </row>
    <row r="233">
      <c r="A233" t="n">
        <v>23</v>
      </c>
      <c r="B233" t="n">
        <v>2018</v>
      </c>
      <c r="C233" t="n">
        <v>0.0205</v>
      </c>
    </row>
    <row r="234">
      <c r="A234" t="n">
        <v>23</v>
      </c>
      <c r="B234" t="n">
        <v>2019</v>
      </c>
      <c r="C234" t="n">
        <v>0.019</v>
      </c>
    </row>
    <row r="235">
      <c r="A235" t="n">
        <v>23</v>
      </c>
      <c r="B235" t="n">
        <v>2020</v>
      </c>
      <c r="C235" t="n">
        <v>0.0176</v>
      </c>
    </row>
    <row r="236">
      <c r="A236" t="n">
        <v>23</v>
      </c>
      <c r="B236" t="n">
        <v>2021</v>
      </c>
      <c r="C236" t="n">
        <v>0.0164</v>
      </c>
    </row>
    <row r="237">
      <c r="A237" t="n">
        <v>23</v>
      </c>
      <c r="B237" t="n">
        <v>2022</v>
      </c>
      <c r="C237" t="n">
        <v>0.0155</v>
      </c>
    </row>
    <row r="238">
      <c r="A238" t="n">
        <v>23</v>
      </c>
      <c r="B238" t="n">
        <v>2023</v>
      </c>
      <c r="C238" t="n">
        <v>0.0146</v>
      </c>
    </row>
    <row r="239">
      <c r="A239" t="n">
        <v>23</v>
      </c>
      <c r="B239" t="n">
        <v>2024</v>
      </c>
      <c r="C239" t="n">
        <v>0.0138</v>
      </c>
    </row>
    <row r="240">
      <c r="A240" t="n">
        <v>23</v>
      </c>
      <c r="B240" t="n">
        <v>2025</v>
      </c>
      <c r="C240" t="n">
        <v>0.0131</v>
      </c>
    </row>
    <row r="241">
      <c r="A241" t="n">
        <v>23</v>
      </c>
      <c r="B241" t="n">
        <v>2026</v>
      </c>
      <c r="C241" t="n">
        <v>0.0124</v>
      </c>
    </row>
    <row r="242">
      <c r="A242" t="n">
        <v>23</v>
      </c>
      <c r="B242" t="n">
        <v>2027</v>
      </c>
      <c r="C242" t="n">
        <v>0.0117</v>
      </c>
    </row>
    <row r="243">
      <c r="A243" t="n">
        <v>23</v>
      </c>
      <c r="B243" t="n">
        <v>2028</v>
      </c>
      <c r="C243" t="n">
        <v>0.0111</v>
      </c>
    </row>
    <row r="244">
      <c r="A244" t="n">
        <v>23</v>
      </c>
      <c r="B244" t="n">
        <v>2029</v>
      </c>
      <c r="C244" t="n">
        <v>0.0107</v>
      </c>
    </row>
    <row r="245">
      <c r="A245" t="n">
        <v>23</v>
      </c>
      <c r="B245" t="n">
        <v>2030</v>
      </c>
      <c r="C245" t="n">
        <v>0.0103</v>
      </c>
    </row>
    <row r="246">
      <c r="A246" t="n">
        <v>23</v>
      </c>
      <c r="B246" t="n">
        <v>2031</v>
      </c>
      <c r="C246" t="n">
        <v>0.0101</v>
      </c>
    </row>
    <row r="247">
      <c r="A247" t="n">
        <v>24</v>
      </c>
      <c r="B247" t="n">
        <v>1951</v>
      </c>
      <c r="C247" t="n">
        <v>-0.0031</v>
      </c>
    </row>
    <row r="248">
      <c r="A248" t="n">
        <v>24</v>
      </c>
      <c r="B248" t="n">
        <v>1952</v>
      </c>
      <c r="C248" t="n">
        <v>0.0031</v>
      </c>
    </row>
    <row r="249">
      <c r="A249" t="n">
        <v>24</v>
      </c>
      <c r="B249" t="n">
        <v>1953</v>
      </c>
      <c r="C249" t="n">
        <v>0.008999999999999999</v>
      </c>
    </row>
    <row r="250">
      <c r="A250" t="n">
        <v>24</v>
      </c>
      <c r="B250" t="n">
        <v>1954</v>
      </c>
      <c r="C250" t="n">
        <v>0.014</v>
      </c>
    </row>
    <row r="251">
      <c r="A251" t="n">
        <v>24</v>
      </c>
      <c r="B251" t="n">
        <v>1955</v>
      </c>
      <c r="C251" t="n">
        <v>0.0177</v>
      </c>
    </row>
    <row r="252">
      <c r="A252" t="n">
        <v>24</v>
      </c>
      <c r="B252" t="n">
        <v>1956</v>
      </c>
      <c r="C252" t="n">
        <v>0.0199</v>
      </c>
    </row>
    <row r="253">
      <c r="A253" t="n">
        <v>24</v>
      </c>
      <c r="B253" t="n">
        <v>1957</v>
      </c>
      <c r="C253" t="n">
        <v>0.0202</v>
      </c>
    </row>
    <row r="254">
      <c r="A254" t="n">
        <v>24</v>
      </c>
      <c r="B254" t="n">
        <v>1958</v>
      </c>
      <c r="C254" t="n">
        <v>0.0183</v>
      </c>
    </row>
    <row r="255">
      <c r="A255" t="n">
        <v>24</v>
      </c>
      <c r="B255" t="n">
        <v>1959</v>
      </c>
      <c r="C255" t="n">
        <v>0.0144</v>
      </c>
    </row>
    <row r="256">
      <c r="A256" t="n">
        <v>24</v>
      </c>
      <c r="B256" t="n">
        <v>1960</v>
      </c>
      <c r="C256" t="n">
        <v>0.008399999999999999</v>
      </c>
    </row>
    <row r="257">
      <c r="A257" t="n">
        <v>24</v>
      </c>
      <c r="B257" t="n">
        <v>1961</v>
      </c>
      <c r="C257" t="n">
        <v>0.0009</v>
      </c>
    </row>
    <row r="258">
      <c r="A258" t="n">
        <v>24</v>
      </c>
      <c r="B258" t="n">
        <v>1962</v>
      </c>
      <c r="C258" t="n">
        <v>-0.0075</v>
      </c>
    </row>
    <row r="259">
      <c r="A259" t="n">
        <v>24</v>
      </c>
      <c r="B259" t="n">
        <v>1963</v>
      </c>
      <c r="C259" t="n">
        <v>-0.0159</v>
      </c>
    </row>
    <row r="260">
      <c r="A260" t="n">
        <v>24</v>
      </c>
      <c r="B260" t="n">
        <v>1964</v>
      </c>
      <c r="C260" t="n">
        <v>-0.0232</v>
      </c>
    </row>
    <row r="261">
      <c r="A261" t="n">
        <v>24</v>
      </c>
      <c r="B261" t="n">
        <v>1965</v>
      </c>
      <c r="C261" t="n">
        <v>-0.0286</v>
      </c>
    </row>
    <row r="262">
      <c r="A262" t="n">
        <v>24</v>
      </c>
      <c r="B262" t="n">
        <v>1966</v>
      </c>
      <c r="C262" t="n">
        <v>-0.0312</v>
      </c>
    </row>
    <row r="263">
      <c r="A263" t="n">
        <v>24</v>
      </c>
      <c r="B263" t="n">
        <v>1967</v>
      </c>
      <c r="C263" t="n">
        <v>-0.0305</v>
      </c>
    </row>
    <row r="264">
      <c r="A264" t="n">
        <v>24</v>
      </c>
      <c r="B264" t="n">
        <v>1968</v>
      </c>
      <c r="C264" t="n">
        <v>-0.0264</v>
      </c>
    </row>
    <row r="265">
      <c r="A265" t="n">
        <v>24</v>
      </c>
      <c r="B265" t="n">
        <v>1969</v>
      </c>
      <c r="C265" t="n">
        <v>-0.0196</v>
      </c>
    </row>
    <row r="266">
      <c r="A266" t="n">
        <v>24</v>
      </c>
      <c r="B266" t="n">
        <v>1970</v>
      </c>
      <c r="C266" t="n">
        <v>-0.0112</v>
      </c>
    </row>
    <row r="267">
      <c r="A267" t="n">
        <v>24</v>
      </c>
      <c r="B267" t="n">
        <v>1971</v>
      </c>
      <c r="C267" t="n">
        <v>-0.0029</v>
      </c>
    </row>
    <row r="268">
      <c r="A268" t="n">
        <v>24</v>
      </c>
      <c r="B268" t="n">
        <v>1972</v>
      </c>
      <c r="C268" t="n">
        <v>0.0042</v>
      </c>
    </row>
    <row r="269">
      <c r="A269" t="n">
        <v>24</v>
      </c>
      <c r="B269" t="n">
        <v>1973</v>
      </c>
      <c r="C269" t="n">
        <v>0.0095</v>
      </c>
    </row>
    <row r="270">
      <c r="A270" t="n">
        <v>24</v>
      </c>
      <c r="B270" t="n">
        <v>1974</v>
      </c>
      <c r="C270" t="n">
        <v>0.0126</v>
      </c>
    </row>
    <row r="271">
      <c r="A271" t="n">
        <v>24</v>
      </c>
      <c r="B271" t="n">
        <v>1975</v>
      </c>
      <c r="C271" t="n">
        <v>0.0138</v>
      </c>
    </row>
    <row r="272">
      <c r="A272" t="n">
        <v>24</v>
      </c>
      <c r="B272" t="n">
        <v>1976</v>
      </c>
      <c r="C272" t="n">
        <v>0.0139</v>
      </c>
    </row>
    <row r="273">
      <c r="A273" t="n">
        <v>24</v>
      </c>
      <c r="B273" t="n">
        <v>1977</v>
      </c>
      <c r="C273" t="n">
        <v>0.0139</v>
      </c>
    </row>
    <row r="274">
      <c r="A274" t="n">
        <v>24</v>
      </c>
      <c r="B274" t="n">
        <v>1978</v>
      </c>
      <c r="C274" t="n">
        <v>0.0151</v>
      </c>
    </row>
    <row r="275">
      <c r="A275" t="n">
        <v>24</v>
      </c>
      <c r="B275" t="n">
        <v>1979</v>
      </c>
      <c r="C275" t="n">
        <v>0.0181</v>
      </c>
    </row>
    <row r="276">
      <c r="A276" t="n">
        <v>24</v>
      </c>
      <c r="B276" t="n">
        <v>1980</v>
      </c>
      <c r="C276" t="n">
        <v>0.0222</v>
      </c>
    </row>
    <row r="277">
      <c r="A277" t="n">
        <v>24</v>
      </c>
      <c r="B277" t="n">
        <v>1981</v>
      </c>
      <c r="C277" t="n">
        <v>0.0259</v>
      </c>
    </row>
    <row r="278">
      <c r="A278" t="n">
        <v>24</v>
      </c>
      <c r="B278" t="n">
        <v>1982</v>
      </c>
      <c r="C278" t="n">
        <v>0.0268</v>
      </c>
    </row>
    <row r="279">
      <c r="A279" t="n">
        <v>24</v>
      </c>
      <c r="B279" t="n">
        <v>1983</v>
      </c>
      <c r="C279" t="n">
        <v>0.0238</v>
      </c>
    </row>
    <row r="280">
      <c r="A280" t="n">
        <v>24</v>
      </c>
      <c r="B280" t="n">
        <v>1984</v>
      </c>
      <c r="C280" t="n">
        <v>0.0173</v>
      </c>
    </row>
    <row r="281">
      <c r="A281" t="n">
        <v>24</v>
      </c>
      <c r="B281" t="n">
        <v>1985</v>
      </c>
      <c r="C281" t="n">
        <v>0.0094</v>
      </c>
    </row>
    <row r="282">
      <c r="A282" t="n">
        <v>24</v>
      </c>
      <c r="B282" t="n">
        <v>1986</v>
      </c>
      <c r="C282" t="n">
        <v>0.0021</v>
      </c>
    </row>
    <row r="283">
      <c r="A283" t="n">
        <v>24</v>
      </c>
      <c r="B283" t="n">
        <v>1987</v>
      </c>
      <c r="C283" t="n">
        <v>-0.0027</v>
      </c>
    </row>
    <row r="284">
      <c r="A284" t="n">
        <v>24</v>
      </c>
      <c r="B284" t="n">
        <v>1988</v>
      </c>
      <c r="C284" t="n">
        <v>-0.0045</v>
      </c>
    </row>
    <row r="285">
      <c r="A285" t="n">
        <v>24</v>
      </c>
      <c r="B285" t="n">
        <v>1989</v>
      </c>
      <c r="C285" t="n">
        <v>-0.003</v>
      </c>
    </row>
    <row r="286">
      <c r="A286" t="n">
        <v>24</v>
      </c>
      <c r="B286" t="n">
        <v>1990</v>
      </c>
      <c r="C286" t="n">
        <v>0.0012</v>
      </c>
    </row>
    <row r="287">
      <c r="A287" t="n">
        <v>24</v>
      </c>
      <c r="B287" t="n">
        <v>1991</v>
      </c>
      <c r="C287" t="n">
        <v>0.0076</v>
      </c>
    </row>
    <row r="288">
      <c r="A288" t="n">
        <v>24</v>
      </c>
      <c r="B288" t="n">
        <v>1992</v>
      </c>
      <c r="C288" t="n">
        <v>0.0151</v>
      </c>
    </row>
    <row r="289">
      <c r="A289" t="n">
        <v>24</v>
      </c>
      <c r="B289" t="n">
        <v>1993</v>
      </c>
      <c r="C289" t="n">
        <v>0.0228</v>
      </c>
    </row>
    <row r="290">
      <c r="A290" t="n">
        <v>24</v>
      </c>
      <c r="B290" t="n">
        <v>1994</v>
      </c>
      <c r="C290" t="n">
        <v>0.0296</v>
      </c>
    </row>
    <row r="291">
      <c r="A291" t="n">
        <v>24</v>
      </c>
      <c r="B291" t="n">
        <v>1995</v>
      </c>
      <c r="C291" t="n">
        <v>0.0343</v>
      </c>
    </row>
    <row r="292">
      <c r="A292" t="n">
        <v>24</v>
      </c>
      <c r="B292" t="n">
        <v>1996</v>
      </c>
      <c r="C292" t="n">
        <v>0.0354</v>
      </c>
    </row>
    <row r="293">
      <c r="A293" t="n">
        <v>24</v>
      </c>
      <c r="B293" t="n">
        <v>1997</v>
      </c>
      <c r="C293" t="n">
        <v>0.0322</v>
      </c>
    </row>
    <row r="294">
      <c r="A294" t="n">
        <v>24</v>
      </c>
      <c r="B294" t="n">
        <v>1998</v>
      </c>
      <c r="C294" t="n">
        <v>0.0246</v>
      </c>
    </row>
    <row r="295">
      <c r="A295" t="n">
        <v>24</v>
      </c>
      <c r="B295" t="n">
        <v>1999</v>
      </c>
      <c r="C295" t="n">
        <v>0.014</v>
      </c>
    </row>
    <row r="296">
      <c r="A296" t="n">
        <v>24</v>
      </c>
      <c r="B296" t="n">
        <v>2000</v>
      </c>
      <c r="C296" t="n">
        <v>0.0025</v>
      </c>
    </row>
    <row r="297">
      <c r="A297" t="n">
        <v>24</v>
      </c>
      <c r="B297" t="n">
        <v>2001</v>
      </c>
      <c r="C297" t="n">
        <v>-0.0076</v>
      </c>
    </row>
    <row r="298">
      <c r="A298" t="n">
        <v>24</v>
      </c>
      <c r="B298" t="n">
        <v>2002</v>
      </c>
      <c r="C298" t="n">
        <v>-0.0144</v>
      </c>
    </row>
    <row r="299">
      <c r="A299" t="n">
        <v>24</v>
      </c>
      <c r="B299" t="n">
        <v>2003</v>
      </c>
      <c r="C299" t="n">
        <v>-0.0171</v>
      </c>
    </row>
    <row r="300">
      <c r="A300" t="n">
        <v>24</v>
      </c>
      <c r="B300" t="n">
        <v>2004</v>
      </c>
      <c r="C300" t="n">
        <v>-0.0155</v>
      </c>
    </row>
    <row r="301">
      <c r="A301" t="n">
        <v>24</v>
      </c>
      <c r="B301" t="n">
        <v>2005</v>
      </c>
      <c r="C301" t="n">
        <v>-0.0102</v>
      </c>
    </row>
    <row r="302">
      <c r="A302" t="n">
        <v>24</v>
      </c>
      <c r="B302" t="n">
        <v>2006</v>
      </c>
      <c r="C302" t="n">
        <v>-0.0022</v>
      </c>
    </row>
    <row r="303">
      <c r="A303" t="n">
        <v>24</v>
      </c>
      <c r="B303" t="n">
        <v>2007</v>
      </c>
      <c r="C303" t="n">
        <v>0.0069</v>
      </c>
    </row>
    <row r="304">
      <c r="A304" t="n">
        <v>24</v>
      </c>
      <c r="B304" t="n">
        <v>2008</v>
      </c>
      <c r="C304" t="n">
        <v>0.0148</v>
      </c>
    </row>
    <row r="305">
      <c r="A305" t="n">
        <v>24</v>
      </c>
      <c r="B305" t="n">
        <v>2009</v>
      </c>
      <c r="C305" t="n">
        <v>0.0198</v>
      </c>
    </row>
    <row r="306">
      <c r="A306" t="n">
        <v>24</v>
      </c>
      <c r="B306" t="n">
        <v>2010</v>
      </c>
      <c r="C306" t="n">
        <v>0.0213</v>
      </c>
    </row>
    <row r="307">
      <c r="A307" t="n">
        <v>24</v>
      </c>
      <c r="B307" t="n">
        <v>2011</v>
      </c>
      <c r="C307" t="n">
        <v>0.0199</v>
      </c>
    </row>
    <row r="308">
      <c r="A308" t="n">
        <v>24</v>
      </c>
      <c r="B308" t="n">
        <v>2012</v>
      </c>
      <c r="C308" t="n">
        <v>0.0167</v>
      </c>
    </row>
    <row r="309">
      <c r="A309" t="n">
        <v>24</v>
      </c>
      <c r="B309" t="n">
        <v>2013</v>
      </c>
      <c r="C309" t="n">
        <v>0.0186</v>
      </c>
    </row>
    <row r="310">
      <c r="A310" t="n">
        <v>24</v>
      </c>
      <c r="B310" t="n">
        <v>2014</v>
      </c>
      <c r="C310" t="n">
        <v>0.0202</v>
      </c>
    </row>
    <row r="311">
      <c r="A311" t="n">
        <v>24</v>
      </c>
      <c r="B311" t="n">
        <v>2015</v>
      </c>
      <c r="C311" t="n">
        <v>0.0213</v>
      </c>
    </row>
    <row r="312">
      <c r="A312" t="n">
        <v>24</v>
      </c>
      <c r="B312" t="n">
        <v>2016</v>
      </c>
      <c r="C312" t="n">
        <v>0.022</v>
      </c>
    </row>
    <row r="313">
      <c r="A313" t="n">
        <v>24</v>
      </c>
      <c r="B313" t="n">
        <v>2017</v>
      </c>
      <c r="C313" t="n">
        <v>0.0209</v>
      </c>
    </row>
    <row r="314">
      <c r="A314" t="n">
        <v>24</v>
      </c>
      <c r="B314" t="n">
        <v>2018</v>
      </c>
      <c r="C314" t="n">
        <v>0.0197</v>
      </c>
    </row>
    <row r="315">
      <c r="A315" t="n">
        <v>24</v>
      </c>
      <c r="B315" t="n">
        <v>2019</v>
      </c>
      <c r="C315" t="n">
        <v>0.0186</v>
      </c>
    </row>
    <row r="316">
      <c r="A316" t="n">
        <v>24</v>
      </c>
      <c r="B316" t="n">
        <v>2020</v>
      </c>
      <c r="C316" t="n">
        <v>0.0174</v>
      </c>
    </row>
    <row r="317">
      <c r="A317" t="n">
        <v>24</v>
      </c>
      <c r="B317" t="n">
        <v>2021</v>
      </c>
      <c r="C317" t="n">
        <v>0.0164</v>
      </c>
    </row>
    <row r="318">
      <c r="A318" t="n">
        <v>24</v>
      </c>
      <c r="B318" t="n">
        <v>2022</v>
      </c>
      <c r="C318" t="n">
        <v>0.0155</v>
      </c>
    </row>
    <row r="319">
      <c r="A319" t="n">
        <v>24</v>
      </c>
      <c r="B319" t="n">
        <v>2023</v>
      </c>
      <c r="C319" t="n">
        <v>0.0146</v>
      </c>
    </row>
    <row r="320">
      <c r="A320" t="n">
        <v>24</v>
      </c>
      <c r="B320" t="n">
        <v>2024</v>
      </c>
      <c r="C320" t="n">
        <v>0.0138</v>
      </c>
    </row>
    <row r="321">
      <c r="A321" t="n">
        <v>24</v>
      </c>
      <c r="B321" t="n">
        <v>2025</v>
      </c>
      <c r="C321" t="n">
        <v>0.0131</v>
      </c>
    </row>
    <row r="322">
      <c r="A322" t="n">
        <v>24</v>
      </c>
      <c r="B322" t="n">
        <v>2026</v>
      </c>
      <c r="C322" t="n">
        <v>0.0124</v>
      </c>
    </row>
    <row r="323">
      <c r="A323" t="n">
        <v>24</v>
      </c>
      <c r="B323" t="n">
        <v>2027</v>
      </c>
      <c r="C323" t="n">
        <v>0.0117</v>
      </c>
    </row>
    <row r="324">
      <c r="A324" t="n">
        <v>24</v>
      </c>
      <c r="B324" t="n">
        <v>2028</v>
      </c>
      <c r="C324" t="n">
        <v>0.0111</v>
      </c>
    </row>
    <row r="325">
      <c r="A325" t="n">
        <v>24</v>
      </c>
      <c r="B325" t="n">
        <v>2029</v>
      </c>
      <c r="C325" t="n">
        <v>0.0107</v>
      </c>
    </row>
    <row r="326">
      <c r="A326" t="n">
        <v>24</v>
      </c>
      <c r="B326" t="n">
        <v>2030</v>
      </c>
      <c r="C326" t="n">
        <v>0.0103</v>
      </c>
    </row>
    <row r="327">
      <c r="A327" t="n">
        <v>24</v>
      </c>
      <c r="B327" t="n">
        <v>2031</v>
      </c>
      <c r="C327" t="n">
        <v>0.0101</v>
      </c>
    </row>
    <row r="328">
      <c r="A328" t="n">
        <v>25</v>
      </c>
      <c r="B328" t="n">
        <v>1951</v>
      </c>
      <c r="C328" t="n">
        <v>0.0028</v>
      </c>
    </row>
    <row r="329">
      <c r="A329" t="n">
        <v>25</v>
      </c>
      <c r="B329" t="n">
        <v>1952</v>
      </c>
      <c r="C329" t="n">
        <v>0.0078</v>
      </c>
    </row>
    <row r="330">
      <c r="A330" t="n">
        <v>25</v>
      </c>
      <c r="B330" t="n">
        <v>1953</v>
      </c>
      <c r="C330" t="n">
        <v>0.0125</v>
      </c>
    </row>
    <row r="331">
      <c r="A331" t="n">
        <v>25</v>
      </c>
      <c r="B331" t="n">
        <v>1954</v>
      </c>
      <c r="C331" t="n">
        <v>0.0163</v>
      </c>
    </row>
    <row r="332">
      <c r="A332" t="n">
        <v>25</v>
      </c>
      <c r="B332" t="n">
        <v>1955</v>
      </c>
      <c r="C332" t="n">
        <v>0.0188</v>
      </c>
    </row>
    <row r="333">
      <c r="A333" t="n">
        <v>25</v>
      </c>
      <c r="B333" t="n">
        <v>1956</v>
      </c>
      <c r="C333" t="n">
        <v>0.0199</v>
      </c>
    </row>
    <row r="334">
      <c r="A334" t="n">
        <v>25</v>
      </c>
      <c r="B334" t="n">
        <v>1957</v>
      </c>
      <c r="C334" t="n">
        <v>0.0193</v>
      </c>
    </row>
    <row r="335">
      <c r="A335" t="n">
        <v>25</v>
      </c>
      <c r="B335" t="n">
        <v>1958</v>
      </c>
      <c r="C335" t="n">
        <v>0.0169</v>
      </c>
    </row>
    <row r="336">
      <c r="A336" t="n">
        <v>25</v>
      </c>
      <c r="B336" t="n">
        <v>1959</v>
      </c>
      <c r="C336" t="n">
        <v>0.0126</v>
      </c>
    </row>
    <row r="337">
      <c r="A337" t="n">
        <v>25</v>
      </c>
      <c r="B337" t="n">
        <v>1960</v>
      </c>
      <c r="C337" t="n">
        <v>0.0067</v>
      </c>
    </row>
    <row r="338">
      <c r="A338" t="n">
        <v>25</v>
      </c>
      <c r="B338" t="n">
        <v>1961</v>
      </c>
      <c r="C338" t="n">
        <v>-0.0004</v>
      </c>
    </row>
    <row r="339">
      <c r="A339" t="n">
        <v>25</v>
      </c>
      <c r="B339" t="n">
        <v>1962</v>
      </c>
      <c r="C339" t="n">
        <v>-0.008200000000000001</v>
      </c>
    </row>
    <row r="340">
      <c r="A340" t="n">
        <v>25</v>
      </c>
      <c r="B340" t="n">
        <v>1963</v>
      </c>
      <c r="C340" t="n">
        <v>-0.0159</v>
      </c>
    </row>
    <row r="341">
      <c r="A341" t="n">
        <v>25</v>
      </c>
      <c r="B341" t="n">
        <v>1964</v>
      </c>
      <c r="C341" t="n">
        <v>-0.0224</v>
      </c>
    </row>
    <row r="342">
      <c r="A342" t="n">
        <v>25</v>
      </c>
      <c r="B342" t="n">
        <v>1965</v>
      </c>
      <c r="C342" t="n">
        <v>-0.027</v>
      </c>
    </row>
    <row r="343">
      <c r="A343" t="n">
        <v>25</v>
      </c>
      <c r="B343" t="n">
        <v>1966</v>
      </c>
      <c r="C343" t="n">
        <v>-0.029</v>
      </c>
    </row>
    <row r="344">
      <c r="A344" t="n">
        <v>25</v>
      </c>
      <c r="B344" t="n">
        <v>1967</v>
      </c>
      <c r="C344" t="n">
        <v>-0.028</v>
      </c>
    </row>
    <row r="345">
      <c r="A345" t="n">
        <v>25</v>
      </c>
      <c r="B345" t="n">
        <v>1968</v>
      </c>
      <c r="C345" t="n">
        <v>-0.024</v>
      </c>
    </row>
    <row r="346">
      <c r="A346" t="n">
        <v>25</v>
      </c>
      <c r="B346" t="n">
        <v>1969</v>
      </c>
      <c r="C346" t="n">
        <v>-0.0175</v>
      </c>
    </row>
    <row r="347">
      <c r="A347" t="n">
        <v>25</v>
      </c>
      <c r="B347" t="n">
        <v>1970</v>
      </c>
      <c r="C347" t="n">
        <v>-0.0097</v>
      </c>
    </row>
    <row r="348">
      <c r="A348" t="n">
        <v>25</v>
      </c>
      <c r="B348" t="n">
        <v>1971</v>
      </c>
      <c r="C348" t="n">
        <v>-0.0019</v>
      </c>
    </row>
    <row r="349">
      <c r="A349" t="n">
        <v>25</v>
      </c>
      <c r="B349" t="n">
        <v>1972</v>
      </c>
      <c r="C349" t="n">
        <v>0.0048</v>
      </c>
    </row>
    <row r="350">
      <c r="A350" t="n">
        <v>25</v>
      </c>
      <c r="B350" t="n">
        <v>1973</v>
      </c>
      <c r="C350" t="n">
        <v>0.0097</v>
      </c>
    </row>
    <row r="351">
      <c r="A351" t="n">
        <v>25</v>
      </c>
      <c r="B351" t="n">
        <v>1974</v>
      </c>
      <c r="C351" t="n">
        <v>0.0126</v>
      </c>
    </row>
    <row r="352">
      <c r="A352" t="n">
        <v>25</v>
      </c>
      <c r="B352" t="n">
        <v>1975</v>
      </c>
      <c r="C352" t="n">
        <v>0.0135</v>
      </c>
    </row>
    <row r="353">
      <c r="A353" t="n">
        <v>25</v>
      </c>
      <c r="B353" t="n">
        <v>1976</v>
      </c>
      <c r="C353" t="n">
        <v>0.0133</v>
      </c>
    </row>
    <row r="354">
      <c r="A354" t="n">
        <v>25</v>
      </c>
      <c r="B354" t="n">
        <v>1977</v>
      </c>
      <c r="C354" t="n">
        <v>0.0129</v>
      </c>
    </row>
    <row r="355">
      <c r="A355" t="n">
        <v>25</v>
      </c>
      <c r="B355" t="n">
        <v>1978</v>
      </c>
      <c r="C355" t="n">
        <v>0.0137</v>
      </c>
    </row>
    <row r="356">
      <c r="A356" t="n">
        <v>25</v>
      </c>
      <c r="B356" t="n">
        <v>1979</v>
      </c>
      <c r="C356" t="n">
        <v>0.016</v>
      </c>
    </row>
    <row r="357">
      <c r="A357" t="n">
        <v>25</v>
      </c>
      <c r="B357" t="n">
        <v>1980</v>
      </c>
      <c r="C357" t="n">
        <v>0.0196</v>
      </c>
    </row>
    <row r="358">
      <c r="A358" t="n">
        <v>25</v>
      </c>
      <c r="B358" t="n">
        <v>1981</v>
      </c>
      <c r="C358" t="n">
        <v>0.0228</v>
      </c>
    </row>
    <row r="359">
      <c r="A359" t="n">
        <v>25</v>
      </c>
      <c r="B359" t="n">
        <v>1982</v>
      </c>
      <c r="C359" t="n">
        <v>0.0235</v>
      </c>
    </row>
    <row r="360">
      <c r="A360" t="n">
        <v>25</v>
      </c>
      <c r="B360" t="n">
        <v>1983</v>
      </c>
      <c r="C360" t="n">
        <v>0.0205</v>
      </c>
    </row>
    <row r="361">
      <c r="A361" t="n">
        <v>25</v>
      </c>
      <c r="B361" t="n">
        <v>1984</v>
      </c>
      <c r="C361" t="n">
        <v>0.0141</v>
      </c>
    </row>
    <row r="362">
      <c r="A362" t="n">
        <v>25</v>
      </c>
      <c r="B362" t="n">
        <v>1985</v>
      </c>
      <c r="C362" t="n">
        <v>0.0062</v>
      </c>
    </row>
    <row r="363">
      <c r="A363" t="n">
        <v>25</v>
      </c>
      <c r="B363" t="n">
        <v>1986</v>
      </c>
      <c r="C363" t="n">
        <v>-0.0009</v>
      </c>
    </row>
    <row r="364">
      <c r="A364" t="n">
        <v>25</v>
      </c>
      <c r="B364" t="n">
        <v>1987</v>
      </c>
      <c r="C364" t="n">
        <v>-0.0056</v>
      </c>
    </row>
    <row r="365">
      <c r="A365" t="n">
        <v>25</v>
      </c>
      <c r="B365" t="n">
        <v>1988</v>
      </c>
      <c r="C365" t="n">
        <v>-0.007</v>
      </c>
    </row>
    <row r="366">
      <c r="A366" t="n">
        <v>25</v>
      </c>
      <c r="B366" t="n">
        <v>1989</v>
      </c>
      <c r="C366" t="n">
        <v>-0.0049</v>
      </c>
    </row>
    <row r="367">
      <c r="A367" t="n">
        <v>25</v>
      </c>
      <c r="B367" t="n">
        <v>1990</v>
      </c>
      <c r="C367" t="n">
        <v>0.0003</v>
      </c>
    </row>
    <row r="368">
      <c r="A368" t="n">
        <v>25</v>
      </c>
      <c r="B368" t="n">
        <v>1991</v>
      </c>
      <c r="C368" t="n">
        <v>0.0077</v>
      </c>
    </row>
    <row r="369">
      <c r="A369" t="n">
        <v>25</v>
      </c>
      <c r="B369" t="n">
        <v>1992</v>
      </c>
      <c r="C369" t="n">
        <v>0.0164</v>
      </c>
    </row>
    <row r="370">
      <c r="A370" t="n">
        <v>25</v>
      </c>
      <c r="B370" t="n">
        <v>1993</v>
      </c>
      <c r="C370" t="n">
        <v>0.0251</v>
      </c>
    </row>
    <row r="371">
      <c r="A371" t="n">
        <v>25</v>
      </c>
      <c r="B371" t="n">
        <v>1994</v>
      </c>
      <c r="C371" t="n">
        <v>0.0329</v>
      </c>
    </row>
    <row r="372">
      <c r="A372" t="n">
        <v>25</v>
      </c>
      <c r="B372" t="n">
        <v>1995</v>
      </c>
      <c r="C372" t="n">
        <v>0.0383</v>
      </c>
    </row>
    <row r="373">
      <c r="A373" t="n">
        <v>25</v>
      </c>
      <c r="B373" t="n">
        <v>1996</v>
      </c>
      <c r="C373" t="n">
        <v>0.0398</v>
      </c>
    </row>
    <row r="374">
      <c r="A374" t="n">
        <v>25</v>
      </c>
      <c r="B374" t="n">
        <v>1997</v>
      </c>
      <c r="C374" t="n">
        <v>0.0364</v>
      </c>
    </row>
    <row r="375">
      <c r="A375" t="n">
        <v>25</v>
      </c>
      <c r="B375" t="n">
        <v>1998</v>
      </c>
      <c r="C375" t="n">
        <v>0.0282</v>
      </c>
    </row>
    <row r="376">
      <c r="A376" t="n">
        <v>25</v>
      </c>
      <c r="B376" t="n">
        <v>1999</v>
      </c>
      <c r="C376" t="n">
        <v>0.0165</v>
      </c>
    </row>
    <row r="377">
      <c r="A377" t="n">
        <v>25</v>
      </c>
      <c r="B377" t="n">
        <v>2000</v>
      </c>
      <c r="C377" t="n">
        <v>0.0038</v>
      </c>
    </row>
    <row r="378">
      <c r="A378" t="n">
        <v>25</v>
      </c>
      <c r="B378" t="n">
        <v>2001</v>
      </c>
      <c r="C378" t="n">
        <v>-0.0074</v>
      </c>
    </row>
    <row r="379">
      <c r="A379" t="n">
        <v>25</v>
      </c>
      <c r="B379" t="n">
        <v>2002</v>
      </c>
      <c r="C379" t="n">
        <v>-0.0151</v>
      </c>
    </row>
    <row r="380">
      <c r="A380" t="n">
        <v>25</v>
      </c>
      <c r="B380" t="n">
        <v>2003</v>
      </c>
      <c r="C380" t="n">
        <v>-0.0185</v>
      </c>
    </row>
    <row r="381">
      <c r="A381" t="n">
        <v>25</v>
      </c>
      <c r="B381" t="n">
        <v>2004</v>
      </c>
      <c r="C381" t="n">
        <v>-0.0176</v>
      </c>
    </row>
    <row r="382">
      <c r="A382" t="n">
        <v>25</v>
      </c>
      <c r="B382" t="n">
        <v>2005</v>
      </c>
      <c r="C382" t="n">
        <v>-0.0126</v>
      </c>
    </row>
    <row r="383">
      <c r="A383" t="n">
        <v>25</v>
      </c>
      <c r="B383" t="n">
        <v>2006</v>
      </c>
      <c r="C383" t="n">
        <v>-0.0049</v>
      </c>
    </row>
    <row r="384">
      <c r="A384" t="n">
        <v>25</v>
      </c>
      <c r="B384" t="n">
        <v>2007</v>
      </c>
      <c r="C384" t="n">
        <v>0.0038</v>
      </c>
    </row>
    <row r="385">
      <c r="A385" t="n">
        <v>25</v>
      </c>
      <c r="B385" t="n">
        <v>2008</v>
      </c>
      <c r="C385" t="n">
        <v>0.0113</v>
      </c>
    </row>
    <row r="386">
      <c r="A386" t="n">
        <v>25</v>
      </c>
      <c r="B386" t="n">
        <v>2009</v>
      </c>
      <c r="C386" t="n">
        <v>0.016</v>
      </c>
    </row>
    <row r="387">
      <c r="A387" t="n">
        <v>25</v>
      </c>
      <c r="B387" t="n">
        <v>2010</v>
      </c>
      <c r="C387" t="n">
        <v>0.0173</v>
      </c>
    </row>
    <row r="388">
      <c r="A388" t="n">
        <v>25</v>
      </c>
      <c r="B388" t="n">
        <v>2011</v>
      </c>
      <c r="C388" t="n">
        <v>0.0159</v>
      </c>
    </row>
    <row r="389">
      <c r="A389" t="n">
        <v>25</v>
      </c>
      <c r="B389" t="n">
        <v>2012</v>
      </c>
      <c r="C389" t="n">
        <v>0.0126</v>
      </c>
    </row>
    <row r="390">
      <c r="A390" t="n">
        <v>25</v>
      </c>
      <c r="B390" t="n">
        <v>2013</v>
      </c>
      <c r="C390" t="n">
        <v>0.0146</v>
      </c>
    </row>
    <row r="391">
      <c r="A391" t="n">
        <v>25</v>
      </c>
      <c r="B391" t="n">
        <v>2014</v>
      </c>
      <c r="C391" t="n">
        <v>0.0164</v>
      </c>
    </row>
    <row r="392">
      <c r="A392" t="n">
        <v>25</v>
      </c>
      <c r="B392" t="n">
        <v>2015</v>
      </c>
      <c r="C392" t="n">
        <v>0.0179</v>
      </c>
    </row>
    <row r="393">
      <c r="A393" t="n">
        <v>25</v>
      </c>
      <c r="B393" t="n">
        <v>2016</v>
      </c>
      <c r="C393" t="n">
        <v>0.0191</v>
      </c>
    </row>
    <row r="394">
      <c r="A394" t="n">
        <v>25</v>
      </c>
      <c r="B394" t="n">
        <v>2017</v>
      </c>
      <c r="C394" t="n">
        <v>0.0199</v>
      </c>
    </row>
    <row r="395">
      <c r="A395" t="n">
        <v>25</v>
      </c>
      <c r="B395" t="n">
        <v>2018</v>
      </c>
      <c r="C395" t="n">
        <v>0.019</v>
      </c>
    </row>
    <row r="396">
      <c r="A396" t="n">
        <v>25</v>
      </c>
      <c r="B396" t="n">
        <v>2019</v>
      </c>
      <c r="C396" t="n">
        <v>0.0181</v>
      </c>
    </row>
    <row r="397">
      <c r="A397" t="n">
        <v>25</v>
      </c>
      <c r="B397" t="n">
        <v>2020</v>
      </c>
      <c r="C397" t="n">
        <v>0.0172</v>
      </c>
    </row>
    <row r="398">
      <c r="A398" t="n">
        <v>25</v>
      </c>
      <c r="B398" t="n">
        <v>2021</v>
      </c>
      <c r="C398" t="n">
        <v>0.0163</v>
      </c>
    </row>
    <row r="399">
      <c r="A399" t="n">
        <v>25</v>
      </c>
      <c r="B399" t="n">
        <v>2022</v>
      </c>
      <c r="C399" t="n">
        <v>0.0155</v>
      </c>
    </row>
    <row r="400">
      <c r="A400" t="n">
        <v>25</v>
      </c>
      <c r="B400" t="n">
        <v>2023</v>
      </c>
      <c r="C400" t="n">
        <v>0.0146</v>
      </c>
    </row>
    <row r="401">
      <c r="A401" t="n">
        <v>25</v>
      </c>
      <c r="B401" t="n">
        <v>2024</v>
      </c>
      <c r="C401" t="n">
        <v>0.0138</v>
      </c>
    </row>
    <row r="402">
      <c r="A402" t="n">
        <v>25</v>
      </c>
      <c r="B402" t="n">
        <v>2025</v>
      </c>
      <c r="C402" t="n">
        <v>0.0131</v>
      </c>
    </row>
    <row r="403">
      <c r="A403" t="n">
        <v>25</v>
      </c>
      <c r="B403" t="n">
        <v>2026</v>
      </c>
      <c r="C403" t="n">
        <v>0.0124</v>
      </c>
    </row>
    <row r="404">
      <c r="A404" t="n">
        <v>25</v>
      </c>
      <c r="B404" t="n">
        <v>2027</v>
      </c>
      <c r="C404" t="n">
        <v>0.0117</v>
      </c>
    </row>
    <row r="405">
      <c r="A405" t="n">
        <v>25</v>
      </c>
      <c r="B405" t="n">
        <v>2028</v>
      </c>
      <c r="C405" t="n">
        <v>0.0111</v>
      </c>
    </row>
    <row r="406">
      <c r="A406" t="n">
        <v>25</v>
      </c>
      <c r="B406" t="n">
        <v>2029</v>
      </c>
      <c r="C406" t="n">
        <v>0.0107</v>
      </c>
    </row>
    <row r="407">
      <c r="A407" t="n">
        <v>25</v>
      </c>
      <c r="B407" t="n">
        <v>2030</v>
      </c>
      <c r="C407" t="n">
        <v>0.0103</v>
      </c>
    </row>
    <row r="408">
      <c r="A408" t="n">
        <v>25</v>
      </c>
      <c r="B408" t="n">
        <v>2031</v>
      </c>
      <c r="C408" t="n">
        <v>0.0101</v>
      </c>
    </row>
    <row r="409">
      <c r="A409" t="n">
        <v>26</v>
      </c>
      <c r="B409" t="n">
        <v>1951</v>
      </c>
      <c r="C409" t="n">
        <v>0.008999999999999999</v>
      </c>
    </row>
    <row r="410">
      <c r="A410" t="n">
        <v>26</v>
      </c>
      <c r="B410" t="n">
        <v>1952</v>
      </c>
      <c r="C410" t="n">
        <v>0.0127</v>
      </c>
    </row>
    <row r="411">
      <c r="A411" t="n">
        <v>26</v>
      </c>
      <c r="B411" t="n">
        <v>1953</v>
      </c>
      <c r="C411" t="n">
        <v>0.0161</v>
      </c>
    </row>
    <row r="412">
      <c r="A412" t="n">
        <v>26</v>
      </c>
      <c r="B412" t="n">
        <v>1954</v>
      </c>
      <c r="C412" t="n">
        <v>0.0186</v>
      </c>
    </row>
    <row r="413">
      <c r="A413" t="n">
        <v>26</v>
      </c>
      <c r="B413" t="n">
        <v>1955</v>
      </c>
      <c r="C413" t="n">
        <v>0.0199</v>
      </c>
    </row>
    <row r="414">
      <c r="A414" t="n">
        <v>26</v>
      </c>
      <c r="B414" t="n">
        <v>1956</v>
      </c>
      <c r="C414" t="n">
        <v>0.0198</v>
      </c>
    </row>
    <row r="415">
      <c r="A415" t="n">
        <v>26</v>
      </c>
      <c r="B415" t="n">
        <v>1957</v>
      </c>
      <c r="C415" t="n">
        <v>0.0183</v>
      </c>
    </row>
    <row r="416">
      <c r="A416" t="n">
        <v>26</v>
      </c>
      <c r="B416" t="n">
        <v>1958</v>
      </c>
      <c r="C416" t="n">
        <v>0.0153</v>
      </c>
    </row>
    <row r="417">
      <c r="A417" t="n">
        <v>26</v>
      </c>
      <c r="B417" t="n">
        <v>1959</v>
      </c>
      <c r="C417" t="n">
        <v>0.0107</v>
      </c>
    </row>
    <row r="418">
      <c r="A418" t="n">
        <v>26</v>
      </c>
      <c r="B418" t="n">
        <v>1960</v>
      </c>
      <c r="C418" t="n">
        <v>0.005</v>
      </c>
    </row>
    <row r="419">
      <c r="A419" t="n">
        <v>26</v>
      </c>
      <c r="B419" t="n">
        <v>1961</v>
      </c>
      <c r="C419" t="n">
        <v>-0.0017</v>
      </c>
    </row>
    <row r="420">
      <c r="A420" t="n">
        <v>26</v>
      </c>
      <c r="B420" t="n">
        <v>1962</v>
      </c>
      <c r="C420" t="n">
        <v>-0.008999999999999999</v>
      </c>
    </row>
    <row r="421">
      <c r="A421" t="n">
        <v>26</v>
      </c>
      <c r="B421" t="n">
        <v>1963</v>
      </c>
      <c r="C421" t="n">
        <v>-0.0159</v>
      </c>
    </row>
    <row r="422">
      <c r="A422" t="n">
        <v>26</v>
      </c>
      <c r="B422" t="n">
        <v>1964</v>
      </c>
      <c r="C422" t="n">
        <v>-0.0216</v>
      </c>
    </row>
    <row r="423">
      <c r="A423" t="n">
        <v>26</v>
      </c>
      <c r="B423" t="n">
        <v>1965</v>
      </c>
      <c r="C423" t="n">
        <v>-0.0255</v>
      </c>
    </row>
    <row r="424">
      <c r="A424" t="n">
        <v>26</v>
      </c>
      <c r="B424" t="n">
        <v>1966</v>
      </c>
      <c r="C424" t="n">
        <v>-0.0269</v>
      </c>
    </row>
    <row r="425">
      <c r="A425" t="n">
        <v>26</v>
      </c>
      <c r="B425" t="n">
        <v>1967</v>
      </c>
      <c r="C425" t="n">
        <v>-0.0256</v>
      </c>
    </row>
    <row r="426">
      <c r="A426" t="n">
        <v>26</v>
      </c>
      <c r="B426" t="n">
        <v>1968</v>
      </c>
      <c r="C426" t="n">
        <v>-0.0216</v>
      </c>
    </row>
    <row r="427">
      <c r="A427" t="n">
        <v>26</v>
      </c>
      <c r="B427" t="n">
        <v>1969</v>
      </c>
      <c r="C427" t="n">
        <v>-0.0154</v>
      </c>
    </row>
    <row r="428">
      <c r="A428" t="n">
        <v>26</v>
      </c>
      <c r="B428" t="n">
        <v>1970</v>
      </c>
      <c r="C428" t="n">
        <v>-0.008</v>
      </c>
    </row>
    <row r="429">
      <c r="A429" t="n">
        <v>26</v>
      </c>
      <c r="B429" t="n">
        <v>1971</v>
      </c>
      <c r="C429" t="n">
        <v>-0.0007</v>
      </c>
    </row>
    <row r="430">
      <c r="A430" t="n">
        <v>26</v>
      </c>
      <c r="B430" t="n">
        <v>1972</v>
      </c>
      <c r="C430" t="n">
        <v>0.0056</v>
      </c>
    </row>
    <row r="431">
      <c r="A431" t="n">
        <v>26</v>
      </c>
      <c r="B431" t="n">
        <v>1973</v>
      </c>
      <c r="C431" t="n">
        <v>0.0103</v>
      </c>
    </row>
    <row r="432">
      <c r="A432" t="n">
        <v>26</v>
      </c>
      <c r="B432" t="n">
        <v>1974</v>
      </c>
      <c r="C432" t="n">
        <v>0.013</v>
      </c>
    </row>
    <row r="433">
      <c r="A433" t="n">
        <v>26</v>
      </c>
      <c r="B433" t="n">
        <v>1975</v>
      </c>
      <c r="C433" t="n">
        <v>0.0138</v>
      </c>
    </row>
    <row r="434">
      <c r="A434" t="n">
        <v>26</v>
      </c>
      <c r="B434" t="n">
        <v>1976</v>
      </c>
      <c r="C434" t="n">
        <v>0.0134</v>
      </c>
    </row>
    <row r="435">
      <c r="A435" t="n">
        <v>26</v>
      </c>
      <c r="B435" t="n">
        <v>1977</v>
      </c>
      <c r="C435" t="n">
        <v>0.0126</v>
      </c>
    </row>
    <row r="436">
      <c r="A436" t="n">
        <v>26</v>
      </c>
      <c r="B436" t="n">
        <v>1978</v>
      </c>
      <c r="C436" t="n">
        <v>0.0127</v>
      </c>
    </row>
    <row r="437">
      <c r="A437" t="n">
        <v>26</v>
      </c>
      <c r="B437" t="n">
        <v>1979</v>
      </c>
      <c r="C437" t="n">
        <v>0.0142</v>
      </c>
    </row>
    <row r="438">
      <c r="A438" t="n">
        <v>26</v>
      </c>
      <c r="B438" t="n">
        <v>1980</v>
      </c>
      <c r="C438" t="n">
        <v>0.017</v>
      </c>
    </row>
    <row r="439">
      <c r="A439" t="n">
        <v>26</v>
      </c>
      <c r="B439" t="n">
        <v>1981</v>
      </c>
      <c r="C439" t="n">
        <v>0.0195</v>
      </c>
    </row>
    <row r="440">
      <c r="A440" t="n">
        <v>26</v>
      </c>
      <c r="B440" t="n">
        <v>1982</v>
      </c>
      <c r="C440" t="n">
        <v>0.0198</v>
      </c>
    </row>
    <row r="441">
      <c r="A441" t="n">
        <v>26</v>
      </c>
      <c r="B441" t="n">
        <v>1983</v>
      </c>
      <c r="C441" t="n">
        <v>0.0165</v>
      </c>
    </row>
    <row r="442">
      <c r="A442" t="n">
        <v>26</v>
      </c>
      <c r="B442" t="n">
        <v>1984</v>
      </c>
      <c r="C442" t="n">
        <v>0.0101</v>
      </c>
    </row>
    <row r="443">
      <c r="A443" t="n">
        <v>26</v>
      </c>
      <c r="B443" t="n">
        <v>1985</v>
      </c>
      <c r="C443" t="n">
        <v>0.0023</v>
      </c>
    </row>
    <row r="444">
      <c r="A444" t="n">
        <v>26</v>
      </c>
      <c r="B444" t="n">
        <v>1986</v>
      </c>
      <c r="C444" t="n">
        <v>-0.0047</v>
      </c>
    </row>
    <row r="445">
      <c r="A445" t="n">
        <v>26</v>
      </c>
      <c r="B445" t="n">
        <v>1987</v>
      </c>
      <c r="C445" t="n">
        <v>-0.0091</v>
      </c>
    </row>
    <row r="446">
      <c r="A446" t="n">
        <v>26</v>
      </c>
      <c r="B446" t="n">
        <v>1988</v>
      </c>
      <c r="C446" t="n">
        <v>-0.0101</v>
      </c>
    </row>
    <row r="447">
      <c r="A447" t="n">
        <v>26</v>
      </c>
      <c r="B447" t="n">
        <v>1989</v>
      </c>
      <c r="C447" t="n">
        <v>-0.0074</v>
      </c>
    </row>
    <row r="448">
      <c r="A448" t="n">
        <v>26</v>
      </c>
      <c r="B448" t="n">
        <v>1990</v>
      </c>
      <c r="C448" t="n">
        <v>-0.0014</v>
      </c>
    </row>
    <row r="449">
      <c r="A449" t="n">
        <v>26</v>
      </c>
      <c r="B449" t="n">
        <v>1991</v>
      </c>
      <c r="C449" t="n">
        <v>0.0071</v>
      </c>
    </row>
    <row r="450">
      <c r="A450" t="n">
        <v>26</v>
      </c>
      <c r="B450" t="n">
        <v>1992</v>
      </c>
      <c r="C450" t="n">
        <v>0.017</v>
      </c>
    </row>
    <row r="451">
      <c r="A451" t="n">
        <v>26</v>
      </c>
      <c r="B451" t="n">
        <v>1993</v>
      </c>
      <c r="C451" t="n">
        <v>0.027</v>
      </c>
    </row>
    <row r="452">
      <c r="A452" t="n">
        <v>26</v>
      </c>
      <c r="B452" t="n">
        <v>1994</v>
      </c>
      <c r="C452" t="n">
        <v>0.036</v>
      </c>
    </row>
    <row r="453">
      <c r="A453" t="n">
        <v>26</v>
      </c>
      <c r="B453" t="n">
        <v>1995</v>
      </c>
      <c r="C453" t="n">
        <v>0.0425</v>
      </c>
    </row>
    <row r="454">
      <c r="A454" t="n">
        <v>26</v>
      </c>
      <c r="B454" t="n">
        <v>1996</v>
      </c>
      <c r="C454" t="n">
        <v>0.0447</v>
      </c>
    </row>
    <row r="455">
      <c r="A455" t="n">
        <v>26</v>
      </c>
      <c r="B455" t="n">
        <v>1997</v>
      </c>
      <c r="C455" t="n">
        <v>0.0415</v>
      </c>
    </row>
    <row r="456">
      <c r="A456" t="n">
        <v>26</v>
      </c>
      <c r="B456" t="n">
        <v>1998</v>
      </c>
      <c r="C456" t="n">
        <v>0.0328</v>
      </c>
    </row>
    <row r="457">
      <c r="A457" t="n">
        <v>26</v>
      </c>
      <c r="B457" t="n">
        <v>1999</v>
      </c>
      <c r="C457" t="n">
        <v>0.0203</v>
      </c>
    </row>
    <row r="458">
      <c r="A458" t="n">
        <v>26</v>
      </c>
      <c r="B458" t="n">
        <v>2000</v>
      </c>
      <c r="C458" t="n">
        <v>0.0065</v>
      </c>
    </row>
    <row r="459">
      <c r="A459" t="n">
        <v>26</v>
      </c>
      <c r="B459" t="n">
        <v>2001</v>
      </c>
      <c r="C459" t="n">
        <v>-0.0059</v>
      </c>
    </row>
    <row r="460">
      <c r="A460" t="n">
        <v>26</v>
      </c>
      <c r="B460" t="n">
        <v>2002</v>
      </c>
      <c r="C460" t="n">
        <v>-0.0146</v>
      </c>
    </row>
    <row r="461">
      <c r="A461" t="n">
        <v>26</v>
      </c>
      <c r="B461" t="n">
        <v>2003</v>
      </c>
      <c r="C461" t="n">
        <v>-0.0189</v>
      </c>
    </row>
    <row r="462">
      <c r="A462" t="n">
        <v>26</v>
      </c>
      <c r="B462" t="n">
        <v>2004</v>
      </c>
      <c r="C462" t="n">
        <v>-0.0186</v>
      </c>
    </row>
    <row r="463">
      <c r="A463" t="n">
        <v>26</v>
      </c>
      <c r="B463" t="n">
        <v>2005</v>
      </c>
      <c r="C463" t="n">
        <v>-0.0143</v>
      </c>
    </row>
    <row r="464">
      <c r="A464" t="n">
        <v>26</v>
      </c>
      <c r="B464" t="n">
        <v>2006</v>
      </c>
      <c r="C464" t="n">
        <v>-0.0071</v>
      </c>
    </row>
    <row r="465">
      <c r="A465" t="n">
        <v>26</v>
      </c>
      <c r="B465" t="n">
        <v>2007</v>
      </c>
      <c r="C465" t="n">
        <v>0.0011</v>
      </c>
    </row>
    <row r="466">
      <c r="A466" t="n">
        <v>26</v>
      </c>
      <c r="B466" t="n">
        <v>2008</v>
      </c>
      <c r="C466" t="n">
        <v>0.008200000000000001</v>
      </c>
    </row>
    <row r="467">
      <c r="A467" t="n">
        <v>26</v>
      </c>
      <c r="B467" t="n">
        <v>2009</v>
      </c>
      <c r="C467" t="n">
        <v>0.0125</v>
      </c>
    </row>
    <row r="468">
      <c r="A468" t="n">
        <v>26</v>
      </c>
      <c r="B468" t="n">
        <v>2010</v>
      </c>
      <c r="C468" t="n">
        <v>0.0136</v>
      </c>
    </row>
    <row r="469">
      <c r="A469" t="n">
        <v>26</v>
      </c>
      <c r="B469" t="n">
        <v>2011</v>
      </c>
      <c r="C469" t="n">
        <v>0.0119</v>
      </c>
    </row>
    <row r="470">
      <c r="A470" t="n">
        <v>26</v>
      </c>
      <c r="B470" t="n">
        <v>2012</v>
      </c>
      <c r="C470" t="n">
        <v>0.008500000000000001</v>
      </c>
    </row>
    <row r="471">
      <c r="A471" t="n">
        <v>26</v>
      </c>
      <c r="B471" t="n">
        <v>2013</v>
      </c>
      <c r="C471" t="n">
        <v>0.0106</v>
      </c>
    </row>
    <row r="472">
      <c r="A472" t="n">
        <v>26</v>
      </c>
      <c r="B472" t="n">
        <v>2014</v>
      </c>
      <c r="C472" t="n">
        <v>0.0126</v>
      </c>
    </row>
    <row r="473">
      <c r="A473" t="n">
        <v>26</v>
      </c>
      <c r="B473" t="n">
        <v>2015</v>
      </c>
      <c r="C473" t="n">
        <v>0.0145</v>
      </c>
    </row>
    <row r="474">
      <c r="A474" t="n">
        <v>26</v>
      </c>
      <c r="B474" t="n">
        <v>2016</v>
      </c>
      <c r="C474" t="n">
        <v>0.0161</v>
      </c>
    </row>
    <row r="475">
      <c r="A475" t="n">
        <v>26</v>
      </c>
      <c r="B475" t="n">
        <v>2017</v>
      </c>
      <c r="C475" t="n">
        <v>0.0174</v>
      </c>
    </row>
    <row r="476">
      <c r="A476" t="n">
        <v>26</v>
      </c>
      <c r="B476" t="n">
        <v>2018</v>
      </c>
      <c r="C476" t="n">
        <v>0.0183</v>
      </c>
    </row>
    <row r="477">
      <c r="A477" t="n">
        <v>26</v>
      </c>
      <c r="B477" t="n">
        <v>2019</v>
      </c>
      <c r="C477" t="n">
        <v>0.0177</v>
      </c>
    </row>
    <row r="478">
      <c r="A478" t="n">
        <v>26</v>
      </c>
      <c r="B478" t="n">
        <v>2020</v>
      </c>
      <c r="C478" t="n">
        <v>0.017</v>
      </c>
    </row>
    <row r="479">
      <c r="A479" t="n">
        <v>26</v>
      </c>
      <c r="B479" t="n">
        <v>2021</v>
      </c>
      <c r="C479" t="n">
        <v>0.0163</v>
      </c>
    </row>
    <row r="480">
      <c r="A480" t="n">
        <v>26</v>
      </c>
      <c r="B480" t="n">
        <v>2022</v>
      </c>
      <c r="C480" t="n">
        <v>0.0155</v>
      </c>
    </row>
    <row r="481">
      <c r="A481" t="n">
        <v>26</v>
      </c>
      <c r="B481" t="n">
        <v>2023</v>
      </c>
      <c r="C481" t="n">
        <v>0.0146</v>
      </c>
    </row>
    <row r="482">
      <c r="A482" t="n">
        <v>26</v>
      </c>
      <c r="B482" t="n">
        <v>2024</v>
      </c>
      <c r="C482" t="n">
        <v>0.0138</v>
      </c>
    </row>
    <row r="483">
      <c r="A483" t="n">
        <v>26</v>
      </c>
      <c r="B483" t="n">
        <v>2025</v>
      </c>
      <c r="C483" t="n">
        <v>0.0131</v>
      </c>
    </row>
    <row r="484">
      <c r="A484" t="n">
        <v>26</v>
      </c>
      <c r="B484" t="n">
        <v>2026</v>
      </c>
      <c r="C484" t="n">
        <v>0.0124</v>
      </c>
    </row>
    <row r="485">
      <c r="A485" t="n">
        <v>26</v>
      </c>
      <c r="B485" t="n">
        <v>2027</v>
      </c>
      <c r="C485" t="n">
        <v>0.0117</v>
      </c>
    </row>
    <row r="486">
      <c r="A486" t="n">
        <v>26</v>
      </c>
      <c r="B486" t="n">
        <v>2028</v>
      </c>
      <c r="C486" t="n">
        <v>0.0111</v>
      </c>
    </row>
    <row r="487">
      <c r="A487" t="n">
        <v>26</v>
      </c>
      <c r="B487" t="n">
        <v>2029</v>
      </c>
      <c r="C487" t="n">
        <v>0.0107</v>
      </c>
    </row>
    <row r="488">
      <c r="A488" t="n">
        <v>26</v>
      </c>
      <c r="B488" t="n">
        <v>2030</v>
      </c>
      <c r="C488" t="n">
        <v>0.0103</v>
      </c>
    </row>
    <row r="489">
      <c r="A489" t="n">
        <v>26</v>
      </c>
      <c r="B489" t="n">
        <v>2031</v>
      </c>
      <c r="C489" t="n">
        <v>0.0101</v>
      </c>
    </row>
    <row r="490">
      <c r="A490" t="n">
        <v>27</v>
      </c>
      <c r="B490" t="n">
        <v>1951</v>
      </c>
      <c r="C490" t="n">
        <v>0.0153</v>
      </c>
    </row>
    <row r="491">
      <c r="A491" t="n">
        <v>27</v>
      </c>
      <c r="B491" t="n">
        <v>1952</v>
      </c>
      <c r="C491" t="n">
        <v>0.0176</v>
      </c>
    </row>
    <row r="492">
      <c r="A492" t="n">
        <v>27</v>
      </c>
      <c r="B492" t="n">
        <v>1953</v>
      </c>
      <c r="C492" t="n">
        <v>0.0196</v>
      </c>
    </row>
    <row r="493">
      <c r="A493" t="n">
        <v>27</v>
      </c>
      <c r="B493" t="n">
        <v>1954</v>
      </c>
      <c r="C493" t="n">
        <v>0.0207</v>
      </c>
    </row>
    <row r="494">
      <c r="A494" t="n">
        <v>27</v>
      </c>
      <c r="B494" t="n">
        <v>1955</v>
      </c>
      <c r="C494" t="n">
        <v>0.0207</v>
      </c>
    </row>
    <row r="495">
      <c r="A495" t="n">
        <v>27</v>
      </c>
      <c r="B495" t="n">
        <v>1956</v>
      </c>
      <c r="C495" t="n">
        <v>0.0195</v>
      </c>
    </row>
    <row r="496">
      <c r="A496" t="n">
        <v>27</v>
      </c>
      <c r="B496" t="n">
        <v>1957</v>
      </c>
      <c r="C496" t="n">
        <v>0.0171</v>
      </c>
    </row>
    <row r="497">
      <c r="A497" t="n">
        <v>27</v>
      </c>
      <c r="B497" t="n">
        <v>1958</v>
      </c>
      <c r="C497" t="n">
        <v>0.0136</v>
      </c>
    </row>
    <row r="498">
      <c r="A498" t="n">
        <v>27</v>
      </c>
      <c r="B498" t="n">
        <v>1959</v>
      </c>
      <c r="C498" t="n">
        <v>0.0089</v>
      </c>
    </row>
    <row r="499">
      <c r="A499" t="n">
        <v>27</v>
      </c>
      <c r="B499" t="n">
        <v>1960</v>
      </c>
      <c r="C499" t="n">
        <v>0.0033</v>
      </c>
    </row>
    <row r="500">
      <c r="A500" t="n">
        <v>27</v>
      </c>
      <c r="B500" t="n">
        <v>1961</v>
      </c>
      <c r="C500" t="n">
        <v>-0.003</v>
      </c>
    </row>
    <row r="501">
      <c r="A501" t="n">
        <v>27</v>
      </c>
      <c r="B501" t="n">
        <v>1962</v>
      </c>
      <c r="C501" t="n">
        <v>-0.009599999999999999</v>
      </c>
    </row>
    <row r="502">
      <c r="A502" t="n">
        <v>27</v>
      </c>
      <c r="B502" t="n">
        <v>1963</v>
      </c>
      <c r="C502" t="n">
        <v>-0.0158</v>
      </c>
    </row>
    <row r="503">
      <c r="A503" t="n">
        <v>27</v>
      </c>
      <c r="B503" t="n">
        <v>1964</v>
      </c>
      <c r="C503" t="n">
        <v>-0.0209</v>
      </c>
    </row>
    <row r="504">
      <c r="A504" t="n">
        <v>27</v>
      </c>
      <c r="B504" t="n">
        <v>1965</v>
      </c>
      <c r="C504" t="n">
        <v>-0.024</v>
      </c>
    </row>
    <row r="505">
      <c r="A505" t="n">
        <v>27</v>
      </c>
      <c r="B505" t="n">
        <v>1966</v>
      </c>
      <c r="C505" t="n">
        <v>-0.0249</v>
      </c>
    </row>
    <row r="506">
      <c r="A506" t="n">
        <v>27</v>
      </c>
      <c r="B506" t="n">
        <v>1967</v>
      </c>
      <c r="C506" t="n">
        <v>-0.0234</v>
      </c>
    </row>
    <row r="507">
      <c r="A507" t="n">
        <v>27</v>
      </c>
      <c r="B507" t="n">
        <v>1968</v>
      </c>
      <c r="C507" t="n">
        <v>-0.0194</v>
      </c>
    </row>
    <row r="508">
      <c r="A508" t="n">
        <v>27</v>
      </c>
      <c r="B508" t="n">
        <v>1969</v>
      </c>
      <c r="C508" t="n">
        <v>-0.0134</v>
      </c>
    </row>
    <row r="509">
      <c r="A509" t="n">
        <v>27</v>
      </c>
      <c r="B509" t="n">
        <v>1970</v>
      </c>
      <c r="C509" t="n">
        <v>-0.0064</v>
      </c>
    </row>
    <row r="510">
      <c r="A510" t="n">
        <v>27</v>
      </c>
      <c r="B510" t="n">
        <v>1971</v>
      </c>
      <c r="C510" t="n">
        <v>0.0005</v>
      </c>
    </row>
    <row r="511">
      <c r="A511" t="n">
        <v>27</v>
      </c>
      <c r="B511" t="n">
        <v>1972</v>
      </c>
      <c r="C511" t="n">
        <v>0.0066</v>
      </c>
    </row>
    <row r="512">
      <c r="A512" t="n">
        <v>27</v>
      </c>
      <c r="B512" t="n">
        <v>1973</v>
      </c>
      <c r="C512" t="n">
        <v>0.0112</v>
      </c>
    </row>
    <row r="513">
      <c r="A513" t="n">
        <v>27</v>
      </c>
      <c r="B513" t="n">
        <v>1974</v>
      </c>
      <c r="C513" t="n">
        <v>0.0139</v>
      </c>
    </row>
    <row r="514">
      <c r="A514" t="n">
        <v>27</v>
      </c>
      <c r="B514" t="n">
        <v>1975</v>
      </c>
      <c r="C514" t="n">
        <v>0.0147</v>
      </c>
    </row>
    <row r="515">
      <c r="A515" t="n">
        <v>27</v>
      </c>
      <c r="B515" t="n">
        <v>1976</v>
      </c>
      <c r="C515" t="n">
        <v>0.0141</v>
      </c>
    </row>
    <row r="516">
      <c r="A516" t="n">
        <v>27</v>
      </c>
      <c r="B516" t="n">
        <v>1977</v>
      </c>
      <c r="C516" t="n">
        <v>0.0129</v>
      </c>
    </row>
    <row r="517">
      <c r="A517" t="n">
        <v>27</v>
      </c>
      <c r="B517" t="n">
        <v>1978</v>
      </c>
      <c r="C517" t="n">
        <v>0.0122</v>
      </c>
    </row>
    <row r="518">
      <c r="A518" t="n">
        <v>27</v>
      </c>
      <c r="B518" t="n">
        <v>1979</v>
      </c>
      <c r="C518" t="n">
        <v>0.0128</v>
      </c>
    </row>
    <row r="519">
      <c r="A519" t="n">
        <v>27</v>
      </c>
      <c r="B519" t="n">
        <v>1980</v>
      </c>
      <c r="C519" t="n">
        <v>0.0145</v>
      </c>
    </row>
    <row r="520">
      <c r="A520" t="n">
        <v>27</v>
      </c>
      <c r="B520" t="n">
        <v>1981</v>
      </c>
      <c r="C520" t="n">
        <v>0.016</v>
      </c>
    </row>
    <row r="521">
      <c r="A521" t="n">
        <v>27</v>
      </c>
      <c r="B521" t="n">
        <v>1982</v>
      </c>
      <c r="C521" t="n">
        <v>0.0156</v>
      </c>
    </row>
    <row r="522">
      <c r="A522" t="n">
        <v>27</v>
      </c>
      <c r="B522" t="n">
        <v>1983</v>
      </c>
      <c r="C522" t="n">
        <v>0.0119</v>
      </c>
    </row>
    <row r="523">
      <c r="A523" t="n">
        <v>27</v>
      </c>
      <c r="B523" t="n">
        <v>1984</v>
      </c>
      <c r="C523" t="n">
        <v>0.0054</v>
      </c>
    </row>
    <row r="524">
      <c r="A524" t="n">
        <v>27</v>
      </c>
      <c r="B524" t="n">
        <v>1985</v>
      </c>
      <c r="C524" t="n">
        <v>-0.0024</v>
      </c>
    </row>
    <row r="525">
      <c r="A525" t="n">
        <v>27</v>
      </c>
      <c r="B525" t="n">
        <v>1986</v>
      </c>
      <c r="C525" t="n">
        <v>-0.0092</v>
      </c>
    </row>
    <row r="526">
      <c r="A526" t="n">
        <v>27</v>
      </c>
      <c r="B526" t="n">
        <v>1987</v>
      </c>
      <c r="C526" t="n">
        <v>-0.0132</v>
      </c>
    </row>
    <row r="527">
      <c r="A527" t="n">
        <v>27</v>
      </c>
      <c r="B527" t="n">
        <v>1988</v>
      </c>
      <c r="C527" t="n">
        <v>-0.0137</v>
      </c>
    </row>
    <row r="528">
      <c r="A528" t="n">
        <v>27</v>
      </c>
      <c r="B528" t="n">
        <v>1989</v>
      </c>
      <c r="C528" t="n">
        <v>-0.0104</v>
      </c>
    </row>
    <row r="529">
      <c r="A529" t="n">
        <v>27</v>
      </c>
      <c r="B529" t="n">
        <v>1990</v>
      </c>
      <c r="C529" t="n">
        <v>-0.0035</v>
      </c>
    </row>
    <row r="530">
      <c r="A530" t="n">
        <v>27</v>
      </c>
      <c r="B530" t="n">
        <v>1991</v>
      </c>
      <c r="C530" t="n">
        <v>0.0059</v>
      </c>
    </row>
    <row r="531">
      <c r="A531" t="n">
        <v>27</v>
      </c>
      <c r="B531" t="n">
        <v>1992</v>
      </c>
      <c r="C531" t="n">
        <v>0.0168</v>
      </c>
    </row>
    <row r="532">
      <c r="A532" t="n">
        <v>27</v>
      </c>
      <c r="B532" t="n">
        <v>1993</v>
      </c>
      <c r="C532" t="n">
        <v>0.0281</v>
      </c>
    </row>
    <row r="533">
      <c r="A533" t="n">
        <v>27</v>
      </c>
      <c r="B533" t="n">
        <v>1994</v>
      </c>
      <c r="C533" t="n">
        <v>0.0386</v>
      </c>
    </row>
    <row r="534">
      <c r="A534" t="n">
        <v>27</v>
      </c>
      <c r="B534" t="n">
        <v>1995</v>
      </c>
      <c r="C534" t="n">
        <v>0.0465</v>
      </c>
    </row>
    <row r="535">
      <c r="A535" t="n">
        <v>27</v>
      </c>
      <c r="B535" t="n">
        <v>1996</v>
      </c>
      <c r="C535" t="n">
        <v>0.0498</v>
      </c>
    </row>
    <row r="536">
      <c r="A536" t="n">
        <v>27</v>
      </c>
      <c r="B536" t="n">
        <v>1997</v>
      </c>
      <c r="C536" t="n">
        <v>0.047</v>
      </c>
    </row>
    <row r="537">
      <c r="A537" t="n">
        <v>27</v>
      </c>
      <c r="B537" t="n">
        <v>1998</v>
      </c>
      <c r="C537" t="n">
        <v>0.0382</v>
      </c>
    </row>
    <row r="538">
      <c r="A538" t="n">
        <v>27</v>
      </c>
      <c r="B538" t="n">
        <v>1999</v>
      </c>
      <c r="C538" t="n">
        <v>0.0251</v>
      </c>
    </row>
    <row r="539">
      <c r="A539" t="n">
        <v>27</v>
      </c>
      <c r="B539" t="n">
        <v>2000</v>
      </c>
      <c r="C539" t="n">
        <v>0.0103</v>
      </c>
    </row>
    <row r="540">
      <c r="A540" t="n">
        <v>27</v>
      </c>
      <c r="B540" t="n">
        <v>2001</v>
      </c>
      <c r="C540" t="n">
        <v>-0.0032</v>
      </c>
    </row>
    <row r="541">
      <c r="A541" t="n">
        <v>27</v>
      </c>
      <c r="B541" t="n">
        <v>2002</v>
      </c>
      <c r="C541" t="n">
        <v>-0.013</v>
      </c>
    </row>
    <row r="542">
      <c r="A542" t="n">
        <v>27</v>
      </c>
      <c r="B542" t="n">
        <v>2003</v>
      </c>
      <c r="C542" t="n">
        <v>-0.0182</v>
      </c>
    </row>
    <row r="543">
      <c r="A543" t="n">
        <v>27</v>
      </c>
      <c r="B543" t="n">
        <v>2004</v>
      </c>
      <c r="C543" t="n">
        <v>-0.0187</v>
      </c>
    </row>
    <row r="544">
      <c r="A544" t="n">
        <v>27</v>
      </c>
      <c r="B544" t="n">
        <v>2005</v>
      </c>
      <c r="C544" t="n">
        <v>-0.0151</v>
      </c>
    </row>
    <row r="545">
      <c r="A545" t="n">
        <v>27</v>
      </c>
      <c r="B545" t="n">
        <v>2006</v>
      </c>
      <c r="C545" t="n">
        <v>-0.008500000000000001</v>
      </c>
    </row>
    <row r="546">
      <c r="A546" t="n">
        <v>27</v>
      </c>
      <c r="B546" t="n">
        <v>2007</v>
      </c>
      <c r="C546" t="n">
        <v>-0.001</v>
      </c>
    </row>
    <row r="547">
      <c r="A547" t="n">
        <v>27</v>
      </c>
      <c r="B547" t="n">
        <v>2008</v>
      </c>
      <c r="C547" t="n">
        <v>0.0054</v>
      </c>
    </row>
    <row r="548">
      <c r="A548" t="n">
        <v>27</v>
      </c>
      <c r="B548" t="n">
        <v>2009</v>
      </c>
      <c r="C548" t="n">
        <v>0.009299999999999999</v>
      </c>
    </row>
    <row r="549">
      <c r="A549" t="n">
        <v>27</v>
      </c>
      <c r="B549" t="n">
        <v>2010</v>
      </c>
      <c r="C549" t="n">
        <v>0.01</v>
      </c>
    </row>
    <row r="550">
      <c r="A550" t="n">
        <v>27</v>
      </c>
      <c r="B550" t="n">
        <v>2011</v>
      </c>
      <c r="C550" t="n">
        <v>0.008200000000000001</v>
      </c>
    </row>
    <row r="551">
      <c r="A551" t="n">
        <v>27</v>
      </c>
      <c r="B551" t="n">
        <v>2012</v>
      </c>
      <c r="C551" t="n">
        <v>0.0047</v>
      </c>
    </row>
    <row r="552">
      <c r="A552" t="n">
        <v>27</v>
      </c>
      <c r="B552" t="n">
        <v>2013</v>
      </c>
      <c r="C552" t="n">
        <v>0.0067</v>
      </c>
    </row>
    <row r="553">
      <c r="A553" t="n">
        <v>27</v>
      </c>
      <c r="B553" t="n">
        <v>2014</v>
      </c>
      <c r="C553" t="n">
        <v>0.0089</v>
      </c>
    </row>
    <row r="554">
      <c r="A554" t="n">
        <v>27</v>
      </c>
      <c r="B554" t="n">
        <v>2015</v>
      </c>
      <c r="C554" t="n">
        <v>0.0111</v>
      </c>
    </row>
    <row r="555">
      <c r="A555" t="n">
        <v>27</v>
      </c>
      <c r="B555" t="n">
        <v>2016</v>
      </c>
      <c r="C555" t="n">
        <v>0.0131</v>
      </c>
    </row>
    <row r="556">
      <c r="A556" t="n">
        <v>27</v>
      </c>
      <c r="B556" t="n">
        <v>2017</v>
      </c>
      <c r="C556" t="n">
        <v>0.0149</v>
      </c>
    </row>
    <row r="557">
      <c r="A557" t="n">
        <v>27</v>
      </c>
      <c r="B557" t="n">
        <v>2018</v>
      </c>
      <c r="C557" t="n">
        <v>0.0163</v>
      </c>
    </row>
    <row r="558">
      <c r="A558" t="n">
        <v>27</v>
      </c>
      <c r="B558" t="n">
        <v>2019</v>
      </c>
      <c r="C558" t="n">
        <v>0.0173</v>
      </c>
    </row>
    <row r="559">
      <c r="A559" t="n">
        <v>27</v>
      </c>
      <c r="B559" t="n">
        <v>2020</v>
      </c>
      <c r="C559" t="n">
        <v>0.0168</v>
      </c>
    </row>
    <row r="560">
      <c r="A560" t="n">
        <v>27</v>
      </c>
      <c r="B560" t="n">
        <v>2021</v>
      </c>
      <c r="C560" t="n">
        <v>0.0162</v>
      </c>
    </row>
    <row r="561">
      <c r="A561" t="n">
        <v>27</v>
      </c>
      <c r="B561" t="n">
        <v>2022</v>
      </c>
      <c r="C561" t="n">
        <v>0.0155</v>
      </c>
    </row>
    <row r="562">
      <c r="A562" t="n">
        <v>27</v>
      </c>
      <c r="B562" t="n">
        <v>2023</v>
      </c>
      <c r="C562" t="n">
        <v>0.0146</v>
      </c>
    </row>
    <row r="563">
      <c r="A563" t="n">
        <v>27</v>
      </c>
      <c r="B563" t="n">
        <v>2024</v>
      </c>
      <c r="C563" t="n">
        <v>0.0138</v>
      </c>
    </row>
    <row r="564">
      <c r="A564" t="n">
        <v>27</v>
      </c>
      <c r="B564" t="n">
        <v>2025</v>
      </c>
      <c r="C564" t="n">
        <v>0.0131</v>
      </c>
    </row>
    <row r="565">
      <c r="A565" t="n">
        <v>27</v>
      </c>
      <c r="B565" t="n">
        <v>2026</v>
      </c>
      <c r="C565" t="n">
        <v>0.0124</v>
      </c>
    </row>
    <row r="566">
      <c r="A566" t="n">
        <v>27</v>
      </c>
      <c r="B566" t="n">
        <v>2027</v>
      </c>
      <c r="C566" t="n">
        <v>0.0117</v>
      </c>
    </row>
    <row r="567">
      <c r="A567" t="n">
        <v>27</v>
      </c>
      <c r="B567" t="n">
        <v>2028</v>
      </c>
      <c r="C567" t="n">
        <v>0.0111</v>
      </c>
    </row>
    <row r="568">
      <c r="A568" t="n">
        <v>27</v>
      </c>
      <c r="B568" t="n">
        <v>2029</v>
      </c>
      <c r="C568" t="n">
        <v>0.0107</v>
      </c>
    </row>
    <row r="569">
      <c r="A569" t="n">
        <v>27</v>
      </c>
      <c r="B569" t="n">
        <v>2030</v>
      </c>
      <c r="C569" t="n">
        <v>0.0103</v>
      </c>
    </row>
    <row r="570">
      <c r="A570" t="n">
        <v>27</v>
      </c>
      <c r="B570" t="n">
        <v>2031</v>
      </c>
      <c r="C570" t="n">
        <v>0.0101</v>
      </c>
    </row>
    <row r="571">
      <c r="A571" t="n">
        <v>28</v>
      </c>
      <c r="B571" t="n">
        <v>1951</v>
      </c>
      <c r="C571" t="n">
        <v>0.0212</v>
      </c>
    </row>
    <row r="572">
      <c r="A572" t="n">
        <v>28</v>
      </c>
      <c r="B572" t="n">
        <v>1952</v>
      </c>
      <c r="C572" t="n">
        <v>0.0221</v>
      </c>
    </row>
    <row r="573">
      <c r="A573" t="n">
        <v>28</v>
      </c>
      <c r="B573" t="n">
        <v>1953</v>
      </c>
      <c r="C573" t="n">
        <v>0.0227</v>
      </c>
    </row>
    <row r="574">
      <c r="A574" t="n">
        <v>28</v>
      </c>
      <c r="B574" t="n">
        <v>1954</v>
      </c>
      <c r="C574" t="n">
        <v>0.0224</v>
      </c>
    </row>
    <row r="575">
      <c r="A575" t="n">
        <v>28</v>
      </c>
      <c r="B575" t="n">
        <v>1955</v>
      </c>
      <c r="C575" t="n">
        <v>0.0212</v>
      </c>
    </row>
    <row r="576">
      <c r="A576" t="n">
        <v>28</v>
      </c>
      <c r="B576" t="n">
        <v>1956</v>
      </c>
      <c r="C576" t="n">
        <v>0.019</v>
      </c>
    </row>
    <row r="577">
      <c r="A577" t="n">
        <v>28</v>
      </c>
      <c r="B577" t="n">
        <v>1957</v>
      </c>
      <c r="C577" t="n">
        <v>0.0159</v>
      </c>
    </row>
    <row r="578">
      <c r="A578" t="n">
        <v>28</v>
      </c>
      <c r="B578" t="n">
        <v>1958</v>
      </c>
      <c r="C578" t="n">
        <v>0.012</v>
      </c>
    </row>
    <row r="579">
      <c r="A579" t="n">
        <v>28</v>
      </c>
      <c r="B579" t="n">
        <v>1959</v>
      </c>
      <c r="C579" t="n">
        <v>0.0072</v>
      </c>
    </row>
    <row r="580">
      <c r="A580" t="n">
        <v>28</v>
      </c>
      <c r="B580" t="n">
        <v>1960</v>
      </c>
      <c r="C580" t="n">
        <v>0.0019</v>
      </c>
    </row>
    <row r="581">
      <c r="A581" t="n">
        <v>28</v>
      </c>
      <c r="B581" t="n">
        <v>1961</v>
      </c>
      <c r="C581" t="n">
        <v>-0.004</v>
      </c>
    </row>
    <row r="582">
      <c r="A582" t="n">
        <v>28</v>
      </c>
      <c r="B582" t="n">
        <v>1962</v>
      </c>
      <c r="C582" t="n">
        <v>-0.0101</v>
      </c>
    </row>
    <row r="583">
      <c r="A583" t="n">
        <v>28</v>
      </c>
      <c r="B583" t="n">
        <v>1963</v>
      </c>
      <c r="C583" t="n">
        <v>-0.0157</v>
      </c>
    </row>
    <row r="584">
      <c r="A584" t="n">
        <v>28</v>
      </c>
      <c r="B584" t="n">
        <v>1964</v>
      </c>
      <c r="C584" t="n">
        <v>-0.0201</v>
      </c>
    </row>
    <row r="585">
      <c r="A585" t="n">
        <v>28</v>
      </c>
      <c r="B585" t="n">
        <v>1965</v>
      </c>
      <c r="C585" t="n">
        <v>-0.0227</v>
      </c>
    </row>
    <row r="586">
      <c r="A586" t="n">
        <v>28</v>
      </c>
      <c r="B586" t="n">
        <v>1966</v>
      </c>
      <c r="C586" t="n">
        <v>-0.0232</v>
      </c>
    </row>
    <row r="587">
      <c r="A587" t="n">
        <v>28</v>
      </c>
      <c r="B587" t="n">
        <v>1967</v>
      </c>
      <c r="C587" t="n">
        <v>-0.0214</v>
      </c>
    </row>
    <row r="588">
      <c r="A588" t="n">
        <v>28</v>
      </c>
      <c r="B588" t="n">
        <v>1968</v>
      </c>
      <c r="C588" t="n">
        <v>-0.0174</v>
      </c>
    </row>
    <row r="589">
      <c r="A589" t="n">
        <v>28</v>
      </c>
      <c r="B589" t="n">
        <v>1969</v>
      </c>
      <c r="C589" t="n">
        <v>-0.0117</v>
      </c>
    </row>
    <row r="590">
      <c r="A590" t="n">
        <v>28</v>
      </c>
      <c r="B590" t="n">
        <v>1970</v>
      </c>
      <c r="C590" t="n">
        <v>-0.0049</v>
      </c>
    </row>
    <row r="591">
      <c r="A591" t="n">
        <v>28</v>
      </c>
      <c r="B591" t="n">
        <v>1971</v>
      </c>
      <c r="C591" t="n">
        <v>0.0019</v>
      </c>
    </row>
    <row r="592">
      <c r="A592" t="n">
        <v>28</v>
      </c>
      <c r="B592" t="n">
        <v>1972</v>
      </c>
      <c r="C592" t="n">
        <v>0.007900000000000001</v>
      </c>
    </row>
    <row r="593">
      <c r="A593" t="n">
        <v>28</v>
      </c>
      <c r="B593" t="n">
        <v>1973</v>
      </c>
      <c r="C593" t="n">
        <v>0.0125</v>
      </c>
    </row>
    <row r="594">
      <c r="A594" t="n">
        <v>28</v>
      </c>
      <c r="B594" t="n">
        <v>1974</v>
      </c>
      <c r="C594" t="n">
        <v>0.0154</v>
      </c>
    </row>
    <row r="595">
      <c r="A595" t="n">
        <v>28</v>
      </c>
      <c r="B595" t="n">
        <v>1975</v>
      </c>
      <c r="C595" t="n">
        <v>0.0163</v>
      </c>
    </row>
    <row r="596">
      <c r="A596" t="n">
        <v>28</v>
      </c>
      <c r="B596" t="n">
        <v>1976</v>
      </c>
      <c r="C596" t="n">
        <v>0.0155</v>
      </c>
    </row>
    <row r="597">
      <c r="A597" t="n">
        <v>28</v>
      </c>
      <c r="B597" t="n">
        <v>1977</v>
      </c>
      <c r="C597" t="n">
        <v>0.0139</v>
      </c>
    </row>
    <row r="598">
      <c r="A598" t="n">
        <v>28</v>
      </c>
      <c r="B598" t="n">
        <v>1978</v>
      </c>
      <c r="C598" t="n">
        <v>0.0125</v>
      </c>
    </row>
    <row r="599">
      <c r="A599" t="n">
        <v>28</v>
      </c>
      <c r="B599" t="n">
        <v>1979</v>
      </c>
      <c r="C599" t="n">
        <v>0.012</v>
      </c>
    </row>
    <row r="600">
      <c r="A600" t="n">
        <v>28</v>
      </c>
      <c r="B600" t="n">
        <v>1980</v>
      </c>
      <c r="C600" t="n">
        <v>0.0124</v>
      </c>
    </row>
    <row r="601">
      <c r="A601" t="n">
        <v>28</v>
      </c>
      <c r="B601" t="n">
        <v>1981</v>
      </c>
      <c r="C601" t="n">
        <v>0.0127</v>
      </c>
    </row>
    <row r="602">
      <c r="A602" t="n">
        <v>28</v>
      </c>
      <c r="B602" t="n">
        <v>1982</v>
      </c>
      <c r="C602" t="n">
        <v>0.0112</v>
      </c>
    </row>
    <row r="603">
      <c r="A603" t="n">
        <v>28</v>
      </c>
      <c r="B603" t="n">
        <v>1983</v>
      </c>
      <c r="C603" t="n">
        <v>0.0069</v>
      </c>
    </row>
    <row r="604">
      <c r="A604" t="n">
        <v>28</v>
      </c>
      <c r="B604" t="n">
        <v>1984</v>
      </c>
      <c r="C604" t="n">
        <v>0.0001</v>
      </c>
    </row>
    <row r="605">
      <c r="A605" t="n">
        <v>28</v>
      </c>
      <c r="B605" t="n">
        <v>1985</v>
      </c>
      <c r="C605" t="n">
        <v>-0.0076</v>
      </c>
    </row>
    <row r="606">
      <c r="A606" t="n">
        <v>28</v>
      </c>
      <c r="B606" t="n">
        <v>1986</v>
      </c>
      <c r="C606" t="n">
        <v>-0.0141</v>
      </c>
    </row>
    <row r="607">
      <c r="A607" t="n">
        <v>28</v>
      </c>
      <c r="B607" t="n">
        <v>1987</v>
      </c>
      <c r="C607" t="n">
        <v>-0.0176</v>
      </c>
    </row>
    <row r="608">
      <c r="A608" t="n">
        <v>28</v>
      </c>
      <c r="B608" t="n">
        <v>1988</v>
      </c>
      <c r="C608" t="n">
        <v>-0.0175</v>
      </c>
    </row>
    <row r="609">
      <c r="A609" t="n">
        <v>28</v>
      </c>
      <c r="B609" t="n">
        <v>1989</v>
      </c>
      <c r="C609" t="n">
        <v>-0.0136</v>
      </c>
    </row>
    <row r="610">
      <c r="A610" t="n">
        <v>28</v>
      </c>
      <c r="B610" t="n">
        <v>1990</v>
      </c>
      <c r="C610" t="n">
        <v>-0.0061</v>
      </c>
    </row>
    <row r="611">
      <c r="A611" t="n">
        <v>28</v>
      </c>
      <c r="B611" t="n">
        <v>1991</v>
      </c>
      <c r="C611" t="n">
        <v>0.004</v>
      </c>
    </row>
    <row r="612">
      <c r="A612" t="n">
        <v>28</v>
      </c>
      <c r="B612" t="n">
        <v>1992</v>
      </c>
      <c r="C612" t="n">
        <v>0.0159</v>
      </c>
    </row>
    <row r="613">
      <c r="A613" t="n">
        <v>28</v>
      </c>
      <c r="B613" t="n">
        <v>1993</v>
      </c>
      <c r="C613" t="n">
        <v>0.0285</v>
      </c>
    </row>
    <row r="614">
      <c r="A614" t="n">
        <v>28</v>
      </c>
      <c r="B614" t="n">
        <v>1994</v>
      </c>
      <c r="C614" t="n">
        <v>0.0405</v>
      </c>
    </row>
    <row r="615">
      <c r="A615" t="n">
        <v>28</v>
      </c>
      <c r="B615" t="n">
        <v>1995</v>
      </c>
      <c r="C615" t="n">
        <v>0.0499</v>
      </c>
    </row>
    <row r="616">
      <c r="A616" t="n">
        <v>28</v>
      </c>
      <c r="B616" t="n">
        <v>1996</v>
      </c>
      <c r="C616" t="n">
        <v>0.0546</v>
      </c>
    </row>
    <row r="617">
      <c r="A617" t="n">
        <v>28</v>
      </c>
      <c r="B617" t="n">
        <v>1997</v>
      </c>
      <c r="C617" t="n">
        <v>0.0526</v>
      </c>
    </row>
    <row r="618">
      <c r="A618" t="n">
        <v>28</v>
      </c>
      <c r="B618" t="n">
        <v>1998</v>
      </c>
      <c r="C618" t="n">
        <v>0.044</v>
      </c>
    </row>
    <row r="619">
      <c r="A619" t="n">
        <v>28</v>
      </c>
      <c r="B619" t="n">
        <v>1999</v>
      </c>
      <c r="C619" t="n">
        <v>0.0304</v>
      </c>
    </row>
    <row r="620">
      <c r="A620" t="n">
        <v>28</v>
      </c>
      <c r="B620" t="n">
        <v>2000</v>
      </c>
      <c r="C620" t="n">
        <v>0.0149</v>
      </c>
    </row>
    <row r="621">
      <c r="A621" t="n">
        <v>28</v>
      </c>
      <c r="B621" t="n">
        <v>2001</v>
      </c>
      <c r="C621" t="n">
        <v>0.0005999999999999999</v>
      </c>
    </row>
    <row r="622">
      <c r="A622" t="n">
        <v>28</v>
      </c>
      <c r="B622" t="n">
        <v>2002</v>
      </c>
      <c r="C622" t="n">
        <v>-0.0102</v>
      </c>
    </row>
    <row r="623">
      <c r="A623" t="n">
        <v>28</v>
      </c>
      <c r="B623" t="n">
        <v>2003</v>
      </c>
      <c r="C623" t="n">
        <v>-0.0164</v>
      </c>
    </row>
    <row r="624">
      <c r="A624" t="n">
        <v>28</v>
      </c>
      <c r="B624" t="n">
        <v>2004</v>
      </c>
      <c r="C624" t="n">
        <v>-0.0177</v>
      </c>
    </row>
    <row r="625">
      <c r="A625" t="n">
        <v>28</v>
      </c>
      <c r="B625" t="n">
        <v>2005</v>
      </c>
      <c r="C625" t="n">
        <v>-0.015</v>
      </c>
    </row>
    <row r="626">
      <c r="A626" t="n">
        <v>28</v>
      </c>
      <c r="B626" t="n">
        <v>2006</v>
      </c>
      <c r="C626" t="n">
        <v>-0.009299999999999999</v>
      </c>
    </row>
    <row r="627">
      <c r="A627" t="n">
        <v>28</v>
      </c>
      <c r="B627" t="n">
        <v>2007</v>
      </c>
      <c r="C627" t="n">
        <v>-0.0026</v>
      </c>
    </row>
    <row r="628">
      <c r="A628" t="n">
        <v>28</v>
      </c>
      <c r="B628" t="n">
        <v>2008</v>
      </c>
      <c r="C628" t="n">
        <v>0.0032</v>
      </c>
    </row>
    <row r="629">
      <c r="A629" t="n">
        <v>28</v>
      </c>
      <c r="B629" t="n">
        <v>2009</v>
      </c>
      <c r="C629" t="n">
        <v>0.0065</v>
      </c>
    </row>
    <row r="630">
      <c r="A630" t="n">
        <v>28</v>
      </c>
      <c r="B630" t="n">
        <v>2010</v>
      </c>
      <c r="C630" t="n">
        <v>0.0069</v>
      </c>
    </row>
    <row r="631">
      <c r="A631" t="n">
        <v>28</v>
      </c>
      <c r="B631" t="n">
        <v>2011</v>
      </c>
      <c r="C631" t="n">
        <v>0.0048</v>
      </c>
    </row>
    <row r="632">
      <c r="A632" t="n">
        <v>28</v>
      </c>
      <c r="B632" t="n">
        <v>2012</v>
      </c>
      <c r="C632" t="n">
        <v>0.0011</v>
      </c>
    </row>
    <row r="633">
      <c r="A633" t="n">
        <v>28</v>
      </c>
      <c r="B633" t="n">
        <v>2013</v>
      </c>
      <c r="C633" t="n">
        <v>0.003</v>
      </c>
    </row>
    <row r="634">
      <c r="A634" t="n">
        <v>28</v>
      </c>
      <c r="B634" t="n">
        <v>2014</v>
      </c>
      <c r="C634" t="n">
        <v>0.0053</v>
      </c>
    </row>
    <row r="635">
      <c r="A635" t="n">
        <v>28</v>
      </c>
      <c r="B635" t="n">
        <v>2015</v>
      </c>
      <c r="C635" t="n">
        <v>0.0077</v>
      </c>
    </row>
    <row r="636">
      <c r="A636" t="n">
        <v>28</v>
      </c>
      <c r="B636" t="n">
        <v>2016</v>
      </c>
      <c r="C636" t="n">
        <v>0.0101</v>
      </c>
    </row>
    <row r="637">
      <c r="A637" t="n">
        <v>28</v>
      </c>
      <c r="B637" t="n">
        <v>2017</v>
      </c>
      <c r="C637" t="n">
        <v>0.0123</v>
      </c>
    </row>
    <row r="638">
      <c r="A638" t="n">
        <v>28</v>
      </c>
      <c r="B638" t="n">
        <v>2018</v>
      </c>
      <c r="C638" t="n">
        <v>0.0142</v>
      </c>
    </row>
    <row r="639">
      <c r="A639" t="n">
        <v>28</v>
      </c>
      <c r="B639" t="n">
        <v>2019</v>
      </c>
      <c r="C639" t="n">
        <v>0.0157</v>
      </c>
    </row>
    <row r="640">
      <c r="A640" t="n">
        <v>28</v>
      </c>
      <c r="B640" t="n">
        <v>2020</v>
      </c>
      <c r="C640" t="n">
        <v>0.0166</v>
      </c>
    </row>
    <row r="641">
      <c r="A641" t="n">
        <v>28</v>
      </c>
      <c r="B641" t="n">
        <v>2021</v>
      </c>
      <c r="C641" t="n">
        <v>0.0162</v>
      </c>
    </row>
    <row r="642">
      <c r="A642" t="n">
        <v>28</v>
      </c>
      <c r="B642" t="n">
        <v>2022</v>
      </c>
      <c r="C642" t="n">
        <v>0.0155</v>
      </c>
    </row>
    <row r="643">
      <c r="A643" t="n">
        <v>28</v>
      </c>
      <c r="B643" t="n">
        <v>2023</v>
      </c>
      <c r="C643" t="n">
        <v>0.0146</v>
      </c>
    </row>
    <row r="644">
      <c r="A644" t="n">
        <v>28</v>
      </c>
      <c r="B644" t="n">
        <v>2024</v>
      </c>
      <c r="C644" t="n">
        <v>0.0138</v>
      </c>
    </row>
    <row r="645">
      <c r="A645" t="n">
        <v>28</v>
      </c>
      <c r="B645" t="n">
        <v>2025</v>
      </c>
      <c r="C645" t="n">
        <v>0.0131</v>
      </c>
    </row>
    <row r="646">
      <c r="A646" t="n">
        <v>28</v>
      </c>
      <c r="B646" t="n">
        <v>2026</v>
      </c>
      <c r="C646" t="n">
        <v>0.0124</v>
      </c>
    </row>
    <row r="647">
      <c r="A647" t="n">
        <v>28</v>
      </c>
      <c r="B647" t="n">
        <v>2027</v>
      </c>
      <c r="C647" t="n">
        <v>0.0117</v>
      </c>
    </row>
    <row r="648">
      <c r="A648" t="n">
        <v>28</v>
      </c>
      <c r="B648" t="n">
        <v>2028</v>
      </c>
      <c r="C648" t="n">
        <v>0.0111</v>
      </c>
    </row>
    <row r="649">
      <c r="A649" t="n">
        <v>28</v>
      </c>
      <c r="B649" t="n">
        <v>2029</v>
      </c>
      <c r="C649" t="n">
        <v>0.0107</v>
      </c>
    </row>
    <row r="650">
      <c r="A650" t="n">
        <v>28</v>
      </c>
      <c r="B650" t="n">
        <v>2030</v>
      </c>
      <c r="C650" t="n">
        <v>0.0103</v>
      </c>
    </row>
    <row r="651">
      <c r="A651" t="n">
        <v>28</v>
      </c>
      <c r="B651" t="n">
        <v>2031</v>
      </c>
      <c r="C651" t="n">
        <v>0.0101</v>
      </c>
    </row>
    <row r="652">
      <c r="A652" t="n">
        <v>29</v>
      </c>
      <c r="B652" t="n">
        <v>1951</v>
      </c>
      <c r="C652" t="n">
        <v>0.0265</v>
      </c>
    </row>
    <row r="653">
      <c r="A653" t="n">
        <v>29</v>
      </c>
      <c r="B653" t="n">
        <v>1952</v>
      </c>
      <c r="C653" t="n">
        <v>0.026</v>
      </c>
    </row>
    <row r="654">
      <c r="A654" t="n">
        <v>29</v>
      </c>
      <c r="B654" t="n">
        <v>1953</v>
      </c>
      <c r="C654" t="n">
        <v>0.0253</v>
      </c>
    </row>
    <row r="655">
      <c r="A655" t="n">
        <v>29</v>
      </c>
      <c r="B655" t="n">
        <v>1954</v>
      </c>
      <c r="C655" t="n">
        <v>0.0238</v>
      </c>
    </row>
    <row r="656">
      <c r="A656" t="n">
        <v>29</v>
      </c>
      <c r="B656" t="n">
        <v>1955</v>
      </c>
      <c r="C656" t="n">
        <v>0.0215</v>
      </c>
    </row>
    <row r="657">
      <c r="A657" t="n">
        <v>29</v>
      </c>
      <c r="B657" t="n">
        <v>1956</v>
      </c>
      <c r="C657" t="n">
        <v>0.0184</v>
      </c>
    </row>
    <row r="658">
      <c r="A658" t="n">
        <v>29</v>
      </c>
      <c r="B658" t="n">
        <v>1957</v>
      </c>
      <c r="C658" t="n">
        <v>0.0146</v>
      </c>
    </row>
    <row r="659">
      <c r="A659" t="n">
        <v>29</v>
      </c>
      <c r="B659" t="n">
        <v>1958</v>
      </c>
      <c r="C659" t="n">
        <v>0.0104</v>
      </c>
    </row>
    <row r="660">
      <c r="A660" t="n">
        <v>29</v>
      </c>
      <c r="B660" t="n">
        <v>1959</v>
      </c>
      <c r="C660" t="n">
        <v>0.0057</v>
      </c>
    </row>
    <row r="661">
      <c r="A661" t="n">
        <v>29</v>
      </c>
      <c r="B661" t="n">
        <v>1960</v>
      </c>
      <c r="C661" t="n">
        <v>0.0005999999999999999</v>
      </c>
    </row>
    <row r="662">
      <c r="A662" t="n">
        <v>29</v>
      </c>
      <c r="B662" t="n">
        <v>1961</v>
      </c>
      <c r="C662" t="n">
        <v>-0.0049</v>
      </c>
    </row>
    <row r="663">
      <c r="A663" t="n">
        <v>29</v>
      </c>
      <c r="B663" t="n">
        <v>1962</v>
      </c>
      <c r="C663" t="n">
        <v>-0.0104</v>
      </c>
    </row>
    <row r="664">
      <c r="A664" t="n">
        <v>29</v>
      </c>
      <c r="B664" t="n">
        <v>1963</v>
      </c>
      <c r="C664" t="n">
        <v>-0.0155</v>
      </c>
    </row>
    <row r="665">
      <c r="A665" t="n">
        <v>29</v>
      </c>
      <c r="B665" t="n">
        <v>1964</v>
      </c>
      <c r="C665" t="n">
        <v>-0.0194</v>
      </c>
    </row>
    <row r="666">
      <c r="A666" t="n">
        <v>29</v>
      </c>
      <c r="B666" t="n">
        <v>1965</v>
      </c>
      <c r="C666" t="n">
        <v>-0.0215</v>
      </c>
    </row>
    <row r="667">
      <c r="A667" t="n">
        <v>29</v>
      </c>
      <c r="B667" t="n">
        <v>1966</v>
      </c>
      <c r="C667" t="n">
        <v>-0.0216</v>
      </c>
    </row>
    <row r="668">
      <c r="A668" t="n">
        <v>29</v>
      </c>
      <c r="B668" t="n">
        <v>1967</v>
      </c>
      <c r="C668" t="n">
        <v>-0.0197</v>
      </c>
    </row>
    <row r="669">
      <c r="A669" t="n">
        <v>29</v>
      </c>
      <c r="B669" t="n">
        <v>1968</v>
      </c>
      <c r="C669" t="n">
        <v>-0.0157</v>
      </c>
    </row>
    <row r="670">
      <c r="A670" t="n">
        <v>29</v>
      </c>
      <c r="B670" t="n">
        <v>1969</v>
      </c>
      <c r="C670" t="n">
        <v>-0.0101</v>
      </c>
    </row>
    <row r="671">
      <c r="A671" t="n">
        <v>29</v>
      </c>
      <c r="B671" t="n">
        <v>1970</v>
      </c>
      <c r="C671" t="n">
        <v>-0.0035</v>
      </c>
    </row>
    <row r="672">
      <c r="A672" t="n">
        <v>29</v>
      </c>
      <c r="B672" t="n">
        <v>1971</v>
      </c>
      <c r="C672" t="n">
        <v>0.0032</v>
      </c>
    </row>
    <row r="673">
      <c r="A673" t="n">
        <v>29</v>
      </c>
      <c r="B673" t="n">
        <v>1972</v>
      </c>
      <c r="C673" t="n">
        <v>0.009299999999999999</v>
      </c>
    </row>
    <row r="674">
      <c r="A674" t="n">
        <v>29</v>
      </c>
      <c r="B674" t="n">
        <v>1973</v>
      </c>
      <c r="C674" t="n">
        <v>0.0141</v>
      </c>
    </row>
    <row r="675">
      <c r="A675" t="n">
        <v>29</v>
      </c>
      <c r="B675" t="n">
        <v>1974</v>
      </c>
      <c r="C675" t="n">
        <v>0.0172</v>
      </c>
    </row>
    <row r="676">
      <c r="A676" t="n">
        <v>29</v>
      </c>
      <c r="B676" t="n">
        <v>1975</v>
      </c>
      <c r="C676" t="n">
        <v>0.0183</v>
      </c>
    </row>
    <row r="677">
      <c r="A677" t="n">
        <v>29</v>
      </c>
      <c r="B677" t="n">
        <v>1976</v>
      </c>
      <c r="C677" t="n">
        <v>0.0175</v>
      </c>
    </row>
    <row r="678">
      <c r="A678" t="n">
        <v>29</v>
      </c>
      <c r="B678" t="n">
        <v>1977</v>
      </c>
      <c r="C678" t="n">
        <v>0.0155</v>
      </c>
    </row>
    <row r="679">
      <c r="A679" t="n">
        <v>29</v>
      </c>
      <c r="B679" t="n">
        <v>1978</v>
      </c>
      <c r="C679" t="n">
        <v>0.0134</v>
      </c>
    </row>
    <row r="680">
      <c r="A680" t="n">
        <v>29</v>
      </c>
      <c r="B680" t="n">
        <v>1979</v>
      </c>
      <c r="C680" t="n">
        <v>0.0118</v>
      </c>
    </row>
    <row r="681">
      <c r="A681" t="n">
        <v>29</v>
      </c>
      <c r="B681" t="n">
        <v>1980</v>
      </c>
      <c r="C681" t="n">
        <v>0.0108</v>
      </c>
    </row>
    <row r="682">
      <c r="A682" t="n">
        <v>29</v>
      </c>
      <c r="B682" t="n">
        <v>1981</v>
      </c>
      <c r="C682" t="n">
        <v>0.0097</v>
      </c>
    </row>
    <row r="683">
      <c r="A683" t="n">
        <v>29</v>
      </c>
      <c r="B683" t="n">
        <v>1982</v>
      </c>
      <c r="C683" t="n">
        <v>0.007</v>
      </c>
    </row>
    <row r="684">
      <c r="A684" t="n">
        <v>29</v>
      </c>
      <c r="B684" t="n">
        <v>1983</v>
      </c>
      <c r="C684" t="n">
        <v>0.0019</v>
      </c>
    </row>
    <row r="685">
      <c r="A685" t="n">
        <v>29</v>
      </c>
      <c r="B685" t="n">
        <v>1984</v>
      </c>
      <c r="C685" t="n">
        <v>-0.0053</v>
      </c>
    </row>
    <row r="686">
      <c r="A686" t="n">
        <v>29</v>
      </c>
      <c r="B686" t="n">
        <v>1985</v>
      </c>
      <c r="C686" t="n">
        <v>-0.013</v>
      </c>
    </row>
    <row r="687">
      <c r="A687" t="n">
        <v>29</v>
      </c>
      <c r="B687" t="n">
        <v>1986</v>
      </c>
      <c r="C687" t="n">
        <v>-0.0191</v>
      </c>
    </row>
    <row r="688">
      <c r="A688" t="n">
        <v>29</v>
      </c>
      <c r="B688" t="n">
        <v>1987</v>
      </c>
      <c r="C688" t="n">
        <v>-0.0221</v>
      </c>
    </row>
    <row r="689">
      <c r="A689" t="n">
        <v>29</v>
      </c>
      <c r="B689" t="n">
        <v>1988</v>
      </c>
      <c r="C689" t="n">
        <v>-0.0214</v>
      </c>
    </row>
    <row r="690">
      <c r="A690" t="n">
        <v>29</v>
      </c>
      <c r="B690" t="n">
        <v>1989</v>
      </c>
      <c r="C690" t="n">
        <v>-0.0169</v>
      </c>
    </row>
    <row r="691">
      <c r="A691" t="n">
        <v>29</v>
      </c>
      <c r="B691" t="n">
        <v>1990</v>
      </c>
      <c r="C691" t="n">
        <v>-0.008999999999999999</v>
      </c>
    </row>
    <row r="692">
      <c r="A692" t="n">
        <v>29</v>
      </c>
      <c r="B692" t="n">
        <v>1991</v>
      </c>
      <c r="C692" t="n">
        <v>0.0017</v>
      </c>
    </row>
    <row r="693">
      <c r="A693" t="n">
        <v>29</v>
      </c>
      <c r="B693" t="n">
        <v>1992</v>
      </c>
      <c r="C693" t="n">
        <v>0.0143</v>
      </c>
    </row>
    <row r="694">
      <c r="A694" t="n">
        <v>29</v>
      </c>
      <c r="B694" t="n">
        <v>1993</v>
      </c>
      <c r="C694" t="n">
        <v>0.028</v>
      </c>
    </row>
    <row r="695">
      <c r="A695" t="n">
        <v>29</v>
      </c>
      <c r="B695" t="n">
        <v>1994</v>
      </c>
      <c r="C695" t="n">
        <v>0.0415</v>
      </c>
    </row>
    <row r="696">
      <c r="A696" t="n">
        <v>29</v>
      </c>
      <c r="B696" t="n">
        <v>1995</v>
      </c>
      <c r="C696" t="n">
        <v>0.0526</v>
      </c>
    </row>
    <row r="697">
      <c r="A697" t="n">
        <v>29</v>
      </c>
      <c r="B697" t="n">
        <v>1996</v>
      </c>
      <c r="C697" t="n">
        <v>0.0587</v>
      </c>
    </row>
    <row r="698">
      <c r="A698" t="n">
        <v>29</v>
      </c>
      <c r="B698" t="n">
        <v>1997</v>
      </c>
      <c r="C698" t="n">
        <v>0.0577</v>
      </c>
    </row>
    <row r="699">
      <c r="A699" t="n">
        <v>29</v>
      </c>
      <c r="B699" t="n">
        <v>1998</v>
      </c>
      <c r="C699" t="n">
        <v>0.0495</v>
      </c>
    </row>
    <row r="700">
      <c r="A700" t="n">
        <v>29</v>
      </c>
      <c r="B700" t="n">
        <v>1999</v>
      </c>
      <c r="C700" t="n">
        <v>0.0359</v>
      </c>
    </row>
    <row r="701">
      <c r="A701" t="n">
        <v>29</v>
      </c>
      <c r="B701" t="n">
        <v>2000</v>
      </c>
      <c r="C701" t="n">
        <v>0.0199</v>
      </c>
    </row>
    <row r="702">
      <c r="A702" t="n">
        <v>29</v>
      </c>
      <c r="B702" t="n">
        <v>2001</v>
      </c>
      <c r="C702" t="n">
        <v>0.0049</v>
      </c>
    </row>
    <row r="703">
      <c r="A703" t="n">
        <v>29</v>
      </c>
      <c r="B703" t="n">
        <v>2002</v>
      </c>
      <c r="C703" t="n">
        <v>-0.0066</v>
      </c>
    </row>
    <row r="704">
      <c r="A704" t="n">
        <v>29</v>
      </c>
      <c r="B704" t="n">
        <v>2003</v>
      </c>
      <c r="C704" t="n">
        <v>-0.0135</v>
      </c>
    </row>
    <row r="705">
      <c r="A705" t="n">
        <v>29</v>
      </c>
      <c r="B705" t="n">
        <v>2004</v>
      </c>
      <c r="C705" t="n">
        <v>-0.0158</v>
      </c>
    </row>
    <row r="706">
      <c r="A706" t="n">
        <v>29</v>
      </c>
      <c r="B706" t="n">
        <v>2005</v>
      </c>
      <c r="C706" t="n">
        <v>-0.0139</v>
      </c>
    </row>
    <row r="707">
      <c r="A707" t="n">
        <v>29</v>
      </c>
      <c r="B707" t="n">
        <v>2006</v>
      </c>
      <c r="C707" t="n">
        <v>-0.0092</v>
      </c>
    </row>
    <row r="708">
      <c r="A708" t="n">
        <v>29</v>
      </c>
      <c r="B708" t="n">
        <v>2007</v>
      </c>
      <c r="C708" t="n">
        <v>-0.0034</v>
      </c>
    </row>
    <row r="709">
      <c r="A709" t="n">
        <v>29</v>
      </c>
      <c r="B709" t="n">
        <v>2008</v>
      </c>
      <c r="C709" t="n">
        <v>0.0015</v>
      </c>
    </row>
    <row r="710">
      <c r="A710" t="n">
        <v>29</v>
      </c>
      <c r="B710" t="n">
        <v>2009</v>
      </c>
      <c r="C710" t="n">
        <v>0.0042</v>
      </c>
    </row>
    <row r="711">
      <c r="A711" t="n">
        <v>29</v>
      </c>
      <c r="B711" t="n">
        <v>2010</v>
      </c>
      <c r="C711" t="n">
        <v>0.0042</v>
      </c>
    </row>
    <row r="712">
      <c r="A712" t="n">
        <v>29</v>
      </c>
      <c r="B712" t="n">
        <v>2011</v>
      </c>
      <c r="C712" t="n">
        <v>0.0019</v>
      </c>
    </row>
    <row r="713">
      <c r="A713" t="n">
        <v>29</v>
      </c>
      <c r="B713" t="n">
        <v>2012</v>
      </c>
      <c r="C713" t="n">
        <v>-0.002</v>
      </c>
    </row>
    <row r="714">
      <c r="A714" t="n">
        <v>29</v>
      </c>
      <c r="B714" t="n">
        <v>2013</v>
      </c>
      <c r="C714" t="n">
        <v>-0.0002</v>
      </c>
    </row>
    <row r="715">
      <c r="A715" t="n">
        <v>29</v>
      </c>
      <c r="B715" t="n">
        <v>2014</v>
      </c>
      <c r="C715" t="n">
        <v>0.002</v>
      </c>
    </row>
    <row r="716">
      <c r="A716" t="n">
        <v>29</v>
      </c>
      <c r="B716" t="n">
        <v>2015</v>
      </c>
      <c r="C716" t="n">
        <v>0.0046</v>
      </c>
    </row>
    <row r="717">
      <c r="A717" t="n">
        <v>29</v>
      </c>
      <c r="B717" t="n">
        <v>2016</v>
      </c>
      <c r="C717" t="n">
        <v>0.0073</v>
      </c>
    </row>
    <row r="718">
      <c r="A718" t="n">
        <v>29</v>
      </c>
      <c r="B718" t="n">
        <v>2017</v>
      </c>
      <c r="C718" t="n">
        <v>0.0098</v>
      </c>
    </row>
    <row r="719">
      <c r="A719" t="n">
        <v>29</v>
      </c>
      <c r="B719" t="n">
        <v>2018</v>
      </c>
      <c r="C719" t="n">
        <v>0.0121</v>
      </c>
    </row>
    <row r="720">
      <c r="A720" t="n">
        <v>29</v>
      </c>
      <c r="B720" t="n">
        <v>2019</v>
      </c>
      <c r="C720" t="n">
        <v>0.014</v>
      </c>
    </row>
    <row r="721">
      <c r="A721" t="n">
        <v>29</v>
      </c>
      <c r="B721" t="n">
        <v>2020</v>
      </c>
      <c r="C721" t="n">
        <v>0.0153</v>
      </c>
    </row>
    <row r="722">
      <c r="A722" t="n">
        <v>29</v>
      </c>
      <c r="B722" t="n">
        <v>2021</v>
      </c>
      <c r="C722" t="n">
        <v>0.0161</v>
      </c>
    </row>
    <row r="723">
      <c r="A723" t="n">
        <v>29</v>
      </c>
      <c r="B723" t="n">
        <v>2022</v>
      </c>
      <c r="C723" t="n">
        <v>0.0155</v>
      </c>
    </row>
    <row r="724">
      <c r="A724" t="n">
        <v>29</v>
      </c>
      <c r="B724" t="n">
        <v>2023</v>
      </c>
      <c r="C724" t="n">
        <v>0.0146</v>
      </c>
    </row>
    <row r="725">
      <c r="A725" t="n">
        <v>29</v>
      </c>
      <c r="B725" t="n">
        <v>2024</v>
      </c>
      <c r="C725" t="n">
        <v>0.0138</v>
      </c>
    </row>
    <row r="726">
      <c r="A726" t="n">
        <v>29</v>
      </c>
      <c r="B726" t="n">
        <v>2025</v>
      </c>
      <c r="C726" t="n">
        <v>0.0131</v>
      </c>
    </row>
    <row r="727">
      <c r="A727" t="n">
        <v>29</v>
      </c>
      <c r="B727" t="n">
        <v>2026</v>
      </c>
      <c r="C727" t="n">
        <v>0.0124</v>
      </c>
    </row>
    <row r="728">
      <c r="A728" t="n">
        <v>29</v>
      </c>
      <c r="B728" t="n">
        <v>2027</v>
      </c>
      <c r="C728" t="n">
        <v>0.0117</v>
      </c>
    </row>
    <row r="729">
      <c r="A729" t="n">
        <v>29</v>
      </c>
      <c r="B729" t="n">
        <v>2028</v>
      </c>
      <c r="C729" t="n">
        <v>0.0111</v>
      </c>
    </row>
    <row r="730">
      <c r="A730" t="n">
        <v>29</v>
      </c>
      <c r="B730" t="n">
        <v>2029</v>
      </c>
      <c r="C730" t="n">
        <v>0.0107</v>
      </c>
    </row>
    <row r="731">
      <c r="A731" t="n">
        <v>29</v>
      </c>
      <c r="B731" t="n">
        <v>2030</v>
      </c>
      <c r="C731" t="n">
        <v>0.0103</v>
      </c>
    </row>
    <row r="732">
      <c r="A732" t="n">
        <v>29</v>
      </c>
      <c r="B732" t="n">
        <v>2031</v>
      </c>
      <c r="C732" t="n">
        <v>0.0101</v>
      </c>
    </row>
    <row r="733">
      <c r="A733" t="n">
        <v>30</v>
      </c>
      <c r="B733" t="n">
        <v>1951</v>
      </c>
      <c r="C733" t="n">
        <v>0.0309</v>
      </c>
    </row>
    <row r="734">
      <c r="A734" t="n">
        <v>30</v>
      </c>
      <c r="B734" t="n">
        <v>1952</v>
      </c>
      <c r="C734" t="n">
        <v>0.0293</v>
      </c>
    </row>
    <row r="735">
      <c r="A735" t="n">
        <v>30</v>
      </c>
      <c r="B735" t="n">
        <v>1953</v>
      </c>
      <c r="C735" t="n">
        <v>0.0273</v>
      </c>
    </row>
    <row r="736">
      <c r="A736" t="n">
        <v>30</v>
      </c>
      <c r="B736" t="n">
        <v>1954</v>
      </c>
      <c r="C736" t="n">
        <v>0.0248</v>
      </c>
    </row>
    <row r="737">
      <c r="A737" t="n">
        <v>30</v>
      </c>
      <c r="B737" t="n">
        <v>1955</v>
      </c>
      <c r="C737" t="n">
        <v>0.0215</v>
      </c>
    </row>
    <row r="738">
      <c r="A738" t="n">
        <v>30</v>
      </c>
      <c r="B738" t="n">
        <v>1956</v>
      </c>
      <c r="C738" t="n">
        <v>0.0176</v>
      </c>
    </row>
    <row r="739">
      <c r="A739" t="n">
        <v>30</v>
      </c>
      <c r="B739" t="n">
        <v>1957</v>
      </c>
      <c r="C739" t="n">
        <v>0.0134</v>
      </c>
    </row>
    <row r="740">
      <c r="A740" t="n">
        <v>30</v>
      </c>
      <c r="B740" t="n">
        <v>1958</v>
      </c>
      <c r="C740" t="n">
        <v>0.008999999999999999</v>
      </c>
    </row>
    <row r="741">
      <c r="A741" t="n">
        <v>30</v>
      </c>
      <c r="B741" t="n">
        <v>1959</v>
      </c>
      <c r="C741" t="n">
        <v>0.0044</v>
      </c>
    </row>
    <row r="742">
      <c r="A742" t="n">
        <v>30</v>
      </c>
      <c r="B742" t="n">
        <v>1960</v>
      </c>
      <c r="C742" t="n">
        <v>-0.0004</v>
      </c>
    </row>
    <row r="743">
      <c r="A743" t="n">
        <v>30</v>
      </c>
      <c r="B743" t="n">
        <v>1961</v>
      </c>
      <c r="C743" t="n">
        <v>-0.0055</v>
      </c>
    </row>
    <row r="744">
      <c r="A744" t="n">
        <v>30</v>
      </c>
      <c r="B744" t="n">
        <v>1962</v>
      </c>
      <c r="C744" t="n">
        <v>-0.0107</v>
      </c>
    </row>
    <row r="745">
      <c r="A745" t="n">
        <v>30</v>
      </c>
      <c r="B745" t="n">
        <v>1963</v>
      </c>
      <c r="C745" t="n">
        <v>-0.0152</v>
      </c>
    </row>
    <row r="746">
      <c r="A746" t="n">
        <v>30</v>
      </c>
      <c r="B746" t="n">
        <v>1964</v>
      </c>
      <c r="C746" t="n">
        <v>-0.0187</v>
      </c>
    </row>
    <row r="747">
      <c r="A747" t="n">
        <v>30</v>
      </c>
      <c r="B747" t="n">
        <v>1965</v>
      </c>
      <c r="C747" t="n">
        <v>-0.0204</v>
      </c>
    </row>
    <row r="748">
      <c r="A748" t="n">
        <v>30</v>
      </c>
      <c r="B748" t="n">
        <v>1966</v>
      </c>
      <c r="C748" t="n">
        <v>-0.0203</v>
      </c>
    </row>
    <row r="749">
      <c r="A749" t="n">
        <v>30</v>
      </c>
      <c r="B749" t="n">
        <v>1967</v>
      </c>
      <c r="C749" t="n">
        <v>-0.0183</v>
      </c>
    </row>
    <row r="750">
      <c r="A750" t="n">
        <v>30</v>
      </c>
      <c r="B750" t="n">
        <v>1968</v>
      </c>
      <c r="C750" t="n">
        <v>-0.0143</v>
      </c>
    </row>
    <row r="751">
      <c r="A751" t="n">
        <v>30</v>
      </c>
      <c r="B751" t="n">
        <v>1969</v>
      </c>
      <c r="C751" t="n">
        <v>-0.008800000000000001</v>
      </c>
    </row>
    <row r="752">
      <c r="A752" t="n">
        <v>30</v>
      </c>
      <c r="B752" t="n">
        <v>1970</v>
      </c>
      <c r="C752" t="n">
        <v>-0.0022</v>
      </c>
    </row>
    <row r="753">
      <c r="A753" t="n">
        <v>30</v>
      </c>
      <c r="B753" t="n">
        <v>1971</v>
      </c>
      <c r="C753" t="n">
        <v>0.0045</v>
      </c>
    </row>
    <row r="754">
      <c r="A754" t="n">
        <v>30</v>
      </c>
      <c r="B754" t="n">
        <v>1972</v>
      </c>
      <c r="C754" t="n">
        <v>0.0108</v>
      </c>
    </row>
    <row r="755">
      <c r="A755" t="n">
        <v>30</v>
      </c>
      <c r="B755" t="n">
        <v>1973</v>
      </c>
      <c r="C755" t="n">
        <v>0.0159</v>
      </c>
    </row>
    <row r="756">
      <c r="A756" t="n">
        <v>30</v>
      </c>
      <c r="B756" t="n">
        <v>1974</v>
      </c>
      <c r="C756" t="n">
        <v>0.0193</v>
      </c>
    </row>
    <row r="757">
      <c r="A757" t="n">
        <v>30</v>
      </c>
      <c r="B757" t="n">
        <v>1975</v>
      </c>
      <c r="C757" t="n">
        <v>0.0206</v>
      </c>
    </row>
    <row r="758">
      <c r="A758" t="n">
        <v>30</v>
      </c>
      <c r="B758" t="n">
        <v>1976</v>
      </c>
      <c r="C758" t="n">
        <v>0.0199</v>
      </c>
    </row>
    <row r="759">
      <c r="A759" t="n">
        <v>30</v>
      </c>
      <c r="B759" t="n">
        <v>1977</v>
      </c>
      <c r="C759" t="n">
        <v>0.0177</v>
      </c>
    </row>
    <row r="760">
      <c r="A760" t="n">
        <v>30</v>
      </c>
      <c r="B760" t="n">
        <v>1978</v>
      </c>
      <c r="C760" t="n">
        <v>0.0149</v>
      </c>
    </row>
    <row r="761">
      <c r="A761" t="n">
        <v>30</v>
      </c>
      <c r="B761" t="n">
        <v>1979</v>
      </c>
      <c r="C761" t="n">
        <v>0.0122</v>
      </c>
    </row>
    <row r="762">
      <c r="A762" t="n">
        <v>30</v>
      </c>
      <c r="B762" t="n">
        <v>1980</v>
      </c>
      <c r="C762" t="n">
        <v>0.009900000000000001</v>
      </c>
    </row>
    <row r="763">
      <c r="A763" t="n">
        <v>30</v>
      </c>
      <c r="B763" t="n">
        <v>1981</v>
      </c>
      <c r="C763" t="n">
        <v>0.0073</v>
      </c>
    </row>
    <row r="764">
      <c r="A764" t="n">
        <v>30</v>
      </c>
      <c r="B764" t="n">
        <v>1982</v>
      </c>
      <c r="C764" t="n">
        <v>0.0033</v>
      </c>
    </row>
    <row r="765">
      <c r="A765" t="n">
        <v>30</v>
      </c>
      <c r="B765" t="n">
        <v>1983</v>
      </c>
      <c r="C765" t="n">
        <v>-0.0028</v>
      </c>
    </row>
    <row r="766">
      <c r="A766" t="n">
        <v>30</v>
      </c>
      <c r="B766" t="n">
        <v>1984</v>
      </c>
      <c r="C766" t="n">
        <v>-0.0104</v>
      </c>
    </row>
    <row r="767">
      <c r="A767" t="n">
        <v>30</v>
      </c>
      <c r="B767" t="n">
        <v>1985</v>
      </c>
      <c r="C767" t="n">
        <v>-0.0182</v>
      </c>
    </row>
    <row r="768">
      <c r="A768" t="n">
        <v>30</v>
      </c>
      <c r="B768" t="n">
        <v>1986</v>
      </c>
      <c r="C768" t="n">
        <v>-0.0241</v>
      </c>
    </row>
    <row r="769">
      <c r="A769" t="n">
        <v>30</v>
      </c>
      <c r="B769" t="n">
        <v>1987</v>
      </c>
      <c r="C769" t="n">
        <v>-0.0265</v>
      </c>
    </row>
    <row r="770">
      <c r="A770" t="n">
        <v>30</v>
      </c>
      <c r="B770" t="n">
        <v>1988</v>
      </c>
      <c r="C770" t="n">
        <v>-0.0252</v>
      </c>
    </row>
    <row r="771">
      <c r="A771" t="n">
        <v>30</v>
      </c>
      <c r="B771" t="n">
        <v>1989</v>
      </c>
      <c r="C771" t="n">
        <v>-0.0202</v>
      </c>
    </row>
    <row r="772">
      <c r="A772" t="n">
        <v>30</v>
      </c>
      <c r="B772" t="n">
        <v>1990</v>
      </c>
      <c r="C772" t="n">
        <v>-0.0119</v>
      </c>
    </row>
    <row r="773">
      <c r="A773" t="n">
        <v>30</v>
      </c>
      <c r="B773" t="n">
        <v>1991</v>
      </c>
      <c r="C773" t="n">
        <v>-0.0009</v>
      </c>
    </row>
    <row r="774">
      <c r="A774" t="n">
        <v>30</v>
      </c>
      <c r="B774" t="n">
        <v>1992</v>
      </c>
      <c r="C774" t="n">
        <v>0.0123</v>
      </c>
    </row>
    <row r="775">
      <c r="A775" t="n">
        <v>30</v>
      </c>
      <c r="B775" t="n">
        <v>1993</v>
      </c>
      <c r="C775" t="n">
        <v>0.0269</v>
      </c>
    </row>
    <row r="776">
      <c r="A776" t="n">
        <v>30</v>
      </c>
      <c r="B776" t="n">
        <v>1994</v>
      </c>
      <c r="C776" t="n">
        <v>0.0418</v>
      </c>
    </row>
    <row r="777">
      <c r="A777" t="n">
        <v>30</v>
      </c>
      <c r="B777" t="n">
        <v>1995</v>
      </c>
      <c r="C777" t="n">
        <v>0.0544</v>
      </c>
    </row>
    <row r="778">
      <c r="A778" t="n">
        <v>30</v>
      </c>
      <c r="B778" t="n">
        <v>1996</v>
      </c>
      <c r="C778" t="n">
        <v>0.0619</v>
      </c>
    </row>
    <row r="779">
      <c r="A779" t="n">
        <v>30</v>
      </c>
      <c r="B779" t="n">
        <v>1997</v>
      </c>
      <c r="C779" t="n">
        <v>0.062</v>
      </c>
    </row>
    <row r="780">
      <c r="A780" t="n">
        <v>30</v>
      </c>
      <c r="B780" t="n">
        <v>1998</v>
      </c>
      <c r="C780" t="n">
        <v>0.0544</v>
      </c>
    </row>
    <row r="781">
      <c r="A781" t="n">
        <v>30</v>
      </c>
      <c r="B781" t="n">
        <v>1999</v>
      </c>
      <c r="C781" t="n">
        <v>0.0409</v>
      </c>
    </row>
    <row r="782">
      <c r="A782" t="n">
        <v>30</v>
      </c>
      <c r="B782" t="n">
        <v>2000</v>
      </c>
      <c r="C782" t="n">
        <v>0.0249</v>
      </c>
    </row>
    <row r="783">
      <c r="A783" t="n">
        <v>30</v>
      </c>
      <c r="B783" t="n">
        <v>2001</v>
      </c>
      <c r="C783" t="n">
        <v>0.009599999999999999</v>
      </c>
    </row>
    <row r="784">
      <c r="A784" t="n">
        <v>30</v>
      </c>
      <c r="B784" t="n">
        <v>2002</v>
      </c>
      <c r="C784" t="n">
        <v>-0.0024</v>
      </c>
    </row>
    <row r="785">
      <c r="A785" t="n">
        <v>30</v>
      </c>
      <c r="B785" t="n">
        <v>2003</v>
      </c>
      <c r="C785" t="n">
        <v>-0.01</v>
      </c>
    </row>
    <row r="786">
      <c r="A786" t="n">
        <v>30</v>
      </c>
      <c r="B786" t="n">
        <v>2004</v>
      </c>
      <c r="C786" t="n">
        <v>-0.0129</v>
      </c>
    </row>
    <row r="787">
      <c r="A787" t="n">
        <v>30</v>
      </c>
      <c r="B787" t="n">
        <v>2005</v>
      </c>
      <c r="C787" t="n">
        <v>-0.012</v>
      </c>
    </row>
    <row r="788">
      <c r="A788" t="n">
        <v>30</v>
      </c>
      <c r="B788" t="n">
        <v>2006</v>
      </c>
      <c r="C788" t="n">
        <v>-0.0083</v>
      </c>
    </row>
    <row r="789">
      <c r="A789" t="n">
        <v>30</v>
      </c>
      <c r="B789" t="n">
        <v>2007</v>
      </c>
      <c r="C789" t="n">
        <v>-0.0035</v>
      </c>
    </row>
    <row r="790">
      <c r="A790" t="n">
        <v>30</v>
      </c>
      <c r="B790" t="n">
        <v>2008</v>
      </c>
      <c r="C790" t="n">
        <v>0.0005999999999999999</v>
      </c>
    </row>
    <row r="791">
      <c r="A791" t="n">
        <v>30</v>
      </c>
      <c r="B791" t="n">
        <v>2009</v>
      </c>
      <c r="C791" t="n">
        <v>0.0027</v>
      </c>
    </row>
    <row r="792">
      <c r="A792" t="n">
        <v>30</v>
      </c>
      <c r="B792" t="n">
        <v>2010</v>
      </c>
      <c r="C792" t="n">
        <v>0.0022</v>
      </c>
    </row>
    <row r="793">
      <c r="A793" t="n">
        <v>30</v>
      </c>
      <c r="B793" t="n">
        <v>2011</v>
      </c>
      <c r="C793" t="n">
        <v>-0.0004</v>
      </c>
    </row>
    <row r="794">
      <c r="A794" t="n">
        <v>30</v>
      </c>
      <c r="B794" t="n">
        <v>2012</v>
      </c>
      <c r="C794" t="n">
        <v>-0.0045</v>
      </c>
    </row>
    <row r="795">
      <c r="A795" t="n">
        <v>30</v>
      </c>
      <c r="B795" t="n">
        <v>2013</v>
      </c>
      <c r="C795" t="n">
        <v>-0.003</v>
      </c>
    </row>
    <row r="796">
      <c r="A796" t="n">
        <v>30</v>
      </c>
      <c r="B796" t="n">
        <v>2014</v>
      </c>
      <c r="C796" t="n">
        <v>-0.0008</v>
      </c>
    </row>
    <row r="797">
      <c r="A797" t="n">
        <v>30</v>
      </c>
      <c r="B797" t="n">
        <v>2015</v>
      </c>
      <c r="C797" t="n">
        <v>0.0018</v>
      </c>
    </row>
    <row r="798">
      <c r="A798" t="n">
        <v>30</v>
      </c>
      <c r="B798" t="n">
        <v>2016</v>
      </c>
      <c r="C798" t="n">
        <v>0.0046</v>
      </c>
    </row>
    <row r="799">
      <c r="A799" t="n">
        <v>30</v>
      </c>
      <c r="B799" t="n">
        <v>2017</v>
      </c>
      <c r="C799" t="n">
        <v>0.0075</v>
      </c>
    </row>
    <row r="800">
      <c r="A800" t="n">
        <v>30</v>
      </c>
      <c r="B800" t="n">
        <v>2018</v>
      </c>
      <c r="C800" t="n">
        <v>0.0101</v>
      </c>
    </row>
    <row r="801">
      <c r="A801" t="n">
        <v>30</v>
      </c>
      <c r="B801" t="n">
        <v>2019</v>
      </c>
      <c r="C801" t="n">
        <v>0.0123</v>
      </c>
    </row>
    <row r="802">
      <c r="A802" t="n">
        <v>30</v>
      </c>
      <c r="B802" t="n">
        <v>2020</v>
      </c>
      <c r="C802" t="n">
        <v>0.014</v>
      </c>
    </row>
    <row r="803">
      <c r="A803" t="n">
        <v>30</v>
      </c>
      <c r="B803" t="n">
        <v>2021</v>
      </c>
      <c r="C803" t="n">
        <v>0.0151</v>
      </c>
    </row>
    <row r="804">
      <c r="A804" t="n">
        <v>30</v>
      </c>
      <c r="B804" t="n">
        <v>2022</v>
      </c>
      <c r="C804" t="n">
        <v>0.0155</v>
      </c>
    </row>
    <row r="805">
      <c r="A805" t="n">
        <v>30</v>
      </c>
      <c r="B805" t="n">
        <v>2023</v>
      </c>
      <c r="C805" t="n">
        <v>0.0146</v>
      </c>
    </row>
    <row r="806">
      <c r="A806" t="n">
        <v>30</v>
      </c>
      <c r="B806" t="n">
        <v>2024</v>
      </c>
      <c r="C806" t="n">
        <v>0.0138</v>
      </c>
    </row>
    <row r="807">
      <c r="A807" t="n">
        <v>30</v>
      </c>
      <c r="B807" t="n">
        <v>2025</v>
      </c>
      <c r="C807" t="n">
        <v>0.0131</v>
      </c>
    </row>
    <row r="808">
      <c r="A808" t="n">
        <v>30</v>
      </c>
      <c r="B808" t="n">
        <v>2026</v>
      </c>
      <c r="C808" t="n">
        <v>0.0124</v>
      </c>
    </row>
    <row r="809">
      <c r="A809" t="n">
        <v>30</v>
      </c>
      <c r="B809" t="n">
        <v>2027</v>
      </c>
      <c r="C809" t="n">
        <v>0.0117</v>
      </c>
    </row>
    <row r="810">
      <c r="A810" t="n">
        <v>30</v>
      </c>
      <c r="B810" t="n">
        <v>2028</v>
      </c>
      <c r="C810" t="n">
        <v>0.0111</v>
      </c>
    </row>
    <row r="811">
      <c r="A811" t="n">
        <v>30</v>
      </c>
      <c r="B811" t="n">
        <v>2029</v>
      </c>
      <c r="C811" t="n">
        <v>0.0107</v>
      </c>
    </row>
    <row r="812">
      <c r="A812" t="n">
        <v>30</v>
      </c>
      <c r="B812" t="n">
        <v>2030</v>
      </c>
      <c r="C812" t="n">
        <v>0.0103</v>
      </c>
    </row>
    <row r="813">
      <c r="A813" t="n">
        <v>30</v>
      </c>
      <c r="B813" t="n">
        <v>2031</v>
      </c>
      <c r="C813" t="n">
        <v>0.0101</v>
      </c>
    </row>
    <row r="814">
      <c r="A814" t="n">
        <v>31</v>
      </c>
      <c r="B814" t="n">
        <v>1951</v>
      </c>
      <c r="C814" t="n">
        <v>0.0345</v>
      </c>
    </row>
    <row r="815">
      <c r="A815" t="n">
        <v>31</v>
      </c>
      <c r="B815" t="n">
        <v>1952</v>
      </c>
      <c r="C815" t="n">
        <v>0.0318</v>
      </c>
    </row>
    <row r="816">
      <c r="A816" t="n">
        <v>31</v>
      </c>
      <c r="B816" t="n">
        <v>1953</v>
      </c>
      <c r="C816" t="n">
        <v>0.0289</v>
      </c>
    </row>
    <row r="817">
      <c r="A817" t="n">
        <v>31</v>
      </c>
      <c r="B817" t="n">
        <v>1954</v>
      </c>
      <c r="C817" t="n">
        <v>0.0254</v>
      </c>
    </row>
    <row r="818">
      <c r="A818" t="n">
        <v>31</v>
      </c>
      <c r="B818" t="n">
        <v>1955</v>
      </c>
      <c r="C818" t="n">
        <v>0.0214</v>
      </c>
    </row>
    <row r="819">
      <c r="A819" t="n">
        <v>31</v>
      </c>
      <c r="B819" t="n">
        <v>1956</v>
      </c>
      <c r="C819" t="n">
        <v>0.0168</v>
      </c>
    </row>
    <row r="820">
      <c r="A820" t="n">
        <v>31</v>
      </c>
      <c r="B820" t="n">
        <v>1957</v>
      </c>
      <c r="C820" t="n">
        <v>0.0123</v>
      </c>
    </row>
    <row r="821">
      <c r="A821" t="n">
        <v>31</v>
      </c>
      <c r="B821" t="n">
        <v>1958</v>
      </c>
      <c r="C821" t="n">
        <v>0.0078</v>
      </c>
    </row>
    <row r="822">
      <c r="A822" t="n">
        <v>31</v>
      </c>
      <c r="B822" t="n">
        <v>1959</v>
      </c>
      <c r="C822" t="n">
        <v>0.0033</v>
      </c>
    </row>
    <row r="823">
      <c r="A823" t="n">
        <v>31</v>
      </c>
      <c r="B823" t="n">
        <v>1960</v>
      </c>
      <c r="C823" t="n">
        <v>-0.0012</v>
      </c>
    </row>
    <row r="824">
      <c r="A824" t="n">
        <v>31</v>
      </c>
      <c r="B824" t="n">
        <v>1961</v>
      </c>
      <c r="C824" t="n">
        <v>-0.006</v>
      </c>
    </row>
    <row r="825">
      <c r="A825" t="n">
        <v>31</v>
      </c>
      <c r="B825" t="n">
        <v>1962</v>
      </c>
      <c r="C825" t="n">
        <v>-0.0108</v>
      </c>
    </row>
    <row r="826">
      <c r="A826" t="n">
        <v>31</v>
      </c>
      <c r="B826" t="n">
        <v>1963</v>
      </c>
      <c r="C826" t="n">
        <v>-0.0149</v>
      </c>
    </row>
    <row r="827">
      <c r="A827" t="n">
        <v>31</v>
      </c>
      <c r="B827" t="n">
        <v>1964</v>
      </c>
      <c r="C827" t="n">
        <v>-0.018</v>
      </c>
    </row>
    <row r="828">
      <c r="A828" t="n">
        <v>31</v>
      </c>
      <c r="B828" t="n">
        <v>1965</v>
      </c>
      <c r="C828" t="n">
        <v>-0.0195</v>
      </c>
    </row>
    <row r="829">
      <c r="A829" t="n">
        <v>31</v>
      </c>
      <c r="B829" t="n">
        <v>1966</v>
      </c>
      <c r="C829" t="n">
        <v>-0.0192</v>
      </c>
    </row>
    <row r="830">
      <c r="A830" t="n">
        <v>31</v>
      </c>
      <c r="B830" t="n">
        <v>1967</v>
      </c>
      <c r="C830" t="n">
        <v>-0.0171</v>
      </c>
    </row>
    <row r="831">
      <c r="A831" t="n">
        <v>31</v>
      </c>
      <c r="B831" t="n">
        <v>1968</v>
      </c>
      <c r="C831" t="n">
        <v>-0.0132</v>
      </c>
    </row>
    <row r="832">
      <c r="A832" t="n">
        <v>31</v>
      </c>
      <c r="B832" t="n">
        <v>1969</v>
      </c>
      <c r="C832" t="n">
        <v>-0.0076</v>
      </c>
    </row>
    <row r="833">
      <c r="A833" t="n">
        <v>31</v>
      </c>
      <c r="B833" t="n">
        <v>1970</v>
      </c>
      <c r="C833" t="n">
        <v>-0.001</v>
      </c>
    </row>
    <row r="834">
      <c r="A834" t="n">
        <v>31</v>
      </c>
      <c r="B834" t="n">
        <v>1971</v>
      </c>
      <c r="C834" t="n">
        <v>0.0059</v>
      </c>
    </row>
    <row r="835">
      <c r="A835" t="n">
        <v>31</v>
      </c>
      <c r="B835" t="n">
        <v>1972</v>
      </c>
      <c r="C835" t="n">
        <v>0.0123</v>
      </c>
    </row>
    <row r="836">
      <c r="A836" t="n">
        <v>31</v>
      </c>
      <c r="B836" t="n">
        <v>1973</v>
      </c>
      <c r="C836" t="n">
        <v>0.0178</v>
      </c>
    </row>
    <row r="837">
      <c r="A837" t="n">
        <v>31</v>
      </c>
      <c r="B837" t="n">
        <v>1974</v>
      </c>
      <c r="C837" t="n">
        <v>0.0215</v>
      </c>
    </row>
    <row r="838">
      <c r="A838" t="n">
        <v>31</v>
      </c>
      <c r="B838" t="n">
        <v>1975</v>
      </c>
      <c r="C838" t="n">
        <v>0.0231</v>
      </c>
    </row>
    <row r="839">
      <c r="A839" t="n">
        <v>31</v>
      </c>
      <c r="B839" t="n">
        <v>1976</v>
      </c>
      <c r="C839" t="n">
        <v>0.0226</v>
      </c>
    </row>
    <row r="840">
      <c r="A840" t="n">
        <v>31</v>
      </c>
      <c r="B840" t="n">
        <v>1977</v>
      </c>
      <c r="C840" t="n">
        <v>0.0202</v>
      </c>
    </row>
    <row r="841">
      <c r="A841" t="n">
        <v>31</v>
      </c>
      <c r="B841" t="n">
        <v>1978</v>
      </c>
      <c r="C841" t="n">
        <v>0.0169</v>
      </c>
    </row>
    <row r="842">
      <c r="A842" t="n">
        <v>31</v>
      </c>
      <c r="B842" t="n">
        <v>1979</v>
      </c>
      <c r="C842" t="n">
        <v>0.0133</v>
      </c>
    </row>
    <row r="843">
      <c r="A843" t="n">
        <v>31</v>
      </c>
      <c r="B843" t="n">
        <v>1980</v>
      </c>
      <c r="C843" t="n">
        <v>0.0098</v>
      </c>
    </row>
    <row r="844">
      <c r="A844" t="n">
        <v>31</v>
      </c>
      <c r="B844" t="n">
        <v>1981</v>
      </c>
      <c r="C844" t="n">
        <v>0.0058</v>
      </c>
    </row>
    <row r="845">
      <c r="A845" t="n">
        <v>31</v>
      </c>
      <c r="B845" t="n">
        <v>1982</v>
      </c>
      <c r="C845" t="n">
        <v>0.0004</v>
      </c>
    </row>
    <row r="846">
      <c r="A846" t="n">
        <v>31</v>
      </c>
      <c r="B846" t="n">
        <v>1983</v>
      </c>
      <c r="C846" t="n">
        <v>-0.0066</v>
      </c>
    </row>
    <row r="847">
      <c r="A847" t="n">
        <v>31</v>
      </c>
      <c r="B847" t="n">
        <v>1984</v>
      </c>
      <c r="C847" t="n">
        <v>-0.0149</v>
      </c>
    </row>
    <row r="848">
      <c r="A848" t="n">
        <v>31</v>
      </c>
      <c r="B848" t="n">
        <v>1985</v>
      </c>
      <c r="C848" t="n">
        <v>-0.0228</v>
      </c>
    </row>
    <row r="849">
      <c r="A849" t="n">
        <v>31</v>
      </c>
      <c r="B849" t="n">
        <v>1986</v>
      </c>
      <c r="C849" t="n">
        <v>-0.0285</v>
      </c>
    </row>
    <row r="850">
      <c r="A850" t="n">
        <v>31</v>
      </c>
      <c r="B850" t="n">
        <v>1987</v>
      </c>
      <c r="C850" t="n">
        <v>-0.0306</v>
      </c>
    </row>
    <row r="851">
      <c r="A851" t="n">
        <v>31</v>
      </c>
      <c r="B851" t="n">
        <v>1988</v>
      </c>
      <c r="C851" t="n">
        <v>-0.0289</v>
      </c>
    </row>
    <row r="852">
      <c r="A852" t="n">
        <v>31</v>
      </c>
      <c r="B852" t="n">
        <v>1989</v>
      </c>
      <c r="C852" t="n">
        <v>-0.0235</v>
      </c>
    </row>
    <row r="853">
      <c r="A853" t="n">
        <v>31</v>
      </c>
      <c r="B853" t="n">
        <v>1990</v>
      </c>
      <c r="C853" t="n">
        <v>-0.015</v>
      </c>
    </row>
    <row r="854">
      <c r="A854" t="n">
        <v>31</v>
      </c>
      <c r="B854" t="n">
        <v>1991</v>
      </c>
      <c r="C854" t="n">
        <v>-0.0037</v>
      </c>
    </row>
    <row r="855">
      <c r="A855" t="n">
        <v>31</v>
      </c>
      <c r="B855" t="n">
        <v>1992</v>
      </c>
      <c r="C855" t="n">
        <v>0.009900000000000001</v>
      </c>
    </row>
    <row r="856">
      <c r="A856" t="n">
        <v>31</v>
      </c>
      <c r="B856" t="n">
        <v>1993</v>
      </c>
      <c r="C856" t="n">
        <v>0.0253</v>
      </c>
    </row>
    <row r="857">
      <c r="A857" t="n">
        <v>31</v>
      </c>
      <c r="B857" t="n">
        <v>1994</v>
      </c>
      <c r="C857" t="n">
        <v>0.0413</v>
      </c>
    </row>
    <row r="858">
      <c r="A858" t="n">
        <v>31</v>
      </c>
      <c r="B858" t="n">
        <v>1995</v>
      </c>
      <c r="C858" t="n">
        <v>0.0552</v>
      </c>
    </row>
    <row r="859">
      <c r="A859" t="n">
        <v>31</v>
      </c>
      <c r="B859" t="n">
        <v>1996</v>
      </c>
      <c r="C859" t="n">
        <v>0.064</v>
      </c>
    </row>
    <row r="860">
      <c r="A860" t="n">
        <v>31</v>
      </c>
      <c r="B860" t="n">
        <v>1997</v>
      </c>
      <c r="C860" t="n">
        <v>0.06510000000000001</v>
      </c>
    </row>
    <row r="861">
      <c r="A861" t="n">
        <v>31</v>
      </c>
      <c r="B861" t="n">
        <v>1998</v>
      </c>
      <c r="C861" t="n">
        <v>0.0581</v>
      </c>
    </row>
    <row r="862">
      <c r="A862" t="n">
        <v>31</v>
      </c>
      <c r="B862" t="n">
        <v>1999</v>
      </c>
      <c r="C862" t="n">
        <v>0.0451</v>
      </c>
    </row>
    <row r="863">
      <c r="A863" t="n">
        <v>31</v>
      </c>
      <c r="B863" t="n">
        <v>2000</v>
      </c>
      <c r="C863" t="n">
        <v>0.0293</v>
      </c>
    </row>
    <row r="864">
      <c r="A864" t="n">
        <v>31</v>
      </c>
      <c r="B864" t="n">
        <v>2001</v>
      </c>
      <c r="C864" t="n">
        <v>0.014</v>
      </c>
    </row>
    <row r="865">
      <c r="A865" t="n">
        <v>31</v>
      </c>
      <c r="B865" t="n">
        <v>2002</v>
      </c>
      <c r="C865" t="n">
        <v>0.0019</v>
      </c>
    </row>
    <row r="866">
      <c r="A866" t="n">
        <v>31</v>
      </c>
      <c r="B866" t="n">
        <v>2003</v>
      </c>
      <c r="C866" t="n">
        <v>-0.0059</v>
      </c>
    </row>
    <row r="867">
      <c r="A867" t="n">
        <v>31</v>
      </c>
      <c r="B867" t="n">
        <v>2004</v>
      </c>
      <c r="C867" t="n">
        <v>-0.0094</v>
      </c>
    </row>
    <row r="868">
      <c r="A868" t="n">
        <v>31</v>
      </c>
      <c r="B868" t="n">
        <v>2005</v>
      </c>
      <c r="C868" t="n">
        <v>-0.009299999999999999</v>
      </c>
    </row>
    <row r="869">
      <c r="A869" t="n">
        <v>31</v>
      </c>
      <c r="B869" t="n">
        <v>2006</v>
      </c>
      <c r="C869" t="n">
        <v>-0.0065</v>
      </c>
    </row>
    <row r="870">
      <c r="A870" t="n">
        <v>31</v>
      </c>
      <c r="B870" t="n">
        <v>2007</v>
      </c>
      <c r="C870" t="n">
        <v>-0.0027</v>
      </c>
    </row>
    <row r="871">
      <c r="A871" t="n">
        <v>31</v>
      </c>
      <c r="B871" t="n">
        <v>2008</v>
      </c>
      <c r="C871" t="n">
        <v>0.0005</v>
      </c>
    </row>
    <row r="872">
      <c r="A872" t="n">
        <v>31</v>
      </c>
      <c r="B872" t="n">
        <v>2009</v>
      </c>
      <c r="C872" t="n">
        <v>0.0019</v>
      </c>
    </row>
    <row r="873">
      <c r="A873" t="n">
        <v>31</v>
      </c>
      <c r="B873" t="n">
        <v>2010</v>
      </c>
      <c r="C873" t="n">
        <v>0.001</v>
      </c>
    </row>
    <row r="874">
      <c r="A874" t="n">
        <v>31</v>
      </c>
      <c r="B874" t="n">
        <v>2011</v>
      </c>
      <c r="C874" t="n">
        <v>-0.002</v>
      </c>
    </row>
    <row r="875">
      <c r="A875" t="n">
        <v>31</v>
      </c>
      <c r="B875" t="n">
        <v>2012</v>
      </c>
      <c r="C875" t="n">
        <v>-0.0064</v>
      </c>
    </row>
    <row r="876">
      <c r="A876" t="n">
        <v>31</v>
      </c>
      <c r="B876" t="n">
        <v>2013</v>
      </c>
      <c r="C876" t="n">
        <v>-0.0051</v>
      </c>
    </row>
    <row r="877">
      <c r="A877" t="n">
        <v>31</v>
      </c>
      <c r="B877" t="n">
        <v>2014</v>
      </c>
      <c r="C877" t="n">
        <v>-0.0032</v>
      </c>
    </row>
    <row r="878">
      <c r="A878" t="n">
        <v>31</v>
      </c>
      <c r="B878" t="n">
        <v>2015</v>
      </c>
      <c r="C878" t="n">
        <v>-0.0005999999999999999</v>
      </c>
    </row>
    <row r="879">
      <c r="A879" t="n">
        <v>31</v>
      </c>
      <c r="B879" t="n">
        <v>2016</v>
      </c>
      <c r="C879" t="n">
        <v>0.0023</v>
      </c>
    </row>
    <row r="880">
      <c r="A880" t="n">
        <v>31</v>
      </c>
      <c r="B880" t="n">
        <v>2017</v>
      </c>
      <c r="C880" t="n">
        <v>0.0053</v>
      </c>
    </row>
    <row r="881">
      <c r="A881" t="n">
        <v>31</v>
      </c>
      <c r="B881" t="n">
        <v>2018</v>
      </c>
      <c r="C881" t="n">
        <v>0.0081</v>
      </c>
    </row>
    <row r="882">
      <c r="A882" t="n">
        <v>31</v>
      </c>
      <c r="B882" t="n">
        <v>2019</v>
      </c>
      <c r="C882" t="n">
        <v>0.0107</v>
      </c>
    </row>
    <row r="883">
      <c r="A883" t="n">
        <v>31</v>
      </c>
      <c r="B883" t="n">
        <v>2020</v>
      </c>
      <c r="C883" t="n">
        <v>0.0127</v>
      </c>
    </row>
    <row r="884">
      <c r="A884" t="n">
        <v>31</v>
      </c>
      <c r="B884" t="n">
        <v>2021</v>
      </c>
      <c r="C884" t="n">
        <v>0.014</v>
      </c>
    </row>
    <row r="885">
      <c r="A885" t="n">
        <v>31</v>
      </c>
      <c r="B885" t="n">
        <v>2022</v>
      </c>
      <c r="C885" t="n">
        <v>0.0146</v>
      </c>
    </row>
    <row r="886">
      <c r="A886" t="n">
        <v>31</v>
      </c>
      <c r="B886" t="n">
        <v>2023</v>
      </c>
      <c r="C886" t="n">
        <v>0.0146</v>
      </c>
    </row>
    <row r="887">
      <c r="A887" t="n">
        <v>31</v>
      </c>
      <c r="B887" t="n">
        <v>2024</v>
      </c>
      <c r="C887" t="n">
        <v>0.0138</v>
      </c>
    </row>
    <row r="888">
      <c r="A888" t="n">
        <v>31</v>
      </c>
      <c r="B888" t="n">
        <v>2025</v>
      </c>
      <c r="C888" t="n">
        <v>0.0131</v>
      </c>
    </row>
    <row r="889">
      <c r="A889" t="n">
        <v>31</v>
      </c>
      <c r="B889" t="n">
        <v>2026</v>
      </c>
      <c r="C889" t="n">
        <v>0.0124</v>
      </c>
    </row>
    <row r="890">
      <c r="A890" t="n">
        <v>31</v>
      </c>
      <c r="B890" t="n">
        <v>2027</v>
      </c>
      <c r="C890" t="n">
        <v>0.0117</v>
      </c>
    </row>
    <row r="891">
      <c r="A891" t="n">
        <v>31</v>
      </c>
      <c r="B891" t="n">
        <v>2028</v>
      </c>
      <c r="C891" t="n">
        <v>0.0111</v>
      </c>
    </row>
    <row r="892">
      <c r="A892" t="n">
        <v>31</v>
      </c>
      <c r="B892" t="n">
        <v>2029</v>
      </c>
      <c r="C892" t="n">
        <v>0.0107</v>
      </c>
    </row>
    <row r="893">
      <c r="A893" t="n">
        <v>31</v>
      </c>
      <c r="B893" t="n">
        <v>2030</v>
      </c>
      <c r="C893" t="n">
        <v>0.0103</v>
      </c>
    </row>
    <row r="894">
      <c r="A894" t="n">
        <v>31</v>
      </c>
      <c r="B894" t="n">
        <v>2031</v>
      </c>
      <c r="C894" t="n">
        <v>0.0101</v>
      </c>
    </row>
    <row r="895">
      <c r="A895" t="n">
        <v>32</v>
      </c>
      <c r="B895" t="n">
        <v>1951</v>
      </c>
      <c r="C895" t="n">
        <v>0.0372</v>
      </c>
    </row>
    <row r="896">
      <c r="A896" t="n">
        <v>32</v>
      </c>
      <c r="B896" t="n">
        <v>1952</v>
      </c>
      <c r="C896" t="n">
        <v>0.0336</v>
      </c>
    </row>
    <row r="897">
      <c r="A897" t="n">
        <v>32</v>
      </c>
      <c r="B897" t="n">
        <v>1953</v>
      </c>
      <c r="C897" t="n">
        <v>0.0299</v>
      </c>
    </row>
    <row r="898">
      <c r="A898" t="n">
        <v>32</v>
      </c>
      <c r="B898" t="n">
        <v>1954</v>
      </c>
      <c r="C898" t="n">
        <v>0.0258</v>
      </c>
    </row>
    <row r="899">
      <c r="A899" t="n">
        <v>32</v>
      </c>
      <c r="B899" t="n">
        <v>1955</v>
      </c>
      <c r="C899" t="n">
        <v>0.0211</v>
      </c>
    </row>
    <row r="900">
      <c r="A900" t="n">
        <v>32</v>
      </c>
      <c r="B900" t="n">
        <v>1956</v>
      </c>
      <c r="C900" t="n">
        <v>0.0161</v>
      </c>
    </row>
    <row r="901">
      <c r="A901" t="n">
        <v>32</v>
      </c>
      <c r="B901" t="n">
        <v>1957</v>
      </c>
      <c r="C901" t="n">
        <v>0.0113</v>
      </c>
    </row>
    <row r="902">
      <c r="A902" t="n">
        <v>32</v>
      </c>
      <c r="B902" t="n">
        <v>1958</v>
      </c>
      <c r="C902" t="n">
        <v>0.0068</v>
      </c>
    </row>
    <row r="903">
      <c r="A903" t="n">
        <v>32</v>
      </c>
      <c r="B903" t="n">
        <v>1959</v>
      </c>
      <c r="C903" t="n">
        <v>0.0025</v>
      </c>
    </row>
    <row r="904">
      <c r="A904" t="n">
        <v>32</v>
      </c>
      <c r="B904" t="n">
        <v>1960</v>
      </c>
      <c r="C904" t="n">
        <v>-0.0019</v>
      </c>
    </row>
    <row r="905">
      <c r="A905" t="n">
        <v>32</v>
      </c>
      <c r="B905" t="n">
        <v>1961</v>
      </c>
      <c r="C905" t="n">
        <v>-0.0064</v>
      </c>
    </row>
    <row r="906">
      <c r="A906" t="n">
        <v>32</v>
      </c>
      <c r="B906" t="n">
        <v>1962</v>
      </c>
      <c r="C906" t="n">
        <v>-0.0108</v>
      </c>
    </row>
    <row r="907">
      <c r="A907" t="n">
        <v>32</v>
      </c>
      <c r="B907" t="n">
        <v>1963</v>
      </c>
      <c r="C907" t="n">
        <v>-0.0146</v>
      </c>
    </row>
    <row r="908">
      <c r="A908" t="n">
        <v>32</v>
      </c>
      <c r="B908" t="n">
        <v>1964</v>
      </c>
      <c r="C908" t="n">
        <v>-0.0174</v>
      </c>
    </row>
    <row r="909">
      <c r="A909" t="n">
        <v>32</v>
      </c>
      <c r="B909" t="n">
        <v>1965</v>
      </c>
      <c r="C909" t="n">
        <v>-0.0186</v>
      </c>
    </row>
    <row r="910">
      <c r="A910" t="n">
        <v>32</v>
      </c>
      <c r="B910" t="n">
        <v>1966</v>
      </c>
      <c r="C910" t="n">
        <v>-0.0182</v>
      </c>
    </row>
    <row r="911">
      <c r="A911" t="n">
        <v>32</v>
      </c>
      <c r="B911" t="n">
        <v>1967</v>
      </c>
      <c r="C911" t="n">
        <v>-0.0161</v>
      </c>
    </row>
    <row r="912">
      <c r="A912" t="n">
        <v>32</v>
      </c>
      <c r="B912" t="n">
        <v>1968</v>
      </c>
      <c r="C912" t="n">
        <v>-0.0121</v>
      </c>
    </row>
    <row r="913">
      <c r="A913" t="n">
        <v>32</v>
      </c>
      <c r="B913" t="n">
        <v>1969</v>
      </c>
      <c r="C913" t="n">
        <v>-0.0066</v>
      </c>
    </row>
    <row r="914">
      <c r="A914" t="n">
        <v>32</v>
      </c>
      <c r="B914" t="n">
        <v>1970</v>
      </c>
      <c r="C914" t="n">
        <v>0.0001</v>
      </c>
    </row>
    <row r="915">
      <c r="A915" t="n">
        <v>32</v>
      </c>
      <c r="B915" t="n">
        <v>1971</v>
      </c>
      <c r="C915" t="n">
        <v>0.0071</v>
      </c>
    </row>
    <row r="916">
      <c r="A916" t="n">
        <v>32</v>
      </c>
      <c r="B916" t="n">
        <v>1972</v>
      </c>
      <c r="C916" t="n">
        <v>0.0138</v>
      </c>
    </row>
    <row r="917">
      <c r="A917" t="n">
        <v>32</v>
      </c>
      <c r="B917" t="n">
        <v>1973</v>
      </c>
      <c r="C917" t="n">
        <v>0.0196</v>
      </c>
    </row>
    <row r="918">
      <c r="A918" t="n">
        <v>32</v>
      </c>
      <c r="B918" t="n">
        <v>1974</v>
      </c>
      <c r="C918" t="n">
        <v>0.0237</v>
      </c>
    </row>
    <row r="919">
      <c r="A919" t="n">
        <v>32</v>
      </c>
      <c r="B919" t="n">
        <v>1975</v>
      </c>
      <c r="C919" t="n">
        <v>0.0256</v>
      </c>
    </row>
    <row r="920">
      <c r="A920" t="n">
        <v>32</v>
      </c>
      <c r="B920" t="n">
        <v>1976</v>
      </c>
      <c r="C920" t="n">
        <v>0.0252</v>
      </c>
    </row>
    <row r="921">
      <c r="A921" t="n">
        <v>32</v>
      </c>
      <c r="B921" t="n">
        <v>1977</v>
      </c>
      <c r="C921" t="n">
        <v>0.0228</v>
      </c>
    </row>
    <row r="922">
      <c r="A922" t="n">
        <v>32</v>
      </c>
      <c r="B922" t="n">
        <v>1978</v>
      </c>
      <c r="C922" t="n">
        <v>0.0192</v>
      </c>
    </row>
    <row r="923">
      <c r="A923" t="n">
        <v>32</v>
      </c>
      <c r="B923" t="n">
        <v>1979</v>
      </c>
      <c r="C923" t="n">
        <v>0.015</v>
      </c>
    </row>
    <row r="924">
      <c r="A924" t="n">
        <v>32</v>
      </c>
      <c r="B924" t="n">
        <v>1980</v>
      </c>
      <c r="C924" t="n">
        <v>0.0105</v>
      </c>
    </row>
    <row r="925">
      <c r="A925" t="n">
        <v>32</v>
      </c>
      <c r="B925" t="n">
        <v>1981</v>
      </c>
      <c r="C925" t="n">
        <v>0.0053</v>
      </c>
    </row>
    <row r="926">
      <c r="A926" t="n">
        <v>32</v>
      </c>
      <c r="B926" t="n">
        <v>1982</v>
      </c>
      <c r="C926" t="n">
        <v>-0.0012</v>
      </c>
    </row>
    <row r="927">
      <c r="A927" t="n">
        <v>32</v>
      </c>
      <c r="B927" t="n">
        <v>1983</v>
      </c>
      <c r="C927" t="n">
        <v>-0.009299999999999999</v>
      </c>
    </row>
    <row r="928">
      <c r="A928" t="n">
        <v>32</v>
      </c>
      <c r="B928" t="n">
        <v>1984</v>
      </c>
      <c r="C928" t="n">
        <v>-0.0182</v>
      </c>
    </row>
    <row r="929">
      <c r="A929" t="n">
        <v>32</v>
      </c>
      <c r="B929" t="n">
        <v>1985</v>
      </c>
      <c r="C929" t="n">
        <v>-0.0265</v>
      </c>
    </row>
    <row r="930">
      <c r="A930" t="n">
        <v>32</v>
      </c>
      <c r="B930" t="n">
        <v>1986</v>
      </c>
      <c r="C930" t="n">
        <v>-0.0323</v>
      </c>
    </row>
    <row r="931">
      <c r="A931" t="n">
        <v>32</v>
      </c>
      <c r="B931" t="n">
        <v>1987</v>
      </c>
      <c r="C931" t="n">
        <v>-0.0342</v>
      </c>
    </row>
    <row r="932">
      <c r="A932" t="n">
        <v>32</v>
      </c>
      <c r="B932" t="n">
        <v>1988</v>
      </c>
      <c r="C932" t="n">
        <v>-0.0323</v>
      </c>
    </row>
    <row r="933">
      <c r="A933" t="n">
        <v>32</v>
      </c>
      <c r="B933" t="n">
        <v>1989</v>
      </c>
      <c r="C933" t="n">
        <v>-0.0266</v>
      </c>
    </row>
    <row r="934">
      <c r="A934" t="n">
        <v>32</v>
      </c>
      <c r="B934" t="n">
        <v>1990</v>
      </c>
      <c r="C934" t="n">
        <v>-0.0179</v>
      </c>
    </row>
    <row r="935">
      <c r="A935" t="n">
        <v>32</v>
      </c>
      <c r="B935" t="n">
        <v>1991</v>
      </c>
      <c r="C935" t="n">
        <v>-0.0064</v>
      </c>
    </row>
    <row r="936">
      <c r="A936" t="n">
        <v>32</v>
      </c>
      <c r="B936" t="n">
        <v>1992</v>
      </c>
      <c r="C936" t="n">
        <v>0.0075</v>
      </c>
    </row>
    <row r="937">
      <c r="A937" t="n">
        <v>32</v>
      </c>
      <c r="B937" t="n">
        <v>1993</v>
      </c>
      <c r="C937" t="n">
        <v>0.0235</v>
      </c>
    </row>
    <row r="938">
      <c r="A938" t="n">
        <v>32</v>
      </c>
      <c r="B938" t="n">
        <v>1994</v>
      </c>
      <c r="C938" t="n">
        <v>0.0402</v>
      </c>
    </row>
    <row r="939">
      <c r="A939" t="n">
        <v>32</v>
      </c>
      <c r="B939" t="n">
        <v>1995</v>
      </c>
      <c r="C939" t="n">
        <v>0.0551</v>
      </c>
    </row>
    <row r="940">
      <c r="A940" t="n">
        <v>32</v>
      </c>
      <c r="B940" t="n">
        <v>1996</v>
      </c>
      <c r="C940" t="n">
        <v>0.0649</v>
      </c>
    </row>
    <row r="941">
      <c r="A941" t="n">
        <v>32</v>
      </c>
      <c r="B941" t="n">
        <v>1997</v>
      </c>
      <c r="C941" t="n">
        <v>0.0669</v>
      </c>
    </row>
    <row r="942">
      <c r="A942" t="n">
        <v>32</v>
      </c>
      <c r="B942" t="n">
        <v>1998</v>
      </c>
      <c r="C942" t="n">
        <v>0.0606</v>
      </c>
    </row>
    <row r="943">
      <c r="A943" t="n">
        <v>32</v>
      </c>
      <c r="B943" t="n">
        <v>1999</v>
      </c>
      <c r="C943" t="n">
        <v>0.0481</v>
      </c>
    </row>
    <row r="944">
      <c r="A944" t="n">
        <v>32</v>
      </c>
      <c r="B944" t="n">
        <v>2000</v>
      </c>
      <c r="C944" t="n">
        <v>0.0328</v>
      </c>
    </row>
    <row r="945">
      <c r="A945" t="n">
        <v>32</v>
      </c>
      <c r="B945" t="n">
        <v>2001</v>
      </c>
      <c r="C945" t="n">
        <v>0.0179</v>
      </c>
    </row>
    <row r="946">
      <c r="A946" t="n">
        <v>32</v>
      </c>
      <c r="B946" t="n">
        <v>2002</v>
      </c>
      <c r="C946" t="n">
        <v>0.0061</v>
      </c>
    </row>
    <row r="947">
      <c r="A947" t="n">
        <v>32</v>
      </c>
      <c r="B947" t="n">
        <v>2003</v>
      </c>
      <c r="C947" t="n">
        <v>-0.0016</v>
      </c>
    </row>
    <row r="948">
      <c r="A948" t="n">
        <v>32</v>
      </c>
      <c r="B948" t="n">
        <v>2004</v>
      </c>
      <c r="C948" t="n">
        <v>-0.0054</v>
      </c>
    </row>
    <row r="949">
      <c r="A949" t="n">
        <v>32</v>
      </c>
      <c r="B949" t="n">
        <v>2005</v>
      </c>
      <c r="C949" t="n">
        <v>-0.0058</v>
      </c>
    </row>
    <row r="950">
      <c r="A950" t="n">
        <v>32</v>
      </c>
      <c r="B950" t="n">
        <v>2006</v>
      </c>
      <c r="C950" t="n">
        <v>-0.0039</v>
      </c>
    </row>
    <row r="951">
      <c r="A951" t="n">
        <v>32</v>
      </c>
      <c r="B951" t="n">
        <v>2007</v>
      </c>
      <c r="C951" t="n">
        <v>-0.0011</v>
      </c>
    </row>
    <row r="952">
      <c r="A952" t="n">
        <v>32</v>
      </c>
      <c r="B952" t="n">
        <v>2008</v>
      </c>
      <c r="C952" t="n">
        <v>0.0013</v>
      </c>
    </row>
    <row r="953">
      <c r="A953" t="n">
        <v>32</v>
      </c>
      <c r="B953" t="n">
        <v>2009</v>
      </c>
      <c r="C953" t="n">
        <v>0.002</v>
      </c>
    </row>
    <row r="954">
      <c r="A954" t="n">
        <v>32</v>
      </c>
      <c r="B954" t="n">
        <v>2010</v>
      </c>
      <c r="C954" t="n">
        <v>0.0005999999999999999</v>
      </c>
    </row>
    <row r="955">
      <c r="A955" t="n">
        <v>32</v>
      </c>
      <c r="B955" t="n">
        <v>2011</v>
      </c>
      <c r="C955" t="n">
        <v>-0.0027</v>
      </c>
    </row>
    <row r="956">
      <c r="A956" t="n">
        <v>32</v>
      </c>
      <c r="B956" t="n">
        <v>2012</v>
      </c>
      <c r="C956" t="n">
        <v>-0.0074</v>
      </c>
    </row>
    <row r="957">
      <c r="A957" t="n">
        <v>32</v>
      </c>
      <c r="B957" t="n">
        <v>2013</v>
      </c>
      <c r="C957" t="n">
        <v>-0.0066</v>
      </c>
    </row>
    <row r="958">
      <c r="A958" t="n">
        <v>32</v>
      </c>
      <c r="B958" t="n">
        <v>2014</v>
      </c>
      <c r="C958" t="n">
        <v>-0.0049</v>
      </c>
    </row>
    <row r="959">
      <c r="A959" t="n">
        <v>32</v>
      </c>
      <c r="B959" t="n">
        <v>2015</v>
      </c>
      <c r="C959" t="n">
        <v>-0.0025</v>
      </c>
    </row>
    <row r="960">
      <c r="A960" t="n">
        <v>32</v>
      </c>
      <c r="B960" t="n">
        <v>2016</v>
      </c>
      <c r="C960" t="n">
        <v>0.0004</v>
      </c>
    </row>
    <row r="961">
      <c r="A961" t="n">
        <v>32</v>
      </c>
      <c r="B961" t="n">
        <v>2017</v>
      </c>
      <c r="C961" t="n">
        <v>0.0034</v>
      </c>
    </row>
    <row r="962">
      <c r="A962" t="n">
        <v>32</v>
      </c>
      <c r="B962" t="n">
        <v>2018</v>
      </c>
      <c r="C962" t="n">
        <v>0.0064</v>
      </c>
    </row>
    <row r="963">
      <c r="A963" t="n">
        <v>32</v>
      </c>
      <c r="B963" t="n">
        <v>2019</v>
      </c>
      <c r="C963" t="n">
        <v>0.0091</v>
      </c>
    </row>
    <row r="964">
      <c r="A964" t="n">
        <v>32</v>
      </c>
      <c r="B964" t="n">
        <v>2020</v>
      </c>
      <c r="C964" t="n">
        <v>0.0113</v>
      </c>
    </row>
    <row r="965">
      <c r="A965" t="n">
        <v>32</v>
      </c>
      <c r="B965" t="n">
        <v>2021</v>
      </c>
      <c r="C965" t="n">
        <v>0.0129</v>
      </c>
    </row>
    <row r="966">
      <c r="A966" t="n">
        <v>32</v>
      </c>
      <c r="B966" t="n">
        <v>2022</v>
      </c>
      <c r="C966" t="n">
        <v>0.0137</v>
      </c>
    </row>
    <row r="967">
      <c r="A967" t="n">
        <v>32</v>
      </c>
      <c r="B967" t="n">
        <v>2023</v>
      </c>
      <c r="C967" t="n">
        <v>0.0139</v>
      </c>
    </row>
    <row r="968">
      <c r="A968" t="n">
        <v>32</v>
      </c>
      <c r="B968" t="n">
        <v>2024</v>
      </c>
      <c r="C968" t="n">
        <v>0.0138</v>
      </c>
    </row>
    <row r="969">
      <c r="A969" t="n">
        <v>32</v>
      </c>
      <c r="B969" t="n">
        <v>2025</v>
      </c>
      <c r="C969" t="n">
        <v>0.0131</v>
      </c>
    </row>
    <row r="970">
      <c r="A970" t="n">
        <v>32</v>
      </c>
      <c r="B970" t="n">
        <v>2026</v>
      </c>
      <c r="C970" t="n">
        <v>0.0124</v>
      </c>
    </row>
    <row r="971">
      <c r="A971" t="n">
        <v>32</v>
      </c>
      <c r="B971" t="n">
        <v>2027</v>
      </c>
      <c r="C971" t="n">
        <v>0.0117</v>
      </c>
    </row>
    <row r="972">
      <c r="A972" t="n">
        <v>32</v>
      </c>
      <c r="B972" t="n">
        <v>2028</v>
      </c>
      <c r="C972" t="n">
        <v>0.0111</v>
      </c>
    </row>
    <row r="973">
      <c r="A973" t="n">
        <v>32</v>
      </c>
      <c r="B973" t="n">
        <v>2029</v>
      </c>
      <c r="C973" t="n">
        <v>0.0107</v>
      </c>
    </row>
    <row r="974">
      <c r="A974" t="n">
        <v>32</v>
      </c>
      <c r="B974" t="n">
        <v>2030</v>
      </c>
      <c r="C974" t="n">
        <v>0.0103</v>
      </c>
    </row>
    <row r="975">
      <c r="A975" t="n">
        <v>32</v>
      </c>
      <c r="B975" t="n">
        <v>2031</v>
      </c>
      <c r="C975" t="n">
        <v>0.0101</v>
      </c>
    </row>
    <row r="976">
      <c r="A976" t="n">
        <v>33</v>
      </c>
      <c r="B976" t="n">
        <v>1951</v>
      </c>
      <c r="C976" t="n">
        <v>0.039</v>
      </c>
    </row>
    <row r="977">
      <c r="A977" t="n">
        <v>33</v>
      </c>
      <c r="B977" t="n">
        <v>1952</v>
      </c>
      <c r="C977" t="n">
        <v>0.0348</v>
      </c>
    </row>
    <row r="978">
      <c r="A978" t="n">
        <v>33</v>
      </c>
      <c r="B978" t="n">
        <v>1953</v>
      </c>
      <c r="C978" t="n">
        <v>0.0305</v>
      </c>
    </row>
    <row r="979">
      <c r="A979" t="n">
        <v>33</v>
      </c>
      <c r="B979" t="n">
        <v>1954</v>
      </c>
      <c r="C979" t="n">
        <v>0.0259</v>
      </c>
    </row>
    <row r="980">
      <c r="A980" t="n">
        <v>33</v>
      </c>
      <c r="B980" t="n">
        <v>1955</v>
      </c>
      <c r="C980" t="n">
        <v>0.0207</v>
      </c>
    </row>
    <row r="981">
      <c r="A981" t="n">
        <v>33</v>
      </c>
      <c r="B981" t="n">
        <v>1956</v>
      </c>
      <c r="C981" t="n">
        <v>0.0155</v>
      </c>
    </row>
    <row r="982">
      <c r="A982" t="n">
        <v>33</v>
      </c>
      <c r="B982" t="n">
        <v>1957</v>
      </c>
      <c r="C982" t="n">
        <v>0.0105</v>
      </c>
    </row>
    <row r="983">
      <c r="A983" t="n">
        <v>33</v>
      </c>
      <c r="B983" t="n">
        <v>1958</v>
      </c>
      <c r="C983" t="n">
        <v>0.006</v>
      </c>
    </row>
    <row r="984">
      <c r="A984" t="n">
        <v>33</v>
      </c>
      <c r="B984" t="n">
        <v>1959</v>
      </c>
      <c r="C984" t="n">
        <v>0.0018</v>
      </c>
    </row>
    <row r="985">
      <c r="A985" t="n">
        <v>33</v>
      </c>
      <c r="B985" t="n">
        <v>1960</v>
      </c>
      <c r="C985" t="n">
        <v>-0.0024</v>
      </c>
    </row>
    <row r="986">
      <c r="A986" t="n">
        <v>33</v>
      </c>
      <c r="B986" t="n">
        <v>1961</v>
      </c>
      <c r="C986" t="n">
        <v>-0.0066</v>
      </c>
    </row>
    <row r="987">
      <c r="A987" t="n">
        <v>33</v>
      </c>
      <c r="B987" t="n">
        <v>1962</v>
      </c>
      <c r="C987" t="n">
        <v>-0.0107</v>
      </c>
    </row>
    <row r="988">
      <c r="A988" t="n">
        <v>33</v>
      </c>
      <c r="B988" t="n">
        <v>1963</v>
      </c>
      <c r="C988" t="n">
        <v>-0.0143</v>
      </c>
    </row>
    <row r="989">
      <c r="A989" t="n">
        <v>33</v>
      </c>
      <c r="B989" t="n">
        <v>1964</v>
      </c>
      <c r="C989" t="n">
        <v>-0.0168</v>
      </c>
    </row>
    <row r="990">
      <c r="A990" t="n">
        <v>33</v>
      </c>
      <c r="B990" t="n">
        <v>1965</v>
      </c>
      <c r="C990" t="n">
        <v>-0.0178</v>
      </c>
    </row>
    <row r="991">
      <c r="A991" t="n">
        <v>33</v>
      </c>
      <c r="B991" t="n">
        <v>1966</v>
      </c>
      <c r="C991" t="n">
        <v>-0.0174</v>
      </c>
    </row>
    <row r="992">
      <c r="A992" t="n">
        <v>33</v>
      </c>
      <c r="B992" t="n">
        <v>1967</v>
      </c>
      <c r="C992" t="n">
        <v>-0.0152</v>
      </c>
    </row>
    <row r="993">
      <c r="A993" t="n">
        <v>33</v>
      </c>
      <c r="B993" t="n">
        <v>1968</v>
      </c>
      <c r="C993" t="n">
        <v>-0.0112</v>
      </c>
    </row>
    <row r="994">
      <c r="A994" t="n">
        <v>33</v>
      </c>
      <c r="B994" t="n">
        <v>1969</v>
      </c>
      <c r="C994" t="n">
        <v>-0.0056</v>
      </c>
    </row>
    <row r="995">
      <c r="A995" t="n">
        <v>33</v>
      </c>
      <c r="B995" t="n">
        <v>1970</v>
      </c>
      <c r="C995" t="n">
        <v>0.0011</v>
      </c>
    </row>
    <row r="996">
      <c r="A996" t="n">
        <v>33</v>
      </c>
      <c r="B996" t="n">
        <v>1971</v>
      </c>
      <c r="C996" t="n">
        <v>0.0083</v>
      </c>
    </row>
    <row r="997">
      <c r="A997" t="n">
        <v>33</v>
      </c>
      <c r="B997" t="n">
        <v>1972</v>
      </c>
      <c r="C997" t="n">
        <v>0.0152</v>
      </c>
    </row>
    <row r="998">
      <c r="A998" t="n">
        <v>33</v>
      </c>
      <c r="B998" t="n">
        <v>1973</v>
      </c>
      <c r="C998" t="n">
        <v>0.0212</v>
      </c>
    </row>
    <row r="999">
      <c r="A999" t="n">
        <v>33</v>
      </c>
      <c r="B999" t="n">
        <v>1974</v>
      </c>
      <c r="C999" t="n">
        <v>0.0256</v>
      </c>
    </row>
    <row r="1000">
      <c r="A1000" t="n">
        <v>33</v>
      </c>
      <c r="B1000" t="n">
        <v>1975</v>
      </c>
      <c r="C1000" t="n">
        <v>0.0278</v>
      </c>
    </row>
    <row r="1001">
      <c r="A1001" t="n">
        <v>33</v>
      </c>
      <c r="B1001" t="n">
        <v>1976</v>
      </c>
      <c r="C1001" t="n">
        <v>0.0276</v>
      </c>
    </row>
    <row r="1002">
      <c r="A1002" t="n">
        <v>33</v>
      </c>
      <c r="B1002" t="n">
        <v>1977</v>
      </c>
      <c r="C1002" t="n">
        <v>0.0254</v>
      </c>
    </row>
    <row r="1003">
      <c r="A1003" t="n">
        <v>33</v>
      </c>
      <c r="B1003" t="n">
        <v>1978</v>
      </c>
      <c r="C1003" t="n">
        <v>0.0217</v>
      </c>
    </row>
    <row r="1004">
      <c r="A1004" t="n">
        <v>33</v>
      </c>
      <c r="B1004" t="n">
        <v>1979</v>
      </c>
      <c r="C1004" t="n">
        <v>0.0172</v>
      </c>
    </row>
    <row r="1005">
      <c r="A1005" t="n">
        <v>33</v>
      </c>
      <c r="B1005" t="n">
        <v>1980</v>
      </c>
      <c r="C1005" t="n">
        <v>0.012</v>
      </c>
    </row>
    <row r="1006">
      <c r="A1006" t="n">
        <v>33</v>
      </c>
      <c r="B1006" t="n">
        <v>1981</v>
      </c>
      <c r="C1006" t="n">
        <v>0.0059</v>
      </c>
    </row>
    <row r="1007">
      <c r="A1007" t="n">
        <v>33</v>
      </c>
      <c r="B1007" t="n">
        <v>1982</v>
      </c>
      <c r="C1007" t="n">
        <v>-0.0017</v>
      </c>
    </row>
    <row r="1008">
      <c r="A1008" t="n">
        <v>33</v>
      </c>
      <c r="B1008" t="n">
        <v>1983</v>
      </c>
      <c r="C1008" t="n">
        <v>-0.0106</v>
      </c>
    </row>
    <row r="1009">
      <c r="A1009" t="n">
        <v>33</v>
      </c>
      <c r="B1009" t="n">
        <v>1984</v>
      </c>
      <c r="C1009" t="n">
        <v>-0.0202</v>
      </c>
    </row>
    <row r="1010">
      <c r="A1010" t="n">
        <v>33</v>
      </c>
      <c r="B1010" t="n">
        <v>1985</v>
      </c>
      <c r="C1010" t="n">
        <v>-0.029</v>
      </c>
    </row>
    <row r="1011">
      <c r="A1011" t="n">
        <v>33</v>
      </c>
      <c r="B1011" t="n">
        <v>1986</v>
      </c>
      <c r="C1011" t="n">
        <v>-0.035</v>
      </c>
    </row>
    <row r="1012">
      <c r="A1012" t="n">
        <v>33</v>
      </c>
      <c r="B1012" t="n">
        <v>1987</v>
      </c>
      <c r="C1012" t="n">
        <v>-0.0371</v>
      </c>
    </row>
    <row r="1013">
      <c r="A1013" t="n">
        <v>33</v>
      </c>
      <c r="B1013" t="n">
        <v>1988</v>
      </c>
      <c r="C1013" t="n">
        <v>-0.0351</v>
      </c>
    </row>
    <row r="1014">
      <c r="A1014" t="n">
        <v>33</v>
      </c>
      <c r="B1014" t="n">
        <v>1989</v>
      </c>
      <c r="C1014" t="n">
        <v>-0.0294</v>
      </c>
    </row>
    <row r="1015">
      <c r="A1015" t="n">
        <v>33</v>
      </c>
      <c r="B1015" t="n">
        <v>1990</v>
      </c>
      <c r="C1015" t="n">
        <v>-0.0206</v>
      </c>
    </row>
    <row r="1016">
      <c r="A1016" t="n">
        <v>33</v>
      </c>
      <c r="B1016" t="n">
        <v>1991</v>
      </c>
      <c r="C1016" t="n">
        <v>-0.008999999999999999</v>
      </c>
    </row>
    <row r="1017">
      <c r="A1017" t="n">
        <v>33</v>
      </c>
      <c r="B1017" t="n">
        <v>1992</v>
      </c>
      <c r="C1017" t="n">
        <v>0.0051</v>
      </c>
    </row>
    <row r="1018">
      <c r="A1018" t="n">
        <v>33</v>
      </c>
      <c r="B1018" t="n">
        <v>1993</v>
      </c>
      <c r="C1018" t="n">
        <v>0.0214</v>
      </c>
    </row>
    <row r="1019">
      <c r="A1019" t="n">
        <v>33</v>
      </c>
      <c r="B1019" t="n">
        <v>1994</v>
      </c>
      <c r="C1019" t="n">
        <v>0.0386</v>
      </c>
    </row>
    <row r="1020">
      <c r="A1020" t="n">
        <v>33</v>
      </c>
      <c r="B1020" t="n">
        <v>1995</v>
      </c>
      <c r="C1020" t="n">
        <v>0.0541</v>
      </c>
    </row>
    <row r="1021">
      <c r="A1021" t="n">
        <v>33</v>
      </c>
      <c r="B1021" t="n">
        <v>1996</v>
      </c>
      <c r="C1021" t="n">
        <v>0.0646</v>
      </c>
    </row>
    <row r="1022">
      <c r="A1022" t="n">
        <v>33</v>
      </c>
      <c r="B1022" t="n">
        <v>1997</v>
      </c>
      <c r="C1022" t="n">
        <v>0.0672</v>
      </c>
    </row>
    <row r="1023">
      <c r="A1023" t="n">
        <v>33</v>
      </c>
      <c r="B1023" t="n">
        <v>1998</v>
      </c>
      <c r="C1023" t="n">
        <v>0.0615</v>
      </c>
    </row>
    <row r="1024">
      <c r="A1024" t="n">
        <v>33</v>
      </c>
      <c r="B1024" t="n">
        <v>1999</v>
      </c>
      <c r="C1024" t="n">
        <v>0.0497</v>
      </c>
    </row>
    <row r="1025">
      <c r="A1025" t="n">
        <v>33</v>
      </c>
      <c r="B1025" t="n">
        <v>2000</v>
      </c>
      <c r="C1025" t="n">
        <v>0.0351</v>
      </c>
    </row>
    <row r="1026">
      <c r="A1026" t="n">
        <v>33</v>
      </c>
      <c r="B1026" t="n">
        <v>2001</v>
      </c>
      <c r="C1026" t="n">
        <v>0.021</v>
      </c>
    </row>
    <row r="1027">
      <c r="A1027" t="n">
        <v>33</v>
      </c>
      <c r="B1027" t="n">
        <v>2002</v>
      </c>
      <c r="C1027" t="n">
        <v>0.0098</v>
      </c>
    </row>
    <row r="1028">
      <c r="A1028" t="n">
        <v>33</v>
      </c>
      <c r="B1028" t="n">
        <v>2003</v>
      </c>
      <c r="C1028" t="n">
        <v>0.0025</v>
      </c>
    </row>
    <row r="1029">
      <c r="A1029" t="n">
        <v>33</v>
      </c>
      <c r="B1029" t="n">
        <v>2004</v>
      </c>
      <c r="C1029" t="n">
        <v>-0.0012</v>
      </c>
    </row>
    <row r="1030">
      <c r="A1030" t="n">
        <v>33</v>
      </c>
      <c r="B1030" t="n">
        <v>2005</v>
      </c>
      <c r="C1030" t="n">
        <v>-0.0019</v>
      </c>
    </row>
    <row r="1031">
      <c r="A1031" t="n">
        <v>33</v>
      </c>
      <c r="B1031" t="n">
        <v>2006</v>
      </c>
      <c r="C1031" t="n">
        <v>-0.0007</v>
      </c>
    </row>
    <row r="1032">
      <c r="A1032" t="n">
        <v>33</v>
      </c>
      <c r="B1032" t="n">
        <v>2007</v>
      </c>
      <c r="C1032" t="n">
        <v>0.0014</v>
      </c>
    </row>
    <row r="1033">
      <c r="A1033" t="n">
        <v>33</v>
      </c>
      <c r="B1033" t="n">
        <v>2008</v>
      </c>
      <c r="C1033" t="n">
        <v>0.003</v>
      </c>
    </row>
    <row r="1034">
      <c r="A1034" t="n">
        <v>33</v>
      </c>
      <c r="B1034" t="n">
        <v>2009</v>
      </c>
      <c r="C1034" t="n">
        <v>0.003</v>
      </c>
    </row>
    <row r="1035">
      <c r="A1035" t="n">
        <v>33</v>
      </c>
      <c r="B1035" t="n">
        <v>2010</v>
      </c>
      <c r="C1035" t="n">
        <v>0.0011</v>
      </c>
    </row>
    <row r="1036">
      <c r="A1036" t="n">
        <v>33</v>
      </c>
      <c r="B1036" t="n">
        <v>2011</v>
      </c>
      <c r="C1036" t="n">
        <v>-0.0026</v>
      </c>
    </row>
    <row r="1037">
      <c r="A1037" t="n">
        <v>33</v>
      </c>
      <c r="B1037" t="n">
        <v>2012</v>
      </c>
      <c r="C1037" t="n">
        <v>-0.0077</v>
      </c>
    </row>
    <row r="1038">
      <c r="A1038" t="n">
        <v>33</v>
      </c>
      <c r="B1038" t="n">
        <v>2013</v>
      </c>
      <c r="C1038" t="n">
        <v>-0.0072</v>
      </c>
    </row>
    <row r="1039">
      <c r="A1039" t="n">
        <v>33</v>
      </c>
      <c r="B1039" t="n">
        <v>2014</v>
      </c>
      <c r="C1039" t="n">
        <v>-0.0059</v>
      </c>
    </row>
    <row r="1040">
      <c r="A1040" t="n">
        <v>33</v>
      </c>
      <c r="B1040" t="n">
        <v>2015</v>
      </c>
      <c r="C1040" t="n">
        <v>-0.0037</v>
      </c>
    </row>
    <row r="1041">
      <c r="A1041" t="n">
        <v>33</v>
      </c>
      <c r="B1041" t="n">
        <v>2016</v>
      </c>
      <c r="C1041" t="n">
        <v>-0.0011</v>
      </c>
    </row>
    <row r="1042">
      <c r="A1042" t="n">
        <v>33</v>
      </c>
      <c r="B1042" t="n">
        <v>2017</v>
      </c>
      <c r="C1042" t="n">
        <v>0.0018</v>
      </c>
    </row>
    <row r="1043">
      <c r="A1043" t="n">
        <v>33</v>
      </c>
      <c r="B1043" t="n">
        <v>2018</v>
      </c>
      <c r="C1043" t="n">
        <v>0.0048</v>
      </c>
    </row>
    <row r="1044">
      <c r="A1044" t="n">
        <v>33</v>
      </c>
      <c r="B1044" t="n">
        <v>2019</v>
      </c>
      <c r="C1044" t="n">
        <v>0.0076</v>
      </c>
    </row>
    <row r="1045">
      <c r="A1045" t="n">
        <v>33</v>
      </c>
      <c r="B1045" t="n">
        <v>2020</v>
      </c>
      <c r="C1045" t="n">
        <v>0.009900000000000001</v>
      </c>
    </row>
    <row r="1046">
      <c r="A1046" t="n">
        <v>33</v>
      </c>
      <c r="B1046" t="n">
        <v>2021</v>
      </c>
      <c r="C1046" t="n">
        <v>0.0117</v>
      </c>
    </row>
    <row r="1047">
      <c r="A1047" t="n">
        <v>33</v>
      </c>
      <c r="B1047" t="n">
        <v>2022</v>
      </c>
      <c r="C1047" t="n">
        <v>0.0127</v>
      </c>
    </row>
    <row r="1048">
      <c r="A1048" t="n">
        <v>33</v>
      </c>
      <c r="B1048" t="n">
        <v>2023</v>
      </c>
      <c r="C1048" t="n">
        <v>0.0131</v>
      </c>
    </row>
    <row r="1049">
      <c r="A1049" t="n">
        <v>33</v>
      </c>
      <c r="B1049" t="n">
        <v>2024</v>
      </c>
      <c r="C1049" t="n">
        <v>0.0132</v>
      </c>
    </row>
    <row r="1050">
      <c r="A1050" t="n">
        <v>33</v>
      </c>
      <c r="B1050" t="n">
        <v>2025</v>
      </c>
      <c r="C1050" t="n">
        <v>0.0131</v>
      </c>
    </row>
    <row r="1051">
      <c r="A1051" t="n">
        <v>33</v>
      </c>
      <c r="B1051" t="n">
        <v>2026</v>
      </c>
      <c r="C1051" t="n">
        <v>0.0124</v>
      </c>
    </row>
    <row r="1052">
      <c r="A1052" t="n">
        <v>33</v>
      </c>
      <c r="B1052" t="n">
        <v>2027</v>
      </c>
      <c r="C1052" t="n">
        <v>0.0117</v>
      </c>
    </row>
    <row r="1053">
      <c r="A1053" t="n">
        <v>33</v>
      </c>
      <c r="B1053" t="n">
        <v>2028</v>
      </c>
      <c r="C1053" t="n">
        <v>0.0111</v>
      </c>
    </row>
    <row r="1054">
      <c r="A1054" t="n">
        <v>33</v>
      </c>
      <c r="B1054" t="n">
        <v>2029</v>
      </c>
      <c r="C1054" t="n">
        <v>0.0107</v>
      </c>
    </row>
    <row r="1055">
      <c r="A1055" t="n">
        <v>33</v>
      </c>
      <c r="B1055" t="n">
        <v>2030</v>
      </c>
      <c r="C1055" t="n">
        <v>0.0103</v>
      </c>
    </row>
    <row r="1056">
      <c r="A1056" t="n">
        <v>33</v>
      </c>
      <c r="B1056" t="n">
        <v>2031</v>
      </c>
      <c r="C1056" t="n">
        <v>0.0101</v>
      </c>
    </row>
    <row r="1057">
      <c r="A1057" t="n">
        <v>34</v>
      </c>
      <c r="B1057" t="n">
        <v>1951</v>
      </c>
      <c r="C1057" t="n">
        <v>0.04</v>
      </c>
    </row>
    <row r="1058">
      <c r="A1058" t="n">
        <v>34</v>
      </c>
      <c r="B1058" t="n">
        <v>1952</v>
      </c>
      <c r="C1058" t="n">
        <v>0.0355</v>
      </c>
    </row>
    <row r="1059">
      <c r="A1059" t="n">
        <v>34</v>
      </c>
      <c r="B1059" t="n">
        <v>1953</v>
      </c>
      <c r="C1059" t="n">
        <v>0.0308</v>
      </c>
    </row>
    <row r="1060">
      <c r="A1060" t="n">
        <v>34</v>
      </c>
      <c r="B1060" t="n">
        <v>1954</v>
      </c>
      <c r="C1060" t="n">
        <v>0.0258</v>
      </c>
    </row>
    <row r="1061">
      <c r="A1061" t="n">
        <v>34</v>
      </c>
      <c r="B1061" t="n">
        <v>1955</v>
      </c>
      <c r="C1061" t="n">
        <v>0.0204</v>
      </c>
    </row>
    <row r="1062">
      <c r="A1062" t="n">
        <v>34</v>
      </c>
      <c r="B1062" t="n">
        <v>1956</v>
      </c>
      <c r="C1062" t="n">
        <v>0.0151</v>
      </c>
    </row>
    <row r="1063">
      <c r="A1063" t="n">
        <v>34</v>
      </c>
      <c r="B1063" t="n">
        <v>1957</v>
      </c>
      <c r="C1063" t="n">
        <v>0.01</v>
      </c>
    </row>
    <row r="1064">
      <c r="A1064" t="n">
        <v>34</v>
      </c>
      <c r="B1064" t="n">
        <v>1958</v>
      </c>
      <c r="C1064" t="n">
        <v>0.0055</v>
      </c>
    </row>
    <row r="1065">
      <c r="A1065" t="n">
        <v>34</v>
      </c>
      <c r="B1065" t="n">
        <v>1959</v>
      </c>
      <c r="C1065" t="n">
        <v>0.0013</v>
      </c>
    </row>
    <row r="1066">
      <c r="A1066" t="n">
        <v>34</v>
      </c>
      <c r="B1066" t="n">
        <v>1960</v>
      </c>
      <c r="C1066" t="n">
        <v>-0.0027</v>
      </c>
    </row>
    <row r="1067">
      <c r="A1067" t="n">
        <v>34</v>
      </c>
      <c r="B1067" t="n">
        <v>1961</v>
      </c>
      <c r="C1067" t="n">
        <v>-0.0067</v>
      </c>
    </row>
    <row r="1068">
      <c r="A1068" t="n">
        <v>34</v>
      </c>
      <c r="B1068" t="n">
        <v>1962</v>
      </c>
      <c r="C1068" t="n">
        <v>-0.0106</v>
      </c>
    </row>
    <row r="1069">
      <c r="A1069" t="n">
        <v>34</v>
      </c>
      <c r="B1069" t="n">
        <v>1963</v>
      </c>
      <c r="C1069" t="n">
        <v>-0.0139</v>
      </c>
    </row>
    <row r="1070">
      <c r="A1070" t="n">
        <v>34</v>
      </c>
      <c r="B1070" t="n">
        <v>1964</v>
      </c>
      <c r="C1070" t="n">
        <v>-0.0162</v>
      </c>
    </row>
    <row r="1071">
      <c r="A1071" t="n">
        <v>34</v>
      </c>
      <c r="B1071" t="n">
        <v>1965</v>
      </c>
      <c r="C1071" t="n">
        <v>-0.0171</v>
      </c>
    </row>
    <row r="1072">
      <c r="A1072" t="n">
        <v>34</v>
      </c>
      <c r="B1072" t="n">
        <v>1966</v>
      </c>
      <c r="C1072" t="n">
        <v>-0.0166</v>
      </c>
    </row>
    <row r="1073">
      <c r="A1073" t="n">
        <v>34</v>
      </c>
      <c r="B1073" t="n">
        <v>1967</v>
      </c>
      <c r="C1073" t="n">
        <v>-0.0143</v>
      </c>
    </row>
    <row r="1074">
      <c r="A1074" t="n">
        <v>34</v>
      </c>
      <c r="B1074" t="n">
        <v>1968</v>
      </c>
      <c r="C1074" t="n">
        <v>-0.0103</v>
      </c>
    </row>
    <row r="1075">
      <c r="A1075" t="n">
        <v>34</v>
      </c>
      <c r="B1075" t="n">
        <v>1969</v>
      </c>
      <c r="C1075" t="n">
        <v>-0.0047</v>
      </c>
    </row>
    <row r="1076">
      <c r="A1076" t="n">
        <v>34</v>
      </c>
      <c r="B1076" t="n">
        <v>1970</v>
      </c>
      <c r="C1076" t="n">
        <v>0.0021</v>
      </c>
    </row>
    <row r="1077">
      <c r="A1077" t="n">
        <v>34</v>
      </c>
      <c r="B1077" t="n">
        <v>1971</v>
      </c>
      <c r="C1077" t="n">
        <v>0.0094</v>
      </c>
    </row>
    <row r="1078">
      <c r="A1078" t="n">
        <v>34</v>
      </c>
      <c r="B1078" t="n">
        <v>1972</v>
      </c>
      <c r="C1078" t="n">
        <v>0.0165</v>
      </c>
    </row>
    <row r="1079">
      <c r="A1079" t="n">
        <v>34</v>
      </c>
      <c r="B1079" t="n">
        <v>1973</v>
      </c>
      <c r="C1079" t="n">
        <v>0.0227</v>
      </c>
    </row>
    <row r="1080">
      <c r="A1080" t="n">
        <v>34</v>
      </c>
      <c r="B1080" t="n">
        <v>1974</v>
      </c>
      <c r="C1080" t="n">
        <v>0.0273</v>
      </c>
    </row>
    <row r="1081">
      <c r="A1081" t="n">
        <v>34</v>
      </c>
      <c r="B1081" t="n">
        <v>1975</v>
      </c>
      <c r="C1081" t="n">
        <v>0.0297</v>
      </c>
    </row>
    <row r="1082">
      <c r="A1082" t="n">
        <v>34</v>
      </c>
      <c r="B1082" t="n">
        <v>1976</v>
      </c>
      <c r="C1082" t="n">
        <v>0.0298</v>
      </c>
    </row>
    <row r="1083">
      <c r="A1083" t="n">
        <v>34</v>
      </c>
      <c r="B1083" t="n">
        <v>1977</v>
      </c>
      <c r="C1083" t="n">
        <v>0.0278</v>
      </c>
    </row>
    <row r="1084">
      <c r="A1084" t="n">
        <v>34</v>
      </c>
      <c r="B1084" t="n">
        <v>1978</v>
      </c>
      <c r="C1084" t="n">
        <v>0.0242</v>
      </c>
    </row>
    <row r="1085">
      <c r="A1085" t="n">
        <v>34</v>
      </c>
      <c r="B1085" t="n">
        <v>1979</v>
      </c>
      <c r="C1085" t="n">
        <v>0.0196</v>
      </c>
    </row>
    <row r="1086">
      <c r="A1086" t="n">
        <v>34</v>
      </c>
      <c r="B1086" t="n">
        <v>1980</v>
      </c>
      <c r="C1086" t="n">
        <v>0.0141</v>
      </c>
    </row>
    <row r="1087">
      <c r="A1087" t="n">
        <v>34</v>
      </c>
      <c r="B1087" t="n">
        <v>1981</v>
      </c>
      <c r="C1087" t="n">
        <v>0.0073</v>
      </c>
    </row>
    <row r="1088">
      <c r="A1088" t="n">
        <v>34</v>
      </c>
      <c r="B1088" t="n">
        <v>1982</v>
      </c>
      <c r="C1088" t="n">
        <v>-0.0009</v>
      </c>
    </row>
    <row r="1089">
      <c r="A1089" t="n">
        <v>34</v>
      </c>
      <c r="B1089" t="n">
        <v>1983</v>
      </c>
      <c r="C1089" t="n">
        <v>-0.0105</v>
      </c>
    </row>
    <row r="1090">
      <c r="A1090" t="n">
        <v>34</v>
      </c>
      <c r="B1090" t="n">
        <v>1984</v>
      </c>
      <c r="C1090" t="n">
        <v>-0.0208</v>
      </c>
    </row>
    <row r="1091">
      <c r="A1091" t="n">
        <v>34</v>
      </c>
      <c r="B1091" t="n">
        <v>1985</v>
      </c>
      <c r="C1091" t="n">
        <v>-0.03</v>
      </c>
    </row>
    <row r="1092">
      <c r="A1092" t="n">
        <v>34</v>
      </c>
      <c r="B1092" t="n">
        <v>1986</v>
      </c>
      <c r="C1092" t="n">
        <v>-0.0365</v>
      </c>
    </row>
    <row r="1093">
      <c r="A1093" t="n">
        <v>34</v>
      </c>
      <c r="B1093" t="n">
        <v>1987</v>
      </c>
      <c r="C1093" t="n">
        <v>-0.0389</v>
      </c>
    </row>
    <row r="1094">
      <c r="A1094" t="n">
        <v>34</v>
      </c>
      <c r="B1094" t="n">
        <v>1988</v>
      </c>
      <c r="C1094" t="n">
        <v>-0.0372</v>
      </c>
    </row>
    <row r="1095">
      <c r="A1095" t="n">
        <v>34</v>
      </c>
      <c r="B1095" t="n">
        <v>1989</v>
      </c>
      <c r="C1095" t="n">
        <v>-0.0317</v>
      </c>
    </row>
    <row r="1096">
      <c r="A1096" t="n">
        <v>34</v>
      </c>
      <c r="B1096" t="n">
        <v>1990</v>
      </c>
      <c r="C1096" t="n">
        <v>-0.0229</v>
      </c>
    </row>
    <row r="1097">
      <c r="A1097" t="n">
        <v>34</v>
      </c>
      <c r="B1097" t="n">
        <v>1991</v>
      </c>
      <c r="C1097" t="n">
        <v>-0.0114</v>
      </c>
    </row>
    <row r="1098">
      <c r="A1098" t="n">
        <v>34</v>
      </c>
      <c r="B1098" t="n">
        <v>1992</v>
      </c>
      <c r="C1098" t="n">
        <v>0.0028</v>
      </c>
    </row>
    <row r="1099">
      <c r="A1099" t="n">
        <v>34</v>
      </c>
      <c r="B1099" t="n">
        <v>1993</v>
      </c>
      <c r="C1099" t="n">
        <v>0.0192</v>
      </c>
    </row>
    <row r="1100">
      <c r="A1100" t="n">
        <v>34</v>
      </c>
      <c r="B1100" t="n">
        <v>1994</v>
      </c>
      <c r="C1100" t="n">
        <v>0.0365</v>
      </c>
    </row>
    <row r="1101">
      <c r="A1101" t="n">
        <v>34</v>
      </c>
      <c r="B1101" t="n">
        <v>1995</v>
      </c>
      <c r="C1101" t="n">
        <v>0.0522</v>
      </c>
    </row>
    <row r="1102">
      <c r="A1102" t="n">
        <v>34</v>
      </c>
      <c r="B1102" t="n">
        <v>1996</v>
      </c>
      <c r="C1102" t="n">
        <v>0.0631</v>
      </c>
    </row>
    <row r="1103">
      <c r="A1103" t="n">
        <v>34</v>
      </c>
      <c r="B1103" t="n">
        <v>1997</v>
      </c>
      <c r="C1103" t="n">
        <v>0.06610000000000001</v>
      </c>
    </row>
    <row r="1104">
      <c r="A1104" t="n">
        <v>34</v>
      </c>
      <c r="B1104" t="n">
        <v>1998</v>
      </c>
      <c r="C1104" t="n">
        <v>0.061</v>
      </c>
    </row>
    <row r="1105">
      <c r="A1105" t="n">
        <v>34</v>
      </c>
      <c r="B1105" t="n">
        <v>1999</v>
      </c>
      <c r="C1105" t="n">
        <v>0.0499</v>
      </c>
    </row>
    <row r="1106">
      <c r="A1106" t="n">
        <v>34</v>
      </c>
      <c r="B1106" t="n">
        <v>2000</v>
      </c>
      <c r="C1106" t="n">
        <v>0.0361</v>
      </c>
    </row>
    <row r="1107">
      <c r="A1107" t="n">
        <v>34</v>
      </c>
      <c r="B1107" t="n">
        <v>2001</v>
      </c>
      <c r="C1107" t="n">
        <v>0.023</v>
      </c>
    </row>
    <row r="1108">
      <c r="A1108" t="n">
        <v>34</v>
      </c>
      <c r="B1108" t="n">
        <v>2002</v>
      </c>
      <c r="C1108" t="n">
        <v>0.0128</v>
      </c>
    </row>
    <row r="1109">
      <c r="A1109" t="n">
        <v>34</v>
      </c>
      <c r="B1109" t="n">
        <v>2003</v>
      </c>
      <c r="C1109" t="n">
        <v>0.0062</v>
      </c>
    </row>
    <row r="1110">
      <c r="A1110" t="n">
        <v>34</v>
      </c>
      <c r="B1110" t="n">
        <v>2004</v>
      </c>
      <c r="C1110" t="n">
        <v>0.0029</v>
      </c>
    </row>
    <row r="1111">
      <c r="A1111" t="n">
        <v>34</v>
      </c>
      <c r="B1111" t="n">
        <v>2005</v>
      </c>
      <c r="C1111" t="n">
        <v>0.0021</v>
      </c>
    </row>
    <row r="1112">
      <c r="A1112" t="n">
        <v>34</v>
      </c>
      <c r="B1112" t="n">
        <v>2006</v>
      </c>
      <c r="C1112" t="n">
        <v>0.003</v>
      </c>
    </row>
    <row r="1113">
      <c r="A1113" t="n">
        <v>34</v>
      </c>
      <c r="B1113" t="n">
        <v>2007</v>
      </c>
      <c r="C1113" t="n">
        <v>0.0045</v>
      </c>
    </row>
    <row r="1114">
      <c r="A1114" t="n">
        <v>34</v>
      </c>
      <c r="B1114" t="n">
        <v>2008</v>
      </c>
      <c r="C1114" t="n">
        <v>0.0054</v>
      </c>
    </row>
    <row r="1115">
      <c r="A1115" t="n">
        <v>34</v>
      </c>
      <c r="B1115" t="n">
        <v>2009</v>
      </c>
      <c r="C1115" t="n">
        <v>0.0049</v>
      </c>
    </row>
    <row r="1116">
      <c r="A1116" t="n">
        <v>34</v>
      </c>
      <c r="B1116" t="n">
        <v>2010</v>
      </c>
      <c r="C1116" t="n">
        <v>0.0026</v>
      </c>
    </row>
    <row r="1117">
      <c r="A1117" t="n">
        <v>34</v>
      </c>
      <c r="B1117" t="n">
        <v>2011</v>
      </c>
      <c r="C1117" t="n">
        <v>-0.0016</v>
      </c>
    </row>
    <row r="1118">
      <c r="A1118" t="n">
        <v>34</v>
      </c>
      <c r="B1118" t="n">
        <v>2012</v>
      </c>
      <c r="C1118" t="n">
        <v>-0.0071</v>
      </c>
    </row>
    <row r="1119">
      <c r="A1119" t="n">
        <v>34</v>
      </c>
      <c r="B1119" t="n">
        <v>2013</v>
      </c>
      <c r="C1119" t="n">
        <v>-0.0071</v>
      </c>
    </row>
    <row r="1120">
      <c r="A1120" t="n">
        <v>34</v>
      </c>
      <c r="B1120" t="n">
        <v>2014</v>
      </c>
      <c r="C1120" t="n">
        <v>-0.0061</v>
      </c>
    </row>
    <row r="1121">
      <c r="A1121" t="n">
        <v>34</v>
      </c>
      <c r="B1121" t="n">
        <v>2015</v>
      </c>
      <c r="C1121" t="n">
        <v>-0.0044</v>
      </c>
    </row>
    <row r="1122">
      <c r="A1122" t="n">
        <v>34</v>
      </c>
      <c r="B1122" t="n">
        <v>2016</v>
      </c>
      <c r="C1122" t="n">
        <v>-0.002</v>
      </c>
    </row>
    <row r="1123">
      <c r="A1123" t="n">
        <v>34</v>
      </c>
      <c r="B1123" t="n">
        <v>2017</v>
      </c>
      <c r="C1123" t="n">
        <v>0.0007</v>
      </c>
    </row>
    <row r="1124">
      <c r="A1124" t="n">
        <v>34</v>
      </c>
      <c r="B1124" t="n">
        <v>2018</v>
      </c>
      <c r="C1124" t="n">
        <v>0.0035</v>
      </c>
    </row>
    <row r="1125">
      <c r="A1125" t="n">
        <v>34</v>
      </c>
      <c r="B1125" t="n">
        <v>2019</v>
      </c>
      <c r="C1125" t="n">
        <v>0.0062</v>
      </c>
    </row>
    <row r="1126">
      <c r="A1126" t="n">
        <v>34</v>
      </c>
      <c r="B1126" t="n">
        <v>2020</v>
      </c>
      <c r="C1126" t="n">
        <v>0.0086</v>
      </c>
    </row>
    <row r="1127">
      <c r="A1127" t="n">
        <v>34</v>
      </c>
      <c r="B1127" t="n">
        <v>2021</v>
      </c>
      <c r="C1127" t="n">
        <v>0.0105</v>
      </c>
    </row>
    <row r="1128">
      <c r="A1128" t="n">
        <v>34</v>
      </c>
      <c r="B1128" t="n">
        <v>2022</v>
      </c>
      <c r="C1128" t="n">
        <v>0.0117</v>
      </c>
    </row>
    <row r="1129">
      <c r="A1129" t="n">
        <v>34</v>
      </c>
      <c r="B1129" t="n">
        <v>2023</v>
      </c>
      <c r="C1129" t="n">
        <v>0.0123</v>
      </c>
    </row>
    <row r="1130">
      <c r="A1130" t="n">
        <v>34</v>
      </c>
      <c r="B1130" t="n">
        <v>2024</v>
      </c>
      <c r="C1130" t="n">
        <v>0.0126</v>
      </c>
    </row>
    <row r="1131">
      <c r="A1131" t="n">
        <v>34</v>
      </c>
      <c r="B1131" t="n">
        <v>2025</v>
      </c>
      <c r="C1131" t="n">
        <v>0.0126</v>
      </c>
    </row>
    <row r="1132">
      <c r="A1132" t="n">
        <v>34</v>
      </c>
      <c r="B1132" t="n">
        <v>2026</v>
      </c>
      <c r="C1132" t="n">
        <v>0.0124</v>
      </c>
    </row>
    <row r="1133">
      <c r="A1133" t="n">
        <v>34</v>
      </c>
      <c r="B1133" t="n">
        <v>2027</v>
      </c>
      <c r="C1133" t="n">
        <v>0.0117</v>
      </c>
    </row>
    <row r="1134">
      <c r="A1134" t="n">
        <v>34</v>
      </c>
      <c r="B1134" t="n">
        <v>2028</v>
      </c>
      <c r="C1134" t="n">
        <v>0.0111</v>
      </c>
    </row>
    <row r="1135">
      <c r="A1135" t="n">
        <v>34</v>
      </c>
      <c r="B1135" t="n">
        <v>2029</v>
      </c>
      <c r="C1135" t="n">
        <v>0.0107</v>
      </c>
    </row>
    <row r="1136">
      <c r="A1136" t="n">
        <v>34</v>
      </c>
      <c r="B1136" t="n">
        <v>2030</v>
      </c>
      <c r="C1136" t="n">
        <v>0.0103</v>
      </c>
    </row>
    <row r="1137">
      <c r="A1137" t="n">
        <v>34</v>
      </c>
      <c r="B1137" t="n">
        <v>2031</v>
      </c>
      <c r="C1137" t="n">
        <v>0.0101</v>
      </c>
    </row>
    <row r="1138">
      <c r="A1138" t="n">
        <v>35</v>
      </c>
      <c r="B1138" t="n">
        <v>1951</v>
      </c>
      <c r="C1138" t="n">
        <v>0.0402</v>
      </c>
    </row>
    <row r="1139">
      <c r="A1139" t="n">
        <v>35</v>
      </c>
      <c r="B1139" t="n">
        <v>1952</v>
      </c>
      <c r="C1139" t="n">
        <v>0.0356</v>
      </c>
    </row>
    <row r="1140">
      <c r="A1140" t="n">
        <v>35</v>
      </c>
      <c r="B1140" t="n">
        <v>1953</v>
      </c>
      <c r="C1140" t="n">
        <v>0.0308</v>
      </c>
    </row>
    <row r="1141">
      <c r="A1141" t="n">
        <v>35</v>
      </c>
      <c r="B1141" t="n">
        <v>1954</v>
      </c>
      <c r="C1141" t="n">
        <v>0.0256</v>
      </c>
    </row>
    <row r="1142">
      <c r="A1142" t="n">
        <v>35</v>
      </c>
      <c r="B1142" t="n">
        <v>1955</v>
      </c>
      <c r="C1142" t="n">
        <v>0.0202</v>
      </c>
    </row>
    <row r="1143">
      <c r="A1143" t="n">
        <v>35</v>
      </c>
      <c r="B1143" t="n">
        <v>1956</v>
      </c>
      <c r="C1143" t="n">
        <v>0.0148</v>
      </c>
    </row>
    <row r="1144">
      <c r="A1144" t="n">
        <v>35</v>
      </c>
      <c r="B1144" t="n">
        <v>1957</v>
      </c>
      <c r="C1144" t="n">
        <v>0.0097</v>
      </c>
    </row>
    <row r="1145">
      <c r="A1145" t="n">
        <v>35</v>
      </c>
      <c r="B1145" t="n">
        <v>1958</v>
      </c>
      <c r="C1145" t="n">
        <v>0.0052</v>
      </c>
    </row>
    <row r="1146">
      <c r="A1146" t="n">
        <v>35</v>
      </c>
      <c r="B1146" t="n">
        <v>1959</v>
      </c>
      <c r="C1146" t="n">
        <v>0.0011</v>
      </c>
    </row>
    <row r="1147">
      <c r="A1147" t="n">
        <v>35</v>
      </c>
      <c r="B1147" t="n">
        <v>1960</v>
      </c>
      <c r="C1147" t="n">
        <v>-0.0029</v>
      </c>
    </row>
    <row r="1148">
      <c r="A1148" t="n">
        <v>35</v>
      </c>
      <c r="B1148" t="n">
        <v>1961</v>
      </c>
      <c r="C1148" t="n">
        <v>-0.0067</v>
      </c>
    </row>
    <row r="1149">
      <c r="A1149" t="n">
        <v>35</v>
      </c>
      <c r="B1149" t="n">
        <v>1962</v>
      </c>
      <c r="C1149" t="n">
        <v>-0.0103</v>
      </c>
    </row>
    <row r="1150">
      <c r="A1150" t="n">
        <v>35</v>
      </c>
      <c r="B1150" t="n">
        <v>1963</v>
      </c>
      <c r="C1150" t="n">
        <v>-0.0134</v>
      </c>
    </row>
    <row r="1151">
      <c r="A1151" t="n">
        <v>35</v>
      </c>
      <c r="B1151" t="n">
        <v>1964</v>
      </c>
      <c r="C1151" t="n">
        <v>-0.0155</v>
      </c>
    </row>
    <row r="1152">
      <c r="A1152" t="n">
        <v>35</v>
      </c>
      <c r="B1152" t="n">
        <v>1965</v>
      </c>
      <c r="C1152" t="n">
        <v>-0.0164</v>
      </c>
    </row>
    <row r="1153">
      <c r="A1153" t="n">
        <v>35</v>
      </c>
      <c r="B1153" t="n">
        <v>1966</v>
      </c>
      <c r="C1153" t="n">
        <v>-0.0158</v>
      </c>
    </row>
    <row r="1154">
      <c r="A1154" t="n">
        <v>35</v>
      </c>
      <c r="B1154" t="n">
        <v>1967</v>
      </c>
      <c r="C1154" t="n">
        <v>-0.0136</v>
      </c>
    </row>
    <row r="1155">
      <c r="A1155" t="n">
        <v>35</v>
      </c>
      <c r="B1155" t="n">
        <v>1968</v>
      </c>
      <c r="C1155" t="n">
        <v>-0.0095</v>
      </c>
    </row>
    <row r="1156">
      <c r="A1156" t="n">
        <v>35</v>
      </c>
      <c r="B1156" t="n">
        <v>1969</v>
      </c>
      <c r="C1156" t="n">
        <v>-0.0038</v>
      </c>
    </row>
    <row r="1157">
      <c r="A1157" t="n">
        <v>35</v>
      </c>
      <c r="B1157" t="n">
        <v>1970</v>
      </c>
      <c r="C1157" t="n">
        <v>0.0031</v>
      </c>
    </row>
    <row r="1158">
      <c r="A1158" t="n">
        <v>35</v>
      </c>
      <c r="B1158" t="n">
        <v>1971</v>
      </c>
      <c r="C1158" t="n">
        <v>0.0105</v>
      </c>
    </row>
    <row r="1159">
      <c r="A1159" t="n">
        <v>35</v>
      </c>
      <c r="B1159" t="n">
        <v>1972</v>
      </c>
      <c r="C1159" t="n">
        <v>0.0176</v>
      </c>
    </row>
    <row r="1160">
      <c r="A1160" t="n">
        <v>35</v>
      </c>
      <c r="B1160" t="n">
        <v>1973</v>
      </c>
      <c r="C1160" t="n">
        <v>0.0239</v>
      </c>
    </row>
    <row r="1161">
      <c r="A1161" t="n">
        <v>35</v>
      </c>
      <c r="B1161" t="n">
        <v>1974</v>
      </c>
      <c r="C1161" t="n">
        <v>0.0286</v>
      </c>
    </row>
    <row r="1162">
      <c r="A1162" t="n">
        <v>35</v>
      </c>
      <c r="B1162" t="n">
        <v>1975</v>
      </c>
      <c r="C1162" t="n">
        <v>0.0312</v>
      </c>
    </row>
    <row r="1163">
      <c r="A1163" t="n">
        <v>35</v>
      </c>
      <c r="B1163" t="n">
        <v>1976</v>
      </c>
      <c r="C1163" t="n">
        <v>0.0316</v>
      </c>
    </row>
    <row r="1164">
      <c r="A1164" t="n">
        <v>35</v>
      </c>
      <c r="B1164" t="n">
        <v>1977</v>
      </c>
      <c r="C1164" t="n">
        <v>0.0299</v>
      </c>
    </row>
    <row r="1165">
      <c r="A1165" t="n">
        <v>35</v>
      </c>
      <c r="B1165" t="n">
        <v>1978</v>
      </c>
      <c r="C1165" t="n">
        <v>0.0266</v>
      </c>
    </row>
    <row r="1166">
      <c r="A1166" t="n">
        <v>35</v>
      </c>
      <c r="B1166" t="n">
        <v>1979</v>
      </c>
      <c r="C1166" t="n">
        <v>0.0222</v>
      </c>
    </row>
    <row r="1167">
      <c r="A1167" t="n">
        <v>35</v>
      </c>
      <c r="B1167" t="n">
        <v>1980</v>
      </c>
      <c r="C1167" t="n">
        <v>0.0165</v>
      </c>
    </row>
    <row r="1168">
      <c r="A1168" t="n">
        <v>35</v>
      </c>
      <c r="B1168" t="n">
        <v>1981</v>
      </c>
      <c r="C1168" t="n">
        <v>0.009599999999999999</v>
      </c>
    </row>
    <row r="1169">
      <c r="A1169" t="n">
        <v>35</v>
      </c>
      <c r="B1169" t="n">
        <v>1982</v>
      </c>
      <c r="C1169" t="n">
        <v>0.001</v>
      </c>
    </row>
    <row r="1170">
      <c r="A1170" t="n">
        <v>35</v>
      </c>
      <c r="B1170" t="n">
        <v>1983</v>
      </c>
      <c r="C1170" t="n">
        <v>-0.0091</v>
      </c>
    </row>
    <row r="1171">
      <c r="A1171" t="n">
        <v>35</v>
      </c>
      <c r="B1171" t="n">
        <v>1984</v>
      </c>
      <c r="C1171" t="n">
        <v>-0.0199</v>
      </c>
    </row>
    <row r="1172">
      <c r="A1172" t="n">
        <v>35</v>
      </c>
      <c r="B1172" t="n">
        <v>1985</v>
      </c>
      <c r="C1172" t="n">
        <v>-0.0296</v>
      </c>
    </row>
    <row r="1173">
      <c r="A1173" t="n">
        <v>35</v>
      </c>
      <c r="B1173" t="n">
        <v>1986</v>
      </c>
      <c r="C1173" t="n">
        <v>-0.0365</v>
      </c>
    </row>
    <row r="1174">
      <c r="A1174" t="n">
        <v>35</v>
      </c>
      <c r="B1174" t="n">
        <v>1987</v>
      </c>
      <c r="C1174" t="n">
        <v>-0.0395</v>
      </c>
    </row>
    <row r="1175">
      <c r="A1175" t="n">
        <v>35</v>
      </c>
      <c r="B1175" t="n">
        <v>1988</v>
      </c>
      <c r="C1175" t="n">
        <v>-0.0382</v>
      </c>
    </row>
    <row r="1176">
      <c r="A1176" t="n">
        <v>35</v>
      </c>
      <c r="B1176" t="n">
        <v>1989</v>
      </c>
      <c r="C1176" t="n">
        <v>-0.0332</v>
      </c>
    </row>
    <row r="1177">
      <c r="A1177" t="n">
        <v>35</v>
      </c>
      <c r="B1177" t="n">
        <v>1990</v>
      </c>
      <c r="C1177" t="n">
        <v>-0.0248</v>
      </c>
    </row>
    <row r="1178">
      <c r="A1178" t="n">
        <v>35</v>
      </c>
      <c r="B1178" t="n">
        <v>1991</v>
      </c>
      <c r="C1178" t="n">
        <v>-0.0135</v>
      </c>
    </row>
    <row r="1179">
      <c r="A1179" t="n">
        <v>35</v>
      </c>
      <c r="B1179" t="n">
        <v>1992</v>
      </c>
      <c r="C1179" t="n">
        <v>0.0005</v>
      </c>
    </row>
    <row r="1180">
      <c r="A1180" t="n">
        <v>35</v>
      </c>
      <c r="B1180" t="n">
        <v>1993</v>
      </c>
      <c r="C1180" t="n">
        <v>0.0167</v>
      </c>
    </row>
    <row r="1181">
      <c r="A1181" t="n">
        <v>35</v>
      </c>
      <c r="B1181" t="n">
        <v>1994</v>
      </c>
      <c r="C1181" t="n">
        <v>0.0339</v>
      </c>
    </row>
    <row r="1182">
      <c r="A1182" t="n">
        <v>35</v>
      </c>
      <c r="B1182" t="n">
        <v>1995</v>
      </c>
      <c r="C1182" t="n">
        <v>0.0496</v>
      </c>
    </row>
    <row r="1183">
      <c r="A1183" t="n">
        <v>35</v>
      </c>
      <c r="B1183" t="n">
        <v>1996</v>
      </c>
      <c r="C1183" t="n">
        <v>0.0605</v>
      </c>
    </row>
    <row r="1184">
      <c r="A1184" t="n">
        <v>35</v>
      </c>
      <c r="B1184" t="n">
        <v>1997</v>
      </c>
      <c r="C1184" t="n">
        <v>0.0638</v>
      </c>
    </row>
    <row r="1185">
      <c r="A1185" t="n">
        <v>35</v>
      </c>
      <c r="B1185" t="n">
        <v>1998</v>
      </c>
      <c r="C1185" t="n">
        <v>0.0593</v>
      </c>
    </row>
    <row r="1186">
      <c r="A1186" t="n">
        <v>35</v>
      </c>
      <c r="B1186" t="n">
        <v>1999</v>
      </c>
      <c r="C1186" t="n">
        <v>0.0489</v>
      </c>
    </row>
    <row r="1187">
      <c r="A1187" t="n">
        <v>35</v>
      </c>
      <c r="B1187" t="n">
        <v>2000</v>
      </c>
      <c r="C1187" t="n">
        <v>0.036</v>
      </c>
    </row>
    <row r="1188">
      <c r="A1188" t="n">
        <v>35</v>
      </c>
      <c r="B1188" t="n">
        <v>2001</v>
      </c>
      <c r="C1188" t="n">
        <v>0.024</v>
      </c>
    </row>
    <row r="1189">
      <c r="A1189" t="n">
        <v>35</v>
      </c>
      <c r="B1189" t="n">
        <v>2002</v>
      </c>
      <c r="C1189" t="n">
        <v>0.0149</v>
      </c>
    </row>
    <row r="1190">
      <c r="A1190" t="n">
        <v>35</v>
      </c>
      <c r="B1190" t="n">
        <v>2003</v>
      </c>
      <c r="C1190" t="n">
        <v>0.009299999999999999</v>
      </c>
    </row>
    <row r="1191">
      <c r="A1191" t="n">
        <v>35</v>
      </c>
      <c r="B1191" t="n">
        <v>2004</v>
      </c>
      <c r="C1191" t="n">
        <v>0.0067</v>
      </c>
    </row>
    <row r="1192">
      <c r="A1192" t="n">
        <v>35</v>
      </c>
      <c r="B1192" t="n">
        <v>2005</v>
      </c>
      <c r="C1192" t="n">
        <v>0.0062</v>
      </c>
    </row>
    <row r="1193">
      <c r="A1193" t="n">
        <v>35</v>
      </c>
      <c r="B1193" t="n">
        <v>2006</v>
      </c>
      <c r="C1193" t="n">
        <v>0.0069</v>
      </c>
    </row>
    <row r="1194">
      <c r="A1194" t="n">
        <v>35</v>
      </c>
      <c r="B1194" t="n">
        <v>2007</v>
      </c>
      <c r="C1194" t="n">
        <v>0.0081</v>
      </c>
    </row>
    <row r="1195">
      <c r="A1195" t="n">
        <v>35</v>
      </c>
      <c r="B1195" t="n">
        <v>2008</v>
      </c>
      <c r="C1195" t="n">
        <v>0.008500000000000001</v>
      </c>
    </row>
    <row r="1196">
      <c r="A1196" t="n">
        <v>35</v>
      </c>
      <c r="B1196" t="n">
        <v>2009</v>
      </c>
      <c r="C1196" t="n">
        <v>0.0076</v>
      </c>
    </row>
    <row r="1197">
      <c r="A1197" t="n">
        <v>35</v>
      </c>
      <c r="B1197" t="n">
        <v>2010</v>
      </c>
      <c r="C1197" t="n">
        <v>0.0048</v>
      </c>
    </row>
    <row r="1198">
      <c r="A1198" t="n">
        <v>35</v>
      </c>
      <c r="B1198" t="n">
        <v>2011</v>
      </c>
      <c r="C1198" t="n">
        <v>0.0002</v>
      </c>
    </row>
    <row r="1199">
      <c r="A1199" t="n">
        <v>35</v>
      </c>
      <c r="B1199" t="n">
        <v>2012</v>
      </c>
      <c r="C1199" t="n">
        <v>-0.0057</v>
      </c>
    </row>
    <row r="1200">
      <c r="A1200" t="n">
        <v>35</v>
      </c>
      <c r="B1200" t="n">
        <v>2013</v>
      </c>
      <c r="C1200" t="n">
        <v>-0.0061</v>
      </c>
    </row>
    <row r="1201">
      <c r="A1201" t="n">
        <v>35</v>
      </c>
      <c r="B1201" t="n">
        <v>2014</v>
      </c>
      <c r="C1201" t="n">
        <v>-0.0056</v>
      </c>
    </row>
    <row r="1202">
      <c r="A1202" t="n">
        <v>35</v>
      </c>
      <c r="B1202" t="n">
        <v>2015</v>
      </c>
      <c r="C1202" t="n">
        <v>-0.0043</v>
      </c>
    </row>
    <row r="1203">
      <c r="A1203" t="n">
        <v>35</v>
      </c>
      <c r="B1203" t="n">
        <v>2016</v>
      </c>
      <c r="C1203" t="n">
        <v>-0.0024</v>
      </c>
    </row>
    <row r="1204">
      <c r="A1204" t="n">
        <v>35</v>
      </c>
      <c r="B1204" t="n">
        <v>2017</v>
      </c>
      <c r="C1204" t="n">
        <v>0</v>
      </c>
    </row>
    <row r="1205">
      <c r="A1205" t="n">
        <v>35</v>
      </c>
      <c r="B1205" t="n">
        <v>2018</v>
      </c>
      <c r="C1205" t="n">
        <v>0.0025</v>
      </c>
    </row>
    <row r="1206">
      <c r="A1206" t="n">
        <v>35</v>
      </c>
      <c r="B1206" t="n">
        <v>2019</v>
      </c>
      <c r="C1206" t="n">
        <v>0.0051</v>
      </c>
    </row>
    <row r="1207">
      <c r="A1207" t="n">
        <v>35</v>
      </c>
      <c r="B1207" t="n">
        <v>2020</v>
      </c>
      <c r="C1207" t="n">
        <v>0.0075</v>
      </c>
    </row>
    <row r="1208">
      <c r="A1208" t="n">
        <v>35</v>
      </c>
      <c r="B1208" t="n">
        <v>2021</v>
      </c>
      <c r="C1208" t="n">
        <v>0.0094</v>
      </c>
    </row>
    <row r="1209">
      <c r="A1209" t="n">
        <v>35</v>
      </c>
      <c r="B1209" t="n">
        <v>2022</v>
      </c>
      <c r="C1209" t="n">
        <v>0.0107</v>
      </c>
    </row>
    <row r="1210">
      <c r="A1210" t="n">
        <v>35</v>
      </c>
      <c r="B1210" t="n">
        <v>2023</v>
      </c>
      <c r="C1210" t="n">
        <v>0.0114</v>
      </c>
    </row>
    <row r="1211">
      <c r="A1211" t="n">
        <v>35</v>
      </c>
      <c r="B1211" t="n">
        <v>2024</v>
      </c>
      <c r="C1211" t="n">
        <v>0.0119</v>
      </c>
    </row>
    <row r="1212">
      <c r="A1212" t="n">
        <v>35</v>
      </c>
      <c r="B1212" t="n">
        <v>2025</v>
      </c>
      <c r="C1212" t="n">
        <v>0.0121</v>
      </c>
    </row>
    <row r="1213">
      <c r="A1213" t="n">
        <v>35</v>
      </c>
      <c r="B1213" t="n">
        <v>2026</v>
      </c>
      <c r="C1213" t="n">
        <v>0.012</v>
      </c>
    </row>
    <row r="1214">
      <c r="A1214" t="n">
        <v>35</v>
      </c>
      <c r="B1214" t="n">
        <v>2027</v>
      </c>
      <c r="C1214" t="n">
        <v>0.0117</v>
      </c>
    </row>
    <row r="1215">
      <c r="A1215" t="n">
        <v>35</v>
      </c>
      <c r="B1215" t="n">
        <v>2028</v>
      </c>
      <c r="C1215" t="n">
        <v>0.0111</v>
      </c>
    </row>
    <row r="1216">
      <c r="A1216" t="n">
        <v>35</v>
      </c>
      <c r="B1216" t="n">
        <v>2029</v>
      </c>
      <c r="C1216" t="n">
        <v>0.0107</v>
      </c>
    </row>
    <row r="1217">
      <c r="A1217" t="n">
        <v>35</v>
      </c>
      <c r="B1217" t="n">
        <v>2030</v>
      </c>
      <c r="C1217" t="n">
        <v>0.0103</v>
      </c>
    </row>
    <row r="1218">
      <c r="A1218" t="n">
        <v>35</v>
      </c>
      <c r="B1218" t="n">
        <v>2031</v>
      </c>
      <c r="C1218" t="n">
        <v>0.0101</v>
      </c>
    </row>
    <row r="1219">
      <c r="A1219" t="n">
        <v>36</v>
      </c>
      <c r="B1219" t="n">
        <v>1951</v>
      </c>
      <c r="C1219" t="n">
        <v>0.0398</v>
      </c>
    </row>
    <row r="1220">
      <c r="A1220" t="n">
        <v>36</v>
      </c>
      <c r="B1220" t="n">
        <v>1952</v>
      </c>
      <c r="C1220" t="n">
        <v>0.0352</v>
      </c>
    </row>
    <row r="1221">
      <c r="A1221" t="n">
        <v>36</v>
      </c>
      <c r="B1221" t="n">
        <v>1953</v>
      </c>
      <c r="C1221" t="n">
        <v>0.0305</v>
      </c>
    </row>
    <row r="1222">
      <c r="A1222" t="n">
        <v>36</v>
      </c>
      <c r="B1222" t="n">
        <v>1954</v>
      </c>
      <c r="C1222" t="n">
        <v>0.0254</v>
      </c>
    </row>
    <row r="1223">
      <c r="A1223" t="n">
        <v>36</v>
      </c>
      <c r="B1223" t="n">
        <v>1955</v>
      </c>
      <c r="C1223" t="n">
        <v>0.02</v>
      </c>
    </row>
    <row r="1224">
      <c r="A1224" t="n">
        <v>36</v>
      </c>
      <c r="B1224" t="n">
        <v>1956</v>
      </c>
      <c r="C1224" t="n">
        <v>0.0147</v>
      </c>
    </row>
    <row r="1225">
      <c r="A1225" t="n">
        <v>36</v>
      </c>
      <c r="B1225" t="n">
        <v>1957</v>
      </c>
      <c r="C1225" t="n">
        <v>0.009599999999999999</v>
      </c>
    </row>
    <row r="1226">
      <c r="A1226" t="n">
        <v>36</v>
      </c>
      <c r="B1226" t="n">
        <v>1958</v>
      </c>
      <c r="C1226" t="n">
        <v>0.0051</v>
      </c>
    </row>
    <row r="1227">
      <c r="A1227" t="n">
        <v>36</v>
      </c>
      <c r="B1227" t="n">
        <v>1959</v>
      </c>
      <c r="C1227" t="n">
        <v>0.0011</v>
      </c>
    </row>
    <row r="1228">
      <c r="A1228" t="n">
        <v>36</v>
      </c>
      <c r="B1228" t="n">
        <v>1960</v>
      </c>
      <c r="C1228" t="n">
        <v>-0.0028</v>
      </c>
    </row>
    <row r="1229">
      <c r="A1229" t="n">
        <v>36</v>
      </c>
      <c r="B1229" t="n">
        <v>1961</v>
      </c>
      <c r="C1229" t="n">
        <v>-0.0065</v>
      </c>
    </row>
    <row r="1230">
      <c r="A1230" t="n">
        <v>36</v>
      </c>
      <c r="B1230" t="n">
        <v>1962</v>
      </c>
      <c r="C1230" t="n">
        <v>-0.009900000000000001</v>
      </c>
    </row>
    <row r="1231">
      <c r="A1231" t="n">
        <v>36</v>
      </c>
      <c r="B1231" t="n">
        <v>1963</v>
      </c>
      <c r="C1231" t="n">
        <v>-0.0129</v>
      </c>
    </row>
    <row r="1232">
      <c r="A1232" t="n">
        <v>36</v>
      </c>
      <c r="B1232" t="n">
        <v>1964</v>
      </c>
      <c r="C1232" t="n">
        <v>-0.0149</v>
      </c>
    </row>
    <row r="1233">
      <c r="A1233" t="n">
        <v>36</v>
      </c>
      <c r="B1233" t="n">
        <v>1965</v>
      </c>
      <c r="C1233" t="n">
        <v>-0.0157</v>
      </c>
    </row>
    <row r="1234">
      <c r="A1234" t="n">
        <v>36</v>
      </c>
      <c r="B1234" t="n">
        <v>1966</v>
      </c>
      <c r="C1234" t="n">
        <v>-0.0151</v>
      </c>
    </row>
    <row r="1235">
      <c r="A1235" t="n">
        <v>36</v>
      </c>
      <c r="B1235" t="n">
        <v>1967</v>
      </c>
      <c r="C1235" t="n">
        <v>-0.0128</v>
      </c>
    </row>
    <row r="1236">
      <c r="A1236" t="n">
        <v>36</v>
      </c>
      <c r="B1236" t="n">
        <v>1968</v>
      </c>
      <c r="C1236" t="n">
        <v>-0.008699999999999999</v>
      </c>
    </row>
    <row r="1237">
      <c r="A1237" t="n">
        <v>36</v>
      </c>
      <c r="B1237" t="n">
        <v>1969</v>
      </c>
      <c r="C1237" t="n">
        <v>-0.003</v>
      </c>
    </row>
    <row r="1238">
      <c r="A1238" t="n">
        <v>36</v>
      </c>
      <c r="B1238" t="n">
        <v>1970</v>
      </c>
      <c r="C1238" t="n">
        <v>0.004</v>
      </c>
    </row>
    <row r="1239">
      <c r="A1239" t="n">
        <v>36</v>
      </c>
      <c r="B1239" t="n">
        <v>1971</v>
      </c>
      <c r="C1239" t="n">
        <v>0.0114</v>
      </c>
    </row>
    <row r="1240">
      <c r="A1240" t="n">
        <v>36</v>
      </c>
      <c r="B1240" t="n">
        <v>1972</v>
      </c>
      <c r="C1240" t="n">
        <v>0.0185</v>
      </c>
    </row>
    <row r="1241">
      <c r="A1241" t="n">
        <v>36</v>
      </c>
      <c r="B1241" t="n">
        <v>1973</v>
      </c>
      <c r="C1241" t="n">
        <v>0.0248</v>
      </c>
    </row>
    <row r="1242">
      <c r="A1242" t="n">
        <v>36</v>
      </c>
      <c r="B1242" t="n">
        <v>1974</v>
      </c>
      <c r="C1242" t="n">
        <v>0.0296</v>
      </c>
    </row>
    <row r="1243">
      <c r="A1243" t="n">
        <v>36</v>
      </c>
      <c r="B1243" t="n">
        <v>1975</v>
      </c>
      <c r="C1243" t="n">
        <v>0.0323</v>
      </c>
    </row>
    <row r="1244">
      <c r="A1244" t="n">
        <v>36</v>
      </c>
      <c r="B1244" t="n">
        <v>1976</v>
      </c>
      <c r="C1244" t="n">
        <v>0.0329</v>
      </c>
    </row>
    <row r="1245">
      <c r="A1245" t="n">
        <v>36</v>
      </c>
      <c r="B1245" t="n">
        <v>1977</v>
      </c>
      <c r="C1245" t="n">
        <v>0.0316</v>
      </c>
    </row>
    <row r="1246">
      <c r="A1246" t="n">
        <v>36</v>
      </c>
      <c r="B1246" t="n">
        <v>1978</v>
      </c>
      <c r="C1246" t="n">
        <v>0.0288</v>
      </c>
    </row>
    <row r="1247">
      <c r="A1247" t="n">
        <v>36</v>
      </c>
      <c r="B1247" t="n">
        <v>1979</v>
      </c>
      <c r="C1247" t="n">
        <v>0.0247</v>
      </c>
    </row>
    <row r="1248">
      <c r="A1248" t="n">
        <v>36</v>
      </c>
      <c r="B1248" t="n">
        <v>1980</v>
      </c>
      <c r="C1248" t="n">
        <v>0.0192</v>
      </c>
    </row>
    <row r="1249">
      <c r="A1249" t="n">
        <v>36</v>
      </c>
      <c r="B1249" t="n">
        <v>1981</v>
      </c>
      <c r="C1249" t="n">
        <v>0.0123</v>
      </c>
    </row>
    <row r="1250">
      <c r="A1250" t="n">
        <v>36</v>
      </c>
      <c r="B1250" t="n">
        <v>1982</v>
      </c>
      <c r="C1250" t="n">
        <v>0.0036</v>
      </c>
    </row>
    <row r="1251">
      <c r="A1251" t="n">
        <v>36</v>
      </c>
      <c r="B1251" t="n">
        <v>1983</v>
      </c>
      <c r="C1251" t="n">
        <v>-0.0067</v>
      </c>
    </row>
    <row r="1252">
      <c r="A1252" t="n">
        <v>36</v>
      </c>
      <c r="B1252" t="n">
        <v>1984</v>
      </c>
      <c r="C1252" t="n">
        <v>-0.0177</v>
      </c>
    </row>
    <row r="1253">
      <c r="A1253" t="n">
        <v>36</v>
      </c>
      <c r="B1253" t="n">
        <v>1985</v>
      </c>
      <c r="C1253" t="n">
        <v>-0.0277</v>
      </c>
    </row>
    <row r="1254">
      <c r="A1254" t="n">
        <v>36</v>
      </c>
      <c r="B1254" t="n">
        <v>1986</v>
      </c>
      <c r="C1254" t="n">
        <v>-0.0351</v>
      </c>
    </row>
    <row r="1255">
      <c r="A1255" t="n">
        <v>36</v>
      </c>
      <c r="B1255" t="n">
        <v>1987</v>
      </c>
      <c r="C1255" t="n">
        <v>-0.0387</v>
      </c>
    </row>
    <row r="1256">
      <c r="A1256" t="n">
        <v>36</v>
      </c>
      <c r="B1256" t="n">
        <v>1988</v>
      </c>
      <c r="C1256" t="n">
        <v>-0.0381</v>
      </c>
    </row>
    <row r="1257">
      <c r="A1257" t="n">
        <v>36</v>
      </c>
      <c r="B1257" t="n">
        <v>1989</v>
      </c>
      <c r="C1257" t="n">
        <v>-0.0338</v>
      </c>
    </row>
    <row r="1258">
      <c r="A1258" t="n">
        <v>36</v>
      </c>
      <c r="B1258" t="n">
        <v>1990</v>
      </c>
      <c r="C1258" t="n">
        <v>-0.026</v>
      </c>
    </row>
    <row r="1259">
      <c r="A1259" t="n">
        <v>36</v>
      </c>
      <c r="B1259" t="n">
        <v>1991</v>
      </c>
      <c r="C1259" t="n">
        <v>-0.0153</v>
      </c>
    </row>
    <row r="1260">
      <c r="A1260" t="n">
        <v>36</v>
      </c>
      <c r="B1260" t="n">
        <v>1992</v>
      </c>
      <c r="C1260" t="n">
        <v>-0.0018</v>
      </c>
    </row>
    <row r="1261">
      <c r="A1261" t="n">
        <v>36</v>
      </c>
      <c r="B1261" t="n">
        <v>1993</v>
      </c>
      <c r="C1261" t="n">
        <v>0.014</v>
      </c>
    </row>
    <row r="1262">
      <c r="A1262" t="n">
        <v>36</v>
      </c>
      <c r="B1262" t="n">
        <v>1994</v>
      </c>
      <c r="C1262" t="n">
        <v>0.0308</v>
      </c>
    </row>
    <row r="1263">
      <c r="A1263" t="n">
        <v>36</v>
      </c>
      <c r="B1263" t="n">
        <v>1995</v>
      </c>
      <c r="C1263" t="n">
        <v>0.0461</v>
      </c>
    </row>
    <row r="1264">
      <c r="A1264" t="n">
        <v>36</v>
      </c>
      <c r="B1264" t="n">
        <v>1996</v>
      </c>
      <c r="C1264" t="n">
        <v>0.057</v>
      </c>
    </row>
    <row r="1265">
      <c r="A1265" t="n">
        <v>36</v>
      </c>
      <c r="B1265" t="n">
        <v>1997</v>
      </c>
      <c r="C1265" t="n">
        <v>0.0605</v>
      </c>
    </row>
    <row r="1266">
      <c r="A1266" t="n">
        <v>36</v>
      </c>
      <c r="B1266" t="n">
        <v>1998</v>
      </c>
      <c r="C1266" t="n">
        <v>0.0564</v>
      </c>
    </row>
    <row r="1267">
      <c r="A1267" t="n">
        <v>36</v>
      </c>
      <c r="B1267" t="n">
        <v>1999</v>
      </c>
      <c r="C1267" t="n">
        <v>0.0468</v>
      </c>
    </row>
    <row r="1268">
      <c r="A1268" t="n">
        <v>36</v>
      </c>
      <c r="B1268" t="n">
        <v>2000</v>
      </c>
      <c r="C1268" t="n">
        <v>0.035</v>
      </c>
    </row>
    <row r="1269">
      <c r="A1269" t="n">
        <v>36</v>
      </c>
      <c r="B1269" t="n">
        <v>2001</v>
      </c>
      <c r="C1269" t="n">
        <v>0.0241</v>
      </c>
    </row>
    <row r="1270">
      <c r="A1270" t="n">
        <v>36</v>
      </c>
      <c r="B1270" t="n">
        <v>2002</v>
      </c>
      <c r="C1270" t="n">
        <v>0.0162</v>
      </c>
    </row>
    <row r="1271">
      <c r="A1271" t="n">
        <v>36</v>
      </c>
      <c r="B1271" t="n">
        <v>2003</v>
      </c>
      <c r="C1271" t="n">
        <v>0.0116</v>
      </c>
    </row>
    <row r="1272">
      <c r="A1272" t="n">
        <v>36</v>
      </c>
      <c r="B1272" t="n">
        <v>2004</v>
      </c>
      <c r="C1272" t="n">
        <v>0.0098</v>
      </c>
    </row>
    <row r="1273">
      <c r="A1273" t="n">
        <v>36</v>
      </c>
      <c r="B1273" t="n">
        <v>2005</v>
      </c>
      <c r="C1273" t="n">
        <v>0.0098</v>
      </c>
    </row>
    <row r="1274">
      <c r="A1274" t="n">
        <v>36</v>
      </c>
      <c r="B1274" t="n">
        <v>2006</v>
      </c>
      <c r="C1274" t="n">
        <v>0.0107</v>
      </c>
    </row>
    <row r="1275">
      <c r="A1275" t="n">
        <v>36</v>
      </c>
      <c r="B1275" t="n">
        <v>2007</v>
      </c>
      <c r="C1275" t="n">
        <v>0.0118</v>
      </c>
    </row>
    <row r="1276">
      <c r="A1276" t="n">
        <v>36</v>
      </c>
      <c r="B1276" t="n">
        <v>2008</v>
      </c>
      <c r="C1276" t="n">
        <v>0.012</v>
      </c>
    </row>
    <row r="1277">
      <c r="A1277" t="n">
        <v>36</v>
      </c>
      <c r="B1277" t="n">
        <v>2009</v>
      </c>
      <c r="C1277" t="n">
        <v>0.0107</v>
      </c>
    </row>
    <row r="1278">
      <c r="A1278" t="n">
        <v>36</v>
      </c>
      <c r="B1278" t="n">
        <v>2010</v>
      </c>
      <c r="C1278" t="n">
        <v>0.0076</v>
      </c>
    </row>
    <row r="1279">
      <c r="A1279" t="n">
        <v>36</v>
      </c>
      <c r="B1279" t="n">
        <v>2011</v>
      </c>
      <c r="C1279" t="n">
        <v>0.0027</v>
      </c>
    </row>
    <row r="1280">
      <c r="A1280" t="n">
        <v>36</v>
      </c>
      <c r="B1280" t="n">
        <v>2012</v>
      </c>
      <c r="C1280" t="n">
        <v>-0.0036</v>
      </c>
    </row>
    <row r="1281">
      <c r="A1281" t="n">
        <v>36</v>
      </c>
      <c r="B1281" t="n">
        <v>2013</v>
      </c>
      <c r="C1281" t="n">
        <v>-0.0044</v>
      </c>
    </row>
    <row r="1282">
      <c r="A1282" t="n">
        <v>36</v>
      </c>
      <c r="B1282" t="n">
        <v>2014</v>
      </c>
      <c r="C1282" t="n">
        <v>-0.0044</v>
      </c>
    </row>
    <row r="1283">
      <c r="A1283" t="n">
        <v>36</v>
      </c>
      <c r="B1283" t="n">
        <v>2015</v>
      </c>
      <c r="C1283" t="n">
        <v>-0.0036</v>
      </c>
    </row>
    <row r="1284">
      <c r="A1284" t="n">
        <v>36</v>
      </c>
      <c r="B1284" t="n">
        <v>2016</v>
      </c>
      <c r="C1284" t="n">
        <v>-0.0022</v>
      </c>
    </row>
    <row r="1285">
      <c r="A1285" t="n">
        <v>36</v>
      </c>
      <c r="B1285" t="n">
        <v>2017</v>
      </c>
      <c r="C1285" t="n">
        <v>-0.0003</v>
      </c>
    </row>
    <row r="1286">
      <c r="A1286" t="n">
        <v>36</v>
      </c>
      <c r="B1286" t="n">
        <v>2018</v>
      </c>
      <c r="C1286" t="n">
        <v>0.0019</v>
      </c>
    </row>
    <row r="1287">
      <c r="A1287" t="n">
        <v>36</v>
      </c>
      <c r="B1287" t="n">
        <v>2019</v>
      </c>
      <c r="C1287" t="n">
        <v>0.0042</v>
      </c>
    </row>
    <row r="1288">
      <c r="A1288" t="n">
        <v>36</v>
      </c>
      <c r="B1288" t="n">
        <v>2020</v>
      </c>
      <c r="C1288" t="n">
        <v>0.0064</v>
      </c>
    </row>
    <row r="1289">
      <c r="A1289" t="n">
        <v>36</v>
      </c>
      <c r="B1289" t="n">
        <v>2021</v>
      </c>
      <c r="C1289" t="n">
        <v>0.0083</v>
      </c>
    </row>
    <row r="1290">
      <c r="A1290" t="n">
        <v>36</v>
      </c>
      <c r="B1290" t="n">
        <v>2022</v>
      </c>
      <c r="C1290" t="n">
        <v>0.009599999999999999</v>
      </c>
    </row>
    <row r="1291">
      <c r="A1291" t="n">
        <v>36</v>
      </c>
      <c r="B1291" t="n">
        <v>2023</v>
      </c>
      <c r="C1291" t="n">
        <v>0.0106</v>
      </c>
    </row>
    <row r="1292">
      <c r="A1292" t="n">
        <v>36</v>
      </c>
      <c r="B1292" t="n">
        <v>2024</v>
      </c>
      <c r="C1292" t="n">
        <v>0.0112</v>
      </c>
    </row>
    <row r="1293">
      <c r="A1293" t="n">
        <v>36</v>
      </c>
      <c r="B1293" t="n">
        <v>2025</v>
      </c>
      <c r="C1293" t="n">
        <v>0.0115</v>
      </c>
    </row>
    <row r="1294">
      <c r="A1294" t="n">
        <v>36</v>
      </c>
      <c r="B1294" t="n">
        <v>2026</v>
      </c>
      <c r="C1294" t="n">
        <v>0.0116</v>
      </c>
    </row>
    <row r="1295">
      <c r="A1295" t="n">
        <v>36</v>
      </c>
      <c r="B1295" t="n">
        <v>2027</v>
      </c>
      <c r="C1295" t="n">
        <v>0.0114</v>
      </c>
    </row>
    <row r="1296">
      <c r="A1296" t="n">
        <v>36</v>
      </c>
      <c r="B1296" t="n">
        <v>2028</v>
      </c>
      <c r="C1296" t="n">
        <v>0.0111</v>
      </c>
    </row>
    <row r="1297">
      <c r="A1297" t="n">
        <v>36</v>
      </c>
      <c r="B1297" t="n">
        <v>2029</v>
      </c>
      <c r="C1297" t="n">
        <v>0.0107</v>
      </c>
    </row>
    <row r="1298">
      <c r="A1298" t="n">
        <v>36</v>
      </c>
      <c r="B1298" t="n">
        <v>2030</v>
      </c>
      <c r="C1298" t="n">
        <v>0.0103</v>
      </c>
    </row>
    <row r="1299">
      <c r="A1299" t="n">
        <v>36</v>
      </c>
      <c r="B1299" t="n">
        <v>2031</v>
      </c>
      <c r="C1299" t="n">
        <v>0.0101</v>
      </c>
    </row>
    <row r="1300">
      <c r="A1300" t="n">
        <v>37</v>
      </c>
      <c r="B1300" t="n">
        <v>1951</v>
      </c>
      <c r="C1300" t="n">
        <v>0.0388</v>
      </c>
    </row>
    <row r="1301">
      <c r="A1301" t="n">
        <v>37</v>
      </c>
      <c r="B1301" t="n">
        <v>1952</v>
      </c>
      <c r="C1301" t="n">
        <v>0.0345</v>
      </c>
    </row>
    <row r="1302">
      <c r="A1302" t="n">
        <v>37</v>
      </c>
      <c r="B1302" t="n">
        <v>1953</v>
      </c>
      <c r="C1302" t="n">
        <v>0.0299</v>
      </c>
    </row>
    <row r="1303">
      <c r="A1303" t="n">
        <v>37</v>
      </c>
      <c r="B1303" t="n">
        <v>1954</v>
      </c>
      <c r="C1303" t="n">
        <v>0.025</v>
      </c>
    </row>
    <row r="1304">
      <c r="A1304" t="n">
        <v>37</v>
      </c>
      <c r="B1304" t="n">
        <v>1955</v>
      </c>
      <c r="C1304" t="n">
        <v>0.0198</v>
      </c>
    </row>
    <row r="1305">
      <c r="A1305" t="n">
        <v>37</v>
      </c>
      <c r="B1305" t="n">
        <v>1956</v>
      </c>
      <c r="C1305" t="n">
        <v>0.0146</v>
      </c>
    </row>
    <row r="1306">
      <c r="A1306" t="n">
        <v>37</v>
      </c>
      <c r="B1306" t="n">
        <v>1957</v>
      </c>
      <c r="C1306" t="n">
        <v>0.0097</v>
      </c>
    </row>
    <row r="1307">
      <c r="A1307" t="n">
        <v>37</v>
      </c>
      <c r="B1307" t="n">
        <v>1958</v>
      </c>
      <c r="C1307" t="n">
        <v>0.0053</v>
      </c>
    </row>
    <row r="1308">
      <c r="A1308" t="n">
        <v>37</v>
      </c>
      <c r="B1308" t="n">
        <v>1959</v>
      </c>
      <c r="C1308" t="n">
        <v>0.0013</v>
      </c>
    </row>
    <row r="1309">
      <c r="A1309" t="n">
        <v>37</v>
      </c>
      <c r="B1309" t="n">
        <v>1960</v>
      </c>
      <c r="C1309" t="n">
        <v>-0.0025</v>
      </c>
    </row>
    <row r="1310">
      <c r="A1310" t="n">
        <v>37</v>
      </c>
      <c r="B1310" t="n">
        <v>1961</v>
      </c>
      <c r="C1310" t="n">
        <v>-0.006</v>
      </c>
    </row>
    <row r="1311">
      <c r="A1311" t="n">
        <v>37</v>
      </c>
      <c r="B1311" t="n">
        <v>1962</v>
      </c>
      <c r="C1311" t="n">
        <v>-0.0094</v>
      </c>
    </row>
    <row r="1312">
      <c r="A1312" t="n">
        <v>37</v>
      </c>
      <c r="B1312" t="n">
        <v>1963</v>
      </c>
      <c r="C1312" t="n">
        <v>-0.0122</v>
      </c>
    </row>
    <row r="1313">
      <c r="A1313" t="n">
        <v>37</v>
      </c>
      <c r="B1313" t="n">
        <v>1964</v>
      </c>
      <c r="C1313" t="n">
        <v>-0.0141</v>
      </c>
    </row>
    <row r="1314">
      <c r="A1314" t="n">
        <v>37</v>
      </c>
      <c r="B1314" t="n">
        <v>1965</v>
      </c>
      <c r="C1314" t="n">
        <v>-0.015</v>
      </c>
    </row>
    <row r="1315">
      <c r="A1315" t="n">
        <v>37</v>
      </c>
      <c r="B1315" t="n">
        <v>1966</v>
      </c>
      <c r="C1315" t="n">
        <v>-0.0143</v>
      </c>
    </row>
    <row r="1316">
      <c r="A1316" t="n">
        <v>37</v>
      </c>
      <c r="B1316" t="n">
        <v>1967</v>
      </c>
      <c r="C1316" t="n">
        <v>-0.0121</v>
      </c>
    </row>
    <row r="1317">
      <c r="A1317" t="n">
        <v>37</v>
      </c>
      <c r="B1317" t="n">
        <v>1968</v>
      </c>
      <c r="C1317" t="n">
        <v>-0.008</v>
      </c>
    </row>
    <row r="1318">
      <c r="A1318" t="n">
        <v>37</v>
      </c>
      <c r="B1318" t="n">
        <v>1969</v>
      </c>
      <c r="C1318" t="n">
        <v>-0.0022</v>
      </c>
    </row>
    <row r="1319">
      <c r="A1319" t="n">
        <v>37</v>
      </c>
      <c r="B1319" t="n">
        <v>1970</v>
      </c>
      <c r="C1319" t="n">
        <v>0.0047</v>
      </c>
    </row>
    <row r="1320">
      <c r="A1320" t="n">
        <v>37</v>
      </c>
      <c r="B1320" t="n">
        <v>1971</v>
      </c>
      <c r="C1320" t="n">
        <v>0.0121</v>
      </c>
    </row>
    <row r="1321">
      <c r="A1321" t="n">
        <v>37</v>
      </c>
      <c r="B1321" t="n">
        <v>1972</v>
      </c>
      <c r="C1321" t="n">
        <v>0.0193</v>
      </c>
    </row>
    <row r="1322">
      <c r="A1322" t="n">
        <v>37</v>
      </c>
      <c r="B1322" t="n">
        <v>1973</v>
      </c>
      <c r="C1322" t="n">
        <v>0.0255</v>
      </c>
    </row>
    <row r="1323">
      <c r="A1323" t="n">
        <v>37</v>
      </c>
      <c r="B1323" t="n">
        <v>1974</v>
      </c>
      <c r="C1323" t="n">
        <v>0.0302</v>
      </c>
    </row>
    <row r="1324">
      <c r="A1324" t="n">
        <v>37</v>
      </c>
      <c r="B1324" t="n">
        <v>1975</v>
      </c>
      <c r="C1324" t="n">
        <v>0.0331</v>
      </c>
    </row>
    <row r="1325">
      <c r="A1325" t="n">
        <v>37</v>
      </c>
      <c r="B1325" t="n">
        <v>1976</v>
      </c>
      <c r="C1325" t="n">
        <v>0.0339</v>
      </c>
    </row>
    <row r="1326">
      <c r="A1326" t="n">
        <v>37</v>
      </c>
      <c r="B1326" t="n">
        <v>1977</v>
      </c>
      <c r="C1326" t="n">
        <v>0.033</v>
      </c>
    </row>
    <row r="1327">
      <c r="A1327" t="n">
        <v>37</v>
      </c>
      <c r="B1327" t="n">
        <v>1978</v>
      </c>
      <c r="C1327" t="n">
        <v>0.0307</v>
      </c>
    </row>
    <row r="1328">
      <c r="A1328" t="n">
        <v>37</v>
      </c>
      <c r="B1328" t="n">
        <v>1979</v>
      </c>
      <c r="C1328" t="n">
        <v>0.027</v>
      </c>
    </row>
    <row r="1329">
      <c r="A1329" t="n">
        <v>37</v>
      </c>
      <c r="B1329" t="n">
        <v>1980</v>
      </c>
      <c r="C1329" t="n">
        <v>0.0219</v>
      </c>
    </row>
    <row r="1330">
      <c r="A1330" t="n">
        <v>37</v>
      </c>
      <c r="B1330" t="n">
        <v>1981</v>
      </c>
      <c r="C1330" t="n">
        <v>0.0152</v>
      </c>
    </row>
    <row r="1331">
      <c r="A1331" t="n">
        <v>37</v>
      </c>
      <c r="B1331" t="n">
        <v>1982</v>
      </c>
      <c r="C1331" t="n">
        <v>0.0066</v>
      </c>
    </row>
    <row r="1332">
      <c r="A1332" t="n">
        <v>37</v>
      </c>
      <c r="B1332" t="n">
        <v>1983</v>
      </c>
      <c r="C1332" t="n">
        <v>-0.0035</v>
      </c>
    </row>
    <row r="1333">
      <c r="A1333" t="n">
        <v>37</v>
      </c>
      <c r="B1333" t="n">
        <v>1984</v>
      </c>
      <c r="C1333" t="n">
        <v>-0.0145</v>
      </c>
    </row>
    <row r="1334">
      <c r="A1334" t="n">
        <v>37</v>
      </c>
      <c r="B1334" t="n">
        <v>1985</v>
      </c>
      <c r="C1334" t="n">
        <v>-0.0246</v>
      </c>
    </row>
    <row r="1335">
      <c r="A1335" t="n">
        <v>37</v>
      </c>
      <c r="B1335" t="n">
        <v>1986</v>
      </c>
      <c r="C1335" t="n">
        <v>-0.0322</v>
      </c>
    </row>
    <row r="1336">
      <c r="A1336" t="n">
        <v>37</v>
      </c>
      <c r="B1336" t="n">
        <v>1987</v>
      </c>
      <c r="C1336" t="n">
        <v>-0.0364</v>
      </c>
    </row>
    <row r="1337">
      <c r="A1337" t="n">
        <v>37</v>
      </c>
      <c r="B1337" t="n">
        <v>1988</v>
      </c>
      <c r="C1337" t="n">
        <v>-0.0367</v>
      </c>
    </row>
    <row r="1338">
      <c r="A1338" t="n">
        <v>37</v>
      </c>
      <c r="B1338" t="n">
        <v>1989</v>
      </c>
      <c r="C1338" t="n">
        <v>-0.0333</v>
      </c>
    </row>
    <row r="1339">
      <c r="A1339" t="n">
        <v>37</v>
      </c>
      <c r="B1339" t="n">
        <v>1990</v>
      </c>
      <c r="C1339" t="n">
        <v>-0.0265</v>
      </c>
    </row>
    <row r="1340">
      <c r="A1340" t="n">
        <v>37</v>
      </c>
      <c r="B1340" t="n">
        <v>1991</v>
      </c>
      <c r="C1340" t="n">
        <v>-0.0167</v>
      </c>
    </row>
    <row r="1341">
      <c r="A1341" t="n">
        <v>37</v>
      </c>
      <c r="B1341" t="n">
        <v>1992</v>
      </c>
      <c r="C1341" t="n">
        <v>-0.004</v>
      </c>
    </row>
    <row r="1342">
      <c r="A1342" t="n">
        <v>37</v>
      </c>
      <c r="B1342" t="n">
        <v>1993</v>
      </c>
      <c r="C1342" t="n">
        <v>0.011</v>
      </c>
    </row>
    <row r="1343">
      <c r="A1343" t="n">
        <v>37</v>
      </c>
      <c r="B1343" t="n">
        <v>1994</v>
      </c>
      <c r="C1343" t="n">
        <v>0.0272</v>
      </c>
    </row>
    <row r="1344">
      <c r="A1344" t="n">
        <v>37</v>
      </c>
      <c r="B1344" t="n">
        <v>1995</v>
      </c>
      <c r="C1344" t="n">
        <v>0.0421</v>
      </c>
    </row>
    <row r="1345">
      <c r="A1345" t="n">
        <v>37</v>
      </c>
      <c r="B1345" t="n">
        <v>1996</v>
      </c>
      <c r="C1345" t="n">
        <v>0.0527</v>
      </c>
    </row>
    <row r="1346">
      <c r="A1346" t="n">
        <v>37</v>
      </c>
      <c r="B1346" t="n">
        <v>1997</v>
      </c>
      <c r="C1346" t="n">
        <v>0.0564</v>
      </c>
    </row>
    <row r="1347">
      <c r="A1347" t="n">
        <v>37</v>
      </c>
      <c r="B1347" t="n">
        <v>1998</v>
      </c>
      <c r="C1347" t="n">
        <v>0.0528</v>
      </c>
    </row>
    <row r="1348">
      <c r="A1348" t="n">
        <v>37</v>
      </c>
      <c r="B1348" t="n">
        <v>1999</v>
      </c>
      <c r="C1348" t="n">
        <v>0.0439</v>
      </c>
    </row>
    <row r="1349">
      <c r="A1349" t="n">
        <v>37</v>
      </c>
      <c r="B1349" t="n">
        <v>2000</v>
      </c>
      <c r="C1349" t="n">
        <v>0.0331</v>
      </c>
    </row>
    <row r="1350">
      <c r="A1350" t="n">
        <v>37</v>
      </c>
      <c r="B1350" t="n">
        <v>2001</v>
      </c>
      <c r="C1350" t="n">
        <v>0.0234</v>
      </c>
    </row>
    <row r="1351">
      <c r="A1351" t="n">
        <v>37</v>
      </c>
      <c r="B1351" t="n">
        <v>2002</v>
      </c>
      <c r="C1351" t="n">
        <v>0.0167</v>
      </c>
    </row>
    <row r="1352">
      <c r="A1352" t="n">
        <v>37</v>
      </c>
      <c r="B1352" t="n">
        <v>2003</v>
      </c>
      <c r="C1352" t="n">
        <v>0.0131</v>
      </c>
    </row>
    <row r="1353">
      <c r="A1353" t="n">
        <v>37</v>
      </c>
      <c r="B1353" t="n">
        <v>2004</v>
      </c>
      <c r="C1353" t="n">
        <v>0.0122</v>
      </c>
    </row>
    <row r="1354">
      <c r="A1354" t="n">
        <v>37</v>
      </c>
      <c r="B1354" t="n">
        <v>2005</v>
      </c>
      <c r="C1354" t="n">
        <v>0.0129</v>
      </c>
    </row>
    <row r="1355">
      <c r="A1355" t="n">
        <v>37</v>
      </c>
      <c r="B1355" t="n">
        <v>2006</v>
      </c>
      <c r="C1355" t="n">
        <v>0.0142</v>
      </c>
    </row>
    <row r="1356">
      <c r="A1356" t="n">
        <v>37</v>
      </c>
      <c r="B1356" t="n">
        <v>2007</v>
      </c>
      <c r="C1356" t="n">
        <v>0.0154</v>
      </c>
    </row>
    <row r="1357">
      <c r="A1357" t="n">
        <v>37</v>
      </c>
      <c r="B1357" t="n">
        <v>2008</v>
      </c>
      <c r="C1357" t="n">
        <v>0.0157</v>
      </c>
    </row>
    <row r="1358">
      <c r="A1358" t="n">
        <v>37</v>
      </c>
      <c r="B1358" t="n">
        <v>2009</v>
      </c>
      <c r="C1358" t="n">
        <v>0.0142</v>
      </c>
    </row>
    <row r="1359">
      <c r="A1359" t="n">
        <v>37</v>
      </c>
      <c r="B1359" t="n">
        <v>2010</v>
      </c>
      <c r="C1359" t="n">
        <v>0.0109</v>
      </c>
    </row>
    <row r="1360">
      <c r="A1360" t="n">
        <v>37</v>
      </c>
      <c r="B1360" t="n">
        <v>2011</v>
      </c>
      <c r="C1360" t="n">
        <v>0.0057</v>
      </c>
    </row>
    <row r="1361">
      <c r="A1361" t="n">
        <v>37</v>
      </c>
      <c r="B1361" t="n">
        <v>2012</v>
      </c>
      <c r="C1361" t="n">
        <v>-0.0008</v>
      </c>
    </row>
    <row r="1362">
      <c r="A1362" t="n">
        <v>37</v>
      </c>
      <c r="B1362" t="n">
        <v>2013</v>
      </c>
      <c r="C1362" t="n">
        <v>-0.002</v>
      </c>
    </row>
    <row r="1363">
      <c r="A1363" t="n">
        <v>37</v>
      </c>
      <c r="B1363" t="n">
        <v>2014</v>
      </c>
      <c r="C1363" t="n">
        <v>-0.0025</v>
      </c>
    </row>
    <row r="1364">
      <c r="A1364" t="n">
        <v>37</v>
      </c>
      <c r="B1364" t="n">
        <v>2015</v>
      </c>
      <c r="C1364" t="n">
        <v>-0.0023</v>
      </c>
    </row>
    <row r="1365">
      <c r="A1365" t="n">
        <v>37</v>
      </c>
      <c r="B1365" t="n">
        <v>2016</v>
      </c>
      <c r="C1365" t="n">
        <v>-0.0014</v>
      </c>
    </row>
    <row r="1366">
      <c r="A1366" t="n">
        <v>37</v>
      </c>
      <c r="B1366" t="n">
        <v>2017</v>
      </c>
      <c r="C1366" t="n">
        <v>-0.0001</v>
      </c>
    </row>
    <row r="1367">
      <c r="A1367" t="n">
        <v>37</v>
      </c>
      <c r="B1367" t="n">
        <v>2018</v>
      </c>
      <c r="C1367" t="n">
        <v>0.0017</v>
      </c>
    </row>
    <row r="1368">
      <c r="A1368" t="n">
        <v>37</v>
      </c>
      <c r="B1368" t="n">
        <v>2019</v>
      </c>
      <c r="C1368" t="n">
        <v>0.0036</v>
      </c>
    </row>
    <row r="1369">
      <c r="A1369" t="n">
        <v>37</v>
      </c>
      <c r="B1369" t="n">
        <v>2020</v>
      </c>
      <c r="C1369" t="n">
        <v>0.0056</v>
      </c>
    </row>
    <row r="1370">
      <c r="A1370" t="n">
        <v>37</v>
      </c>
      <c r="B1370" t="n">
        <v>2021</v>
      </c>
      <c r="C1370" t="n">
        <v>0.0073</v>
      </c>
    </row>
    <row r="1371">
      <c r="A1371" t="n">
        <v>37</v>
      </c>
      <c r="B1371" t="n">
        <v>2022</v>
      </c>
      <c r="C1371" t="n">
        <v>0.008699999999999999</v>
      </c>
    </row>
    <row r="1372">
      <c r="A1372" t="n">
        <v>37</v>
      </c>
      <c r="B1372" t="n">
        <v>2023</v>
      </c>
      <c r="C1372" t="n">
        <v>0.0097</v>
      </c>
    </row>
    <row r="1373">
      <c r="A1373" t="n">
        <v>37</v>
      </c>
      <c r="B1373" t="n">
        <v>2024</v>
      </c>
      <c r="C1373" t="n">
        <v>0.0105</v>
      </c>
    </row>
    <row r="1374">
      <c r="A1374" t="n">
        <v>37</v>
      </c>
      <c r="B1374" t="n">
        <v>2025</v>
      </c>
      <c r="C1374" t="n">
        <v>0.0109</v>
      </c>
    </row>
    <row r="1375">
      <c r="A1375" t="n">
        <v>37</v>
      </c>
      <c r="B1375" t="n">
        <v>2026</v>
      </c>
      <c r="C1375" t="n">
        <v>0.0112</v>
      </c>
    </row>
    <row r="1376">
      <c r="A1376" t="n">
        <v>37</v>
      </c>
      <c r="B1376" t="n">
        <v>2027</v>
      </c>
      <c r="C1376" t="n">
        <v>0.0112</v>
      </c>
    </row>
    <row r="1377">
      <c r="A1377" t="n">
        <v>37</v>
      </c>
      <c r="B1377" t="n">
        <v>2028</v>
      </c>
      <c r="C1377" t="n">
        <v>0.011</v>
      </c>
    </row>
    <row r="1378">
      <c r="A1378" t="n">
        <v>37</v>
      </c>
      <c r="B1378" t="n">
        <v>2029</v>
      </c>
      <c r="C1378" t="n">
        <v>0.0107</v>
      </c>
    </row>
    <row r="1379">
      <c r="A1379" t="n">
        <v>37</v>
      </c>
      <c r="B1379" t="n">
        <v>2030</v>
      </c>
      <c r="C1379" t="n">
        <v>0.0103</v>
      </c>
    </row>
    <row r="1380">
      <c r="A1380" t="n">
        <v>37</v>
      </c>
      <c r="B1380" t="n">
        <v>2031</v>
      </c>
      <c r="C1380" t="n">
        <v>0.0101</v>
      </c>
    </row>
    <row r="1381">
      <c r="A1381" t="n">
        <v>38</v>
      </c>
      <c r="B1381" t="n">
        <v>1951</v>
      </c>
      <c r="C1381" t="n">
        <v>0.0374</v>
      </c>
    </row>
    <row r="1382">
      <c r="A1382" t="n">
        <v>38</v>
      </c>
      <c r="B1382" t="n">
        <v>1952</v>
      </c>
      <c r="C1382" t="n">
        <v>0.0334</v>
      </c>
    </row>
    <row r="1383">
      <c r="A1383" t="n">
        <v>38</v>
      </c>
      <c r="B1383" t="n">
        <v>1953</v>
      </c>
      <c r="C1383" t="n">
        <v>0.0292</v>
      </c>
    </row>
    <row r="1384">
      <c r="A1384" t="n">
        <v>38</v>
      </c>
      <c r="B1384" t="n">
        <v>1954</v>
      </c>
      <c r="C1384" t="n">
        <v>0.0246</v>
      </c>
    </row>
    <row r="1385">
      <c r="A1385" t="n">
        <v>38</v>
      </c>
      <c r="B1385" t="n">
        <v>1955</v>
      </c>
      <c r="C1385" t="n">
        <v>0.0197</v>
      </c>
    </row>
    <row r="1386">
      <c r="A1386" t="n">
        <v>38</v>
      </c>
      <c r="B1386" t="n">
        <v>1956</v>
      </c>
      <c r="C1386" t="n">
        <v>0.0147</v>
      </c>
    </row>
    <row r="1387">
      <c r="A1387" t="n">
        <v>38</v>
      </c>
      <c r="B1387" t="n">
        <v>1957</v>
      </c>
      <c r="C1387" t="n">
        <v>0.009900000000000001</v>
      </c>
    </row>
    <row r="1388">
      <c r="A1388" t="n">
        <v>38</v>
      </c>
      <c r="B1388" t="n">
        <v>1958</v>
      </c>
      <c r="C1388" t="n">
        <v>0.0057</v>
      </c>
    </row>
    <row r="1389">
      <c r="A1389" t="n">
        <v>38</v>
      </c>
      <c r="B1389" t="n">
        <v>1959</v>
      </c>
      <c r="C1389" t="n">
        <v>0.0018</v>
      </c>
    </row>
    <row r="1390">
      <c r="A1390" t="n">
        <v>38</v>
      </c>
      <c r="B1390" t="n">
        <v>1960</v>
      </c>
      <c r="C1390" t="n">
        <v>-0.0019</v>
      </c>
    </row>
    <row r="1391">
      <c r="A1391" t="n">
        <v>38</v>
      </c>
      <c r="B1391" t="n">
        <v>1961</v>
      </c>
      <c r="C1391" t="n">
        <v>-0.0054</v>
      </c>
    </row>
    <row r="1392">
      <c r="A1392" t="n">
        <v>38</v>
      </c>
      <c r="B1392" t="n">
        <v>1962</v>
      </c>
      <c r="C1392" t="n">
        <v>-0.008699999999999999</v>
      </c>
    </row>
    <row r="1393">
      <c r="A1393" t="n">
        <v>38</v>
      </c>
      <c r="B1393" t="n">
        <v>1963</v>
      </c>
      <c r="C1393" t="n">
        <v>-0.0114</v>
      </c>
    </row>
    <row r="1394">
      <c r="A1394" t="n">
        <v>38</v>
      </c>
      <c r="B1394" t="n">
        <v>1964</v>
      </c>
      <c r="C1394" t="n">
        <v>-0.0133</v>
      </c>
    </row>
    <row r="1395">
      <c r="A1395" t="n">
        <v>38</v>
      </c>
      <c r="B1395" t="n">
        <v>1965</v>
      </c>
      <c r="C1395" t="n">
        <v>-0.0141</v>
      </c>
    </row>
    <row r="1396">
      <c r="A1396" t="n">
        <v>38</v>
      </c>
      <c r="B1396" t="n">
        <v>1966</v>
      </c>
      <c r="C1396" t="n">
        <v>-0.0136</v>
      </c>
    </row>
    <row r="1397">
      <c r="A1397" t="n">
        <v>38</v>
      </c>
      <c r="B1397" t="n">
        <v>1967</v>
      </c>
      <c r="C1397" t="n">
        <v>-0.0113</v>
      </c>
    </row>
    <row r="1398">
      <c r="A1398" t="n">
        <v>38</v>
      </c>
      <c r="B1398" t="n">
        <v>1968</v>
      </c>
      <c r="C1398" t="n">
        <v>-0.0073</v>
      </c>
    </row>
    <row r="1399">
      <c r="A1399" t="n">
        <v>38</v>
      </c>
      <c r="B1399" t="n">
        <v>1969</v>
      </c>
      <c r="C1399" t="n">
        <v>-0.0015</v>
      </c>
    </row>
    <row r="1400">
      <c r="A1400" t="n">
        <v>38</v>
      </c>
      <c r="B1400" t="n">
        <v>1970</v>
      </c>
      <c r="C1400" t="n">
        <v>0.0054</v>
      </c>
    </row>
    <row r="1401">
      <c r="A1401" t="n">
        <v>38</v>
      </c>
      <c r="B1401" t="n">
        <v>1971</v>
      </c>
      <c r="C1401" t="n">
        <v>0.0127</v>
      </c>
    </row>
    <row r="1402">
      <c r="A1402" t="n">
        <v>38</v>
      </c>
      <c r="B1402" t="n">
        <v>1972</v>
      </c>
      <c r="C1402" t="n">
        <v>0.0198</v>
      </c>
    </row>
    <row r="1403">
      <c r="A1403" t="n">
        <v>38</v>
      </c>
      <c r="B1403" t="n">
        <v>1973</v>
      </c>
      <c r="C1403" t="n">
        <v>0.0259</v>
      </c>
    </row>
    <row r="1404">
      <c r="A1404" t="n">
        <v>38</v>
      </c>
      <c r="B1404" t="n">
        <v>1974</v>
      </c>
      <c r="C1404" t="n">
        <v>0.0306</v>
      </c>
    </row>
    <row r="1405">
      <c r="A1405" t="n">
        <v>38</v>
      </c>
      <c r="B1405" t="n">
        <v>1975</v>
      </c>
      <c r="C1405" t="n">
        <v>0.0335</v>
      </c>
    </row>
    <row r="1406">
      <c r="A1406" t="n">
        <v>38</v>
      </c>
      <c r="B1406" t="n">
        <v>1976</v>
      </c>
      <c r="C1406" t="n">
        <v>0.0346</v>
      </c>
    </row>
    <row r="1407">
      <c r="A1407" t="n">
        <v>38</v>
      </c>
      <c r="B1407" t="n">
        <v>1977</v>
      </c>
      <c r="C1407" t="n">
        <v>0.0341</v>
      </c>
    </row>
    <row r="1408">
      <c r="A1408" t="n">
        <v>38</v>
      </c>
      <c r="B1408" t="n">
        <v>1978</v>
      </c>
      <c r="C1408" t="n">
        <v>0.0322</v>
      </c>
    </row>
    <row r="1409">
      <c r="A1409" t="n">
        <v>38</v>
      </c>
      <c r="B1409" t="n">
        <v>1979</v>
      </c>
      <c r="C1409" t="n">
        <v>0.029</v>
      </c>
    </row>
    <row r="1410">
      <c r="A1410" t="n">
        <v>38</v>
      </c>
      <c r="B1410" t="n">
        <v>1980</v>
      </c>
      <c r="C1410" t="n">
        <v>0.0243</v>
      </c>
    </row>
    <row r="1411">
      <c r="A1411" t="n">
        <v>38</v>
      </c>
      <c r="B1411" t="n">
        <v>1981</v>
      </c>
      <c r="C1411" t="n">
        <v>0.018</v>
      </c>
    </row>
    <row r="1412">
      <c r="A1412" t="n">
        <v>38</v>
      </c>
      <c r="B1412" t="n">
        <v>1982</v>
      </c>
      <c r="C1412" t="n">
        <v>0.009900000000000001</v>
      </c>
    </row>
    <row r="1413">
      <c r="A1413" t="n">
        <v>38</v>
      </c>
      <c r="B1413" t="n">
        <v>1983</v>
      </c>
      <c r="C1413" t="n">
        <v>0.0001</v>
      </c>
    </row>
    <row r="1414">
      <c r="A1414" t="n">
        <v>38</v>
      </c>
      <c r="B1414" t="n">
        <v>1984</v>
      </c>
      <c r="C1414" t="n">
        <v>-0.0105</v>
      </c>
    </row>
    <row r="1415">
      <c r="A1415" t="n">
        <v>38</v>
      </c>
      <c r="B1415" t="n">
        <v>1985</v>
      </c>
      <c r="C1415" t="n">
        <v>-0.0204</v>
      </c>
    </row>
    <row r="1416">
      <c r="A1416" t="n">
        <v>38</v>
      </c>
      <c r="B1416" t="n">
        <v>1986</v>
      </c>
      <c r="C1416" t="n">
        <v>-0.0282</v>
      </c>
    </row>
    <row r="1417">
      <c r="A1417" t="n">
        <v>38</v>
      </c>
      <c r="B1417" t="n">
        <v>1987</v>
      </c>
      <c r="C1417" t="n">
        <v>-0.0329</v>
      </c>
    </row>
    <row r="1418">
      <c r="A1418" t="n">
        <v>38</v>
      </c>
      <c r="B1418" t="n">
        <v>1988</v>
      </c>
      <c r="C1418" t="n">
        <v>-0.0341</v>
      </c>
    </row>
    <row r="1419">
      <c r="A1419" t="n">
        <v>38</v>
      </c>
      <c r="B1419" t="n">
        <v>1989</v>
      </c>
      <c r="C1419" t="n">
        <v>-0.0318</v>
      </c>
    </row>
    <row r="1420">
      <c r="A1420" t="n">
        <v>38</v>
      </c>
      <c r="B1420" t="n">
        <v>1990</v>
      </c>
      <c r="C1420" t="n">
        <v>-0.0263</v>
      </c>
    </row>
    <row r="1421">
      <c r="A1421" t="n">
        <v>38</v>
      </c>
      <c r="B1421" t="n">
        <v>1991</v>
      </c>
      <c r="C1421" t="n">
        <v>-0.0177</v>
      </c>
    </row>
    <row r="1422">
      <c r="A1422" t="n">
        <v>38</v>
      </c>
      <c r="B1422" t="n">
        <v>1992</v>
      </c>
      <c r="C1422" t="n">
        <v>-0.0061</v>
      </c>
    </row>
    <row r="1423">
      <c r="A1423" t="n">
        <v>38</v>
      </c>
      <c r="B1423" t="n">
        <v>1993</v>
      </c>
      <c r="C1423" t="n">
        <v>0.007900000000000001</v>
      </c>
    </row>
    <row r="1424">
      <c r="A1424" t="n">
        <v>38</v>
      </c>
      <c r="B1424" t="n">
        <v>1994</v>
      </c>
      <c r="C1424" t="n">
        <v>0.0233</v>
      </c>
    </row>
    <row r="1425">
      <c r="A1425" t="n">
        <v>38</v>
      </c>
      <c r="B1425" t="n">
        <v>1995</v>
      </c>
      <c r="C1425" t="n">
        <v>0.0376</v>
      </c>
    </row>
    <row r="1426">
      <c r="A1426" t="n">
        <v>38</v>
      </c>
      <c r="B1426" t="n">
        <v>1996</v>
      </c>
      <c r="C1426" t="n">
        <v>0.0479</v>
      </c>
    </row>
    <row r="1427">
      <c r="A1427" t="n">
        <v>38</v>
      </c>
      <c r="B1427" t="n">
        <v>1997</v>
      </c>
      <c r="C1427" t="n">
        <v>0.0517</v>
      </c>
    </row>
    <row r="1428">
      <c r="A1428" t="n">
        <v>38</v>
      </c>
      <c r="B1428" t="n">
        <v>1998</v>
      </c>
      <c r="C1428" t="n">
        <v>0.0485</v>
      </c>
    </row>
    <row r="1429">
      <c r="A1429" t="n">
        <v>38</v>
      </c>
      <c r="B1429" t="n">
        <v>1999</v>
      </c>
      <c r="C1429" t="n">
        <v>0.0405</v>
      </c>
    </row>
    <row r="1430">
      <c r="A1430" t="n">
        <v>38</v>
      </c>
      <c r="B1430" t="n">
        <v>2000</v>
      </c>
      <c r="C1430" t="n">
        <v>0.0307</v>
      </c>
    </row>
    <row r="1431">
      <c r="A1431" t="n">
        <v>38</v>
      </c>
      <c r="B1431" t="n">
        <v>2001</v>
      </c>
      <c r="C1431" t="n">
        <v>0.0221</v>
      </c>
    </row>
    <row r="1432">
      <c r="A1432" t="n">
        <v>38</v>
      </c>
      <c r="B1432" t="n">
        <v>2002</v>
      </c>
      <c r="C1432" t="n">
        <v>0.0164</v>
      </c>
    </row>
    <row r="1433">
      <c r="A1433" t="n">
        <v>38</v>
      </c>
      <c r="B1433" t="n">
        <v>2003</v>
      </c>
      <c r="C1433" t="n">
        <v>0.0138</v>
      </c>
    </row>
    <row r="1434">
      <c r="A1434" t="n">
        <v>38</v>
      </c>
      <c r="B1434" t="n">
        <v>2004</v>
      </c>
      <c r="C1434" t="n">
        <v>0.0138</v>
      </c>
    </row>
    <row r="1435">
      <c r="A1435" t="n">
        <v>38</v>
      </c>
      <c r="B1435" t="n">
        <v>2005</v>
      </c>
      <c r="C1435" t="n">
        <v>0.0152</v>
      </c>
    </row>
    <row r="1436">
      <c r="A1436" t="n">
        <v>38</v>
      </c>
      <c r="B1436" t="n">
        <v>2006</v>
      </c>
      <c r="C1436" t="n">
        <v>0.0171</v>
      </c>
    </row>
    <row r="1437">
      <c r="A1437" t="n">
        <v>38</v>
      </c>
      <c r="B1437" t="n">
        <v>2007</v>
      </c>
      <c r="C1437" t="n">
        <v>0.0188</v>
      </c>
    </row>
    <row r="1438">
      <c r="A1438" t="n">
        <v>38</v>
      </c>
      <c r="B1438" t="n">
        <v>2008</v>
      </c>
      <c r="C1438" t="n">
        <v>0.0192</v>
      </c>
    </row>
    <row r="1439">
      <c r="A1439" t="n">
        <v>38</v>
      </c>
      <c r="B1439" t="n">
        <v>2009</v>
      </c>
      <c r="C1439" t="n">
        <v>0.0178</v>
      </c>
    </row>
    <row r="1440">
      <c r="A1440" t="n">
        <v>38</v>
      </c>
      <c r="B1440" t="n">
        <v>2010</v>
      </c>
      <c r="C1440" t="n">
        <v>0.0144</v>
      </c>
    </row>
    <row r="1441">
      <c r="A1441" t="n">
        <v>38</v>
      </c>
      <c r="B1441" t="n">
        <v>2011</v>
      </c>
      <c r="C1441" t="n">
        <v>0.008999999999999999</v>
      </c>
    </row>
    <row r="1442">
      <c r="A1442" t="n">
        <v>38</v>
      </c>
      <c r="B1442" t="n">
        <v>2012</v>
      </c>
      <c r="C1442" t="n">
        <v>0.0023</v>
      </c>
    </row>
    <row r="1443">
      <c r="A1443" t="n">
        <v>38</v>
      </c>
      <c r="B1443" t="n">
        <v>2013</v>
      </c>
      <c r="C1443" t="n">
        <v>0.0009</v>
      </c>
    </row>
    <row r="1444">
      <c r="A1444" t="n">
        <v>38</v>
      </c>
      <c r="B1444" t="n">
        <v>2014</v>
      </c>
      <c r="C1444" t="n">
        <v>0</v>
      </c>
    </row>
    <row r="1445">
      <c r="A1445" t="n">
        <v>38</v>
      </c>
      <c r="B1445" t="n">
        <v>2015</v>
      </c>
      <c r="C1445" t="n">
        <v>-0.0004</v>
      </c>
    </row>
    <row r="1446">
      <c r="A1446" t="n">
        <v>38</v>
      </c>
      <c r="B1446" t="n">
        <v>2016</v>
      </c>
      <c r="C1446" t="n">
        <v>-0.0002</v>
      </c>
    </row>
    <row r="1447">
      <c r="A1447" t="n">
        <v>38</v>
      </c>
      <c r="B1447" t="n">
        <v>2017</v>
      </c>
      <c r="C1447" t="n">
        <v>0.0005999999999999999</v>
      </c>
    </row>
    <row r="1448">
      <c r="A1448" t="n">
        <v>38</v>
      </c>
      <c r="B1448" t="n">
        <v>2018</v>
      </c>
      <c r="C1448" t="n">
        <v>0.0018</v>
      </c>
    </row>
    <row r="1449">
      <c r="A1449" t="n">
        <v>38</v>
      </c>
      <c r="B1449" t="n">
        <v>2019</v>
      </c>
      <c r="C1449" t="n">
        <v>0.0033</v>
      </c>
    </row>
    <row r="1450">
      <c r="A1450" t="n">
        <v>38</v>
      </c>
      <c r="B1450" t="n">
        <v>2020</v>
      </c>
      <c r="C1450" t="n">
        <v>0.0049</v>
      </c>
    </row>
    <row r="1451">
      <c r="A1451" t="n">
        <v>38</v>
      </c>
      <c r="B1451" t="n">
        <v>2021</v>
      </c>
      <c r="C1451" t="n">
        <v>0.0064</v>
      </c>
    </row>
    <row r="1452">
      <c r="A1452" t="n">
        <v>38</v>
      </c>
      <c r="B1452" t="n">
        <v>2022</v>
      </c>
      <c r="C1452" t="n">
        <v>0.0078</v>
      </c>
    </row>
    <row r="1453">
      <c r="A1453" t="n">
        <v>38</v>
      </c>
      <c r="B1453" t="n">
        <v>2023</v>
      </c>
      <c r="C1453" t="n">
        <v>0.0089</v>
      </c>
    </row>
    <row r="1454">
      <c r="A1454" t="n">
        <v>38</v>
      </c>
      <c r="B1454" t="n">
        <v>2024</v>
      </c>
      <c r="C1454" t="n">
        <v>0.0097</v>
      </c>
    </row>
    <row r="1455">
      <c r="A1455" t="n">
        <v>38</v>
      </c>
      <c r="B1455" t="n">
        <v>2025</v>
      </c>
      <c r="C1455" t="n">
        <v>0.0104</v>
      </c>
    </row>
    <row r="1456">
      <c r="A1456" t="n">
        <v>38</v>
      </c>
      <c r="B1456" t="n">
        <v>2026</v>
      </c>
      <c r="C1456" t="n">
        <v>0.0107</v>
      </c>
    </row>
    <row r="1457">
      <c r="A1457" t="n">
        <v>38</v>
      </c>
      <c r="B1457" t="n">
        <v>2027</v>
      </c>
      <c r="C1457" t="n">
        <v>0.0108</v>
      </c>
    </row>
    <row r="1458">
      <c r="A1458" t="n">
        <v>38</v>
      </c>
      <c r="B1458" t="n">
        <v>2028</v>
      </c>
      <c r="C1458" t="n">
        <v>0.0108</v>
      </c>
    </row>
    <row r="1459">
      <c r="A1459" t="n">
        <v>38</v>
      </c>
      <c r="B1459" t="n">
        <v>2029</v>
      </c>
      <c r="C1459" t="n">
        <v>0.0106</v>
      </c>
    </row>
    <row r="1460">
      <c r="A1460" t="n">
        <v>38</v>
      </c>
      <c r="B1460" t="n">
        <v>2030</v>
      </c>
      <c r="C1460" t="n">
        <v>0.0103</v>
      </c>
    </row>
    <row r="1461">
      <c r="A1461" t="n">
        <v>38</v>
      </c>
      <c r="B1461" t="n">
        <v>2031</v>
      </c>
      <c r="C1461" t="n">
        <v>0.0101</v>
      </c>
    </row>
    <row r="1462">
      <c r="A1462" t="n">
        <v>39</v>
      </c>
      <c r="B1462" t="n">
        <v>1951</v>
      </c>
      <c r="C1462" t="n">
        <v>0.0357</v>
      </c>
    </row>
    <row r="1463">
      <c r="A1463" t="n">
        <v>39</v>
      </c>
      <c r="B1463" t="n">
        <v>1952</v>
      </c>
      <c r="C1463" t="n">
        <v>0.0322</v>
      </c>
    </row>
    <row r="1464">
      <c r="A1464" t="n">
        <v>39</v>
      </c>
      <c r="B1464" t="n">
        <v>1953</v>
      </c>
      <c r="C1464" t="n">
        <v>0.0284</v>
      </c>
    </row>
    <row r="1465">
      <c r="A1465" t="n">
        <v>39</v>
      </c>
      <c r="B1465" t="n">
        <v>1954</v>
      </c>
      <c r="C1465" t="n">
        <v>0.0242</v>
      </c>
    </row>
    <row r="1466">
      <c r="A1466" t="n">
        <v>39</v>
      </c>
      <c r="B1466" t="n">
        <v>1955</v>
      </c>
      <c r="C1466" t="n">
        <v>0.0195</v>
      </c>
    </row>
    <row r="1467">
      <c r="A1467" t="n">
        <v>39</v>
      </c>
      <c r="B1467" t="n">
        <v>1956</v>
      </c>
      <c r="C1467" t="n">
        <v>0.0147</v>
      </c>
    </row>
    <row r="1468">
      <c r="A1468" t="n">
        <v>39</v>
      </c>
      <c r="B1468" t="n">
        <v>1957</v>
      </c>
      <c r="C1468" t="n">
        <v>0.0102</v>
      </c>
    </row>
    <row r="1469">
      <c r="A1469" t="n">
        <v>39</v>
      </c>
      <c r="B1469" t="n">
        <v>1958</v>
      </c>
      <c r="C1469" t="n">
        <v>0.0061</v>
      </c>
    </row>
    <row r="1470">
      <c r="A1470" t="n">
        <v>39</v>
      </c>
      <c r="B1470" t="n">
        <v>1959</v>
      </c>
      <c r="C1470" t="n">
        <v>0.0023</v>
      </c>
    </row>
    <row r="1471">
      <c r="A1471" t="n">
        <v>39</v>
      </c>
      <c r="B1471" t="n">
        <v>1960</v>
      </c>
      <c r="C1471" t="n">
        <v>-0.0012</v>
      </c>
    </row>
    <row r="1472">
      <c r="A1472" t="n">
        <v>39</v>
      </c>
      <c r="B1472" t="n">
        <v>1961</v>
      </c>
      <c r="C1472" t="n">
        <v>-0.0046</v>
      </c>
    </row>
    <row r="1473">
      <c r="A1473" t="n">
        <v>39</v>
      </c>
      <c r="B1473" t="n">
        <v>1962</v>
      </c>
      <c r="C1473" t="n">
        <v>-0.0078</v>
      </c>
    </row>
    <row r="1474">
      <c r="A1474" t="n">
        <v>39</v>
      </c>
      <c r="B1474" t="n">
        <v>1963</v>
      </c>
      <c r="C1474" t="n">
        <v>-0.0105</v>
      </c>
    </row>
    <row r="1475">
      <c r="A1475" t="n">
        <v>39</v>
      </c>
      <c r="B1475" t="n">
        <v>1964</v>
      </c>
      <c r="C1475" t="n">
        <v>-0.0124</v>
      </c>
    </row>
    <row r="1476">
      <c r="A1476" t="n">
        <v>39</v>
      </c>
      <c r="B1476" t="n">
        <v>1965</v>
      </c>
      <c r="C1476" t="n">
        <v>-0.0132</v>
      </c>
    </row>
    <row r="1477">
      <c r="A1477" t="n">
        <v>39</v>
      </c>
      <c r="B1477" t="n">
        <v>1966</v>
      </c>
      <c r="C1477" t="n">
        <v>-0.0127</v>
      </c>
    </row>
    <row r="1478">
      <c r="A1478" t="n">
        <v>39</v>
      </c>
      <c r="B1478" t="n">
        <v>1967</v>
      </c>
      <c r="C1478" t="n">
        <v>-0.0105</v>
      </c>
    </row>
    <row r="1479">
      <c r="A1479" t="n">
        <v>39</v>
      </c>
      <c r="B1479" t="n">
        <v>1968</v>
      </c>
      <c r="C1479" t="n">
        <v>-0.0066</v>
      </c>
    </row>
    <row r="1480">
      <c r="A1480" t="n">
        <v>39</v>
      </c>
      <c r="B1480" t="n">
        <v>1969</v>
      </c>
      <c r="C1480" t="n">
        <v>-0.0009</v>
      </c>
    </row>
    <row r="1481">
      <c r="A1481" t="n">
        <v>39</v>
      </c>
      <c r="B1481" t="n">
        <v>1970</v>
      </c>
      <c r="C1481" t="n">
        <v>0.0059</v>
      </c>
    </row>
    <row r="1482">
      <c r="A1482" t="n">
        <v>39</v>
      </c>
      <c r="B1482" t="n">
        <v>1971</v>
      </c>
      <c r="C1482" t="n">
        <v>0.0132</v>
      </c>
    </row>
    <row r="1483">
      <c r="A1483" t="n">
        <v>39</v>
      </c>
      <c r="B1483" t="n">
        <v>1972</v>
      </c>
      <c r="C1483" t="n">
        <v>0.0201</v>
      </c>
    </row>
    <row r="1484">
      <c r="A1484" t="n">
        <v>39</v>
      </c>
      <c r="B1484" t="n">
        <v>1973</v>
      </c>
      <c r="C1484" t="n">
        <v>0.0261</v>
      </c>
    </row>
    <row r="1485">
      <c r="A1485" t="n">
        <v>39</v>
      </c>
      <c r="B1485" t="n">
        <v>1974</v>
      </c>
      <c r="C1485" t="n">
        <v>0.0307</v>
      </c>
    </row>
    <row r="1486">
      <c r="A1486" t="n">
        <v>39</v>
      </c>
      <c r="B1486" t="n">
        <v>1975</v>
      </c>
      <c r="C1486" t="n">
        <v>0.0336</v>
      </c>
    </row>
    <row r="1487">
      <c r="A1487" t="n">
        <v>39</v>
      </c>
      <c r="B1487" t="n">
        <v>1976</v>
      </c>
      <c r="C1487" t="n">
        <v>0.0349</v>
      </c>
    </row>
    <row r="1488">
      <c r="A1488" t="n">
        <v>39</v>
      </c>
      <c r="B1488" t="n">
        <v>1977</v>
      </c>
      <c r="C1488" t="n">
        <v>0.0348</v>
      </c>
    </row>
    <row r="1489">
      <c r="A1489" t="n">
        <v>39</v>
      </c>
      <c r="B1489" t="n">
        <v>1978</v>
      </c>
      <c r="C1489" t="n">
        <v>0.0334</v>
      </c>
    </row>
    <row r="1490">
      <c r="A1490" t="n">
        <v>39</v>
      </c>
      <c r="B1490" t="n">
        <v>1979</v>
      </c>
      <c r="C1490" t="n">
        <v>0.0306</v>
      </c>
    </row>
    <row r="1491">
      <c r="A1491" t="n">
        <v>39</v>
      </c>
      <c r="B1491" t="n">
        <v>1980</v>
      </c>
      <c r="C1491" t="n">
        <v>0.0265</v>
      </c>
    </row>
    <row r="1492">
      <c r="A1492" t="n">
        <v>39</v>
      </c>
      <c r="B1492" t="n">
        <v>1981</v>
      </c>
      <c r="C1492" t="n">
        <v>0.0207</v>
      </c>
    </row>
    <row r="1493">
      <c r="A1493" t="n">
        <v>39</v>
      </c>
      <c r="B1493" t="n">
        <v>1982</v>
      </c>
      <c r="C1493" t="n">
        <v>0.0131</v>
      </c>
    </row>
    <row r="1494">
      <c r="A1494" t="n">
        <v>39</v>
      </c>
      <c r="B1494" t="n">
        <v>1983</v>
      </c>
      <c r="C1494" t="n">
        <v>0.0039</v>
      </c>
    </row>
    <row r="1495">
      <c r="A1495" t="n">
        <v>39</v>
      </c>
      <c r="B1495" t="n">
        <v>1984</v>
      </c>
      <c r="C1495" t="n">
        <v>-0.0061</v>
      </c>
    </row>
    <row r="1496">
      <c r="A1496" t="n">
        <v>39</v>
      </c>
      <c r="B1496" t="n">
        <v>1985</v>
      </c>
      <c r="C1496" t="n">
        <v>-0.0155</v>
      </c>
    </row>
    <row r="1497">
      <c r="A1497" t="n">
        <v>39</v>
      </c>
      <c r="B1497" t="n">
        <v>1986</v>
      </c>
      <c r="C1497" t="n">
        <v>-0.0232</v>
      </c>
    </row>
    <row r="1498">
      <c r="A1498" t="n">
        <v>39</v>
      </c>
      <c r="B1498" t="n">
        <v>1987</v>
      </c>
      <c r="C1498" t="n">
        <v>-0.0283</v>
      </c>
    </row>
    <row r="1499">
      <c r="A1499" t="n">
        <v>39</v>
      </c>
      <c r="B1499" t="n">
        <v>1988</v>
      </c>
      <c r="C1499" t="n">
        <v>-0.0304</v>
      </c>
    </row>
    <row r="1500">
      <c r="A1500" t="n">
        <v>39</v>
      </c>
      <c r="B1500" t="n">
        <v>1989</v>
      </c>
      <c r="C1500" t="n">
        <v>-0.0293</v>
      </c>
    </row>
    <row r="1501">
      <c r="A1501" t="n">
        <v>39</v>
      </c>
      <c r="B1501" t="n">
        <v>1990</v>
      </c>
      <c r="C1501" t="n">
        <v>-0.0252</v>
      </c>
    </row>
    <row r="1502">
      <c r="A1502" t="n">
        <v>39</v>
      </c>
      <c r="B1502" t="n">
        <v>1991</v>
      </c>
      <c r="C1502" t="n">
        <v>-0.0181</v>
      </c>
    </row>
    <row r="1503">
      <c r="A1503" t="n">
        <v>39</v>
      </c>
      <c r="B1503" t="n">
        <v>1992</v>
      </c>
      <c r="C1503" t="n">
        <v>-0.008</v>
      </c>
    </row>
    <row r="1504">
      <c r="A1504" t="n">
        <v>39</v>
      </c>
      <c r="B1504" t="n">
        <v>1993</v>
      </c>
      <c r="C1504" t="n">
        <v>0.0049</v>
      </c>
    </row>
    <row r="1505">
      <c r="A1505" t="n">
        <v>39</v>
      </c>
      <c r="B1505" t="n">
        <v>1994</v>
      </c>
      <c r="C1505" t="n">
        <v>0.0193</v>
      </c>
    </row>
    <row r="1506">
      <c r="A1506" t="n">
        <v>39</v>
      </c>
      <c r="B1506" t="n">
        <v>1995</v>
      </c>
      <c r="C1506" t="n">
        <v>0.0329</v>
      </c>
    </row>
    <row r="1507">
      <c r="A1507" t="n">
        <v>39</v>
      </c>
      <c r="B1507" t="n">
        <v>1996</v>
      </c>
      <c r="C1507" t="n">
        <v>0.0428</v>
      </c>
    </row>
    <row r="1508">
      <c r="A1508" t="n">
        <v>39</v>
      </c>
      <c r="B1508" t="n">
        <v>1997</v>
      </c>
      <c r="C1508" t="n">
        <v>0.0465</v>
      </c>
    </row>
    <row r="1509">
      <c r="A1509" t="n">
        <v>39</v>
      </c>
      <c r="B1509" t="n">
        <v>1998</v>
      </c>
      <c r="C1509" t="n">
        <v>0.0438</v>
      </c>
    </row>
    <row r="1510">
      <c r="A1510" t="n">
        <v>39</v>
      </c>
      <c r="B1510" t="n">
        <v>1999</v>
      </c>
      <c r="C1510" t="n">
        <v>0.0367</v>
      </c>
    </row>
    <row r="1511">
      <c r="A1511" t="n">
        <v>39</v>
      </c>
      <c r="B1511" t="n">
        <v>2000</v>
      </c>
      <c r="C1511" t="n">
        <v>0.0279</v>
      </c>
    </row>
    <row r="1512">
      <c r="A1512" t="n">
        <v>39</v>
      </c>
      <c r="B1512" t="n">
        <v>2001</v>
      </c>
      <c r="C1512" t="n">
        <v>0.0203</v>
      </c>
    </row>
    <row r="1513">
      <c r="A1513" t="n">
        <v>39</v>
      </c>
      <c r="B1513" t="n">
        <v>2002</v>
      </c>
      <c r="C1513" t="n">
        <v>0.0155</v>
      </c>
    </row>
    <row r="1514">
      <c r="A1514" t="n">
        <v>39</v>
      </c>
      <c r="B1514" t="n">
        <v>2003</v>
      </c>
      <c r="C1514" t="n">
        <v>0.0139</v>
      </c>
    </row>
    <row r="1515">
      <c r="A1515" t="n">
        <v>39</v>
      </c>
      <c r="B1515" t="n">
        <v>2004</v>
      </c>
      <c r="C1515" t="n">
        <v>0.0146</v>
      </c>
    </row>
    <row r="1516">
      <c r="A1516" t="n">
        <v>39</v>
      </c>
      <c r="B1516" t="n">
        <v>2005</v>
      </c>
      <c r="C1516" t="n">
        <v>0.0168</v>
      </c>
    </row>
    <row r="1517">
      <c r="A1517" t="n">
        <v>39</v>
      </c>
      <c r="B1517" t="n">
        <v>2006</v>
      </c>
      <c r="C1517" t="n">
        <v>0.0194</v>
      </c>
    </row>
    <row r="1518">
      <c r="A1518" t="n">
        <v>39</v>
      </c>
      <c r="B1518" t="n">
        <v>2007</v>
      </c>
      <c r="C1518" t="n">
        <v>0.0215</v>
      </c>
    </row>
    <row r="1519">
      <c r="A1519" t="n">
        <v>39</v>
      </c>
      <c r="B1519" t="n">
        <v>2008</v>
      </c>
      <c r="C1519" t="n">
        <v>0.0223</v>
      </c>
    </row>
    <row r="1520">
      <c r="A1520" t="n">
        <v>39</v>
      </c>
      <c r="B1520" t="n">
        <v>2009</v>
      </c>
      <c r="C1520" t="n">
        <v>0.0211</v>
      </c>
    </row>
    <row r="1521">
      <c r="A1521" t="n">
        <v>39</v>
      </c>
      <c r="B1521" t="n">
        <v>2010</v>
      </c>
      <c r="C1521" t="n">
        <v>0.0178</v>
      </c>
    </row>
    <row r="1522">
      <c r="A1522" t="n">
        <v>39</v>
      </c>
      <c r="B1522" t="n">
        <v>2011</v>
      </c>
      <c r="C1522" t="n">
        <v>0.0124</v>
      </c>
    </row>
    <row r="1523">
      <c r="A1523" t="n">
        <v>39</v>
      </c>
      <c r="B1523" t="n">
        <v>2012</v>
      </c>
      <c r="C1523" t="n">
        <v>0.0056</v>
      </c>
    </row>
    <row r="1524">
      <c r="A1524" t="n">
        <v>39</v>
      </c>
      <c r="B1524" t="n">
        <v>2013</v>
      </c>
      <c r="C1524" t="n">
        <v>0.004</v>
      </c>
    </row>
    <row r="1525">
      <c r="A1525" t="n">
        <v>39</v>
      </c>
      <c r="B1525" t="n">
        <v>2014</v>
      </c>
      <c r="C1525" t="n">
        <v>0.0028</v>
      </c>
    </row>
    <row r="1526">
      <c r="A1526" t="n">
        <v>39</v>
      </c>
      <c r="B1526" t="n">
        <v>2015</v>
      </c>
      <c r="C1526" t="n">
        <v>0.0019</v>
      </c>
    </row>
    <row r="1527">
      <c r="A1527" t="n">
        <v>39</v>
      </c>
      <c r="B1527" t="n">
        <v>2016</v>
      </c>
      <c r="C1527" t="n">
        <v>0.0016</v>
      </c>
    </row>
    <row r="1528">
      <c r="A1528" t="n">
        <v>39</v>
      </c>
      <c r="B1528" t="n">
        <v>2017</v>
      </c>
      <c r="C1528" t="n">
        <v>0.0017</v>
      </c>
    </row>
    <row r="1529">
      <c r="A1529" t="n">
        <v>39</v>
      </c>
      <c r="B1529" t="n">
        <v>2018</v>
      </c>
      <c r="C1529" t="n">
        <v>0.0023</v>
      </c>
    </row>
    <row r="1530">
      <c r="A1530" t="n">
        <v>39</v>
      </c>
      <c r="B1530" t="n">
        <v>2019</v>
      </c>
      <c r="C1530" t="n">
        <v>0.0033</v>
      </c>
    </row>
    <row r="1531">
      <c r="A1531" t="n">
        <v>39</v>
      </c>
      <c r="B1531" t="n">
        <v>2020</v>
      </c>
      <c r="C1531" t="n">
        <v>0.0045</v>
      </c>
    </row>
    <row r="1532">
      <c r="A1532" t="n">
        <v>39</v>
      </c>
      <c r="B1532" t="n">
        <v>2021</v>
      </c>
      <c r="C1532" t="n">
        <v>0.0058</v>
      </c>
    </row>
    <row r="1533">
      <c r="A1533" t="n">
        <v>39</v>
      </c>
      <c r="B1533" t="n">
        <v>2022</v>
      </c>
      <c r="C1533" t="n">
        <v>0.007</v>
      </c>
    </row>
    <row r="1534">
      <c r="A1534" t="n">
        <v>39</v>
      </c>
      <c r="B1534" t="n">
        <v>2023</v>
      </c>
      <c r="C1534" t="n">
        <v>0.0081</v>
      </c>
    </row>
    <row r="1535">
      <c r="A1535" t="n">
        <v>39</v>
      </c>
      <c r="B1535" t="n">
        <v>2024</v>
      </c>
      <c r="C1535" t="n">
        <v>0.0091</v>
      </c>
    </row>
    <row r="1536">
      <c r="A1536" t="n">
        <v>39</v>
      </c>
      <c r="B1536" t="n">
        <v>2025</v>
      </c>
      <c r="C1536" t="n">
        <v>0.0098</v>
      </c>
    </row>
    <row r="1537">
      <c r="A1537" t="n">
        <v>39</v>
      </c>
      <c r="B1537" t="n">
        <v>2026</v>
      </c>
      <c r="C1537" t="n">
        <v>0.0103</v>
      </c>
    </row>
    <row r="1538">
      <c r="A1538" t="n">
        <v>39</v>
      </c>
      <c r="B1538" t="n">
        <v>2027</v>
      </c>
      <c r="C1538" t="n">
        <v>0.0105</v>
      </c>
    </row>
    <row r="1539">
      <c r="A1539" t="n">
        <v>39</v>
      </c>
      <c r="B1539" t="n">
        <v>2028</v>
      </c>
      <c r="C1539" t="n">
        <v>0.0106</v>
      </c>
    </row>
    <row r="1540">
      <c r="A1540" t="n">
        <v>39</v>
      </c>
      <c r="B1540" t="n">
        <v>2029</v>
      </c>
      <c r="C1540" t="n">
        <v>0.0104</v>
      </c>
    </row>
    <row r="1541">
      <c r="A1541" t="n">
        <v>39</v>
      </c>
      <c r="B1541" t="n">
        <v>2030</v>
      </c>
      <c r="C1541" t="n">
        <v>0.0103</v>
      </c>
    </row>
    <row r="1542">
      <c r="A1542" t="n">
        <v>39</v>
      </c>
      <c r="B1542" t="n">
        <v>2031</v>
      </c>
      <c r="C1542" t="n">
        <v>0.0101</v>
      </c>
    </row>
    <row r="1543">
      <c r="A1543" t="n">
        <v>40</v>
      </c>
      <c r="B1543" t="n">
        <v>1951</v>
      </c>
      <c r="C1543" t="n">
        <v>0.0339</v>
      </c>
    </row>
    <row r="1544">
      <c r="A1544" t="n">
        <v>40</v>
      </c>
      <c r="B1544" t="n">
        <v>1952</v>
      </c>
      <c r="C1544" t="n">
        <v>0.0307</v>
      </c>
    </row>
    <row r="1545">
      <c r="A1545" t="n">
        <v>40</v>
      </c>
      <c r="B1545" t="n">
        <v>1953</v>
      </c>
      <c r="C1545" t="n">
        <v>0.0274</v>
      </c>
    </row>
    <row r="1546">
      <c r="A1546" t="n">
        <v>40</v>
      </c>
      <c r="B1546" t="n">
        <v>1954</v>
      </c>
      <c r="C1546" t="n">
        <v>0.0235</v>
      </c>
    </row>
    <row r="1547">
      <c r="A1547" t="n">
        <v>40</v>
      </c>
      <c r="B1547" t="n">
        <v>1955</v>
      </c>
      <c r="C1547" t="n">
        <v>0.0192</v>
      </c>
    </row>
    <row r="1548">
      <c r="A1548" t="n">
        <v>40</v>
      </c>
      <c r="B1548" t="n">
        <v>1956</v>
      </c>
      <c r="C1548" t="n">
        <v>0.0147</v>
      </c>
    </row>
    <row r="1549">
      <c r="A1549" t="n">
        <v>40</v>
      </c>
      <c r="B1549" t="n">
        <v>1957</v>
      </c>
      <c r="C1549" t="n">
        <v>0.0104</v>
      </c>
    </row>
    <row r="1550">
      <c r="A1550" t="n">
        <v>40</v>
      </c>
      <c r="B1550" t="n">
        <v>1958</v>
      </c>
      <c r="C1550" t="n">
        <v>0.0066</v>
      </c>
    </row>
    <row r="1551">
      <c r="A1551" t="n">
        <v>40</v>
      </c>
      <c r="B1551" t="n">
        <v>1959</v>
      </c>
      <c r="C1551" t="n">
        <v>0.003</v>
      </c>
    </row>
    <row r="1552">
      <c r="A1552" t="n">
        <v>40</v>
      </c>
      <c r="B1552" t="n">
        <v>1960</v>
      </c>
      <c r="C1552" t="n">
        <v>-0.0005</v>
      </c>
    </row>
    <row r="1553">
      <c r="A1553" t="n">
        <v>40</v>
      </c>
      <c r="B1553" t="n">
        <v>1961</v>
      </c>
      <c r="C1553" t="n">
        <v>-0.0037</v>
      </c>
    </row>
    <row r="1554">
      <c r="A1554" t="n">
        <v>40</v>
      </c>
      <c r="B1554" t="n">
        <v>1962</v>
      </c>
      <c r="C1554" t="n">
        <v>-0.0068</v>
      </c>
    </row>
    <row r="1555">
      <c r="A1555" t="n">
        <v>40</v>
      </c>
      <c r="B1555" t="n">
        <v>1963</v>
      </c>
      <c r="C1555" t="n">
        <v>-0.0095</v>
      </c>
    </row>
    <row r="1556">
      <c r="A1556" t="n">
        <v>40</v>
      </c>
      <c r="B1556" t="n">
        <v>1964</v>
      </c>
      <c r="C1556" t="n">
        <v>-0.0114</v>
      </c>
    </row>
    <row r="1557">
      <c r="A1557" t="n">
        <v>40</v>
      </c>
      <c r="B1557" t="n">
        <v>1965</v>
      </c>
      <c r="C1557" t="n">
        <v>-0.0123</v>
      </c>
    </row>
    <row r="1558">
      <c r="A1558" t="n">
        <v>40</v>
      </c>
      <c r="B1558" t="n">
        <v>1966</v>
      </c>
      <c r="C1558" t="n">
        <v>-0.0118</v>
      </c>
    </row>
    <row r="1559">
      <c r="A1559" t="n">
        <v>40</v>
      </c>
      <c r="B1559" t="n">
        <v>1967</v>
      </c>
      <c r="C1559" t="n">
        <v>-0.0097</v>
      </c>
    </row>
    <row r="1560">
      <c r="A1560" t="n">
        <v>40</v>
      </c>
      <c r="B1560" t="n">
        <v>1968</v>
      </c>
      <c r="C1560" t="n">
        <v>-0.0059</v>
      </c>
    </row>
    <row r="1561">
      <c r="A1561" t="n">
        <v>40</v>
      </c>
      <c r="B1561" t="n">
        <v>1969</v>
      </c>
      <c r="C1561" t="n">
        <v>-0.0004</v>
      </c>
    </row>
    <row r="1562">
      <c r="A1562" t="n">
        <v>40</v>
      </c>
      <c r="B1562" t="n">
        <v>1970</v>
      </c>
      <c r="C1562" t="n">
        <v>0.0063</v>
      </c>
    </row>
    <row r="1563">
      <c r="A1563" t="n">
        <v>40</v>
      </c>
      <c r="B1563" t="n">
        <v>1971</v>
      </c>
      <c r="C1563" t="n">
        <v>0.0134</v>
      </c>
    </row>
    <row r="1564">
      <c r="A1564" t="n">
        <v>40</v>
      </c>
      <c r="B1564" t="n">
        <v>1972</v>
      </c>
      <c r="C1564" t="n">
        <v>0.0202</v>
      </c>
    </row>
    <row r="1565">
      <c r="A1565" t="n">
        <v>40</v>
      </c>
      <c r="B1565" t="n">
        <v>1973</v>
      </c>
      <c r="C1565" t="n">
        <v>0.026</v>
      </c>
    </row>
    <row r="1566">
      <c r="A1566" t="n">
        <v>40</v>
      </c>
      <c r="B1566" t="n">
        <v>1974</v>
      </c>
      <c r="C1566" t="n">
        <v>0.0305</v>
      </c>
    </row>
    <row r="1567">
      <c r="A1567" t="n">
        <v>40</v>
      </c>
      <c r="B1567" t="n">
        <v>1975</v>
      </c>
      <c r="C1567" t="n">
        <v>0.0335</v>
      </c>
    </row>
    <row r="1568">
      <c r="A1568" t="n">
        <v>40</v>
      </c>
      <c r="B1568" t="n">
        <v>1976</v>
      </c>
      <c r="C1568" t="n">
        <v>0.035</v>
      </c>
    </row>
    <row r="1569">
      <c r="A1569" t="n">
        <v>40</v>
      </c>
      <c r="B1569" t="n">
        <v>1977</v>
      </c>
      <c r="C1569" t="n">
        <v>0.0352</v>
      </c>
    </row>
    <row r="1570">
      <c r="A1570" t="n">
        <v>40</v>
      </c>
      <c r="B1570" t="n">
        <v>1978</v>
      </c>
      <c r="C1570" t="n">
        <v>0.0342</v>
      </c>
    </row>
    <row r="1571">
      <c r="A1571" t="n">
        <v>40</v>
      </c>
      <c r="B1571" t="n">
        <v>1979</v>
      </c>
      <c r="C1571" t="n">
        <v>0.0319</v>
      </c>
    </row>
    <row r="1572">
      <c r="A1572" t="n">
        <v>40</v>
      </c>
      <c r="B1572" t="n">
        <v>1980</v>
      </c>
      <c r="C1572" t="n">
        <v>0.0282</v>
      </c>
    </row>
    <row r="1573">
      <c r="A1573" t="n">
        <v>40</v>
      </c>
      <c r="B1573" t="n">
        <v>1981</v>
      </c>
      <c r="C1573" t="n">
        <v>0.023</v>
      </c>
    </row>
    <row r="1574">
      <c r="A1574" t="n">
        <v>40</v>
      </c>
      <c r="B1574" t="n">
        <v>1982</v>
      </c>
      <c r="C1574" t="n">
        <v>0.0161</v>
      </c>
    </row>
    <row r="1575">
      <c r="A1575" t="n">
        <v>40</v>
      </c>
      <c r="B1575" t="n">
        <v>1983</v>
      </c>
      <c r="C1575" t="n">
        <v>0.0077</v>
      </c>
    </row>
    <row r="1576">
      <c r="A1576" t="n">
        <v>40</v>
      </c>
      <c r="B1576" t="n">
        <v>1984</v>
      </c>
      <c r="C1576" t="n">
        <v>-0.0015</v>
      </c>
    </row>
    <row r="1577">
      <c r="A1577" t="n">
        <v>40</v>
      </c>
      <c r="B1577" t="n">
        <v>1985</v>
      </c>
      <c r="C1577" t="n">
        <v>-0.0103</v>
      </c>
    </row>
    <row r="1578">
      <c r="A1578" t="n">
        <v>40</v>
      </c>
      <c r="B1578" t="n">
        <v>1986</v>
      </c>
      <c r="C1578" t="n">
        <v>-0.0177</v>
      </c>
    </row>
    <row r="1579">
      <c r="A1579" t="n">
        <v>40</v>
      </c>
      <c r="B1579" t="n">
        <v>1987</v>
      </c>
      <c r="C1579" t="n">
        <v>-0.023</v>
      </c>
    </row>
    <row r="1580">
      <c r="A1580" t="n">
        <v>40</v>
      </c>
      <c r="B1580" t="n">
        <v>1988</v>
      </c>
      <c r="C1580" t="n">
        <v>-0.0259</v>
      </c>
    </row>
    <row r="1581">
      <c r="A1581" t="n">
        <v>40</v>
      </c>
      <c r="B1581" t="n">
        <v>1989</v>
      </c>
      <c r="C1581" t="n">
        <v>-0.026</v>
      </c>
    </row>
    <row r="1582">
      <c r="A1582" t="n">
        <v>40</v>
      </c>
      <c r="B1582" t="n">
        <v>1990</v>
      </c>
      <c r="C1582" t="n">
        <v>-0.0234</v>
      </c>
    </row>
    <row r="1583">
      <c r="A1583" t="n">
        <v>40</v>
      </c>
      <c r="B1583" t="n">
        <v>1991</v>
      </c>
      <c r="C1583" t="n">
        <v>-0.0178</v>
      </c>
    </row>
    <row r="1584">
      <c r="A1584" t="n">
        <v>40</v>
      </c>
      <c r="B1584" t="n">
        <v>1992</v>
      </c>
      <c r="C1584" t="n">
        <v>-0.0092</v>
      </c>
    </row>
    <row r="1585">
      <c r="A1585" t="n">
        <v>40</v>
      </c>
      <c r="B1585" t="n">
        <v>1993</v>
      </c>
      <c r="C1585" t="n">
        <v>0.0023</v>
      </c>
    </row>
    <row r="1586">
      <c r="A1586" t="n">
        <v>40</v>
      </c>
      <c r="B1586" t="n">
        <v>1994</v>
      </c>
      <c r="C1586" t="n">
        <v>0.0155</v>
      </c>
    </row>
    <row r="1587">
      <c r="A1587" t="n">
        <v>40</v>
      </c>
      <c r="B1587" t="n">
        <v>1995</v>
      </c>
      <c r="C1587" t="n">
        <v>0.0282</v>
      </c>
    </row>
    <row r="1588">
      <c r="A1588" t="n">
        <v>40</v>
      </c>
      <c r="B1588" t="n">
        <v>1996</v>
      </c>
      <c r="C1588" t="n">
        <v>0.0375</v>
      </c>
    </row>
    <row r="1589">
      <c r="A1589" t="n">
        <v>40</v>
      </c>
      <c r="B1589" t="n">
        <v>1997</v>
      </c>
      <c r="C1589" t="n">
        <v>0.0412</v>
      </c>
    </row>
    <row r="1590">
      <c r="A1590" t="n">
        <v>40</v>
      </c>
      <c r="B1590" t="n">
        <v>1998</v>
      </c>
      <c r="C1590" t="n">
        <v>0.0389</v>
      </c>
    </row>
    <row r="1591">
      <c r="A1591" t="n">
        <v>40</v>
      </c>
      <c r="B1591" t="n">
        <v>1999</v>
      </c>
      <c r="C1591" t="n">
        <v>0.0325</v>
      </c>
    </row>
    <row r="1592">
      <c r="A1592" t="n">
        <v>40</v>
      </c>
      <c r="B1592" t="n">
        <v>2000</v>
      </c>
      <c r="C1592" t="n">
        <v>0.0248</v>
      </c>
    </row>
    <row r="1593">
      <c r="A1593" t="n">
        <v>40</v>
      </c>
      <c r="B1593" t="n">
        <v>2001</v>
      </c>
      <c r="C1593" t="n">
        <v>0.0181</v>
      </c>
    </row>
    <row r="1594">
      <c r="A1594" t="n">
        <v>40</v>
      </c>
      <c r="B1594" t="n">
        <v>2002</v>
      </c>
      <c r="C1594" t="n">
        <v>0.0142</v>
      </c>
    </row>
    <row r="1595">
      <c r="A1595" t="n">
        <v>40</v>
      </c>
      <c r="B1595" t="n">
        <v>2003</v>
      </c>
      <c r="C1595" t="n">
        <v>0.0133</v>
      </c>
    </row>
    <row r="1596">
      <c r="A1596" t="n">
        <v>40</v>
      </c>
      <c r="B1596" t="n">
        <v>2004</v>
      </c>
      <c r="C1596" t="n">
        <v>0.0149</v>
      </c>
    </row>
    <row r="1597">
      <c r="A1597" t="n">
        <v>40</v>
      </c>
      <c r="B1597" t="n">
        <v>2005</v>
      </c>
      <c r="C1597" t="n">
        <v>0.0177</v>
      </c>
    </row>
    <row r="1598">
      <c r="A1598" t="n">
        <v>40</v>
      </c>
      <c r="B1598" t="n">
        <v>2006</v>
      </c>
      <c r="C1598" t="n">
        <v>0.021</v>
      </c>
    </row>
    <row r="1599">
      <c r="A1599" t="n">
        <v>40</v>
      </c>
      <c r="B1599" t="n">
        <v>2007</v>
      </c>
      <c r="C1599" t="n">
        <v>0.0236</v>
      </c>
    </row>
    <row r="1600">
      <c r="A1600" t="n">
        <v>40</v>
      </c>
      <c r="B1600" t="n">
        <v>2008</v>
      </c>
      <c r="C1600" t="n">
        <v>0.0248</v>
      </c>
    </row>
    <row r="1601">
      <c r="A1601" t="n">
        <v>40</v>
      </c>
      <c r="B1601" t="n">
        <v>2009</v>
      </c>
      <c r="C1601" t="n">
        <v>0.0239</v>
      </c>
    </row>
    <row r="1602">
      <c r="A1602" t="n">
        <v>40</v>
      </c>
      <c r="B1602" t="n">
        <v>2010</v>
      </c>
      <c r="C1602" t="n">
        <v>0.0208</v>
      </c>
    </row>
    <row r="1603">
      <c r="A1603" t="n">
        <v>40</v>
      </c>
      <c r="B1603" t="n">
        <v>2011</v>
      </c>
      <c r="C1603" t="n">
        <v>0.0156</v>
      </c>
    </row>
    <row r="1604">
      <c r="A1604" t="n">
        <v>40</v>
      </c>
      <c r="B1604" t="n">
        <v>2012</v>
      </c>
      <c r="C1604" t="n">
        <v>0.008999999999999999</v>
      </c>
    </row>
    <row r="1605">
      <c r="A1605" t="n">
        <v>40</v>
      </c>
      <c r="B1605" t="n">
        <v>2013</v>
      </c>
      <c r="C1605" t="n">
        <v>0.0073</v>
      </c>
    </row>
    <row r="1606">
      <c r="A1606" t="n">
        <v>40</v>
      </c>
      <c r="B1606" t="n">
        <v>2014</v>
      </c>
      <c r="C1606" t="n">
        <v>0.0058</v>
      </c>
    </row>
    <row r="1607">
      <c r="A1607" t="n">
        <v>40</v>
      </c>
      <c r="B1607" t="n">
        <v>2015</v>
      </c>
      <c r="C1607" t="n">
        <v>0.0045</v>
      </c>
    </row>
    <row r="1608">
      <c r="A1608" t="n">
        <v>40</v>
      </c>
      <c r="B1608" t="n">
        <v>2016</v>
      </c>
      <c r="C1608" t="n">
        <v>0.0036</v>
      </c>
    </row>
    <row r="1609">
      <c r="A1609" t="n">
        <v>40</v>
      </c>
      <c r="B1609" t="n">
        <v>2017</v>
      </c>
      <c r="C1609" t="n">
        <v>0.0031</v>
      </c>
    </row>
    <row r="1610">
      <c r="A1610" t="n">
        <v>40</v>
      </c>
      <c r="B1610" t="n">
        <v>2018</v>
      </c>
      <c r="C1610" t="n">
        <v>0.0031</v>
      </c>
    </row>
    <row r="1611">
      <c r="A1611" t="n">
        <v>40</v>
      </c>
      <c r="B1611" t="n">
        <v>2019</v>
      </c>
      <c r="C1611" t="n">
        <v>0.0035</v>
      </c>
    </row>
    <row r="1612">
      <c r="A1612" t="n">
        <v>40</v>
      </c>
      <c r="B1612" t="n">
        <v>2020</v>
      </c>
      <c r="C1612" t="n">
        <v>0.0043</v>
      </c>
    </row>
    <row r="1613">
      <c r="A1613" t="n">
        <v>40</v>
      </c>
      <c r="B1613" t="n">
        <v>2021</v>
      </c>
      <c r="C1613" t="n">
        <v>0.0053</v>
      </c>
    </row>
    <row r="1614">
      <c r="A1614" t="n">
        <v>40</v>
      </c>
      <c r="B1614" t="n">
        <v>2022</v>
      </c>
      <c r="C1614" t="n">
        <v>0.0064</v>
      </c>
    </row>
    <row r="1615">
      <c r="A1615" t="n">
        <v>40</v>
      </c>
      <c r="B1615" t="n">
        <v>2023</v>
      </c>
      <c r="C1615" t="n">
        <v>0.0075</v>
      </c>
    </row>
    <row r="1616">
      <c r="A1616" t="n">
        <v>40</v>
      </c>
      <c r="B1616" t="n">
        <v>2024</v>
      </c>
      <c r="C1616" t="n">
        <v>0.008399999999999999</v>
      </c>
    </row>
    <row r="1617">
      <c r="A1617" t="n">
        <v>40</v>
      </c>
      <c r="B1617" t="n">
        <v>2025</v>
      </c>
      <c r="C1617" t="n">
        <v>0.0092</v>
      </c>
    </row>
    <row r="1618">
      <c r="A1618" t="n">
        <v>40</v>
      </c>
      <c r="B1618" t="n">
        <v>2026</v>
      </c>
      <c r="C1618" t="n">
        <v>0.0098</v>
      </c>
    </row>
    <row r="1619">
      <c r="A1619" t="n">
        <v>40</v>
      </c>
      <c r="B1619" t="n">
        <v>2027</v>
      </c>
      <c r="C1619" t="n">
        <v>0.0102</v>
      </c>
    </row>
    <row r="1620">
      <c r="A1620" t="n">
        <v>40</v>
      </c>
      <c r="B1620" t="n">
        <v>2028</v>
      </c>
      <c r="C1620" t="n">
        <v>0.0103</v>
      </c>
    </row>
    <row r="1621">
      <c r="A1621" t="n">
        <v>40</v>
      </c>
      <c r="B1621" t="n">
        <v>2029</v>
      </c>
      <c r="C1621" t="n">
        <v>0.0103</v>
      </c>
    </row>
    <row r="1622">
      <c r="A1622" t="n">
        <v>40</v>
      </c>
      <c r="B1622" t="n">
        <v>2030</v>
      </c>
      <c r="C1622" t="n">
        <v>0.0102</v>
      </c>
    </row>
    <row r="1623">
      <c r="A1623" t="n">
        <v>40</v>
      </c>
      <c r="B1623" t="n">
        <v>2031</v>
      </c>
      <c r="C1623" t="n">
        <v>0.0101</v>
      </c>
    </row>
    <row r="1624">
      <c r="A1624" t="n">
        <v>41</v>
      </c>
      <c r="B1624" t="n">
        <v>1951</v>
      </c>
      <c r="C1624" t="n">
        <v>0.032</v>
      </c>
    </row>
    <row r="1625">
      <c r="A1625" t="n">
        <v>41</v>
      </c>
      <c r="B1625" t="n">
        <v>1952</v>
      </c>
      <c r="C1625" t="n">
        <v>0.0292</v>
      </c>
    </row>
    <row r="1626">
      <c r="A1626" t="n">
        <v>41</v>
      </c>
      <c r="B1626" t="n">
        <v>1953</v>
      </c>
      <c r="C1626" t="n">
        <v>0.0262</v>
      </c>
    </row>
    <row r="1627">
      <c r="A1627" t="n">
        <v>41</v>
      </c>
      <c r="B1627" t="n">
        <v>1954</v>
      </c>
      <c r="C1627" t="n">
        <v>0.0228</v>
      </c>
    </row>
    <row r="1628">
      <c r="A1628" t="n">
        <v>41</v>
      </c>
      <c r="B1628" t="n">
        <v>1955</v>
      </c>
      <c r="C1628" t="n">
        <v>0.0188</v>
      </c>
    </row>
    <row r="1629">
      <c r="A1629" t="n">
        <v>41</v>
      </c>
      <c r="B1629" t="n">
        <v>1956</v>
      </c>
      <c r="C1629" t="n">
        <v>0.0147</v>
      </c>
    </row>
    <row r="1630">
      <c r="A1630" t="n">
        <v>41</v>
      </c>
      <c r="B1630" t="n">
        <v>1957</v>
      </c>
      <c r="C1630" t="n">
        <v>0.0106</v>
      </c>
    </row>
    <row r="1631">
      <c r="A1631" t="n">
        <v>41</v>
      </c>
      <c r="B1631" t="n">
        <v>1958</v>
      </c>
      <c r="C1631" t="n">
        <v>0.007</v>
      </c>
    </row>
    <row r="1632">
      <c r="A1632" t="n">
        <v>41</v>
      </c>
      <c r="B1632" t="n">
        <v>1959</v>
      </c>
      <c r="C1632" t="n">
        <v>0.0035</v>
      </c>
    </row>
    <row r="1633">
      <c r="A1633" t="n">
        <v>41</v>
      </c>
      <c r="B1633" t="n">
        <v>1960</v>
      </c>
      <c r="C1633" t="n">
        <v>0.0003</v>
      </c>
    </row>
    <row r="1634">
      <c r="A1634" t="n">
        <v>41</v>
      </c>
      <c r="B1634" t="n">
        <v>1961</v>
      </c>
      <c r="C1634" t="n">
        <v>-0.0029</v>
      </c>
    </row>
    <row r="1635">
      <c r="A1635" t="n">
        <v>41</v>
      </c>
      <c r="B1635" t="n">
        <v>1962</v>
      </c>
      <c r="C1635" t="n">
        <v>-0.0058</v>
      </c>
    </row>
    <row r="1636">
      <c r="A1636" t="n">
        <v>41</v>
      </c>
      <c r="B1636" t="n">
        <v>1963</v>
      </c>
      <c r="C1636" t="n">
        <v>-0.008399999999999999</v>
      </c>
    </row>
    <row r="1637">
      <c r="A1637" t="n">
        <v>41</v>
      </c>
      <c r="B1637" t="n">
        <v>1964</v>
      </c>
      <c r="C1637" t="n">
        <v>-0.0103</v>
      </c>
    </row>
    <row r="1638">
      <c r="A1638" t="n">
        <v>41</v>
      </c>
      <c r="B1638" t="n">
        <v>1965</v>
      </c>
      <c r="C1638" t="n">
        <v>-0.0112</v>
      </c>
    </row>
    <row r="1639">
      <c r="A1639" t="n">
        <v>41</v>
      </c>
      <c r="B1639" t="n">
        <v>1966</v>
      </c>
      <c r="C1639" t="n">
        <v>-0.0108</v>
      </c>
    </row>
    <row r="1640">
      <c r="A1640" t="n">
        <v>41</v>
      </c>
      <c r="B1640" t="n">
        <v>1967</v>
      </c>
      <c r="C1640" t="n">
        <v>-0.008800000000000001</v>
      </c>
    </row>
    <row r="1641">
      <c r="A1641" t="n">
        <v>41</v>
      </c>
      <c r="B1641" t="n">
        <v>1968</v>
      </c>
      <c r="C1641" t="n">
        <v>-0.0052</v>
      </c>
    </row>
    <row r="1642">
      <c r="A1642" t="n">
        <v>41</v>
      </c>
      <c r="B1642" t="n">
        <v>1969</v>
      </c>
      <c r="C1642" t="n">
        <v>0.0001</v>
      </c>
    </row>
    <row r="1643">
      <c r="A1643" t="n">
        <v>41</v>
      </c>
      <c r="B1643" t="n">
        <v>1970</v>
      </c>
      <c r="C1643" t="n">
        <v>0.0066</v>
      </c>
    </row>
    <row r="1644">
      <c r="A1644" t="n">
        <v>41</v>
      </c>
      <c r="B1644" t="n">
        <v>1971</v>
      </c>
      <c r="C1644" t="n">
        <v>0.0135</v>
      </c>
    </row>
    <row r="1645">
      <c r="A1645" t="n">
        <v>41</v>
      </c>
      <c r="B1645" t="n">
        <v>1972</v>
      </c>
      <c r="C1645" t="n">
        <v>0.02</v>
      </c>
    </row>
    <row r="1646">
      <c r="A1646" t="n">
        <v>41</v>
      </c>
      <c r="B1646" t="n">
        <v>1973</v>
      </c>
      <c r="C1646" t="n">
        <v>0.0258</v>
      </c>
    </row>
    <row r="1647">
      <c r="A1647" t="n">
        <v>41</v>
      </c>
      <c r="B1647" t="n">
        <v>1974</v>
      </c>
      <c r="C1647" t="n">
        <v>0.0302</v>
      </c>
    </row>
    <row r="1648">
      <c r="A1648" t="n">
        <v>41</v>
      </c>
      <c r="B1648" t="n">
        <v>1975</v>
      </c>
      <c r="C1648" t="n">
        <v>0.0333</v>
      </c>
    </row>
    <row r="1649">
      <c r="A1649" t="n">
        <v>41</v>
      </c>
      <c r="B1649" t="n">
        <v>1976</v>
      </c>
      <c r="C1649" t="n">
        <v>0.035</v>
      </c>
    </row>
    <row r="1650">
      <c r="A1650" t="n">
        <v>41</v>
      </c>
      <c r="B1650" t="n">
        <v>1977</v>
      </c>
      <c r="C1650" t="n">
        <v>0.0354</v>
      </c>
    </row>
    <row r="1651">
      <c r="A1651" t="n">
        <v>41</v>
      </c>
      <c r="B1651" t="n">
        <v>1978</v>
      </c>
      <c r="C1651" t="n">
        <v>0.0346</v>
      </c>
    </row>
    <row r="1652">
      <c r="A1652" t="n">
        <v>41</v>
      </c>
      <c r="B1652" t="n">
        <v>1979</v>
      </c>
      <c r="C1652" t="n">
        <v>0.0327</v>
      </c>
    </row>
    <row r="1653">
      <c r="A1653" t="n">
        <v>41</v>
      </c>
      <c r="B1653" t="n">
        <v>1980</v>
      </c>
      <c r="C1653" t="n">
        <v>0.0295</v>
      </c>
    </row>
    <row r="1654">
      <c r="A1654" t="n">
        <v>41</v>
      </c>
      <c r="B1654" t="n">
        <v>1981</v>
      </c>
      <c r="C1654" t="n">
        <v>0.0249</v>
      </c>
    </row>
    <row r="1655">
      <c r="A1655" t="n">
        <v>41</v>
      </c>
      <c r="B1655" t="n">
        <v>1982</v>
      </c>
      <c r="C1655" t="n">
        <v>0.0188</v>
      </c>
    </row>
    <row r="1656">
      <c r="A1656" t="n">
        <v>41</v>
      </c>
      <c r="B1656" t="n">
        <v>1983</v>
      </c>
      <c r="C1656" t="n">
        <v>0.0113</v>
      </c>
    </row>
    <row r="1657">
      <c r="A1657" t="n">
        <v>41</v>
      </c>
      <c r="B1657" t="n">
        <v>1984</v>
      </c>
      <c r="C1657" t="n">
        <v>0.0031</v>
      </c>
    </row>
    <row r="1658">
      <c r="A1658" t="n">
        <v>41</v>
      </c>
      <c r="B1658" t="n">
        <v>1985</v>
      </c>
      <c r="C1658" t="n">
        <v>-0.005</v>
      </c>
    </row>
    <row r="1659">
      <c r="A1659" t="n">
        <v>41</v>
      </c>
      <c r="B1659" t="n">
        <v>1986</v>
      </c>
      <c r="C1659" t="n">
        <v>-0.012</v>
      </c>
    </row>
    <row r="1660">
      <c r="A1660" t="n">
        <v>41</v>
      </c>
      <c r="B1660" t="n">
        <v>1987</v>
      </c>
      <c r="C1660" t="n">
        <v>-0.0174</v>
      </c>
    </row>
    <row r="1661">
      <c r="A1661" t="n">
        <v>41</v>
      </c>
      <c r="B1661" t="n">
        <v>1988</v>
      </c>
      <c r="C1661" t="n">
        <v>-0.0209</v>
      </c>
    </row>
    <row r="1662">
      <c r="A1662" t="n">
        <v>41</v>
      </c>
      <c r="B1662" t="n">
        <v>1989</v>
      </c>
      <c r="C1662" t="n">
        <v>-0.0221</v>
      </c>
    </row>
    <row r="1663">
      <c r="A1663" t="n">
        <v>41</v>
      </c>
      <c r="B1663" t="n">
        <v>1990</v>
      </c>
      <c r="C1663" t="n">
        <v>-0.0208</v>
      </c>
    </row>
    <row r="1664">
      <c r="A1664" t="n">
        <v>41</v>
      </c>
      <c r="B1664" t="n">
        <v>1991</v>
      </c>
      <c r="C1664" t="n">
        <v>-0.0167</v>
      </c>
    </row>
    <row r="1665">
      <c r="A1665" t="n">
        <v>41</v>
      </c>
      <c r="B1665" t="n">
        <v>1992</v>
      </c>
      <c r="C1665" t="n">
        <v>-0.0097</v>
      </c>
    </row>
    <row r="1666">
      <c r="A1666" t="n">
        <v>41</v>
      </c>
      <c r="B1666" t="n">
        <v>1993</v>
      </c>
      <c r="C1666" t="n">
        <v>0.0004</v>
      </c>
    </row>
    <row r="1667">
      <c r="A1667" t="n">
        <v>41</v>
      </c>
      <c r="B1667" t="n">
        <v>1994</v>
      </c>
      <c r="C1667" t="n">
        <v>0.0122</v>
      </c>
    </row>
    <row r="1668">
      <c r="A1668" t="n">
        <v>41</v>
      </c>
      <c r="B1668" t="n">
        <v>1995</v>
      </c>
      <c r="C1668" t="n">
        <v>0.0237</v>
      </c>
    </row>
    <row r="1669">
      <c r="A1669" t="n">
        <v>41</v>
      </c>
      <c r="B1669" t="n">
        <v>1996</v>
      </c>
      <c r="C1669" t="n">
        <v>0.0323</v>
      </c>
    </row>
    <row r="1670">
      <c r="A1670" t="n">
        <v>41</v>
      </c>
      <c r="B1670" t="n">
        <v>1997</v>
      </c>
      <c r="C1670" t="n">
        <v>0.0357</v>
      </c>
    </row>
    <row r="1671">
      <c r="A1671" t="n">
        <v>41</v>
      </c>
      <c r="B1671" t="n">
        <v>1998</v>
      </c>
      <c r="C1671" t="n">
        <v>0.0338</v>
      </c>
    </row>
    <row r="1672">
      <c r="A1672" t="n">
        <v>41</v>
      </c>
      <c r="B1672" t="n">
        <v>1999</v>
      </c>
      <c r="C1672" t="n">
        <v>0.0282</v>
      </c>
    </row>
    <row r="1673">
      <c r="A1673" t="n">
        <v>41</v>
      </c>
      <c r="B1673" t="n">
        <v>2000</v>
      </c>
      <c r="C1673" t="n">
        <v>0.0214</v>
      </c>
    </row>
    <row r="1674">
      <c r="A1674" t="n">
        <v>41</v>
      </c>
      <c r="B1674" t="n">
        <v>2001</v>
      </c>
      <c r="C1674" t="n">
        <v>0.0157</v>
      </c>
    </row>
    <row r="1675">
      <c r="A1675" t="n">
        <v>41</v>
      </c>
      <c r="B1675" t="n">
        <v>2002</v>
      </c>
      <c r="C1675" t="n">
        <v>0.0126</v>
      </c>
    </row>
    <row r="1676">
      <c r="A1676" t="n">
        <v>41</v>
      </c>
      <c r="B1676" t="n">
        <v>2003</v>
      </c>
      <c r="C1676" t="n">
        <v>0.0124</v>
      </c>
    </row>
    <row r="1677">
      <c r="A1677" t="n">
        <v>41</v>
      </c>
      <c r="B1677" t="n">
        <v>2004</v>
      </c>
      <c r="C1677" t="n">
        <v>0.0146</v>
      </c>
    </row>
    <row r="1678">
      <c r="A1678" t="n">
        <v>41</v>
      </c>
      <c r="B1678" t="n">
        <v>2005</v>
      </c>
      <c r="C1678" t="n">
        <v>0.018</v>
      </c>
    </row>
    <row r="1679">
      <c r="A1679" t="n">
        <v>41</v>
      </c>
      <c r="B1679" t="n">
        <v>2006</v>
      </c>
      <c r="C1679" t="n">
        <v>0.0218</v>
      </c>
    </row>
    <row r="1680">
      <c r="A1680" t="n">
        <v>41</v>
      </c>
      <c r="B1680" t="n">
        <v>2007</v>
      </c>
      <c r="C1680" t="n">
        <v>0.025</v>
      </c>
    </row>
    <row r="1681">
      <c r="A1681" t="n">
        <v>41</v>
      </c>
      <c r="B1681" t="n">
        <v>2008</v>
      </c>
      <c r="C1681" t="n">
        <v>0.0265</v>
      </c>
    </row>
    <row r="1682">
      <c r="A1682" t="n">
        <v>41</v>
      </c>
      <c r="B1682" t="n">
        <v>2009</v>
      </c>
      <c r="C1682" t="n">
        <v>0.026</v>
      </c>
    </row>
    <row r="1683">
      <c r="A1683" t="n">
        <v>41</v>
      </c>
      <c r="B1683" t="n">
        <v>2010</v>
      </c>
      <c r="C1683" t="n">
        <v>0.0232</v>
      </c>
    </row>
    <row r="1684">
      <c r="A1684" t="n">
        <v>41</v>
      </c>
      <c r="B1684" t="n">
        <v>2011</v>
      </c>
      <c r="C1684" t="n">
        <v>0.0183</v>
      </c>
    </row>
    <row r="1685">
      <c r="A1685" t="n">
        <v>41</v>
      </c>
      <c r="B1685" t="n">
        <v>2012</v>
      </c>
      <c r="C1685" t="n">
        <v>0.0121</v>
      </c>
    </row>
    <row r="1686">
      <c r="A1686" t="n">
        <v>41</v>
      </c>
      <c r="B1686" t="n">
        <v>2013</v>
      </c>
      <c r="C1686" t="n">
        <v>0.0105</v>
      </c>
    </row>
    <row r="1687">
      <c r="A1687" t="n">
        <v>41</v>
      </c>
      <c r="B1687" t="n">
        <v>2014</v>
      </c>
      <c r="C1687" t="n">
        <v>0.008800000000000001</v>
      </c>
    </row>
    <row r="1688">
      <c r="A1688" t="n">
        <v>41</v>
      </c>
      <c r="B1688" t="n">
        <v>2015</v>
      </c>
      <c r="C1688" t="n">
        <v>0.0072</v>
      </c>
    </row>
    <row r="1689">
      <c r="A1689" t="n">
        <v>41</v>
      </c>
      <c r="B1689" t="n">
        <v>2016</v>
      </c>
      <c r="C1689" t="n">
        <v>0.0058</v>
      </c>
    </row>
    <row r="1690">
      <c r="A1690" t="n">
        <v>41</v>
      </c>
      <c r="B1690" t="n">
        <v>2017</v>
      </c>
      <c r="C1690" t="n">
        <v>0.0048</v>
      </c>
    </row>
    <row r="1691">
      <c r="A1691" t="n">
        <v>41</v>
      </c>
      <c r="B1691" t="n">
        <v>2018</v>
      </c>
      <c r="C1691" t="n">
        <v>0.0042</v>
      </c>
    </row>
    <row r="1692">
      <c r="A1692" t="n">
        <v>41</v>
      </c>
      <c r="B1692" t="n">
        <v>2019</v>
      </c>
      <c r="C1692" t="n">
        <v>0.0041</v>
      </c>
    </row>
    <row r="1693">
      <c r="A1693" t="n">
        <v>41</v>
      </c>
      <c r="B1693" t="n">
        <v>2020</v>
      </c>
      <c r="C1693" t="n">
        <v>0.0044</v>
      </c>
    </row>
    <row r="1694">
      <c r="A1694" t="n">
        <v>41</v>
      </c>
      <c r="B1694" t="n">
        <v>2021</v>
      </c>
      <c r="C1694" t="n">
        <v>0.005</v>
      </c>
    </row>
    <row r="1695">
      <c r="A1695" t="n">
        <v>41</v>
      </c>
      <c r="B1695" t="n">
        <v>2022</v>
      </c>
      <c r="C1695" t="n">
        <v>0.0059</v>
      </c>
    </row>
    <row r="1696">
      <c r="A1696" t="n">
        <v>41</v>
      </c>
      <c r="B1696" t="n">
        <v>2023</v>
      </c>
      <c r="C1696" t="n">
        <v>0.0069</v>
      </c>
    </row>
    <row r="1697">
      <c r="A1697" t="n">
        <v>41</v>
      </c>
      <c r="B1697" t="n">
        <v>2024</v>
      </c>
      <c r="C1697" t="n">
        <v>0.007900000000000001</v>
      </c>
    </row>
    <row r="1698">
      <c r="A1698" t="n">
        <v>41</v>
      </c>
      <c r="B1698" t="n">
        <v>2025</v>
      </c>
      <c r="C1698" t="n">
        <v>0.008699999999999999</v>
      </c>
    </row>
    <row r="1699">
      <c r="A1699" t="n">
        <v>41</v>
      </c>
      <c r="B1699" t="n">
        <v>2026</v>
      </c>
      <c r="C1699" t="n">
        <v>0.0094</v>
      </c>
    </row>
    <row r="1700">
      <c r="A1700" t="n">
        <v>41</v>
      </c>
      <c r="B1700" t="n">
        <v>2027</v>
      </c>
      <c r="C1700" t="n">
        <v>0.009900000000000001</v>
      </c>
    </row>
    <row r="1701">
      <c r="A1701" t="n">
        <v>41</v>
      </c>
      <c r="B1701" t="n">
        <v>2028</v>
      </c>
      <c r="C1701" t="n">
        <v>0.0101</v>
      </c>
    </row>
    <row r="1702">
      <c r="A1702" t="n">
        <v>41</v>
      </c>
      <c r="B1702" t="n">
        <v>2029</v>
      </c>
      <c r="C1702" t="n">
        <v>0.0102</v>
      </c>
    </row>
    <row r="1703">
      <c r="A1703" t="n">
        <v>41</v>
      </c>
      <c r="B1703" t="n">
        <v>2030</v>
      </c>
      <c r="C1703" t="n">
        <v>0.0102</v>
      </c>
    </row>
    <row r="1704">
      <c r="A1704" t="n">
        <v>41</v>
      </c>
      <c r="B1704" t="n">
        <v>2031</v>
      </c>
      <c r="C1704" t="n">
        <v>0.0101</v>
      </c>
    </row>
    <row r="1705">
      <c r="A1705" t="n">
        <v>42</v>
      </c>
      <c r="B1705" t="n">
        <v>1951</v>
      </c>
      <c r="C1705" t="n">
        <v>0.0302</v>
      </c>
    </row>
    <row r="1706">
      <c r="A1706" t="n">
        <v>42</v>
      </c>
      <c r="B1706" t="n">
        <v>1952</v>
      </c>
      <c r="C1706" t="n">
        <v>0.0277</v>
      </c>
    </row>
    <row r="1707">
      <c r="A1707" t="n">
        <v>42</v>
      </c>
      <c r="B1707" t="n">
        <v>1953</v>
      </c>
      <c r="C1707" t="n">
        <v>0.025</v>
      </c>
    </row>
    <row r="1708">
      <c r="A1708" t="n">
        <v>42</v>
      </c>
      <c r="B1708" t="n">
        <v>1954</v>
      </c>
      <c r="C1708" t="n">
        <v>0.0219</v>
      </c>
    </row>
    <row r="1709">
      <c r="A1709" t="n">
        <v>42</v>
      </c>
      <c r="B1709" t="n">
        <v>1955</v>
      </c>
      <c r="C1709" t="n">
        <v>0.0183</v>
      </c>
    </row>
    <row r="1710">
      <c r="A1710" t="n">
        <v>42</v>
      </c>
      <c r="B1710" t="n">
        <v>1956</v>
      </c>
      <c r="C1710" t="n">
        <v>0.0144</v>
      </c>
    </row>
    <row r="1711">
      <c r="A1711" t="n">
        <v>42</v>
      </c>
      <c r="B1711" t="n">
        <v>1957</v>
      </c>
      <c r="C1711" t="n">
        <v>0.0107</v>
      </c>
    </row>
    <row r="1712">
      <c r="A1712" t="n">
        <v>42</v>
      </c>
      <c r="B1712" t="n">
        <v>1958</v>
      </c>
      <c r="C1712" t="n">
        <v>0.0072</v>
      </c>
    </row>
    <row r="1713">
      <c r="A1713" t="n">
        <v>42</v>
      </c>
      <c r="B1713" t="n">
        <v>1959</v>
      </c>
      <c r="C1713" t="n">
        <v>0.004</v>
      </c>
    </row>
    <row r="1714">
      <c r="A1714" t="n">
        <v>42</v>
      </c>
      <c r="B1714" t="n">
        <v>1960</v>
      </c>
      <c r="C1714" t="n">
        <v>0.0009</v>
      </c>
    </row>
    <row r="1715">
      <c r="A1715" t="n">
        <v>42</v>
      </c>
      <c r="B1715" t="n">
        <v>1961</v>
      </c>
      <c r="C1715" t="n">
        <v>-0.0021</v>
      </c>
    </row>
    <row r="1716">
      <c r="A1716" t="n">
        <v>42</v>
      </c>
      <c r="B1716" t="n">
        <v>1962</v>
      </c>
      <c r="C1716" t="n">
        <v>-0.0049</v>
      </c>
    </row>
    <row r="1717">
      <c r="A1717" t="n">
        <v>42</v>
      </c>
      <c r="B1717" t="n">
        <v>1963</v>
      </c>
      <c r="C1717" t="n">
        <v>-0.0073</v>
      </c>
    </row>
    <row r="1718">
      <c r="A1718" t="n">
        <v>42</v>
      </c>
      <c r="B1718" t="n">
        <v>1964</v>
      </c>
      <c r="C1718" t="n">
        <v>-0.0091</v>
      </c>
    </row>
    <row r="1719">
      <c r="A1719" t="n">
        <v>42</v>
      </c>
      <c r="B1719" t="n">
        <v>1965</v>
      </c>
      <c r="C1719" t="n">
        <v>-0.01</v>
      </c>
    </row>
    <row r="1720">
      <c r="A1720" t="n">
        <v>42</v>
      </c>
      <c r="B1720" t="n">
        <v>1966</v>
      </c>
      <c r="C1720" t="n">
        <v>-0.009599999999999999</v>
      </c>
    </row>
    <row r="1721">
      <c r="A1721" t="n">
        <v>42</v>
      </c>
      <c r="B1721" t="n">
        <v>1967</v>
      </c>
      <c r="C1721" t="n">
        <v>-0.0078</v>
      </c>
    </row>
    <row r="1722">
      <c r="A1722" t="n">
        <v>42</v>
      </c>
      <c r="B1722" t="n">
        <v>1968</v>
      </c>
      <c r="C1722" t="n">
        <v>-0.0044</v>
      </c>
    </row>
    <row r="1723">
      <c r="A1723" t="n">
        <v>42</v>
      </c>
      <c r="B1723" t="n">
        <v>1969</v>
      </c>
      <c r="C1723" t="n">
        <v>0.0005999999999999999</v>
      </c>
    </row>
    <row r="1724">
      <c r="A1724" t="n">
        <v>42</v>
      </c>
      <c r="B1724" t="n">
        <v>1970</v>
      </c>
      <c r="C1724" t="n">
        <v>0.0068</v>
      </c>
    </row>
    <row r="1725">
      <c r="A1725" t="n">
        <v>42</v>
      </c>
      <c r="B1725" t="n">
        <v>1971</v>
      </c>
      <c r="C1725" t="n">
        <v>0.0134</v>
      </c>
    </row>
    <row r="1726">
      <c r="A1726" t="n">
        <v>42</v>
      </c>
      <c r="B1726" t="n">
        <v>1972</v>
      </c>
      <c r="C1726" t="n">
        <v>0.0197</v>
      </c>
    </row>
    <row r="1727">
      <c r="A1727" t="n">
        <v>42</v>
      </c>
      <c r="B1727" t="n">
        <v>1973</v>
      </c>
      <c r="C1727" t="n">
        <v>0.0253</v>
      </c>
    </row>
    <row r="1728">
      <c r="A1728" t="n">
        <v>42</v>
      </c>
      <c r="B1728" t="n">
        <v>1974</v>
      </c>
      <c r="C1728" t="n">
        <v>0.0298</v>
      </c>
    </row>
    <row r="1729">
      <c r="A1729" t="n">
        <v>42</v>
      </c>
      <c r="B1729" t="n">
        <v>1975</v>
      </c>
      <c r="C1729" t="n">
        <v>0.0329</v>
      </c>
    </row>
    <row r="1730">
      <c r="A1730" t="n">
        <v>42</v>
      </c>
      <c r="B1730" t="n">
        <v>1976</v>
      </c>
      <c r="C1730" t="n">
        <v>0.0347</v>
      </c>
    </row>
    <row r="1731">
      <c r="A1731" t="n">
        <v>42</v>
      </c>
      <c r="B1731" t="n">
        <v>1977</v>
      </c>
      <c r="C1731" t="n">
        <v>0.0353</v>
      </c>
    </row>
    <row r="1732">
      <c r="A1732" t="n">
        <v>42</v>
      </c>
      <c r="B1732" t="n">
        <v>1978</v>
      </c>
      <c r="C1732" t="n">
        <v>0.0348</v>
      </c>
    </row>
    <row r="1733">
      <c r="A1733" t="n">
        <v>42</v>
      </c>
      <c r="B1733" t="n">
        <v>1979</v>
      </c>
      <c r="C1733" t="n">
        <v>0.0331</v>
      </c>
    </row>
    <row r="1734">
      <c r="A1734" t="n">
        <v>42</v>
      </c>
      <c r="B1734" t="n">
        <v>1980</v>
      </c>
      <c r="C1734" t="n">
        <v>0.0304</v>
      </c>
    </row>
    <row r="1735">
      <c r="A1735" t="n">
        <v>42</v>
      </c>
      <c r="B1735" t="n">
        <v>1981</v>
      </c>
      <c r="C1735" t="n">
        <v>0.0264</v>
      </c>
    </row>
    <row r="1736">
      <c r="A1736" t="n">
        <v>42</v>
      </c>
      <c r="B1736" t="n">
        <v>1982</v>
      </c>
      <c r="C1736" t="n">
        <v>0.0211</v>
      </c>
    </row>
    <row r="1737">
      <c r="A1737" t="n">
        <v>42</v>
      </c>
      <c r="B1737" t="n">
        <v>1983</v>
      </c>
      <c r="C1737" t="n">
        <v>0.0146</v>
      </c>
    </row>
    <row r="1738">
      <c r="A1738" t="n">
        <v>42</v>
      </c>
      <c r="B1738" t="n">
        <v>1984</v>
      </c>
      <c r="C1738" t="n">
        <v>0.0073</v>
      </c>
    </row>
    <row r="1739">
      <c r="A1739" t="n">
        <v>42</v>
      </c>
      <c r="B1739" t="n">
        <v>1985</v>
      </c>
      <c r="C1739" t="n">
        <v>0.0001</v>
      </c>
    </row>
    <row r="1740">
      <c r="A1740" t="n">
        <v>42</v>
      </c>
      <c r="B1740" t="n">
        <v>1986</v>
      </c>
      <c r="C1740" t="n">
        <v>-0.0064</v>
      </c>
    </row>
    <row r="1741">
      <c r="A1741" t="n">
        <v>42</v>
      </c>
      <c r="B1741" t="n">
        <v>1987</v>
      </c>
      <c r="C1741" t="n">
        <v>-0.0118</v>
      </c>
    </row>
    <row r="1742">
      <c r="A1742" t="n">
        <v>42</v>
      </c>
      <c r="B1742" t="n">
        <v>1988</v>
      </c>
      <c r="C1742" t="n">
        <v>-0.0157</v>
      </c>
    </row>
    <row r="1743">
      <c r="A1743" t="n">
        <v>42</v>
      </c>
      <c r="B1743" t="n">
        <v>1989</v>
      </c>
      <c r="C1743" t="n">
        <v>-0.0177</v>
      </c>
    </row>
    <row r="1744">
      <c r="A1744" t="n">
        <v>42</v>
      </c>
      <c r="B1744" t="n">
        <v>1990</v>
      </c>
      <c r="C1744" t="n">
        <v>-0.0175</v>
      </c>
    </row>
    <row r="1745">
      <c r="A1745" t="n">
        <v>42</v>
      </c>
      <c r="B1745" t="n">
        <v>1991</v>
      </c>
      <c r="C1745" t="n">
        <v>-0.0148</v>
      </c>
    </row>
    <row r="1746">
      <c r="A1746" t="n">
        <v>42</v>
      </c>
      <c r="B1746" t="n">
        <v>1992</v>
      </c>
      <c r="C1746" t="n">
        <v>-0.0092</v>
      </c>
    </row>
    <row r="1747">
      <c r="A1747" t="n">
        <v>42</v>
      </c>
      <c r="B1747" t="n">
        <v>1993</v>
      </c>
      <c r="C1747" t="n">
        <v>-0.0007</v>
      </c>
    </row>
    <row r="1748">
      <c r="A1748" t="n">
        <v>42</v>
      </c>
      <c r="B1748" t="n">
        <v>1994</v>
      </c>
      <c r="C1748" t="n">
        <v>0.009599999999999999</v>
      </c>
    </row>
    <row r="1749">
      <c r="A1749" t="n">
        <v>42</v>
      </c>
      <c r="B1749" t="n">
        <v>1995</v>
      </c>
      <c r="C1749" t="n">
        <v>0.0198</v>
      </c>
    </row>
    <row r="1750">
      <c r="A1750" t="n">
        <v>42</v>
      </c>
      <c r="B1750" t="n">
        <v>1996</v>
      </c>
      <c r="C1750" t="n">
        <v>0.0274</v>
      </c>
    </row>
    <row r="1751">
      <c r="A1751" t="n">
        <v>42</v>
      </c>
      <c r="B1751" t="n">
        <v>1997</v>
      </c>
      <c r="C1751" t="n">
        <v>0.0304</v>
      </c>
    </row>
    <row r="1752">
      <c r="A1752" t="n">
        <v>42</v>
      </c>
      <c r="B1752" t="n">
        <v>1998</v>
      </c>
      <c r="C1752" t="n">
        <v>0.0287</v>
      </c>
    </row>
    <row r="1753">
      <c r="A1753" t="n">
        <v>42</v>
      </c>
      <c r="B1753" t="n">
        <v>1999</v>
      </c>
      <c r="C1753" t="n">
        <v>0.0238</v>
      </c>
    </row>
    <row r="1754">
      <c r="A1754" t="n">
        <v>42</v>
      </c>
      <c r="B1754" t="n">
        <v>2000</v>
      </c>
      <c r="C1754" t="n">
        <v>0.0179</v>
      </c>
    </row>
    <row r="1755">
      <c r="A1755" t="n">
        <v>42</v>
      </c>
      <c r="B1755" t="n">
        <v>2001</v>
      </c>
      <c r="C1755" t="n">
        <v>0.0132</v>
      </c>
    </row>
    <row r="1756">
      <c r="A1756" t="n">
        <v>42</v>
      </c>
      <c r="B1756" t="n">
        <v>2002</v>
      </c>
      <c r="C1756" t="n">
        <v>0.0108</v>
      </c>
    </row>
    <row r="1757">
      <c r="A1757" t="n">
        <v>42</v>
      </c>
      <c r="B1757" t="n">
        <v>2003</v>
      </c>
      <c r="C1757" t="n">
        <v>0.0113</v>
      </c>
    </row>
    <row r="1758">
      <c r="A1758" t="n">
        <v>42</v>
      </c>
      <c r="B1758" t="n">
        <v>2004</v>
      </c>
      <c r="C1758" t="n">
        <v>0.0139</v>
      </c>
    </row>
    <row r="1759">
      <c r="A1759" t="n">
        <v>42</v>
      </c>
      <c r="B1759" t="n">
        <v>2005</v>
      </c>
      <c r="C1759" t="n">
        <v>0.0178</v>
      </c>
    </row>
    <row r="1760">
      <c r="A1760" t="n">
        <v>42</v>
      </c>
      <c r="B1760" t="n">
        <v>2006</v>
      </c>
      <c r="C1760" t="n">
        <v>0.022</v>
      </c>
    </row>
    <row r="1761">
      <c r="A1761" t="n">
        <v>42</v>
      </c>
      <c r="B1761" t="n">
        <v>2007</v>
      </c>
      <c r="C1761" t="n">
        <v>0.0255</v>
      </c>
    </row>
    <row r="1762">
      <c r="A1762" t="n">
        <v>42</v>
      </c>
      <c r="B1762" t="n">
        <v>2008</v>
      </c>
      <c r="C1762" t="n">
        <v>0.0274</v>
      </c>
    </row>
    <row r="1763">
      <c r="A1763" t="n">
        <v>42</v>
      </c>
      <c r="B1763" t="n">
        <v>2009</v>
      </c>
      <c r="C1763" t="n">
        <v>0.0272</v>
      </c>
    </row>
    <row r="1764">
      <c r="A1764" t="n">
        <v>42</v>
      </c>
      <c r="B1764" t="n">
        <v>2010</v>
      </c>
      <c r="C1764" t="n">
        <v>0.0249</v>
      </c>
    </row>
    <row r="1765">
      <c r="A1765" t="n">
        <v>42</v>
      </c>
      <c r="B1765" t="n">
        <v>2011</v>
      </c>
      <c r="C1765" t="n">
        <v>0.0205</v>
      </c>
    </row>
    <row r="1766">
      <c r="A1766" t="n">
        <v>42</v>
      </c>
      <c r="B1766" t="n">
        <v>2012</v>
      </c>
      <c r="C1766" t="n">
        <v>0.0149</v>
      </c>
    </row>
    <row r="1767">
      <c r="A1767" t="n">
        <v>42</v>
      </c>
      <c r="B1767" t="n">
        <v>2013</v>
      </c>
      <c r="C1767" t="n">
        <v>0.0134</v>
      </c>
    </row>
    <row r="1768">
      <c r="A1768" t="n">
        <v>42</v>
      </c>
      <c r="B1768" t="n">
        <v>2014</v>
      </c>
      <c r="C1768" t="n">
        <v>0.0117</v>
      </c>
    </row>
    <row r="1769">
      <c r="A1769" t="n">
        <v>42</v>
      </c>
      <c r="B1769" t="n">
        <v>2015</v>
      </c>
      <c r="C1769" t="n">
        <v>0.009900000000000001</v>
      </c>
    </row>
    <row r="1770">
      <c r="A1770" t="n">
        <v>42</v>
      </c>
      <c r="B1770" t="n">
        <v>2016</v>
      </c>
      <c r="C1770" t="n">
        <v>0.0081</v>
      </c>
    </row>
    <row r="1771">
      <c r="A1771" t="n">
        <v>42</v>
      </c>
      <c r="B1771" t="n">
        <v>2017</v>
      </c>
      <c r="C1771" t="n">
        <v>0.0066</v>
      </c>
    </row>
    <row r="1772">
      <c r="A1772" t="n">
        <v>42</v>
      </c>
      <c r="B1772" t="n">
        <v>2018</v>
      </c>
      <c r="C1772" t="n">
        <v>0.0055</v>
      </c>
    </row>
    <row r="1773">
      <c r="A1773" t="n">
        <v>42</v>
      </c>
      <c r="B1773" t="n">
        <v>2019</v>
      </c>
      <c r="C1773" t="n">
        <v>0.0049</v>
      </c>
    </row>
    <row r="1774">
      <c r="A1774" t="n">
        <v>42</v>
      </c>
      <c r="B1774" t="n">
        <v>2020</v>
      </c>
      <c r="C1774" t="n">
        <v>0.0047</v>
      </c>
    </row>
    <row r="1775">
      <c r="A1775" t="n">
        <v>42</v>
      </c>
      <c r="B1775" t="n">
        <v>2021</v>
      </c>
      <c r="C1775" t="n">
        <v>0.005</v>
      </c>
    </row>
    <row r="1776">
      <c r="A1776" t="n">
        <v>42</v>
      </c>
      <c r="B1776" t="n">
        <v>2022</v>
      </c>
      <c r="C1776" t="n">
        <v>0.0056</v>
      </c>
    </row>
    <row r="1777">
      <c r="A1777" t="n">
        <v>42</v>
      </c>
      <c r="B1777" t="n">
        <v>2023</v>
      </c>
      <c r="C1777" t="n">
        <v>0.0065</v>
      </c>
    </row>
    <row r="1778">
      <c r="A1778" t="n">
        <v>42</v>
      </c>
      <c r="B1778" t="n">
        <v>2024</v>
      </c>
      <c r="C1778" t="n">
        <v>0.0074</v>
      </c>
    </row>
    <row r="1779">
      <c r="A1779" t="n">
        <v>42</v>
      </c>
      <c r="B1779" t="n">
        <v>2025</v>
      </c>
      <c r="C1779" t="n">
        <v>0.0083</v>
      </c>
    </row>
    <row r="1780">
      <c r="A1780" t="n">
        <v>42</v>
      </c>
      <c r="B1780" t="n">
        <v>2026</v>
      </c>
      <c r="C1780" t="n">
        <v>0.008999999999999999</v>
      </c>
    </row>
    <row r="1781">
      <c r="A1781" t="n">
        <v>42</v>
      </c>
      <c r="B1781" t="n">
        <v>2027</v>
      </c>
      <c r="C1781" t="n">
        <v>0.009599999999999999</v>
      </c>
    </row>
    <row r="1782">
      <c r="A1782" t="n">
        <v>42</v>
      </c>
      <c r="B1782" t="n">
        <v>2028</v>
      </c>
      <c r="C1782" t="n">
        <v>0.009900000000000001</v>
      </c>
    </row>
    <row r="1783">
      <c r="A1783" t="n">
        <v>42</v>
      </c>
      <c r="B1783" t="n">
        <v>2029</v>
      </c>
      <c r="C1783" t="n">
        <v>0.0101</v>
      </c>
    </row>
    <row r="1784">
      <c r="A1784" t="n">
        <v>42</v>
      </c>
      <c r="B1784" t="n">
        <v>2030</v>
      </c>
      <c r="C1784" t="n">
        <v>0.0101</v>
      </c>
    </row>
    <row r="1785">
      <c r="A1785" t="n">
        <v>42</v>
      </c>
      <c r="B1785" t="n">
        <v>2031</v>
      </c>
      <c r="C1785" t="n">
        <v>0.01</v>
      </c>
    </row>
    <row r="1786">
      <c r="A1786" t="n">
        <v>43</v>
      </c>
      <c r="B1786" t="n">
        <v>1951</v>
      </c>
      <c r="C1786" t="n">
        <v>0.0285</v>
      </c>
    </row>
    <row r="1787">
      <c r="A1787" t="n">
        <v>43</v>
      </c>
      <c r="B1787" t="n">
        <v>1952</v>
      </c>
      <c r="C1787" t="n">
        <v>0.0262</v>
      </c>
    </row>
    <row r="1788">
      <c r="A1788" t="n">
        <v>43</v>
      </c>
      <c r="B1788" t="n">
        <v>1953</v>
      </c>
      <c r="C1788" t="n">
        <v>0.0238</v>
      </c>
    </row>
    <row r="1789">
      <c r="A1789" t="n">
        <v>43</v>
      </c>
      <c r="B1789" t="n">
        <v>1954</v>
      </c>
      <c r="C1789" t="n">
        <v>0.021</v>
      </c>
    </row>
    <row r="1790">
      <c r="A1790" t="n">
        <v>43</v>
      </c>
      <c r="B1790" t="n">
        <v>1955</v>
      </c>
      <c r="C1790" t="n">
        <v>0.0176</v>
      </c>
    </row>
    <row r="1791">
      <c r="A1791" t="n">
        <v>43</v>
      </c>
      <c r="B1791" t="n">
        <v>1956</v>
      </c>
      <c r="C1791" t="n">
        <v>0.0141</v>
      </c>
    </row>
    <row r="1792">
      <c r="A1792" t="n">
        <v>43</v>
      </c>
      <c r="B1792" t="n">
        <v>1957</v>
      </c>
      <c r="C1792" t="n">
        <v>0.0106</v>
      </c>
    </row>
    <row r="1793">
      <c r="A1793" t="n">
        <v>43</v>
      </c>
      <c r="B1793" t="n">
        <v>1958</v>
      </c>
      <c r="C1793" t="n">
        <v>0.0073</v>
      </c>
    </row>
    <row r="1794">
      <c r="A1794" t="n">
        <v>43</v>
      </c>
      <c r="B1794" t="n">
        <v>1959</v>
      </c>
      <c r="C1794" t="n">
        <v>0.0043</v>
      </c>
    </row>
    <row r="1795">
      <c r="A1795" t="n">
        <v>43</v>
      </c>
      <c r="B1795" t="n">
        <v>1960</v>
      </c>
      <c r="C1795" t="n">
        <v>0.0014</v>
      </c>
    </row>
    <row r="1796">
      <c r="A1796" t="n">
        <v>43</v>
      </c>
      <c r="B1796" t="n">
        <v>1961</v>
      </c>
      <c r="C1796" t="n">
        <v>-0.0014</v>
      </c>
    </row>
    <row r="1797">
      <c r="A1797" t="n">
        <v>43</v>
      </c>
      <c r="B1797" t="n">
        <v>1962</v>
      </c>
      <c r="C1797" t="n">
        <v>-0.004</v>
      </c>
    </row>
    <row r="1798">
      <c r="A1798" t="n">
        <v>43</v>
      </c>
      <c r="B1798" t="n">
        <v>1963</v>
      </c>
      <c r="C1798" t="n">
        <v>-0.0063</v>
      </c>
    </row>
    <row r="1799">
      <c r="A1799" t="n">
        <v>43</v>
      </c>
      <c r="B1799" t="n">
        <v>1964</v>
      </c>
      <c r="C1799" t="n">
        <v>-0.007900000000000001</v>
      </c>
    </row>
    <row r="1800">
      <c r="A1800" t="n">
        <v>43</v>
      </c>
      <c r="B1800" t="n">
        <v>1965</v>
      </c>
      <c r="C1800" t="n">
        <v>-0.008699999999999999</v>
      </c>
    </row>
    <row r="1801">
      <c r="A1801" t="n">
        <v>43</v>
      </c>
      <c r="B1801" t="n">
        <v>1966</v>
      </c>
      <c r="C1801" t="n">
        <v>-0.008399999999999999</v>
      </c>
    </row>
    <row r="1802">
      <c r="A1802" t="n">
        <v>43</v>
      </c>
      <c r="B1802" t="n">
        <v>1967</v>
      </c>
      <c r="C1802" t="n">
        <v>-0.0067</v>
      </c>
    </row>
    <row r="1803">
      <c r="A1803" t="n">
        <v>43</v>
      </c>
      <c r="B1803" t="n">
        <v>1968</v>
      </c>
      <c r="C1803" t="n">
        <v>-0.0035</v>
      </c>
    </row>
    <row r="1804">
      <c r="A1804" t="n">
        <v>43</v>
      </c>
      <c r="B1804" t="n">
        <v>1969</v>
      </c>
      <c r="C1804" t="n">
        <v>0.0012</v>
      </c>
    </row>
    <row r="1805">
      <c r="A1805" t="n">
        <v>43</v>
      </c>
      <c r="B1805" t="n">
        <v>1970</v>
      </c>
      <c r="C1805" t="n">
        <v>0.007</v>
      </c>
    </row>
    <row r="1806">
      <c r="A1806" t="n">
        <v>43</v>
      </c>
      <c r="B1806" t="n">
        <v>1971</v>
      </c>
      <c r="C1806" t="n">
        <v>0.0132</v>
      </c>
    </row>
    <row r="1807">
      <c r="A1807" t="n">
        <v>43</v>
      </c>
      <c r="B1807" t="n">
        <v>1972</v>
      </c>
      <c r="C1807" t="n">
        <v>0.0193</v>
      </c>
    </row>
    <row r="1808">
      <c r="A1808" t="n">
        <v>43</v>
      </c>
      <c r="B1808" t="n">
        <v>1973</v>
      </c>
      <c r="C1808" t="n">
        <v>0.0247</v>
      </c>
    </row>
    <row r="1809">
      <c r="A1809" t="n">
        <v>43</v>
      </c>
      <c r="B1809" t="n">
        <v>1974</v>
      </c>
      <c r="C1809" t="n">
        <v>0.0292</v>
      </c>
    </row>
    <row r="1810">
      <c r="A1810" t="n">
        <v>43</v>
      </c>
      <c r="B1810" t="n">
        <v>1975</v>
      </c>
      <c r="C1810" t="n">
        <v>0.0324</v>
      </c>
    </row>
    <row r="1811">
      <c r="A1811" t="n">
        <v>43</v>
      </c>
      <c r="B1811" t="n">
        <v>1976</v>
      </c>
      <c r="C1811" t="n">
        <v>0.0343</v>
      </c>
    </row>
    <row r="1812">
      <c r="A1812" t="n">
        <v>43</v>
      </c>
      <c r="B1812" t="n">
        <v>1977</v>
      </c>
      <c r="C1812" t="n">
        <v>0.035</v>
      </c>
    </row>
    <row r="1813">
      <c r="A1813" t="n">
        <v>43</v>
      </c>
      <c r="B1813" t="n">
        <v>1978</v>
      </c>
      <c r="C1813" t="n">
        <v>0.0346</v>
      </c>
    </row>
    <row r="1814">
      <c r="A1814" t="n">
        <v>43</v>
      </c>
      <c r="B1814" t="n">
        <v>1979</v>
      </c>
      <c r="C1814" t="n">
        <v>0.0332</v>
      </c>
    </row>
    <row r="1815">
      <c r="A1815" t="n">
        <v>43</v>
      </c>
      <c r="B1815" t="n">
        <v>1980</v>
      </c>
      <c r="C1815" t="n">
        <v>0.0309</v>
      </c>
    </row>
    <row r="1816">
      <c r="A1816" t="n">
        <v>43</v>
      </c>
      <c r="B1816" t="n">
        <v>1981</v>
      </c>
      <c r="C1816" t="n">
        <v>0.0275</v>
      </c>
    </row>
    <row r="1817">
      <c r="A1817" t="n">
        <v>43</v>
      </c>
      <c r="B1817" t="n">
        <v>1982</v>
      </c>
      <c r="C1817" t="n">
        <v>0.023</v>
      </c>
    </row>
    <row r="1818">
      <c r="A1818" t="n">
        <v>43</v>
      </c>
      <c r="B1818" t="n">
        <v>1983</v>
      </c>
      <c r="C1818" t="n">
        <v>0.0175</v>
      </c>
    </row>
    <row r="1819">
      <c r="A1819" t="n">
        <v>43</v>
      </c>
      <c r="B1819" t="n">
        <v>1984</v>
      </c>
      <c r="C1819" t="n">
        <v>0.0112</v>
      </c>
    </row>
    <row r="1820">
      <c r="A1820" t="n">
        <v>43</v>
      </c>
      <c r="B1820" t="n">
        <v>1985</v>
      </c>
      <c r="C1820" t="n">
        <v>0.0048</v>
      </c>
    </row>
    <row r="1821">
      <c r="A1821" t="n">
        <v>43</v>
      </c>
      <c r="B1821" t="n">
        <v>1986</v>
      </c>
      <c r="C1821" t="n">
        <v>-0.0013</v>
      </c>
    </row>
    <row r="1822">
      <c r="A1822" t="n">
        <v>43</v>
      </c>
      <c r="B1822" t="n">
        <v>1987</v>
      </c>
      <c r="C1822" t="n">
        <v>-0.0066</v>
      </c>
    </row>
    <row r="1823">
      <c r="A1823" t="n">
        <v>43</v>
      </c>
      <c r="B1823" t="n">
        <v>1988</v>
      </c>
      <c r="C1823" t="n">
        <v>-0.0107</v>
      </c>
    </row>
    <row r="1824">
      <c r="A1824" t="n">
        <v>43</v>
      </c>
      <c r="B1824" t="n">
        <v>1989</v>
      </c>
      <c r="C1824" t="n">
        <v>-0.0132</v>
      </c>
    </row>
    <row r="1825">
      <c r="A1825" t="n">
        <v>43</v>
      </c>
      <c r="B1825" t="n">
        <v>1990</v>
      </c>
      <c r="C1825" t="n">
        <v>-0.0138</v>
      </c>
    </row>
    <row r="1826">
      <c r="A1826" t="n">
        <v>43</v>
      </c>
      <c r="B1826" t="n">
        <v>1991</v>
      </c>
      <c r="C1826" t="n">
        <v>-0.0121</v>
      </c>
    </row>
    <row r="1827">
      <c r="A1827" t="n">
        <v>43</v>
      </c>
      <c r="B1827" t="n">
        <v>1992</v>
      </c>
      <c r="C1827" t="n">
        <v>-0.0077</v>
      </c>
    </row>
    <row r="1828">
      <c r="A1828" t="n">
        <v>43</v>
      </c>
      <c r="B1828" t="n">
        <v>1993</v>
      </c>
      <c r="C1828" t="n">
        <v>-0.0007</v>
      </c>
    </row>
    <row r="1829">
      <c r="A1829" t="n">
        <v>43</v>
      </c>
      <c r="B1829" t="n">
        <v>1994</v>
      </c>
      <c r="C1829" t="n">
        <v>0.008</v>
      </c>
    </row>
    <row r="1830">
      <c r="A1830" t="n">
        <v>43</v>
      </c>
      <c r="B1830" t="n">
        <v>1995</v>
      </c>
      <c r="C1830" t="n">
        <v>0.0166</v>
      </c>
    </row>
    <row r="1831">
      <c r="A1831" t="n">
        <v>43</v>
      </c>
      <c r="B1831" t="n">
        <v>1996</v>
      </c>
      <c r="C1831" t="n">
        <v>0.023</v>
      </c>
    </row>
    <row r="1832">
      <c r="A1832" t="n">
        <v>43</v>
      </c>
      <c r="B1832" t="n">
        <v>1997</v>
      </c>
      <c r="C1832" t="n">
        <v>0.0255</v>
      </c>
    </row>
    <row r="1833">
      <c r="A1833" t="n">
        <v>43</v>
      </c>
      <c r="B1833" t="n">
        <v>1998</v>
      </c>
      <c r="C1833" t="n">
        <v>0.0238</v>
      </c>
    </row>
    <row r="1834">
      <c r="A1834" t="n">
        <v>43</v>
      </c>
      <c r="B1834" t="n">
        <v>1999</v>
      </c>
      <c r="C1834" t="n">
        <v>0.0195</v>
      </c>
    </row>
    <row r="1835">
      <c r="A1835" t="n">
        <v>43</v>
      </c>
      <c r="B1835" t="n">
        <v>2000</v>
      </c>
      <c r="C1835" t="n">
        <v>0.0144</v>
      </c>
    </row>
    <row r="1836">
      <c r="A1836" t="n">
        <v>43</v>
      </c>
      <c r="B1836" t="n">
        <v>2001</v>
      </c>
      <c r="C1836" t="n">
        <v>0.0105</v>
      </c>
    </row>
    <row r="1837">
      <c r="A1837" t="n">
        <v>43</v>
      </c>
      <c r="B1837" t="n">
        <v>2002</v>
      </c>
      <c r="C1837" t="n">
        <v>0.0089</v>
      </c>
    </row>
    <row r="1838">
      <c r="A1838" t="n">
        <v>43</v>
      </c>
      <c r="B1838" t="n">
        <v>2003</v>
      </c>
      <c r="C1838" t="n">
        <v>0.009900000000000001</v>
      </c>
    </row>
    <row r="1839">
      <c r="A1839" t="n">
        <v>43</v>
      </c>
      <c r="B1839" t="n">
        <v>2004</v>
      </c>
      <c r="C1839" t="n">
        <v>0.0129</v>
      </c>
    </row>
    <row r="1840">
      <c r="A1840" t="n">
        <v>43</v>
      </c>
      <c r="B1840" t="n">
        <v>2005</v>
      </c>
      <c r="C1840" t="n">
        <v>0.0171</v>
      </c>
    </row>
    <row r="1841">
      <c r="A1841" t="n">
        <v>43</v>
      </c>
      <c r="B1841" t="n">
        <v>2006</v>
      </c>
      <c r="C1841" t="n">
        <v>0.0215</v>
      </c>
    </row>
    <row r="1842">
      <c r="A1842" t="n">
        <v>43</v>
      </c>
      <c r="B1842" t="n">
        <v>2007</v>
      </c>
      <c r="C1842" t="n">
        <v>0.0252</v>
      </c>
    </row>
    <row r="1843">
      <c r="A1843" t="n">
        <v>43</v>
      </c>
      <c r="B1843" t="n">
        <v>2008</v>
      </c>
      <c r="C1843" t="n">
        <v>0.0274</v>
      </c>
    </row>
    <row r="1844">
      <c r="A1844" t="n">
        <v>43</v>
      </c>
      <c r="B1844" t="n">
        <v>2009</v>
      </c>
      <c r="C1844" t="n">
        <v>0.0276</v>
      </c>
    </row>
    <row r="1845">
      <c r="A1845" t="n">
        <v>43</v>
      </c>
      <c r="B1845" t="n">
        <v>2010</v>
      </c>
      <c r="C1845" t="n">
        <v>0.0257</v>
      </c>
    </row>
    <row r="1846">
      <c r="A1846" t="n">
        <v>43</v>
      </c>
      <c r="B1846" t="n">
        <v>2011</v>
      </c>
      <c r="C1846" t="n">
        <v>0.0221</v>
      </c>
    </row>
    <row r="1847">
      <c r="A1847" t="n">
        <v>43</v>
      </c>
      <c r="B1847" t="n">
        <v>2012</v>
      </c>
      <c r="C1847" t="n">
        <v>0.0171</v>
      </c>
    </row>
    <row r="1848">
      <c r="A1848" t="n">
        <v>43</v>
      </c>
      <c r="B1848" t="n">
        <v>2013</v>
      </c>
      <c r="C1848" t="n">
        <v>0.0159</v>
      </c>
    </row>
    <row r="1849">
      <c r="A1849" t="n">
        <v>43</v>
      </c>
      <c r="B1849" t="n">
        <v>2014</v>
      </c>
      <c r="C1849" t="n">
        <v>0.0142</v>
      </c>
    </row>
    <row r="1850">
      <c r="A1850" t="n">
        <v>43</v>
      </c>
      <c r="B1850" t="n">
        <v>2015</v>
      </c>
      <c r="C1850" t="n">
        <v>0.0123</v>
      </c>
    </row>
    <row r="1851">
      <c r="A1851" t="n">
        <v>43</v>
      </c>
      <c r="B1851" t="n">
        <v>2016</v>
      </c>
      <c r="C1851" t="n">
        <v>0.0103</v>
      </c>
    </row>
    <row r="1852">
      <c r="A1852" t="n">
        <v>43</v>
      </c>
      <c r="B1852" t="n">
        <v>2017</v>
      </c>
      <c r="C1852" t="n">
        <v>0.008500000000000001</v>
      </c>
    </row>
    <row r="1853">
      <c r="A1853" t="n">
        <v>43</v>
      </c>
      <c r="B1853" t="n">
        <v>2018</v>
      </c>
      <c r="C1853" t="n">
        <v>0.007</v>
      </c>
    </row>
    <row r="1854">
      <c r="A1854" t="n">
        <v>43</v>
      </c>
      <c r="B1854" t="n">
        <v>2019</v>
      </c>
      <c r="C1854" t="n">
        <v>0.0059</v>
      </c>
    </row>
    <row r="1855">
      <c r="A1855" t="n">
        <v>43</v>
      </c>
      <c r="B1855" t="n">
        <v>2020</v>
      </c>
      <c r="C1855" t="n">
        <v>0.0053</v>
      </c>
    </row>
    <row r="1856">
      <c r="A1856" t="n">
        <v>43</v>
      </c>
      <c r="B1856" t="n">
        <v>2021</v>
      </c>
      <c r="C1856" t="n">
        <v>0.0052</v>
      </c>
    </row>
    <row r="1857">
      <c r="A1857" t="n">
        <v>43</v>
      </c>
      <c r="B1857" t="n">
        <v>2022</v>
      </c>
      <c r="C1857" t="n">
        <v>0.0056</v>
      </c>
    </row>
    <row r="1858">
      <c r="A1858" t="n">
        <v>43</v>
      </c>
      <c r="B1858" t="n">
        <v>2023</v>
      </c>
      <c r="C1858" t="n">
        <v>0.0063</v>
      </c>
    </row>
    <row r="1859">
      <c r="A1859" t="n">
        <v>43</v>
      </c>
      <c r="B1859" t="n">
        <v>2024</v>
      </c>
      <c r="C1859" t="n">
        <v>0.0071</v>
      </c>
    </row>
    <row r="1860">
      <c r="A1860" t="n">
        <v>43</v>
      </c>
      <c r="B1860" t="n">
        <v>2025</v>
      </c>
      <c r="C1860" t="n">
        <v>0.008</v>
      </c>
    </row>
    <row r="1861">
      <c r="A1861" t="n">
        <v>43</v>
      </c>
      <c r="B1861" t="n">
        <v>2026</v>
      </c>
      <c r="C1861" t="n">
        <v>0.008699999999999999</v>
      </c>
    </row>
    <row r="1862">
      <c r="A1862" t="n">
        <v>43</v>
      </c>
      <c r="B1862" t="n">
        <v>2027</v>
      </c>
      <c r="C1862" t="n">
        <v>0.009299999999999999</v>
      </c>
    </row>
    <row r="1863">
      <c r="A1863" t="n">
        <v>43</v>
      </c>
      <c r="B1863" t="n">
        <v>2028</v>
      </c>
      <c r="C1863" t="n">
        <v>0.0097</v>
      </c>
    </row>
    <row r="1864">
      <c r="A1864" t="n">
        <v>43</v>
      </c>
      <c r="B1864" t="n">
        <v>2029</v>
      </c>
      <c r="C1864" t="n">
        <v>0.01</v>
      </c>
    </row>
    <row r="1865">
      <c r="A1865" t="n">
        <v>43</v>
      </c>
      <c r="B1865" t="n">
        <v>2030</v>
      </c>
      <c r="C1865" t="n">
        <v>0.01</v>
      </c>
    </row>
    <row r="1866">
      <c r="A1866" t="n">
        <v>43</v>
      </c>
      <c r="B1866" t="n">
        <v>2031</v>
      </c>
      <c r="C1866" t="n">
        <v>0.01</v>
      </c>
    </row>
    <row r="1867">
      <c r="A1867" t="n">
        <v>44</v>
      </c>
      <c r="B1867" t="n">
        <v>1951</v>
      </c>
      <c r="C1867" t="n">
        <v>0.0269</v>
      </c>
    </row>
    <row r="1868">
      <c r="A1868" t="n">
        <v>44</v>
      </c>
      <c r="B1868" t="n">
        <v>1952</v>
      </c>
      <c r="C1868" t="n">
        <v>0.0247</v>
      </c>
    </row>
    <row r="1869">
      <c r="A1869" t="n">
        <v>44</v>
      </c>
      <c r="B1869" t="n">
        <v>1953</v>
      </c>
      <c r="C1869" t="n">
        <v>0.0225</v>
      </c>
    </row>
    <row r="1870">
      <c r="A1870" t="n">
        <v>44</v>
      </c>
      <c r="B1870" t="n">
        <v>1954</v>
      </c>
      <c r="C1870" t="n">
        <v>0.0199</v>
      </c>
    </row>
    <row r="1871">
      <c r="A1871" t="n">
        <v>44</v>
      </c>
      <c r="B1871" t="n">
        <v>1955</v>
      </c>
      <c r="C1871" t="n">
        <v>0.0169</v>
      </c>
    </row>
    <row r="1872">
      <c r="A1872" t="n">
        <v>44</v>
      </c>
      <c r="B1872" t="n">
        <v>1956</v>
      </c>
      <c r="C1872" t="n">
        <v>0.0136</v>
      </c>
    </row>
    <row r="1873">
      <c r="A1873" t="n">
        <v>44</v>
      </c>
      <c r="B1873" t="n">
        <v>1957</v>
      </c>
      <c r="C1873" t="n">
        <v>0.0103</v>
      </c>
    </row>
    <row r="1874">
      <c r="A1874" t="n">
        <v>44</v>
      </c>
      <c r="B1874" t="n">
        <v>1958</v>
      </c>
      <c r="C1874" t="n">
        <v>0.0073</v>
      </c>
    </row>
    <row r="1875">
      <c r="A1875" t="n">
        <v>44</v>
      </c>
      <c r="B1875" t="n">
        <v>1959</v>
      </c>
      <c r="C1875" t="n">
        <v>0.0044</v>
      </c>
    </row>
    <row r="1876">
      <c r="A1876" t="n">
        <v>44</v>
      </c>
      <c r="B1876" t="n">
        <v>1960</v>
      </c>
      <c r="C1876" t="n">
        <v>0.0017</v>
      </c>
    </row>
    <row r="1877">
      <c r="A1877" t="n">
        <v>44</v>
      </c>
      <c r="B1877" t="n">
        <v>1961</v>
      </c>
      <c r="C1877" t="n">
        <v>-0.0009</v>
      </c>
    </row>
    <row r="1878">
      <c r="A1878" t="n">
        <v>44</v>
      </c>
      <c r="B1878" t="n">
        <v>1962</v>
      </c>
      <c r="C1878" t="n">
        <v>-0.0032</v>
      </c>
    </row>
    <row r="1879">
      <c r="A1879" t="n">
        <v>44</v>
      </c>
      <c r="B1879" t="n">
        <v>1963</v>
      </c>
      <c r="C1879" t="n">
        <v>-0.0053</v>
      </c>
    </row>
    <row r="1880">
      <c r="A1880" t="n">
        <v>44</v>
      </c>
      <c r="B1880" t="n">
        <v>1964</v>
      </c>
      <c r="C1880" t="n">
        <v>-0.0067</v>
      </c>
    </row>
    <row r="1881">
      <c r="A1881" t="n">
        <v>44</v>
      </c>
      <c r="B1881" t="n">
        <v>1965</v>
      </c>
      <c r="C1881" t="n">
        <v>-0.0074</v>
      </c>
    </row>
    <row r="1882">
      <c r="A1882" t="n">
        <v>44</v>
      </c>
      <c r="B1882" t="n">
        <v>1966</v>
      </c>
      <c r="C1882" t="n">
        <v>-0.007</v>
      </c>
    </row>
    <row r="1883">
      <c r="A1883" t="n">
        <v>44</v>
      </c>
      <c r="B1883" t="n">
        <v>1967</v>
      </c>
      <c r="C1883" t="n">
        <v>-0.0054</v>
      </c>
    </row>
    <row r="1884">
      <c r="A1884" t="n">
        <v>44</v>
      </c>
      <c r="B1884" t="n">
        <v>1968</v>
      </c>
      <c r="C1884" t="n">
        <v>-0.0024</v>
      </c>
    </row>
    <row r="1885">
      <c r="A1885" t="n">
        <v>44</v>
      </c>
      <c r="B1885" t="n">
        <v>1969</v>
      </c>
      <c r="C1885" t="n">
        <v>0.0019</v>
      </c>
    </row>
    <row r="1886">
      <c r="A1886" t="n">
        <v>44</v>
      </c>
      <c r="B1886" t="n">
        <v>1970</v>
      </c>
      <c r="C1886" t="n">
        <v>0.0072</v>
      </c>
    </row>
    <row r="1887">
      <c r="A1887" t="n">
        <v>44</v>
      </c>
      <c r="B1887" t="n">
        <v>1971</v>
      </c>
      <c r="C1887" t="n">
        <v>0.013</v>
      </c>
    </row>
    <row r="1888">
      <c r="A1888" t="n">
        <v>44</v>
      </c>
      <c r="B1888" t="n">
        <v>1972</v>
      </c>
      <c r="C1888" t="n">
        <v>0.0187</v>
      </c>
    </row>
    <row r="1889">
      <c r="A1889" t="n">
        <v>44</v>
      </c>
      <c r="B1889" t="n">
        <v>1973</v>
      </c>
      <c r="C1889" t="n">
        <v>0.024</v>
      </c>
    </row>
    <row r="1890">
      <c r="A1890" t="n">
        <v>44</v>
      </c>
      <c r="B1890" t="n">
        <v>1974</v>
      </c>
      <c r="C1890" t="n">
        <v>0.0285</v>
      </c>
    </row>
    <row r="1891">
      <c r="A1891" t="n">
        <v>44</v>
      </c>
      <c r="B1891" t="n">
        <v>1975</v>
      </c>
      <c r="C1891" t="n">
        <v>0.0318</v>
      </c>
    </row>
    <row r="1892">
      <c r="A1892" t="n">
        <v>44</v>
      </c>
      <c r="B1892" t="n">
        <v>1976</v>
      </c>
      <c r="C1892" t="n">
        <v>0.0337</v>
      </c>
    </row>
    <row r="1893">
      <c r="A1893" t="n">
        <v>44</v>
      </c>
      <c r="B1893" t="n">
        <v>1977</v>
      </c>
      <c r="C1893" t="n">
        <v>0.0345</v>
      </c>
    </row>
    <row r="1894">
      <c r="A1894" t="n">
        <v>44</v>
      </c>
      <c r="B1894" t="n">
        <v>1978</v>
      </c>
      <c r="C1894" t="n">
        <v>0.0342</v>
      </c>
    </row>
    <row r="1895">
      <c r="A1895" t="n">
        <v>44</v>
      </c>
      <c r="B1895" t="n">
        <v>1979</v>
      </c>
      <c r="C1895" t="n">
        <v>0.033</v>
      </c>
    </row>
    <row r="1896">
      <c r="A1896" t="n">
        <v>44</v>
      </c>
      <c r="B1896" t="n">
        <v>1980</v>
      </c>
      <c r="C1896" t="n">
        <v>0.031</v>
      </c>
    </row>
    <row r="1897">
      <c r="A1897" t="n">
        <v>44</v>
      </c>
      <c r="B1897" t="n">
        <v>1981</v>
      </c>
      <c r="C1897" t="n">
        <v>0.0282</v>
      </c>
    </row>
    <row r="1898">
      <c r="A1898" t="n">
        <v>44</v>
      </c>
      <c r="B1898" t="n">
        <v>1982</v>
      </c>
      <c r="C1898" t="n">
        <v>0.0245</v>
      </c>
    </row>
    <row r="1899">
      <c r="A1899" t="n">
        <v>44</v>
      </c>
      <c r="B1899" t="n">
        <v>1983</v>
      </c>
      <c r="C1899" t="n">
        <v>0.0199</v>
      </c>
    </row>
    <row r="1900">
      <c r="A1900" t="n">
        <v>44</v>
      </c>
      <c r="B1900" t="n">
        <v>1984</v>
      </c>
      <c r="C1900" t="n">
        <v>0.0145</v>
      </c>
    </row>
    <row r="1901">
      <c r="A1901" t="n">
        <v>44</v>
      </c>
      <c r="B1901" t="n">
        <v>1985</v>
      </c>
      <c r="C1901" t="n">
        <v>0.008800000000000001</v>
      </c>
    </row>
    <row r="1902">
      <c r="A1902" t="n">
        <v>44</v>
      </c>
      <c r="B1902" t="n">
        <v>1986</v>
      </c>
      <c r="C1902" t="n">
        <v>0.0033</v>
      </c>
    </row>
    <row r="1903">
      <c r="A1903" t="n">
        <v>44</v>
      </c>
      <c r="B1903" t="n">
        <v>1987</v>
      </c>
      <c r="C1903" t="n">
        <v>-0.0017</v>
      </c>
    </row>
    <row r="1904">
      <c r="A1904" t="n">
        <v>44</v>
      </c>
      <c r="B1904" t="n">
        <v>1988</v>
      </c>
      <c r="C1904" t="n">
        <v>-0.0059</v>
      </c>
    </row>
    <row r="1905">
      <c r="A1905" t="n">
        <v>44</v>
      </c>
      <c r="B1905" t="n">
        <v>1989</v>
      </c>
      <c r="C1905" t="n">
        <v>-0.008699999999999999</v>
      </c>
    </row>
    <row r="1906">
      <c r="A1906" t="n">
        <v>44</v>
      </c>
      <c r="B1906" t="n">
        <v>1990</v>
      </c>
      <c r="C1906" t="n">
        <v>-0.0097</v>
      </c>
    </row>
    <row r="1907">
      <c r="A1907" t="n">
        <v>44</v>
      </c>
      <c r="B1907" t="n">
        <v>1991</v>
      </c>
      <c r="C1907" t="n">
        <v>-0.008699999999999999</v>
      </c>
    </row>
    <row r="1908">
      <c r="A1908" t="n">
        <v>44</v>
      </c>
      <c r="B1908" t="n">
        <v>1992</v>
      </c>
      <c r="C1908" t="n">
        <v>-0.0054</v>
      </c>
    </row>
    <row r="1909">
      <c r="A1909" t="n">
        <v>44</v>
      </c>
      <c r="B1909" t="n">
        <v>1993</v>
      </c>
      <c r="C1909" t="n">
        <v>0.0002</v>
      </c>
    </row>
    <row r="1910">
      <c r="A1910" t="n">
        <v>44</v>
      </c>
      <c r="B1910" t="n">
        <v>1994</v>
      </c>
      <c r="C1910" t="n">
        <v>0.0072</v>
      </c>
    </row>
    <row r="1911">
      <c r="A1911" t="n">
        <v>44</v>
      </c>
      <c r="B1911" t="n">
        <v>1995</v>
      </c>
      <c r="C1911" t="n">
        <v>0.0142</v>
      </c>
    </row>
    <row r="1912">
      <c r="A1912" t="n">
        <v>44</v>
      </c>
      <c r="B1912" t="n">
        <v>1996</v>
      </c>
      <c r="C1912" t="n">
        <v>0.0193</v>
      </c>
    </row>
    <row r="1913">
      <c r="A1913" t="n">
        <v>44</v>
      </c>
      <c r="B1913" t="n">
        <v>1997</v>
      </c>
      <c r="C1913" t="n">
        <v>0.0211</v>
      </c>
    </row>
    <row r="1914">
      <c r="A1914" t="n">
        <v>44</v>
      </c>
      <c r="B1914" t="n">
        <v>1998</v>
      </c>
      <c r="C1914" t="n">
        <v>0.0194</v>
      </c>
    </row>
    <row r="1915">
      <c r="A1915" t="n">
        <v>44</v>
      </c>
      <c r="B1915" t="n">
        <v>1999</v>
      </c>
      <c r="C1915" t="n">
        <v>0.0154</v>
      </c>
    </row>
    <row r="1916">
      <c r="A1916" t="n">
        <v>44</v>
      </c>
      <c r="B1916" t="n">
        <v>2000</v>
      </c>
      <c r="C1916" t="n">
        <v>0.011</v>
      </c>
    </row>
    <row r="1917">
      <c r="A1917" t="n">
        <v>44</v>
      </c>
      <c r="B1917" t="n">
        <v>2001</v>
      </c>
      <c r="C1917" t="n">
        <v>0.007900000000000001</v>
      </c>
    </row>
    <row r="1918">
      <c r="A1918" t="n">
        <v>44</v>
      </c>
      <c r="B1918" t="n">
        <v>2002</v>
      </c>
      <c r="C1918" t="n">
        <v>0.0069</v>
      </c>
    </row>
    <row r="1919">
      <c r="A1919" t="n">
        <v>44</v>
      </c>
      <c r="B1919" t="n">
        <v>2003</v>
      </c>
      <c r="C1919" t="n">
        <v>0.0083</v>
      </c>
    </row>
    <row r="1920">
      <c r="A1920" t="n">
        <v>44</v>
      </c>
      <c r="B1920" t="n">
        <v>2004</v>
      </c>
      <c r="C1920" t="n">
        <v>0.0116</v>
      </c>
    </row>
    <row r="1921">
      <c r="A1921" t="n">
        <v>44</v>
      </c>
      <c r="B1921" t="n">
        <v>2005</v>
      </c>
      <c r="C1921" t="n">
        <v>0.0159</v>
      </c>
    </row>
    <row r="1922">
      <c r="A1922" t="n">
        <v>44</v>
      </c>
      <c r="B1922" t="n">
        <v>2006</v>
      </c>
      <c r="C1922" t="n">
        <v>0.0204</v>
      </c>
    </row>
    <row r="1923">
      <c r="A1923" t="n">
        <v>44</v>
      </c>
      <c r="B1923" t="n">
        <v>2007</v>
      </c>
      <c r="C1923" t="n">
        <v>0.0242</v>
      </c>
    </row>
    <row r="1924">
      <c r="A1924" t="n">
        <v>44</v>
      </c>
      <c r="B1924" t="n">
        <v>2008</v>
      </c>
      <c r="C1924" t="n">
        <v>0.0266</v>
      </c>
    </row>
    <row r="1925">
      <c r="A1925" t="n">
        <v>44</v>
      </c>
      <c r="B1925" t="n">
        <v>2009</v>
      </c>
      <c r="C1925" t="n">
        <v>0.0272</v>
      </c>
    </row>
    <row r="1926">
      <c r="A1926" t="n">
        <v>44</v>
      </c>
      <c r="B1926" t="n">
        <v>2010</v>
      </c>
      <c r="C1926" t="n">
        <v>0.0259</v>
      </c>
    </row>
    <row r="1927">
      <c r="A1927" t="n">
        <v>44</v>
      </c>
      <c r="B1927" t="n">
        <v>2011</v>
      </c>
      <c r="C1927" t="n">
        <v>0.0229</v>
      </c>
    </row>
    <row r="1928">
      <c r="A1928" t="n">
        <v>44</v>
      </c>
      <c r="B1928" t="n">
        <v>2012</v>
      </c>
      <c r="C1928" t="n">
        <v>0.0188</v>
      </c>
    </row>
    <row r="1929">
      <c r="A1929" t="n">
        <v>44</v>
      </c>
      <c r="B1929" t="n">
        <v>2013</v>
      </c>
      <c r="C1929" t="n">
        <v>0.0178</v>
      </c>
    </row>
    <row r="1930">
      <c r="A1930" t="n">
        <v>44</v>
      </c>
      <c r="B1930" t="n">
        <v>2014</v>
      </c>
      <c r="C1930" t="n">
        <v>0.0163</v>
      </c>
    </row>
    <row r="1931">
      <c r="A1931" t="n">
        <v>44</v>
      </c>
      <c r="B1931" t="n">
        <v>2015</v>
      </c>
      <c r="C1931" t="n">
        <v>0.0144</v>
      </c>
    </row>
    <row r="1932">
      <c r="A1932" t="n">
        <v>44</v>
      </c>
      <c r="B1932" t="n">
        <v>2016</v>
      </c>
      <c r="C1932" t="n">
        <v>0.0124</v>
      </c>
    </row>
    <row r="1933">
      <c r="A1933" t="n">
        <v>44</v>
      </c>
      <c r="B1933" t="n">
        <v>2017</v>
      </c>
      <c r="C1933" t="n">
        <v>0.0103</v>
      </c>
    </row>
    <row r="1934">
      <c r="A1934" t="n">
        <v>44</v>
      </c>
      <c r="B1934" t="n">
        <v>2018</v>
      </c>
      <c r="C1934" t="n">
        <v>0.008500000000000001</v>
      </c>
    </row>
    <row r="1935">
      <c r="A1935" t="n">
        <v>44</v>
      </c>
      <c r="B1935" t="n">
        <v>2019</v>
      </c>
      <c r="C1935" t="n">
        <v>0.0071</v>
      </c>
    </row>
    <row r="1936">
      <c r="A1936" t="n">
        <v>44</v>
      </c>
      <c r="B1936" t="n">
        <v>2020</v>
      </c>
      <c r="C1936" t="n">
        <v>0.0061</v>
      </c>
    </row>
    <row r="1937">
      <c r="A1937" t="n">
        <v>44</v>
      </c>
      <c r="B1937" t="n">
        <v>2021</v>
      </c>
      <c r="C1937" t="n">
        <v>0.0056</v>
      </c>
    </row>
    <row r="1938">
      <c r="A1938" t="n">
        <v>44</v>
      </c>
      <c r="B1938" t="n">
        <v>2022</v>
      </c>
      <c r="C1938" t="n">
        <v>0.0057</v>
      </c>
    </row>
    <row r="1939">
      <c r="A1939" t="n">
        <v>44</v>
      </c>
      <c r="B1939" t="n">
        <v>2023</v>
      </c>
      <c r="C1939" t="n">
        <v>0.0062</v>
      </c>
    </row>
    <row r="1940">
      <c r="A1940" t="n">
        <v>44</v>
      </c>
      <c r="B1940" t="n">
        <v>2024</v>
      </c>
      <c r="C1940" t="n">
        <v>0.0069</v>
      </c>
    </row>
    <row r="1941">
      <c r="A1941" t="n">
        <v>44</v>
      </c>
      <c r="B1941" t="n">
        <v>2025</v>
      </c>
      <c r="C1941" t="n">
        <v>0.0077</v>
      </c>
    </row>
    <row r="1942">
      <c r="A1942" t="n">
        <v>44</v>
      </c>
      <c r="B1942" t="n">
        <v>2026</v>
      </c>
      <c r="C1942" t="n">
        <v>0.008399999999999999</v>
      </c>
    </row>
    <row r="1943">
      <c r="A1943" t="n">
        <v>44</v>
      </c>
      <c r="B1943" t="n">
        <v>2027</v>
      </c>
      <c r="C1943" t="n">
        <v>0.0091</v>
      </c>
    </row>
    <row r="1944">
      <c r="A1944" t="n">
        <v>44</v>
      </c>
      <c r="B1944" t="n">
        <v>2028</v>
      </c>
      <c r="C1944" t="n">
        <v>0.0095</v>
      </c>
    </row>
    <row r="1945">
      <c r="A1945" t="n">
        <v>44</v>
      </c>
      <c r="B1945" t="n">
        <v>2029</v>
      </c>
      <c r="C1945" t="n">
        <v>0.0098</v>
      </c>
    </row>
    <row r="1946">
      <c r="A1946" t="n">
        <v>44</v>
      </c>
      <c r="B1946" t="n">
        <v>2030</v>
      </c>
      <c r="C1946" t="n">
        <v>0.01</v>
      </c>
    </row>
    <row r="1947">
      <c r="A1947" t="n">
        <v>44</v>
      </c>
      <c r="B1947" t="n">
        <v>2031</v>
      </c>
      <c r="C1947" t="n">
        <v>0.01</v>
      </c>
    </row>
    <row r="1948">
      <c r="A1948" t="n">
        <v>45</v>
      </c>
      <c r="B1948" t="n">
        <v>1951</v>
      </c>
      <c r="C1948" t="n">
        <v>0.0254</v>
      </c>
    </row>
    <row r="1949">
      <c r="A1949" t="n">
        <v>45</v>
      </c>
      <c r="B1949" t="n">
        <v>1952</v>
      </c>
      <c r="C1949" t="n">
        <v>0.0233</v>
      </c>
    </row>
    <row r="1950">
      <c r="A1950" t="n">
        <v>45</v>
      </c>
      <c r="B1950" t="n">
        <v>1953</v>
      </c>
      <c r="C1950" t="n">
        <v>0.0212</v>
      </c>
    </row>
    <row r="1951">
      <c r="A1951" t="n">
        <v>45</v>
      </c>
      <c r="B1951" t="n">
        <v>1954</v>
      </c>
      <c r="C1951" t="n">
        <v>0.0188</v>
      </c>
    </row>
    <row r="1952">
      <c r="A1952" t="n">
        <v>45</v>
      </c>
      <c r="B1952" t="n">
        <v>1955</v>
      </c>
      <c r="C1952" t="n">
        <v>0.016</v>
      </c>
    </row>
    <row r="1953">
      <c r="A1953" t="n">
        <v>45</v>
      </c>
      <c r="B1953" t="n">
        <v>1956</v>
      </c>
      <c r="C1953" t="n">
        <v>0.013</v>
      </c>
    </row>
    <row r="1954">
      <c r="A1954" t="n">
        <v>45</v>
      </c>
      <c r="B1954" t="n">
        <v>1957</v>
      </c>
      <c r="C1954" t="n">
        <v>0.01</v>
      </c>
    </row>
    <row r="1955">
      <c r="A1955" t="n">
        <v>45</v>
      </c>
      <c r="B1955" t="n">
        <v>1958</v>
      </c>
      <c r="C1955" t="n">
        <v>0.0071</v>
      </c>
    </row>
    <row r="1956">
      <c r="A1956" t="n">
        <v>45</v>
      </c>
      <c r="B1956" t="n">
        <v>1959</v>
      </c>
      <c r="C1956" t="n">
        <v>0.0044</v>
      </c>
    </row>
    <row r="1957">
      <c r="A1957" t="n">
        <v>45</v>
      </c>
      <c r="B1957" t="n">
        <v>1960</v>
      </c>
      <c r="C1957" t="n">
        <v>0.0018</v>
      </c>
    </row>
    <row r="1958">
      <c r="A1958" t="n">
        <v>45</v>
      </c>
      <c r="B1958" t="n">
        <v>1961</v>
      </c>
      <c r="C1958" t="n">
        <v>-0.0005</v>
      </c>
    </row>
    <row r="1959">
      <c r="A1959" t="n">
        <v>45</v>
      </c>
      <c r="B1959" t="n">
        <v>1962</v>
      </c>
      <c r="C1959" t="n">
        <v>-0.0026</v>
      </c>
    </row>
    <row r="1960">
      <c r="A1960" t="n">
        <v>45</v>
      </c>
      <c r="B1960" t="n">
        <v>1963</v>
      </c>
      <c r="C1960" t="n">
        <v>-0.0044</v>
      </c>
    </row>
    <row r="1961">
      <c r="A1961" t="n">
        <v>45</v>
      </c>
      <c r="B1961" t="n">
        <v>1964</v>
      </c>
      <c r="C1961" t="n">
        <v>-0.0056</v>
      </c>
    </row>
    <row r="1962">
      <c r="A1962" t="n">
        <v>45</v>
      </c>
      <c r="B1962" t="n">
        <v>1965</v>
      </c>
      <c r="C1962" t="n">
        <v>-0.0061</v>
      </c>
    </row>
    <row r="1963">
      <c r="A1963" t="n">
        <v>45</v>
      </c>
      <c r="B1963" t="n">
        <v>1966</v>
      </c>
      <c r="C1963" t="n">
        <v>-0.0056</v>
      </c>
    </row>
    <row r="1964">
      <c r="A1964" t="n">
        <v>45</v>
      </c>
      <c r="B1964" t="n">
        <v>1967</v>
      </c>
      <c r="C1964" t="n">
        <v>-0.0041</v>
      </c>
    </row>
    <row r="1965">
      <c r="A1965" t="n">
        <v>45</v>
      </c>
      <c r="B1965" t="n">
        <v>1968</v>
      </c>
      <c r="C1965" t="n">
        <v>-0.0013</v>
      </c>
    </row>
    <row r="1966">
      <c r="A1966" t="n">
        <v>45</v>
      </c>
      <c r="B1966" t="n">
        <v>1969</v>
      </c>
      <c r="C1966" t="n">
        <v>0.0027</v>
      </c>
    </row>
    <row r="1967">
      <c r="A1967" t="n">
        <v>45</v>
      </c>
      <c r="B1967" t="n">
        <v>1970</v>
      </c>
      <c r="C1967" t="n">
        <v>0.0076</v>
      </c>
    </row>
    <row r="1968">
      <c r="A1968" t="n">
        <v>45</v>
      </c>
      <c r="B1968" t="n">
        <v>1971</v>
      </c>
      <c r="C1968" t="n">
        <v>0.0129</v>
      </c>
    </row>
    <row r="1969">
      <c r="A1969" t="n">
        <v>45</v>
      </c>
      <c r="B1969" t="n">
        <v>1972</v>
      </c>
      <c r="C1969" t="n">
        <v>0.0183</v>
      </c>
    </row>
    <row r="1970">
      <c r="A1970" t="n">
        <v>45</v>
      </c>
      <c r="B1970" t="n">
        <v>1973</v>
      </c>
      <c r="C1970" t="n">
        <v>0.0234</v>
      </c>
    </row>
    <row r="1971">
      <c r="A1971" t="n">
        <v>45</v>
      </c>
      <c r="B1971" t="n">
        <v>1974</v>
      </c>
      <c r="C1971" t="n">
        <v>0.0277</v>
      </c>
    </row>
    <row r="1972">
      <c r="A1972" t="n">
        <v>45</v>
      </c>
      <c r="B1972" t="n">
        <v>1975</v>
      </c>
      <c r="C1972" t="n">
        <v>0.031</v>
      </c>
    </row>
    <row r="1973">
      <c r="A1973" t="n">
        <v>45</v>
      </c>
      <c r="B1973" t="n">
        <v>1976</v>
      </c>
      <c r="C1973" t="n">
        <v>0.033</v>
      </c>
    </row>
    <row r="1974">
      <c r="A1974" t="n">
        <v>45</v>
      </c>
      <c r="B1974" t="n">
        <v>1977</v>
      </c>
      <c r="C1974" t="n">
        <v>0.0337</v>
      </c>
    </row>
    <row r="1975">
      <c r="A1975" t="n">
        <v>45</v>
      </c>
      <c r="B1975" t="n">
        <v>1978</v>
      </c>
      <c r="C1975" t="n">
        <v>0.0335</v>
      </c>
    </row>
    <row r="1976">
      <c r="A1976" t="n">
        <v>45</v>
      </c>
      <c r="B1976" t="n">
        <v>1979</v>
      </c>
      <c r="C1976" t="n">
        <v>0.0324</v>
      </c>
    </row>
    <row r="1977">
      <c r="A1977" t="n">
        <v>45</v>
      </c>
      <c r="B1977" t="n">
        <v>1980</v>
      </c>
      <c r="C1977" t="n">
        <v>0.0308</v>
      </c>
    </row>
    <row r="1978">
      <c r="A1978" t="n">
        <v>45</v>
      </c>
      <c r="B1978" t="n">
        <v>1981</v>
      </c>
      <c r="C1978" t="n">
        <v>0.0285</v>
      </c>
    </row>
    <row r="1979">
      <c r="A1979" t="n">
        <v>45</v>
      </c>
      <c r="B1979" t="n">
        <v>1982</v>
      </c>
      <c r="C1979" t="n">
        <v>0.0255</v>
      </c>
    </row>
    <row r="1980">
      <c r="A1980" t="n">
        <v>45</v>
      </c>
      <c r="B1980" t="n">
        <v>1983</v>
      </c>
      <c r="C1980" t="n">
        <v>0.0217</v>
      </c>
    </row>
    <row r="1981">
      <c r="A1981" t="n">
        <v>45</v>
      </c>
      <c r="B1981" t="n">
        <v>1984</v>
      </c>
      <c r="C1981" t="n">
        <v>0.0171</v>
      </c>
    </row>
    <row r="1982">
      <c r="A1982" t="n">
        <v>45</v>
      </c>
      <c r="B1982" t="n">
        <v>1985</v>
      </c>
      <c r="C1982" t="n">
        <v>0.0122</v>
      </c>
    </row>
    <row r="1983">
      <c r="A1983" t="n">
        <v>45</v>
      </c>
      <c r="B1983" t="n">
        <v>1986</v>
      </c>
      <c r="C1983" t="n">
        <v>0.0072</v>
      </c>
    </row>
    <row r="1984">
      <c r="A1984" t="n">
        <v>45</v>
      </c>
      <c r="B1984" t="n">
        <v>1987</v>
      </c>
      <c r="C1984" t="n">
        <v>0.0025</v>
      </c>
    </row>
    <row r="1985">
      <c r="A1985" t="n">
        <v>45</v>
      </c>
      <c r="B1985" t="n">
        <v>1988</v>
      </c>
      <c r="C1985" t="n">
        <v>-0.0014</v>
      </c>
    </row>
    <row r="1986">
      <c r="A1986" t="n">
        <v>45</v>
      </c>
      <c r="B1986" t="n">
        <v>1989</v>
      </c>
      <c r="C1986" t="n">
        <v>-0.0042</v>
      </c>
    </row>
    <row r="1987">
      <c r="A1987" t="n">
        <v>45</v>
      </c>
      <c r="B1987" t="n">
        <v>1990</v>
      </c>
      <c r="C1987" t="n">
        <v>-0.0054</v>
      </c>
    </row>
    <row r="1988">
      <c r="A1988" t="n">
        <v>45</v>
      </c>
      <c r="B1988" t="n">
        <v>1991</v>
      </c>
      <c r="C1988" t="n">
        <v>-0.0049</v>
      </c>
    </row>
    <row r="1989">
      <c r="A1989" t="n">
        <v>45</v>
      </c>
      <c r="B1989" t="n">
        <v>1992</v>
      </c>
      <c r="C1989" t="n">
        <v>-0.0024</v>
      </c>
    </row>
    <row r="1990">
      <c r="A1990" t="n">
        <v>45</v>
      </c>
      <c r="B1990" t="n">
        <v>1993</v>
      </c>
      <c r="C1990" t="n">
        <v>0.0019</v>
      </c>
    </row>
    <row r="1991">
      <c r="A1991" t="n">
        <v>45</v>
      </c>
      <c r="B1991" t="n">
        <v>1994</v>
      </c>
      <c r="C1991" t="n">
        <v>0.0073</v>
      </c>
    </row>
    <row r="1992">
      <c r="A1992" t="n">
        <v>45</v>
      </c>
      <c r="B1992" t="n">
        <v>1995</v>
      </c>
      <c r="C1992" t="n">
        <v>0.0127</v>
      </c>
    </row>
    <row r="1993">
      <c r="A1993" t="n">
        <v>45</v>
      </c>
      <c r="B1993" t="n">
        <v>1996</v>
      </c>
      <c r="C1993" t="n">
        <v>0.0165</v>
      </c>
    </row>
    <row r="1994">
      <c r="A1994" t="n">
        <v>45</v>
      </c>
      <c r="B1994" t="n">
        <v>1997</v>
      </c>
      <c r="C1994" t="n">
        <v>0.0175</v>
      </c>
    </row>
    <row r="1995">
      <c r="A1995" t="n">
        <v>45</v>
      </c>
      <c r="B1995" t="n">
        <v>1998</v>
      </c>
      <c r="C1995" t="n">
        <v>0.0156</v>
      </c>
    </row>
    <row r="1996">
      <c r="A1996" t="n">
        <v>45</v>
      </c>
      <c r="B1996" t="n">
        <v>1999</v>
      </c>
      <c r="C1996" t="n">
        <v>0.0119</v>
      </c>
    </row>
    <row r="1997">
      <c r="A1997" t="n">
        <v>45</v>
      </c>
      <c r="B1997" t="n">
        <v>2000</v>
      </c>
      <c r="C1997" t="n">
        <v>0.008</v>
      </c>
    </row>
    <row r="1998">
      <c r="A1998" t="n">
        <v>45</v>
      </c>
      <c r="B1998" t="n">
        <v>2001</v>
      </c>
      <c r="C1998" t="n">
        <v>0.0054</v>
      </c>
    </row>
    <row r="1999">
      <c r="A1999" t="n">
        <v>45</v>
      </c>
      <c r="B1999" t="n">
        <v>2002</v>
      </c>
      <c r="C1999" t="n">
        <v>0.0048</v>
      </c>
    </row>
    <row r="2000">
      <c r="A2000" t="n">
        <v>45</v>
      </c>
      <c r="B2000" t="n">
        <v>2003</v>
      </c>
      <c r="C2000" t="n">
        <v>0.0065</v>
      </c>
    </row>
    <row r="2001">
      <c r="A2001" t="n">
        <v>45</v>
      </c>
      <c r="B2001" t="n">
        <v>2004</v>
      </c>
      <c r="C2001" t="n">
        <v>0.01</v>
      </c>
    </row>
    <row r="2002">
      <c r="A2002" t="n">
        <v>45</v>
      </c>
      <c r="B2002" t="n">
        <v>2005</v>
      </c>
      <c r="C2002" t="n">
        <v>0.0144</v>
      </c>
    </row>
    <row r="2003">
      <c r="A2003" t="n">
        <v>45</v>
      </c>
      <c r="B2003" t="n">
        <v>2006</v>
      </c>
      <c r="C2003" t="n">
        <v>0.0189</v>
      </c>
    </row>
    <row r="2004">
      <c r="A2004" t="n">
        <v>45</v>
      </c>
      <c r="B2004" t="n">
        <v>2007</v>
      </c>
      <c r="C2004" t="n">
        <v>0.0227</v>
      </c>
    </row>
    <row r="2005">
      <c r="A2005" t="n">
        <v>45</v>
      </c>
      <c r="B2005" t="n">
        <v>2008</v>
      </c>
      <c r="C2005" t="n">
        <v>0.0252</v>
      </c>
    </row>
    <row r="2006">
      <c r="A2006" t="n">
        <v>45</v>
      </c>
      <c r="B2006" t="n">
        <v>2009</v>
      </c>
      <c r="C2006" t="n">
        <v>0.0261</v>
      </c>
    </row>
    <row r="2007">
      <c r="A2007" t="n">
        <v>45</v>
      </c>
      <c r="B2007" t="n">
        <v>2010</v>
      </c>
      <c r="C2007" t="n">
        <v>0.0253</v>
      </c>
    </row>
    <row r="2008">
      <c r="A2008" t="n">
        <v>45</v>
      </c>
      <c r="B2008" t="n">
        <v>2011</v>
      </c>
      <c r="C2008" t="n">
        <v>0.023</v>
      </c>
    </row>
    <row r="2009">
      <c r="A2009" t="n">
        <v>45</v>
      </c>
      <c r="B2009" t="n">
        <v>2012</v>
      </c>
      <c r="C2009" t="n">
        <v>0.0197</v>
      </c>
    </row>
    <row r="2010">
      <c r="A2010" t="n">
        <v>45</v>
      </c>
      <c r="B2010" t="n">
        <v>2013</v>
      </c>
      <c r="C2010" t="n">
        <v>0.0191</v>
      </c>
    </row>
    <row r="2011">
      <c r="A2011" t="n">
        <v>45</v>
      </c>
      <c r="B2011" t="n">
        <v>2014</v>
      </c>
      <c r="C2011" t="n">
        <v>0.0178</v>
      </c>
    </row>
    <row r="2012">
      <c r="A2012" t="n">
        <v>45</v>
      </c>
      <c r="B2012" t="n">
        <v>2015</v>
      </c>
      <c r="C2012" t="n">
        <v>0.0161</v>
      </c>
    </row>
    <row r="2013">
      <c r="A2013" t="n">
        <v>45</v>
      </c>
      <c r="B2013" t="n">
        <v>2016</v>
      </c>
      <c r="C2013" t="n">
        <v>0.0141</v>
      </c>
    </row>
    <row r="2014">
      <c r="A2014" t="n">
        <v>45</v>
      </c>
      <c r="B2014" t="n">
        <v>2017</v>
      </c>
      <c r="C2014" t="n">
        <v>0.012</v>
      </c>
    </row>
    <row r="2015">
      <c r="A2015" t="n">
        <v>45</v>
      </c>
      <c r="B2015" t="n">
        <v>2018</v>
      </c>
      <c r="C2015" t="n">
        <v>0.01</v>
      </c>
    </row>
    <row r="2016">
      <c r="A2016" t="n">
        <v>45</v>
      </c>
      <c r="B2016" t="n">
        <v>2019</v>
      </c>
      <c r="C2016" t="n">
        <v>0.0083</v>
      </c>
    </row>
    <row r="2017">
      <c r="A2017" t="n">
        <v>45</v>
      </c>
      <c r="B2017" t="n">
        <v>2020</v>
      </c>
      <c r="C2017" t="n">
        <v>0.007</v>
      </c>
    </row>
    <row r="2018">
      <c r="A2018" t="n">
        <v>45</v>
      </c>
      <c r="B2018" t="n">
        <v>2021</v>
      </c>
      <c r="C2018" t="n">
        <v>0.0062</v>
      </c>
    </row>
    <row r="2019">
      <c r="A2019" t="n">
        <v>45</v>
      </c>
      <c r="B2019" t="n">
        <v>2022</v>
      </c>
      <c r="C2019" t="n">
        <v>0.0061</v>
      </c>
    </row>
    <row r="2020">
      <c r="A2020" t="n">
        <v>45</v>
      </c>
      <c r="B2020" t="n">
        <v>2023</v>
      </c>
      <c r="C2020" t="n">
        <v>0.0064</v>
      </c>
    </row>
    <row r="2021">
      <c r="A2021" t="n">
        <v>45</v>
      </c>
      <c r="B2021" t="n">
        <v>2024</v>
      </c>
      <c r="C2021" t="n">
        <v>0.0069</v>
      </c>
    </row>
    <row r="2022">
      <c r="A2022" t="n">
        <v>45</v>
      </c>
      <c r="B2022" t="n">
        <v>2025</v>
      </c>
      <c r="C2022" t="n">
        <v>0.0075</v>
      </c>
    </row>
    <row r="2023">
      <c r="A2023" t="n">
        <v>45</v>
      </c>
      <c r="B2023" t="n">
        <v>2026</v>
      </c>
      <c r="C2023" t="n">
        <v>0.008200000000000001</v>
      </c>
    </row>
    <row r="2024">
      <c r="A2024" t="n">
        <v>45</v>
      </c>
      <c r="B2024" t="n">
        <v>2027</v>
      </c>
      <c r="C2024" t="n">
        <v>0.0089</v>
      </c>
    </row>
    <row r="2025">
      <c r="A2025" t="n">
        <v>45</v>
      </c>
      <c r="B2025" t="n">
        <v>2028</v>
      </c>
      <c r="C2025" t="n">
        <v>0.0094</v>
      </c>
    </row>
    <row r="2026">
      <c r="A2026" t="n">
        <v>45</v>
      </c>
      <c r="B2026" t="n">
        <v>2029</v>
      </c>
      <c r="C2026" t="n">
        <v>0.0097</v>
      </c>
    </row>
    <row r="2027">
      <c r="A2027" t="n">
        <v>45</v>
      </c>
      <c r="B2027" t="n">
        <v>2030</v>
      </c>
      <c r="C2027" t="n">
        <v>0.009900000000000001</v>
      </c>
    </row>
    <row r="2028">
      <c r="A2028" t="n">
        <v>45</v>
      </c>
      <c r="B2028" t="n">
        <v>2031</v>
      </c>
      <c r="C2028" t="n">
        <v>0.01</v>
      </c>
    </row>
    <row r="2029">
      <c r="A2029" t="n">
        <v>46</v>
      </c>
      <c r="B2029" t="n">
        <v>1951</v>
      </c>
      <c r="C2029" t="n">
        <v>0.0239</v>
      </c>
    </row>
    <row r="2030">
      <c r="A2030" t="n">
        <v>46</v>
      </c>
      <c r="B2030" t="n">
        <v>1952</v>
      </c>
      <c r="C2030" t="n">
        <v>0.022</v>
      </c>
    </row>
    <row r="2031">
      <c r="A2031" t="n">
        <v>46</v>
      </c>
      <c r="B2031" t="n">
        <v>1953</v>
      </c>
      <c r="C2031" t="n">
        <v>0.02</v>
      </c>
    </row>
    <row r="2032">
      <c r="A2032" t="n">
        <v>46</v>
      </c>
      <c r="B2032" t="n">
        <v>1954</v>
      </c>
      <c r="C2032" t="n">
        <v>0.0177</v>
      </c>
    </row>
    <row r="2033">
      <c r="A2033" t="n">
        <v>46</v>
      </c>
      <c r="B2033" t="n">
        <v>1955</v>
      </c>
      <c r="C2033" t="n">
        <v>0.0151</v>
      </c>
    </row>
    <row r="2034">
      <c r="A2034" t="n">
        <v>46</v>
      </c>
      <c r="B2034" t="n">
        <v>1956</v>
      </c>
      <c r="C2034" t="n">
        <v>0.0123</v>
      </c>
    </row>
    <row r="2035">
      <c r="A2035" t="n">
        <v>46</v>
      </c>
      <c r="B2035" t="n">
        <v>1957</v>
      </c>
      <c r="C2035" t="n">
        <v>0.0095</v>
      </c>
    </row>
    <row r="2036">
      <c r="A2036" t="n">
        <v>46</v>
      </c>
      <c r="B2036" t="n">
        <v>1958</v>
      </c>
      <c r="C2036" t="n">
        <v>0.0067</v>
      </c>
    </row>
    <row r="2037">
      <c r="A2037" t="n">
        <v>46</v>
      </c>
      <c r="B2037" t="n">
        <v>1959</v>
      </c>
      <c r="C2037" t="n">
        <v>0.0042</v>
      </c>
    </row>
    <row r="2038">
      <c r="A2038" t="n">
        <v>46</v>
      </c>
      <c r="B2038" t="n">
        <v>1960</v>
      </c>
      <c r="C2038" t="n">
        <v>0.0019</v>
      </c>
    </row>
    <row r="2039">
      <c r="A2039" t="n">
        <v>46</v>
      </c>
      <c r="B2039" t="n">
        <v>1961</v>
      </c>
      <c r="C2039" t="n">
        <v>-0.0002</v>
      </c>
    </row>
    <row r="2040">
      <c r="A2040" t="n">
        <v>46</v>
      </c>
      <c r="B2040" t="n">
        <v>1962</v>
      </c>
      <c r="C2040" t="n">
        <v>-0.0021</v>
      </c>
    </row>
    <row r="2041">
      <c r="A2041" t="n">
        <v>46</v>
      </c>
      <c r="B2041" t="n">
        <v>1963</v>
      </c>
      <c r="C2041" t="n">
        <v>-0.0036</v>
      </c>
    </row>
    <row r="2042">
      <c r="A2042" t="n">
        <v>46</v>
      </c>
      <c r="B2042" t="n">
        <v>1964</v>
      </c>
      <c r="C2042" t="n">
        <v>-0.0045</v>
      </c>
    </row>
    <row r="2043">
      <c r="A2043" t="n">
        <v>46</v>
      </c>
      <c r="B2043" t="n">
        <v>1965</v>
      </c>
      <c r="C2043" t="n">
        <v>-0.0048</v>
      </c>
    </row>
    <row r="2044">
      <c r="A2044" t="n">
        <v>46</v>
      </c>
      <c r="B2044" t="n">
        <v>1966</v>
      </c>
      <c r="C2044" t="n">
        <v>-0.0042</v>
      </c>
    </row>
    <row r="2045">
      <c r="A2045" t="n">
        <v>46</v>
      </c>
      <c r="B2045" t="n">
        <v>1967</v>
      </c>
      <c r="C2045" t="n">
        <v>-0.0027</v>
      </c>
    </row>
    <row r="2046">
      <c r="A2046" t="n">
        <v>46</v>
      </c>
      <c r="B2046" t="n">
        <v>1968</v>
      </c>
      <c r="C2046" t="n">
        <v>0</v>
      </c>
    </row>
    <row r="2047">
      <c r="A2047" t="n">
        <v>46</v>
      </c>
      <c r="B2047" t="n">
        <v>1969</v>
      </c>
      <c r="C2047" t="n">
        <v>0.0037</v>
      </c>
    </row>
    <row r="2048">
      <c r="A2048" t="n">
        <v>46</v>
      </c>
      <c r="B2048" t="n">
        <v>1970</v>
      </c>
      <c r="C2048" t="n">
        <v>0.008200000000000001</v>
      </c>
    </row>
    <row r="2049">
      <c r="A2049" t="n">
        <v>46</v>
      </c>
      <c r="B2049" t="n">
        <v>1971</v>
      </c>
      <c r="C2049" t="n">
        <v>0.013</v>
      </c>
    </row>
    <row r="2050">
      <c r="A2050" t="n">
        <v>46</v>
      </c>
      <c r="B2050" t="n">
        <v>1972</v>
      </c>
      <c r="C2050" t="n">
        <v>0.018</v>
      </c>
    </row>
    <row r="2051">
      <c r="A2051" t="n">
        <v>46</v>
      </c>
      <c r="B2051" t="n">
        <v>1973</v>
      </c>
      <c r="C2051" t="n">
        <v>0.0227</v>
      </c>
    </row>
    <row r="2052">
      <c r="A2052" t="n">
        <v>46</v>
      </c>
      <c r="B2052" t="n">
        <v>1974</v>
      </c>
      <c r="C2052" t="n">
        <v>0.0269</v>
      </c>
    </row>
    <row r="2053">
      <c r="A2053" t="n">
        <v>46</v>
      </c>
      <c r="B2053" t="n">
        <v>1975</v>
      </c>
      <c r="C2053" t="n">
        <v>0.0301</v>
      </c>
    </row>
    <row r="2054">
      <c r="A2054" t="n">
        <v>46</v>
      </c>
      <c r="B2054" t="n">
        <v>1976</v>
      </c>
      <c r="C2054" t="n">
        <v>0.032</v>
      </c>
    </row>
    <row r="2055">
      <c r="A2055" t="n">
        <v>46</v>
      </c>
      <c r="B2055" t="n">
        <v>1977</v>
      </c>
      <c r="C2055" t="n">
        <v>0.0328</v>
      </c>
    </row>
    <row r="2056">
      <c r="A2056" t="n">
        <v>46</v>
      </c>
      <c r="B2056" t="n">
        <v>1978</v>
      </c>
      <c r="C2056" t="n">
        <v>0.0326</v>
      </c>
    </row>
    <row r="2057">
      <c r="A2057" t="n">
        <v>46</v>
      </c>
      <c r="B2057" t="n">
        <v>1979</v>
      </c>
      <c r="C2057" t="n">
        <v>0.0317</v>
      </c>
    </row>
    <row r="2058">
      <c r="A2058" t="n">
        <v>46</v>
      </c>
      <c r="B2058" t="n">
        <v>1980</v>
      </c>
      <c r="C2058" t="n">
        <v>0.0303</v>
      </c>
    </row>
    <row r="2059">
      <c r="A2059" t="n">
        <v>46</v>
      </c>
      <c r="B2059" t="n">
        <v>1981</v>
      </c>
      <c r="C2059" t="n">
        <v>0.0285</v>
      </c>
    </row>
    <row r="2060">
      <c r="A2060" t="n">
        <v>46</v>
      </c>
      <c r="B2060" t="n">
        <v>1982</v>
      </c>
      <c r="C2060" t="n">
        <v>0.0261</v>
      </c>
    </row>
    <row r="2061">
      <c r="A2061" t="n">
        <v>46</v>
      </c>
      <c r="B2061" t="n">
        <v>1983</v>
      </c>
      <c r="C2061" t="n">
        <v>0.023</v>
      </c>
    </row>
    <row r="2062">
      <c r="A2062" t="n">
        <v>46</v>
      </c>
      <c r="B2062" t="n">
        <v>1984</v>
      </c>
      <c r="C2062" t="n">
        <v>0.0191</v>
      </c>
    </row>
    <row r="2063">
      <c r="A2063" t="n">
        <v>46</v>
      </c>
      <c r="B2063" t="n">
        <v>1985</v>
      </c>
      <c r="C2063" t="n">
        <v>0.0148</v>
      </c>
    </row>
    <row r="2064">
      <c r="A2064" t="n">
        <v>46</v>
      </c>
      <c r="B2064" t="n">
        <v>1986</v>
      </c>
      <c r="C2064" t="n">
        <v>0.0104</v>
      </c>
    </row>
    <row r="2065">
      <c r="A2065" t="n">
        <v>46</v>
      </c>
      <c r="B2065" t="n">
        <v>1987</v>
      </c>
      <c r="C2065" t="n">
        <v>0.0063</v>
      </c>
    </row>
    <row r="2066">
      <c r="A2066" t="n">
        <v>46</v>
      </c>
      <c r="B2066" t="n">
        <v>1988</v>
      </c>
      <c r="C2066" t="n">
        <v>0.0027</v>
      </c>
    </row>
    <row r="2067">
      <c r="A2067" t="n">
        <v>46</v>
      </c>
      <c r="B2067" t="n">
        <v>1989</v>
      </c>
      <c r="C2067" t="n">
        <v>0.0001</v>
      </c>
    </row>
    <row r="2068">
      <c r="A2068" t="n">
        <v>46</v>
      </c>
      <c r="B2068" t="n">
        <v>1990</v>
      </c>
      <c r="C2068" t="n">
        <v>-0.0012</v>
      </c>
    </row>
    <row r="2069">
      <c r="A2069" t="n">
        <v>46</v>
      </c>
      <c r="B2069" t="n">
        <v>1991</v>
      </c>
      <c r="C2069" t="n">
        <v>-0.0009</v>
      </c>
    </row>
    <row r="2070">
      <c r="A2070" t="n">
        <v>46</v>
      </c>
      <c r="B2070" t="n">
        <v>1992</v>
      </c>
      <c r="C2070" t="n">
        <v>0.0009</v>
      </c>
    </row>
    <row r="2071">
      <c r="A2071" t="n">
        <v>46</v>
      </c>
      <c r="B2071" t="n">
        <v>1993</v>
      </c>
      <c r="C2071" t="n">
        <v>0.0041</v>
      </c>
    </row>
    <row r="2072">
      <c r="A2072" t="n">
        <v>46</v>
      </c>
      <c r="B2072" t="n">
        <v>1994</v>
      </c>
      <c r="C2072" t="n">
        <v>0.0081</v>
      </c>
    </row>
    <row r="2073">
      <c r="A2073" t="n">
        <v>46</v>
      </c>
      <c r="B2073" t="n">
        <v>1995</v>
      </c>
      <c r="C2073" t="n">
        <v>0.0121</v>
      </c>
    </row>
    <row r="2074">
      <c r="A2074" t="n">
        <v>46</v>
      </c>
      <c r="B2074" t="n">
        <v>1996</v>
      </c>
      <c r="C2074" t="n">
        <v>0.0147</v>
      </c>
    </row>
    <row r="2075">
      <c r="A2075" t="n">
        <v>46</v>
      </c>
      <c r="B2075" t="n">
        <v>1997</v>
      </c>
      <c r="C2075" t="n">
        <v>0.0149</v>
      </c>
    </row>
    <row r="2076">
      <c r="A2076" t="n">
        <v>46</v>
      </c>
      <c r="B2076" t="n">
        <v>1998</v>
      </c>
      <c r="C2076" t="n">
        <v>0.0127</v>
      </c>
    </row>
    <row r="2077">
      <c r="A2077" t="n">
        <v>46</v>
      </c>
      <c r="B2077" t="n">
        <v>1999</v>
      </c>
      <c r="C2077" t="n">
        <v>0.0091</v>
      </c>
    </row>
    <row r="2078">
      <c r="A2078" t="n">
        <v>46</v>
      </c>
      <c r="B2078" t="n">
        <v>2000</v>
      </c>
      <c r="C2078" t="n">
        <v>0.0054</v>
      </c>
    </row>
    <row r="2079">
      <c r="A2079" t="n">
        <v>46</v>
      </c>
      <c r="B2079" t="n">
        <v>2001</v>
      </c>
      <c r="C2079" t="n">
        <v>0.0031</v>
      </c>
    </row>
    <row r="2080">
      <c r="A2080" t="n">
        <v>46</v>
      </c>
      <c r="B2080" t="n">
        <v>2002</v>
      </c>
      <c r="C2080" t="n">
        <v>0.0028</v>
      </c>
    </row>
    <row r="2081">
      <c r="A2081" t="n">
        <v>46</v>
      </c>
      <c r="B2081" t="n">
        <v>2003</v>
      </c>
      <c r="C2081" t="n">
        <v>0.0046</v>
      </c>
    </row>
    <row r="2082">
      <c r="A2082" t="n">
        <v>46</v>
      </c>
      <c r="B2082" t="n">
        <v>2004</v>
      </c>
      <c r="C2082" t="n">
        <v>0.0081</v>
      </c>
    </row>
    <row r="2083">
      <c r="A2083" t="n">
        <v>46</v>
      </c>
      <c r="B2083" t="n">
        <v>2005</v>
      </c>
      <c r="C2083" t="n">
        <v>0.0124</v>
      </c>
    </row>
    <row r="2084">
      <c r="A2084" t="n">
        <v>46</v>
      </c>
      <c r="B2084" t="n">
        <v>2006</v>
      </c>
      <c r="C2084" t="n">
        <v>0.0169</v>
      </c>
    </row>
    <row r="2085">
      <c r="A2085" t="n">
        <v>46</v>
      </c>
      <c r="B2085" t="n">
        <v>2007</v>
      </c>
      <c r="C2085" t="n">
        <v>0.0208</v>
      </c>
    </row>
    <row r="2086">
      <c r="A2086" t="n">
        <v>46</v>
      </c>
      <c r="B2086" t="n">
        <v>2008</v>
      </c>
      <c r="C2086" t="n">
        <v>0.0234</v>
      </c>
    </row>
    <row r="2087">
      <c r="A2087" t="n">
        <v>46</v>
      </c>
      <c r="B2087" t="n">
        <v>2009</v>
      </c>
      <c r="C2087" t="n">
        <v>0.0245</v>
      </c>
    </row>
    <row r="2088">
      <c r="A2088" t="n">
        <v>46</v>
      </c>
      <c r="B2088" t="n">
        <v>2010</v>
      </c>
      <c r="C2088" t="n">
        <v>0.0242</v>
      </c>
    </row>
    <row r="2089">
      <c r="A2089" t="n">
        <v>46</v>
      </c>
      <c r="B2089" t="n">
        <v>2011</v>
      </c>
      <c r="C2089" t="n">
        <v>0.0226</v>
      </c>
    </row>
    <row r="2090">
      <c r="A2090" t="n">
        <v>46</v>
      </c>
      <c r="B2090" t="n">
        <v>2012</v>
      </c>
      <c r="C2090" t="n">
        <v>0.02</v>
      </c>
    </row>
    <row r="2091">
      <c r="A2091" t="n">
        <v>46</v>
      </c>
      <c r="B2091" t="n">
        <v>2013</v>
      </c>
      <c r="C2091" t="n">
        <v>0.0197</v>
      </c>
    </row>
    <row r="2092">
      <c r="A2092" t="n">
        <v>46</v>
      </c>
      <c r="B2092" t="n">
        <v>2014</v>
      </c>
      <c r="C2092" t="n">
        <v>0.0187</v>
      </c>
    </row>
    <row r="2093">
      <c r="A2093" t="n">
        <v>46</v>
      </c>
      <c r="B2093" t="n">
        <v>2015</v>
      </c>
      <c r="C2093" t="n">
        <v>0.0173</v>
      </c>
    </row>
    <row r="2094">
      <c r="A2094" t="n">
        <v>46</v>
      </c>
      <c r="B2094" t="n">
        <v>2016</v>
      </c>
      <c r="C2094" t="n">
        <v>0.0154</v>
      </c>
    </row>
    <row r="2095">
      <c r="A2095" t="n">
        <v>46</v>
      </c>
      <c r="B2095" t="n">
        <v>2017</v>
      </c>
      <c r="C2095" t="n">
        <v>0.0134</v>
      </c>
    </row>
    <row r="2096">
      <c r="A2096" t="n">
        <v>46</v>
      </c>
      <c r="B2096" t="n">
        <v>2018</v>
      </c>
      <c r="C2096" t="n">
        <v>0.0113</v>
      </c>
    </row>
    <row r="2097">
      <c r="A2097" t="n">
        <v>46</v>
      </c>
      <c r="B2097" t="n">
        <v>2019</v>
      </c>
      <c r="C2097" t="n">
        <v>0.0095</v>
      </c>
    </row>
    <row r="2098">
      <c r="A2098" t="n">
        <v>46</v>
      </c>
      <c r="B2098" t="n">
        <v>2020</v>
      </c>
      <c r="C2098" t="n">
        <v>0.008</v>
      </c>
    </row>
    <row r="2099">
      <c r="A2099" t="n">
        <v>46</v>
      </c>
      <c r="B2099" t="n">
        <v>2021</v>
      </c>
      <c r="C2099" t="n">
        <v>0.007</v>
      </c>
    </row>
    <row r="2100">
      <c r="A2100" t="n">
        <v>46</v>
      </c>
      <c r="B2100" t="n">
        <v>2022</v>
      </c>
      <c r="C2100" t="n">
        <v>0.0066</v>
      </c>
    </row>
    <row r="2101">
      <c r="A2101" t="n">
        <v>46</v>
      </c>
      <c r="B2101" t="n">
        <v>2023</v>
      </c>
      <c r="C2101" t="n">
        <v>0.0067</v>
      </c>
    </row>
    <row r="2102">
      <c r="A2102" t="n">
        <v>46</v>
      </c>
      <c r="B2102" t="n">
        <v>2024</v>
      </c>
      <c r="C2102" t="n">
        <v>0.007</v>
      </c>
    </row>
    <row r="2103">
      <c r="A2103" t="n">
        <v>46</v>
      </c>
      <c r="B2103" t="n">
        <v>2025</v>
      </c>
      <c r="C2103" t="n">
        <v>0.0075</v>
      </c>
    </row>
    <row r="2104">
      <c r="A2104" t="n">
        <v>46</v>
      </c>
      <c r="B2104" t="n">
        <v>2026</v>
      </c>
      <c r="C2104" t="n">
        <v>0.0081</v>
      </c>
    </row>
    <row r="2105">
      <c r="A2105" t="n">
        <v>46</v>
      </c>
      <c r="B2105" t="n">
        <v>2027</v>
      </c>
      <c r="C2105" t="n">
        <v>0.008699999999999999</v>
      </c>
    </row>
    <row r="2106">
      <c r="A2106" t="n">
        <v>46</v>
      </c>
      <c r="B2106" t="n">
        <v>2028</v>
      </c>
      <c r="C2106" t="n">
        <v>0.0092</v>
      </c>
    </row>
    <row r="2107">
      <c r="A2107" t="n">
        <v>46</v>
      </c>
      <c r="B2107" t="n">
        <v>2029</v>
      </c>
      <c r="C2107" t="n">
        <v>0.009599999999999999</v>
      </c>
    </row>
    <row r="2108">
      <c r="A2108" t="n">
        <v>46</v>
      </c>
      <c r="B2108" t="n">
        <v>2030</v>
      </c>
      <c r="C2108" t="n">
        <v>0.009900000000000001</v>
      </c>
    </row>
    <row r="2109">
      <c r="A2109" t="n">
        <v>46</v>
      </c>
      <c r="B2109" t="n">
        <v>2031</v>
      </c>
      <c r="C2109" t="n">
        <v>0.01</v>
      </c>
    </row>
    <row r="2110">
      <c r="A2110" t="n">
        <v>47</v>
      </c>
      <c r="B2110" t="n">
        <v>1951</v>
      </c>
      <c r="C2110" t="n">
        <v>0.0225</v>
      </c>
    </row>
    <row r="2111">
      <c r="A2111" t="n">
        <v>47</v>
      </c>
      <c r="B2111" t="n">
        <v>1952</v>
      </c>
      <c r="C2111" t="n">
        <v>0.0207</v>
      </c>
    </row>
    <row r="2112">
      <c r="A2112" t="n">
        <v>47</v>
      </c>
      <c r="B2112" t="n">
        <v>1953</v>
      </c>
      <c r="C2112" t="n">
        <v>0.0188</v>
      </c>
    </row>
    <row r="2113">
      <c r="A2113" t="n">
        <v>47</v>
      </c>
      <c r="B2113" t="n">
        <v>1954</v>
      </c>
      <c r="C2113" t="n">
        <v>0.0167</v>
      </c>
    </row>
    <row r="2114">
      <c r="A2114" t="n">
        <v>47</v>
      </c>
      <c r="B2114" t="n">
        <v>1955</v>
      </c>
      <c r="C2114" t="n">
        <v>0.0143</v>
      </c>
    </row>
    <row r="2115">
      <c r="A2115" t="n">
        <v>47</v>
      </c>
      <c r="B2115" t="n">
        <v>1956</v>
      </c>
      <c r="C2115" t="n">
        <v>0.0116</v>
      </c>
    </row>
    <row r="2116">
      <c r="A2116" t="n">
        <v>47</v>
      </c>
      <c r="B2116" t="n">
        <v>1957</v>
      </c>
      <c r="C2116" t="n">
        <v>0.0089</v>
      </c>
    </row>
    <row r="2117">
      <c r="A2117" t="n">
        <v>47</v>
      </c>
      <c r="B2117" t="n">
        <v>1958</v>
      </c>
      <c r="C2117" t="n">
        <v>0.0063</v>
      </c>
    </row>
    <row r="2118">
      <c r="A2118" t="n">
        <v>47</v>
      </c>
      <c r="B2118" t="n">
        <v>1959</v>
      </c>
      <c r="C2118" t="n">
        <v>0.0039</v>
      </c>
    </row>
    <row r="2119">
      <c r="A2119" t="n">
        <v>47</v>
      </c>
      <c r="B2119" t="n">
        <v>1960</v>
      </c>
      <c r="C2119" t="n">
        <v>0.0018</v>
      </c>
    </row>
    <row r="2120">
      <c r="A2120" t="n">
        <v>47</v>
      </c>
      <c r="B2120" t="n">
        <v>1961</v>
      </c>
      <c r="C2120" t="n">
        <v>0</v>
      </c>
    </row>
    <row r="2121">
      <c r="A2121" t="n">
        <v>47</v>
      </c>
      <c r="B2121" t="n">
        <v>1962</v>
      </c>
      <c r="C2121" t="n">
        <v>-0.0016</v>
      </c>
    </row>
    <row r="2122">
      <c r="A2122" t="n">
        <v>47</v>
      </c>
      <c r="B2122" t="n">
        <v>1963</v>
      </c>
      <c r="C2122" t="n">
        <v>-0.0028</v>
      </c>
    </row>
    <row r="2123">
      <c r="A2123" t="n">
        <v>47</v>
      </c>
      <c r="B2123" t="n">
        <v>1964</v>
      </c>
      <c r="C2123" t="n">
        <v>-0.0035</v>
      </c>
    </row>
    <row r="2124">
      <c r="A2124" t="n">
        <v>47</v>
      </c>
      <c r="B2124" t="n">
        <v>1965</v>
      </c>
      <c r="C2124" t="n">
        <v>-0.0036</v>
      </c>
    </row>
    <row r="2125">
      <c r="A2125" t="n">
        <v>47</v>
      </c>
      <c r="B2125" t="n">
        <v>1966</v>
      </c>
      <c r="C2125" t="n">
        <v>-0.0029</v>
      </c>
    </row>
    <row r="2126">
      <c r="A2126" t="n">
        <v>47</v>
      </c>
      <c r="B2126" t="n">
        <v>1967</v>
      </c>
      <c r="C2126" t="n">
        <v>-0.0013</v>
      </c>
    </row>
    <row r="2127">
      <c r="A2127" t="n">
        <v>47</v>
      </c>
      <c r="B2127" t="n">
        <v>1968</v>
      </c>
      <c r="C2127" t="n">
        <v>0.0013</v>
      </c>
    </row>
    <row r="2128">
      <c r="A2128" t="n">
        <v>47</v>
      </c>
      <c r="B2128" t="n">
        <v>1969</v>
      </c>
      <c r="C2128" t="n">
        <v>0.0048</v>
      </c>
    </row>
    <row r="2129">
      <c r="A2129" t="n">
        <v>47</v>
      </c>
      <c r="B2129" t="n">
        <v>1970</v>
      </c>
      <c r="C2129" t="n">
        <v>0.0089</v>
      </c>
    </row>
    <row r="2130">
      <c r="A2130" t="n">
        <v>47</v>
      </c>
      <c r="B2130" t="n">
        <v>1971</v>
      </c>
      <c r="C2130" t="n">
        <v>0.0133</v>
      </c>
    </row>
    <row r="2131">
      <c r="A2131" t="n">
        <v>47</v>
      </c>
      <c r="B2131" t="n">
        <v>1972</v>
      </c>
      <c r="C2131" t="n">
        <v>0.0178</v>
      </c>
    </row>
    <row r="2132">
      <c r="A2132" t="n">
        <v>47</v>
      </c>
      <c r="B2132" t="n">
        <v>1973</v>
      </c>
      <c r="C2132" t="n">
        <v>0.0222</v>
      </c>
    </row>
    <row r="2133">
      <c r="A2133" t="n">
        <v>47</v>
      </c>
      <c r="B2133" t="n">
        <v>1974</v>
      </c>
      <c r="C2133" t="n">
        <v>0.0261</v>
      </c>
    </row>
    <row r="2134">
      <c r="A2134" t="n">
        <v>47</v>
      </c>
      <c r="B2134" t="n">
        <v>1975</v>
      </c>
      <c r="C2134" t="n">
        <v>0.0291</v>
      </c>
    </row>
    <row r="2135">
      <c r="A2135" t="n">
        <v>47</v>
      </c>
      <c r="B2135" t="n">
        <v>1976</v>
      </c>
      <c r="C2135" t="n">
        <v>0.0309</v>
      </c>
    </row>
    <row r="2136">
      <c r="A2136" t="n">
        <v>47</v>
      </c>
      <c r="B2136" t="n">
        <v>1977</v>
      </c>
      <c r="C2136" t="n">
        <v>0.0316</v>
      </c>
    </row>
    <row r="2137">
      <c r="A2137" t="n">
        <v>47</v>
      </c>
      <c r="B2137" t="n">
        <v>1978</v>
      </c>
      <c r="C2137" t="n">
        <v>0.0315</v>
      </c>
    </row>
    <row r="2138">
      <c r="A2138" t="n">
        <v>47</v>
      </c>
      <c r="B2138" t="n">
        <v>1979</v>
      </c>
      <c r="C2138" t="n">
        <v>0.0308</v>
      </c>
    </row>
    <row r="2139">
      <c r="A2139" t="n">
        <v>47</v>
      </c>
      <c r="B2139" t="n">
        <v>1980</v>
      </c>
      <c r="C2139" t="n">
        <v>0.0297</v>
      </c>
    </row>
    <row r="2140">
      <c r="A2140" t="n">
        <v>47</v>
      </c>
      <c r="B2140" t="n">
        <v>1981</v>
      </c>
      <c r="C2140" t="n">
        <v>0.0283</v>
      </c>
    </row>
    <row r="2141">
      <c r="A2141" t="n">
        <v>47</v>
      </c>
      <c r="B2141" t="n">
        <v>1982</v>
      </c>
      <c r="C2141" t="n">
        <v>0.0263</v>
      </c>
    </row>
    <row r="2142">
      <c r="A2142" t="n">
        <v>47</v>
      </c>
      <c r="B2142" t="n">
        <v>1983</v>
      </c>
      <c r="C2142" t="n">
        <v>0.0237</v>
      </c>
    </row>
    <row r="2143">
      <c r="A2143" t="n">
        <v>47</v>
      </c>
      <c r="B2143" t="n">
        <v>1984</v>
      </c>
      <c r="C2143" t="n">
        <v>0.0205</v>
      </c>
    </row>
    <row r="2144">
      <c r="A2144" t="n">
        <v>47</v>
      </c>
      <c r="B2144" t="n">
        <v>1985</v>
      </c>
      <c r="C2144" t="n">
        <v>0.0168</v>
      </c>
    </row>
    <row r="2145">
      <c r="A2145" t="n">
        <v>47</v>
      </c>
      <c r="B2145" t="n">
        <v>1986</v>
      </c>
      <c r="C2145" t="n">
        <v>0.013</v>
      </c>
    </row>
    <row r="2146">
      <c r="A2146" t="n">
        <v>47</v>
      </c>
      <c r="B2146" t="n">
        <v>1987</v>
      </c>
      <c r="C2146" t="n">
        <v>0.0094</v>
      </c>
    </row>
    <row r="2147">
      <c r="A2147" t="n">
        <v>47</v>
      </c>
      <c r="B2147" t="n">
        <v>1988</v>
      </c>
      <c r="C2147" t="n">
        <v>0.0064</v>
      </c>
    </row>
    <row r="2148">
      <c r="A2148" t="n">
        <v>47</v>
      </c>
      <c r="B2148" t="n">
        <v>1989</v>
      </c>
      <c r="C2148" t="n">
        <v>0.0042</v>
      </c>
    </row>
    <row r="2149">
      <c r="A2149" t="n">
        <v>47</v>
      </c>
      <c r="B2149" t="n">
        <v>1990</v>
      </c>
      <c r="C2149" t="n">
        <v>0.003</v>
      </c>
    </row>
    <row r="2150">
      <c r="A2150" t="n">
        <v>47</v>
      </c>
      <c r="B2150" t="n">
        <v>1991</v>
      </c>
      <c r="C2150" t="n">
        <v>0.003</v>
      </c>
    </row>
    <row r="2151">
      <c r="A2151" t="n">
        <v>47</v>
      </c>
      <c r="B2151" t="n">
        <v>1992</v>
      </c>
      <c r="C2151" t="n">
        <v>0.0043</v>
      </c>
    </row>
    <row r="2152">
      <c r="A2152" t="n">
        <v>47</v>
      </c>
      <c r="B2152" t="n">
        <v>1993</v>
      </c>
      <c r="C2152" t="n">
        <v>0.0066</v>
      </c>
    </row>
    <row r="2153">
      <c r="A2153" t="n">
        <v>47</v>
      </c>
      <c r="B2153" t="n">
        <v>1994</v>
      </c>
      <c r="C2153" t="n">
        <v>0.0095</v>
      </c>
    </row>
    <row r="2154">
      <c r="A2154" t="n">
        <v>47</v>
      </c>
      <c r="B2154" t="n">
        <v>1995</v>
      </c>
      <c r="C2154" t="n">
        <v>0.0122</v>
      </c>
    </row>
    <row r="2155">
      <c r="A2155" t="n">
        <v>47</v>
      </c>
      <c r="B2155" t="n">
        <v>1996</v>
      </c>
      <c r="C2155" t="n">
        <v>0.0138</v>
      </c>
    </row>
    <row r="2156">
      <c r="A2156" t="n">
        <v>47</v>
      </c>
      <c r="B2156" t="n">
        <v>1997</v>
      </c>
      <c r="C2156" t="n">
        <v>0.0134</v>
      </c>
    </row>
    <row r="2157">
      <c r="A2157" t="n">
        <v>47</v>
      </c>
      <c r="B2157" t="n">
        <v>1998</v>
      </c>
      <c r="C2157" t="n">
        <v>0.0109</v>
      </c>
    </row>
    <row r="2158">
      <c r="A2158" t="n">
        <v>47</v>
      </c>
      <c r="B2158" t="n">
        <v>1999</v>
      </c>
      <c r="C2158" t="n">
        <v>0.0071</v>
      </c>
    </row>
    <row r="2159">
      <c r="A2159" t="n">
        <v>47</v>
      </c>
      <c r="B2159" t="n">
        <v>2000</v>
      </c>
      <c r="C2159" t="n">
        <v>0.0035</v>
      </c>
    </row>
    <row r="2160">
      <c r="A2160" t="n">
        <v>47</v>
      </c>
      <c r="B2160" t="n">
        <v>2001</v>
      </c>
      <c r="C2160" t="n">
        <v>0.0011</v>
      </c>
    </row>
    <row r="2161">
      <c r="A2161" t="n">
        <v>47</v>
      </c>
      <c r="B2161" t="n">
        <v>2002</v>
      </c>
      <c r="C2161" t="n">
        <v>0.0008</v>
      </c>
    </row>
    <row r="2162">
      <c r="A2162" t="n">
        <v>47</v>
      </c>
      <c r="B2162" t="n">
        <v>2003</v>
      </c>
      <c r="C2162" t="n">
        <v>0.0025</v>
      </c>
    </row>
    <row r="2163">
      <c r="A2163" t="n">
        <v>47</v>
      </c>
      <c r="B2163" t="n">
        <v>2004</v>
      </c>
      <c r="C2163" t="n">
        <v>0.0059</v>
      </c>
    </row>
    <row r="2164">
      <c r="A2164" t="n">
        <v>47</v>
      </c>
      <c r="B2164" t="n">
        <v>2005</v>
      </c>
      <c r="C2164" t="n">
        <v>0.0102</v>
      </c>
    </row>
    <row r="2165">
      <c r="A2165" t="n">
        <v>47</v>
      </c>
      <c r="B2165" t="n">
        <v>2006</v>
      </c>
      <c r="C2165" t="n">
        <v>0.0147</v>
      </c>
    </row>
    <row r="2166">
      <c r="A2166" t="n">
        <v>47</v>
      </c>
      <c r="B2166" t="n">
        <v>2007</v>
      </c>
      <c r="C2166" t="n">
        <v>0.0185</v>
      </c>
    </row>
    <row r="2167">
      <c r="A2167" t="n">
        <v>47</v>
      </c>
      <c r="B2167" t="n">
        <v>2008</v>
      </c>
      <c r="C2167" t="n">
        <v>0.0212</v>
      </c>
    </row>
    <row r="2168">
      <c r="A2168" t="n">
        <v>47</v>
      </c>
      <c r="B2168" t="n">
        <v>2009</v>
      </c>
      <c r="C2168" t="n">
        <v>0.0226</v>
      </c>
    </row>
    <row r="2169">
      <c r="A2169" t="n">
        <v>47</v>
      </c>
      <c r="B2169" t="n">
        <v>2010</v>
      </c>
      <c r="C2169" t="n">
        <v>0.0227</v>
      </c>
    </row>
    <row r="2170">
      <c r="A2170" t="n">
        <v>47</v>
      </c>
      <c r="B2170" t="n">
        <v>2011</v>
      </c>
      <c r="C2170" t="n">
        <v>0.0215</v>
      </c>
    </row>
    <row r="2171">
      <c r="A2171" t="n">
        <v>47</v>
      </c>
      <c r="B2171" t="n">
        <v>2012</v>
      </c>
      <c r="C2171" t="n">
        <v>0.0195</v>
      </c>
    </row>
    <row r="2172">
      <c r="A2172" t="n">
        <v>47</v>
      </c>
      <c r="B2172" t="n">
        <v>2013</v>
      </c>
      <c r="C2172" t="n">
        <v>0.0196</v>
      </c>
    </row>
    <row r="2173">
      <c r="A2173" t="n">
        <v>47</v>
      </c>
      <c r="B2173" t="n">
        <v>2014</v>
      </c>
      <c r="C2173" t="n">
        <v>0.019</v>
      </c>
    </row>
    <row r="2174">
      <c r="A2174" t="n">
        <v>47</v>
      </c>
      <c r="B2174" t="n">
        <v>2015</v>
      </c>
      <c r="C2174" t="n">
        <v>0.0178</v>
      </c>
    </row>
    <row r="2175">
      <c r="A2175" t="n">
        <v>47</v>
      </c>
      <c r="B2175" t="n">
        <v>2016</v>
      </c>
      <c r="C2175" t="n">
        <v>0.0163</v>
      </c>
    </row>
    <row r="2176">
      <c r="A2176" t="n">
        <v>47</v>
      </c>
      <c r="B2176" t="n">
        <v>2017</v>
      </c>
      <c r="C2176" t="n">
        <v>0.0144</v>
      </c>
    </row>
    <row r="2177">
      <c r="A2177" t="n">
        <v>47</v>
      </c>
      <c r="B2177" t="n">
        <v>2018</v>
      </c>
      <c r="C2177" t="n">
        <v>0.0125</v>
      </c>
    </row>
    <row r="2178">
      <c r="A2178" t="n">
        <v>47</v>
      </c>
      <c r="B2178" t="n">
        <v>2019</v>
      </c>
      <c r="C2178" t="n">
        <v>0.0107</v>
      </c>
    </row>
    <row r="2179">
      <c r="A2179" t="n">
        <v>47</v>
      </c>
      <c r="B2179" t="n">
        <v>2020</v>
      </c>
      <c r="C2179" t="n">
        <v>0.0091</v>
      </c>
    </row>
    <row r="2180">
      <c r="A2180" t="n">
        <v>47</v>
      </c>
      <c r="B2180" t="n">
        <v>2021</v>
      </c>
      <c r="C2180" t="n">
        <v>0.007900000000000001</v>
      </c>
    </row>
    <row r="2181">
      <c r="A2181" t="n">
        <v>47</v>
      </c>
      <c r="B2181" t="n">
        <v>2022</v>
      </c>
      <c r="C2181" t="n">
        <v>0.0073</v>
      </c>
    </row>
    <row r="2182">
      <c r="A2182" t="n">
        <v>47</v>
      </c>
      <c r="B2182" t="n">
        <v>2023</v>
      </c>
      <c r="C2182" t="n">
        <v>0.0071</v>
      </c>
    </row>
    <row r="2183">
      <c r="A2183" t="n">
        <v>47</v>
      </c>
      <c r="B2183" t="n">
        <v>2024</v>
      </c>
      <c r="C2183" t="n">
        <v>0.0072</v>
      </c>
    </row>
    <row r="2184">
      <c r="A2184" t="n">
        <v>47</v>
      </c>
      <c r="B2184" t="n">
        <v>2025</v>
      </c>
      <c r="C2184" t="n">
        <v>0.0076</v>
      </c>
    </row>
    <row r="2185">
      <c r="A2185" t="n">
        <v>47</v>
      </c>
      <c r="B2185" t="n">
        <v>2026</v>
      </c>
      <c r="C2185" t="n">
        <v>0.0081</v>
      </c>
    </row>
    <row r="2186">
      <c r="A2186" t="n">
        <v>47</v>
      </c>
      <c r="B2186" t="n">
        <v>2027</v>
      </c>
      <c r="C2186" t="n">
        <v>0.0086</v>
      </c>
    </row>
    <row r="2187">
      <c r="A2187" t="n">
        <v>47</v>
      </c>
      <c r="B2187" t="n">
        <v>2028</v>
      </c>
      <c r="C2187" t="n">
        <v>0.0091</v>
      </c>
    </row>
    <row r="2188">
      <c r="A2188" t="n">
        <v>47</v>
      </c>
      <c r="B2188" t="n">
        <v>2029</v>
      </c>
      <c r="C2188" t="n">
        <v>0.009599999999999999</v>
      </c>
    </row>
    <row r="2189">
      <c r="A2189" t="n">
        <v>47</v>
      </c>
      <c r="B2189" t="n">
        <v>2030</v>
      </c>
      <c r="C2189" t="n">
        <v>0.0098</v>
      </c>
    </row>
    <row r="2190">
      <c r="A2190" t="n">
        <v>47</v>
      </c>
      <c r="B2190" t="n">
        <v>2031</v>
      </c>
      <c r="C2190" t="n">
        <v>0.01</v>
      </c>
    </row>
    <row r="2191">
      <c r="A2191" t="n">
        <v>48</v>
      </c>
      <c r="B2191" t="n">
        <v>1951</v>
      </c>
      <c r="C2191" t="n">
        <v>0.0212</v>
      </c>
    </row>
    <row r="2192">
      <c r="A2192" t="n">
        <v>48</v>
      </c>
      <c r="B2192" t="n">
        <v>1952</v>
      </c>
      <c r="C2192" t="n">
        <v>0.0195</v>
      </c>
    </row>
    <row r="2193">
      <c r="A2193" t="n">
        <v>48</v>
      </c>
      <c r="B2193" t="n">
        <v>1953</v>
      </c>
      <c r="C2193" t="n">
        <v>0.0178</v>
      </c>
    </row>
    <row r="2194">
      <c r="A2194" t="n">
        <v>48</v>
      </c>
      <c r="B2194" t="n">
        <v>1954</v>
      </c>
      <c r="C2194" t="n">
        <v>0.0158</v>
      </c>
    </row>
    <row r="2195">
      <c r="A2195" t="n">
        <v>48</v>
      </c>
      <c r="B2195" t="n">
        <v>1955</v>
      </c>
      <c r="C2195" t="n">
        <v>0.0135</v>
      </c>
    </row>
    <row r="2196">
      <c r="A2196" t="n">
        <v>48</v>
      </c>
      <c r="B2196" t="n">
        <v>1956</v>
      </c>
      <c r="C2196" t="n">
        <v>0.0109</v>
      </c>
    </row>
    <row r="2197">
      <c r="A2197" t="n">
        <v>48</v>
      </c>
      <c r="B2197" t="n">
        <v>1957</v>
      </c>
      <c r="C2197" t="n">
        <v>0.0083</v>
      </c>
    </row>
    <row r="2198">
      <c r="A2198" t="n">
        <v>48</v>
      </c>
      <c r="B2198" t="n">
        <v>1958</v>
      </c>
      <c r="C2198" t="n">
        <v>0.0058</v>
      </c>
    </row>
    <row r="2199">
      <c r="A2199" t="n">
        <v>48</v>
      </c>
      <c r="B2199" t="n">
        <v>1959</v>
      </c>
      <c r="C2199" t="n">
        <v>0.0036</v>
      </c>
    </row>
    <row r="2200">
      <c r="A2200" t="n">
        <v>48</v>
      </c>
      <c r="B2200" t="n">
        <v>1960</v>
      </c>
      <c r="C2200" t="n">
        <v>0.0017</v>
      </c>
    </row>
    <row r="2201">
      <c r="A2201" t="n">
        <v>48</v>
      </c>
      <c r="B2201" t="n">
        <v>1961</v>
      </c>
      <c r="C2201" t="n">
        <v>0.0001</v>
      </c>
    </row>
    <row r="2202">
      <c r="A2202" t="n">
        <v>48</v>
      </c>
      <c r="B2202" t="n">
        <v>1962</v>
      </c>
      <c r="C2202" t="n">
        <v>-0.0013</v>
      </c>
    </row>
    <row r="2203">
      <c r="A2203" t="n">
        <v>48</v>
      </c>
      <c r="B2203" t="n">
        <v>1963</v>
      </c>
      <c r="C2203" t="n">
        <v>-0.0022</v>
      </c>
    </row>
    <row r="2204">
      <c r="A2204" t="n">
        <v>48</v>
      </c>
      <c r="B2204" t="n">
        <v>1964</v>
      </c>
      <c r="C2204" t="n">
        <v>-0.0027</v>
      </c>
    </row>
    <row r="2205">
      <c r="A2205" t="n">
        <v>48</v>
      </c>
      <c r="B2205" t="n">
        <v>1965</v>
      </c>
      <c r="C2205" t="n">
        <v>-0.0026</v>
      </c>
    </row>
    <row r="2206">
      <c r="A2206" t="n">
        <v>48</v>
      </c>
      <c r="B2206" t="n">
        <v>1966</v>
      </c>
      <c r="C2206" t="n">
        <v>-0.0017</v>
      </c>
    </row>
    <row r="2207">
      <c r="A2207" t="n">
        <v>48</v>
      </c>
      <c r="B2207" t="n">
        <v>1967</v>
      </c>
      <c r="C2207" t="n">
        <v>0</v>
      </c>
    </row>
    <row r="2208">
      <c r="A2208" t="n">
        <v>48</v>
      </c>
      <c r="B2208" t="n">
        <v>1968</v>
      </c>
      <c r="C2208" t="n">
        <v>0.0026</v>
      </c>
    </row>
    <row r="2209">
      <c r="A2209" t="n">
        <v>48</v>
      </c>
      <c r="B2209" t="n">
        <v>1969</v>
      </c>
      <c r="C2209" t="n">
        <v>0.0059</v>
      </c>
    </row>
    <row r="2210">
      <c r="A2210" t="n">
        <v>48</v>
      </c>
      <c r="B2210" t="n">
        <v>1970</v>
      </c>
      <c r="C2210" t="n">
        <v>0.0097</v>
      </c>
    </row>
    <row r="2211">
      <c r="A2211" t="n">
        <v>48</v>
      </c>
      <c r="B2211" t="n">
        <v>1971</v>
      </c>
      <c r="C2211" t="n">
        <v>0.0138</v>
      </c>
    </row>
    <row r="2212">
      <c r="A2212" t="n">
        <v>48</v>
      </c>
      <c r="B2212" t="n">
        <v>1972</v>
      </c>
      <c r="C2212" t="n">
        <v>0.0179</v>
      </c>
    </row>
    <row r="2213">
      <c r="A2213" t="n">
        <v>48</v>
      </c>
      <c r="B2213" t="n">
        <v>1973</v>
      </c>
      <c r="C2213" t="n">
        <v>0.0219</v>
      </c>
    </row>
    <row r="2214">
      <c r="A2214" t="n">
        <v>48</v>
      </c>
      <c r="B2214" t="n">
        <v>1974</v>
      </c>
      <c r="C2214" t="n">
        <v>0.0254</v>
      </c>
    </row>
    <row r="2215">
      <c r="A2215" t="n">
        <v>48</v>
      </c>
      <c r="B2215" t="n">
        <v>1975</v>
      </c>
      <c r="C2215" t="n">
        <v>0.0281</v>
      </c>
    </row>
    <row r="2216">
      <c r="A2216" t="n">
        <v>48</v>
      </c>
      <c r="B2216" t="n">
        <v>1976</v>
      </c>
      <c r="C2216" t="n">
        <v>0.0297</v>
      </c>
    </row>
    <row r="2217">
      <c r="A2217" t="n">
        <v>48</v>
      </c>
      <c r="B2217" t="n">
        <v>1977</v>
      </c>
      <c r="C2217" t="n">
        <v>0.0303</v>
      </c>
    </row>
    <row r="2218">
      <c r="A2218" t="n">
        <v>48</v>
      </c>
      <c r="B2218" t="n">
        <v>1978</v>
      </c>
      <c r="C2218" t="n">
        <v>0.0303</v>
      </c>
    </row>
    <row r="2219">
      <c r="A2219" t="n">
        <v>48</v>
      </c>
      <c r="B2219" t="n">
        <v>1979</v>
      </c>
      <c r="C2219" t="n">
        <v>0.0297</v>
      </c>
    </row>
    <row r="2220">
      <c r="A2220" t="n">
        <v>48</v>
      </c>
      <c r="B2220" t="n">
        <v>1980</v>
      </c>
      <c r="C2220" t="n">
        <v>0.0289</v>
      </c>
    </row>
    <row r="2221">
      <c r="A2221" t="n">
        <v>48</v>
      </c>
      <c r="B2221" t="n">
        <v>1981</v>
      </c>
      <c r="C2221" t="n">
        <v>0.0277</v>
      </c>
    </row>
    <row r="2222">
      <c r="A2222" t="n">
        <v>48</v>
      </c>
      <c r="B2222" t="n">
        <v>1982</v>
      </c>
      <c r="C2222" t="n">
        <v>0.0261</v>
      </c>
    </row>
    <row r="2223">
      <c r="A2223" t="n">
        <v>48</v>
      </c>
      <c r="B2223" t="n">
        <v>1983</v>
      </c>
      <c r="C2223" t="n">
        <v>0.024</v>
      </c>
    </row>
    <row r="2224">
      <c r="A2224" t="n">
        <v>48</v>
      </c>
      <c r="B2224" t="n">
        <v>1984</v>
      </c>
      <c r="C2224" t="n">
        <v>0.0212</v>
      </c>
    </row>
    <row r="2225">
      <c r="A2225" t="n">
        <v>48</v>
      </c>
      <c r="B2225" t="n">
        <v>1985</v>
      </c>
      <c r="C2225" t="n">
        <v>0.0181</v>
      </c>
    </row>
    <row r="2226">
      <c r="A2226" t="n">
        <v>48</v>
      </c>
      <c r="B2226" t="n">
        <v>1986</v>
      </c>
      <c r="C2226" t="n">
        <v>0.015</v>
      </c>
    </row>
    <row r="2227">
      <c r="A2227" t="n">
        <v>48</v>
      </c>
      <c r="B2227" t="n">
        <v>1987</v>
      </c>
      <c r="C2227" t="n">
        <v>0.0121</v>
      </c>
    </row>
    <row r="2228">
      <c r="A2228" t="n">
        <v>48</v>
      </c>
      <c r="B2228" t="n">
        <v>1988</v>
      </c>
      <c r="C2228" t="n">
        <v>0.0097</v>
      </c>
    </row>
    <row r="2229">
      <c r="A2229" t="n">
        <v>48</v>
      </c>
      <c r="B2229" t="n">
        <v>1989</v>
      </c>
      <c r="C2229" t="n">
        <v>0.007900000000000001</v>
      </c>
    </row>
    <row r="2230">
      <c r="A2230" t="n">
        <v>48</v>
      </c>
      <c r="B2230" t="n">
        <v>1990</v>
      </c>
      <c r="C2230" t="n">
        <v>0.0069</v>
      </c>
    </row>
    <row r="2231">
      <c r="A2231" t="n">
        <v>48</v>
      </c>
      <c r="B2231" t="n">
        <v>1991</v>
      </c>
      <c r="C2231" t="n">
        <v>0.0068</v>
      </c>
    </row>
    <row r="2232">
      <c r="A2232" t="n">
        <v>48</v>
      </c>
      <c r="B2232" t="n">
        <v>1992</v>
      </c>
      <c r="C2232" t="n">
        <v>0.0076</v>
      </c>
    </row>
    <row r="2233">
      <c r="A2233" t="n">
        <v>48</v>
      </c>
      <c r="B2233" t="n">
        <v>1993</v>
      </c>
      <c r="C2233" t="n">
        <v>0.0091</v>
      </c>
    </row>
    <row r="2234">
      <c r="A2234" t="n">
        <v>48</v>
      </c>
      <c r="B2234" t="n">
        <v>1994</v>
      </c>
      <c r="C2234" t="n">
        <v>0.0112</v>
      </c>
    </row>
    <row r="2235">
      <c r="A2235" t="n">
        <v>48</v>
      </c>
      <c r="B2235" t="n">
        <v>1995</v>
      </c>
      <c r="C2235" t="n">
        <v>0.013</v>
      </c>
    </row>
    <row r="2236">
      <c r="A2236" t="n">
        <v>48</v>
      </c>
      <c r="B2236" t="n">
        <v>1996</v>
      </c>
      <c r="C2236" t="n">
        <v>0.0139</v>
      </c>
    </row>
    <row r="2237">
      <c r="A2237" t="n">
        <v>48</v>
      </c>
      <c r="B2237" t="n">
        <v>1997</v>
      </c>
      <c r="C2237" t="n">
        <v>0.0129</v>
      </c>
    </row>
    <row r="2238">
      <c r="A2238" t="n">
        <v>48</v>
      </c>
      <c r="B2238" t="n">
        <v>1998</v>
      </c>
      <c r="C2238" t="n">
        <v>0.0101</v>
      </c>
    </row>
    <row r="2239">
      <c r="A2239" t="n">
        <v>48</v>
      </c>
      <c r="B2239" t="n">
        <v>1999</v>
      </c>
      <c r="C2239" t="n">
        <v>0.0062</v>
      </c>
    </row>
    <row r="2240">
      <c r="A2240" t="n">
        <v>48</v>
      </c>
      <c r="B2240" t="n">
        <v>2000</v>
      </c>
      <c r="C2240" t="n">
        <v>0.0023</v>
      </c>
    </row>
    <row r="2241">
      <c r="A2241" t="n">
        <v>48</v>
      </c>
      <c r="B2241" t="n">
        <v>2001</v>
      </c>
      <c r="C2241" t="n">
        <v>-0.0003</v>
      </c>
    </row>
    <row r="2242">
      <c r="A2242" t="n">
        <v>48</v>
      </c>
      <c r="B2242" t="n">
        <v>2002</v>
      </c>
      <c r="C2242" t="n">
        <v>-0.001</v>
      </c>
    </row>
    <row r="2243">
      <c r="A2243" t="n">
        <v>48</v>
      </c>
      <c r="B2243" t="n">
        <v>2003</v>
      </c>
      <c r="C2243" t="n">
        <v>0.0005</v>
      </c>
    </row>
    <row r="2244">
      <c r="A2244" t="n">
        <v>48</v>
      </c>
      <c r="B2244" t="n">
        <v>2004</v>
      </c>
      <c r="C2244" t="n">
        <v>0.0036</v>
      </c>
    </row>
    <row r="2245">
      <c r="A2245" t="n">
        <v>48</v>
      </c>
      <c r="B2245" t="n">
        <v>2005</v>
      </c>
      <c r="C2245" t="n">
        <v>0.0078</v>
      </c>
    </row>
    <row r="2246">
      <c r="A2246" t="n">
        <v>48</v>
      </c>
      <c r="B2246" t="n">
        <v>2006</v>
      </c>
      <c r="C2246" t="n">
        <v>0.0122</v>
      </c>
    </row>
    <row r="2247">
      <c r="A2247" t="n">
        <v>48</v>
      </c>
      <c r="B2247" t="n">
        <v>2007</v>
      </c>
      <c r="C2247" t="n">
        <v>0.0161</v>
      </c>
    </row>
    <row r="2248">
      <c r="A2248" t="n">
        <v>48</v>
      </c>
      <c r="B2248" t="n">
        <v>2008</v>
      </c>
      <c r="C2248" t="n">
        <v>0.0189</v>
      </c>
    </row>
    <row r="2249">
      <c r="A2249" t="n">
        <v>48</v>
      </c>
      <c r="B2249" t="n">
        <v>2009</v>
      </c>
      <c r="C2249" t="n">
        <v>0.0205</v>
      </c>
    </row>
    <row r="2250">
      <c r="A2250" t="n">
        <v>48</v>
      </c>
      <c r="B2250" t="n">
        <v>2010</v>
      </c>
      <c r="C2250" t="n">
        <v>0.0208</v>
      </c>
    </row>
    <row r="2251">
      <c r="A2251" t="n">
        <v>48</v>
      </c>
      <c r="B2251" t="n">
        <v>2011</v>
      </c>
      <c r="C2251" t="n">
        <v>0.02</v>
      </c>
    </row>
    <row r="2252">
      <c r="A2252" t="n">
        <v>48</v>
      </c>
      <c r="B2252" t="n">
        <v>2012</v>
      </c>
      <c r="C2252" t="n">
        <v>0.0185</v>
      </c>
    </row>
    <row r="2253">
      <c r="A2253" t="n">
        <v>48</v>
      </c>
      <c r="B2253" t="n">
        <v>2013</v>
      </c>
      <c r="C2253" t="n">
        <v>0.0188</v>
      </c>
    </row>
    <row r="2254">
      <c r="A2254" t="n">
        <v>48</v>
      </c>
      <c r="B2254" t="n">
        <v>2014</v>
      </c>
      <c r="C2254" t="n">
        <v>0.0186</v>
      </c>
    </row>
    <row r="2255">
      <c r="A2255" t="n">
        <v>48</v>
      </c>
      <c r="B2255" t="n">
        <v>2015</v>
      </c>
      <c r="C2255" t="n">
        <v>0.0179</v>
      </c>
    </row>
    <row r="2256">
      <c r="A2256" t="n">
        <v>48</v>
      </c>
      <c r="B2256" t="n">
        <v>2016</v>
      </c>
      <c r="C2256" t="n">
        <v>0.0167</v>
      </c>
    </row>
    <row r="2257">
      <c r="A2257" t="n">
        <v>48</v>
      </c>
      <c r="B2257" t="n">
        <v>2017</v>
      </c>
      <c r="C2257" t="n">
        <v>0.0151</v>
      </c>
    </row>
    <row r="2258">
      <c r="A2258" t="n">
        <v>48</v>
      </c>
      <c r="B2258" t="n">
        <v>2018</v>
      </c>
      <c r="C2258" t="n">
        <v>0.0134</v>
      </c>
    </row>
    <row r="2259">
      <c r="A2259" t="n">
        <v>48</v>
      </c>
      <c r="B2259" t="n">
        <v>2019</v>
      </c>
      <c r="C2259" t="n">
        <v>0.0117</v>
      </c>
    </row>
    <row r="2260">
      <c r="A2260" t="n">
        <v>48</v>
      </c>
      <c r="B2260" t="n">
        <v>2020</v>
      </c>
      <c r="C2260" t="n">
        <v>0.0101</v>
      </c>
    </row>
    <row r="2261">
      <c r="A2261" t="n">
        <v>48</v>
      </c>
      <c r="B2261" t="n">
        <v>2021</v>
      </c>
      <c r="C2261" t="n">
        <v>0.0089</v>
      </c>
    </row>
    <row r="2262">
      <c r="A2262" t="n">
        <v>48</v>
      </c>
      <c r="B2262" t="n">
        <v>2022</v>
      </c>
      <c r="C2262" t="n">
        <v>0.0081</v>
      </c>
    </row>
    <row r="2263">
      <c r="A2263" t="n">
        <v>48</v>
      </c>
      <c r="B2263" t="n">
        <v>2023</v>
      </c>
      <c r="C2263" t="n">
        <v>0.0077</v>
      </c>
    </row>
    <row r="2264">
      <c r="A2264" t="n">
        <v>48</v>
      </c>
      <c r="B2264" t="n">
        <v>2024</v>
      </c>
      <c r="C2264" t="n">
        <v>0.0076</v>
      </c>
    </row>
    <row r="2265">
      <c r="A2265" t="n">
        <v>48</v>
      </c>
      <c r="B2265" t="n">
        <v>2025</v>
      </c>
      <c r="C2265" t="n">
        <v>0.0078</v>
      </c>
    </row>
    <row r="2266">
      <c r="A2266" t="n">
        <v>48</v>
      </c>
      <c r="B2266" t="n">
        <v>2026</v>
      </c>
      <c r="C2266" t="n">
        <v>0.008200000000000001</v>
      </c>
    </row>
    <row r="2267">
      <c r="A2267" t="n">
        <v>48</v>
      </c>
      <c r="B2267" t="n">
        <v>2027</v>
      </c>
      <c r="C2267" t="n">
        <v>0.0086</v>
      </c>
    </row>
    <row r="2268">
      <c r="A2268" t="n">
        <v>48</v>
      </c>
      <c r="B2268" t="n">
        <v>2028</v>
      </c>
      <c r="C2268" t="n">
        <v>0.0091</v>
      </c>
    </row>
    <row r="2269">
      <c r="A2269" t="n">
        <v>48</v>
      </c>
      <c r="B2269" t="n">
        <v>2029</v>
      </c>
      <c r="C2269" t="n">
        <v>0.0095</v>
      </c>
    </row>
    <row r="2270">
      <c r="A2270" t="n">
        <v>48</v>
      </c>
      <c r="B2270" t="n">
        <v>2030</v>
      </c>
      <c r="C2270" t="n">
        <v>0.0098</v>
      </c>
    </row>
    <row r="2271">
      <c r="A2271" t="n">
        <v>48</v>
      </c>
      <c r="B2271" t="n">
        <v>2031</v>
      </c>
      <c r="C2271" t="n">
        <v>0.01</v>
      </c>
    </row>
    <row r="2272">
      <c r="A2272" t="n">
        <v>49</v>
      </c>
      <c r="B2272" t="n">
        <v>1951</v>
      </c>
      <c r="C2272" t="n">
        <v>0.02</v>
      </c>
    </row>
    <row r="2273">
      <c r="A2273" t="n">
        <v>49</v>
      </c>
      <c r="B2273" t="n">
        <v>1952</v>
      </c>
      <c r="C2273" t="n">
        <v>0.0185</v>
      </c>
    </row>
    <row r="2274">
      <c r="A2274" t="n">
        <v>49</v>
      </c>
      <c r="B2274" t="n">
        <v>1953</v>
      </c>
      <c r="C2274" t="n">
        <v>0.0169</v>
      </c>
    </row>
    <row r="2275">
      <c r="A2275" t="n">
        <v>49</v>
      </c>
      <c r="B2275" t="n">
        <v>1954</v>
      </c>
      <c r="C2275" t="n">
        <v>0.015</v>
      </c>
    </row>
    <row r="2276">
      <c r="A2276" t="n">
        <v>49</v>
      </c>
      <c r="B2276" t="n">
        <v>1955</v>
      </c>
      <c r="C2276" t="n">
        <v>0.0128</v>
      </c>
    </row>
    <row r="2277">
      <c r="A2277" t="n">
        <v>49</v>
      </c>
      <c r="B2277" t="n">
        <v>1956</v>
      </c>
      <c r="C2277" t="n">
        <v>0.0103</v>
      </c>
    </row>
    <row r="2278">
      <c r="A2278" t="n">
        <v>49</v>
      </c>
      <c r="B2278" t="n">
        <v>1957</v>
      </c>
      <c r="C2278" t="n">
        <v>0.0077</v>
      </c>
    </row>
    <row r="2279">
      <c r="A2279" t="n">
        <v>49</v>
      </c>
      <c r="B2279" t="n">
        <v>1958</v>
      </c>
      <c r="C2279" t="n">
        <v>0.0054</v>
      </c>
    </row>
    <row r="2280">
      <c r="A2280" t="n">
        <v>49</v>
      </c>
      <c r="B2280" t="n">
        <v>1959</v>
      </c>
      <c r="C2280" t="n">
        <v>0.0034</v>
      </c>
    </row>
    <row r="2281">
      <c r="A2281" t="n">
        <v>49</v>
      </c>
      <c r="B2281" t="n">
        <v>1960</v>
      </c>
      <c r="C2281" t="n">
        <v>0.0016</v>
      </c>
    </row>
    <row r="2282">
      <c r="A2282" t="n">
        <v>49</v>
      </c>
      <c r="B2282" t="n">
        <v>1961</v>
      </c>
      <c r="C2282" t="n">
        <v>0.0002</v>
      </c>
    </row>
    <row r="2283">
      <c r="A2283" t="n">
        <v>49</v>
      </c>
      <c r="B2283" t="n">
        <v>1962</v>
      </c>
      <c r="C2283" t="n">
        <v>-0.001</v>
      </c>
    </row>
    <row r="2284">
      <c r="A2284" t="n">
        <v>49</v>
      </c>
      <c r="B2284" t="n">
        <v>1963</v>
      </c>
      <c r="C2284" t="n">
        <v>-0.0018</v>
      </c>
    </row>
    <row r="2285">
      <c r="A2285" t="n">
        <v>49</v>
      </c>
      <c r="B2285" t="n">
        <v>1964</v>
      </c>
      <c r="C2285" t="n">
        <v>-0.0021</v>
      </c>
    </row>
    <row r="2286">
      <c r="A2286" t="n">
        <v>49</v>
      </c>
      <c r="B2286" t="n">
        <v>1965</v>
      </c>
      <c r="C2286" t="n">
        <v>-0.0017</v>
      </c>
    </row>
    <row r="2287">
      <c r="A2287" t="n">
        <v>49</v>
      </c>
      <c r="B2287" t="n">
        <v>1966</v>
      </c>
      <c r="C2287" t="n">
        <v>-0.0007</v>
      </c>
    </row>
    <row r="2288">
      <c r="A2288" t="n">
        <v>49</v>
      </c>
      <c r="B2288" t="n">
        <v>1967</v>
      </c>
      <c r="C2288" t="n">
        <v>0.0011</v>
      </c>
    </row>
    <row r="2289">
      <c r="A2289" t="n">
        <v>49</v>
      </c>
      <c r="B2289" t="n">
        <v>1968</v>
      </c>
      <c r="C2289" t="n">
        <v>0.0037</v>
      </c>
    </row>
    <row r="2290">
      <c r="A2290" t="n">
        <v>49</v>
      </c>
      <c r="B2290" t="n">
        <v>1969</v>
      </c>
      <c r="C2290" t="n">
        <v>0.0069</v>
      </c>
    </row>
    <row r="2291">
      <c r="A2291" t="n">
        <v>49</v>
      </c>
      <c r="B2291" t="n">
        <v>1970</v>
      </c>
      <c r="C2291" t="n">
        <v>0.0106</v>
      </c>
    </row>
    <row r="2292">
      <c r="A2292" t="n">
        <v>49</v>
      </c>
      <c r="B2292" t="n">
        <v>1971</v>
      </c>
      <c r="C2292" t="n">
        <v>0.0144</v>
      </c>
    </row>
    <row r="2293">
      <c r="A2293" t="n">
        <v>49</v>
      </c>
      <c r="B2293" t="n">
        <v>1972</v>
      </c>
      <c r="C2293" t="n">
        <v>0.0182</v>
      </c>
    </row>
    <row r="2294">
      <c r="A2294" t="n">
        <v>49</v>
      </c>
      <c r="B2294" t="n">
        <v>1973</v>
      </c>
      <c r="C2294" t="n">
        <v>0.0218</v>
      </c>
    </row>
    <row r="2295">
      <c r="A2295" t="n">
        <v>49</v>
      </c>
      <c r="B2295" t="n">
        <v>1974</v>
      </c>
      <c r="C2295" t="n">
        <v>0.0249</v>
      </c>
    </row>
    <row r="2296">
      <c r="A2296" t="n">
        <v>49</v>
      </c>
      <c r="B2296" t="n">
        <v>1975</v>
      </c>
      <c r="C2296" t="n">
        <v>0.0272</v>
      </c>
    </row>
    <row r="2297">
      <c r="A2297" t="n">
        <v>49</v>
      </c>
      <c r="B2297" t="n">
        <v>1976</v>
      </c>
      <c r="C2297" t="n">
        <v>0.0285</v>
      </c>
    </row>
    <row r="2298">
      <c r="A2298" t="n">
        <v>49</v>
      </c>
      <c r="B2298" t="n">
        <v>1977</v>
      </c>
      <c r="C2298" t="n">
        <v>0.0291</v>
      </c>
    </row>
    <row r="2299">
      <c r="A2299" t="n">
        <v>49</v>
      </c>
      <c r="B2299" t="n">
        <v>1978</v>
      </c>
      <c r="C2299" t="n">
        <v>0.029</v>
      </c>
    </row>
    <row r="2300">
      <c r="A2300" t="n">
        <v>49</v>
      </c>
      <c r="B2300" t="n">
        <v>1979</v>
      </c>
      <c r="C2300" t="n">
        <v>0.0286</v>
      </c>
    </row>
    <row r="2301">
      <c r="A2301" t="n">
        <v>49</v>
      </c>
      <c r="B2301" t="n">
        <v>1980</v>
      </c>
      <c r="C2301" t="n">
        <v>0.0279</v>
      </c>
    </row>
    <row r="2302">
      <c r="A2302" t="n">
        <v>49</v>
      </c>
      <c r="B2302" t="n">
        <v>1981</v>
      </c>
      <c r="C2302" t="n">
        <v>0.0269</v>
      </c>
    </row>
    <row r="2303">
      <c r="A2303" t="n">
        <v>49</v>
      </c>
      <c r="B2303" t="n">
        <v>1982</v>
      </c>
      <c r="C2303" t="n">
        <v>0.0256</v>
      </c>
    </row>
    <row r="2304">
      <c r="A2304" t="n">
        <v>49</v>
      </c>
      <c r="B2304" t="n">
        <v>1983</v>
      </c>
      <c r="C2304" t="n">
        <v>0.0237</v>
      </c>
    </row>
    <row r="2305">
      <c r="A2305" t="n">
        <v>49</v>
      </c>
      <c r="B2305" t="n">
        <v>1984</v>
      </c>
      <c r="C2305" t="n">
        <v>0.0214</v>
      </c>
    </row>
    <row r="2306">
      <c r="A2306" t="n">
        <v>49</v>
      </c>
      <c r="B2306" t="n">
        <v>1985</v>
      </c>
      <c r="C2306" t="n">
        <v>0.0189</v>
      </c>
    </row>
    <row r="2307">
      <c r="A2307" t="n">
        <v>49</v>
      </c>
      <c r="B2307" t="n">
        <v>1986</v>
      </c>
      <c r="C2307" t="n">
        <v>0.0164</v>
      </c>
    </row>
    <row r="2308">
      <c r="A2308" t="n">
        <v>49</v>
      </c>
      <c r="B2308" t="n">
        <v>1987</v>
      </c>
      <c r="C2308" t="n">
        <v>0.0143</v>
      </c>
    </row>
    <row r="2309">
      <c r="A2309" t="n">
        <v>49</v>
      </c>
      <c r="B2309" t="n">
        <v>1988</v>
      </c>
      <c r="C2309" t="n">
        <v>0.0125</v>
      </c>
    </row>
    <row r="2310">
      <c r="A2310" t="n">
        <v>49</v>
      </c>
      <c r="B2310" t="n">
        <v>1989</v>
      </c>
      <c r="C2310" t="n">
        <v>0.0112</v>
      </c>
    </row>
    <row r="2311">
      <c r="A2311" t="n">
        <v>49</v>
      </c>
      <c r="B2311" t="n">
        <v>1990</v>
      </c>
      <c r="C2311" t="n">
        <v>0.0104</v>
      </c>
    </row>
    <row r="2312">
      <c r="A2312" t="n">
        <v>49</v>
      </c>
      <c r="B2312" t="n">
        <v>1991</v>
      </c>
      <c r="C2312" t="n">
        <v>0.0102</v>
      </c>
    </row>
    <row r="2313">
      <c r="A2313" t="n">
        <v>49</v>
      </c>
      <c r="B2313" t="n">
        <v>1992</v>
      </c>
      <c r="C2313" t="n">
        <v>0.0106</v>
      </c>
    </row>
    <row r="2314">
      <c r="A2314" t="n">
        <v>49</v>
      </c>
      <c r="B2314" t="n">
        <v>1993</v>
      </c>
      <c r="C2314" t="n">
        <v>0.0116</v>
      </c>
    </row>
    <row r="2315">
      <c r="A2315" t="n">
        <v>49</v>
      </c>
      <c r="B2315" t="n">
        <v>1994</v>
      </c>
      <c r="C2315" t="n">
        <v>0.013</v>
      </c>
    </row>
    <row r="2316">
      <c r="A2316" t="n">
        <v>49</v>
      </c>
      <c r="B2316" t="n">
        <v>1995</v>
      </c>
      <c r="C2316" t="n">
        <v>0.0143</v>
      </c>
    </row>
    <row r="2317">
      <c r="A2317" t="n">
        <v>49</v>
      </c>
      <c r="B2317" t="n">
        <v>1996</v>
      </c>
      <c r="C2317" t="n">
        <v>0.0146</v>
      </c>
    </row>
    <row r="2318">
      <c r="A2318" t="n">
        <v>49</v>
      </c>
      <c r="B2318" t="n">
        <v>1997</v>
      </c>
      <c r="C2318" t="n">
        <v>0.0133</v>
      </c>
    </row>
    <row r="2319">
      <c r="A2319" t="n">
        <v>49</v>
      </c>
      <c r="B2319" t="n">
        <v>1998</v>
      </c>
      <c r="C2319" t="n">
        <v>0.0102</v>
      </c>
    </row>
    <row r="2320">
      <c r="A2320" t="n">
        <v>49</v>
      </c>
      <c r="B2320" t="n">
        <v>1999</v>
      </c>
      <c r="C2320" t="n">
        <v>0.006</v>
      </c>
    </row>
    <row r="2321">
      <c r="A2321" t="n">
        <v>49</v>
      </c>
      <c r="B2321" t="n">
        <v>2000</v>
      </c>
      <c r="C2321" t="n">
        <v>0.0019</v>
      </c>
    </row>
    <row r="2322">
      <c r="A2322" t="n">
        <v>49</v>
      </c>
      <c r="B2322" t="n">
        <v>2001</v>
      </c>
      <c r="C2322" t="n">
        <v>-0.0011</v>
      </c>
    </row>
    <row r="2323">
      <c r="A2323" t="n">
        <v>49</v>
      </c>
      <c r="B2323" t="n">
        <v>2002</v>
      </c>
      <c r="C2323" t="n">
        <v>-0.0023</v>
      </c>
    </row>
    <row r="2324">
      <c r="A2324" t="n">
        <v>49</v>
      </c>
      <c r="B2324" t="n">
        <v>2003</v>
      </c>
      <c r="C2324" t="n">
        <v>-0.0013</v>
      </c>
    </row>
    <row r="2325">
      <c r="A2325" t="n">
        <v>49</v>
      </c>
      <c r="B2325" t="n">
        <v>2004</v>
      </c>
      <c r="C2325" t="n">
        <v>0.0015</v>
      </c>
    </row>
    <row r="2326">
      <c r="A2326" t="n">
        <v>49</v>
      </c>
      <c r="B2326" t="n">
        <v>2005</v>
      </c>
      <c r="C2326" t="n">
        <v>0.0055</v>
      </c>
    </row>
    <row r="2327">
      <c r="A2327" t="n">
        <v>49</v>
      </c>
      <c r="B2327" t="n">
        <v>2006</v>
      </c>
      <c r="C2327" t="n">
        <v>0.0098</v>
      </c>
    </row>
    <row r="2328">
      <c r="A2328" t="n">
        <v>49</v>
      </c>
      <c r="B2328" t="n">
        <v>2007</v>
      </c>
      <c r="C2328" t="n">
        <v>0.0136</v>
      </c>
    </row>
    <row r="2329">
      <c r="A2329" t="n">
        <v>49</v>
      </c>
      <c r="B2329" t="n">
        <v>2008</v>
      </c>
      <c r="C2329" t="n">
        <v>0.0165</v>
      </c>
    </row>
    <row r="2330">
      <c r="A2330" t="n">
        <v>49</v>
      </c>
      <c r="B2330" t="n">
        <v>2009</v>
      </c>
      <c r="C2330" t="n">
        <v>0.0182</v>
      </c>
    </row>
    <row r="2331">
      <c r="A2331" t="n">
        <v>49</v>
      </c>
      <c r="B2331" t="n">
        <v>2010</v>
      </c>
      <c r="C2331" t="n">
        <v>0.0186</v>
      </c>
    </row>
    <row r="2332">
      <c r="A2332" t="n">
        <v>49</v>
      </c>
      <c r="B2332" t="n">
        <v>2011</v>
      </c>
      <c r="C2332" t="n">
        <v>0.0181</v>
      </c>
    </row>
    <row r="2333">
      <c r="A2333" t="n">
        <v>49</v>
      </c>
      <c r="B2333" t="n">
        <v>2012</v>
      </c>
      <c r="C2333" t="n">
        <v>0.0169</v>
      </c>
    </row>
    <row r="2334">
      <c r="A2334" t="n">
        <v>49</v>
      </c>
      <c r="B2334" t="n">
        <v>2013</v>
      </c>
      <c r="C2334" t="n">
        <v>0.0175</v>
      </c>
    </row>
    <row r="2335">
      <c r="A2335" t="n">
        <v>49</v>
      </c>
      <c r="B2335" t="n">
        <v>2014</v>
      </c>
      <c r="C2335" t="n">
        <v>0.0177</v>
      </c>
    </row>
    <row r="2336">
      <c r="A2336" t="n">
        <v>49</v>
      </c>
      <c r="B2336" t="n">
        <v>2015</v>
      </c>
      <c r="C2336" t="n">
        <v>0.0174</v>
      </c>
    </row>
    <row r="2337">
      <c r="A2337" t="n">
        <v>49</v>
      </c>
      <c r="B2337" t="n">
        <v>2016</v>
      </c>
      <c r="C2337" t="n">
        <v>0.0166</v>
      </c>
    </row>
    <row r="2338">
      <c r="A2338" t="n">
        <v>49</v>
      </c>
      <c r="B2338" t="n">
        <v>2017</v>
      </c>
      <c r="C2338" t="n">
        <v>0.0154</v>
      </c>
    </row>
    <row r="2339">
      <c r="A2339" t="n">
        <v>49</v>
      </c>
      <c r="B2339" t="n">
        <v>2018</v>
      </c>
      <c r="C2339" t="n">
        <v>0.014</v>
      </c>
    </row>
    <row r="2340">
      <c r="A2340" t="n">
        <v>49</v>
      </c>
      <c r="B2340" t="n">
        <v>2019</v>
      </c>
      <c r="C2340" t="n">
        <v>0.0125</v>
      </c>
    </row>
    <row r="2341">
      <c r="A2341" t="n">
        <v>49</v>
      </c>
      <c r="B2341" t="n">
        <v>2020</v>
      </c>
      <c r="C2341" t="n">
        <v>0.011</v>
      </c>
    </row>
    <row r="2342">
      <c r="A2342" t="n">
        <v>49</v>
      </c>
      <c r="B2342" t="n">
        <v>2021</v>
      </c>
      <c r="C2342" t="n">
        <v>0.0098</v>
      </c>
    </row>
    <row r="2343">
      <c r="A2343" t="n">
        <v>49</v>
      </c>
      <c r="B2343" t="n">
        <v>2022</v>
      </c>
      <c r="C2343" t="n">
        <v>0.0089</v>
      </c>
    </row>
    <row r="2344">
      <c r="A2344" t="n">
        <v>49</v>
      </c>
      <c r="B2344" t="n">
        <v>2023</v>
      </c>
      <c r="C2344" t="n">
        <v>0.008399999999999999</v>
      </c>
    </row>
    <row r="2345">
      <c r="A2345" t="n">
        <v>49</v>
      </c>
      <c r="B2345" t="n">
        <v>2024</v>
      </c>
      <c r="C2345" t="n">
        <v>0.0081</v>
      </c>
    </row>
    <row r="2346">
      <c r="A2346" t="n">
        <v>49</v>
      </c>
      <c r="B2346" t="n">
        <v>2025</v>
      </c>
      <c r="C2346" t="n">
        <v>0.0081</v>
      </c>
    </row>
    <row r="2347">
      <c r="A2347" t="n">
        <v>49</v>
      </c>
      <c r="B2347" t="n">
        <v>2026</v>
      </c>
      <c r="C2347" t="n">
        <v>0.0083</v>
      </c>
    </row>
    <row r="2348">
      <c r="A2348" t="n">
        <v>49</v>
      </c>
      <c r="B2348" t="n">
        <v>2027</v>
      </c>
      <c r="C2348" t="n">
        <v>0.008699999999999999</v>
      </c>
    </row>
    <row r="2349">
      <c r="A2349" t="n">
        <v>49</v>
      </c>
      <c r="B2349" t="n">
        <v>2028</v>
      </c>
      <c r="C2349" t="n">
        <v>0.0091</v>
      </c>
    </row>
    <row r="2350">
      <c r="A2350" t="n">
        <v>49</v>
      </c>
      <c r="B2350" t="n">
        <v>2029</v>
      </c>
      <c r="C2350" t="n">
        <v>0.0095</v>
      </c>
    </row>
    <row r="2351">
      <c r="A2351" t="n">
        <v>49</v>
      </c>
      <c r="B2351" t="n">
        <v>2030</v>
      </c>
      <c r="C2351" t="n">
        <v>0.0098</v>
      </c>
    </row>
    <row r="2352">
      <c r="A2352" t="n">
        <v>49</v>
      </c>
      <c r="B2352" t="n">
        <v>2031</v>
      </c>
      <c r="C2352" t="n">
        <v>0.009900000000000001</v>
      </c>
    </row>
    <row r="2353">
      <c r="A2353" t="n">
        <v>50</v>
      </c>
      <c r="B2353" t="n">
        <v>1951</v>
      </c>
      <c r="C2353" t="n">
        <v>0.0189</v>
      </c>
    </row>
    <row r="2354">
      <c r="A2354" t="n">
        <v>50</v>
      </c>
      <c r="B2354" t="n">
        <v>1952</v>
      </c>
      <c r="C2354" t="n">
        <v>0.0176</v>
      </c>
    </row>
    <row r="2355">
      <c r="A2355" t="n">
        <v>50</v>
      </c>
      <c r="B2355" t="n">
        <v>1953</v>
      </c>
      <c r="C2355" t="n">
        <v>0.0161</v>
      </c>
    </row>
    <row r="2356">
      <c r="A2356" t="n">
        <v>50</v>
      </c>
      <c r="B2356" t="n">
        <v>1954</v>
      </c>
      <c r="C2356" t="n">
        <v>0.0143</v>
      </c>
    </row>
    <row r="2357">
      <c r="A2357" t="n">
        <v>50</v>
      </c>
      <c r="B2357" t="n">
        <v>1955</v>
      </c>
      <c r="C2357" t="n">
        <v>0.0122</v>
      </c>
    </row>
    <row r="2358">
      <c r="A2358" t="n">
        <v>50</v>
      </c>
      <c r="B2358" t="n">
        <v>1956</v>
      </c>
      <c r="C2358" t="n">
        <v>0.0097</v>
      </c>
    </row>
    <row r="2359">
      <c r="A2359" t="n">
        <v>50</v>
      </c>
      <c r="B2359" t="n">
        <v>1957</v>
      </c>
      <c r="C2359" t="n">
        <v>0.0073</v>
      </c>
    </row>
    <row r="2360">
      <c r="A2360" t="n">
        <v>50</v>
      </c>
      <c r="B2360" t="n">
        <v>1958</v>
      </c>
      <c r="C2360" t="n">
        <v>0.005</v>
      </c>
    </row>
    <row r="2361">
      <c r="A2361" t="n">
        <v>50</v>
      </c>
      <c r="B2361" t="n">
        <v>1959</v>
      </c>
      <c r="C2361" t="n">
        <v>0.0031</v>
      </c>
    </row>
    <row r="2362">
      <c r="A2362" t="n">
        <v>50</v>
      </c>
      <c r="B2362" t="n">
        <v>1960</v>
      </c>
      <c r="C2362" t="n">
        <v>0.0016</v>
      </c>
    </row>
    <row r="2363">
      <c r="A2363" t="n">
        <v>50</v>
      </c>
      <c r="B2363" t="n">
        <v>1961</v>
      </c>
      <c r="C2363" t="n">
        <v>0.0003</v>
      </c>
    </row>
    <row r="2364">
      <c r="A2364" t="n">
        <v>50</v>
      </c>
      <c r="B2364" t="n">
        <v>1962</v>
      </c>
      <c r="C2364" t="n">
        <v>-0.0007</v>
      </c>
    </row>
    <row r="2365">
      <c r="A2365" t="n">
        <v>50</v>
      </c>
      <c r="B2365" t="n">
        <v>1963</v>
      </c>
      <c r="C2365" t="n">
        <v>-0.0014</v>
      </c>
    </row>
    <row r="2366">
      <c r="A2366" t="n">
        <v>50</v>
      </c>
      <c r="B2366" t="n">
        <v>1964</v>
      </c>
      <c r="C2366" t="n">
        <v>-0.0016</v>
      </c>
    </row>
    <row r="2367">
      <c r="A2367" t="n">
        <v>50</v>
      </c>
      <c r="B2367" t="n">
        <v>1965</v>
      </c>
      <c r="C2367" t="n">
        <v>-0.0012</v>
      </c>
    </row>
    <row r="2368">
      <c r="A2368" t="n">
        <v>50</v>
      </c>
      <c r="B2368" t="n">
        <v>1966</v>
      </c>
      <c r="C2368" t="n">
        <v>0</v>
      </c>
    </row>
    <row r="2369">
      <c r="A2369" t="n">
        <v>50</v>
      </c>
      <c r="B2369" t="n">
        <v>1967</v>
      </c>
      <c r="C2369" t="n">
        <v>0.0019</v>
      </c>
    </row>
    <row r="2370">
      <c r="A2370" t="n">
        <v>50</v>
      </c>
      <c r="B2370" t="n">
        <v>1968</v>
      </c>
      <c r="C2370" t="n">
        <v>0.0045</v>
      </c>
    </row>
    <row r="2371">
      <c r="A2371" t="n">
        <v>50</v>
      </c>
      <c r="B2371" t="n">
        <v>1969</v>
      </c>
      <c r="C2371" t="n">
        <v>0.0078</v>
      </c>
    </row>
    <row r="2372">
      <c r="A2372" t="n">
        <v>50</v>
      </c>
      <c r="B2372" t="n">
        <v>1970</v>
      </c>
      <c r="C2372" t="n">
        <v>0.0113</v>
      </c>
    </row>
    <row r="2373">
      <c r="A2373" t="n">
        <v>50</v>
      </c>
      <c r="B2373" t="n">
        <v>1971</v>
      </c>
      <c r="C2373" t="n">
        <v>0.015</v>
      </c>
    </row>
    <row r="2374">
      <c r="A2374" t="n">
        <v>50</v>
      </c>
      <c r="B2374" t="n">
        <v>1972</v>
      </c>
      <c r="C2374" t="n">
        <v>0.0186</v>
      </c>
    </row>
    <row r="2375">
      <c r="A2375" t="n">
        <v>50</v>
      </c>
      <c r="B2375" t="n">
        <v>1973</v>
      </c>
      <c r="C2375" t="n">
        <v>0.0219</v>
      </c>
    </row>
    <row r="2376">
      <c r="A2376" t="n">
        <v>50</v>
      </c>
      <c r="B2376" t="n">
        <v>1974</v>
      </c>
      <c r="C2376" t="n">
        <v>0.0246</v>
      </c>
    </row>
    <row r="2377">
      <c r="A2377" t="n">
        <v>50</v>
      </c>
      <c r="B2377" t="n">
        <v>1975</v>
      </c>
      <c r="C2377" t="n">
        <v>0.0265</v>
      </c>
    </row>
    <row r="2378">
      <c r="A2378" t="n">
        <v>50</v>
      </c>
      <c r="B2378" t="n">
        <v>1976</v>
      </c>
      <c r="C2378" t="n">
        <v>0.0275</v>
      </c>
    </row>
    <row r="2379">
      <c r="A2379" t="n">
        <v>50</v>
      </c>
      <c r="B2379" t="n">
        <v>1977</v>
      </c>
      <c r="C2379" t="n">
        <v>0.0279</v>
      </c>
    </row>
    <row r="2380">
      <c r="A2380" t="n">
        <v>50</v>
      </c>
      <c r="B2380" t="n">
        <v>1978</v>
      </c>
      <c r="C2380" t="n">
        <v>0.0278</v>
      </c>
    </row>
    <row r="2381">
      <c r="A2381" t="n">
        <v>50</v>
      </c>
      <c r="B2381" t="n">
        <v>1979</v>
      </c>
      <c r="C2381" t="n">
        <v>0.0274</v>
      </c>
    </row>
    <row r="2382">
      <c r="A2382" t="n">
        <v>50</v>
      </c>
      <c r="B2382" t="n">
        <v>1980</v>
      </c>
      <c r="C2382" t="n">
        <v>0.0268</v>
      </c>
    </row>
    <row r="2383">
      <c r="A2383" t="n">
        <v>50</v>
      </c>
      <c r="B2383" t="n">
        <v>1981</v>
      </c>
      <c r="C2383" t="n">
        <v>0.0259</v>
      </c>
    </row>
    <row r="2384">
      <c r="A2384" t="n">
        <v>50</v>
      </c>
      <c r="B2384" t="n">
        <v>1982</v>
      </c>
      <c r="C2384" t="n">
        <v>0.0247</v>
      </c>
    </row>
    <row r="2385">
      <c r="A2385" t="n">
        <v>50</v>
      </c>
      <c r="B2385" t="n">
        <v>1983</v>
      </c>
      <c r="C2385" t="n">
        <v>0.0231</v>
      </c>
    </row>
    <row r="2386">
      <c r="A2386" t="n">
        <v>50</v>
      </c>
      <c r="B2386" t="n">
        <v>1984</v>
      </c>
      <c r="C2386" t="n">
        <v>0.0212</v>
      </c>
    </row>
    <row r="2387">
      <c r="A2387" t="n">
        <v>50</v>
      </c>
      <c r="B2387" t="n">
        <v>1985</v>
      </c>
      <c r="C2387" t="n">
        <v>0.0192</v>
      </c>
    </row>
    <row r="2388">
      <c r="A2388" t="n">
        <v>50</v>
      </c>
      <c r="B2388" t="n">
        <v>1986</v>
      </c>
      <c r="C2388" t="n">
        <v>0.0175</v>
      </c>
    </row>
    <row r="2389">
      <c r="A2389" t="n">
        <v>50</v>
      </c>
      <c r="B2389" t="n">
        <v>1987</v>
      </c>
      <c r="C2389" t="n">
        <v>0.016</v>
      </c>
    </row>
    <row r="2390">
      <c r="A2390" t="n">
        <v>50</v>
      </c>
      <c r="B2390" t="n">
        <v>1988</v>
      </c>
      <c r="C2390" t="n">
        <v>0.0149</v>
      </c>
    </row>
    <row r="2391">
      <c r="A2391" t="n">
        <v>50</v>
      </c>
      <c r="B2391" t="n">
        <v>1989</v>
      </c>
      <c r="C2391" t="n">
        <v>0.014</v>
      </c>
    </row>
    <row r="2392">
      <c r="A2392" t="n">
        <v>50</v>
      </c>
      <c r="B2392" t="n">
        <v>1990</v>
      </c>
      <c r="C2392" t="n">
        <v>0.0134</v>
      </c>
    </row>
    <row r="2393">
      <c r="A2393" t="n">
        <v>50</v>
      </c>
      <c r="B2393" t="n">
        <v>1991</v>
      </c>
      <c r="C2393" t="n">
        <v>0.0131</v>
      </c>
    </row>
    <row r="2394">
      <c r="A2394" t="n">
        <v>50</v>
      </c>
      <c r="B2394" t="n">
        <v>1992</v>
      </c>
      <c r="C2394" t="n">
        <v>0.0133</v>
      </c>
    </row>
    <row r="2395">
      <c r="A2395" t="n">
        <v>50</v>
      </c>
      <c r="B2395" t="n">
        <v>1993</v>
      </c>
      <c r="C2395" t="n">
        <v>0.0139</v>
      </c>
    </row>
    <row r="2396">
      <c r="A2396" t="n">
        <v>50</v>
      </c>
      <c r="B2396" t="n">
        <v>1994</v>
      </c>
      <c r="C2396" t="n">
        <v>0.0149</v>
      </c>
    </row>
    <row r="2397">
      <c r="A2397" t="n">
        <v>50</v>
      </c>
      <c r="B2397" t="n">
        <v>1995</v>
      </c>
      <c r="C2397" t="n">
        <v>0.0158</v>
      </c>
    </row>
    <row r="2398">
      <c r="A2398" t="n">
        <v>50</v>
      </c>
      <c r="B2398" t="n">
        <v>1996</v>
      </c>
      <c r="C2398" t="n">
        <v>0.0158</v>
      </c>
    </row>
    <row r="2399">
      <c r="A2399" t="n">
        <v>50</v>
      </c>
      <c r="B2399" t="n">
        <v>1997</v>
      </c>
      <c r="C2399" t="n">
        <v>0.0143</v>
      </c>
    </row>
    <row r="2400">
      <c r="A2400" t="n">
        <v>50</v>
      </c>
      <c r="B2400" t="n">
        <v>1998</v>
      </c>
      <c r="C2400" t="n">
        <v>0.011</v>
      </c>
    </row>
    <row r="2401">
      <c r="A2401" t="n">
        <v>50</v>
      </c>
      <c r="B2401" t="n">
        <v>1999</v>
      </c>
      <c r="C2401" t="n">
        <v>0.0067</v>
      </c>
    </row>
    <row r="2402">
      <c r="A2402" t="n">
        <v>50</v>
      </c>
      <c r="B2402" t="n">
        <v>2000</v>
      </c>
      <c r="C2402" t="n">
        <v>0.0023</v>
      </c>
    </row>
    <row r="2403">
      <c r="A2403" t="n">
        <v>50</v>
      </c>
      <c r="B2403" t="n">
        <v>2001</v>
      </c>
      <c r="C2403" t="n">
        <v>-0.0012</v>
      </c>
    </row>
    <row r="2404">
      <c r="A2404" t="n">
        <v>50</v>
      </c>
      <c r="B2404" t="n">
        <v>2002</v>
      </c>
      <c r="C2404" t="n">
        <v>-0.0029</v>
      </c>
    </row>
    <row r="2405">
      <c r="A2405" t="n">
        <v>50</v>
      </c>
      <c r="B2405" t="n">
        <v>2003</v>
      </c>
      <c r="C2405" t="n">
        <v>-0.0025</v>
      </c>
    </row>
    <row r="2406">
      <c r="A2406" t="n">
        <v>50</v>
      </c>
      <c r="B2406" t="n">
        <v>2004</v>
      </c>
      <c r="C2406" t="n">
        <v>-0.0001</v>
      </c>
    </row>
    <row r="2407">
      <c r="A2407" t="n">
        <v>50</v>
      </c>
      <c r="B2407" t="n">
        <v>2005</v>
      </c>
      <c r="C2407" t="n">
        <v>0.0034</v>
      </c>
    </row>
    <row r="2408">
      <c r="A2408" t="n">
        <v>50</v>
      </c>
      <c r="B2408" t="n">
        <v>2006</v>
      </c>
      <c r="C2408" t="n">
        <v>0.0075</v>
      </c>
    </row>
    <row r="2409">
      <c r="A2409" t="n">
        <v>50</v>
      </c>
      <c r="B2409" t="n">
        <v>2007</v>
      </c>
      <c r="C2409" t="n">
        <v>0.0112</v>
      </c>
    </row>
    <row r="2410">
      <c r="A2410" t="n">
        <v>50</v>
      </c>
      <c r="B2410" t="n">
        <v>2008</v>
      </c>
      <c r="C2410" t="n">
        <v>0.014</v>
      </c>
    </row>
    <row r="2411">
      <c r="A2411" t="n">
        <v>50</v>
      </c>
      <c r="B2411" t="n">
        <v>2009</v>
      </c>
      <c r="C2411" t="n">
        <v>0.0157</v>
      </c>
    </row>
    <row r="2412">
      <c r="A2412" t="n">
        <v>50</v>
      </c>
      <c r="B2412" t="n">
        <v>2010</v>
      </c>
      <c r="C2412" t="n">
        <v>0.0163</v>
      </c>
    </row>
    <row r="2413">
      <c r="A2413" t="n">
        <v>50</v>
      </c>
      <c r="B2413" t="n">
        <v>2011</v>
      </c>
      <c r="C2413" t="n">
        <v>0.0158</v>
      </c>
    </row>
    <row r="2414">
      <c r="A2414" t="n">
        <v>50</v>
      </c>
      <c r="B2414" t="n">
        <v>2012</v>
      </c>
      <c r="C2414" t="n">
        <v>0.0148</v>
      </c>
    </row>
    <row r="2415">
      <c r="A2415" t="n">
        <v>50</v>
      </c>
      <c r="B2415" t="n">
        <v>2013</v>
      </c>
      <c r="C2415" t="n">
        <v>0.0157</v>
      </c>
    </row>
    <row r="2416">
      <c r="A2416" t="n">
        <v>50</v>
      </c>
      <c r="B2416" t="n">
        <v>2014</v>
      </c>
      <c r="C2416" t="n">
        <v>0.0163</v>
      </c>
    </row>
    <row r="2417">
      <c r="A2417" t="n">
        <v>50</v>
      </c>
      <c r="B2417" t="n">
        <v>2015</v>
      </c>
      <c r="C2417" t="n">
        <v>0.0164</v>
      </c>
    </row>
    <row r="2418">
      <c r="A2418" t="n">
        <v>50</v>
      </c>
      <c r="B2418" t="n">
        <v>2016</v>
      </c>
      <c r="C2418" t="n">
        <v>0.016</v>
      </c>
    </row>
    <row r="2419">
      <c r="A2419" t="n">
        <v>50</v>
      </c>
      <c r="B2419" t="n">
        <v>2017</v>
      </c>
      <c r="C2419" t="n">
        <v>0.0153</v>
      </c>
    </row>
    <row r="2420">
      <c r="A2420" t="n">
        <v>50</v>
      </c>
      <c r="B2420" t="n">
        <v>2018</v>
      </c>
      <c r="C2420" t="n">
        <v>0.0143</v>
      </c>
    </row>
    <row r="2421">
      <c r="A2421" t="n">
        <v>50</v>
      </c>
      <c r="B2421" t="n">
        <v>2019</v>
      </c>
      <c r="C2421" t="n">
        <v>0.0131</v>
      </c>
    </row>
    <row r="2422">
      <c r="A2422" t="n">
        <v>50</v>
      </c>
      <c r="B2422" t="n">
        <v>2020</v>
      </c>
      <c r="C2422" t="n">
        <v>0.0118</v>
      </c>
    </row>
    <row r="2423">
      <c r="A2423" t="n">
        <v>50</v>
      </c>
      <c r="B2423" t="n">
        <v>2021</v>
      </c>
      <c r="C2423" t="n">
        <v>0.0107</v>
      </c>
    </row>
    <row r="2424">
      <c r="A2424" t="n">
        <v>50</v>
      </c>
      <c r="B2424" t="n">
        <v>2022</v>
      </c>
      <c r="C2424" t="n">
        <v>0.0097</v>
      </c>
    </row>
    <row r="2425">
      <c r="A2425" t="n">
        <v>50</v>
      </c>
      <c r="B2425" t="n">
        <v>2023</v>
      </c>
      <c r="C2425" t="n">
        <v>0.0091</v>
      </c>
    </row>
    <row r="2426">
      <c r="A2426" t="n">
        <v>50</v>
      </c>
      <c r="B2426" t="n">
        <v>2024</v>
      </c>
      <c r="C2426" t="n">
        <v>0.0086</v>
      </c>
    </row>
    <row r="2427">
      <c r="A2427" t="n">
        <v>50</v>
      </c>
      <c r="B2427" t="n">
        <v>2025</v>
      </c>
      <c r="C2427" t="n">
        <v>0.008500000000000001</v>
      </c>
    </row>
    <row r="2428">
      <c r="A2428" t="n">
        <v>50</v>
      </c>
      <c r="B2428" t="n">
        <v>2026</v>
      </c>
      <c r="C2428" t="n">
        <v>0.008500000000000001</v>
      </c>
    </row>
    <row r="2429">
      <c r="A2429" t="n">
        <v>50</v>
      </c>
      <c r="B2429" t="n">
        <v>2027</v>
      </c>
      <c r="C2429" t="n">
        <v>0.008800000000000001</v>
      </c>
    </row>
    <row r="2430">
      <c r="A2430" t="n">
        <v>50</v>
      </c>
      <c r="B2430" t="n">
        <v>2028</v>
      </c>
      <c r="C2430" t="n">
        <v>0.0091</v>
      </c>
    </row>
    <row r="2431">
      <c r="A2431" t="n">
        <v>50</v>
      </c>
      <c r="B2431" t="n">
        <v>2029</v>
      </c>
      <c r="C2431" t="n">
        <v>0.0095</v>
      </c>
    </row>
    <row r="2432">
      <c r="A2432" t="n">
        <v>50</v>
      </c>
      <c r="B2432" t="n">
        <v>2030</v>
      </c>
      <c r="C2432" t="n">
        <v>0.0098</v>
      </c>
    </row>
    <row r="2433">
      <c r="A2433" t="n">
        <v>50</v>
      </c>
      <c r="B2433" t="n">
        <v>2031</v>
      </c>
      <c r="C2433" t="n">
        <v>0.009900000000000001</v>
      </c>
    </row>
    <row r="2434">
      <c r="A2434" t="n">
        <v>51</v>
      </c>
      <c r="B2434" t="n">
        <v>1951</v>
      </c>
      <c r="C2434" t="n">
        <v>0.0181</v>
      </c>
    </row>
    <row r="2435">
      <c r="A2435" t="n">
        <v>51</v>
      </c>
      <c r="B2435" t="n">
        <v>1952</v>
      </c>
      <c r="C2435" t="n">
        <v>0.0168</v>
      </c>
    </row>
    <row r="2436">
      <c r="A2436" t="n">
        <v>51</v>
      </c>
      <c r="B2436" t="n">
        <v>1953</v>
      </c>
      <c r="C2436" t="n">
        <v>0.0154</v>
      </c>
    </row>
    <row r="2437">
      <c r="A2437" t="n">
        <v>51</v>
      </c>
      <c r="B2437" t="n">
        <v>1954</v>
      </c>
      <c r="C2437" t="n">
        <v>0.0137</v>
      </c>
    </row>
    <row r="2438">
      <c r="A2438" t="n">
        <v>51</v>
      </c>
      <c r="B2438" t="n">
        <v>1955</v>
      </c>
      <c r="C2438" t="n">
        <v>0.0116</v>
      </c>
    </row>
    <row r="2439">
      <c r="A2439" t="n">
        <v>51</v>
      </c>
      <c r="B2439" t="n">
        <v>1956</v>
      </c>
      <c r="C2439" t="n">
        <v>0.0092</v>
      </c>
    </row>
    <row r="2440">
      <c r="A2440" t="n">
        <v>51</v>
      </c>
      <c r="B2440" t="n">
        <v>1957</v>
      </c>
      <c r="C2440" t="n">
        <v>0.0069</v>
      </c>
    </row>
    <row r="2441">
      <c r="A2441" t="n">
        <v>51</v>
      </c>
      <c r="B2441" t="n">
        <v>1958</v>
      </c>
      <c r="C2441" t="n">
        <v>0.0048</v>
      </c>
    </row>
    <row r="2442">
      <c r="A2442" t="n">
        <v>51</v>
      </c>
      <c r="B2442" t="n">
        <v>1959</v>
      </c>
      <c r="C2442" t="n">
        <v>0.003</v>
      </c>
    </row>
    <row r="2443">
      <c r="A2443" t="n">
        <v>51</v>
      </c>
      <c r="B2443" t="n">
        <v>1960</v>
      </c>
      <c r="C2443" t="n">
        <v>0.0016</v>
      </c>
    </row>
    <row r="2444">
      <c r="A2444" t="n">
        <v>51</v>
      </c>
      <c r="B2444" t="n">
        <v>1961</v>
      </c>
      <c r="C2444" t="n">
        <v>0.0004</v>
      </c>
    </row>
    <row r="2445">
      <c r="A2445" t="n">
        <v>51</v>
      </c>
      <c r="B2445" t="n">
        <v>1962</v>
      </c>
      <c r="C2445" t="n">
        <v>-0.0005999999999999999</v>
      </c>
    </row>
    <row r="2446">
      <c r="A2446" t="n">
        <v>51</v>
      </c>
      <c r="B2446" t="n">
        <v>1963</v>
      </c>
      <c r="C2446" t="n">
        <v>-0.0012</v>
      </c>
    </row>
    <row r="2447">
      <c r="A2447" t="n">
        <v>51</v>
      </c>
      <c r="B2447" t="n">
        <v>1964</v>
      </c>
      <c r="C2447" t="n">
        <v>-0.0013</v>
      </c>
    </row>
    <row r="2448">
      <c r="A2448" t="n">
        <v>51</v>
      </c>
      <c r="B2448" t="n">
        <v>1965</v>
      </c>
      <c r="C2448" t="n">
        <v>-0.0008</v>
      </c>
    </row>
    <row r="2449">
      <c r="A2449" t="n">
        <v>51</v>
      </c>
      <c r="B2449" t="n">
        <v>1966</v>
      </c>
      <c r="C2449" t="n">
        <v>0.0004</v>
      </c>
    </row>
    <row r="2450">
      <c r="A2450" t="n">
        <v>51</v>
      </c>
      <c r="B2450" t="n">
        <v>1967</v>
      </c>
      <c r="C2450" t="n">
        <v>0.0024</v>
      </c>
    </row>
    <row r="2451">
      <c r="A2451" t="n">
        <v>51</v>
      </c>
      <c r="B2451" t="n">
        <v>1968</v>
      </c>
      <c r="C2451" t="n">
        <v>0.005</v>
      </c>
    </row>
    <row r="2452">
      <c r="A2452" t="n">
        <v>51</v>
      </c>
      <c r="B2452" t="n">
        <v>1969</v>
      </c>
      <c r="C2452" t="n">
        <v>0.0083</v>
      </c>
    </row>
    <row r="2453">
      <c r="A2453" t="n">
        <v>51</v>
      </c>
      <c r="B2453" t="n">
        <v>1970</v>
      </c>
      <c r="C2453" t="n">
        <v>0.0119</v>
      </c>
    </row>
    <row r="2454">
      <c r="A2454" t="n">
        <v>51</v>
      </c>
      <c r="B2454" t="n">
        <v>1971</v>
      </c>
      <c r="C2454" t="n">
        <v>0.0156</v>
      </c>
    </row>
    <row r="2455">
      <c r="A2455" t="n">
        <v>51</v>
      </c>
      <c r="B2455" t="n">
        <v>1972</v>
      </c>
      <c r="C2455" t="n">
        <v>0.0191</v>
      </c>
    </row>
    <row r="2456">
      <c r="A2456" t="n">
        <v>51</v>
      </c>
      <c r="B2456" t="n">
        <v>1973</v>
      </c>
      <c r="C2456" t="n">
        <v>0.0221</v>
      </c>
    </row>
    <row r="2457">
      <c r="A2457" t="n">
        <v>51</v>
      </c>
      <c r="B2457" t="n">
        <v>1974</v>
      </c>
      <c r="C2457" t="n">
        <v>0.0245</v>
      </c>
    </row>
    <row r="2458">
      <c r="A2458" t="n">
        <v>51</v>
      </c>
      <c r="B2458" t="n">
        <v>1975</v>
      </c>
      <c r="C2458" t="n">
        <v>0.0261</v>
      </c>
    </row>
    <row r="2459">
      <c r="A2459" t="n">
        <v>51</v>
      </c>
      <c r="B2459" t="n">
        <v>1976</v>
      </c>
      <c r="C2459" t="n">
        <v>0.0269</v>
      </c>
    </row>
    <row r="2460">
      <c r="A2460" t="n">
        <v>51</v>
      </c>
      <c r="B2460" t="n">
        <v>1977</v>
      </c>
      <c r="C2460" t="n">
        <v>0.027</v>
      </c>
    </row>
    <row r="2461">
      <c r="A2461" t="n">
        <v>51</v>
      </c>
      <c r="B2461" t="n">
        <v>1978</v>
      </c>
      <c r="C2461" t="n">
        <v>0.0267</v>
      </c>
    </row>
    <row r="2462">
      <c r="A2462" t="n">
        <v>51</v>
      </c>
      <c r="B2462" t="n">
        <v>1979</v>
      </c>
      <c r="C2462" t="n">
        <v>0.0262</v>
      </c>
    </row>
    <row r="2463">
      <c r="A2463" t="n">
        <v>51</v>
      </c>
      <c r="B2463" t="n">
        <v>1980</v>
      </c>
      <c r="C2463" t="n">
        <v>0.0255</v>
      </c>
    </row>
    <row r="2464">
      <c r="A2464" t="n">
        <v>51</v>
      </c>
      <c r="B2464" t="n">
        <v>1981</v>
      </c>
      <c r="C2464" t="n">
        <v>0.0246</v>
      </c>
    </row>
    <row r="2465">
      <c r="A2465" t="n">
        <v>51</v>
      </c>
      <c r="B2465" t="n">
        <v>1982</v>
      </c>
      <c r="C2465" t="n">
        <v>0.0235</v>
      </c>
    </row>
    <row r="2466">
      <c r="A2466" t="n">
        <v>51</v>
      </c>
      <c r="B2466" t="n">
        <v>1983</v>
      </c>
      <c r="C2466" t="n">
        <v>0.0221</v>
      </c>
    </row>
    <row r="2467">
      <c r="A2467" t="n">
        <v>51</v>
      </c>
      <c r="B2467" t="n">
        <v>1984</v>
      </c>
      <c r="C2467" t="n">
        <v>0.0207</v>
      </c>
    </row>
    <row r="2468">
      <c r="A2468" t="n">
        <v>51</v>
      </c>
      <c r="B2468" t="n">
        <v>1985</v>
      </c>
      <c r="C2468" t="n">
        <v>0.0193</v>
      </c>
    </row>
    <row r="2469">
      <c r="A2469" t="n">
        <v>51</v>
      </c>
      <c r="B2469" t="n">
        <v>1986</v>
      </c>
      <c r="C2469" t="n">
        <v>0.0181</v>
      </c>
    </row>
    <row r="2470">
      <c r="A2470" t="n">
        <v>51</v>
      </c>
      <c r="B2470" t="n">
        <v>1987</v>
      </c>
      <c r="C2470" t="n">
        <v>0.0173</v>
      </c>
    </row>
    <row r="2471">
      <c r="A2471" t="n">
        <v>51</v>
      </c>
      <c r="B2471" t="n">
        <v>1988</v>
      </c>
      <c r="C2471" t="n">
        <v>0.0167</v>
      </c>
    </row>
    <row r="2472">
      <c r="A2472" t="n">
        <v>51</v>
      </c>
      <c r="B2472" t="n">
        <v>1989</v>
      </c>
      <c r="C2472" t="n">
        <v>0.0163</v>
      </c>
    </row>
    <row r="2473">
      <c r="A2473" t="n">
        <v>51</v>
      </c>
      <c r="B2473" t="n">
        <v>1990</v>
      </c>
      <c r="C2473" t="n">
        <v>0.0159</v>
      </c>
    </row>
    <row r="2474">
      <c r="A2474" t="n">
        <v>51</v>
      </c>
      <c r="B2474" t="n">
        <v>1991</v>
      </c>
      <c r="C2474" t="n">
        <v>0.0156</v>
      </c>
    </row>
    <row r="2475">
      <c r="A2475" t="n">
        <v>51</v>
      </c>
      <c r="B2475" t="n">
        <v>1992</v>
      </c>
      <c r="C2475" t="n">
        <v>0.0156</v>
      </c>
    </row>
    <row r="2476">
      <c r="A2476" t="n">
        <v>51</v>
      </c>
      <c r="B2476" t="n">
        <v>1993</v>
      </c>
      <c r="C2476" t="n">
        <v>0.016</v>
      </c>
    </row>
    <row r="2477">
      <c r="A2477" t="n">
        <v>51</v>
      </c>
      <c r="B2477" t="n">
        <v>1994</v>
      </c>
      <c r="C2477" t="n">
        <v>0.0167</v>
      </c>
    </row>
    <row r="2478">
      <c r="A2478" t="n">
        <v>51</v>
      </c>
      <c r="B2478" t="n">
        <v>1995</v>
      </c>
      <c r="C2478" t="n">
        <v>0.0174</v>
      </c>
    </row>
    <row r="2479">
      <c r="A2479" t="n">
        <v>51</v>
      </c>
      <c r="B2479" t="n">
        <v>1996</v>
      </c>
      <c r="C2479" t="n">
        <v>0.0172</v>
      </c>
    </row>
    <row r="2480">
      <c r="A2480" t="n">
        <v>51</v>
      </c>
      <c r="B2480" t="n">
        <v>1997</v>
      </c>
      <c r="C2480" t="n">
        <v>0.0156</v>
      </c>
    </row>
    <row r="2481">
      <c r="A2481" t="n">
        <v>51</v>
      </c>
      <c r="B2481" t="n">
        <v>1998</v>
      </c>
      <c r="C2481" t="n">
        <v>0.0123</v>
      </c>
    </row>
    <row r="2482">
      <c r="A2482" t="n">
        <v>51</v>
      </c>
      <c r="B2482" t="n">
        <v>1999</v>
      </c>
      <c r="C2482" t="n">
        <v>0.007900000000000001</v>
      </c>
    </row>
    <row r="2483">
      <c r="A2483" t="n">
        <v>51</v>
      </c>
      <c r="B2483" t="n">
        <v>2000</v>
      </c>
      <c r="C2483" t="n">
        <v>0.0033</v>
      </c>
    </row>
    <row r="2484">
      <c r="A2484" t="n">
        <v>51</v>
      </c>
      <c r="B2484" t="n">
        <v>2001</v>
      </c>
      <c r="C2484" t="n">
        <v>-0.0005</v>
      </c>
    </row>
    <row r="2485">
      <c r="A2485" t="n">
        <v>51</v>
      </c>
      <c r="B2485" t="n">
        <v>2002</v>
      </c>
      <c r="C2485" t="n">
        <v>-0.0027</v>
      </c>
    </row>
    <row r="2486">
      <c r="A2486" t="n">
        <v>51</v>
      </c>
      <c r="B2486" t="n">
        <v>2003</v>
      </c>
      <c r="C2486" t="n">
        <v>-0.0028</v>
      </c>
    </row>
    <row r="2487">
      <c r="A2487" t="n">
        <v>51</v>
      </c>
      <c r="B2487" t="n">
        <v>2004</v>
      </c>
      <c r="C2487" t="n">
        <v>-0.0011</v>
      </c>
    </row>
    <row r="2488">
      <c r="A2488" t="n">
        <v>51</v>
      </c>
      <c r="B2488" t="n">
        <v>2005</v>
      </c>
      <c r="C2488" t="n">
        <v>0.0019</v>
      </c>
    </row>
    <row r="2489">
      <c r="A2489" t="n">
        <v>51</v>
      </c>
      <c r="B2489" t="n">
        <v>2006</v>
      </c>
      <c r="C2489" t="n">
        <v>0.0055</v>
      </c>
    </row>
    <row r="2490">
      <c r="A2490" t="n">
        <v>51</v>
      </c>
      <c r="B2490" t="n">
        <v>2007</v>
      </c>
      <c r="C2490" t="n">
        <v>0.0089</v>
      </c>
    </row>
    <row r="2491">
      <c r="A2491" t="n">
        <v>51</v>
      </c>
      <c r="B2491" t="n">
        <v>2008</v>
      </c>
      <c r="C2491" t="n">
        <v>0.0116</v>
      </c>
    </row>
    <row r="2492">
      <c r="A2492" t="n">
        <v>51</v>
      </c>
      <c r="B2492" t="n">
        <v>2009</v>
      </c>
      <c r="C2492" t="n">
        <v>0.0132</v>
      </c>
    </row>
    <row r="2493">
      <c r="A2493" t="n">
        <v>51</v>
      </c>
      <c r="B2493" t="n">
        <v>2010</v>
      </c>
      <c r="C2493" t="n">
        <v>0.0137</v>
      </c>
    </row>
    <row r="2494">
      <c r="A2494" t="n">
        <v>51</v>
      </c>
      <c r="B2494" t="n">
        <v>2011</v>
      </c>
      <c r="C2494" t="n">
        <v>0.0133</v>
      </c>
    </row>
    <row r="2495">
      <c r="A2495" t="n">
        <v>51</v>
      </c>
      <c r="B2495" t="n">
        <v>2012</v>
      </c>
      <c r="C2495" t="n">
        <v>0.0125</v>
      </c>
    </row>
    <row r="2496">
      <c r="A2496" t="n">
        <v>51</v>
      </c>
      <c r="B2496" t="n">
        <v>2013</v>
      </c>
      <c r="C2496" t="n">
        <v>0.0136</v>
      </c>
    </row>
    <row r="2497">
      <c r="A2497" t="n">
        <v>51</v>
      </c>
      <c r="B2497" t="n">
        <v>2014</v>
      </c>
      <c r="C2497" t="n">
        <v>0.0144</v>
      </c>
    </row>
    <row r="2498">
      <c r="A2498" t="n">
        <v>51</v>
      </c>
      <c r="B2498" t="n">
        <v>2015</v>
      </c>
      <c r="C2498" t="n">
        <v>0.0149</v>
      </c>
    </row>
    <row r="2499">
      <c r="A2499" t="n">
        <v>51</v>
      </c>
      <c r="B2499" t="n">
        <v>2016</v>
      </c>
      <c r="C2499" t="n">
        <v>0.0151</v>
      </c>
    </row>
    <row r="2500">
      <c r="A2500" t="n">
        <v>51</v>
      </c>
      <c r="B2500" t="n">
        <v>2017</v>
      </c>
      <c r="C2500" t="n">
        <v>0.0148</v>
      </c>
    </row>
    <row r="2501">
      <c r="A2501" t="n">
        <v>51</v>
      </c>
      <c r="B2501" t="n">
        <v>2018</v>
      </c>
      <c r="C2501" t="n">
        <v>0.0142</v>
      </c>
    </row>
    <row r="2502">
      <c r="A2502" t="n">
        <v>51</v>
      </c>
      <c r="B2502" t="n">
        <v>2019</v>
      </c>
      <c r="C2502" t="n">
        <v>0.0134</v>
      </c>
    </row>
    <row r="2503">
      <c r="A2503" t="n">
        <v>51</v>
      </c>
      <c r="B2503" t="n">
        <v>2020</v>
      </c>
      <c r="C2503" t="n">
        <v>0.0124</v>
      </c>
    </row>
    <row r="2504">
      <c r="A2504" t="n">
        <v>51</v>
      </c>
      <c r="B2504" t="n">
        <v>2021</v>
      </c>
      <c r="C2504" t="n">
        <v>0.0114</v>
      </c>
    </row>
    <row r="2505">
      <c r="A2505" t="n">
        <v>51</v>
      </c>
      <c r="B2505" t="n">
        <v>2022</v>
      </c>
      <c r="C2505" t="n">
        <v>0.0105</v>
      </c>
    </row>
    <row r="2506">
      <c r="A2506" t="n">
        <v>51</v>
      </c>
      <c r="B2506" t="n">
        <v>2023</v>
      </c>
      <c r="C2506" t="n">
        <v>0.0098</v>
      </c>
    </row>
    <row r="2507">
      <c r="A2507" t="n">
        <v>51</v>
      </c>
      <c r="B2507" t="n">
        <v>2024</v>
      </c>
      <c r="C2507" t="n">
        <v>0.0092</v>
      </c>
    </row>
    <row r="2508">
      <c r="A2508" t="n">
        <v>51</v>
      </c>
      <c r="B2508" t="n">
        <v>2025</v>
      </c>
      <c r="C2508" t="n">
        <v>0.0089</v>
      </c>
    </row>
    <row r="2509">
      <c r="A2509" t="n">
        <v>51</v>
      </c>
      <c r="B2509" t="n">
        <v>2026</v>
      </c>
      <c r="C2509" t="n">
        <v>0.008800000000000001</v>
      </c>
    </row>
    <row r="2510">
      <c r="A2510" t="n">
        <v>51</v>
      </c>
      <c r="B2510" t="n">
        <v>2027</v>
      </c>
      <c r="C2510" t="n">
        <v>0.0089</v>
      </c>
    </row>
    <row r="2511">
      <c r="A2511" t="n">
        <v>51</v>
      </c>
      <c r="B2511" t="n">
        <v>2028</v>
      </c>
      <c r="C2511" t="n">
        <v>0.0092</v>
      </c>
    </row>
    <row r="2512">
      <c r="A2512" t="n">
        <v>51</v>
      </c>
      <c r="B2512" t="n">
        <v>2029</v>
      </c>
      <c r="C2512" t="n">
        <v>0.0095</v>
      </c>
    </row>
    <row r="2513">
      <c r="A2513" t="n">
        <v>51</v>
      </c>
      <c r="B2513" t="n">
        <v>2030</v>
      </c>
      <c r="C2513" t="n">
        <v>0.0098</v>
      </c>
    </row>
    <row r="2514">
      <c r="A2514" t="n">
        <v>51</v>
      </c>
      <c r="B2514" t="n">
        <v>2031</v>
      </c>
      <c r="C2514" t="n">
        <v>0.009900000000000001</v>
      </c>
    </row>
    <row r="2515">
      <c r="A2515" t="n">
        <v>52</v>
      </c>
      <c r="B2515" t="n">
        <v>1951</v>
      </c>
      <c r="C2515" t="n">
        <v>0.0174</v>
      </c>
    </row>
    <row r="2516">
      <c r="A2516" t="n">
        <v>52</v>
      </c>
      <c r="B2516" t="n">
        <v>1952</v>
      </c>
      <c r="C2516" t="n">
        <v>0.0162</v>
      </c>
    </row>
    <row r="2517">
      <c r="A2517" t="n">
        <v>52</v>
      </c>
      <c r="B2517" t="n">
        <v>1953</v>
      </c>
      <c r="C2517" t="n">
        <v>0.0149</v>
      </c>
    </row>
    <row r="2518">
      <c r="A2518" t="n">
        <v>52</v>
      </c>
      <c r="B2518" t="n">
        <v>1954</v>
      </c>
      <c r="C2518" t="n">
        <v>0.0132</v>
      </c>
    </row>
    <row r="2519">
      <c r="A2519" t="n">
        <v>52</v>
      </c>
      <c r="B2519" t="n">
        <v>1955</v>
      </c>
      <c r="C2519" t="n">
        <v>0.0111</v>
      </c>
    </row>
    <row r="2520">
      <c r="A2520" t="n">
        <v>52</v>
      </c>
      <c r="B2520" t="n">
        <v>1956</v>
      </c>
      <c r="C2520" t="n">
        <v>0.008800000000000001</v>
      </c>
    </row>
    <row r="2521">
      <c r="A2521" t="n">
        <v>52</v>
      </c>
      <c r="B2521" t="n">
        <v>1957</v>
      </c>
      <c r="C2521" t="n">
        <v>0.0065</v>
      </c>
    </row>
    <row r="2522">
      <c r="A2522" t="n">
        <v>52</v>
      </c>
      <c r="B2522" t="n">
        <v>1958</v>
      </c>
      <c r="C2522" t="n">
        <v>0.0046</v>
      </c>
    </row>
    <row r="2523">
      <c r="A2523" t="n">
        <v>52</v>
      </c>
      <c r="B2523" t="n">
        <v>1959</v>
      </c>
      <c r="C2523" t="n">
        <v>0.0029</v>
      </c>
    </row>
    <row r="2524">
      <c r="A2524" t="n">
        <v>52</v>
      </c>
      <c r="B2524" t="n">
        <v>1960</v>
      </c>
      <c r="C2524" t="n">
        <v>0.0016</v>
      </c>
    </row>
    <row r="2525">
      <c r="A2525" t="n">
        <v>52</v>
      </c>
      <c r="B2525" t="n">
        <v>1961</v>
      </c>
      <c r="C2525" t="n">
        <v>0.0005</v>
      </c>
    </row>
    <row r="2526">
      <c r="A2526" t="n">
        <v>52</v>
      </c>
      <c r="B2526" t="n">
        <v>1962</v>
      </c>
      <c r="C2526" t="n">
        <v>-0.0005</v>
      </c>
    </row>
    <row r="2527">
      <c r="A2527" t="n">
        <v>52</v>
      </c>
      <c r="B2527" t="n">
        <v>1963</v>
      </c>
      <c r="C2527" t="n">
        <v>-0.0011</v>
      </c>
    </row>
    <row r="2528">
      <c r="A2528" t="n">
        <v>52</v>
      </c>
      <c r="B2528" t="n">
        <v>1964</v>
      </c>
      <c r="C2528" t="n">
        <v>-0.0012</v>
      </c>
    </row>
    <row r="2529">
      <c r="A2529" t="n">
        <v>52</v>
      </c>
      <c r="B2529" t="n">
        <v>1965</v>
      </c>
      <c r="C2529" t="n">
        <v>-0.0008</v>
      </c>
    </row>
    <row r="2530">
      <c r="A2530" t="n">
        <v>52</v>
      </c>
      <c r="B2530" t="n">
        <v>1966</v>
      </c>
      <c r="C2530" t="n">
        <v>0.0004</v>
      </c>
    </row>
    <row r="2531">
      <c r="A2531" t="n">
        <v>52</v>
      </c>
      <c r="B2531" t="n">
        <v>1967</v>
      </c>
      <c r="C2531" t="n">
        <v>0.0025</v>
      </c>
    </row>
    <row r="2532">
      <c r="A2532" t="n">
        <v>52</v>
      </c>
      <c r="B2532" t="n">
        <v>1968</v>
      </c>
      <c r="C2532" t="n">
        <v>0.0052</v>
      </c>
    </row>
    <row r="2533">
      <c r="A2533" t="n">
        <v>52</v>
      </c>
      <c r="B2533" t="n">
        <v>1969</v>
      </c>
      <c r="C2533" t="n">
        <v>0.0086</v>
      </c>
    </row>
    <row r="2534">
      <c r="A2534" t="n">
        <v>52</v>
      </c>
      <c r="B2534" t="n">
        <v>1970</v>
      </c>
      <c r="C2534" t="n">
        <v>0.0122</v>
      </c>
    </row>
    <row r="2535">
      <c r="A2535" t="n">
        <v>52</v>
      </c>
      <c r="B2535" t="n">
        <v>1971</v>
      </c>
      <c r="C2535" t="n">
        <v>0.016</v>
      </c>
    </row>
    <row r="2536">
      <c r="A2536" t="n">
        <v>52</v>
      </c>
      <c r="B2536" t="n">
        <v>1972</v>
      </c>
      <c r="C2536" t="n">
        <v>0.0195</v>
      </c>
    </row>
    <row r="2537">
      <c r="A2537" t="n">
        <v>52</v>
      </c>
      <c r="B2537" t="n">
        <v>1973</v>
      </c>
      <c r="C2537" t="n">
        <v>0.0225</v>
      </c>
    </row>
    <row r="2538">
      <c r="A2538" t="n">
        <v>52</v>
      </c>
      <c r="B2538" t="n">
        <v>1974</v>
      </c>
      <c r="C2538" t="n">
        <v>0.0247</v>
      </c>
    </row>
    <row r="2539">
      <c r="A2539" t="n">
        <v>52</v>
      </c>
      <c r="B2539" t="n">
        <v>1975</v>
      </c>
      <c r="C2539" t="n">
        <v>0.0261</v>
      </c>
    </row>
    <row r="2540">
      <c r="A2540" t="n">
        <v>52</v>
      </c>
      <c r="B2540" t="n">
        <v>1976</v>
      </c>
      <c r="C2540" t="n">
        <v>0.0266</v>
      </c>
    </row>
    <row r="2541">
      <c r="A2541" t="n">
        <v>52</v>
      </c>
      <c r="B2541" t="n">
        <v>1977</v>
      </c>
      <c r="C2541" t="n">
        <v>0.0264</v>
      </c>
    </row>
    <row r="2542">
      <c r="A2542" t="n">
        <v>52</v>
      </c>
      <c r="B2542" t="n">
        <v>1978</v>
      </c>
      <c r="C2542" t="n">
        <v>0.0259</v>
      </c>
    </row>
    <row r="2543">
      <c r="A2543" t="n">
        <v>52</v>
      </c>
      <c r="B2543" t="n">
        <v>1979</v>
      </c>
      <c r="C2543" t="n">
        <v>0.0251</v>
      </c>
    </row>
    <row r="2544">
      <c r="A2544" t="n">
        <v>52</v>
      </c>
      <c r="B2544" t="n">
        <v>1980</v>
      </c>
      <c r="C2544" t="n">
        <v>0.0242</v>
      </c>
    </row>
    <row r="2545">
      <c r="A2545" t="n">
        <v>52</v>
      </c>
      <c r="B2545" t="n">
        <v>1981</v>
      </c>
      <c r="C2545" t="n">
        <v>0.0232</v>
      </c>
    </row>
    <row r="2546">
      <c r="A2546" t="n">
        <v>52</v>
      </c>
      <c r="B2546" t="n">
        <v>1982</v>
      </c>
      <c r="C2546" t="n">
        <v>0.0222</v>
      </c>
    </row>
    <row r="2547">
      <c r="A2547" t="n">
        <v>52</v>
      </c>
      <c r="B2547" t="n">
        <v>1983</v>
      </c>
      <c r="C2547" t="n">
        <v>0.021</v>
      </c>
    </row>
    <row r="2548">
      <c r="A2548" t="n">
        <v>52</v>
      </c>
      <c r="B2548" t="n">
        <v>1984</v>
      </c>
      <c r="C2548" t="n">
        <v>0.0199</v>
      </c>
    </row>
    <row r="2549">
      <c r="A2549" t="n">
        <v>52</v>
      </c>
      <c r="B2549" t="n">
        <v>1985</v>
      </c>
      <c r="C2549" t="n">
        <v>0.019</v>
      </c>
    </row>
    <row r="2550">
      <c r="A2550" t="n">
        <v>52</v>
      </c>
      <c r="B2550" t="n">
        <v>1986</v>
      </c>
      <c r="C2550" t="n">
        <v>0.0184</v>
      </c>
    </row>
    <row r="2551">
      <c r="A2551" t="n">
        <v>52</v>
      </c>
      <c r="B2551" t="n">
        <v>1987</v>
      </c>
      <c r="C2551" t="n">
        <v>0.0181</v>
      </c>
    </row>
    <row r="2552">
      <c r="A2552" t="n">
        <v>52</v>
      </c>
      <c r="B2552" t="n">
        <v>1988</v>
      </c>
      <c r="C2552" t="n">
        <v>0.018</v>
      </c>
    </row>
    <row r="2553">
      <c r="A2553" t="n">
        <v>52</v>
      </c>
      <c r="B2553" t="n">
        <v>1989</v>
      </c>
      <c r="C2553" t="n">
        <v>0.0179</v>
      </c>
    </row>
    <row r="2554">
      <c r="A2554" t="n">
        <v>52</v>
      </c>
      <c r="B2554" t="n">
        <v>1990</v>
      </c>
      <c r="C2554" t="n">
        <v>0.0178</v>
      </c>
    </row>
    <row r="2555">
      <c r="A2555" t="n">
        <v>52</v>
      </c>
      <c r="B2555" t="n">
        <v>1991</v>
      </c>
      <c r="C2555" t="n">
        <v>0.0176</v>
      </c>
    </row>
    <row r="2556">
      <c r="A2556" t="n">
        <v>52</v>
      </c>
      <c r="B2556" t="n">
        <v>1992</v>
      </c>
      <c r="C2556" t="n">
        <v>0.0176</v>
      </c>
    </row>
    <row r="2557">
      <c r="A2557" t="n">
        <v>52</v>
      </c>
      <c r="B2557" t="n">
        <v>1993</v>
      </c>
      <c r="C2557" t="n">
        <v>0.0178</v>
      </c>
    </row>
    <row r="2558">
      <c r="A2558" t="n">
        <v>52</v>
      </c>
      <c r="B2558" t="n">
        <v>1994</v>
      </c>
      <c r="C2558" t="n">
        <v>0.0184</v>
      </c>
    </row>
    <row r="2559">
      <c r="A2559" t="n">
        <v>52</v>
      </c>
      <c r="B2559" t="n">
        <v>1995</v>
      </c>
      <c r="C2559" t="n">
        <v>0.0189</v>
      </c>
    </row>
    <row r="2560">
      <c r="A2560" t="n">
        <v>52</v>
      </c>
      <c r="B2560" t="n">
        <v>1996</v>
      </c>
      <c r="C2560" t="n">
        <v>0.0186</v>
      </c>
    </row>
    <row r="2561">
      <c r="A2561" t="n">
        <v>52</v>
      </c>
      <c r="B2561" t="n">
        <v>1997</v>
      </c>
      <c r="C2561" t="n">
        <v>0.0169</v>
      </c>
    </row>
    <row r="2562">
      <c r="A2562" t="n">
        <v>52</v>
      </c>
      <c r="B2562" t="n">
        <v>1998</v>
      </c>
      <c r="C2562" t="n">
        <v>0.0137</v>
      </c>
    </row>
    <row r="2563">
      <c r="A2563" t="n">
        <v>52</v>
      </c>
      <c r="B2563" t="n">
        <v>1999</v>
      </c>
      <c r="C2563" t="n">
        <v>0.0094</v>
      </c>
    </row>
    <row r="2564">
      <c r="A2564" t="n">
        <v>52</v>
      </c>
      <c r="B2564" t="n">
        <v>2000</v>
      </c>
      <c r="C2564" t="n">
        <v>0.0049</v>
      </c>
    </row>
    <row r="2565">
      <c r="A2565" t="n">
        <v>52</v>
      </c>
      <c r="B2565" t="n">
        <v>2001</v>
      </c>
      <c r="C2565" t="n">
        <v>0.001</v>
      </c>
    </row>
    <row r="2566">
      <c r="A2566" t="n">
        <v>52</v>
      </c>
      <c r="B2566" t="n">
        <v>2002</v>
      </c>
      <c r="C2566" t="n">
        <v>-0.0015</v>
      </c>
    </row>
    <row r="2567">
      <c r="A2567" t="n">
        <v>52</v>
      </c>
      <c r="B2567" t="n">
        <v>2003</v>
      </c>
      <c r="C2567" t="n">
        <v>-0.0022</v>
      </c>
    </row>
    <row r="2568">
      <c r="A2568" t="n">
        <v>52</v>
      </c>
      <c r="B2568" t="n">
        <v>2004</v>
      </c>
      <c r="C2568" t="n">
        <v>-0.0012</v>
      </c>
    </row>
    <row r="2569">
      <c r="A2569" t="n">
        <v>52</v>
      </c>
      <c r="B2569" t="n">
        <v>2005</v>
      </c>
      <c r="C2569" t="n">
        <v>0.0011</v>
      </c>
    </row>
    <row r="2570">
      <c r="A2570" t="n">
        <v>52</v>
      </c>
      <c r="B2570" t="n">
        <v>2006</v>
      </c>
      <c r="C2570" t="n">
        <v>0.004</v>
      </c>
    </row>
    <row r="2571">
      <c r="A2571" t="n">
        <v>52</v>
      </c>
      <c r="B2571" t="n">
        <v>2007</v>
      </c>
      <c r="C2571" t="n">
        <v>0.0069</v>
      </c>
    </row>
    <row r="2572">
      <c r="A2572" t="n">
        <v>52</v>
      </c>
      <c r="B2572" t="n">
        <v>2008</v>
      </c>
      <c r="C2572" t="n">
        <v>0.0092</v>
      </c>
    </row>
    <row r="2573">
      <c r="A2573" t="n">
        <v>52</v>
      </c>
      <c r="B2573" t="n">
        <v>2009</v>
      </c>
      <c r="C2573" t="n">
        <v>0.0105</v>
      </c>
    </row>
    <row r="2574">
      <c r="A2574" t="n">
        <v>52</v>
      </c>
      <c r="B2574" t="n">
        <v>2010</v>
      </c>
      <c r="C2574" t="n">
        <v>0.011</v>
      </c>
    </row>
    <row r="2575">
      <c r="A2575" t="n">
        <v>52</v>
      </c>
      <c r="B2575" t="n">
        <v>2011</v>
      </c>
      <c r="C2575" t="n">
        <v>0.0107</v>
      </c>
    </row>
    <row r="2576">
      <c r="A2576" t="n">
        <v>52</v>
      </c>
      <c r="B2576" t="n">
        <v>2012</v>
      </c>
      <c r="C2576" t="n">
        <v>0.009900000000000001</v>
      </c>
    </row>
    <row r="2577">
      <c r="A2577" t="n">
        <v>52</v>
      </c>
      <c r="B2577" t="n">
        <v>2013</v>
      </c>
      <c r="C2577" t="n">
        <v>0.0112</v>
      </c>
    </row>
    <row r="2578">
      <c r="A2578" t="n">
        <v>52</v>
      </c>
      <c r="B2578" t="n">
        <v>2014</v>
      </c>
      <c r="C2578" t="n">
        <v>0.0123</v>
      </c>
    </row>
    <row r="2579">
      <c r="A2579" t="n">
        <v>52</v>
      </c>
      <c r="B2579" t="n">
        <v>2015</v>
      </c>
      <c r="C2579" t="n">
        <v>0.0132</v>
      </c>
    </row>
    <row r="2580">
      <c r="A2580" t="n">
        <v>52</v>
      </c>
      <c r="B2580" t="n">
        <v>2016</v>
      </c>
      <c r="C2580" t="n">
        <v>0.0138</v>
      </c>
    </row>
    <row r="2581">
      <c r="A2581" t="n">
        <v>52</v>
      </c>
      <c r="B2581" t="n">
        <v>2017</v>
      </c>
      <c r="C2581" t="n">
        <v>0.014</v>
      </c>
    </row>
    <row r="2582">
      <c r="A2582" t="n">
        <v>52</v>
      </c>
      <c r="B2582" t="n">
        <v>2018</v>
      </c>
      <c r="C2582" t="n">
        <v>0.0139</v>
      </c>
    </row>
    <row r="2583">
      <c r="A2583" t="n">
        <v>52</v>
      </c>
      <c r="B2583" t="n">
        <v>2019</v>
      </c>
      <c r="C2583" t="n">
        <v>0.0135</v>
      </c>
    </row>
    <row r="2584">
      <c r="A2584" t="n">
        <v>52</v>
      </c>
      <c r="B2584" t="n">
        <v>2020</v>
      </c>
      <c r="C2584" t="n">
        <v>0.0128</v>
      </c>
    </row>
    <row r="2585">
      <c r="A2585" t="n">
        <v>52</v>
      </c>
      <c r="B2585" t="n">
        <v>2021</v>
      </c>
      <c r="C2585" t="n">
        <v>0.012</v>
      </c>
    </row>
    <row r="2586">
      <c r="A2586" t="n">
        <v>52</v>
      </c>
      <c r="B2586" t="n">
        <v>2022</v>
      </c>
      <c r="C2586" t="n">
        <v>0.0112</v>
      </c>
    </row>
    <row r="2587">
      <c r="A2587" t="n">
        <v>52</v>
      </c>
      <c r="B2587" t="n">
        <v>2023</v>
      </c>
      <c r="C2587" t="n">
        <v>0.0104</v>
      </c>
    </row>
    <row r="2588">
      <c r="A2588" t="n">
        <v>52</v>
      </c>
      <c r="B2588" t="n">
        <v>2024</v>
      </c>
      <c r="C2588" t="n">
        <v>0.0098</v>
      </c>
    </row>
    <row r="2589">
      <c r="A2589" t="n">
        <v>52</v>
      </c>
      <c r="B2589" t="n">
        <v>2025</v>
      </c>
      <c r="C2589" t="n">
        <v>0.0094</v>
      </c>
    </row>
    <row r="2590">
      <c r="A2590" t="n">
        <v>52</v>
      </c>
      <c r="B2590" t="n">
        <v>2026</v>
      </c>
      <c r="C2590" t="n">
        <v>0.0092</v>
      </c>
    </row>
    <row r="2591">
      <c r="A2591" t="n">
        <v>52</v>
      </c>
      <c r="B2591" t="n">
        <v>2027</v>
      </c>
      <c r="C2591" t="n">
        <v>0.0092</v>
      </c>
    </row>
    <row r="2592">
      <c r="A2592" t="n">
        <v>52</v>
      </c>
      <c r="B2592" t="n">
        <v>2028</v>
      </c>
      <c r="C2592" t="n">
        <v>0.009299999999999999</v>
      </c>
    </row>
    <row r="2593">
      <c r="A2593" t="n">
        <v>52</v>
      </c>
      <c r="B2593" t="n">
        <v>2029</v>
      </c>
      <c r="C2593" t="n">
        <v>0.0095</v>
      </c>
    </row>
    <row r="2594">
      <c r="A2594" t="n">
        <v>52</v>
      </c>
      <c r="B2594" t="n">
        <v>2030</v>
      </c>
      <c r="C2594" t="n">
        <v>0.0098</v>
      </c>
    </row>
    <row r="2595">
      <c r="A2595" t="n">
        <v>52</v>
      </c>
      <c r="B2595" t="n">
        <v>2031</v>
      </c>
      <c r="C2595" t="n">
        <v>0.009900000000000001</v>
      </c>
    </row>
    <row r="2596">
      <c r="A2596" t="n">
        <v>53</v>
      </c>
      <c r="B2596" t="n">
        <v>1951</v>
      </c>
      <c r="C2596" t="n">
        <v>0.0168</v>
      </c>
    </row>
    <row r="2597">
      <c r="A2597" t="n">
        <v>53</v>
      </c>
      <c r="B2597" t="n">
        <v>1952</v>
      </c>
      <c r="C2597" t="n">
        <v>0.0157</v>
      </c>
    </row>
    <row r="2598">
      <c r="A2598" t="n">
        <v>53</v>
      </c>
      <c r="B2598" t="n">
        <v>1953</v>
      </c>
      <c r="C2598" t="n">
        <v>0.0143</v>
      </c>
    </row>
    <row r="2599">
      <c r="A2599" t="n">
        <v>53</v>
      </c>
      <c r="B2599" t="n">
        <v>1954</v>
      </c>
      <c r="C2599" t="n">
        <v>0.0127</v>
      </c>
    </row>
    <row r="2600">
      <c r="A2600" t="n">
        <v>53</v>
      </c>
      <c r="B2600" t="n">
        <v>1955</v>
      </c>
      <c r="C2600" t="n">
        <v>0.0107</v>
      </c>
    </row>
    <row r="2601">
      <c r="A2601" t="n">
        <v>53</v>
      </c>
      <c r="B2601" t="n">
        <v>1956</v>
      </c>
      <c r="C2601" t="n">
        <v>0.008399999999999999</v>
      </c>
    </row>
    <row r="2602">
      <c r="A2602" t="n">
        <v>53</v>
      </c>
      <c r="B2602" t="n">
        <v>1957</v>
      </c>
      <c r="C2602" t="n">
        <v>0.0063</v>
      </c>
    </row>
    <row r="2603">
      <c r="A2603" t="n">
        <v>53</v>
      </c>
      <c r="B2603" t="n">
        <v>1958</v>
      </c>
      <c r="C2603" t="n">
        <v>0.0044</v>
      </c>
    </row>
    <row r="2604">
      <c r="A2604" t="n">
        <v>53</v>
      </c>
      <c r="B2604" t="n">
        <v>1959</v>
      </c>
      <c r="C2604" t="n">
        <v>0.0029</v>
      </c>
    </row>
    <row r="2605">
      <c r="A2605" t="n">
        <v>53</v>
      </c>
      <c r="B2605" t="n">
        <v>1960</v>
      </c>
      <c r="C2605" t="n">
        <v>0.0016</v>
      </c>
    </row>
    <row r="2606">
      <c r="A2606" t="n">
        <v>53</v>
      </c>
      <c r="B2606" t="n">
        <v>1961</v>
      </c>
      <c r="C2606" t="n">
        <v>0.0005</v>
      </c>
    </row>
    <row r="2607">
      <c r="A2607" t="n">
        <v>53</v>
      </c>
      <c r="B2607" t="n">
        <v>1962</v>
      </c>
      <c r="C2607" t="n">
        <v>-0.0004</v>
      </c>
    </row>
    <row r="2608">
      <c r="A2608" t="n">
        <v>53</v>
      </c>
      <c r="B2608" t="n">
        <v>1963</v>
      </c>
      <c r="C2608" t="n">
        <v>-0.0011</v>
      </c>
    </row>
    <row r="2609">
      <c r="A2609" t="n">
        <v>53</v>
      </c>
      <c r="B2609" t="n">
        <v>1964</v>
      </c>
      <c r="C2609" t="n">
        <v>-0.0013</v>
      </c>
    </row>
    <row r="2610">
      <c r="A2610" t="n">
        <v>53</v>
      </c>
      <c r="B2610" t="n">
        <v>1965</v>
      </c>
      <c r="C2610" t="n">
        <v>-0.0009</v>
      </c>
    </row>
    <row r="2611">
      <c r="A2611" t="n">
        <v>53</v>
      </c>
      <c r="B2611" t="n">
        <v>1966</v>
      </c>
      <c r="C2611" t="n">
        <v>0.0003</v>
      </c>
    </row>
    <row r="2612">
      <c r="A2612" t="n">
        <v>53</v>
      </c>
      <c r="B2612" t="n">
        <v>1967</v>
      </c>
      <c r="C2612" t="n">
        <v>0.0023</v>
      </c>
    </row>
    <row r="2613">
      <c r="A2613" t="n">
        <v>53</v>
      </c>
      <c r="B2613" t="n">
        <v>1968</v>
      </c>
      <c r="C2613" t="n">
        <v>0.005</v>
      </c>
    </row>
    <row r="2614">
      <c r="A2614" t="n">
        <v>53</v>
      </c>
      <c r="B2614" t="n">
        <v>1969</v>
      </c>
      <c r="C2614" t="n">
        <v>0.008500000000000001</v>
      </c>
    </row>
    <row r="2615">
      <c r="A2615" t="n">
        <v>53</v>
      </c>
      <c r="B2615" t="n">
        <v>1970</v>
      </c>
      <c r="C2615" t="n">
        <v>0.0123</v>
      </c>
    </row>
    <row r="2616">
      <c r="A2616" t="n">
        <v>53</v>
      </c>
      <c r="B2616" t="n">
        <v>1971</v>
      </c>
      <c r="C2616" t="n">
        <v>0.0163</v>
      </c>
    </row>
    <row r="2617">
      <c r="A2617" t="n">
        <v>53</v>
      </c>
      <c r="B2617" t="n">
        <v>1972</v>
      </c>
      <c r="C2617" t="n">
        <v>0.0199</v>
      </c>
    </row>
    <row r="2618">
      <c r="A2618" t="n">
        <v>53</v>
      </c>
      <c r="B2618" t="n">
        <v>1973</v>
      </c>
      <c r="C2618" t="n">
        <v>0.0229</v>
      </c>
    </row>
    <row r="2619">
      <c r="A2619" t="n">
        <v>53</v>
      </c>
      <c r="B2619" t="n">
        <v>1974</v>
      </c>
      <c r="C2619" t="n">
        <v>0.0251</v>
      </c>
    </row>
    <row r="2620">
      <c r="A2620" t="n">
        <v>53</v>
      </c>
      <c r="B2620" t="n">
        <v>1975</v>
      </c>
      <c r="C2620" t="n">
        <v>0.0264</v>
      </c>
    </row>
    <row r="2621">
      <c r="A2621" t="n">
        <v>53</v>
      </c>
      <c r="B2621" t="n">
        <v>1976</v>
      </c>
      <c r="C2621" t="n">
        <v>0.0266</v>
      </c>
    </row>
    <row r="2622">
      <c r="A2622" t="n">
        <v>53</v>
      </c>
      <c r="B2622" t="n">
        <v>1977</v>
      </c>
      <c r="C2622" t="n">
        <v>0.0262</v>
      </c>
    </row>
    <row r="2623">
      <c r="A2623" t="n">
        <v>53</v>
      </c>
      <c r="B2623" t="n">
        <v>1978</v>
      </c>
      <c r="C2623" t="n">
        <v>0.0252</v>
      </c>
    </row>
    <row r="2624">
      <c r="A2624" t="n">
        <v>53</v>
      </c>
      <c r="B2624" t="n">
        <v>1979</v>
      </c>
      <c r="C2624" t="n">
        <v>0.0241</v>
      </c>
    </row>
    <row r="2625">
      <c r="A2625" t="n">
        <v>53</v>
      </c>
      <c r="B2625" t="n">
        <v>1980</v>
      </c>
      <c r="C2625" t="n">
        <v>0.0229</v>
      </c>
    </row>
    <row r="2626">
      <c r="A2626" t="n">
        <v>53</v>
      </c>
      <c r="B2626" t="n">
        <v>1981</v>
      </c>
      <c r="C2626" t="n">
        <v>0.0217</v>
      </c>
    </row>
    <row r="2627">
      <c r="A2627" t="n">
        <v>53</v>
      </c>
      <c r="B2627" t="n">
        <v>1982</v>
      </c>
      <c r="C2627" t="n">
        <v>0.0207</v>
      </c>
    </row>
    <row r="2628">
      <c r="A2628" t="n">
        <v>53</v>
      </c>
      <c r="B2628" t="n">
        <v>1983</v>
      </c>
      <c r="C2628" t="n">
        <v>0.0198</v>
      </c>
    </row>
    <row r="2629">
      <c r="A2629" t="n">
        <v>53</v>
      </c>
      <c r="B2629" t="n">
        <v>1984</v>
      </c>
      <c r="C2629" t="n">
        <v>0.019</v>
      </c>
    </row>
    <row r="2630">
      <c r="A2630" t="n">
        <v>53</v>
      </c>
      <c r="B2630" t="n">
        <v>1985</v>
      </c>
      <c r="C2630" t="n">
        <v>0.0186</v>
      </c>
    </row>
    <row r="2631">
      <c r="A2631" t="n">
        <v>53</v>
      </c>
      <c r="B2631" t="n">
        <v>1986</v>
      </c>
      <c r="C2631" t="n">
        <v>0.0185</v>
      </c>
    </row>
    <row r="2632">
      <c r="A2632" t="n">
        <v>53</v>
      </c>
      <c r="B2632" t="n">
        <v>1987</v>
      </c>
      <c r="C2632" t="n">
        <v>0.0186</v>
      </c>
    </row>
    <row r="2633">
      <c r="A2633" t="n">
        <v>53</v>
      </c>
      <c r="B2633" t="n">
        <v>1988</v>
      </c>
      <c r="C2633" t="n">
        <v>0.0189</v>
      </c>
    </row>
    <row r="2634">
      <c r="A2634" t="n">
        <v>53</v>
      </c>
      <c r="B2634" t="n">
        <v>1989</v>
      </c>
      <c r="C2634" t="n">
        <v>0.0191</v>
      </c>
    </row>
    <row r="2635">
      <c r="A2635" t="n">
        <v>53</v>
      </c>
      <c r="B2635" t="n">
        <v>1990</v>
      </c>
      <c r="C2635" t="n">
        <v>0.0191</v>
      </c>
    </row>
    <row r="2636">
      <c r="A2636" t="n">
        <v>53</v>
      </c>
      <c r="B2636" t="n">
        <v>1991</v>
      </c>
      <c r="C2636" t="n">
        <v>0.0191</v>
      </c>
    </row>
    <row r="2637">
      <c r="A2637" t="n">
        <v>53</v>
      </c>
      <c r="B2637" t="n">
        <v>1992</v>
      </c>
      <c r="C2637" t="n">
        <v>0.0192</v>
      </c>
    </row>
    <row r="2638">
      <c r="A2638" t="n">
        <v>53</v>
      </c>
      <c r="B2638" t="n">
        <v>1993</v>
      </c>
      <c r="C2638" t="n">
        <v>0.0194</v>
      </c>
    </row>
    <row r="2639">
      <c r="A2639" t="n">
        <v>53</v>
      </c>
      <c r="B2639" t="n">
        <v>1994</v>
      </c>
      <c r="C2639" t="n">
        <v>0.0199</v>
      </c>
    </row>
    <row r="2640">
      <c r="A2640" t="n">
        <v>53</v>
      </c>
      <c r="B2640" t="n">
        <v>1995</v>
      </c>
      <c r="C2640" t="n">
        <v>0.0202</v>
      </c>
    </row>
    <row r="2641">
      <c r="A2641" t="n">
        <v>53</v>
      </c>
      <c r="B2641" t="n">
        <v>1996</v>
      </c>
      <c r="C2641" t="n">
        <v>0.0198</v>
      </c>
    </row>
    <row r="2642">
      <c r="A2642" t="n">
        <v>53</v>
      </c>
      <c r="B2642" t="n">
        <v>1997</v>
      </c>
      <c r="C2642" t="n">
        <v>0.0182</v>
      </c>
    </row>
    <row r="2643">
      <c r="A2643" t="n">
        <v>53</v>
      </c>
      <c r="B2643" t="n">
        <v>1998</v>
      </c>
      <c r="C2643" t="n">
        <v>0.0152</v>
      </c>
    </row>
    <row r="2644">
      <c r="A2644" t="n">
        <v>53</v>
      </c>
      <c r="B2644" t="n">
        <v>1999</v>
      </c>
      <c r="C2644" t="n">
        <v>0.0112</v>
      </c>
    </row>
    <row r="2645">
      <c r="A2645" t="n">
        <v>53</v>
      </c>
      <c r="B2645" t="n">
        <v>2000</v>
      </c>
      <c r="C2645" t="n">
        <v>0.0069</v>
      </c>
    </row>
    <row r="2646">
      <c r="A2646" t="n">
        <v>53</v>
      </c>
      <c r="B2646" t="n">
        <v>2001</v>
      </c>
      <c r="C2646" t="n">
        <v>0.0032</v>
      </c>
    </row>
    <row r="2647">
      <c r="A2647" t="n">
        <v>53</v>
      </c>
      <c r="B2647" t="n">
        <v>2002</v>
      </c>
      <c r="C2647" t="n">
        <v>0.0005</v>
      </c>
    </row>
    <row r="2648">
      <c r="A2648" t="n">
        <v>53</v>
      </c>
      <c r="B2648" t="n">
        <v>2003</v>
      </c>
      <c r="C2648" t="n">
        <v>-0.0005999999999999999</v>
      </c>
    </row>
    <row r="2649">
      <c r="A2649" t="n">
        <v>53</v>
      </c>
      <c r="B2649" t="n">
        <v>2004</v>
      </c>
      <c r="C2649" t="n">
        <v>-0.0003</v>
      </c>
    </row>
    <row r="2650">
      <c r="A2650" t="n">
        <v>53</v>
      </c>
      <c r="B2650" t="n">
        <v>2005</v>
      </c>
      <c r="C2650" t="n">
        <v>0.0011</v>
      </c>
    </row>
    <row r="2651">
      <c r="A2651" t="n">
        <v>53</v>
      </c>
      <c r="B2651" t="n">
        <v>2006</v>
      </c>
      <c r="C2651" t="n">
        <v>0.0032</v>
      </c>
    </row>
    <row r="2652">
      <c r="A2652" t="n">
        <v>53</v>
      </c>
      <c r="B2652" t="n">
        <v>2007</v>
      </c>
      <c r="C2652" t="n">
        <v>0.0053</v>
      </c>
    </row>
    <row r="2653">
      <c r="A2653" t="n">
        <v>53</v>
      </c>
      <c r="B2653" t="n">
        <v>2008</v>
      </c>
      <c r="C2653" t="n">
        <v>0.007</v>
      </c>
    </row>
    <row r="2654">
      <c r="A2654" t="n">
        <v>53</v>
      </c>
      <c r="B2654" t="n">
        <v>2009</v>
      </c>
      <c r="C2654" t="n">
        <v>0.008</v>
      </c>
    </row>
    <row r="2655">
      <c r="A2655" t="n">
        <v>53</v>
      </c>
      <c r="B2655" t="n">
        <v>2010</v>
      </c>
      <c r="C2655" t="n">
        <v>0.008399999999999999</v>
      </c>
    </row>
    <row r="2656">
      <c r="A2656" t="n">
        <v>53</v>
      </c>
      <c r="B2656" t="n">
        <v>2011</v>
      </c>
      <c r="C2656" t="n">
        <v>0.008</v>
      </c>
    </row>
    <row r="2657">
      <c r="A2657" t="n">
        <v>53</v>
      </c>
      <c r="B2657" t="n">
        <v>2012</v>
      </c>
      <c r="C2657" t="n">
        <v>0.0073</v>
      </c>
    </row>
    <row r="2658">
      <c r="A2658" t="n">
        <v>53</v>
      </c>
      <c r="B2658" t="n">
        <v>2013</v>
      </c>
      <c r="C2658" t="n">
        <v>0.0086</v>
      </c>
    </row>
    <row r="2659">
      <c r="A2659" t="n">
        <v>53</v>
      </c>
      <c r="B2659" t="n">
        <v>2014</v>
      </c>
      <c r="C2659" t="n">
        <v>0.01</v>
      </c>
    </row>
    <row r="2660">
      <c r="A2660" t="n">
        <v>53</v>
      </c>
      <c r="B2660" t="n">
        <v>2015</v>
      </c>
      <c r="C2660" t="n">
        <v>0.0112</v>
      </c>
    </row>
    <row r="2661">
      <c r="A2661" t="n">
        <v>53</v>
      </c>
      <c r="B2661" t="n">
        <v>2016</v>
      </c>
      <c r="C2661" t="n">
        <v>0.0122</v>
      </c>
    </row>
    <row r="2662">
      <c r="A2662" t="n">
        <v>53</v>
      </c>
      <c r="B2662" t="n">
        <v>2017</v>
      </c>
      <c r="C2662" t="n">
        <v>0.0129</v>
      </c>
    </row>
    <row r="2663">
      <c r="A2663" t="n">
        <v>53</v>
      </c>
      <c r="B2663" t="n">
        <v>2018</v>
      </c>
      <c r="C2663" t="n">
        <v>0.0133</v>
      </c>
    </row>
    <row r="2664">
      <c r="A2664" t="n">
        <v>53</v>
      </c>
      <c r="B2664" t="n">
        <v>2019</v>
      </c>
      <c r="C2664" t="n">
        <v>0.0133</v>
      </c>
    </row>
    <row r="2665">
      <c r="A2665" t="n">
        <v>53</v>
      </c>
      <c r="B2665" t="n">
        <v>2020</v>
      </c>
      <c r="C2665" t="n">
        <v>0.013</v>
      </c>
    </row>
    <row r="2666">
      <c r="A2666" t="n">
        <v>53</v>
      </c>
      <c r="B2666" t="n">
        <v>2021</v>
      </c>
      <c r="C2666" t="n">
        <v>0.0125</v>
      </c>
    </row>
    <row r="2667">
      <c r="A2667" t="n">
        <v>53</v>
      </c>
      <c r="B2667" t="n">
        <v>2022</v>
      </c>
      <c r="C2667" t="n">
        <v>0.0118</v>
      </c>
    </row>
    <row r="2668">
      <c r="A2668" t="n">
        <v>53</v>
      </c>
      <c r="B2668" t="n">
        <v>2023</v>
      </c>
      <c r="C2668" t="n">
        <v>0.011</v>
      </c>
    </row>
    <row r="2669">
      <c r="A2669" t="n">
        <v>53</v>
      </c>
      <c r="B2669" t="n">
        <v>2024</v>
      </c>
      <c r="C2669" t="n">
        <v>0.0104</v>
      </c>
    </row>
    <row r="2670">
      <c r="A2670" t="n">
        <v>53</v>
      </c>
      <c r="B2670" t="n">
        <v>2025</v>
      </c>
      <c r="C2670" t="n">
        <v>0.009900000000000001</v>
      </c>
    </row>
    <row r="2671">
      <c r="A2671" t="n">
        <v>53</v>
      </c>
      <c r="B2671" t="n">
        <v>2026</v>
      </c>
      <c r="C2671" t="n">
        <v>0.0095</v>
      </c>
    </row>
    <row r="2672">
      <c r="A2672" t="n">
        <v>53</v>
      </c>
      <c r="B2672" t="n">
        <v>2027</v>
      </c>
      <c r="C2672" t="n">
        <v>0.0094</v>
      </c>
    </row>
    <row r="2673">
      <c r="A2673" t="n">
        <v>53</v>
      </c>
      <c r="B2673" t="n">
        <v>2028</v>
      </c>
      <c r="C2673" t="n">
        <v>0.0094</v>
      </c>
    </row>
    <row r="2674">
      <c r="A2674" t="n">
        <v>53</v>
      </c>
      <c r="B2674" t="n">
        <v>2029</v>
      </c>
      <c r="C2674" t="n">
        <v>0.009599999999999999</v>
      </c>
    </row>
    <row r="2675">
      <c r="A2675" t="n">
        <v>53</v>
      </c>
      <c r="B2675" t="n">
        <v>2030</v>
      </c>
      <c r="C2675" t="n">
        <v>0.0098</v>
      </c>
    </row>
    <row r="2676">
      <c r="A2676" t="n">
        <v>53</v>
      </c>
      <c r="B2676" t="n">
        <v>2031</v>
      </c>
      <c r="C2676" t="n">
        <v>0.009900000000000001</v>
      </c>
    </row>
    <row r="2677">
      <c r="A2677" t="n">
        <v>54</v>
      </c>
      <c r="B2677" t="n">
        <v>1951</v>
      </c>
      <c r="C2677" t="n">
        <v>0.0164</v>
      </c>
    </row>
    <row r="2678">
      <c r="A2678" t="n">
        <v>54</v>
      </c>
      <c r="B2678" t="n">
        <v>1952</v>
      </c>
      <c r="C2678" t="n">
        <v>0.0152</v>
      </c>
    </row>
    <row r="2679">
      <c r="A2679" t="n">
        <v>54</v>
      </c>
      <c r="B2679" t="n">
        <v>1953</v>
      </c>
      <c r="C2679" t="n">
        <v>0.0139</v>
      </c>
    </row>
    <row r="2680">
      <c r="A2680" t="n">
        <v>54</v>
      </c>
      <c r="B2680" t="n">
        <v>1954</v>
      </c>
      <c r="C2680" t="n">
        <v>0.0122</v>
      </c>
    </row>
    <row r="2681">
      <c r="A2681" t="n">
        <v>54</v>
      </c>
      <c r="B2681" t="n">
        <v>1955</v>
      </c>
      <c r="C2681" t="n">
        <v>0.0102</v>
      </c>
    </row>
    <row r="2682">
      <c r="A2682" t="n">
        <v>54</v>
      </c>
      <c r="B2682" t="n">
        <v>1956</v>
      </c>
      <c r="C2682" t="n">
        <v>0.008</v>
      </c>
    </row>
    <row r="2683">
      <c r="A2683" t="n">
        <v>54</v>
      </c>
      <c r="B2683" t="n">
        <v>1957</v>
      </c>
      <c r="C2683" t="n">
        <v>0.006</v>
      </c>
    </row>
    <row r="2684">
      <c r="A2684" t="n">
        <v>54</v>
      </c>
      <c r="B2684" t="n">
        <v>1958</v>
      </c>
      <c r="C2684" t="n">
        <v>0.0042</v>
      </c>
    </row>
    <row r="2685">
      <c r="A2685" t="n">
        <v>54</v>
      </c>
      <c r="B2685" t="n">
        <v>1959</v>
      </c>
      <c r="C2685" t="n">
        <v>0.0028</v>
      </c>
    </row>
    <row r="2686">
      <c r="A2686" t="n">
        <v>54</v>
      </c>
      <c r="B2686" t="n">
        <v>1960</v>
      </c>
      <c r="C2686" t="n">
        <v>0.0016</v>
      </c>
    </row>
    <row r="2687">
      <c r="A2687" t="n">
        <v>54</v>
      </c>
      <c r="B2687" t="n">
        <v>1961</v>
      </c>
      <c r="C2687" t="n">
        <v>0.0005</v>
      </c>
    </row>
    <row r="2688">
      <c r="A2688" t="n">
        <v>54</v>
      </c>
      <c r="B2688" t="n">
        <v>1962</v>
      </c>
      <c r="C2688" t="n">
        <v>-0.0005</v>
      </c>
    </row>
    <row r="2689">
      <c r="A2689" t="n">
        <v>54</v>
      </c>
      <c r="B2689" t="n">
        <v>1963</v>
      </c>
      <c r="C2689" t="n">
        <v>-0.0013</v>
      </c>
    </row>
    <row r="2690">
      <c r="A2690" t="n">
        <v>54</v>
      </c>
      <c r="B2690" t="n">
        <v>1964</v>
      </c>
      <c r="C2690" t="n">
        <v>-0.0015</v>
      </c>
    </row>
    <row r="2691">
      <c r="A2691" t="n">
        <v>54</v>
      </c>
      <c r="B2691" t="n">
        <v>1965</v>
      </c>
      <c r="C2691" t="n">
        <v>-0.0012</v>
      </c>
    </row>
    <row r="2692">
      <c r="A2692" t="n">
        <v>54</v>
      </c>
      <c r="B2692" t="n">
        <v>1966</v>
      </c>
      <c r="C2692" t="n">
        <v>-0.0001</v>
      </c>
    </row>
    <row r="2693">
      <c r="A2693" t="n">
        <v>54</v>
      </c>
      <c r="B2693" t="n">
        <v>1967</v>
      </c>
      <c r="C2693" t="n">
        <v>0.0019</v>
      </c>
    </row>
    <row r="2694">
      <c r="A2694" t="n">
        <v>54</v>
      </c>
      <c r="B2694" t="n">
        <v>1968</v>
      </c>
      <c r="C2694" t="n">
        <v>0.0047</v>
      </c>
    </row>
    <row r="2695">
      <c r="A2695" t="n">
        <v>54</v>
      </c>
      <c r="B2695" t="n">
        <v>1969</v>
      </c>
      <c r="C2695" t="n">
        <v>0.008200000000000001</v>
      </c>
    </row>
    <row r="2696">
      <c r="A2696" t="n">
        <v>54</v>
      </c>
      <c r="B2696" t="n">
        <v>1970</v>
      </c>
      <c r="C2696" t="n">
        <v>0.0122</v>
      </c>
    </row>
    <row r="2697">
      <c r="A2697" t="n">
        <v>54</v>
      </c>
      <c r="B2697" t="n">
        <v>1971</v>
      </c>
      <c r="C2697" t="n">
        <v>0.0163</v>
      </c>
    </row>
    <row r="2698">
      <c r="A2698" t="n">
        <v>54</v>
      </c>
      <c r="B2698" t="n">
        <v>1972</v>
      </c>
      <c r="C2698" t="n">
        <v>0.0202</v>
      </c>
    </row>
    <row r="2699">
      <c r="A2699" t="n">
        <v>54</v>
      </c>
      <c r="B2699" t="n">
        <v>1973</v>
      </c>
      <c r="C2699" t="n">
        <v>0.0234</v>
      </c>
    </row>
    <row r="2700">
      <c r="A2700" t="n">
        <v>54</v>
      </c>
      <c r="B2700" t="n">
        <v>1974</v>
      </c>
      <c r="C2700" t="n">
        <v>0.0257</v>
      </c>
    </row>
    <row r="2701">
      <c r="A2701" t="n">
        <v>54</v>
      </c>
      <c r="B2701" t="n">
        <v>1975</v>
      </c>
      <c r="C2701" t="n">
        <v>0.0269</v>
      </c>
    </row>
    <row r="2702">
      <c r="A2702" t="n">
        <v>54</v>
      </c>
      <c r="B2702" t="n">
        <v>1976</v>
      </c>
      <c r="C2702" t="n">
        <v>0.027</v>
      </c>
    </row>
    <row r="2703">
      <c r="A2703" t="n">
        <v>54</v>
      </c>
      <c r="B2703" t="n">
        <v>1977</v>
      </c>
      <c r="C2703" t="n">
        <v>0.0262</v>
      </c>
    </row>
    <row r="2704">
      <c r="A2704" t="n">
        <v>54</v>
      </c>
      <c r="B2704" t="n">
        <v>1978</v>
      </c>
      <c r="C2704" t="n">
        <v>0.0248</v>
      </c>
    </row>
    <row r="2705">
      <c r="A2705" t="n">
        <v>54</v>
      </c>
      <c r="B2705" t="n">
        <v>1979</v>
      </c>
      <c r="C2705" t="n">
        <v>0.0232</v>
      </c>
    </row>
    <row r="2706">
      <c r="A2706" t="n">
        <v>54</v>
      </c>
      <c r="B2706" t="n">
        <v>1980</v>
      </c>
      <c r="C2706" t="n">
        <v>0.0216</v>
      </c>
    </row>
    <row r="2707">
      <c r="A2707" t="n">
        <v>54</v>
      </c>
      <c r="B2707" t="n">
        <v>1981</v>
      </c>
      <c r="C2707" t="n">
        <v>0.0203</v>
      </c>
    </row>
    <row r="2708">
      <c r="A2708" t="n">
        <v>54</v>
      </c>
      <c r="B2708" t="n">
        <v>1982</v>
      </c>
      <c r="C2708" t="n">
        <v>0.0193</v>
      </c>
    </row>
    <row r="2709">
      <c r="A2709" t="n">
        <v>54</v>
      </c>
      <c r="B2709" t="n">
        <v>1983</v>
      </c>
      <c r="C2709" t="n">
        <v>0.0185</v>
      </c>
    </row>
    <row r="2710">
      <c r="A2710" t="n">
        <v>54</v>
      </c>
      <c r="B2710" t="n">
        <v>1984</v>
      </c>
      <c r="C2710" t="n">
        <v>0.0181</v>
      </c>
    </row>
    <row r="2711">
      <c r="A2711" t="n">
        <v>54</v>
      </c>
      <c r="B2711" t="n">
        <v>1985</v>
      </c>
      <c r="C2711" t="n">
        <v>0.018</v>
      </c>
    </row>
    <row r="2712">
      <c r="A2712" t="n">
        <v>54</v>
      </c>
      <c r="B2712" t="n">
        <v>1986</v>
      </c>
      <c r="C2712" t="n">
        <v>0.0183</v>
      </c>
    </row>
    <row r="2713">
      <c r="A2713" t="n">
        <v>54</v>
      </c>
      <c r="B2713" t="n">
        <v>1987</v>
      </c>
      <c r="C2713" t="n">
        <v>0.0187</v>
      </c>
    </row>
    <row r="2714">
      <c r="A2714" t="n">
        <v>54</v>
      </c>
      <c r="B2714" t="n">
        <v>1988</v>
      </c>
      <c r="C2714" t="n">
        <v>0.0193</v>
      </c>
    </row>
    <row r="2715">
      <c r="A2715" t="n">
        <v>54</v>
      </c>
      <c r="B2715" t="n">
        <v>1989</v>
      </c>
      <c r="C2715" t="n">
        <v>0.0197</v>
      </c>
    </row>
    <row r="2716">
      <c r="A2716" t="n">
        <v>54</v>
      </c>
      <c r="B2716" t="n">
        <v>1990</v>
      </c>
      <c r="C2716" t="n">
        <v>0.02</v>
      </c>
    </row>
    <row r="2717">
      <c r="A2717" t="n">
        <v>54</v>
      </c>
      <c r="B2717" t="n">
        <v>1991</v>
      </c>
      <c r="C2717" t="n">
        <v>0.0202</v>
      </c>
    </row>
    <row r="2718">
      <c r="A2718" t="n">
        <v>54</v>
      </c>
      <c r="B2718" t="n">
        <v>1992</v>
      </c>
      <c r="C2718" t="n">
        <v>0.0204</v>
      </c>
    </row>
    <row r="2719">
      <c r="A2719" t="n">
        <v>54</v>
      </c>
      <c r="B2719" t="n">
        <v>1993</v>
      </c>
      <c r="C2719" t="n">
        <v>0.0207</v>
      </c>
    </row>
    <row r="2720">
      <c r="A2720" t="n">
        <v>54</v>
      </c>
      <c r="B2720" t="n">
        <v>1994</v>
      </c>
      <c r="C2720" t="n">
        <v>0.0211</v>
      </c>
    </row>
    <row r="2721">
      <c r="A2721" t="n">
        <v>54</v>
      </c>
      <c r="B2721" t="n">
        <v>1995</v>
      </c>
      <c r="C2721" t="n">
        <v>0.0212</v>
      </c>
    </row>
    <row r="2722">
      <c r="A2722" t="n">
        <v>54</v>
      </c>
      <c r="B2722" t="n">
        <v>1996</v>
      </c>
      <c r="C2722" t="n">
        <v>0.0208</v>
      </c>
    </row>
    <row r="2723">
      <c r="A2723" t="n">
        <v>54</v>
      </c>
      <c r="B2723" t="n">
        <v>1997</v>
      </c>
      <c r="C2723" t="n">
        <v>0.0192</v>
      </c>
    </row>
    <row r="2724">
      <c r="A2724" t="n">
        <v>54</v>
      </c>
      <c r="B2724" t="n">
        <v>1998</v>
      </c>
      <c r="C2724" t="n">
        <v>0.0165</v>
      </c>
    </row>
    <row r="2725">
      <c r="A2725" t="n">
        <v>54</v>
      </c>
      <c r="B2725" t="n">
        <v>1999</v>
      </c>
      <c r="C2725" t="n">
        <v>0.013</v>
      </c>
    </row>
    <row r="2726">
      <c r="A2726" t="n">
        <v>54</v>
      </c>
      <c r="B2726" t="n">
        <v>2000</v>
      </c>
      <c r="C2726" t="n">
        <v>0.0092</v>
      </c>
    </row>
    <row r="2727">
      <c r="A2727" t="n">
        <v>54</v>
      </c>
      <c r="B2727" t="n">
        <v>2001</v>
      </c>
      <c r="C2727" t="n">
        <v>0.0058</v>
      </c>
    </row>
    <row r="2728">
      <c r="A2728" t="n">
        <v>54</v>
      </c>
      <c r="B2728" t="n">
        <v>2002</v>
      </c>
      <c r="C2728" t="n">
        <v>0.0032</v>
      </c>
    </row>
    <row r="2729">
      <c r="A2729" t="n">
        <v>54</v>
      </c>
      <c r="B2729" t="n">
        <v>2003</v>
      </c>
      <c r="C2729" t="n">
        <v>0.0017</v>
      </c>
    </row>
    <row r="2730">
      <c r="A2730" t="n">
        <v>54</v>
      </c>
      <c r="B2730" t="n">
        <v>2004</v>
      </c>
      <c r="C2730" t="n">
        <v>0.0014</v>
      </c>
    </row>
    <row r="2731">
      <c r="A2731" t="n">
        <v>54</v>
      </c>
      <c r="B2731" t="n">
        <v>2005</v>
      </c>
      <c r="C2731" t="n">
        <v>0.0019</v>
      </c>
    </row>
    <row r="2732">
      <c r="A2732" t="n">
        <v>54</v>
      </c>
      <c r="B2732" t="n">
        <v>2006</v>
      </c>
      <c r="C2732" t="n">
        <v>0.003</v>
      </c>
    </row>
    <row r="2733">
      <c r="A2733" t="n">
        <v>54</v>
      </c>
      <c r="B2733" t="n">
        <v>2007</v>
      </c>
      <c r="C2733" t="n">
        <v>0.0042</v>
      </c>
    </row>
    <row r="2734">
      <c r="A2734" t="n">
        <v>54</v>
      </c>
      <c r="B2734" t="n">
        <v>2008</v>
      </c>
      <c r="C2734" t="n">
        <v>0.0052</v>
      </c>
    </row>
    <row r="2735">
      <c r="A2735" t="n">
        <v>54</v>
      </c>
      <c r="B2735" t="n">
        <v>2009</v>
      </c>
      <c r="C2735" t="n">
        <v>0.0058</v>
      </c>
    </row>
    <row r="2736">
      <c r="A2736" t="n">
        <v>54</v>
      </c>
      <c r="B2736" t="n">
        <v>2010</v>
      </c>
      <c r="C2736" t="n">
        <v>0.0059</v>
      </c>
    </row>
    <row r="2737">
      <c r="A2737" t="n">
        <v>54</v>
      </c>
      <c r="B2737" t="n">
        <v>2011</v>
      </c>
      <c r="C2737" t="n">
        <v>0.0054</v>
      </c>
    </row>
    <row r="2738">
      <c r="A2738" t="n">
        <v>54</v>
      </c>
      <c r="B2738" t="n">
        <v>2012</v>
      </c>
      <c r="C2738" t="n">
        <v>0.0047</v>
      </c>
    </row>
    <row r="2739">
      <c r="A2739" t="n">
        <v>54</v>
      </c>
      <c r="B2739" t="n">
        <v>2013</v>
      </c>
      <c r="C2739" t="n">
        <v>0.0061</v>
      </c>
    </row>
    <row r="2740">
      <c r="A2740" t="n">
        <v>54</v>
      </c>
      <c r="B2740" t="n">
        <v>2014</v>
      </c>
      <c r="C2740" t="n">
        <v>0.0076</v>
      </c>
    </row>
    <row r="2741">
      <c r="A2741" t="n">
        <v>54</v>
      </c>
      <c r="B2741" t="n">
        <v>2015</v>
      </c>
      <c r="C2741" t="n">
        <v>0.0091</v>
      </c>
    </row>
    <row r="2742">
      <c r="A2742" t="n">
        <v>54</v>
      </c>
      <c r="B2742" t="n">
        <v>2016</v>
      </c>
      <c r="C2742" t="n">
        <v>0.0104</v>
      </c>
    </row>
    <row r="2743">
      <c r="A2743" t="n">
        <v>54</v>
      </c>
      <c r="B2743" t="n">
        <v>2017</v>
      </c>
      <c r="C2743" t="n">
        <v>0.0116</v>
      </c>
    </row>
    <row r="2744">
      <c r="A2744" t="n">
        <v>54</v>
      </c>
      <c r="B2744" t="n">
        <v>2018</v>
      </c>
      <c r="C2744" t="n">
        <v>0.0124</v>
      </c>
    </row>
    <row r="2745">
      <c r="A2745" t="n">
        <v>54</v>
      </c>
      <c r="B2745" t="n">
        <v>2019</v>
      </c>
      <c r="C2745" t="n">
        <v>0.0128</v>
      </c>
    </row>
    <row r="2746">
      <c r="A2746" t="n">
        <v>54</v>
      </c>
      <c r="B2746" t="n">
        <v>2020</v>
      </c>
      <c r="C2746" t="n">
        <v>0.013</v>
      </c>
    </row>
    <row r="2747">
      <c r="A2747" t="n">
        <v>54</v>
      </c>
      <c r="B2747" t="n">
        <v>2021</v>
      </c>
      <c r="C2747" t="n">
        <v>0.0127</v>
      </c>
    </row>
    <row r="2748">
      <c r="A2748" t="n">
        <v>54</v>
      </c>
      <c r="B2748" t="n">
        <v>2022</v>
      </c>
      <c r="C2748" t="n">
        <v>0.0122</v>
      </c>
    </row>
    <row r="2749">
      <c r="A2749" t="n">
        <v>54</v>
      </c>
      <c r="B2749" t="n">
        <v>2023</v>
      </c>
      <c r="C2749" t="n">
        <v>0.0115</v>
      </c>
    </row>
    <row r="2750">
      <c r="A2750" t="n">
        <v>54</v>
      </c>
      <c r="B2750" t="n">
        <v>2024</v>
      </c>
      <c r="C2750" t="n">
        <v>0.0109</v>
      </c>
    </row>
    <row r="2751">
      <c r="A2751" t="n">
        <v>54</v>
      </c>
      <c r="B2751" t="n">
        <v>2025</v>
      </c>
      <c r="C2751" t="n">
        <v>0.0103</v>
      </c>
    </row>
    <row r="2752">
      <c r="A2752" t="n">
        <v>54</v>
      </c>
      <c r="B2752" t="n">
        <v>2026</v>
      </c>
      <c r="C2752" t="n">
        <v>0.009900000000000001</v>
      </c>
    </row>
    <row r="2753">
      <c r="A2753" t="n">
        <v>54</v>
      </c>
      <c r="B2753" t="n">
        <v>2027</v>
      </c>
      <c r="C2753" t="n">
        <v>0.0097</v>
      </c>
    </row>
    <row r="2754">
      <c r="A2754" t="n">
        <v>54</v>
      </c>
      <c r="B2754" t="n">
        <v>2028</v>
      </c>
      <c r="C2754" t="n">
        <v>0.009599999999999999</v>
      </c>
    </row>
    <row r="2755">
      <c r="A2755" t="n">
        <v>54</v>
      </c>
      <c r="B2755" t="n">
        <v>2029</v>
      </c>
      <c r="C2755" t="n">
        <v>0.0097</v>
      </c>
    </row>
    <row r="2756">
      <c r="A2756" t="n">
        <v>54</v>
      </c>
      <c r="B2756" t="n">
        <v>2030</v>
      </c>
      <c r="C2756" t="n">
        <v>0.0098</v>
      </c>
    </row>
    <row r="2757">
      <c r="A2757" t="n">
        <v>54</v>
      </c>
      <c r="B2757" t="n">
        <v>2031</v>
      </c>
      <c r="C2757" t="n">
        <v>0.009900000000000001</v>
      </c>
    </row>
    <row r="2758">
      <c r="A2758" t="n">
        <v>55</v>
      </c>
      <c r="B2758" t="n">
        <v>1951</v>
      </c>
      <c r="C2758" t="n">
        <v>0.0161</v>
      </c>
    </row>
    <row r="2759">
      <c r="A2759" t="n">
        <v>55</v>
      </c>
      <c r="B2759" t="n">
        <v>1952</v>
      </c>
      <c r="C2759" t="n">
        <v>0.0148</v>
      </c>
    </row>
    <row r="2760">
      <c r="A2760" t="n">
        <v>55</v>
      </c>
      <c r="B2760" t="n">
        <v>1953</v>
      </c>
      <c r="C2760" t="n">
        <v>0.0134</v>
      </c>
    </row>
    <row r="2761">
      <c r="A2761" t="n">
        <v>55</v>
      </c>
      <c r="B2761" t="n">
        <v>1954</v>
      </c>
      <c r="C2761" t="n">
        <v>0.0117</v>
      </c>
    </row>
    <row r="2762">
      <c r="A2762" t="n">
        <v>55</v>
      </c>
      <c r="B2762" t="n">
        <v>1955</v>
      </c>
      <c r="C2762" t="n">
        <v>0.0097</v>
      </c>
    </row>
    <row r="2763">
      <c r="A2763" t="n">
        <v>55</v>
      </c>
      <c r="B2763" t="n">
        <v>1956</v>
      </c>
      <c r="C2763" t="n">
        <v>0.0075</v>
      </c>
    </row>
    <row r="2764">
      <c r="A2764" t="n">
        <v>55</v>
      </c>
      <c r="B2764" t="n">
        <v>1957</v>
      </c>
      <c r="C2764" t="n">
        <v>0.0056</v>
      </c>
    </row>
    <row r="2765">
      <c r="A2765" t="n">
        <v>55</v>
      </c>
      <c r="B2765" t="n">
        <v>1958</v>
      </c>
      <c r="C2765" t="n">
        <v>0.004</v>
      </c>
    </row>
    <row r="2766">
      <c r="A2766" t="n">
        <v>55</v>
      </c>
      <c r="B2766" t="n">
        <v>1959</v>
      </c>
      <c r="C2766" t="n">
        <v>0.0026</v>
      </c>
    </row>
    <row r="2767">
      <c r="A2767" t="n">
        <v>55</v>
      </c>
      <c r="B2767" t="n">
        <v>1960</v>
      </c>
      <c r="C2767" t="n">
        <v>0.0014</v>
      </c>
    </row>
    <row r="2768">
      <c r="A2768" t="n">
        <v>55</v>
      </c>
      <c r="B2768" t="n">
        <v>1961</v>
      </c>
      <c r="C2768" t="n">
        <v>0.0003</v>
      </c>
    </row>
    <row r="2769">
      <c r="A2769" t="n">
        <v>55</v>
      </c>
      <c r="B2769" t="n">
        <v>1962</v>
      </c>
      <c r="C2769" t="n">
        <v>-0.0008</v>
      </c>
    </row>
    <row r="2770">
      <c r="A2770" t="n">
        <v>55</v>
      </c>
      <c r="B2770" t="n">
        <v>1963</v>
      </c>
      <c r="C2770" t="n">
        <v>-0.0015</v>
      </c>
    </row>
    <row r="2771">
      <c r="A2771" t="n">
        <v>55</v>
      </c>
      <c r="B2771" t="n">
        <v>1964</v>
      </c>
      <c r="C2771" t="n">
        <v>-0.0018</v>
      </c>
    </row>
    <row r="2772">
      <c r="A2772" t="n">
        <v>55</v>
      </c>
      <c r="B2772" t="n">
        <v>1965</v>
      </c>
      <c r="C2772" t="n">
        <v>-0.0016</v>
      </c>
    </row>
    <row r="2773">
      <c r="A2773" t="n">
        <v>55</v>
      </c>
      <c r="B2773" t="n">
        <v>1966</v>
      </c>
      <c r="C2773" t="n">
        <v>-0.0005999999999999999</v>
      </c>
    </row>
    <row r="2774">
      <c r="A2774" t="n">
        <v>55</v>
      </c>
      <c r="B2774" t="n">
        <v>1967</v>
      </c>
      <c r="C2774" t="n">
        <v>0.0014</v>
      </c>
    </row>
    <row r="2775">
      <c r="A2775" t="n">
        <v>55</v>
      </c>
      <c r="B2775" t="n">
        <v>1968</v>
      </c>
      <c r="C2775" t="n">
        <v>0.0042</v>
      </c>
    </row>
    <row r="2776">
      <c r="A2776" t="n">
        <v>55</v>
      </c>
      <c r="B2776" t="n">
        <v>1969</v>
      </c>
      <c r="C2776" t="n">
        <v>0.007900000000000001</v>
      </c>
    </row>
    <row r="2777">
      <c r="A2777" t="n">
        <v>55</v>
      </c>
      <c r="B2777" t="n">
        <v>1970</v>
      </c>
      <c r="C2777" t="n">
        <v>0.012</v>
      </c>
    </row>
    <row r="2778">
      <c r="A2778" t="n">
        <v>55</v>
      </c>
      <c r="B2778" t="n">
        <v>1971</v>
      </c>
      <c r="C2778" t="n">
        <v>0.0163</v>
      </c>
    </row>
    <row r="2779">
      <c r="A2779" t="n">
        <v>55</v>
      </c>
      <c r="B2779" t="n">
        <v>1972</v>
      </c>
      <c r="C2779" t="n">
        <v>0.0203</v>
      </c>
    </row>
    <row r="2780">
      <c r="A2780" t="n">
        <v>55</v>
      </c>
      <c r="B2780" t="n">
        <v>1973</v>
      </c>
      <c r="C2780" t="n">
        <v>0.0237</v>
      </c>
    </row>
    <row r="2781">
      <c r="A2781" t="n">
        <v>55</v>
      </c>
      <c r="B2781" t="n">
        <v>1974</v>
      </c>
      <c r="C2781" t="n">
        <v>0.0262</v>
      </c>
    </row>
    <row r="2782">
      <c r="A2782" t="n">
        <v>55</v>
      </c>
      <c r="B2782" t="n">
        <v>1975</v>
      </c>
      <c r="C2782" t="n">
        <v>0.0274</v>
      </c>
    </row>
    <row r="2783">
      <c r="A2783" t="n">
        <v>55</v>
      </c>
      <c r="B2783" t="n">
        <v>1976</v>
      </c>
      <c r="C2783" t="n">
        <v>0.0274</v>
      </c>
    </row>
    <row r="2784">
      <c r="A2784" t="n">
        <v>55</v>
      </c>
      <c r="B2784" t="n">
        <v>1977</v>
      </c>
      <c r="C2784" t="n">
        <v>0.0264</v>
      </c>
    </row>
    <row r="2785">
      <c r="A2785" t="n">
        <v>55</v>
      </c>
      <c r="B2785" t="n">
        <v>1978</v>
      </c>
      <c r="C2785" t="n">
        <v>0.0247</v>
      </c>
    </row>
    <row r="2786">
      <c r="A2786" t="n">
        <v>55</v>
      </c>
      <c r="B2786" t="n">
        <v>1979</v>
      </c>
      <c r="C2786" t="n">
        <v>0.0226</v>
      </c>
    </row>
    <row r="2787">
      <c r="A2787" t="n">
        <v>55</v>
      </c>
      <c r="B2787" t="n">
        <v>1980</v>
      </c>
      <c r="C2787" t="n">
        <v>0.0206</v>
      </c>
    </row>
    <row r="2788">
      <c r="A2788" t="n">
        <v>55</v>
      </c>
      <c r="B2788" t="n">
        <v>1981</v>
      </c>
      <c r="C2788" t="n">
        <v>0.0191</v>
      </c>
    </row>
    <row r="2789">
      <c r="A2789" t="n">
        <v>55</v>
      </c>
      <c r="B2789" t="n">
        <v>1982</v>
      </c>
      <c r="C2789" t="n">
        <v>0.0179</v>
      </c>
    </row>
    <row r="2790">
      <c r="A2790" t="n">
        <v>55</v>
      </c>
      <c r="B2790" t="n">
        <v>1983</v>
      </c>
      <c r="C2790" t="n">
        <v>0.0173</v>
      </c>
    </row>
    <row r="2791">
      <c r="A2791" t="n">
        <v>55</v>
      </c>
      <c r="B2791" t="n">
        <v>1984</v>
      </c>
      <c r="C2791" t="n">
        <v>0.0171</v>
      </c>
    </row>
    <row r="2792">
      <c r="A2792" t="n">
        <v>55</v>
      </c>
      <c r="B2792" t="n">
        <v>1985</v>
      </c>
      <c r="C2792" t="n">
        <v>0.0174</v>
      </c>
    </row>
    <row r="2793">
      <c r="A2793" t="n">
        <v>55</v>
      </c>
      <c r="B2793" t="n">
        <v>1986</v>
      </c>
      <c r="C2793" t="n">
        <v>0.0179</v>
      </c>
    </row>
    <row r="2794">
      <c r="A2794" t="n">
        <v>55</v>
      </c>
      <c r="B2794" t="n">
        <v>1987</v>
      </c>
      <c r="C2794" t="n">
        <v>0.0186</v>
      </c>
    </row>
    <row r="2795">
      <c r="A2795" t="n">
        <v>55</v>
      </c>
      <c r="B2795" t="n">
        <v>1988</v>
      </c>
      <c r="C2795" t="n">
        <v>0.0193</v>
      </c>
    </row>
    <row r="2796">
      <c r="A2796" t="n">
        <v>55</v>
      </c>
      <c r="B2796" t="n">
        <v>1989</v>
      </c>
      <c r="C2796" t="n">
        <v>0.0199</v>
      </c>
    </row>
    <row r="2797">
      <c r="A2797" t="n">
        <v>55</v>
      </c>
      <c r="B2797" t="n">
        <v>1990</v>
      </c>
      <c r="C2797" t="n">
        <v>0.0205</v>
      </c>
    </row>
    <row r="2798">
      <c r="A2798" t="n">
        <v>55</v>
      </c>
      <c r="B2798" t="n">
        <v>1991</v>
      </c>
      <c r="C2798" t="n">
        <v>0.0209</v>
      </c>
    </row>
    <row r="2799">
      <c r="A2799" t="n">
        <v>55</v>
      </c>
      <c r="B2799" t="n">
        <v>1992</v>
      </c>
      <c r="C2799" t="n">
        <v>0.0212</v>
      </c>
    </row>
    <row r="2800">
      <c r="A2800" t="n">
        <v>55</v>
      </c>
      <c r="B2800" t="n">
        <v>1993</v>
      </c>
      <c r="C2800" t="n">
        <v>0.0216</v>
      </c>
    </row>
    <row r="2801">
      <c r="A2801" t="n">
        <v>55</v>
      </c>
      <c r="B2801" t="n">
        <v>1994</v>
      </c>
      <c r="C2801" t="n">
        <v>0.022</v>
      </c>
    </row>
    <row r="2802">
      <c r="A2802" t="n">
        <v>55</v>
      </c>
      <c r="B2802" t="n">
        <v>1995</v>
      </c>
      <c r="C2802" t="n">
        <v>0.022</v>
      </c>
    </row>
    <row r="2803">
      <c r="A2803" t="n">
        <v>55</v>
      </c>
      <c r="B2803" t="n">
        <v>1996</v>
      </c>
      <c r="C2803" t="n">
        <v>0.0215</v>
      </c>
    </row>
    <row r="2804">
      <c r="A2804" t="n">
        <v>55</v>
      </c>
      <c r="B2804" t="n">
        <v>1997</v>
      </c>
      <c r="C2804" t="n">
        <v>0.02</v>
      </c>
    </row>
    <row r="2805">
      <c r="A2805" t="n">
        <v>55</v>
      </c>
      <c r="B2805" t="n">
        <v>1998</v>
      </c>
      <c r="C2805" t="n">
        <v>0.0177</v>
      </c>
    </row>
    <row r="2806">
      <c r="A2806" t="n">
        <v>55</v>
      </c>
      <c r="B2806" t="n">
        <v>1999</v>
      </c>
      <c r="C2806" t="n">
        <v>0.0147</v>
      </c>
    </row>
    <row r="2807">
      <c r="A2807" t="n">
        <v>55</v>
      </c>
      <c r="B2807" t="n">
        <v>2000</v>
      </c>
      <c r="C2807" t="n">
        <v>0.0116</v>
      </c>
    </row>
    <row r="2808">
      <c r="A2808" t="n">
        <v>55</v>
      </c>
      <c r="B2808" t="n">
        <v>2001</v>
      </c>
      <c r="C2808" t="n">
        <v>0.0086</v>
      </c>
    </row>
    <row r="2809">
      <c r="A2809" t="n">
        <v>55</v>
      </c>
      <c r="B2809" t="n">
        <v>2002</v>
      </c>
      <c r="C2809" t="n">
        <v>0.0063</v>
      </c>
    </row>
    <row r="2810">
      <c r="A2810" t="n">
        <v>55</v>
      </c>
      <c r="B2810" t="n">
        <v>2003</v>
      </c>
      <c r="C2810" t="n">
        <v>0.0046</v>
      </c>
    </row>
    <row r="2811">
      <c r="A2811" t="n">
        <v>55</v>
      </c>
      <c r="B2811" t="n">
        <v>2004</v>
      </c>
      <c r="C2811" t="n">
        <v>0.0038</v>
      </c>
    </row>
    <row r="2812">
      <c r="A2812" t="n">
        <v>55</v>
      </c>
      <c r="B2812" t="n">
        <v>2005</v>
      </c>
      <c r="C2812" t="n">
        <v>0.0034</v>
      </c>
    </row>
    <row r="2813">
      <c r="A2813" t="n">
        <v>55</v>
      </c>
      <c r="B2813" t="n">
        <v>2006</v>
      </c>
      <c r="C2813" t="n">
        <v>0.0036</v>
      </c>
    </row>
    <row r="2814">
      <c r="A2814" t="n">
        <v>55</v>
      </c>
      <c r="B2814" t="n">
        <v>2007</v>
      </c>
      <c r="C2814" t="n">
        <v>0.0038</v>
      </c>
    </row>
    <row r="2815">
      <c r="A2815" t="n">
        <v>55</v>
      </c>
      <c r="B2815" t="n">
        <v>2008</v>
      </c>
      <c r="C2815" t="n">
        <v>0.0041</v>
      </c>
    </row>
    <row r="2816">
      <c r="A2816" t="n">
        <v>55</v>
      </c>
      <c r="B2816" t="n">
        <v>2009</v>
      </c>
      <c r="C2816" t="n">
        <v>0.0041</v>
      </c>
    </row>
    <row r="2817">
      <c r="A2817" t="n">
        <v>55</v>
      </c>
      <c r="B2817" t="n">
        <v>2010</v>
      </c>
      <c r="C2817" t="n">
        <v>0.0038</v>
      </c>
    </row>
    <row r="2818">
      <c r="A2818" t="n">
        <v>55</v>
      </c>
      <c r="B2818" t="n">
        <v>2011</v>
      </c>
      <c r="C2818" t="n">
        <v>0.0031</v>
      </c>
    </row>
    <row r="2819">
      <c r="A2819" t="n">
        <v>55</v>
      </c>
      <c r="B2819" t="n">
        <v>2012</v>
      </c>
      <c r="C2819" t="n">
        <v>0.0022</v>
      </c>
    </row>
    <row r="2820">
      <c r="A2820" t="n">
        <v>55</v>
      </c>
      <c r="B2820" t="n">
        <v>2013</v>
      </c>
      <c r="C2820" t="n">
        <v>0.0036</v>
      </c>
    </row>
    <row r="2821">
      <c r="A2821" t="n">
        <v>55</v>
      </c>
      <c r="B2821" t="n">
        <v>2014</v>
      </c>
      <c r="C2821" t="n">
        <v>0.0052</v>
      </c>
    </row>
    <row r="2822">
      <c r="A2822" t="n">
        <v>55</v>
      </c>
      <c r="B2822" t="n">
        <v>2015</v>
      </c>
      <c r="C2822" t="n">
        <v>0.0069</v>
      </c>
    </row>
    <row r="2823">
      <c r="A2823" t="n">
        <v>55</v>
      </c>
      <c r="B2823" t="n">
        <v>2016</v>
      </c>
      <c r="C2823" t="n">
        <v>0.0086</v>
      </c>
    </row>
    <row r="2824">
      <c r="A2824" t="n">
        <v>55</v>
      </c>
      <c r="B2824" t="n">
        <v>2017</v>
      </c>
      <c r="C2824" t="n">
        <v>0.0101</v>
      </c>
    </row>
    <row r="2825">
      <c r="A2825" t="n">
        <v>55</v>
      </c>
      <c r="B2825" t="n">
        <v>2018</v>
      </c>
      <c r="C2825" t="n">
        <v>0.0113</v>
      </c>
    </row>
    <row r="2826">
      <c r="A2826" t="n">
        <v>55</v>
      </c>
      <c r="B2826" t="n">
        <v>2019</v>
      </c>
      <c r="C2826" t="n">
        <v>0.0122</v>
      </c>
    </row>
    <row r="2827">
      <c r="A2827" t="n">
        <v>55</v>
      </c>
      <c r="B2827" t="n">
        <v>2020</v>
      </c>
      <c r="C2827" t="n">
        <v>0.0127</v>
      </c>
    </row>
    <row r="2828">
      <c r="A2828" t="n">
        <v>55</v>
      </c>
      <c r="B2828" t="n">
        <v>2021</v>
      </c>
      <c r="C2828" t="n">
        <v>0.0128</v>
      </c>
    </row>
    <row r="2829">
      <c r="A2829" t="n">
        <v>55</v>
      </c>
      <c r="B2829" t="n">
        <v>2022</v>
      </c>
      <c r="C2829" t="n">
        <v>0.0124</v>
      </c>
    </row>
    <row r="2830">
      <c r="A2830" t="n">
        <v>55</v>
      </c>
      <c r="B2830" t="n">
        <v>2023</v>
      </c>
      <c r="C2830" t="n">
        <v>0.0119</v>
      </c>
    </row>
    <row r="2831">
      <c r="A2831" t="n">
        <v>55</v>
      </c>
      <c r="B2831" t="n">
        <v>2024</v>
      </c>
      <c r="C2831" t="n">
        <v>0.0113</v>
      </c>
    </row>
    <row r="2832">
      <c r="A2832" t="n">
        <v>55</v>
      </c>
      <c r="B2832" t="n">
        <v>2025</v>
      </c>
      <c r="C2832" t="n">
        <v>0.0107</v>
      </c>
    </row>
    <row r="2833">
      <c r="A2833" t="n">
        <v>55</v>
      </c>
      <c r="B2833" t="n">
        <v>2026</v>
      </c>
      <c r="C2833" t="n">
        <v>0.0102</v>
      </c>
    </row>
    <row r="2834">
      <c r="A2834" t="n">
        <v>55</v>
      </c>
      <c r="B2834" t="n">
        <v>2027</v>
      </c>
      <c r="C2834" t="n">
        <v>0.009900000000000001</v>
      </c>
    </row>
    <row r="2835">
      <c r="A2835" t="n">
        <v>55</v>
      </c>
      <c r="B2835" t="n">
        <v>2028</v>
      </c>
      <c r="C2835" t="n">
        <v>0.0098</v>
      </c>
    </row>
    <row r="2836">
      <c r="A2836" t="n">
        <v>55</v>
      </c>
      <c r="B2836" t="n">
        <v>2029</v>
      </c>
      <c r="C2836" t="n">
        <v>0.0098</v>
      </c>
    </row>
    <row r="2837">
      <c r="A2837" t="n">
        <v>55</v>
      </c>
      <c r="B2837" t="n">
        <v>2030</v>
      </c>
      <c r="C2837" t="n">
        <v>0.0098</v>
      </c>
    </row>
    <row r="2838">
      <c r="A2838" t="n">
        <v>55</v>
      </c>
      <c r="B2838" t="n">
        <v>2031</v>
      </c>
      <c r="C2838" t="n">
        <v>0.01</v>
      </c>
    </row>
    <row r="2839">
      <c r="A2839" t="n">
        <v>56</v>
      </c>
      <c r="B2839" t="n">
        <v>1951</v>
      </c>
      <c r="C2839" t="n">
        <v>0.0157</v>
      </c>
    </row>
    <row r="2840">
      <c r="A2840" t="n">
        <v>56</v>
      </c>
      <c r="B2840" t="n">
        <v>1952</v>
      </c>
      <c r="C2840" t="n">
        <v>0.0143</v>
      </c>
    </row>
    <row r="2841">
      <c r="A2841" t="n">
        <v>56</v>
      </c>
      <c r="B2841" t="n">
        <v>1953</v>
      </c>
      <c r="C2841" t="n">
        <v>0.0128</v>
      </c>
    </row>
    <row r="2842">
      <c r="A2842" t="n">
        <v>56</v>
      </c>
      <c r="B2842" t="n">
        <v>1954</v>
      </c>
      <c r="C2842" t="n">
        <v>0.011</v>
      </c>
    </row>
    <row r="2843">
      <c r="A2843" t="n">
        <v>56</v>
      </c>
      <c r="B2843" t="n">
        <v>1955</v>
      </c>
      <c r="C2843" t="n">
        <v>0.008999999999999999</v>
      </c>
    </row>
    <row r="2844">
      <c r="A2844" t="n">
        <v>56</v>
      </c>
      <c r="B2844" t="n">
        <v>1956</v>
      </c>
      <c r="C2844" t="n">
        <v>0.007</v>
      </c>
    </row>
    <row r="2845">
      <c r="A2845" t="n">
        <v>56</v>
      </c>
      <c r="B2845" t="n">
        <v>1957</v>
      </c>
      <c r="C2845" t="n">
        <v>0.0051</v>
      </c>
    </row>
    <row r="2846">
      <c r="A2846" t="n">
        <v>56</v>
      </c>
      <c r="B2846" t="n">
        <v>1958</v>
      </c>
      <c r="C2846" t="n">
        <v>0.0036</v>
      </c>
    </row>
    <row r="2847">
      <c r="A2847" t="n">
        <v>56</v>
      </c>
      <c r="B2847" t="n">
        <v>1959</v>
      </c>
      <c r="C2847" t="n">
        <v>0.0022</v>
      </c>
    </row>
    <row r="2848">
      <c r="A2848" t="n">
        <v>56</v>
      </c>
      <c r="B2848" t="n">
        <v>1960</v>
      </c>
      <c r="C2848" t="n">
        <v>0.0011</v>
      </c>
    </row>
    <row r="2849">
      <c r="A2849" t="n">
        <v>56</v>
      </c>
      <c r="B2849" t="n">
        <v>1961</v>
      </c>
      <c r="C2849" t="n">
        <v>-0.0001</v>
      </c>
    </row>
    <row r="2850">
      <c r="A2850" t="n">
        <v>56</v>
      </c>
      <c r="B2850" t="n">
        <v>1962</v>
      </c>
      <c r="C2850" t="n">
        <v>-0.0011</v>
      </c>
    </row>
    <row r="2851">
      <c r="A2851" t="n">
        <v>56</v>
      </c>
      <c r="B2851" t="n">
        <v>1963</v>
      </c>
      <c r="C2851" t="n">
        <v>-0.0019</v>
      </c>
    </row>
    <row r="2852">
      <c r="A2852" t="n">
        <v>56</v>
      </c>
      <c r="B2852" t="n">
        <v>1964</v>
      </c>
      <c r="C2852" t="n">
        <v>-0.0022</v>
      </c>
    </row>
    <row r="2853">
      <c r="A2853" t="n">
        <v>56</v>
      </c>
      <c r="B2853" t="n">
        <v>1965</v>
      </c>
      <c r="C2853" t="n">
        <v>-0.002</v>
      </c>
    </row>
    <row r="2854">
      <c r="A2854" t="n">
        <v>56</v>
      </c>
      <c r="B2854" t="n">
        <v>1966</v>
      </c>
      <c r="C2854" t="n">
        <v>-0.001</v>
      </c>
    </row>
    <row r="2855">
      <c r="A2855" t="n">
        <v>56</v>
      </c>
      <c r="B2855" t="n">
        <v>1967</v>
      </c>
      <c r="C2855" t="n">
        <v>0.001</v>
      </c>
    </row>
    <row r="2856">
      <c r="A2856" t="n">
        <v>56</v>
      </c>
      <c r="B2856" t="n">
        <v>1968</v>
      </c>
      <c r="C2856" t="n">
        <v>0.0038</v>
      </c>
    </row>
    <row r="2857">
      <c r="A2857" t="n">
        <v>56</v>
      </c>
      <c r="B2857" t="n">
        <v>1969</v>
      </c>
      <c r="C2857" t="n">
        <v>0.0075</v>
      </c>
    </row>
    <row r="2858">
      <c r="A2858" t="n">
        <v>56</v>
      </c>
      <c r="B2858" t="n">
        <v>1970</v>
      </c>
      <c r="C2858" t="n">
        <v>0.0118</v>
      </c>
    </row>
    <row r="2859">
      <c r="A2859" t="n">
        <v>56</v>
      </c>
      <c r="B2859" t="n">
        <v>1971</v>
      </c>
      <c r="C2859" t="n">
        <v>0.0162</v>
      </c>
    </row>
    <row r="2860">
      <c r="A2860" t="n">
        <v>56</v>
      </c>
      <c r="B2860" t="n">
        <v>1972</v>
      </c>
      <c r="C2860" t="n">
        <v>0.0203</v>
      </c>
    </row>
    <row r="2861">
      <c r="A2861" t="n">
        <v>56</v>
      </c>
      <c r="B2861" t="n">
        <v>1973</v>
      </c>
      <c r="C2861" t="n">
        <v>0.0239</v>
      </c>
    </row>
    <row r="2862">
      <c r="A2862" t="n">
        <v>56</v>
      </c>
      <c r="B2862" t="n">
        <v>1974</v>
      </c>
      <c r="C2862" t="n">
        <v>0.0265</v>
      </c>
    </row>
    <row r="2863">
      <c r="A2863" t="n">
        <v>56</v>
      </c>
      <c r="B2863" t="n">
        <v>1975</v>
      </c>
      <c r="C2863" t="n">
        <v>0.0278</v>
      </c>
    </row>
    <row r="2864">
      <c r="A2864" t="n">
        <v>56</v>
      </c>
      <c r="B2864" t="n">
        <v>1976</v>
      </c>
      <c r="C2864" t="n">
        <v>0.0278</v>
      </c>
    </row>
    <row r="2865">
      <c r="A2865" t="n">
        <v>56</v>
      </c>
      <c r="B2865" t="n">
        <v>1977</v>
      </c>
      <c r="C2865" t="n">
        <v>0.0266</v>
      </c>
    </row>
    <row r="2866">
      <c r="A2866" t="n">
        <v>56</v>
      </c>
      <c r="B2866" t="n">
        <v>1978</v>
      </c>
      <c r="C2866" t="n">
        <v>0.0246</v>
      </c>
    </row>
    <row r="2867">
      <c r="A2867" t="n">
        <v>56</v>
      </c>
      <c r="B2867" t="n">
        <v>1979</v>
      </c>
      <c r="C2867" t="n">
        <v>0.0222</v>
      </c>
    </row>
    <row r="2868">
      <c r="A2868" t="n">
        <v>56</v>
      </c>
      <c r="B2868" t="n">
        <v>1980</v>
      </c>
      <c r="C2868" t="n">
        <v>0.0199</v>
      </c>
    </row>
    <row r="2869">
      <c r="A2869" t="n">
        <v>56</v>
      </c>
      <c r="B2869" t="n">
        <v>1981</v>
      </c>
      <c r="C2869" t="n">
        <v>0.0181</v>
      </c>
    </row>
    <row r="2870">
      <c r="A2870" t="n">
        <v>56</v>
      </c>
      <c r="B2870" t="n">
        <v>1982</v>
      </c>
      <c r="C2870" t="n">
        <v>0.0169</v>
      </c>
    </row>
    <row r="2871">
      <c r="A2871" t="n">
        <v>56</v>
      </c>
      <c r="B2871" t="n">
        <v>1983</v>
      </c>
      <c r="C2871" t="n">
        <v>0.0162</v>
      </c>
    </row>
    <row r="2872">
      <c r="A2872" t="n">
        <v>56</v>
      </c>
      <c r="B2872" t="n">
        <v>1984</v>
      </c>
      <c r="C2872" t="n">
        <v>0.0162</v>
      </c>
    </row>
    <row r="2873">
      <c r="A2873" t="n">
        <v>56</v>
      </c>
      <c r="B2873" t="n">
        <v>1985</v>
      </c>
      <c r="C2873" t="n">
        <v>0.0166</v>
      </c>
    </row>
    <row r="2874">
      <c r="A2874" t="n">
        <v>56</v>
      </c>
      <c r="B2874" t="n">
        <v>1986</v>
      </c>
      <c r="C2874" t="n">
        <v>0.0174</v>
      </c>
    </row>
    <row r="2875">
      <c r="A2875" t="n">
        <v>56</v>
      </c>
      <c r="B2875" t="n">
        <v>1987</v>
      </c>
      <c r="C2875" t="n">
        <v>0.0182</v>
      </c>
    </row>
    <row r="2876">
      <c r="A2876" t="n">
        <v>56</v>
      </c>
      <c r="B2876" t="n">
        <v>1988</v>
      </c>
      <c r="C2876" t="n">
        <v>0.0191</v>
      </c>
    </row>
    <row r="2877">
      <c r="A2877" t="n">
        <v>56</v>
      </c>
      <c r="B2877" t="n">
        <v>1989</v>
      </c>
      <c r="C2877" t="n">
        <v>0.0199</v>
      </c>
    </row>
    <row r="2878">
      <c r="A2878" t="n">
        <v>56</v>
      </c>
      <c r="B2878" t="n">
        <v>1990</v>
      </c>
      <c r="C2878" t="n">
        <v>0.0206</v>
      </c>
    </row>
    <row r="2879">
      <c r="A2879" t="n">
        <v>56</v>
      </c>
      <c r="B2879" t="n">
        <v>1991</v>
      </c>
      <c r="C2879" t="n">
        <v>0.0212</v>
      </c>
    </row>
    <row r="2880">
      <c r="A2880" t="n">
        <v>56</v>
      </c>
      <c r="B2880" t="n">
        <v>1992</v>
      </c>
      <c r="C2880" t="n">
        <v>0.0217</v>
      </c>
    </row>
    <row r="2881">
      <c r="A2881" t="n">
        <v>56</v>
      </c>
      <c r="B2881" t="n">
        <v>1993</v>
      </c>
      <c r="C2881" t="n">
        <v>0.0222</v>
      </c>
    </row>
    <row r="2882">
      <c r="A2882" t="n">
        <v>56</v>
      </c>
      <c r="B2882" t="n">
        <v>1994</v>
      </c>
      <c r="C2882" t="n">
        <v>0.0225</v>
      </c>
    </row>
    <row r="2883">
      <c r="A2883" t="n">
        <v>56</v>
      </c>
      <c r="B2883" t="n">
        <v>1995</v>
      </c>
      <c r="C2883" t="n">
        <v>0.0225</v>
      </c>
    </row>
    <row r="2884">
      <c r="A2884" t="n">
        <v>56</v>
      </c>
      <c r="B2884" t="n">
        <v>1996</v>
      </c>
      <c r="C2884" t="n">
        <v>0.0219</v>
      </c>
    </row>
    <row r="2885">
      <c r="A2885" t="n">
        <v>56</v>
      </c>
      <c r="B2885" t="n">
        <v>1997</v>
      </c>
      <c r="C2885" t="n">
        <v>0.0207</v>
      </c>
    </row>
    <row r="2886">
      <c r="A2886" t="n">
        <v>56</v>
      </c>
      <c r="B2886" t="n">
        <v>1998</v>
      </c>
      <c r="C2886" t="n">
        <v>0.0188</v>
      </c>
    </row>
    <row r="2887">
      <c r="A2887" t="n">
        <v>56</v>
      </c>
      <c r="B2887" t="n">
        <v>1999</v>
      </c>
      <c r="C2887" t="n">
        <v>0.0164</v>
      </c>
    </row>
    <row r="2888">
      <c r="A2888" t="n">
        <v>56</v>
      </c>
      <c r="B2888" t="n">
        <v>2000</v>
      </c>
      <c r="C2888" t="n">
        <v>0.0139</v>
      </c>
    </row>
    <row r="2889">
      <c r="A2889" t="n">
        <v>56</v>
      </c>
      <c r="B2889" t="n">
        <v>2001</v>
      </c>
      <c r="C2889" t="n">
        <v>0.0115</v>
      </c>
    </row>
    <row r="2890">
      <c r="A2890" t="n">
        <v>56</v>
      </c>
      <c r="B2890" t="n">
        <v>2002</v>
      </c>
      <c r="C2890" t="n">
        <v>0.0095</v>
      </c>
    </row>
    <row r="2891">
      <c r="A2891" t="n">
        <v>56</v>
      </c>
      <c r="B2891" t="n">
        <v>2003</v>
      </c>
      <c r="C2891" t="n">
        <v>0.0078</v>
      </c>
    </row>
    <row r="2892">
      <c r="A2892" t="n">
        <v>56</v>
      </c>
      <c r="B2892" t="n">
        <v>2004</v>
      </c>
      <c r="C2892" t="n">
        <v>0.0065</v>
      </c>
    </row>
    <row r="2893">
      <c r="A2893" t="n">
        <v>56</v>
      </c>
      <c r="B2893" t="n">
        <v>2005</v>
      </c>
      <c r="C2893" t="n">
        <v>0.0055</v>
      </c>
    </row>
    <row r="2894">
      <c r="A2894" t="n">
        <v>56</v>
      </c>
      <c r="B2894" t="n">
        <v>2006</v>
      </c>
      <c r="C2894" t="n">
        <v>0.0048</v>
      </c>
    </row>
    <row r="2895">
      <c r="A2895" t="n">
        <v>56</v>
      </c>
      <c r="B2895" t="n">
        <v>2007</v>
      </c>
      <c r="C2895" t="n">
        <v>0.0042</v>
      </c>
    </row>
    <row r="2896">
      <c r="A2896" t="n">
        <v>56</v>
      </c>
      <c r="B2896" t="n">
        <v>2008</v>
      </c>
      <c r="C2896" t="n">
        <v>0.0037</v>
      </c>
    </row>
    <row r="2897">
      <c r="A2897" t="n">
        <v>56</v>
      </c>
      <c r="B2897" t="n">
        <v>2009</v>
      </c>
      <c r="C2897" t="n">
        <v>0.0031</v>
      </c>
    </row>
    <row r="2898">
      <c r="A2898" t="n">
        <v>56</v>
      </c>
      <c r="B2898" t="n">
        <v>2010</v>
      </c>
      <c r="C2898" t="n">
        <v>0.0023</v>
      </c>
    </row>
    <row r="2899">
      <c r="A2899" t="n">
        <v>56</v>
      </c>
      <c r="B2899" t="n">
        <v>2011</v>
      </c>
      <c r="C2899" t="n">
        <v>0.0013</v>
      </c>
    </row>
    <row r="2900">
      <c r="A2900" t="n">
        <v>56</v>
      </c>
      <c r="B2900" t="n">
        <v>2012</v>
      </c>
      <c r="C2900" t="n">
        <v>0</v>
      </c>
    </row>
    <row r="2901">
      <c r="A2901" t="n">
        <v>56</v>
      </c>
      <c r="B2901" t="n">
        <v>2013</v>
      </c>
      <c r="C2901" t="n">
        <v>0.0012</v>
      </c>
    </row>
    <row r="2902">
      <c r="A2902" t="n">
        <v>56</v>
      </c>
      <c r="B2902" t="n">
        <v>2014</v>
      </c>
      <c r="C2902" t="n">
        <v>0.0029</v>
      </c>
    </row>
    <row r="2903">
      <c r="A2903" t="n">
        <v>56</v>
      </c>
      <c r="B2903" t="n">
        <v>2015</v>
      </c>
      <c r="C2903" t="n">
        <v>0.0048</v>
      </c>
    </row>
    <row r="2904">
      <c r="A2904" t="n">
        <v>56</v>
      </c>
      <c r="B2904" t="n">
        <v>2016</v>
      </c>
      <c r="C2904" t="n">
        <v>0.0067</v>
      </c>
    </row>
    <row r="2905">
      <c r="A2905" t="n">
        <v>56</v>
      </c>
      <c r="B2905" t="n">
        <v>2017</v>
      </c>
      <c r="C2905" t="n">
        <v>0.008500000000000001</v>
      </c>
    </row>
    <row r="2906">
      <c r="A2906" t="n">
        <v>56</v>
      </c>
      <c r="B2906" t="n">
        <v>2018</v>
      </c>
      <c r="C2906" t="n">
        <v>0.0101</v>
      </c>
    </row>
    <row r="2907">
      <c r="A2907" t="n">
        <v>56</v>
      </c>
      <c r="B2907" t="n">
        <v>2019</v>
      </c>
      <c r="C2907" t="n">
        <v>0.0114</v>
      </c>
    </row>
    <row r="2908">
      <c r="A2908" t="n">
        <v>56</v>
      </c>
      <c r="B2908" t="n">
        <v>2020</v>
      </c>
      <c r="C2908" t="n">
        <v>0.0122</v>
      </c>
    </row>
    <row r="2909">
      <c r="A2909" t="n">
        <v>56</v>
      </c>
      <c r="B2909" t="n">
        <v>2021</v>
      </c>
      <c r="C2909" t="n">
        <v>0.0126</v>
      </c>
    </row>
    <row r="2910">
      <c r="A2910" t="n">
        <v>56</v>
      </c>
      <c r="B2910" t="n">
        <v>2022</v>
      </c>
      <c r="C2910" t="n">
        <v>0.0125</v>
      </c>
    </row>
    <row r="2911">
      <c r="A2911" t="n">
        <v>56</v>
      </c>
      <c r="B2911" t="n">
        <v>2023</v>
      </c>
      <c r="C2911" t="n">
        <v>0.0121</v>
      </c>
    </row>
    <row r="2912">
      <c r="A2912" t="n">
        <v>56</v>
      </c>
      <c r="B2912" t="n">
        <v>2024</v>
      </c>
      <c r="C2912" t="n">
        <v>0.0115</v>
      </c>
    </row>
    <row r="2913">
      <c r="A2913" t="n">
        <v>56</v>
      </c>
      <c r="B2913" t="n">
        <v>2025</v>
      </c>
      <c r="C2913" t="n">
        <v>0.011</v>
      </c>
    </row>
    <row r="2914">
      <c r="A2914" t="n">
        <v>56</v>
      </c>
      <c r="B2914" t="n">
        <v>2026</v>
      </c>
      <c r="C2914" t="n">
        <v>0.0105</v>
      </c>
    </row>
    <row r="2915">
      <c r="A2915" t="n">
        <v>56</v>
      </c>
      <c r="B2915" t="n">
        <v>2027</v>
      </c>
      <c r="C2915" t="n">
        <v>0.0102</v>
      </c>
    </row>
    <row r="2916">
      <c r="A2916" t="n">
        <v>56</v>
      </c>
      <c r="B2916" t="n">
        <v>2028</v>
      </c>
      <c r="C2916" t="n">
        <v>0.009900000000000001</v>
      </c>
    </row>
    <row r="2917">
      <c r="A2917" t="n">
        <v>56</v>
      </c>
      <c r="B2917" t="n">
        <v>2029</v>
      </c>
      <c r="C2917" t="n">
        <v>0.009900000000000001</v>
      </c>
    </row>
    <row r="2918">
      <c r="A2918" t="n">
        <v>56</v>
      </c>
      <c r="B2918" t="n">
        <v>2030</v>
      </c>
      <c r="C2918" t="n">
        <v>0.009900000000000001</v>
      </c>
    </row>
    <row r="2919">
      <c r="A2919" t="n">
        <v>56</v>
      </c>
      <c r="B2919" t="n">
        <v>2031</v>
      </c>
      <c r="C2919" t="n">
        <v>0.01</v>
      </c>
    </row>
    <row r="2920">
      <c r="A2920" t="n">
        <v>57</v>
      </c>
      <c r="B2920" t="n">
        <v>1951</v>
      </c>
      <c r="C2920" t="n">
        <v>0.0152</v>
      </c>
    </row>
    <row r="2921">
      <c r="A2921" t="n">
        <v>57</v>
      </c>
      <c r="B2921" t="n">
        <v>1952</v>
      </c>
      <c r="C2921" t="n">
        <v>0.0137</v>
      </c>
    </row>
    <row r="2922">
      <c r="A2922" t="n">
        <v>57</v>
      </c>
      <c r="B2922" t="n">
        <v>1953</v>
      </c>
      <c r="C2922" t="n">
        <v>0.0121</v>
      </c>
    </row>
    <row r="2923">
      <c r="A2923" t="n">
        <v>57</v>
      </c>
      <c r="B2923" t="n">
        <v>1954</v>
      </c>
      <c r="C2923" t="n">
        <v>0.0103</v>
      </c>
    </row>
    <row r="2924">
      <c r="A2924" t="n">
        <v>57</v>
      </c>
      <c r="B2924" t="n">
        <v>1955</v>
      </c>
      <c r="C2924" t="n">
        <v>0.0083</v>
      </c>
    </row>
    <row r="2925">
      <c r="A2925" t="n">
        <v>57</v>
      </c>
      <c r="B2925" t="n">
        <v>1956</v>
      </c>
      <c r="C2925" t="n">
        <v>0.0063</v>
      </c>
    </row>
    <row r="2926">
      <c r="A2926" t="n">
        <v>57</v>
      </c>
      <c r="B2926" t="n">
        <v>1957</v>
      </c>
      <c r="C2926" t="n">
        <v>0.0045</v>
      </c>
    </row>
    <row r="2927">
      <c r="A2927" t="n">
        <v>57</v>
      </c>
      <c r="B2927" t="n">
        <v>1958</v>
      </c>
      <c r="C2927" t="n">
        <v>0.003</v>
      </c>
    </row>
    <row r="2928">
      <c r="A2928" t="n">
        <v>57</v>
      </c>
      <c r="B2928" t="n">
        <v>1959</v>
      </c>
      <c r="C2928" t="n">
        <v>0.0017</v>
      </c>
    </row>
    <row r="2929">
      <c r="A2929" t="n">
        <v>57</v>
      </c>
      <c r="B2929" t="n">
        <v>1960</v>
      </c>
      <c r="C2929" t="n">
        <v>0.0005999999999999999</v>
      </c>
    </row>
    <row r="2930">
      <c r="A2930" t="n">
        <v>57</v>
      </c>
      <c r="B2930" t="n">
        <v>1961</v>
      </c>
      <c r="C2930" t="n">
        <v>-0.0005</v>
      </c>
    </row>
    <row r="2931">
      <c r="A2931" t="n">
        <v>57</v>
      </c>
      <c r="B2931" t="n">
        <v>1962</v>
      </c>
      <c r="C2931" t="n">
        <v>-0.0016</v>
      </c>
    </row>
    <row r="2932">
      <c r="A2932" t="n">
        <v>57</v>
      </c>
      <c r="B2932" t="n">
        <v>1963</v>
      </c>
      <c r="C2932" t="n">
        <v>-0.0023</v>
      </c>
    </row>
    <row r="2933">
      <c r="A2933" t="n">
        <v>57</v>
      </c>
      <c r="B2933" t="n">
        <v>1964</v>
      </c>
      <c r="C2933" t="n">
        <v>-0.0026</v>
      </c>
    </row>
    <row r="2934">
      <c r="A2934" t="n">
        <v>57</v>
      </c>
      <c r="B2934" t="n">
        <v>1965</v>
      </c>
      <c r="C2934" t="n">
        <v>-0.0023</v>
      </c>
    </row>
    <row r="2935">
      <c r="A2935" t="n">
        <v>57</v>
      </c>
      <c r="B2935" t="n">
        <v>1966</v>
      </c>
      <c r="C2935" t="n">
        <v>-0.0012</v>
      </c>
    </row>
    <row r="2936">
      <c r="A2936" t="n">
        <v>57</v>
      </c>
      <c r="B2936" t="n">
        <v>1967</v>
      </c>
      <c r="C2936" t="n">
        <v>0.0008</v>
      </c>
    </row>
    <row r="2937">
      <c r="A2937" t="n">
        <v>57</v>
      </c>
      <c r="B2937" t="n">
        <v>1968</v>
      </c>
      <c r="C2937" t="n">
        <v>0.0036</v>
      </c>
    </row>
    <row r="2938">
      <c r="A2938" t="n">
        <v>57</v>
      </c>
      <c r="B2938" t="n">
        <v>1969</v>
      </c>
      <c r="C2938" t="n">
        <v>0.0074</v>
      </c>
    </row>
    <row r="2939">
      <c r="A2939" t="n">
        <v>57</v>
      </c>
      <c r="B2939" t="n">
        <v>1970</v>
      </c>
      <c r="C2939" t="n">
        <v>0.0116</v>
      </c>
    </row>
    <row r="2940">
      <c r="A2940" t="n">
        <v>57</v>
      </c>
      <c r="B2940" t="n">
        <v>1971</v>
      </c>
      <c r="C2940" t="n">
        <v>0.016</v>
      </c>
    </row>
    <row r="2941">
      <c r="A2941" t="n">
        <v>57</v>
      </c>
      <c r="B2941" t="n">
        <v>1972</v>
      </c>
      <c r="C2941" t="n">
        <v>0.0203</v>
      </c>
    </row>
    <row r="2942">
      <c r="A2942" t="n">
        <v>57</v>
      </c>
      <c r="B2942" t="n">
        <v>1973</v>
      </c>
      <c r="C2942" t="n">
        <v>0.0239</v>
      </c>
    </row>
    <row r="2943">
      <c r="A2943" t="n">
        <v>57</v>
      </c>
      <c r="B2943" t="n">
        <v>1974</v>
      </c>
      <c r="C2943" t="n">
        <v>0.0266</v>
      </c>
    </row>
    <row r="2944">
      <c r="A2944" t="n">
        <v>57</v>
      </c>
      <c r="B2944" t="n">
        <v>1975</v>
      </c>
      <c r="C2944" t="n">
        <v>0.028</v>
      </c>
    </row>
    <row r="2945">
      <c r="A2945" t="n">
        <v>57</v>
      </c>
      <c r="B2945" t="n">
        <v>1976</v>
      </c>
      <c r="C2945" t="n">
        <v>0.028</v>
      </c>
    </row>
    <row r="2946">
      <c r="A2946" t="n">
        <v>57</v>
      </c>
      <c r="B2946" t="n">
        <v>1977</v>
      </c>
      <c r="C2946" t="n">
        <v>0.0268</v>
      </c>
    </row>
    <row r="2947">
      <c r="A2947" t="n">
        <v>57</v>
      </c>
      <c r="B2947" t="n">
        <v>1978</v>
      </c>
      <c r="C2947" t="n">
        <v>0.0247</v>
      </c>
    </row>
    <row r="2948">
      <c r="A2948" t="n">
        <v>57</v>
      </c>
      <c r="B2948" t="n">
        <v>1979</v>
      </c>
      <c r="C2948" t="n">
        <v>0.0221</v>
      </c>
    </row>
    <row r="2949">
      <c r="A2949" t="n">
        <v>57</v>
      </c>
      <c r="B2949" t="n">
        <v>1980</v>
      </c>
      <c r="C2949" t="n">
        <v>0.0195</v>
      </c>
    </row>
    <row r="2950">
      <c r="A2950" t="n">
        <v>57</v>
      </c>
      <c r="B2950" t="n">
        <v>1981</v>
      </c>
      <c r="C2950" t="n">
        <v>0.0175</v>
      </c>
    </row>
    <row r="2951">
      <c r="A2951" t="n">
        <v>57</v>
      </c>
      <c r="B2951" t="n">
        <v>1982</v>
      </c>
      <c r="C2951" t="n">
        <v>0.0161</v>
      </c>
    </row>
    <row r="2952">
      <c r="A2952" t="n">
        <v>57</v>
      </c>
      <c r="B2952" t="n">
        <v>1983</v>
      </c>
      <c r="C2952" t="n">
        <v>0.0154</v>
      </c>
    </row>
    <row r="2953">
      <c r="A2953" t="n">
        <v>57</v>
      </c>
      <c r="B2953" t="n">
        <v>1984</v>
      </c>
      <c r="C2953" t="n">
        <v>0.0153</v>
      </c>
    </row>
    <row r="2954">
      <c r="A2954" t="n">
        <v>57</v>
      </c>
      <c r="B2954" t="n">
        <v>1985</v>
      </c>
      <c r="C2954" t="n">
        <v>0.0158</v>
      </c>
    </row>
    <row r="2955">
      <c r="A2955" t="n">
        <v>57</v>
      </c>
      <c r="B2955" t="n">
        <v>1986</v>
      </c>
      <c r="C2955" t="n">
        <v>0.0167</v>
      </c>
    </row>
    <row r="2956">
      <c r="A2956" t="n">
        <v>57</v>
      </c>
      <c r="B2956" t="n">
        <v>1987</v>
      </c>
      <c r="C2956" t="n">
        <v>0.0177</v>
      </c>
    </row>
    <row r="2957">
      <c r="A2957" t="n">
        <v>57</v>
      </c>
      <c r="B2957" t="n">
        <v>1988</v>
      </c>
      <c r="C2957" t="n">
        <v>0.0186</v>
      </c>
    </row>
    <row r="2958">
      <c r="A2958" t="n">
        <v>57</v>
      </c>
      <c r="B2958" t="n">
        <v>1989</v>
      </c>
      <c r="C2958" t="n">
        <v>0.0196</v>
      </c>
    </row>
    <row r="2959">
      <c r="A2959" t="n">
        <v>57</v>
      </c>
      <c r="B2959" t="n">
        <v>1990</v>
      </c>
      <c r="C2959" t="n">
        <v>0.0205</v>
      </c>
    </row>
    <row r="2960">
      <c r="A2960" t="n">
        <v>57</v>
      </c>
      <c r="B2960" t="n">
        <v>1991</v>
      </c>
      <c r="C2960" t="n">
        <v>0.0212</v>
      </c>
    </row>
    <row r="2961">
      <c r="A2961" t="n">
        <v>57</v>
      </c>
      <c r="B2961" t="n">
        <v>1992</v>
      </c>
      <c r="C2961" t="n">
        <v>0.0218</v>
      </c>
    </row>
    <row r="2962">
      <c r="A2962" t="n">
        <v>57</v>
      </c>
      <c r="B2962" t="n">
        <v>1993</v>
      </c>
      <c r="C2962" t="n">
        <v>0.0223</v>
      </c>
    </row>
    <row r="2963">
      <c r="A2963" t="n">
        <v>57</v>
      </c>
      <c r="B2963" t="n">
        <v>1994</v>
      </c>
      <c r="C2963" t="n">
        <v>0.0226</v>
      </c>
    </row>
    <row r="2964">
      <c r="A2964" t="n">
        <v>57</v>
      </c>
      <c r="B2964" t="n">
        <v>1995</v>
      </c>
      <c r="C2964" t="n">
        <v>0.0226</v>
      </c>
    </row>
    <row r="2965">
      <c r="A2965" t="n">
        <v>57</v>
      </c>
      <c r="B2965" t="n">
        <v>1996</v>
      </c>
      <c r="C2965" t="n">
        <v>0.0222</v>
      </c>
    </row>
    <row r="2966">
      <c r="A2966" t="n">
        <v>57</v>
      </c>
      <c r="B2966" t="n">
        <v>1997</v>
      </c>
      <c r="C2966" t="n">
        <v>0.0213</v>
      </c>
    </row>
    <row r="2967">
      <c r="A2967" t="n">
        <v>57</v>
      </c>
      <c r="B2967" t="n">
        <v>1998</v>
      </c>
      <c r="C2967" t="n">
        <v>0.0198</v>
      </c>
    </row>
    <row r="2968">
      <c r="A2968" t="n">
        <v>57</v>
      </c>
      <c r="B2968" t="n">
        <v>1999</v>
      </c>
      <c r="C2968" t="n">
        <v>0.018</v>
      </c>
    </row>
    <row r="2969">
      <c r="A2969" t="n">
        <v>57</v>
      </c>
      <c r="B2969" t="n">
        <v>2000</v>
      </c>
      <c r="C2969" t="n">
        <v>0.0161</v>
      </c>
    </row>
    <row r="2970">
      <c r="A2970" t="n">
        <v>57</v>
      </c>
      <c r="B2970" t="n">
        <v>2001</v>
      </c>
      <c r="C2970" t="n">
        <v>0.0143</v>
      </c>
    </row>
    <row r="2971">
      <c r="A2971" t="n">
        <v>57</v>
      </c>
      <c r="B2971" t="n">
        <v>2002</v>
      </c>
      <c r="C2971" t="n">
        <v>0.0125</v>
      </c>
    </row>
    <row r="2972">
      <c r="A2972" t="n">
        <v>57</v>
      </c>
      <c r="B2972" t="n">
        <v>2003</v>
      </c>
      <c r="C2972" t="n">
        <v>0.0109</v>
      </c>
    </row>
    <row r="2973">
      <c r="A2973" t="n">
        <v>57</v>
      </c>
      <c r="B2973" t="n">
        <v>2004</v>
      </c>
      <c r="C2973" t="n">
        <v>0.0095</v>
      </c>
    </row>
    <row r="2974">
      <c r="A2974" t="n">
        <v>57</v>
      </c>
      <c r="B2974" t="n">
        <v>2005</v>
      </c>
      <c r="C2974" t="n">
        <v>0.008</v>
      </c>
    </row>
    <row r="2975">
      <c r="A2975" t="n">
        <v>57</v>
      </c>
      <c r="B2975" t="n">
        <v>2006</v>
      </c>
      <c r="C2975" t="n">
        <v>0.0067</v>
      </c>
    </row>
    <row r="2976">
      <c r="A2976" t="n">
        <v>57</v>
      </c>
      <c r="B2976" t="n">
        <v>2007</v>
      </c>
      <c r="C2976" t="n">
        <v>0.0054</v>
      </c>
    </row>
    <row r="2977">
      <c r="A2977" t="n">
        <v>57</v>
      </c>
      <c r="B2977" t="n">
        <v>2008</v>
      </c>
      <c r="C2977" t="n">
        <v>0.0042</v>
      </c>
    </row>
    <row r="2978">
      <c r="A2978" t="n">
        <v>57</v>
      </c>
      <c r="B2978" t="n">
        <v>2009</v>
      </c>
      <c r="C2978" t="n">
        <v>0.0029</v>
      </c>
    </row>
    <row r="2979">
      <c r="A2979" t="n">
        <v>57</v>
      </c>
      <c r="B2979" t="n">
        <v>2010</v>
      </c>
      <c r="C2979" t="n">
        <v>0.0016</v>
      </c>
    </row>
    <row r="2980">
      <c r="A2980" t="n">
        <v>57</v>
      </c>
      <c r="B2980" t="n">
        <v>2011</v>
      </c>
      <c r="C2980" t="n">
        <v>-0.0001</v>
      </c>
    </row>
    <row r="2981">
      <c r="A2981" t="n">
        <v>57</v>
      </c>
      <c r="B2981" t="n">
        <v>2012</v>
      </c>
      <c r="C2981" t="n">
        <v>-0.0019</v>
      </c>
    </row>
    <row r="2982">
      <c r="A2982" t="n">
        <v>57</v>
      </c>
      <c r="B2982" t="n">
        <v>2013</v>
      </c>
      <c r="C2982" t="n">
        <v>-0.0008</v>
      </c>
    </row>
    <row r="2983">
      <c r="A2983" t="n">
        <v>57</v>
      </c>
      <c r="B2983" t="n">
        <v>2014</v>
      </c>
      <c r="C2983" t="n">
        <v>0.0009</v>
      </c>
    </row>
    <row r="2984">
      <c r="A2984" t="n">
        <v>57</v>
      </c>
      <c r="B2984" t="n">
        <v>2015</v>
      </c>
      <c r="C2984" t="n">
        <v>0.0028</v>
      </c>
    </row>
    <row r="2985">
      <c r="A2985" t="n">
        <v>57</v>
      </c>
      <c r="B2985" t="n">
        <v>2016</v>
      </c>
      <c r="C2985" t="n">
        <v>0.0049</v>
      </c>
    </row>
    <row r="2986">
      <c r="A2986" t="n">
        <v>57</v>
      </c>
      <c r="B2986" t="n">
        <v>2017</v>
      </c>
      <c r="C2986" t="n">
        <v>0.007</v>
      </c>
    </row>
    <row r="2987">
      <c r="A2987" t="n">
        <v>57</v>
      </c>
      <c r="B2987" t="n">
        <v>2018</v>
      </c>
      <c r="C2987" t="n">
        <v>0.0089</v>
      </c>
    </row>
    <row r="2988">
      <c r="A2988" t="n">
        <v>57</v>
      </c>
      <c r="B2988" t="n">
        <v>2019</v>
      </c>
      <c r="C2988" t="n">
        <v>0.0104</v>
      </c>
    </row>
    <row r="2989">
      <c r="A2989" t="n">
        <v>57</v>
      </c>
      <c r="B2989" t="n">
        <v>2020</v>
      </c>
      <c r="C2989" t="n">
        <v>0.0116</v>
      </c>
    </row>
    <row r="2990">
      <c r="A2990" t="n">
        <v>57</v>
      </c>
      <c r="B2990" t="n">
        <v>2021</v>
      </c>
      <c r="C2990" t="n">
        <v>0.0123</v>
      </c>
    </row>
    <row r="2991">
      <c r="A2991" t="n">
        <v>57</v>
      </c>
      <c r="B2991" t="n">
        <v>2022</v>
      </c>
      <c r="C2991" t="n">
        <v>0.0124</v>
      </c>
    </row>
    <row r="2992">
      <c r="A2992" t="n">
        <v>57</v>
      </c>
      <c r="B2992" t="n">
        <v>2023</v>
      </c>
      <c r="C2992" t="n">
        <v>0.0121</v>
      </c>
    </row>
    <row r="2993">
      <c r="A2993" t="n">
        <v>57</v>
      </c>
      <c r="B2993" t="n">
        <v>2024</v>
      </c>
      <c r="C2993" t="n">
        <v>0.0117</v>
      </c>
    </row>
    <row r="2994">
      <c r="A2994" t="n">
        <v>57</v>
      </c>
      <c r="B2994" t="n">
        <v>2025</v>
      </c>
      <c r="C2994" t="n">
        <v>0.0112</v>
      </c>
    </row>
    <row r="2995">
      <c r="A2995" t="n">
        <v>57</v>
      </c>
      <c r="B2995" t="n">
        <v>2026</v>
      </c>
      <c r="C2995" t="n">
        <v>0.0108</v>
      </c>
    </row>
    <row r="2996">
      <c r="A2996" t="n">
        <v>57</v>
      </c>
      <c r="B2996" t="n">
        <v>2027</v>
      </c>
      <c r="C2996" t="n">
        <v>0.0104</v>
      </c>
    </row>
    <row r="2997">
      <c r="A2997" t="n">
        <v>57</v>
      </c>
      <c r="B2997" t="n">
        <v>2028</v>
      </c>
      <c r="C2997" t="n">
        <v>0.0101</v>
      </c>
    </row>
    <row r="2998">
      <c r="A2998" t="n">
        <v>57</v>
      </c>
      <c r="B2998" t="n">
        <v>2029</v>
      </c>
      <c r="C2998" t="n">
        <v>0.01</v>
      </c>
    </row>
    <row r="2999">
      <c r="A2999" t="n">
        <v>57</v>
      </c>
      <c r="B2999" t="n">
        <v>2030</v>
      </c>
      <c r="C2999" t="n">
        <v>0.009900000000000001</v>
      </c>
    </row>
    <row r="3000">
      <c r="A3000" t="n">
        <v>57</v>
      </c>
      <c r="B3000" t="n">
        <v>2031</v>
      </c>
      <c r="C3000" t="n">
        <v>0.01</v>
      </c>
    </row>
    <row r="3001">
      <c r="A3001" t="n">
        <v>58</v>
      </c>
      <c r="B3001" t="n">
        <v>1951</v>
      </c>
      <c r="C3001" t="n">
        <v>0.0146</v>
      </c>
    </row>
    <row r="3002">
      <c r="A3002" t="n">
        <v>58</v>
      </c>
      <c r="B3002" t="n">
        <v>1952</v>
      </c>
      <c r="C3002" t="n">
        <v>0.013</v>
      </c>
    </row>
    <row r="3003">
      <c r="A3003" t="n">
        <v>58</v>
      </c>
      <c r="B3003" t="n">
        <v>1953</v>
      </c>
      <c r="C3003" t="n">
        <v>0.0113</v>
      </c>
    </row>
    <row r="3004">
      <c r="A3004" t="n">
        <v>58</v>
      </c>
      <c r="B3004" t="n">
        <v>1954</v>
      </c>
      <c r="C3004" t="n">
        <v>0.0095</v>
      </c>
    </row>
    <row r="3005">
      <c r="A3005" t="n">
        <v>58</v>
      </c>
      <c r="B3005" t="n">
        <v>1955</v>
      </c>
      <c r="C3005" t="n">
        <v>0.0074</v>
      </c>
    </row>
    <row r="3006">
      <c r="A3006" t="n">
        <v>58</v>
      </c>
      <c r="B3006" t="n">
        <v>1956</v>
      </c>
      <c r="C3006" t="n">
        <v>0.0054</v>
      </c>
    </row>
    <row r="3007">
      <c r="A3007" t="n">
        <v>58</v>
      </c>
      <c r="B3007" t="n">
        <v>1957</v>
      </c>
      <c r="C3007" t="n">
        <v>0.0037</v>
      </c>
    </row>
    <row r="3008">
      <c r="A3008" t="n">
        <v>58</v>
      </c>
      <c r="B3008" t="n">
        <v>1958</v>
      </c>
      <c r="C3008" t="n">
        <v>0.0023</v>
      </c>
    </row>
    <row r="3009">
      <c r="A3009" t="n">
        <v>58</v>
      </c>
      <c r="B3009" t="n">
        <v>1959</v>
      </c>
      <c r="C3009" t="n">
        <v>0.001</v>
      </c>
    </row>
    <row r="3010">
      <c r="A3010" t="n">
        <v>58</v>
      </c>
      <c r="B3010" t="n">
        <v>1960</v>
      </c>
      <c r="C3010" t="n">
        <v>-0.0001</v>
      </c>
    </row>
    <row r="3011">
      <c r="A3011" t="n">
        <v>58</v>
      </c>
      <c r="B3011" t="n">
        <v>1961</v>
      </c>
      <c r="C3011" t="n">
        <v>-0.0012</v>
      </c>
    </row>
    <row r="3012">
      <c r="A3012" t="n">
        <v>58</v>
      </c>
      <c r="B3012" t="n">
        <v>1962</v>
      </c>
      <c r="C3012" t="n">
        <v>-0.0021</v>
      </c>
    </row>
    <row r="3013">
      <c r="A3013" t="n">
        <v>58</v>
      </c>
      <c r="B3013" t="n">
        <v>1963</v>
      </c>
      <c r="C3013" t="n">
        <v>-0.0028</v>
      </c>
    </row>
    <row r="3014">
      <c r="A3014" t="n">
        <v>58</v>
      </c>
      <c r="B3014" t="n">
        <v>1964</v>
      </c>
      <c r="C3014" t="n">
        <v>-0.0029</v>
      </c>
    </row>
    <row r="3015">
      <c r="A3015" t="n">
        <v>58</v>
      </c>
      <c r="B3015" t="n">
        <v>1965</v>
      </c>
      <c r="C3015" t="n">
        <v>-0.0025</v>
      </c>
    </row>
    <row r="3016">
      <c r="A3016" t="n">
        <v>58</v>
      </c>
      <c r="B3016" t="n">
        <v>1966</v>
      </c>
      <c r="C3016" t="n">
        <v>-0.0013</v>
      </c>
    </row>
    <row r="3017">
      <c r="A3017" t="n">
        <v>58</v>
      </c>
      <c r="B3017" t="n">
        <v>1967</v>
      </c>
      <c r="C3017" t="n">
        <v>0.0008</v>
      </c>
    </row>
    <row r="3018">
      <c r="A3018" t="n">
        <v>58</v>
      </c>
      <c r="B3018" t="n">
        <v>1968</v>
      </c>
      <c r="C3018" t="n">
        <v>0.0037</v>
      </c>
    </row>
    <row r="3019">
      <c r="A3019" t="n">
        <v>58</v>
      </c>
      <c r="B3019" t="n">
        <v>1969</v>
      </c>
      <c r="C3019" t="n">
        <v>0.0073</v>
      </c>
    </row>
    <row r="3020">
      <c r="A3020" t="n">
        <v>58</v>
      </c>
      <c r="B3020" t="n">
        <v>1970</v>
      </c>
      <c r="C3020" t="n">
        <v>0.0115</v>
      </c>
    </row>
    <row r="3021">
      <c r="A3021" t="n">
        <v>58</v>
      </c>
      <c r="B3021" t="n">
        <v>1971</v>
      </c>
      <c r="C3021" t="n">
        <v>0.0159</v>
      </c>
    </row>
    <row r="3022">
      <c r="A3022" t="n">
        <v>58</v>
      </c>
      <c r="B3022" t="n">
        <v>1972</v>
      </c>
      <c r="C3022" t="n">
        <v>0.02</v>
      </c>
    </row>
    <row r="3023">
      <c r="A3023" t="n">
        <v>58</v>
      </c>
      <c r="B3023" t="n">
        <v>1973</v>
      </c>
      <c r="C3023" t="n">
        <v>0.0237</v>
      </c>
    </row>
    <row r="3024">
      <c r="A3024" t="n">
        <v>58</v>
      </c>
      <c r="B3024" t="n">
        <v>1974</v>
      </c>
      <c r="C3024" t="n">
        <v>0.0264</v>
      </c>
    </row>
    <row r="3025">
      <c r="A3025" t="n">
        <v>58</v>
      </c>
      <c r="B3025" t="n">
        <v>1975</v>
      </c>
      <c r="C3025" t="n">
        <v>0.0279</v>
      </c>
    </row>
    <row r="3026">
      <c r="A3026" t="n">
        <v>58</v>
      </c>
      <c r="B3026" t="n">
        <v>1976</v>
      </c>
      <c r="C3026" t="n">
        <v>0.0279</v>
      </c>
    </row>
    <row r="3027">
      <c r="A3027" t="n">
        <v>58</v>
      </c>
      <c r="B3027" t="n">
        <v>1977</v>
      </c>
      <c r="C3027" t="n">
        <v>0.0268</v>
      </c>
    </row>
    <row r="3028">
      <c r="A3028" t="n">
        <v>58</v>
      </c>
      <c r="B3028" t="n">
        <v>1978</v>
      </c>
      <c r="C3028" t="n">
        <v>0.0247</v>
      </c>
    </row>
    <row r="3029">
      <c r="A3029" t="n">
        <v>58</v>
      </c>
      <c r="B3029" t="n">
        <v>1979</v>
      </c>
      <c r="C3029" t="n">
        <v>0.0221</v>
      </c>
    </row>
    <row r="3030">
      <c r="A3030" t="n">
        <v>58</v>
      </c>
      <c r="B3030" t="n">
        <v>1980</v>
      </c>
      <c r="C3030" t="n">
        <v>0.0194</v>
      </c>
    </row>
    <row r="3031">
      <c r="A3031" t="n">
        <v>58</v>
      </c>
      <c r="B3031" t="n">
        <v>1981</v>
      </c>
      <c r="C3031" t="n">
        <v>0.0172</v>
      </c>
    </row>
    <row r="3032">
      <c r="A3032" t="n">
        <v>58</v>
      </c>
      <c r="B3032" t="n">
        <v>1982</v>
      </c>
      <c r="C3032" t="n">
        <v>0.0156</v>
      </c>
    </row>
    <row r="3033">
      <c r="A3033" t="n">
        <v>58</v>
      </c>
      <c r="B3033" t="n">
        <v>1983</v>
      </c>
      <c r="C3033" t="n">
        <v>0.0147</v>
      </c>
    </row>
    <row r="3034">
      <c r="A3034" t="n">
        <v>58</v>
      </c>
      <c r="B3034" t="n">
        <v>1984</v>
      </c>
      <c r="C3034" t="n">
        <v>0.0146</v>
      </c>
    </row>
    <row r="3035">
      <c r="A3035" t="n">
        <v>58</v>
      </c>
      <c r="B3035" t="n">
        <v>1985</v>
      </c>
      <c r="C3035" t="n">
        <v>0.0151</v>
      </c>
    </row>
    <row r="3036">
      <c r="A3036" t="n">
        <v>58</v>
      </c>
      <c r="B3036" t="n">
        <v>1986</v>
      </c>
      <c r="C3036" t="n">
        <v>0.016</v>
      </c>
    </row>
    <row r="3037">
      <c r="A3037" t="n">
        <v>58</v>
      </c>
      <c r="B3037" t="n">
        <v>1987</v>
      </c>
      <c r="C3037" t="n">
        <v>0.017</v>
      </c>
    </row>
    <row r="3038">
      <c r="A3038" t="n">
        <v>58</v>
      </c>
      <c r="B3038" t="n">
        <v>1988</v>
      </c>
      <c r="C3038" t="n">
        <v>0.0181</v>
      </c>
    </row>
    <row r="3039">
      <c r="A3039" t="n">
        <v>58</v>
      </c>
      <c r="B3039" t="n">
        <v>1989</v>
      </c>
      <c r="C3039" t="n">
        <v>0.0192</v>
      </c>
    </row>
    <row r="3040">
      <c r="A3040" t="n">
        <v>58</v>
      </c>
      <c r="B3040" t="n">
        <v>1990</v>
      </c>
      <c r="C3040" t="n">
        <v>0.0202</v>
      </c>
    </row>
    <row r="3041">
      <c r="A3041" t="n">
        <v>58</v>
      </c>
      <c r="B3041" t="n">
        <v>1991</v>
      </c>
      <c r="C3041" t="n">
        <v>0.021</v>
      </c>
    </row>
    <row r="3042">
      <c r="A3042" t="n">
        <v>58</v>
      </c>
      <c r="B3042" t="n">
        <v>1992</v>
      </c>
      <c r="C3042" t="n">
        <v>0.0216</v>
      </c>
    </row>
    <row r="3043">
      <c r="A3043" t="n">
        <v>58</v>
      </c>
      <c r="B3043" t="n">
        <v>1993</v>
      </c>
      <c r="C3043" t="n">
        <v>0.0221</v>
      </c>
    </row>
    <row r="3044">
      <c r="A3044" t="n">
        <v>58</v>
      </c>
      <c r="B3044" t="n">
        <v>1994</v>
      </c>
      <c r="C3044" t="n">
        <v>0.0224</v>
      </c>
    </row>
    <row r="3045">
      <c r="A3045" t="n">
        <v>58</v>
      </c>
      <c r="B3045" t="n">
        <v>1995</v>
      </c>
      <c r="C3045" t="n">
        <v>0.0225</v>
      </c>
    </row>
    <row r="3046">
      <c r="A3046" t="n">
        <v>58</v>
      </c>
      <c r="B3046" t="n">
        <v>1996</v>
      </c>
      <c r="C3046" t="n">
        <v>0.0223</v>
      </c>
    </row>
    <row r="3047">
      <c r="A3047" t="n">
        <v>58</v>
      </c>
      <c r="B3047" t="n">
        <v>1997</v>
      </c>
      <c r="C3047" t="n">
        <v>0.0217</v>
      </c>
    </row>
    <row r="3048">
      <c r="A3048" t="n">
        <v>58</v>
      </c>
      <c r="B3048" t="n">
        <v>1998</v>
      </c>
      <c r="C3048" t="n">
        <v>0.0207</v>
      </c>
    </row>
    <row r="3049">
      <c r="A3049" t="n">
        <v>58</v>
      </c>
      <c r="B3049" t="n">
        <v>1999</v>
      </c>
      <c r="C3049" t="n">
        <v>0.0195</v>
      </c>
    </row>
    <row r="3050">
      <c r="A3050" t="n">
        <v>58</v>
      </c>
      <c r="B3050" t="n">
        <v>2000</v>
      </c>
      <c r="C3050" t="n">
        <v>0.0181</v>
      </c>
    </row>
    <row r="3051">
      <c r="A3051" t="n">
        <v>58</v>
      </c>
      <c r="B3051" t="n">
        <v>2001</v>
      </c>
      <c r="C3051" t="n">
        <v>0.0167</v>
      </c>
    </row>
    <row r="3052">
      <c r="A3052" t="n">
        <v>58</v>
      </c>
      <c r="B3052" t="n">
        <v>2002</v>
      </c>
      <c r="C3052" t="n">
        <v>0.0153</v>
      </c>
    </row>
    <row r="3053">
      <c r="A3053" t="n">
        <v>58</v>
      </c>
      <c r="B3053" t="n">
        <v>2003</v>
      </c>
      <c r="C3053" t="n">
        <v>0.0139</v>
      </c>
    </row>
    <row r="3054">
      <c r="A3054" t="n">
        <v>58</v>
      </c>
      <c r="B3054" t="n">
        <v>2004</v>
      </c>
      <c r="C3054" t="n">
        <v>0.0124</v>
      </c>
    </row>
    <row r="3055">
      <c r="A3055" t="n">
        <v>58</v>
      </c>
      <c r="B3055" t="n">
        <v>2005</v>
      </c>
      <c r="C3055" t="n">
        <v>0.0107</v>
      </c>
    </row>
    <row r="3056">
      <c r="A3056" t="n">
        <v>58</v>
      </c>
      <c r="B3056" t="n">
        <v>2006</v>
      </c>
      <c r="C3056" t="n">
        <v>0.008999999999999999</v>
      </c>
    </row>
    <row r="3057">
      <c r="A3057" t="n">
        <v>58</v>
      </c>
      <c r="B3057" t="n">
        <v>2007</v>
      </c>
      <c r="C3057" t="n">
        <v>0.0072</v>
      </c>
    </row>
    <row r="3058">
      <c r="A3058" t="n">
        <v>58</v>
      </c>
      <c r="B3058" t="n">
        <v>2008</v>
      </c>
      <c r="C3058" t="n">
        <v>0.0054</v>
      </c>
    </row>
    <row r="3059">
      <c r="A3059" t="n">
        <v>58</v>
      </c>
      <c r="B3059" t="n">
        <v>2009</v>
      </c>
      <c r="C3059" t="n">
        <v>0.0036</v>
      </c>
    </row>
    <row r="3060">
      <c r="A3060" t="n">
        <v>58</v>
      </c>
      <c r="B3060" t="n">
        <v>2010</v>
      </c>
      <c r="C3060" t="n">
        <v>0.0015</v>
      </c>
    </row>
    <row r="3061">
      <c r="A3061" t="n">
        <v>58</v>
      </c>
      <c r="B3061" t="n">
        <v>2011</v>
      </c>
      <c r="C3061" t="n">
        <v>-0.0008</v>
      </c>
    </row>
    <row r="3062">
      <c r="A3062" t="n">
        <v>58</v>
      </c>
      <c r="B3062" t="n">
        <v>2012</v>
      </c>
      <c r="C3062" t="n">
        <v>-0.0033</v>
      </c>
    </row>
    <row r="3063">
      <c r="A3063" t="n">
        <v>58</v>
      </c>
      <c r="B3063" t="n">
        <v>2013</v>
      </c>
      <c r="C3063" t="n">
        <v>-0.0024</v>
      </c>
    </row>
    <row r="3064">
      <c r="A3064" t="n">
        <v>58</v>
      </c>
      <c r="B3064" t="n">
        <v>2014</v>
      </c>
      <c r="C3064" t="n">
        <v>-0.0009</v>
      </c>
    </row>
    <row r="3065">
      <c r="A3065" t="n">
        <v>58</v>
      </c>
      <c r="B3065" t="n">
        <v>2015</v>
      </c>
      <c r="C3065" t="n">
        <v>0.0011</v>
      </c>
    </row>
    <row r="3066">
      <c r="A3066" t="n">
        <v>58</v>
      </c>
      <c r="B3066" t="n">
        <v>2016</v>
      </c>
      <c r="C3066" t="n">
        <v>0.0033</v>
      </c>
    </row>
    <row r="3067">
      <c r="A3067" t="n">
        <v>58</v>
      </c>
      <c r="B3067" t="n">
        <v>2017</v>
      </c>
      <c r="C3067" t="n">
        <v>0.0055</v>
      </c>
    </row>
    <row r="3068">
      <c r="A3068" t="n">
        <v>58</v>
      </c>
      <c r="B3068" t="n">
        <v>2018</v>
      </c>
      <c r="C3068" t="n">
        <v>0.0076</v>
      </c>
    </row>
    <row r="3069">
      <c r="A3069" t="n">
        <v>58</v>
      </c>
      <c r="B3069" t="n">
        <v>2019</v>
      </c>
      <c r="C3069" t="n">
        <v>0.0095</v>
      </c>
    </row>
    <row r="3070">
      <c r="A3070" t="n">
        <v>58</v>
      </c>
      <c r="B3070" t="n">
        <v>2020</v>
      </c>
      <c r="C3070" t="n">
        <v>0.0109</v>
      </c>
    </row>
    <row r="3071">
      <c r="A3071" t="n">
        <v>58</v>
      </c>
      <c r="B3071" t="n">
        <v>2021</v>
      </c>
      <c r="C3071" t="n">
        <v>0.0118</v>
      </c>
    </row>
    <row r="3072">
      <c r="A3072" t="n">
        <v>58</v>
      </c>
      <c r="B3072" t="n">
        <v>2022</v>
      </c>
      <c r="C3072" t="n">
        <v>0.0121</v>
      </c>
    </row>
    <row r="3073">
      <c r="A3073" t="n">
        <v>58</v>
      </c>
      <c r="B3073" t="n">
        <v>2023</v>
      </c>
      <c r="C3073" t="n">
        <v>0.012</v>
      </c>
    </row>
    <row r="3074">
      <c r="A3074" t="n">
        <v>58</v>
      </c>
      <c r="B3074" t="n">
        <v>2024</v>
      </c>
      <c r="C3074" t="n">
        <v>0.0118</v>
      </c>
    </row>
    <row r="3075">
      <c r="A3075" t="n">
        <v>58</v>
      </c>
      <c r="B3075" t="n">
        <v>2025</v>
      </c>
      <c r="C3075" t="n">
        <v>0.0114</v>
      </c>
    </row>
    <row r="3076">
      <c r="A3076" t="n">
        <v>58</v>
      </c>
      <c r="B3076" t="n">
        <v>2026</v>
      </c>
      <c r="C3076" t="n">
        <v>0.0109</v>
      </c>
    </row>
    <row r="3077">
      <c r="A3077" t="n">
        <v>58</v>
      </c>
      <c r="B3077" t="n">
        <v>2027</v>
      </c>
      <c r="C3077" t="n">
        <v>0.0106</v>
      </c>
    </row>
    <row r="3078">
      <c r="A3078" t="n">
        <v>58</v>
      </c>
      <c r="B3078" t="n">
        <v>2028</v>
      </c>
      <c r="C3078" t="n">
        <v>0.0103</v>
      </c>
    </row>
    <row r="3079">
      <c r="A3079" t="n">
        <v>58</v>
      </c>
      <c r="B3079" t="n">
        <v>2029</v>
      </c>
      <c r="C3079" t="n">
        <v>0.0101</v>
      </c>
    </row>
    <row r="3080">
      <c r="A3080" t="n">
        <v>58</v>
      </c>
      <c r="B3080" t="n">
        <v>2030</v>
      </c>
      <c r="C3080" t="n">
        <v>0.01</v>
      </c>
    </row>
    <row r="3081">
      <c r="A3081" t="n">
        <v>58</v>
      </c>
      <c r="B3081" t="n">
        <v>2031</v>
      </c>
      <c r="C3081" t="n">
        <v>0.01</v>
      </c>
    </row>
    <row r="3082">
      <c r="A3082" t="n">
        <v>59</v>
      </c>
      <c r="B3082" t="n">
        <v>1951</v>
      </c>
      <c r="C3082" t="n">
        <v>0.0139</v>
      </c>
    </row>
    <row r="3083">
      <c r="A3083" t="n">
        <v>59</v>
      </c>
      <c r="B3083" t="n">
        <v>1952</v>
      </c>
      <c r="C3083" t="n">
        <v>0.0122</v>
      </c>
    </row>
    <row r="3084">
      <c r="A3084" t="n">
        <v>59</v>
      </c>
      <c r="B3084" t="n">
        <v>1953</v>
      </c>
      <c r="C3084" t="n">
        <v>0.0104</v>
      </c>
    </row>
    <row r="3085">
      <c r="A3085" t="n">
        <v>59</v>
      </c>
      <c r="B3085" t="n">
        <v>1954</v>
      </c>
      <c r="C3085" t="n">
        <v>0.008500000000000001</v>
      </c>
    </row>
    <row r="3086">
      <c r="A3086" t="n">
        <v>59</v>
      </c>
      <c r="B3086" t="n">
        <v>1955</v>
      </c>
      <c r="C3086" t="n">
        <v>0.0065</v>
      </c>
    </row>
    <row r="3087">
      <c r="A3087" t="n">
        <v>59</v>
      </c>
      <c r="B3087" t="n">
        <v>1956</v>
      </c>
      <c r="C3087" t="n">
        <v>0.0045</v>
      </c>
    </row>
    <row r="3088">
      <c r="A3088" t="n">
        <v>59</v>
      </c>
      <c r="B3088" t="n">
        <v>1957</v>
      </c>
      <c r="C3088" t="n">
        <v>0.0028</v>
      </c>
    </row>
    <row r="3089">
      <c r="A3089" t="n">
        <v>59</v>
      </c>
      <c r="B3089" t="n">
        <v>1958</v>
      </c>
      <c r="C3089" t="n">
        <v>0.0014</v>
      </c>
    </row>
    <row r="3090">
      <c r="A3090" t="n">
        <v>59</v>
      </c>
      <c r="B3090" t="n">
        <v>1959</v>
      </c>
      <c r="C3090" t="n">
        <v>0.0002</v>
      </c>
    </row>
    <row r="3091">
      <c r="A3091" t="n">
        <v>59</v>
      </c>
      <c r="B3091" t="n">
        <v>1960</v>
      </c>
      <c r="C3091" t="n">
        <v>-0.0009</v>
      </c>
    </row>
    <row r="3092">
      <c r="A3092" t="n">
        <v>59</v>
      </c>
      <c r="B3092" t="n">
        <v>1961</v>
      </c>
      <c r="C3092" t="n">
        <v>-0.0019</v>
      </c>
    </row>
    <row r="3093">
      <c r="A3093" t="n">
        <v>59</v>
      </c>
      <c r="B3093" t="n">
        <v>1962</v>
      </c>
      <c r="C3093" t="n">
        <v>-0.0027</v>
      </c>
    </row>
    <row r="3094">
      <c r="A3094" t="n">
        <v>59</v>
      </c>
      <c r="B3094" t="n">
        <v>1963</v>
      </c>
      <c r="C3094" t="n">
        <v>-0.0032</v>
      </c>
    </row>
    <row r="3095">
      <c r="A3095" t="n">
        <v>59</v>
      </c>
      <c r="B3095" t="n">
        <v>1964</v>
      </c>
      <c r="C3095" t="n">
        <v>-0.0032</v>
      </c>
    </row>
    <row r="3096">
      <c r="A3096" t="n">
        <v>59</v>
      </c>
      <c r="B3096" t="n">
        <v>1965</v>
      </c>
      <c r="C3096" t="n">
        <v>-0.0025</v>
      </c>
    </row>
    <row r="3097">
      <c r="A3097" t="n">
        <v>59</v>
      </c>
      <c r="B3097" t="n">
        <v>1966</v>
      </c>
      <c r="C3097" t="n">
        <v>-0.0012</v>
      </c>
    </row>
    <row r="3098">
      <c r="A3098" t="n">
        <v>59</v>
      </c>
      <c r="B3098" t="n">
        <v>1967</v>
      </c>
      <c r="C3098" t="n">
        <v>0.001</v>
      </c>
    </row>
    <row r="3099">
      <c r="A3099" t="n">
        <v>59</v>
      </c>
      <c r="B3099" t="n">
        <v>1968</v>
      </c>
      <c r="C3099" t="n">
        <v>0.0039</v>
      </c>
    </row>
    <row r="3100">
      <c r="A3100" t="n">
        <v>59</v>
      </c>
      <c r="B3100" t="n">
        <v>1969</v>
      </c>
      <c r="C3100" t="n">
        <v>0.0075</v>
      </c>
    </row>
    <row r="3101">
      <c r="A3101" t="n">
        <v>59</v>
      </c>
      <c r="B3101" t="n">
        <v>1970</v>
      </c>
      <c r="C3101" t="n">
        <v>0.0115</v>
      </c>
    </row>
    <row r="3102">
      <c r="A3102" t="n">
        <v>59</v>
      </c>
      <c r="B3102" t="n">
        <v>1971</v>
      </c>
      <c r="C3102" t="n">
        <v>0.0157</v>
      </c>
    </row>
    <row r="3103">
      <c r="A3103" t="n">
        <v>59</v>
      </c>
      <c r="B3103" t="n">
        <v>1972</v>
      </c>
      <c r="C3103" t="n">
        <v>0.0197</v>
      </c>
    </row>
    <row r="3104">
      <c r="A3104" t="n">
        <v>59</v>
      </c>
      <c r="B3104" t="n">
        <v>1973</v>
      </c>
      <c r="C3104" t="n">
        <v>0.0232</v>
      </c>
    </row>
    <row r="3105">
      <c r="A3105" t="n">
        <v>59</v>
      </c>
      <c r="B3105" t="n">
        <v>1974</v>
      </c>
      <c r="C3105" t="n">
        <v>0.0259</v>
      </c>
    </row>
    <row r="3106">
      <c r="A3106" t="n">
        <v>59</v>
      </c>
      <c r="B3106" t="n">
        <v>1975</v>
      </c>
      <c r="C3106" t="n">
        <v>0.0274</v>
      </c>
    </row>
    <row r="3107">
      <c r="A3107" t="n">
        <v>59</v>
      </c>
      <c r="B3107" t="n">
        <v>1976</v>
      </c>
      <c r="C3107" t="n">
        <v>0.0276</v>
      </c>
    </row>
    <row r="3108">
      <c r="A3108" t="n">
        <v>59</v>
      </c>
      <c r="B3108" t="n">
        <v>1977</v>
      </c>
      <c r="C3108" t="n">
        <v>0.0266</v>
      </c>
    </row>
    <row r="3109">
      <c r="A3109" t="n">
        <v>59</v>
      </c>
      <c r="B3109" t="n">
        <v>1978</v>
      </c>
      <c r="C3109" t="n">
        <v>0.0246</v>
      </c>
    </row>
    <row r="3110">
      <c r="A3110" t="n">
        <v>59</v>
      </c>
      <c r="B3110" t="n">
        <v>1979</v>
      </c>
      <c r="C3110" t="n">
        <v>0.0222</v>
      </c>
    </row>
    <row r="3111">
      <c r="A3111" t="n">
        <v>59</v>
      </c>
      <c r="B3111" t="n">
        <v>1980</v>
      </c>
      <c r="C3111" t="n">
        <v>0.0195</v>
      </c>
    </row>
    <row r="3112">
      <c r="A3112" t="n">
        <v>59</v>
      </c>
      <c r="B3112" t="n">
        <v>1981</v>
      </c>
      <c r="C3112" t="n">
        <v>0.0172</v>
      </c>
    </row>
    <row r="3113">
      <c r="A3113" t="n">
        <v>59</v>
      </c>
      <c r="B3113" t="n">
        <v>1982</v>
      </c>
      <c r="C3113" t="n">
        <v>0.0154</v>
      </c>
    </row>
    <row r="3114">
      <c r="A3114" t="n">
        <v>59</v>
      </c>
      <c r="B3114" t="n">
        <v>1983</v>
      </c>
      <c r="C3114" t="n">
        <v>0.0144</v>
      </c>
    </row>
    <row r="3115">
      <c r="A3115" t="n">
        <v>59</v>
      </c>
      <c r="B3115" t="n">
        <v>1984</v>
      </c>
      <c r="C3115" t="n">
        <v>0.0141</v>
      </c>
    </row>
    <row r="3116">
      <c r="A3116" t="n">
        <v>59</v>
      </c>
      <c r="B3116" t="n">
        <v>1985</v>
      </c>
      <c r="C3116" t="n">
        <v>0.0145</v>
      </c>
    </row>
    <row r="3117">
      <c r="A3117" t="n">
        <v>59</v>
      </c>
      <c r="B3117" t="n">
        <v>1986</v>
      </c>
      <c r="C3117" t="n">
        <v>0.0153</v>
      </c>
    </row>
    <row r="3118">
      <c r="A3118" t="n">
        <v>59</v>
      </c>
      <c r="B3118" t="n">
        <v>1987</v>
      </c>
      <c r="C3118" t="n">
        <v>0.0164</v>
      </c>
    </row>
    <row r="3119">
      <c r="A3119" t="n">
        <v>59</v>
      </c>
      <c r="B3119" t="n">
        <v>1988</v>
      </c>
      <c r="C3119" t="n">
        <v>0.0176</v>
      </c>
    </row>
    <row r="3120">
      <c r="A3120" t="n">
        <v>59</v>
      </c>
      <c r="B3120" t="n">
        <v>1989</v>
      </c>
      <c r="C3120" t="n">
        <v>0.0188</v>
      </c>
    </row>
    <row r="3121">
      <c r="A3121" t="n">
        <v>59</v>
      </c>
      <c r="B3121" t="n">
        <v>1990</v>
      </c>
      <c r="C3121" t="n">
        <v>0.0198</v>
      </c>
    </row>
    <row r="3122">
      <c r="A3122" t="n">
        <v>59</v>
      </c>
      <c r="B3122" t="n">
        <v>1991</v>
      </c>
      <c r="C3122" t="n">
        <v>0.0206</v>
      </c>
    </row>
    <row r="3123">
      <c r="A3123" t="n">
        <v>59</v>
      </c>
      <c r="B3123" t="n">
        <v>1992</v>
      </c>
      <c r="C3123" t="n">
        <v>0.0212</v>
      </c>
    </row>
    <row r="3124">
      <c r="A3124" t="n">
        <v>59</v>
      </c>
      <c r="B3124" t="n">
        <v>1993</v>
      </c>
      <c r="C3124" t="n">
        <v>0.0216</v>
      </c>
    </row>
    <row r="3125">
      <c r="A3125" t="n">
        <v>59</v>
      </c>
      <c r="B3125" t="n">
        <v>1994</v>
      </c>
      <c r="C3125" t="n">
        <v>0.0219</v>
      </c>
    </row>
    <row r="3126">
      <c r="A3126" t="n">
        <v>59</v>
      </c>
      <c r="B3126" t="n">
        <v>1995</v>
      </c>
      <c r="C3126" t="n">
        <v>0.0221</v>
      </c>
    </row>
    <row r="3127">
      <c r="A3127" t="n">
        <v>59</v>
      </c>
      <c r="B3127" t="n">
        <v>1996</v>
      </c>
      <c r="C3127" t="n">
        <v>0.0222</v>
      </c>
    </row>
    <row r="3128">
      <c r="A3128" t="n">
        <v>59</v>
      </c>
      <c r="B3128" t="n">
        <v>1997</v>
      </c>
      <c r="C3128" t="n">
        <v>0.022</v>
      </c>
    </row>
    <row r="3129">
      <c r="A3129" t="n">
        <v>59</v>
      </c>
      <c r="B3129" t="n">
        <v>1998</v>
      </c>
      <c r="C3129" t="n">
        <v>0.0215</v>
      </c>
    </row>
    <row r="3130">
      <c r="A3130" t="n">
        <v>59</v>
      </c>
      <c r="B3130" t="n">
        <v>1999</v>
      </c>
      <c r="C3130" t="n">
        <v>0.0208</v>
      </c>
    </row>
    <row r="3131">
      <c r="A3131" t="n">
        <v>59</v>
      </c>
      <c r="B3131" t="n">
        <v>2000</v>
      </c>
      <c r="C3131" t="n">
        <v>0.0199</v>
      </c>
    </row>
    <row r="3132">
      <c r="A3132" t="n">
        <v>59</v>
      </c>
      <c r="B3132" t="n">
        <v>2001</v>
      </c>
      <c r="C3132" t="n">
        <v>0.0188</v>
      </c>
    </row>
    <row r="3133">
      <c r="A3133" t="n">
        <v>59</v>
      </c>
      <c r="B3133" t="n">
        <v>2002</v>
      </c>
      <c r="C3133" t="n">
        <v>0.0177</v>
      </c>
    </row>
    <row r="3134">
      <c r="A3134" t="n">
        <v>59</v>
      </c>
      <c r="B3134" t="n">
        <v>2003</v>
      </c>
      <c r="C3134" t="n">
        <v>0.0165</v>
      </c>
    </row>
    <row r="3135">
      <c r="A3135" t="n">
        <v>59</v>
      </c>
      <c r="B3135" t="n">
        <v>2004</v>
      </c>
      <c r="C3135" t="n">
        <v>0.0151</v>
      </c>
    </row>
    <row r="3136">
      <c r="A3136" t="n">
        <v>59</v>
      </c>
      <c r="B3136" t="n">
        <v>2005</v>
      </c>
      <c r="C3136" t="n">
        <v>0.0135</v>
      </c>
    </row>
    <row r="3137">
      <c r="A3137" t="n">
        <v>59</v>
      </c>
      <c r="B3137" t="n">
        <v>2006</v>
      </c>
      <c r="C3137" t="n">
        <v>0.0116</v>
      </c>
    </row>
    <row r="3138">
      <c r="A3138" t="n">
        <v>59</v>
      </c>
      <c r="B3138" t="n">
        <v>2007</v>
      </c>
      <c r="C3138" t="n">
        <v>0.0095</v>
      </c>
    </row>
    <row r="3139">
      <c r="A3139" t="n">
        <v>59</v>
      </c>
      <c r="B3139" t="n">
        <v>2008</v>
      </c>
      <c r="C3139" t="n">
        <v>0.0073</v>
      </c>
    </row>
    <row r="3140">
      <c r="A3140" t="n">
        <v>59</v>
      </c>
      <c r="B3140" t="n">
        <v>2009</v>
      </c>
      <c r="C3140" t="n">
        <v>0.0049</v>
      </c>
    </row>
    <row r="3141">
      <c r="A3141" t="n">
        <v>59</v>
      </c>
      <c r="B3141" t="n">
        <v>2010</v>
      </c>
      <c r="C3141" t="n">
        <v>0.0022</v>
      </c>
    </row>
    <row r="3142">
      <c r="A3142" t="n">
        <v>59</v>
      </c>
      <c r="B3142" t="n">
        <v>2011</v>
      </c>
      <c r="C3142" t="n">
        <v>-0.0008</v>
      </c>
    </row>
    <row r="3143">
      <c r="A3143" t="n">
        <v>59</v>
      </c>
      <c r="B3143" t="n">
        <v>2012</v>
      </c>
      <c r="C3143" t="n">
        <v>-0.0041</v>
      </c>
    </row>
    <row r="3144">
      <c r="A3144" t="n">
        <v>59</v>
      </c>
      <c r="B3144" t="n">
        <v>2013</v>
      </c>
      <c r="C3144" t="n">
        <v>-0.0035</v>
      </c>
    </row>
    <row r="3145">
      <c r="A3145" t="n">
        <v>59</v>
      </c>
      <c r="B3145" t="n">
        <v>2014</v>
      </c>
      <c r="C3145" t="n">
        <v>-0.0021</v>
      </c>
    </row>
    <row r="3146">
      <c r="A3146" t="n">
        <v>59</v>
      </c>
      <c r="B3146" t="n">
        <v>2015</v>
      </c>
      <c r="C3146" t="n">
        <v>-0.0003</v>
      </c>
    </row>
    <row r="3147">
      <c r="A3147" t="n">
        <v>59</v>
      </c>
      <c r="B3147" t="n">
        <v>2016</v>
      </c>
      <c r="C3147" t="n">
        <v>0.0019</v>
      </c>
    </row>
    <row r="3148">
      <c r="A3148" t="n">
        <v>59</v>
      </c>
      <c r="B3148" t="n">
        <v>2017</v>
      </c>
      <c r="C3148" t="n">
        <v>0.0042</v>
      </c>
    </row>
    <row r="3149">
      <c r="A3149" t="n">
        <v>59</v>
      </c>
      <c r="B3149" t="n">
        <v>2018</v>
      </c>
      <c r="C3149" t="n">
        <v>0.0064</v>
      </c>
    </row>
    <row r="3150">
      <c r="A3150" t="n">
        <v>59</v>
      </c>
      <c r="B3150" t="n">
        <v>2019</v>
      </c>
      <c r="C3150" t="n">
        <v>0.008399999999999999</v>
      </c>
    </row>
    <row r="3151">
      <c r="A3151" t="n">
        <v>59</v>
      </c>
      <c r="B3151" t="n">
        <v>2020</v>
      </c>
      <c r="C3151" t="n">
        <v>0.0101</v>
      </c>
    </row>
    <row r="3152">
      <c r="A3152" t="n">
        <v>59</v>
      </c>
      <c r="B3152" t="n">
        <v>2021</v>
      </c>
      <c r="C3152" t="n">
        <v>0.0112</v>
      </c>
    </row>
    <row r="3153">
      <c r="A3153" t="n">
        <v>59</v>
      </c>
      <c r="B3153" t="n">
        <v>2022</v>
      </c>
      <c r="C3153" t="n">
        <v>0.0117</v>
      </c>
    </row>
    <row r="3154">
      <c r="A3154" t="n">
        <v>59</v>
      </c>
      <c r="B3154" t="n">
        <v>2023</v>
      </c>
      <c r="C3154" t="n">
        <v>0.0118</v>
      </c>
    </row>
    <row r="3155">
      <c r="A3155" t="n">
        <v>59</v>
      </c>
      <c r="B3155" t="n">
        <v>2024</v>
      </c>
      <c r="C3155" t="n">
        <v>0.0117</v>
      </c>
    </row>
    <row r="3156">
      <c r="A3156" t="n">
        <v>59</v>
      </c>
      <c r="B3156" t="n">
        <v>2025</v>
      </c>
      <c r="C3156" t="n">
        <v>0.0114</v>
      </c>
    </row>
    <row r="3157">
      <c r="A3157" t="n">
        <v>59</v>
      </c>
      <c r="B3157" t="n">
        <v>2026</v>
      </c>
      <c r="C3157" t="n">
        <v>0.011</v>
      </c>
    </row>
    <row r="3158">
      <c r="A3158" t="n">
        <v>59</v>
      </c>
      <c r="B3158" t="n">
        <v>2027</v>
      </c>
      <c r="C3158" t="n">
        <v>0.0107</v>
      </c>
    </row>
    <row r="3159">
      <c r="A3159" t="n">
        <v>59</v>
      </c>
      <c r="B3159" t="n">
        <v>2028</v>
      </c>
      <c r="C3159" t="n">
        <v>0.0104</v>
      </c>
    </row>
    <row r="3160">
      <c r="A3160" t="n">
        <v>59</v>
      </c>
      <c r="B3160" t="n">
        <v>2029</v>
      </c>
      <c r="C3160" t="n">
        <v>0.0101</v>
      </c>
    </row>
    <row r="3161">
      <c r="A3161" t="n">
        <v>59</v>
      </c>
      <c r="B3161" t="n">
        <v>2030</v>
      </c>
      <c r="C3161" t="n">
        <v>0.01</v>
      </c>
    </row>
    <row r="3162">
      <c r="A3162" t="n">
        <v>59</v>
      </c>
      <c r="B3162" t="n">
        <v>2031</v>
      </c>
      <c r="C3162" t="n">
        <v>0.01</v>
      </c>
    </row>
    <row r="3163">
      <c r="A3163" t="n">
        <v>60</v>
      </c>
      <c r="B3163" t="n">
        <v>1951</v>
      </c>
      <c r="C3163" t="n">
        <v>0.013</v>
      </c>
    </row>
    <row r="3164">
      <c r="A3164" t="n">
        <v>60</v>
      </c>
      <c r="B3164" t="n">
        <v>1952</v>
      </c>
      <c r="C3164" t="n">
        <v>0.0112</v>
      </c>
    </row>
    <row r="3165">
      <c r="A3165" t="n">
        <v>60</v>
      </c>
      <c r="B3165" t="n">
        <v>1953</v>
      </c>
      <c r="C3165" t="n">
        <v>0.0094</v>
      </c>
    </row>
    <row r="3166">
      <c r="A3166" t="n">
        <v>60</v>
      </c>
      <c r="B3166" t="n">
        <v>1954</v>
      </c>
      <c r="C3166" t="n">
        <v>0.0075</v>
      </c>
    </row>
    <row r="3167">
      <c r="A3167" t="n">
        <v>60</v>
      </c>
      <c r="B3167" t="n">
        <v>1955</v>
      </c>
      <c r="C3167" t="n">
        <v>0.0054</v>
      </c>
    </row>
    <row r="3168">
      <c r="A3168" t="n">
        <v>60</v>
      </c>
      <c r="B3168" t="n">
        <v>1956</v>
      </c>
      <c r="C3168" t="n">
        <v>0.0035</v>
      </c>
    </row>
    <row r="3169">
      <c r="A3169" t="n">
        <v>60</v>
      </c>
      <c r="B3169" t="n">
        <v>1957</v>
      </c>
      <c r="C3169" t="n">
        <v>0.0018</v>
      </c>
    </row>
    <row r="3170">
      <c r="A3170" t="n">
        <v>60</v>
      </c>
      <c r="B3170" t="n">
        <v>1958</v>
      </c>
      <c r="C3170" t="n">
        <v>0.0005</v>
      </c>
    </row>
    <row r="3171">
      <c r="A3171" t="n">
        <v>60</v>
      </c>
      <c r="B3171" t="n">
        <v>1959</v>
      </c>
      <c r="C3171" t="n">
        <v>-0.0007</v>
      </c>
    </row>
    <row r="3172">
      <c r="A3172" t="n">
        <v>60</v>
      </c>
      <c r="B3172" t="n">
        <v>1960</v>
      </c>
      <c r="C3172" t="n">
        <v>-0.0017</v>
      </c>
    </row>
    <row r="3173">
      <c r="A3173" t="n">
        <v>60</v>
      </c>
      <c r="B3173" t="n">
        <v>1961</v>
      </c>
      <c r="C3173" t="n">
        <v>-0.0026</v>
      </c>
    </row>
    <row r="3174">
      <c r="A3174" t="n">
        <v>60</v>
      </c>
      <c r="B3174" t="n">
        <v>1962</v>
      </c>
      <c r="C3174" t="n">
        <v>-0.0032</v>
      </c>
    </row>
    <row r="3175">
      <c r="A3175" t="n">
        <v>60</v>
      </c>
      <c r="B3175" t="n">
        <v>1963</v>
      </c>
      <c r="C3175" t="n">
        <v>-0.0035</v>
      </c>
    </row>
    <row r="3176">
      <c r="A3176" t="n">
        <v>60</v>
      </c>
      <c r="B3176" t="n">
        <v>1964</v>
      </c>
      <c r="C3176" t="n">
        <v>-0.0033</v>
      </c>
    </row>
    <row r="3177">
      <c r="A3177" t="n">
        <v>60</v>
      </c>
      <c r="B3177" t="n">
        <v>1965</v>
      </c>
      <c r="C3177" t="n">
        <v>-0.0024</v>
      </c>
    </row>
    <row r="3178">
      <c r="A3178" t="n">
        <v>60</v>
      </c>
      <c r="B3178" t="n">
        <v>1966</v>
      </c>
      <c r="C3178" t="n">
        <v>-0.0009</v>
      </c>
    </row>
    <row r="3179">
      <c r="A3179" t="n">
        <v>60</v>
      </c>
      <c r="B3179" t="n">
        <v>1967</v>
      </c>
      <c r="C3179" t="n">
        <v>0.0014</v>
      </c>
    </row>
    <row r="3180">
      <c r="A3180" t="n">
        <v>60</v>
      </c>
      <c r="B3180" t="n">
        <v>1968</v>
      </c>
      <c r="C3180" t="n">
        <v>0.0043</v>
      </c>
    </row>
    <row r="3181">
      <c r="A3181" t="n">
        <v>60</v>
      </c>
      <c r="B3181" t="n">
        <v>1969</v>
      </c>
      <c r="C3181" t="n">
        <v>0.0078</v>
      </c>
    </row>
    <row r="3182">
      <c r="A3182" t="n">
        <v>60</v>
      </c>
      <c r="B3182" t="n">
        <v>1970</v>
      </c>
      <c r="C3182" t="n">
        <v>0.0116</v>
      </c>
    </row>
    <row r="3183">
      <c r="A3183" t="n">
        <v>60</v>
      </c>
      <c r="B3183" t="n">
        <v>1971</v>
      </c>
      <c r="C3183" t="n">
        <v>0.0155</v>
      </c>
    </row>
    <row r="3184">
      <c r="A3184" t="n">
        <v>60</v>
      </c>
      <c r="B3184" t="n">
        <v>1972</v>
      </c>
      <c r="C3184" t="n">
        <v>0.0192</v>
      </c>
    </row>
    <row r="3185">
      <c r="A3185" t="n">
        <v>60</v>
      </c>
      <c r="B3185" t="n">
        <v>1973</v>
      </c>
      <c r="C3185" t="n">
        <v>0.0226</v>
      </c>
    </row>
    <row r="3186">
      <c r="A3186" t="n">
        <v>60</v>
      </c>
      <c r="B3186" t="n">
        <v>1974</v>
      </c>
      <c r="C3186" t="n">
        <v>0.0251</v>
      </c>
    </row>
    <row r="3187">
      <c r="A3187" t="n">
        <v>60</v>
      </c>
      <c r="B3187" t="n">
        <v>1975</v>
      </c>
      <c r="C3187" t="n">
        <v>0.0266</v>
      </c>
    </row>
    <row r="3188">
      <c r="A3188" t="n">
        <v>60</v>
      </c>
      <c r="B3188" t="n">
        <v>1976</v>
      </c>
      <c r="C3188" t="n">
        <v>0.0269</v>
      </c>
    </row>
    <row r="3189">
      <c r="A3189" t="n">
        <v>60</v>
      </c>
      <c r="B3189" t="n">
        <v>1977</v>
      </c>
      <c r="C3189" t="n">
        <v>0.0261</v>
      </c>
    </row>
    <row r="3190">
      <c r="A3190" t="n">
        <v>60</v>
      </c>
      <c r="B3190" t="n">
        <v>1978</v>
      </c>
      <c r="C3190" t="n">
        <v>0.0244</v>
      </c>
    </row>
    <row r="3191">
      <c r="A3191" t="n">
        <v>60</v>
      </c>
      <c r="B3191" t="n">
        <v>1979</v>
      </c>
      <c r="C3191" t="n">
        <v>0.0222</v>
      </c>
    </row>
    <row r="3192">
      <c r="A3192" t="n">
        <v>60</v>
      </c>
      <c r="B3192" t="n">
        <v>1980</v>
      </c>
      <c r="C3192" t="n">
        <v>0.0197</v>
      </c>
    </row>
    <row r="3193">
      <c r="A3193" t="n">
        <v>60</v>
      </c>
      <c r="B3193" t="n">
        <v>1981</v>
      </c>
      <c r="C3193" t="n">
        <v>0.0174</v>
      </c>
    </row>
    <row r="3194">
      <c r="A3194" t="n">
        <v>60</v>
      </c>
      <c r="B3194" t="n">
        <v>1982</v>
      </c>
      <c r="C3194" t="n">
        <v>0.0154</v>
      </c>
    </row>
    <row r="3195">
      <c r="A3195" t="n">
        <v>60</v>
      </c>
      <c r="B3195" t="n">
        <v>1983</v>
      </c>
      <c r="C3195" t="n">
        <v>0.0142</v>
      </c>
    </row>
    <row r="3196">
      <c r="A3196" t="n">
        <v>60</v>
      </c>
      <c r="B3196" t="n">
        <v>1984</v>
      </c>
      <c r="C3196" t="n">
        <v>0.0137</v>
      </c>
    </row>
    <row r="3197">
      <c r="A3197" t="n">
        <v>60</v>
      </c>
      <c r="B3197" t="n">
        <v>1985</v>
      </c>
      <c r="C3197" t="n">
        <v>0.014</v>
      </c>
    </row>
    <row r="3198">
      <c r="A3198" t="n">
        <v>60</v>
      </c>
      <c r="B3198" t="n">
        <v>1986</v>
      </c>
      <c r="C3198" t="n">
        <v>0.0148</v>
      </c>
    </row>
    <row r="3199">
      <c r="A3199" t="n">
        <v>60</v>
      </c>
      <c r="B3199" t="n">
        <v>1987</v>
      </c>
      <c r="C3199" t="n">
        <v>0.0159</v>
      </c>
    </row>
    <row r="3200">
      <c r="A3200" t="n">
        <v>60</v>
      </c>
      <c r="B3200" t="n">
        <v>1988</v>
      </c>
      <c r="C3200" t="n">
        <v>0.0172</v>
      </c>
    </row>
    <row r="3201">
      <c r="A3201" t="n">
        <v>60</v>
      </c>
      <c r="B3201" t="n">
        <v>1989</v>
      </c>
      <c r="C3201" t="n">
        <v>0.0184</v>
      </c>
    </row>
    <row r="3202">
      <c r="A3202" t="n">
        <v>60</v>
      </c>
      <c r="B3202" t="n">
        <v>1990</v>
      </c>
      <c r="C3202" t="n">
        <v>0.0194</v>
      </c>
    </row>
    <row r="3203">
      <c r="A3203" t="n">
        <v>60</v>
      </c>
      <c r="B3203" t="n">
        <v>1991</v>
      </c>
      <c r="C3203" t="n">
        <v>0.0201</v>
      </c>
    </row>
    <row r="3204">
      <c r="A3204" t="n">
        <v>60</v>
      </c>
      <c r="B3204" t="n">
        <v>1992</v>
      </c>
      <c r="C3204" t="n">
        <v>0.0205</v>
      </c>
    </row>
    <row r="3205">
      <c r="A3205" t="n">
        <v>60</v>
      </c>
      <c r="B3205" t="n">
        <v>1993</v>
      </c>
      <c r="C3205" t="n">
        <v>0.0208</v>
      </c>
    </row>
    <row r="3206">
      <c r="A3206" t="n">
        <v>60</v>
      </c>
      <c r="B3206" t="n">
        <v>1994</v>
      </c>
      <c r="C3206" t="n">
        <v>0.0212</v>
      </c>
    </row>
    <row r="3207">
      <c r="A3207" t="n">
        <v>60</v>
      </c>
      <c r="B3207" t="n">
        <v>1995</v>
      </c>
      <c r="C3207" t="n">
        <v>0.0215</v>
      </c>
    </row>
    <row r="3208">
      <c r="A3208" t="n">
        <v>60</v>
      </c>
      <c r="B3208" t="n">
        <v>1996</v>
      </c>
      <c r="C3208" t="n">
        <v>0.0219</v>
      </c>
    </row>
    <row r="3209">
      <c r="A3209" t="n">
        <v>60</v>
      </c>
      <c r="B3209" t="n">
        <v>1997</v>
      </c>
      <c r="C3209" t="n">
        <v>0.0221</v>
      </c>
    </row>
    <row r="3210">
      <c r="A3210" t="n">
        <v>60</v>
      </c>
      <c r="B3210" t="n">
        <v>1998</v>
      </c>
      <c r="C3210" t="n">
        <v>0.0221</v>
      </c>
    </row>
    <row r="3211">
      <c r="A3211" t="n">
        <v>60</v>
      </c>
      <c r="B3211" t="n">
        <v>1999</v>
      </c>
      <c r="C3211" t="n">
        <v>0.0218</v>
      </c>
    </row>
    <row r="3212">
      <c r="A3212" t="n">
        <v>60</v>
      </c>
      <c r="B3212" t="n">
        <v>2000</v>
      </c>
      <c r="C3212" t="n">
        <v>0.0213</v>
      </c>
    </row>
    <row r="3213">
      <c r="A3213" t="n">
        <v>60</v>
      </c>
      <c r="B3213" t="n">
        <v>2001</v>
      </c>
      <c r="C3213" t="n">
        <v>0.0206</v>
      </c>
    </row>
    <row r="3214">
      <c r="A3214" t="n">
        <v>60</v>
      </c>
      <c r="B3214" t="n">
        <v>2002</v>
      </c>
      <c r="C3214" t="n">
        <v>0.0198</v>
      </c>
    </row>
    <row r="3215">
      <c r="A3215" t="n">
        <v>60</v>
      </c>
      <c r="B3215" t="n">
        <v>2003</v>
      </c>
      <c r="C3215" t="n">
        <v>0.0188</v>
      </c>
    </row>
    <row r="3216">
      <c r="A3216" t="n">
        <v>60</v>
      </c>
      <c r="B3216" t="n">
        <v>2004</v>
      </c>
      <c r="C3216" t="n">
        <v>0.0176</v>
      </c>
    </row>
    <row r="3217">
      <c r="A3217" t="n">
        <v>60</v>
      </c>
      <c r="B3217" t="n">
        <v>2005</v>
      </c>
      <c r="C3217" t="n">
        <v>0.0161</v>
      </c>
    </row>
    <row r="3218">
      <c r="A3218" t="n">
        <v>60</v>
      </c>
      <c r="B3218" t="n">
        <v>2006</v>
      </c>
      <c r="C3218" t="n">
        <v>0.0143</v>
      </c>
    </row>
    <row r="3219">
      <c r="A3219" t="n">
        <v>60</v>
      </c>
      <c r="B3219" t="n">
        <v>2007</v>
      </c>
      <c r="C3219" t="n">
        <v>0.0121</v>
      </c>
    </row>
    <row r="3220">
      <c r="A3220" t="n">
        <v>60</v>
      </c>
      <c r="B3220" t="n">
        <v>2008</v>
      </c>
      <c r="C3220" t="n">
        <v>0.009599999999999999</v>
      </c>
    </row>
    <row r="3221">
      <c r="A3221" t="n">
        <v>60</v>
      </c>
      <c r="B3221" t="n">
        <v>2009</v>
      </c>
      <c r="C3221" t="n">
        <v>0.0067</v>
      </c>
    </row>
    <row r="3222">
      <c r="A3222" t="n">
        <v>60</v>
      </c>
      <c r="B3222" t="n">
        <v>2010</v>
      </c>
      <c r="C3222" t="n">
        <v>0.0034</v>
      </c>
    </row>
    <row r="3223">
      <c r="A3223" t="n">
        <v>60</v>
      </c>
      <c r="B3223" t="n">
        <v>2011</v>
      </c>
      <c r="C3223" t="n">
        <v>-0.0003</v>
      </c>
    </row>
    <row r="3224">
      <c r="A3224" t="n">
        <v>60</v>
      </c>
      <c r="B3224" t="n">
        <v>2012</v>
      </c>
      <c r="C3224" t="n">
        <v>-0.0043</v>
      </c>
    </row>
    <row r="3225">
      <c r="A3225" t="n">
        <v>60</v>
      </c>
      <c r="B3225" t="n">
        <v>2013</v>
      </c>
      <c r="C3225" t="n">
        <v>-0.004</v>
      </c>
    </row>
    <row r="3226">
      <c r="A3226" t="n">
        <v>60</v>
      </c>
      <c r="B3226" t="n">
        <v>2014</v>
      </c>
      <c r="C3226" t="n">
        <v>-0.0029</v>
      </c>
    </row>
    <row r="3227">
      <c r="A3227" t="n">
        <v>60</v>
      </c>
      <c r="B3227" t="n">
        <v>2015</v>
      </c>
      <c r="C3227" t="n">
        <v>-0.0012</v>
      </c>
    </row>
    <row r="3228">
      <c r="A3228" t="n">
        <v>60</v>
      </c>
      <c r="B3228" t="n">
        <v>2016</v>
      </c>
      <c r="C3228" t="n">
        <v>0.0009</v>
      </c>
    </row>
    <row r="3229">
      <c r="A3229" t="n">
        <v>60</v>
      </c>
      <c r="B3229" t="n">
        <v>2017</v>
      </c>
      <c r="C3229" t="n">
        <v>0.0031</v>
      </c>
    </row>
    <row r="3230">
      <c r="A3230" t="n">
        <v>60</v>
      </c>
      <c r="B3230" t="n">
        <v>2018</v>
      </c>
      <c r="C3230" t="n">
        <v>0.0054</v>
      </c>
    </row>
    <row r="3231">
      <c r="A3231" t="n">
        <v>60</v>
      </c>
      <c r="B3231" t="n">
        <v>2019</v>
      </c>
      <c r="C3231" t="n">
        <v>0.0075</v>
      </c>
    </row>
    <row r="3232">
      <c r="A3232" t="n">
        <v>60</v>
      </c>
      <c r="B3232" t="n">
        <v>2020</v>
      </c>
      <c r="C3232" t="n">
        <v>0.0092</v>
      </c>
    </row>
    <row r="3233">
      <c r="A3233" t="n">
        <v>60</v>
      </c>
      <c r="B3233" t="n">
        <v>2021</v>
      </c>
      <c r="C3233" t="n">
        <v>0.0105</v>
      </c>
    </row>
    <row r="3234">
      <c r="A3234" t="n">
        <v>60</v>
      </c>
      <c r="B3234" t="n">
        <v>2022</v>
      </c>
      <c r="C3234" t="n">
        <v>0.0112</v>
      </c>
    </row>
    <row r="3235">
      <c r="A3235" t="n">
        <v>60</v>
      </c>
      <c r="B3235" t="n">
        <v>2023</v>
      </c>
      <c r="C3235" t="n">
        <v>0.0115</v>
      </c>
    </row>
    <row r="3236">
      <c r="A3236" t="n">
        <v>60</v>
      </c>
      <c r="B3236" t="n">
        <v>2024</v>
      </c>
      <c r="C3236" t="n">
        <v>0.0115</v>
      </c>
    </row>
    <row r="3237">
      <c r="A3237" t="n">
        <v>60</v>
      </c>
      <c r="B3237" t="n">
        <v>2025</v>
      </c>
      <c r="C3237" t="n">
        <v>0.0113</v>
      </c>
    </row>
    <row r="3238">
      <c r="A3238" t="n">
        <v>60</v>
      </c>
      <c r="B3238" t="n">
        <v>2026</v>
      </c>
      <c r="C3238" t="n">
        <v>0.0111</v>
      </c>
    </row>
    <row r="3239">
      <c r="A3239" t="n">
        <v>60</v>
      </c>
      <c r="B3239" t="n">
        <v>2027</v>
      </c>
      <c r="C3239" t="n">
        <v>0.0108</v>
      </c>
    </row>
    <row r="3240">
      <c r="A3240" t="n">
        <v>60</v>
      </c>
      <c r="B3240" t="n">
        <v>2028</v>
      </c>
      <c r="C3240" t="n">
        <v>0.0105</v>
      </c>
    </row>
    <row r="3241">
      <c r="A3241" t="n">
        <v>60</v>
      </c>
      <c r="B3241" t="n">
        <v>2029</v>
      </c>
      <c r="C3241" t="n">
        <v>0.0102</v>
      </c>
    </row>
    <row r="3242">
      <c r="A3242" t="n">
        <v>60</v>
      </c>
      <c r="B3242" t="n">
        <v>2030</v>
      </c>
      <c r="C3242" t="n">
        <v>0.0101</v>
      </c>
    </row>
    <row r="3243">
      <c r="A3243" t="n">
        <v>60</v>
      </c>
      <c r="B3243" t="n">
        <v>2031</v>
      </c>
      <c r="C3243" t="n">
        <v>0.01</v>
      </c>
    </row>
    <row r="3244">
      <c r="A3244" t="n">
        <v>61</v>
      </c>
      <c r="B3244" t="n">
        <v>1951</v>
      </c>
      <c r="C3244" t="n">
        <v>0.012</v>
      </c>
    </row>
    <row r="3245">
      <c r="A3245" t="n">
        <v>61</v>
      </c>
      <c r="B3245" t="n">
        <v>1952</v>
      </c>
      <c r="C3245" t="n">
        <v>0.0101</v>
      </c>
    </row>
    <row r="3246">
      <c r="A3246" t="n">
        <v>61</v>
      </c>
      <c r="B3246" t="n">
        <v>1953</v>
      </c>
      <c r="C3246" t="n">
        <v>0.0083</v>
      </c>
    </row>
    <row r="3247">
      <c r="A3247" t="n">
        <v>61</v>
      </c>
      <c r="B3247" t="n">
        <v>1954</v>
      </c>
      <c r="C3247" t="n">
        <v>0.0064</v>
      </c>
    </row>
    <row r="3248">
      <c r="A3248" t="n">
        <v>61</v>
      </c>
      <c r="B3248" t="n">
        <v>1955</v>
      </c>
      <c r="C3248" t="n">
        <v>0.0044</v>
      </c>
    </row>
    <row r="3249">
      <c r="A3249" t="n">
        <v>61</v>
      </c>
      <c r="B3249" t="n">
        <v>1956</v>
      </c>
      <c r="C3249" t="n">
        <v>0.0025</v>
      </c>
    </row>
    <row r="3250">
      <c r="A3250" t="n">
        <v>61</v>
      </c>
      <c r="B3250" t="n">
        <v>1957</v>
      </c>
      <c r="C3250" t="n">
        <v>0.0008</v>
      </c>
    </row>
    <row r="3251">
      <c r="A3251" t="n">
        <v>61</v>
      </c>
      <c r="B3251" t="n">
        <v>1958</v>
      </c>
      <c r="C3251" t="n">
        <v>-0.0005</v>
      </c>
    </row>
    <row r="3252">
      <c r="A3252" t="n">
        <v>61</v>
      </c>
      <c r="B3252" t="n">
        <v>1959</v>
      </c>
      <c r="C3252" t="n">
        <v>-0.0016</v>
      </c>
    </row>
    <row r="3253">
      <c r="A3253" t="n">
        <v>61</v>
      </c>
      <c r="B3253" t="n">
        <v>1960</v>
      </c>
      <c r="C3253" t="n">
        <v>-0.0025</v>
      </c>
    </row>
    <row r="3254">
      <c r="A3254" t="n">
        <v>61</v>
      </c>
      <c r="B3254" t="n">
        <v>1961</v>
      </c>
      <c r="C3254" t="n">
        <v>-0.0032</v>
      </c>
    </row>
    <row r="3255">
      <c r="A3255" t="n">
        <v>61</v>
      </c>
      <c r="B3255" t="n">
        <v>1962</v>
      </c>
      <c r="C3255" t="n">
        <v>-0.0037</v>
      </c>
    </row>
    <row r="3256">
      <c r="A3256" t="n">
        <v>61</v>
      </c>
      <c r="B3256" t="n">
        <v>1963</v>
      </c>
      <c r="C3256" t="n">
        <v>-0.0037</v>
      </c>
    </row>
    <row r="3257">
      <c r="A3257" t="n">
        <v>61</v>
      </c>
      <c r="B3257" t="n">
        <v>1964</v>
      </c>
      <c r="C3257" t="n">
        <v>-0.0032</v>
      </c>
    </row>
    <row r="3258">
      <c r="A3258" t="n">
        <v>61</v>
      </c>
      <c r="B3258" t="n">
        <v>1965</v>
      </c>
      <c r="C3258" t="n">
        <v>-0.0021</v>
      </c>
    </row>
    <row r="3259">
      <c r="A3259" t="n">
        <v>61</v>
      </c>
      <c r="B3259" t="n">
        <v>1966</v>
      </c>
      <c r="C3259" t="n">
        <v>-0.0004</v>
      </c>
    </row>
    <row r="3260">
      <c r="A3260" t="n">
        <v>61</v>
      </c>
      <c r="B3260" t="n">
        <v>1967</v>
      </c>
      <c r="C3260" t="n">
        <v>0.0019</v>
      </c>
    </row>
    <row r="3261">
      <c r="A3261" t="n">
        <v>61</v>
      </c>
      <c r="B3261" t="n">
        <v>1968</v>
      </c>
      <c r="C3261" t="n">
        <v>0.0047</v>
      </c>
    </row>
    <row r="3262">
      <c r="A3262" t="n">
        <v>61</v>
      </c>
      <c r="B3262" t="n">
        <v>1969</v>
      </c>
      <c r="C3262" t="n">
        <v>0.008</v>
      </c>
    </row>
    <row r="3263">
      <c r="A3263" t="n">
        <v>61</v>
      </c>
      <c r="B3263" t="n">
        <v>1970</v>
      </c>
      <c r="C3263" t="n">
        <v>0.0116</v>
      </c>
    </row>
    <row r="3264">
      <c r="A3264" t="n">
        <v>61</v>
      </c>
      <c r="B3264" t="n">
        <v>1971</v>
      </c>
      <c r="C3264" t="n">
        <v>0.0152</v>
      </c>
    </row>
    <row r="3265">
      <c r="A3265" t="n">
        <v>61</v>
      </c>
      <c r="B3265" t="n">
        <v>1972</v>
      </c>
      <c r="C3265" t="n">
        <v>0.0186</v>
      </c>
    </row>
    <row r="3266">
      <c r="A3266" t="n">
        <v>61</v>
      </c>
      <c r="B3266" t="n">
        <v>1973</v>
      </c>
      <c r="C3266" t="n">
        <v>0.0217</v>
      </c>
    </row>
    <row r="3267">
      <c r="A3267" t="n">
        <v>61</v>
      </c>
      <c r="B3267" t="n">
        <v>1974</v>
      </c>
      <c r="C3267" t="n">
        <v>0.0241</v>
      </c>
    </row>
    <row r="3268">
      <c r="A3268" t="n">
        <v>61</v>
      </c>
      <c r="B3268" t="n">
        <v>1975</v>
      </c>
      <c r="C3268" t="n">
        <v>0.0256</v>
      </c>
    </row>
    <row r="3269">
      <c r="A3269" t="n">
        <v>61</v>
      </c>
      <c r="B3269" t="n">
        <v>1976</v>
      </c>
      <c r="C3269" t="n">
        <v>0.026</v>
      </c>
    </row>
    <row r="3270">
      <c r="A3270" t="n">
        <v>61</v>
      </c>
      <c r="B3270" t="n">
        <v>1977</v>
      </c>
      <c r="C3270" t="n">
        <v>0.0254</v>
      </c>
    </row>
    <row r="3271">
      <c r="A3271" t="n">
        <v>61</v>
      </c>
      <c r="B3271" t="n">
        <v>1978</v>
      </c>
      <c r="C3271" t="n">
        <v>0.0241</v>
      </c>
    </row>
    <row r="3272">
      <c r="A3272" t="n">
        <v>61</v>
      </c>
      <c r="B3272" t="n">
        <v>1979</v>
      </c>
      <c r="C3272" t="n">
        <v>0.0221</v>
      </c>
    </row>
    <row r="3273">
      <c r="A3273" t="n">
        <v>61</v>
      </c>
      <c r="B3273" t="n">
        <v>1980</v>
      </c>
      <c r="C3273" t="n">
        <v>0.0198</v>
      </c>
    </row>
    <row r="3274">
      <c r="A3274" t="n">
        <v>61</v>
      </c>
      <c r="B3274" t="n">
        <v>1981</v>
      </c>
      <c r="C3274" t="n">
        <v>0.0176</v>
      </c>
    </row>
    <row r="3275">
      <c r="A3275" t="n">
        <v>61</v>
      </c>
      <c r="B3275" t="n">
        <v>1982</v>
      </c>
      <c r="C3275" t="n">
        <v>0.0156</v>
      </c>
    </row>
    <row r="3276">
      <c r="A3276" t="n">
        <v>61</v>
      </c>
      <c r="B3276" t="n">
        <v>1983</v>
      </c>
      <c r="C3276" t="n">
        <v>0.0142</v>
      </c>
    </row>
    <row r="3277">
      <c r="A3277" t="n">
        <v>61</v>
      </c>
      <c r="B3277" t="n">
        <v>1984</v>
      </c>
      <c r="C3277" t="n">
        <v>0.0136</v>
      </c>
    </row>
    <row r="3278">
      <c r="A3278" t="n">
        <v>61</v>
      </c>
      <c r="B3278" t="n">
        <v>1985</v>
      </c>
      <c r="C3278" t="n">
        <v>0.0137</v>
      </c>
    </row>
    <row r="3279">
      <c r="A3279" t="n">
        <v>61</v>
      </c>
      <c r="B3279" t="n">
        <v>1986</v>
      </c>
      <c r="C3279" t="n">
        <v>0.0145</v>
      </c>
    </row>
    <row r="3280">
      <c r="A3280" t="n">
        <v>61</v>
      </c>
      <c r="B3280" t="n">
        <v>1987</v>
      </c>
      <c r="C3280" t="n">
        <v>0.0156</v>
      </c>
    </row>
    <row r="3281">
      <c r="A3281" t="n">
        <v>61</v>
      </c>
      <c r="B3281" t="n">
        <v>1988</v>
      </c>
      <c r="C3281" t="n">
        <v>0.0169</v>
      </c>
    </row>
    <row r="3282">
      <c r="A3282" t="n">
        <v>61</v>
      </c>
      <c r="B3282" t="n">
        <v>1989</v>
      </c>
      <c r="C3282" t="n">
        <v>0.018</v>
      </c>
    </row>
    <row r="3283">
      <c r="A3283" t="n">
        <v>61</v>
      </c>
      <c r="B3283" t="n">
        <v>1990</v>
      </c>
      <c r="C3283" t="n">
        <v>0.0189</v>
      </c>
    </row>
    <row r="3284">
      <c r="A3284" t="n">
        <v>61</v>
      </c>
      <c r="B3284" t="n">
        <v>1991</v>
      </c>
      <c r="C3284" t="n">
        <v>0.0194</v>
      </c>
    </row>
    <row r="3285">
      <c r="A3285" t="n">
        <v>61</v>
      </c>
      <c r="B3285" t="n">
        <v>1992</v>
      </c>
      <c r="C3285" t="n">
        <v>0.0197</v>
      </c>
    </row>
    <row r="3286">
      <c r="A3286" t="n">
        <v>61</v>
      </c>
      <c r="B3286" t="n">
        <v>1993</v>
      </c>
      <c r="C3286" t="n">
        <v>0.0199</v>
      </c>
    </row>
    <row r="3287">
      <c r="A3287" t="n">
        <v>61</v>
      </c>
      <c r="B3287" t="n">
        <v>1994</v>
      </c>
      <c r="C3287" t="n">
        <v>0.0203</v>
      </c>
    </row>
    <row r="3288">
      <c r="A3288" t="n">
        <v>61</v>
      </c>
      <c r="B3288" t="n">
        <v>1995</v>
      </c>
      <c r="C3288" t="n">
        <v>0.0208</v>
      </c>
    </row>
    <row r="3289">
      <c r="A3289" t="n">
        <v>61</v>
      </c>
      <c r="B3289" t="n">
        <v>1996</v>
      </c>
      <c r="C3289" t="n">
        <v>0.0215</v>
      </c>
    </row>
    <row r="3290">
      <c r="A3290" t="n">
        <v>61</v>
      </c>
      <c r="B3290" t="n">
        <v>1997</v>
      </c>
      <c r="C3290" t="n">
        <v>0.0221</v>
      </c>
    </row>
    <row r="3291">
      <c r="A3291" t="n">
        <v>61</v>
      </c>
      <c r="B3291" t="n">
        <v>1998</v>
      </c>
      <c r="C3291" t="n">
        <v>0.0225</v>
      </c>
    </row>
    <row r="3292">
      <c r="A3292" t="n">
        <v>61</v>
      </c>
      <c r="B3292" t="n">
        <v>1999</v>
      </c>
      <c r="C3292" t="n">
        <v>0.0226</v>
      </c>
    </row>
    <row r="3293">
      <c r="A3293" t="n">
        <v>61</v>
      </c>
      <c r="B3293" t="n">
        <v>2000</v>
      </c>
      <c r="C3293" t="n">
        <v>0.0224</v>
      </c>
    </row>
    <row r="3294">
      <c r="A3294" t="n">
        <v>61</v>
      </c>
      <c r="B3294" t="n">
        <v>2001</v>
      </c>
      <c r="C3294" t="n">
        <v>0.022</v>
      </c>
    </row>
    <row r="3295">
      <c r="A3295" t="n">
        <v>61</v>
      </c>
      <c r="B3295" t="n">
        <v>2002</v>
      </c>
      <c r="C3295" t="n">
        <v>0.0215</v>
      </c>
    </row>
    <row r="3296">
      <c r="A3296" t="n">
        <v>61</v>
      </c>
      <c r="B3296" t="n">
        <v>2003</v>
      </c>
      <c r="C3296" t="n">
        <v>0.0208</v>
      </c>
    </row>
    <row r="3297">
      <c r="A3297" t="n">
        <v>61</v>
      </c>
      <c r="B3297" t="n">
        <v>2004</v>
      </c>
      <c r="C3297" t="n">
        <v>0.0198</v>
      </c>
    </row>
    <row r="3298">
      <c r="A3298" t="n">
        <v>61</v>
      </c>
      <c r="B3298" t="n">
        <v>2005</v>
      </c>
      <c r="C3298" t="n">
        <v>0.0186</v>
      </c>
    </row>
    <row r="3299">
      <c r="A3299" t="n">
        <v>61</v>
      </c>
      <c r="B3299" t="n">
        <v>2006</v>
      </c>
      <c r="C3299" t="n">
        <v>0.0169</v>
      </c>
    </row>
    <row r="3300">
      <c r="A3300" t="n">
        <v>61</v>
      </c>
      <c r="B3300" t="n">
        <v>2007</v>
      </c>
      <c r="C3300" t="n">
        <v>0.0147</v>
      </c>
    </row>
    <row r="3301">
      <c r="A3301" t="n">
        <v>61</v>
      </c>
      <c r="B3301" t="n">
        <v>2008</v>
      </c>
      <c r="C3301" t="n">
        <v>0.012</v>
      </c>
    </row>
    <row r="3302">
      <c r="A3302" t="n">
        <v>61</v>
      </c>
      <c r="B3302" t="n">
        <v>2009</v>
      </c>
      <c r="C3302" t="n">
        <v>0.0089</v>
      </c>
    </row>
    <row r="3303">
      <c r="A3303" t="n">
        <v>61</v>
      </c>
      <c r="B3303" t="n">
        <v>2010</v>
      </c>
      <c r="C3303" t="n">
        <v>0.0051</v>
      </c>
    </row>
    <row r="3304">
      <c r="A3304" t="n">
        <v>61</v>
      </c>
      <c r="B3304" t="n">
        <v>2011</v>
      </c>
      <c r="C3304" t="n">
        <v>0.0008</v>
      </c>
    </row>
    <row r="3305">
      <c r="A3305" t="n">
        <v>61</v>
      </c>
      <c r="B3305" t="n">
        <v>2012</v>
      </c>
      <c r="C3305" t="n">
        <v>-0.0038</v>
      </c>
    </row>
    <row r="3306">
      <c r="A3306" t="n">
        <v>61</v>
      </c>
      <c r="B3306" t="n">
        <v>2013</v>
      </c>
      <c r="C3306" t="n">
        <v>-0.0038</v>
      </c>
    </row>
    <row r="3307">
      <c r="A3307" t="n">
        <v>61</v>
      </c>
      <c r="B3307" t="n">
        <v>2014</v>
      </c>
      <c r="C3307" t="n">
        <v>-0.0031</v>
      </c>
    </row>
    <row r="3308">
      <c r="A3308" t="n">
        <v>61</v>
      </c>
      <c r="B3308" t="n">
        <v>2015</v>
      </c>
      <c r="C3308" t="n">
        <v>-0.0017</v>
      </c>
    </row>
    <row r="3309">
      <c r="A3309" t="n">
        <v>61</v>
      </c>
      <c r="B3309" t="n">
        <v>2016</v>
      </c>
      <c r="C3309" t="n">
        <v>0.0002</v>
      </c>
    </row>
    <row r="3310">
      <c r="A3310" t="n">
        <v>61</v>
      </c>
      <c r="B3310" t="n">
        <v>2017</v>
      </c>
      <c r="C3310" t="n">
        <v>0.0023</v>
      </c>
    </row>
    <row r="3311">
      <c r="A3311" t="n">
        <v>61</v>
      </c>
      <c r="B3311" t="n">
        <v>2018</v>
      </c>
      <c r="C3311" t="n">
        <v>0.0045</v>
      </c>
    </row>
    <row r="3312">
      <c r="A3312" t="n">
        <v>61</v>
      </c>
      <c r="B3312" t="n">
        <v>2019</v>
      </c>
      <c r="C3312" t="n">
        <v>0.0066</v>
      </c>
    </row>
    <row r="3313">
      <c r="A3313" t="n">
        <v>61</v>
      </c>
      <c r="B3313" t="n">
        <v>2020</v>
      </c>
      <c r="C3313" t="n">
        <v>0.008399999999999999</v>
      </c>
    </row>
    <row r="3314">
      <c r="A3314" t="n">
        <v>61</v>
      </c>
      <c r="B3314" t="n">
        <v>2021</v>
      </c>
      <c r="C3314" t="n">
        <v>0.0098</v>
      </c>
    </row>
    <row r="3315">
      <c r="A3315" t="n">
        <v>61</v>
      </c>
      <c r="B3315" t="n">
        <v>2022</v>
      </c>
      <c r="C3315" t="n">
        <v>0.0106</v>
      </c>
    </row>
    <row r="3316">
      <c r="A3316" t="n">
        <v>61</v>
      </c>
      <c r="B3316" t="n">
        <v>2023</v>
      </c>
      <c r="C3316" t="n">
        <v>0.011</v>
      </c>
    </row>
    <row r="3317">
      <c r="A3317" t="n">
        <v>61</v>
      </c>
      <c r="B3317" t="n">
        <v>2024</v>
      </c>
      <c r="C3317" t="n">
        <v>0.0112</v>
      </c>
    </row>
    <row r="3318">
      <c r="A3318" t="n">
        <v>61</v>
      </c>
      <c r="B3318" t="n">
        <v>2025</v>
      </c>
      <c r="C3318" t="n">
        <v>0.0112</v>
      </c>
    </row>
    <row r="3319">
      <c r="A3319" t="n">
        <v>61</v>
      </c>
      <c r="B3319" t="n">
        <v>2026</v>
      </c>
      <c r="C3319" t="n">
        <v>0.011</v>
      </c>
    </row>
    <row r="3320">
      <c r="A3320" t="n">
        <v>61</v>
      </c>
      <c r="B3320" t="n">
        <v>2027</v>
      </c>
      <c r="C3320" t="n">
        <v>0.0108</v>
      </c>
    </row>
    <row r="3321">
      <c r="A3321" t="n">
        <v>61</v>
      </c>
      <c r="B3321" t="n">
        <v>2028</v>
      </c>
      <c r="C3321" t="n">
        <v>0.0105</v>
      </c>
    </row>
    <row r="3322">
      <c r="A3322" t="n">
        <v>61</v>
      </c>
      <c r="B3322" t="n">
        <v>2029</v>
      </c>
      <c r="C3322" t="n">
        <v>0.0103</v>
      </c>
    </row>
    <row r="3323">
      <c r="A3323" t="n">
        <v>61</v>
      </c>
      <c r="B3323" t="n">
        <v>2030</v>
      </c>
      <c r="C3323" t="n">
        <v>0.0101</v>
      </c>
    </row>
    <row r="3324">
      <c r="A3324" t="n">
        <v>61</v>
      </c>
      <c r="B3324" t="n">
        <v>2031</v>
      </c>
      <c r="C3324" t="n">
        <v>0.01</v>
      </c>
    </row>
    <row r="3325">
      <c r="A3325" t="n">
        <v>62</v>
      </c>
      <c r="B3325" t="n">
        <v>1951</v>
      </c>
      <c r="C3325" t="n">
        <v>0.0109</v>
      </c>
    </row>
    <row r="3326">
      <c r="A3326" t="n">
        <v>62</v>
      </c>
      <c r="B3326" t="n">
        <v>1952</v>
      </c>
      <c r="C3326" t="n">
        <v>0.0091</v>
      </c>
    </row>
    <row r="3327">
      <c r="A3327" t="n">
        <v>62</v>
      </c>
      <c r="B3327" t="n">
        <v>1953</v>
      </c>
      <c r="C3327" t="n">
        <v>0.0072</v>
      </c>
    </row>
    <row r="3328">
      <c r="A3328" t="n">
        <v>62</v>
      </c>
      <c r="B3328" t="n">
        <v>1954</v>
      </c>
      <c r="C3328" t="n">
        <v>0.0053</v>
      </c>
    </row>
    <row r="3329">
      <c r="A3329" t="n">
        <v>62</v>
      </c>
      <c r="B3329" t="n">
        <v>1955</v>
      </c>
      <c r="C3329" t="n">
        <v>0.0033</v>
      </c>
    </row>
    <row r="3330">
      <c r="A3330" t="n">
        <v>62</v>
      </c>
      <c r="B3330" t="n">
        <v>1956</v>
      </c>
      <c r="C3330" t="n">
        <v>0.0015</v>
      </c>
    </row>
    <row r="3331">
      <c r="A3331" t="n">
        <v>62</v>
      </c>
      <c r="B3331" t="n">
        <v>1957</v>
      </c>
      <c r="C3331" t="n">
        <v>-0.0001</v>
      </c>
    </row>
    <row r="3332">
      <c r="A3332" t="n">
        <v>62</v>
      </c>
      <c r="B3332" t="n">
        <v>1958</v>
      </c>
      <c r="C3332" t="n">
        <v>-0.0013</v>
      </c>
    </row>
    <row r="3333">
      <c r="A3333" t="n">
        <v>62</v>
      </c>
      <c r="B3333" t="n">
        <v>1959</v>
      </c>
      <c r="C3333" t="n">
        <v>-0.0023</v>
      </c>
    </row>
    <row r="3334">
      <c r="A3334" t="n">
        <v>62</v>
      </c>
      <c r="B3334" t="n">
        <v>1960</v>
      </c>
      <c r="C3334" t="n">
        <v>-0.0031</v>
      </c>
    </row>
    <row r="3335">
      <c r="A3335" t="n">
        <v>62</v>
      </c>
      <c r="B3335" t="n">
        <v>1961</v>
      </c>
      <c r="C3335" t="n">
        <v>-0.0037</v>
      </c>
    </row>
    <row r="3336">
      <c r="A3336" t="n">
        <v>62</v>
      </c>
      <c r="B3336" t="n">
        <v>1962</v>
      </c>
      <c r="C3336" t="n">
        <v>-0.004</v>
      </c>
    </row>
    <row r="3337">
      <c r="A3337" t="n">
        <v>62</v>
      </c>
      <c r="B3337" t="n">
        <v>1963</v>
      </c>
      <c r="C3337" t="n">
        <v>-0.0038</v>
      </c>
    </row>
    <row r="3338">
      <c r="A3338" t="n">
        <v>62</v>
      </c>
      <c r="B3338" t="n">
        <v>1964</v>
      </c>
      <c r="C3338" t="n">
        <v>-0.0031</v>
      </c>
    </row>
    <row r="3339">
      <c r="A3339" t="n">
        <v>62</v>
      </c>
      <c r="B3339" t="n">
        <v>1965</v>
      </c>
      <c r="C3339" t="n">
        <v>-0.0018</v>
      </c>
    </row>
    <row r="3340">
      <c r="A3340" t="n">
        <v>62</v>
      </c>
      <c r="B3340" t="n">
        <v>1966</v>
      </c>
      <c r="C3340" t="n">
        <v>0</v>
      </c>
    </row>
    <row r="3341">
      <c r="A3341" t="n">
        <v>62</v>
      </c>
      <c r="B3341" t="n">
        <v>1967</v>
      </c>
      <c r="C3341" t="n">
        <v>0.0024</v>
      </c>
    </row>
    <row r="3342">
      <c r="A3342" t="n">
        <v>62</v>
      </c>
      <c r="B3342" t="n">
        <v>1968</v>
      </c>
      <c r="C3342" t="n">
        <v>0.0052</v>
      </c>
    </row>
    <row r="3343">
      <c r="A3343" t="n">
        <v>62</v>
      </c>
      <c r="B3343" t="n">
        <v>1969</v>
      </c>
      <c r="C3343" t="n">
        <v>0.0083</v>
      </c>
    </row>
    <row r="3344">
      <c r="A3344" t="n">
        <v>62</v>
      </c>
      <c r="B3344" t="n">
        <v>1970</v>
      </c>
      <c r="C3344" t="n">
        <v>0.0115</v>
      </c>
    </row>
    <row r="3345">
      <c r="A3345" t="n">
        <v>62</v>
      </c>
      <c r="B3345" t="n">
        <v>1971</v>
      </c>
      <c r="C3345" t="n">
        <v>0.0148</v>
      </c>
    </row>
    <row r="3346">
      <c r="A3346" t="n">
        <v>62</v>
      </c>
      <c r="B3346" t="n">
        <v>1972</v>
      </c>
      <c r="C3346" t="n">
        <v>0.0179</v>
      </c>
    </row>
    <row r="3347">
      <c r="A3347" t="n">
        <v>62</v>
      </c>
      <c r="B3347" t="n">
        <v>1973</v>
      </c>
      <c r="C3347" t="n">
        <v>0.0208</v>
      </c>
    </row>
    <row r="3348">
      <c r="A3348" t="n">
        <v>62</v>
      </c>
      <c r="B3348" t="n">
        <v>1974</v>
      </c>
      <c r="C3348" t="n">
        <v>0.023</v>
      </c>
    </row>
    <row r="3349">
      <c r="A3349" t="n">
        <v>62</v>
      </c>
      <c r="B3349" t="n">
        <v>1975</v>
      </c>
      <c r="C3349" t="n">
        <v>0.0244</v>
      </c>
    </row>
    <row r="3350">
      <c r="A3350" t="n">
        <v>62</v>
      </c>
      <c r="B3350" t="n">
        <v>1976</v>
      </c>
      <c r="C3350" t="n">
        <v>0.0249</v>
      </c>
    </row>
    <row r="3351">
      <c r="A3351" t="n">
        <v>62</v>
      </c>
      <c r="B3351" t="n">
        <v>1977</v>
      </c>
      <c r="C3351" t="n">
        <v>0.0245</v>
      </c>
    </row>
    <row r="3352">
      <c r="A3352" t="n">
        <v>62</v>
      </c>
      <c r="B3352" t="n">
        <v>1978</v>
      </c>
      <c r="C3352" t="n">
        <v>0.0235</v>
      </c>
    </row>
    <row r="3353">
      <c r="A3353" t="n">
        <v>62</v>
      </c>
      <c r="B3353" t="n">
        <v>1979</v>
      </c>
      <c r="C3353" t="n">
        <v>0.0218</v>
      </c>
    </row>
    <row r="3354">
      <c r="A3354" t="n">
        <v>62</v>
      </c>
      <c r="B3354" t="n">
        <v>1980</v>
      </c>
      <c r="C3354" t="n">
        <v>0.0198</v>
      </c>
    </row>
    <row r="3355">
      <c r="A3355" t="n">
        <v>62</v>
      </c>
      <c r="B3355" t="n">
        <v>1981</v>
      </c>
      <c r="C3355" t="n">
        <v>0.0177</v>
      </c>
    </row>
    <row r="3356">
      <c r="A3356" t="n">
        <v>62</v>
      </c>
      <c r="B3356" t="n">
        <v>1982</v>
      </c>
      <c r="C3356" t="n">
        <v>0.0157</v>
      </c>
    </row>
    <row r="3357">
      <c r="A3357" t="n">
        <v>62</v>
      </c>
      <c r="B3357" t="n">
        <v>1983</v>
      </c>
      <c r="C3357" t="n">
        <v>0.0143</v>
      </c>
    </row>
    <row r="3358">
      <c r="A3358" t="n">
        <v>62</v>
      </c>
      <c r="B3358" t="n">
        <v>1984</v>
      </c>
      <c r="C3358" t="n">
        <v>0.0136</v>
      </c>
    </row>
    <row r="3359">
      <c r="A3359" t="n">
        <v>62</v>
      </c>
      <c r="B3359" t="n">
        <v>1985</v>
      </c>
      <c r="C3359" t="n">
        <v>0.0137</v>
      </c>
    </row>
    <row r="3360">
      <c r="A3360" t="n">
        <v>62</v>
      </c>
      <c r="B3360" t="n">
        <v>1986</v>
      </c>
      <c r="C3360" t="n">
        <v>0.0144</v>
      </c>
    </row>
    <row r="3361">
      <c r="A3361" t="n">
        <v>62</v>
      </c>
      <c r="B3361" t="n">
        <v>1987</v>
      </c>
      <c r="C3361" t="n">
        <v>0.0155</v>
      </c>
    </row>
    <row r="3362">
      <c r="A3362" t="n">
        <v>62</v>
      </c>
      <c r="B3362" t="n">
        <v>1988</v>
      </c>
      <c r="C3362" t="n">
        <v>0.0167</v>
      </c>
    </row>
    <row r="3363">
      <c r="A3363" t="n">
        <v>62</v>
      </c>
      <c r="B3363" t="n">
        <v>1989</v>
      </c>
      <c r="C3363" t="n">
        <v>0.0177</v>
      </c>
    </row>
    <row r="3364">
      <c r="A3364" t="n">
        <v>62</v>
      </c>
      <c r="B3364" t="n">
        <v>1990</v>
      </c>
      <c r="C3364" t="n">
        <v>0.0184</v>
      </c>
    </row>
    <row r="3365">
      <c r="A3365" t="n">
        <v>62</v>
      </c>
      <c r="B3365" t="n">
        <v>1991</v>
      </c>
      <c r="C3365" t="n">
        <v>0.0187</v>
      </c>
    </row>
    <row r="3366">
      <c r="A3366" t="n">
        <v>62</v>
      </c>
      <c r="B3366" t="n">
        <v>1992</v>
      </c>
      <c r="C3366" t="n">
        <v>0.0188</v>
      </c>
    </row>
    <row r="3367">
      <c r="A3367" t="n">
        <v>62</v>
      </c>
      <c r="B3367" t="n">
        <v>1993</v>
      </c>
      <c r="C3367" t="n">
        <v>0.0189</v>
      </c>
    </row>
    <row r="3368">
      <c r="A3368" t="n">
        <v>62</v>
      </c>
      <c r="B3368" t="n">
        <v>1994</v>
      </c>
      <c r="C3368" t="n">
        <v>0.0193</v>
      </c>
    </row>
    <row r="3369">
      <c r="A3369" t="n">
        <v>62</v>
      </c>
      <c r="B3369" t="n">
        <v>1995</v>
      </c>
      <c r="C3369" t="n">
        <v>0.02</v>
      </c>
    </row>
    <row r="3370">
      <c r="A3370" t="n">
        <v>62</v>
      </c>
      <c r="B3370" t="n">
        <v>1996</v>
      </c>
      <c r="C3370" t="n">
        <v>0.0209</v>
      </c>
    </row>
    <row r="3371">
      <c r="A3371" t="n">
        <v>62</v>
      </c>
      <c r="B3371" t="n">
        <v>1997</v>
      </c>
      <c r="C3371" t="n">
        <v>0.0219</v>
      </c>
    </row>
    <row r="3372">
      <c r="A3372" t="n">
        <v>62</v>
      </c>
      <c r="B3372" t="n">
        <v>1998</v>
      </c>
      <c r="C3372" t="n">
        <v>0.0227</v>
      </c>
    </row>
    <row r="3373">
      <c r="A3373" t="n">
        <v>62</v>
      </c>
      <c r="B3373" t="n">
        <v>1999</v>
      </c>
      <c r="C3373" t="n">
        <v>0.0231</v>
      </c>
    </row>
    <row r="3374">
      <c r="A3374" t="n">
        <v>62</v>
      </c>
      <c r="B3374" t="n">
        <v>2000</v>
      </c>
      <c r="C3374" t="n">
        <v>0.0233</v>
      </c>
    </row>
    <row r="3375">
      <c r="A3375" t="n">
        <v>62</v>
      </c>
      <c r="B3375" t="n">
        <v>2001</v>
      </c>
      <c r="C3375" t="n">
        <v>0.0232</v>
      </c>
    </row>
    <row r="3376">
      <c r="A3376" t="n">
        <v>62</v>
      </c>
      <c r="B3376" t="n">
        <v>2002</v>
      </c>
      <c r="C3376" t="n">
        <v>0.0229</v>
      </c>
    </row>
    <row r="3377">
      <c r="A3377" t="n">
        <v>62</v>
      </c>
      <c r="B3377" t="n">
        <v>2003</v>
      </c>
      <c r="C3377" t="n">
        <v>0.0225</v>
      </c>
    </row>
    <row r="3378">
      <c r="A3378" t="n">
        <v>62</v>
      </c>
      <c r="B3378" t="n">
        <v>2004</v>
      </c>
      <c r="C3378" t="n">
        <v>0.0218</v>
      </c>
    </row>
    <row r="3379">
      <c r="A3379" t="n">
        <v>62</v>
      </c>
      <c r="B3379" t="n">
        <v>2005</v>
      </c>
      <c r="C3379" t="n">
        <v>0.0208</v>
      </c>
    </row>
    <row r="3380">
      <c r="A3380" t="n">
        <v>62</v>
      </c>
      <c r="B3380" t="n">
        <v>2006</v>
      </c>
      <c r="C3380" t="n">
        <v>0.0193</v>
      </c>
    </row>
    <row r="3381">
      <c r="A3381" t="n">
        <v>62</v>
      </c>
      <c r="B3381" t="n">
        <v>2007</v>
      </c>
      <c r="C3381" t="n">
        <v>0.0172</v>
      </c>
    </row>
    <row r="3382">
      <c r="A3382" t="n">
        <v>62</v>
      </c>
      <c r="B3382" t="n">
        <v>2008</v>
      </c>
      <c r="C3382" t="n">
        <v>0.0144</v>
      </c>
    </row>
    <row r="3383">
      <c r="A3383" t="n">
        <v>62</v>
      </c>
      <c r="B3383" t="n">
        <v>2009</v>
      </c>
      <c r="C3383" t="n">
        <v>0.0111</v>
      </c>
    </row>
    <row r="3384">
      <c r="A3384" t="n">
        <v>62</v>
      </c>
      <c r="B3384" t="n">
        <v>2010</v>
      </c>
      <c r="C3384" t="n">
        <v>0.007</v>
      </c>
    </row>
    <row r="3385">
      <c r="A3385" t="n">
        <v>62</v>
      </c>
      <c r="B3385" t="n">
        <v>2011</v>
      </c>
      <c r="C3385" t="n">
        <v>0.0023</v>
      </c>
    </row>
    <row r="3386">
      <c r="A3386" t="n">
        <v>62</v>
      </c>
      <c r="B3386" t="n">
        <v>2012</v>
      </c>
      <c r="C3386" t="n">
        <v>-0.0027</v>
      </c>
    </row>
    <row r="3387">
      <c r="A3387" t="n">
        <v>62</v>
      </c>
      <c r="B3387" t="n">
        <v>2013</v>
      </c>
      <c r="C3387" t="n">
        <v>-0.003</v>
      </c>
    </row>
    <row r="3388">
      <c r="A3388" t="n">
        <v>62</v>
      </c>
      <c r="B3388" t="n">
        <v>2014</v>
      </c>
      <c r="C3388" t="n">
        <v>-0.0026</v>
      </c>
    </row>
    <row r="3389">
      <c r="A3389" t="n">
        <v>62</v>
      </c>
      <c r="B3389" t="n">
        <v>2015</v>
      </c>
      <c r="C3389" t="n">
        <v>-0.0016</v>
      </c>
    </row>
    <row r="3390">
      <c r="A3390" t="n">
        <v>62</v>
      </c>
      <c r="B3390" t="n">
        <v>2016</v>
      </c>
      <c r="C3390" t="n">
        <v>-0.0001</v>
      </c>
    </row>
    <row r="3391">
      <c r="A3391" t="n">
        <v>62</v>
      </c>
      <c r="B3391" t="n">
        <v>2017</v>
      </c>
      <c r="C3391" t="n">
        <v>0.0018</v>
      </c>
    </row>
    <row r="3392">
      <c r="A3392" t="n">
        <v>62</v>
      </c>
      <c r="B3392" t="n">
        <v>2018</v>
      </c>
      <c r="C3392" t="n">
        <v>0.0038</v>
      </c>
    </row>
    <row r="3393">
      <c r="A3393" t="n">
        <v>62</v>
      </c>
      <c r="B3393" t="n">
        <v>2019</v>
      </c>
      <c r="C3393" t="n">
        <v>0.0058</v>
      </c>
    </row>
    <row r="3394">
      <c r="A3394" t="n">
        <v>62</v>
      </c>
      <c r="B3394" t="n">
        <v>2020</v>
      </c>
      <c r="C3394" t="n">
        <v>0.0076</v>
      </c>
    </row>
    <row r="3395">
      <c r="A3395" t="n">
        <v>62</v>
      </c>
      <c r="B3395" t="n">
        <v>2021</v>
      </c>
      <c r="C3395" t="n">
        <v>0.008999999999999999</v>
      </c>
    </row>
    <row r="3396">
      <c r="A3396" t="n">
        <v>62</v>
      </c>
      <c r="B3396" t="n">
        <v>2022</v>
      </c>
      <c r="C3396" t="n">
        <v>0.01</v>
      </c>
    </row>
    <row r="3397">
      <c r="A3397" t="n">
        <v>62</v>
      </c>
      <c r="B3397" t="n">
        <v>2023</v>
      </c>
      <c r="C3397" t="n">
        <v>0.0105</v>
      </c>
    </row>
    <row r="3398">
      <c r="A3398" t="n">
        <v>62</v>
      </c>
      <c r="B3398" t="n">
        <v>2024</v>
      </c>
      <c r="C3398" t="n">
        <v>0.0108</v>
      </c>
    </row>
    <row r="3399">
      <c r="A3399" t="n">
        <v>62</v>
      </c>
      <c r="B3399" t="n">
        <v>2025</v>
      </c>
      <c r="C3399" t="n">
        <v>0.011</v>
      </c>
    </row>
    <row r="3400">
      <c r="A3400" t="n">
        <v>62</v>
      </c>
      <c r="B3400" t="n">
        <v>2026</v>
      </c>
      <c r="C3400" t="n">
        <v>0.0109</v>
      </c>
    </row>
    <row r="3401">
      <c r="A3401" t="n">
        <v>62</v>
      </c>
      <c r="B3401" t="n">
        <v>2027</v>
      </c>
      <c r="C3401" t="n">
        <v>0.0107</v>
      </c>
    </row>
    <row r="3402">
      <c r="A3402" t="n">
        <v>62</v>
      </c>
      <c r="B3402" t="n">
        <v>2028</v>
      </c>
      <c r="C3402" t="n">
        <v>0.0105</v>
      </c>
    </row>
    <row r="3403">
      <c r="A3403" t="n">
        <v>62</v>
      </c>
      <c r="B3403" t="n">
        <v>2029</v>
      </c>
      <c r="C3403" t="n">
        <v>0.0103</v>
      </c>
    </row>
    <row r="3404">
      <c r="A3404" t="n">
        <v>62</v>
      </c>
      <c r="B3404" t="n">
        <v>2030</v>
      </c>
      <c r="C3404" t="n">
        <v>0.0101</v>
      </c>
    </row>
    <row r="3405">
      <c r="A3405" t="n">
        <v>62</v>
      </c>
      <c r="B3405" t="n">
        <v>2031</v>
      </c>
      <c r="C3405" t="n">
        <v>0.01</v>
      </c>
    </row>
    <row r="3406">
      <c r="A3406" t="n">
        <v>63</v>
      </c>
      <c r="B3406" t="n">
        <v>1951</v>
      </c>
      <c r="C3406" t="n">
        <v>0.009900000000000001</v>
      </c>
    </row>
    <row r="3407">
      <c r="A3407" t="n">
        <v>63</v>
      </c>
      <c r="B3407" t="n">
        <v>1952</v>
      </c>
      <c r="C3407" t="n">
        <v>0.008</v>
      </c>
    </row>
    <row r="3408">
      <c r="A3408" t="n">
        <v>63</v>
      </c>
      <c r="B3408" t="n">
        <v>1953</v>
      </c>
      <c r="C3408" t="n">
        <v>0.0062</v>
      </c>
    </row>
    <row r="3409">
      <c r="A3409" t="n">
        <v>63</v>
      </c>
      <c r="B3409" t="n">
        <v>1954</v>
      </c>
      <c r="C3409" t="n">
        <v>0.0043</v>
      </c>
    </row>
    <row r="3410">
      <c r="A3410" t="n">
        <v>63</v>
      </c>
      <c r="B3410" t="n">
        <v>1955</v>
      </c>
      <c r="C3410" t="n">
        <v>0.0024</v>
      </c>
    </row>
    <row r="3411">
      <c r="A3411" t="n">
        <v>63</v>
      </c>
      <c r="B3411" t="n">
        <v>1956</v>
      </c>
      <c r="C3411" t="n">
        <v>0.0005999999999999999</v>
      </c>
    </row>
    <row r="3412">
      <c r="A3412" t="n">
        <v>63</v>
      </c>
      <c r="B3412" t="n">
        <v>1957</v>
      </c>
      <c r="C3412" t="n">
        <v>-0.0009</v>
      </c>
    </row>
    <row r="3413">
      <c r="A3413" t="n">
        <v>63</v>
      </c>
      <c r="B3413" t="n">
        <v>1958</v>
      </c>
      <c r="C3413" t="n">
        <v>-0.0021</v>
      </c>
    </row>
    <row r="3414">
      <c r="A3414" t="n">
        <v>63</v>
      </c>
      <c r="B3414" t="n">
        <v>1959</v>
      </c>
      <c r="C3414" t="n">
        <v>-0.003</v>
      </c>
    </row>
    <row r="3415">
      <c r="A3415" t="n">
        <v>63</v>
      </c>
      <c r="B3415" t="n">
        <v>1960</v>
      </c>
      <c r="C3415" t="n">
        <v>-0.0036</v>
      </c>
    </row>
    <row r="3416">
      <c r="A3416" t="n">
        <v>63</v>
      </c>
      <c r="B3416" t="n">
        <v>1961</v>
      </c>
      <c r="C3416" t="n">
        <v>-0.0041</v>
      </c>
    </row>
    <row r="3417">
      <c r="A3417" t="n">
        <v>63</v>
      </c>
      <c r="B3417" t="n">
        <v>1962</v>
      </c>
      <c r="C3417" t="n">
        <v>-0.0041</v>
      </c>
    </row>
    <row r="3418">
      <c r="A3418" t="n">
        <v>63</v>
      </c>
      <c r="B3418" t="n">
        <v>1963</v>
      </c>
      <c r="C3418" t="n">
        <v>-0.0037</v>
      </c>
    </row>
    <row r="3419">
      <c r="A3419" t="n">
        <v>63</v>
      </c>
      <c r="B3419" t="n">
        <v>1964</v>
      </c>
      <c r="C3419" t="n">
        <v>-0.0028</v>
      </c>
    </row>
    <row r="3420">
      <c r="A3420" t="n">
        <v>63</v>
      </c>
      <c r="B3420" t="n">
        <v>1965</v>
      </c>
      <c r="C3420" t="n">
        <v>-0.0014</v>
      </c>
    </row>
    <row r="3421">
      <c r="A3421" t="n">
        <v>63</v>
      </c>
      <c r="B3421" t="n">
        <v>1966</v>
      </c>
      <c r="C3421" t="n">
        <v>0.0005</v>
      </c>
    </row>
    <row r="3422">
      <c r="A3422" t="n">
        <v>63</v>
      </c>
      <c r="B3422" t="n">
        <v>1967</v>
      </c>
      <c r="C3422" t="n">
        <v>0.0028</v>
      </c>
    </row>
    <row r="3423">
      <c r="A3423" t="n">
        <v>63</v>
      </c>
      <c r="B3423" t="n">
        <v>1968</v>
      </c>
      <c r="C3423" t="n">
        <v>0.0055</v>
      </c>
    </row>
    <row r="3424">
      <c r="A3424" t="n">
        <v>63</v>
      </c>
      <c r="B3424" t="n">
        <v>1969</v>
      </c>
      <c r="C3424" t="n">
        <v>0.008399999999999999</v>
      </c>
    </row>
    <row r="3425">
      <c r="A3425" t="n">
        <v>63</v>
      </c>
      <c r="B3425" t="n">
        <v>1970</v>
      </c>
      <c r="C3425" t="n">
        <v>0.0113</v>
      </c>
    </row>
    <row r="3426">
      <c r="A3426" t="n">
        <v>63</v>
      </c>
      <c r="B3426" t="n">
        <v>1971</v>
      </c>
      <c r="C3426" t="n">
        <v>0.0143</v>
      </c>
    </row>
    <row r="3427">
      <c r="A3427" t="n">
        <v>63</v>
      </c>
      <c r="B3427" t="n">
        <v>1972</v>
      </c>
      <c r="C3427" t="n">
        <v>0.0172</v>
      </c>
    </row>
    <row r="3428">
      <c r="A3428" t="n">
        <v>63</v>
      </c>
      <c r="B3428" t="n">
        <v>1973</v>
      </c>
      <c r="C3428" t="n">
        <v>0.0197</v>
      </c>
    </row>
    <row r="3429">
      <c r="A3429" t="n">
        <v>63</v>
      </c>
      <c r="B3429" t="n">
        <v>1974</v>
      </c>
      <c r="C3429" t="n">
        <v>0.0218</v>
      </c>
    </row>
    <row r="3430">
      <c r="A3430" t="n">
        <v>63</v>
      </c>
      <c r="B3430" t="n">
        <v>1975</v>
      </c>
      <c r="C3430" t="n">
        <v>0.0231</v>
      </c>
    </row>
    <row r="3431">
      <c r="A3431" t="n">
        <v>63</v>
      </c>
      <c r="B3431" t="n">
        <v>1976</v>
      </c>
      <c r="C3431" t="n">
        <v>0.0237</v>
      </c>
    </row>
    <row r="3432">
      <c r="A3432" t="n">
        <v>63</v>
      </c>
      <c r="B3432" t="n">
        <v>1977</v>
      </c>
      <c r="C3432" t="n">
        <v>0.0235</v>
      </c>
    </row>
    <row r="3433">
      <c r="A3433" t="n">
        <v>63</v>
      </c>
      <c r="B3433" t="n">
        <v>1978</v>
      </c>
      <c r="C3433" t="n">
        <v>0.0227</v>
      </c>
    </row>
    <row r="3434">
      <c r="A3434" t="n">
        <v>63</v>
      </c>
      <c r="B3434" t="n">
        <v>1979</v>
      </c>
      <c r="C3434" t="n">
        <v>0.0213</v>
      </c>
    </row>
    <row r="3435">
      <c r="A3435" t="n">
        <v>63</v>
      </c>
      <c r="B3435" t="n">
        <v>1980</v>
      </c>
      <c r="C3435" t="n">
        <v>0.0196</v>
      </c>
    </row>
    <row r="3436">
      <c r="A3436" t="n">
        <v>63</v>
      </c>
      <c r="B3436" t="n">
        <v>1981</v>
      </c>
      <c r="C3436" t="n">
        <v>0.0177</v>
      </c>
    </row>
    <row r="3437">
      <c r="A3437" t="n">
        <v>63</v>
      </c>
      <c r="B3437" t="n">
        <v>1982</v>
      </c>
      <c r="C3437" t="n">
        <v>0.0159</v>
      </c>
    </row>
    <row r="3438">
      <c r="A3438" t="n">
        <v>63</v>
      </c>
      <c r="B3438" t="n">
        <v>1983</v>
      </c>
      <c r="C3438" t="n">
        <v>0.0145</v>
      </c>
    </row>
    <row r="3439">
      <c r="A3439" t="n">
        <v>63</v>
      </c>
      <c r="B3439" t="n">
        <v>1984</v>
      </c>
      <c r="C3439" t="n">
        <v>0.0139</v>
      </c>
    </row>
    <row r="3440">
      <c r="A3440" t="n">
        <v>63</v>
      </c>
      <c r="B3440" t="n">
        <v>1985</v>
      </c>
      <c r="C3440" t="n">
        <v>0.0139</v>
      </c>
    </row>
    <row r="3441">
      <c r="A3441" t="n">
        <v>63</v>
      </c>
      <c r="B3441" t="n">
        <v>1986</v>
      </c>
      <c r="C3441" t="n">
        <v>0.0145</v>
      </c>
    </row>
    <row r="3442">
      <c r="A3442" t="n">
        <v>63</v>
      </c>
      <c r="B3442" t="n">
        <v>1987</v>
      </c>
      <c r="C3442" t="n">
        <v>0.0155</v>
      </c>
    </row>
    <row r="3443">
      <c r="A3443" t="n">
        <v>63</v>
      </c>
      <c r="B3443" t="n">
        <v>1988</v>
      </c>
      <c r="C3443" t="n">
        <v>0.0166</v>
      </c>
    </row>
    <row r="3444">
      <c r="A3444" t="n">
        <v>63</v>
      </c>
      <c r="B3444" t="n">
        <v>1989</v>
      </c>
      <c r="C3444" t="n">
        <v>0.0175</v>
      </c>
    </row>
    <row r="3445">
      <c r="A3445" t="n">
        <v>63</v>
      </c>
      <c r="B3445" t="n">
        <v>1990</v>
      </c>
      <c r="C3445" t="n">
        <v>0.0179</v>
      </c>
    </row>
    <row r="3446">
      <c r="A3446" t="n">
        <v>63</v>
      </c>
      <c r="B3446" t="n">
        <v>1991</v>
      </c>
      <c r="C3446" t="n">
        <v>0.018</v>
      </c>
    </row>
    <row r="3447">
      <c r="A3447" t="n">
        <v>63</v>
      </c>
      <c r="B3447" t="n">
        <v>1992</v>
      </c>
      <c r="C3447" t="n">
        <v>0.0179</v>
      </c>
    </row>
    <row r="3448">
      <c r="A3448" t="n">
        <v>63</v>
      </c>
      <c r="B3448" t="n">
        <v>1993</v>
      </c>
      <c r="C3448" t="n">
        <v>0.0179</v>
      </c>
    </row>
    <row r="3449">
      <c r="A3449" t="n">
        <v>63</v>
      </c>
      <c r="B3449" t="n">
        <v>1994</v>
      </c>
      <c r="C3449" t="n">
        <v>0.0183</v>
      </c>
    </row>
    <row r="3450">
      <c r="A3450" t="n">
        <v>63</v>
      </c>
      <c r="B3450" t="n">
        <v>1995</v>
      </c>
      <c r="C3450" t="n">
        <v>0.0191</v>
      </c>
    </row>
    <row r="3451">
      <c r="A3451" t="n">
        <v>63</v>
      </c>
      <c r="B3451" t="n">
        <v>1996</v>
      </c>
      <c r="C3451" t="n">
        <v>0.0202</v>
      </c>
    </row>
    <row r="3452">
      <c r="A3452" t="n">
        <v>63</v>
      </c>
      <c r="B3452" t="n">
        <v>1997</v>
      </c>
      <c r="C3452" t="n">
        <v>0.0215</v>
      </c>
    </row>
    <row r="3453">
      <c r="A3453" t="n">
        <v>63</v>
      </c>
      <c r="B3453" t="n">
        <v>1998</v>
      </c>
      <c r="C3453" t="n">
        <v>0.0225</v>
      </c>
    </row>
    <row r="3454">
      <c r="A3454" t="n">
        <v>63</v>
      </c>
      <c r="B3454" t="n">
        <v>1999</v>
      </c>
      <c r="C3454" t="n">
        <v>0.0234</v>
      </c>
    </row>
    <row r="3455">
      <c r="A3455" t="n">
        <v>63</v>
      </c>
      <c r="B3455" t="n">
        <v>2000</v>
      </c>
      <c r="C3455" t="n">
        <v>0.0238</v>
      </c>
    </row>
    <row r="3456">
      <c r="A3456" t="n">
        <v>63</v>
      </c>
      <c r="B3456" t="n">
        <v>2001</v>
      </c>
      <c r="C3456" t="n">
        <v>0.024</v>
      </c>
    </row>
    <row r="3457">
      <c r="A3457" t="n">
        <v>63</v>
      </c>
      <c r="B3457" t="n">
        <v>2002</v>
      </c>
      <c r="C3457" t="n">
        <v>0.0241</v>
      </c>
    </row>
    <row r="3458">
      <c r="A3458" t="n">
        <v>63</v>
      </c>
      <c r="B3458" t="n">
        <v>2003</v>
      </c>
      <c r="C3458" t="n">
        <v>0.0239</v>
      </c>
    </row>
    <row r="3459">
      <c r="A3459" t="n">
        <v>63</v>
      </c>
      <c r="B3459" t="n">
        <v>2004</v>
      </c>
      <c r="C3459" t="n">
        <v>0.0235</v>
      </c>
    </row>
    <row r="3460">
      <c r="A3460" t="n">
        <v>63</v>
      </c>
      <c r="B3460" t="n">
        <v>2005</v>
      </c>
      <c r="C3460" t="n">
        <v>0.0227</v>
      </c>
    </row>
    <row r="3461">
      <c r="A3461" t="n">
        <v>63</v>
      </c>
      <c r="B3461" t="n">
        <v>2006</v>
      </c>
      <c r="C3461" t="n">
        <v>0.0214</v>
      </c>
    </row>
    <row r="3462">
      <c r="A3462" t="n">
        <v>63</v>
      </c>
      <c r="B3462" t="n">
        <v>2007</v>
      </c>
      <c r="C3462" t="n">
        <v>0.0193</v>
      </c>
    </row>
    <row r="3463">
      <c r="A3463" t="n">
        <v>63</v>
      </c>
      <c r="B3463" t="n">
        <v>2008</v>
      </c>
      <c r="C3463" t="n">
        <v>0.0166</v>
      </c>
    </row>
    <row r="3464">
      <c r="A3464" t="n">
        <v>63</v>
      </c>
      <c r="B3464" t="n">
        <v>2009</v>
      </c>
      <c r="C3464" t="n">
        <v>0.0131</v>
      </c>
    </row>
    <row r="3465">
      <c r="A3465" t="n">
        <v>63</v>
      </c>
      <c r="B3465" t="n">
        <v>2010</v>
      </c>
      <c r="C3465" t="n">
        <v>0.008999999999999999</v>
      </c>
    </row>
    <row r="3466">
      <c r="A3466" t="n">
        <v>63</v>
      </c>
      <c r="B3466" t="n">
        <v>2011</v>
      </c>
      <c r="C3466" t="n">
        <v>0.0042</v>
      </c>
    </row>
    <row r="3467">
      <c r="A3467" t="n">
        <v>63</v>
      </c>
      <c r="B3467" t="n">
        <v>2012</v>
      </c>
      <c r="C3467" t="n">
        <v>-0.001</v>
      </c>
    </row>
    <row r="3468">
      <c r="A3468" t="n">
        <v>63</v>
      </c>
      <c r="B3468" t="n">
        <v>2013</v>
      </c>
      <c r="C3468" t="n">
        <v>-0.0016</v>
      </c>
    </row>
    <row r="3469">
      <c r="A3469" t="n">
        <v>63</v>
      </c>
      <c r="B3469" t="n">
        <v>2014</v>
      </c>
      <c r="C3469" t="n">
        <v>-0.0016</v>
      </c>
    </row>
    <row r="3470">
      <c r="A3470" t="n">
        <v>63</v>
      </c>
      <c r="B3470" t="n">
        <v>2015</v>
      </c>
      <c r="C3470" t="n">
        <v>-0.001</v>
      </c>
    </row>
    <row r="3471">
      <c r="A3471" t="n">
        <v>63</v>
      </c>
      <c r="B3471" t="n">
        <v>2016</v>
      </c>
      <c r="C3471" t="n">
        <v>0.0001</v>
      </c>
    </row>
    <row r="3472">
      <c r="A3472" t="n">
        <v>63</v>
      </c>
      <c r="B3472" t="n">
        <v>2017</v>
      </c>
      <c r="C3472" t="n">
        <v>0.0016</v>
      </c>
    </row>
    <row r="3473">
      <c r="A3473" t="n">
        <v>63</v>
      </c>
      <c r="B3473" t="n">
        <v>2018</v>
      </c>
      <c r="C3473" t="n">
        <v>0.0034</v>
      </c>
    </row>
    <row r="3474">
      <c r="A3474" t="n">
        <v>63</v>
      </c>
      <c r="B3474" t="n">
        <v>2019</v>
      </c>
      <c r="C3474" t="n">
        <v>0.0052</v>
      </c>
    </row>
    <row r="3475">
      <c r="A3475" t="n">
        <v>63</v>
      </c>
      <c r="B3475" t="n">
        <v>2020</v>
      </c>
      <c r="C3475" t="n">
        <v>0.0069</v>
      </c>
    </row>
    <row r="3476">
      <c r="A3476" t="n">
        <v>63</v>
      </c>
      <c r="B3476" t="n">
        <v>2021</v>
      </c>
      <c r="C3476" t="n">
        <v>0.0083</v>
      </c>
    </row>
    <row r="3477">
      <c r="A3477" t="n">
        <v>63</v>
      </c>
      <c r="B3477" t="n">
        <v>2022</v>
      </c>
      <c r="C3477" t="n">
        <v>0.009299999999999999</v>
      </c>
    </row>
    <row r="3478">
      <c r="A3478" t="n">
        <v>63</v>
      </c>
      <c r="B3478" t="n">
        <v>2023</v>
      </c>
      <c r="C3478" t="n">
        <v>0.01</v>
      </c>
    </row>
    <row r="3479">
      <c r="A3479" t="n">
        <v>63</v>
      </c>
      <c r="B3479" t="n">
        <v>2024</v>
      </c>
      <c r="C3479" t="n">
        <v>0.0104</v>
      </c>
    </row>
    <row r="3480">
      <c r="A3480" t="n">
        <v>63</v>
      </c>
      <c r="B3480" t="n">
        <v>2025</v>
      </c>
      <c r="C3480" t="n">
        <v>0.0107</v>
      </c>
    </row>
    <row r="3481">
      <c r="A3481" t="n">
        <v>63</v>
      </c>
      <c r="B3481" t="n">
        <v>2026</v>
      </c>
      <c r="C3481" t="n">
        <v>0.0107</v>
      </c>
    </row>
    <row r="3482">
      <c r="A3482" t="n">
        <v>63</v>
      </c>
      <c r="B3482" t="n">
        <v>2027</v>
      </c>
      <c r="C3482" t="n">
        <v>0.0107</v>
      </c>
    </row>
    <row r="3483">
      <c r="A3483" t="n">
        <v>63</v>
      </c>
      <c r="B3483" t="n">
        <v>2028</v>
      </c>
      <c r="C3483" t="n">
        <v>0.0105</v>
      </c>
    </row>
    <row r="3484">
      <c r="A3484" t="n">
        <v>63</v>
      </c>
      <c r="B3484" t="n">
        <v>2029</v>
      </c>
      <c r="C3484" t="n">
        <v>0.0103</v>
      </c>
    </row>
    <row r="3485">
      <c r="A3485" t="n">
        <v>63</v>
      </c>
      <c r="B3485" t="n">
        <v>2030</v>
      </c>
      <c r="C3485" t="n">
        <v>0.0101</v>
      </c>
    </row>
    <row r="3486">
      <c r="A3486" t="n">
        <v>63</v>
      </c>
      <c r="B3486" t="n">
        <v>2031</v>
      </c>
      <c r="C3486" t="n">
        <v>0.01</v>
      </c>
    </row>
    <row r="3487">
      <c r="A3487" t="n">
        <v>64</v>
      </c>
      <c r="B3487" t="n">
        <v>1951</v>
      </c>
      <c r="C3487" t="n">
        <v>0.0089</v>
      </c>
    </row>
    <row r="3488">
      <c r="A3488" t="n">
        <v>64</v>
      </c>
      <c r="B3488" t="n">
        <v>1952</v>
      </c>
      <c r="C3488" t="n">
        <v>0.0071</v>
      </c>
    </row>
    <row r="3489">
      <c r="A3489" t="n">
        <v>64</v>
      </c>
      <c r="B3489" t="n">
        <v>1953</v>
      </c>
      <c r="C3489" t="n">
        <v>0.0053</v>
      </c>
    </row>
    <row r="3490">
      <c r="A3490" t="n">
        <v>64</v>
      </c>
      <c r="B3490" t="n">
        <v>1954</v>
      </c>
      <c r="C3490" t="n">
        <v>0.0034</v>
      </c>
    </row>
    <row r="3491">
      <c r="A3491" t="n">
        <v>64</v>
      </c>
      <c r="B3491" t="n">
        <v>1955</v>
      </c>
      <c r="C3491" t="n">
        <v>0.0016</v>
      </c>
    </row>
    <row r="3492">
      <c r="A3492" t="n">
        <v>64</v>
      </c>
      <c r="B3492" t="n">
        <v>1956</v>
      </c>
      <c r="C3492" t="n">
        <v>-0.0002</v>
      </c>
    </row>
    <row r="3493">
      <c r="A3493" t="n">
        <v>64</v>
      </c>
      <c r="B3493" t="n">
        <v>1957</v>
      </c>
      <c r="C3493" t="n">
        <v>-0.0016</v>
      </c>
    </row>
    <row r="3494">
      <c r="A3494" t="n">
        <v>64</v>
      </c>
      <c r="B3494" t="n">
        <v>1958</v>
      </c>
      <c r="C3494" t="n">
        <v>-0.0026</v>
      </c>
    </row>
    <row r="3495">
      <c r="A3495" t="n">
        <v>64</v>
      </c>
      <c r="B3495" t="n">
        <v>1959</v>
      </c>
      <c r="C3495" t="n">
        <v>-0.0034</v>
      </c>
    </row>
    <row r="3496">
      <c r="A3496" t="n">
        <v>64</v>
      </c>
      <c r="B3496" t="n">
        <v>1960</v>
      </c>
      <c r="C3496" t="n">
        <v>-0.004</v>
      </c>
    </row>
    <row r="3497">
      <c r="A3497" t="n">
        <v>64</v>
      </c>
      <c r="B3497" t="n">
        <v>1961</v>
      </c>
      <c r="C3497" t="n">
        <v>-0.0042</v>
      </c>
    </row>
    <row r="3498">
      <c r="A3498" t="n">
        <v>64</v>
      </c>
      <c r="B3498" t="n">
        <v>1962</v>
      </c>
      <c r="C3498" t="n">
        <v>-0.0041</v>
      </c>
    </row>
    <row r="3499">
      <c r="A3499" t="n">
        <v>64</v>
      </c>
      <c r="B3499" t="n">
        <v>1963</v>
      </c>
      <c r="C3499" t="n">
        <v>-0.0036</v>
      </c>
    </row>
    <row r="3500">
      <c r="A3500" t="n">
        <v>64</v>
      </c>
      <c r="B3500" t="n">
        <v>1964</v>
      </c>
      <c r="C3500" t="n">
        <v>-0.0025</v>
      </c>
    </row>
    <row r="3501">
      <c r="A3501" t="n">
        <v>64</v>
      </c>
      <c r="B3501" t="n">
        <v>1965</v>
      </c>
      <c r="C3501" t="n">
        <v>-0.001</v>
      </c>
    </row>
    <row r="3502">
      <c r="A3502" t="n">
        <v>64</v>
      </c>
      <c r="B3502" t="n">
        <v>1966</v>
      </c>
      <c r="C3502" t="n">
        <v>0.0009</v>
      </c>
    </row>
    <row r="3503">
      <c r="A3503" t="n">
        <v>64</v>
      </c>
      <c r="B3503" t="n">
        <v>1967</v>
      </c>
      <c r="C3503" t="n">
        <v>0.0031</v>
      </c>
    </row>
    <row r="3504">
      <c r="A3504" t="n">
        <v>64</v>
      </c>
      <c r="B3504" t="n">
        <v>1968</v>
      </c>
      <c r="C3504" t="n">
        <v>0.0056</v>
      </c>
    </row>
    <row r="3505">
      <c r="A3505" t="n">
        <v>64</v>
      </c>
      <c r="B3505" t="n">
        <v>1969</v>
      </c>
      <c r="C3505" t="n">
        <v>0.0083</v>
      </c>
    </row>
    <row r="3506">
      <c r="A3506" t="n">
        <v>64</v>
      </c>
      <c r="B3506" t="n">
        <v>1970</v>
      </c>
      <c r="C3506" t="n">
        <v>0.011</v>
      </c>
    </row>
    <row r="3507">
      <c r="A3507" t="n">
        <v>64</v>
      </c>
      <c r="B3507" t="n">
        <v>1971</v>
      </c>
      <c r="C3507" t="n">
        <v>0.0137</v>
      </c>
    </row>
    <row r="3508">
      <c r="A3508" t="n">
        <v>64</v>
      </c>
      <c r="B3508" t="n">
        <v>1972</v>
      </c>
      <c r="C3508" t="n">
        <v>0.0163</v>
      </c>
    </row>
    <row r="3509">
      <c r="A3509" t="n">
        <v>64</v>
      </c>
      <c r="B3509" t="n">
        <v>1973</v>
      </c>
      <c r="C3509" t="n">
        <v>0.0187</v>
      </c>
    </row>
    <row r="3510">
      <c r="A3510" t="n">
        <v>64</v>
      </c>
      <c r="B3510" t="n">
        <v>1974</v>
      </c>
      <c r="C3510" t="n">
        <v>0.0206</v>
      </c>
    </row>
    <row r="3511">
      <c r="A3511" t="n">
        <v>64</v>
      </c>
      <c r="B3511" t="n">
        <v>1975</v>
      </c>
      <c r="C3511" t="n">
        <v>0.0219</v>
      </c>
    </row>
    <row r="3512">
      <c r="A3512" t="n">
        <v>64</v>
      </c>
      <c r="B3512" t="n">
        <v>1976</v>
      </c>
      <c r="C3512" t="n">
        <v>0.0224</v>
      </c>
    </row>
    <row r="3513">
      <c r="A3513" t="n">
        <v>64</v>
      </c>
      <c r="B3513" t="n">
        <v>1977</v>
      </c>
      <c r="C3513" t="n">
        <v>0.0224</v>
      </c>
    </row>
    <row r="3514">
      <c r="A3514" t="n">
        <v>64</v>
      </c>
      <c r="B3514" t="n">
        <v>1978</v>
      </c>
      <c r="C3514" t="n">
        <v>0.0217</v>
      </c>
    </row>
    <row r="3515">
      <c r="A3515" t="n">
        <v>64</v>
      </c>
      <c r="B3515" t="n">
        <v>1979</v>
      </c>
      <c r="C3515" t="n">
        <v>0.0205</v>
      </c>
    </row>
    <row r="3516">
      <c r="A3516" t="n">
        <v>64</v>
      </c>
      <c r="B3516" t="n">
        <v>1980</v>
      </c>
      <c r="C3516" t="n">
        <v>0.0191</v>
      </c>
    </row>
    <row r="3517">
      <c r="A3517" t="n">
        <v>64</v>
      </c>
      <c r="B3517" t="n">
        <v>1981</v>
      </c>
      <c r="C3517" t="n">
        <v>0.0174</v>
      </c>
    </row>
    <row r="3518">
      <c r="A3518" t="n">
        <v>64</v>
      </c>
      <c r="B3518" t="n">
        <v>1982</v>
      </c>
      <c r="C3518" t="n">
        <v>0.0159</v>
      </c>
    </row>
    <row r="3519">
      <c r="A3519" t="n">
        <v>64</v>
      </c>
      <c r="B3519" t="n">
        <v>1983</v>
      </c>
      <c r="C3519" t="n">
        <v>0.0147</v>
      </c>
    </row>
    <row r="3520">
      <c r="A3520" t="n">
        <v>64</v>
      </c>
      <c r="B3520" t="n">
        <v>1984</v>
      </c>
      <c r="C3520" t="n">
        <v>0.0141</v>
      </c>
    </row>
    <row r="3521">
      <c r="A3521" t="n">
        <v>64</v>
      </c>
      <c r="B3521" t="n">
        <v>1985</v>
      </c>
      <c r="C3521" t="n">
        <v>0.0142</v>
      </c>
    </row>
    <row r="3522">
      <c r="A3522" t="n">
        <v>64</v>
      </c>
      <c r="B3522" t="n">
        <v>1986</v>
      </c>
      <c r="C3522" t="n">
        <v>0.0148</v>
      </c>
    </row>
    <row r="3523">
      <c r="A3523" t="n">
        <v>64</v>
      </c>
      <c r="B3523" t="n">
        <v>1987</v>
      </c>
      <c r="C3523" t="n">
        <v>0.0157</v>
      </c>
    </row>
    <row r="3524">
      <c r="A3524" t="n">
        <v>64</v>
      </c>
      <c r="B3524" t="n">
        <v>1988</v>
      </c>
      <c r="C3524" t="n">
        <v>0.0167</v>
      </c>
    </row>
    <row r="3525">
      <c r="A3525" t="n">
        <v>64</v>
      </c>
      <c r="B3525" t="n">
        <v>1989</v>
      </c>
      <c r="C3525" t="n">
        <v>0.0174</v>
      </c>
    </row>
    <row r="3526">
      <c r="A3526" t="n">
        <v>64</v>
      </c>
      <c r="B3526" t="n">
        <v>1990</v>
      </c>
      <c r="C3526" t="n">
        <v>0.0176</v>
      </c>
    </row>
    <row r="3527">
      <c r="A3527" t="n">
        <v>64</v>
      </c>
      <c r="B3527" t="n">
        <v>1991</v>
      </c>
      <c r="C3527" t="n">
        <v>0.0174</v>
      </c>
    </row>
    <row r="3528">
      <c r="A3528" t="n">
        <v>64</v>
      </c>
      <c r="B3528" t="n">
        <v>1992</v>
      </c>
      <c r="C3528" t="n">
        <v>0.0171</v>
      </c>
    </row>
    <row r="3529">
      <c r="A3529" t="n">
        <v>64</v>
      </c>
      <c r="B3529" t="n">
        <v>1993</v>
      </c>
      <c r="C3529" t="n">
        <v>0.017</v>
      </c>
    </row>
    <row r="3530">
      <c r="A3530" t="n">
        <v>64</v>
      </c>
      <c r="B3530" t="n">
        <v>1994</v>
      </c>
      <c r="C3530" t="n">
        <v>0.0173</v>
      </c>
    </row>
    <row r="3531">
      <c r="A3531" t="n">
        <v>64</v>
      </c>
      <c r="B3531" t="n">
        <v>1995</v>
      </c>
      <c r="C3531" t="n">
        <v>0.0181</v>
      </c>
    </row>
    <row r="3532">
      <c r="A3532" t="n">
        <v>64</v>
      </c>
      <c r="B3532" t="n">
        <v>1996</v>
      </c>
      <c r="C3532" t="n">
        <v>0.0194</v>
      </c>
    </row>
    <row r="3533">
      <c r="A3533" t="n">
        <v>64</v>
      </c>
      <c r="B3533" t="n">
        <v>1997</v>
      </c>
      <c r="C3533" t="n">
        <v>0.0208</v>
      </c>
    </row>
    <row r="3534">
      <c r="A3534" t="n">
        <v>64</v>
      </c>
      <c r="B3534" t="n">
        <v>1998</v>
      </c>
      <c r="C3534" t="n">
        <v>0.0222</v>
      </c>
    </row>
    <row r="3535">
      <c r="A3535" t="n">
        <v>64</v>
      </c>
      <c r="B3535" t="n">
        <v>1999</v>
      </c>
      <c r="C3535" t="n">
        <v>0.0233</v>
      </c>
    </row>
    <row r="3536">
      <c r="A3536" t="n">
        <v>64</v>
      </c>
      <c r="B3536" t="n">
        <v>2000</v>
      </c>
      <c r="C3536" t="n">
        <v>0.0241</v>
      </c>
    </row>
    <row r="3537">
      <c r="A3537" t="n">
        <v>64</v>
      </c>
      <c r="B3537" t="n">
        <v>2001</v>
      </c>
      <c r="C3537" t="n">
        <v>0.0247</v>
      </c>
    </row>
    <row r="3538">
      <c r="A3538" t="n">
        <v>64</v>
      </c>
      <c r="B3538" t="n">
        <v>2002</v>
      </c>
      <c r="C3538" t="n">
        <v>0.025</v>
      </c>
    </row>
    <row r="3539">
      <c r="A3539" t="n">
        <v>64</v>
      </c>
      <c r="B3539" t="n">
        <v>2003</v>
      </c>
      <c r="C3539" t="n">
        <v>0.0252</v>
      </c>
    </row>
    <row r="3540">
      <c r="A3540" t="n">
        <v>64</v>
      </c>
      <c r="B3540" t="n">
        <v>2004</v>
      </c>
      <c r="C3540" t="n">
        <v>0.025</v>
      </c>
    </row>
    <row r="3541">
      <c r="A3541" t="n">
        <v>64</v>
      </c>
      <c r="B3541" t="n">
        <v>2005</v>
      </c>
      <c r="C3541" t="n">
        <v>0.0243</v>
      </c>
    </row>
    <row r="3542">
      <c r="A3542" t="n">
        <v>64</v>
      </c>
      <c r="B3542" t="n">
        <v>2006</v>
      </c>
      <c r="C3542" t="n">
        <v>0.0231</v>
      </c>
    </row>
    <row r="3543">
      <c r="A3543" t="n">
        <v>64</v>
      </c>
      <c r="B3543" t="n">
        <v>2007</v>
      </c>
      <c r="C3543" t="n">
        <v>0.0211</v>
      </c>
    </row>
    <row r="3544">
      <c r="A3544" t="n">
        <v>64</v>
      </c>
      <c r="B3544" t="n">
        <v>2008</v>
      </c>
      <c r="C3544" t="n">
        <v>0.0184</v>
      </c>
    </row>
    <row r="3545">
      <c r="A3545" t="n">
        <v>64</v>
      </c>
      <c r="B3545" t="n">
        <v>2009</v>
      </c>
      <c r="C3545" t="n">
        <v>0.015</v>
      </c>
    </row>
    <row r="3546">
      <c r="A3546" t="n">
        <v>64</v>
      </c>
      <c r="B3546" t="n">
        <v>2010</v>
      </c>
      <c r="C3546" t="n">
        <v>0.0109</v>
      </c>
    </row>
    <row r="3547">
      <c r="A3547" t="n">
        <v>64</v>
      </c>
      <c r="B3547" t="n">
        <v>2011</v>
      </c>
      <c r="C3547" t="n">
        <v>0.0061</v>
      </c>
    </row>
    <row r="3548">
      <c r="A3548" t="n">
        <v>64</v>
      </c>
      <c r="B3548" t="n">
        <v>2012</v>
      </c>
      <c r="C3548" t="n">
        <v>0.001</v>
      </c>
    </row>
    <row r="3549">
      <c r="A3549" t="n">
        <v>64</v>
      </c>
      <c r="B3549" t="n">
        <v>2013</v>
      </c>
      <c r="C3549" t="n">
        <v>0.0001</v>
      </c>
    </row>
    <row r="3550">
      <c r="A3550" t="n">
        <v>64</v>
      </c>
      <c r="B3550" t="n">
        <v>2014</v>
      </c>
      <c r="C3550" t="n">
        <v>-0.0002</v>
      </c>
    </row>
    <row r="3551">
      <c r="A3551" t="n">
        <v>64</v>
      </c>
      <c r="B3551" t="n">
        <v>2015</v>
      </c>
      <c r="C3551" t="n">
        <v>0</v>
      </c>
    </row>
    <row r="3552">
      <c r="A3552" t="n">
        <v>64</v>
      </c>
      <c r="B3552" t="n">
        <v>2016</v>
      </c>
      <c r="C3552" t="n">
        <v>0.0007</v>
      </c>
    </row>
    <row r="3553">
      <c r="A3553" t="n">
        <v>64</v>
      </c>
      <c r="B3553" t="n">
        <v>2017</v>
      </c>
      <c r="C3553" t="n">
        <v>0.0018</v>
      </c>
    </row>
    <row r="3554">
      <c r="A3554" t="n">
        <v>64</v>
      </c>
      <c r="B3554" t="n">
        <v>2018</v>
      </c>
      <c r="C3554" t="n">
        <v>0.0032</v>
      </c>
    </row>
    <row r="3555">
      <c r="A3555" t="n">
        <v>64</v>
      </c>
      <c r="B3555" t="n">
        <v>2019</v>
      </c>
      <c r="C3555" t="n">
        <v>0.0047</v>
      </c>
    </row>
    <row r="3556">
      <c r="A3556" t="n">
        <v>64</v>
      </c>
      <c r="B3556" t="n">
        <v>2020</v>
      </c>
      <c r="C3556" t="n">
        <v>0.0063</v>
      </c>
    </row>
    <row r="3557">
      <c r="A3557" t="n">
        <v>64</v>
      </c>
      <c r="B3557" t="n">
        <v>2021</v>
      </c>
      <c r="C3557" t="n">
        <v>0.0076</v>
      </c>
    </row>
    <row r="3558">
      <c r="A3558" t="n">
        <v>64</v>
      </c>
      <c r="B3558" t="n">
        <v>2022</v>
      </c>
      <c r="C3558" t="n">
        <v>0.008699999999999999</v>
      </c>
    </row>
    <row r="3559">
      <c r="A3559" t="n">
        <v>64</v>
      </c>
      <c r="B3559" t="n">
        <v>2023</v>
      </c>
      <c r="C3559" t="n">
        <v>0.0094</v>
      </c>
    </row>
    <row r="3560">
      <c r="A3560" t="n">
        <v>64</v>
      </c>
      <c r="B3560" t="n">
        <v>2024</v>
      </c>
      <c r="C3560" t="n">
        <v>0.01</v>
      </c>
    </row>
    <row r="3561">
      <c r="A3561" t="n">
        <v>64</v>
      </c>
      <c r="B3561" t="n">
        <v>2025</v>
      </c>
      <c r="C3561" t="n">
        <v>0.0103</v>
      </c>
    </row>
    <row r="3562">
      <c r="A3562" t="n">
        <v>64</v>
      </c>
      <c r="B3562" t="n">
        <v>2026</v>
      </c>
      <c r="C3562" t="n">
        <v>0.0105</v>
      </c>
    </row>
    <row r="3563">
      <c r="A3563" t="n">
        <v>64</v>
      </c>
      <c r="B3563" t="n">
        <v>2027</v>
      </c>
      <c r="C3563" t="n">
        <v>0.0105</v>
      </c>
    </row>
    <row r="3564">
      <c r="A3564" t="n">
        <v>64</v>
      </c>
      <c r="B3564" t="n">
        <v>2028</v>
      </c>
      <c r="C3564" t="n">
        <v>0.0104</v>
      </c>
    </row>
    <row r="3565">
      <c r="A3565" t="n">
        <v>64</v>
      </c>
      <c r="B3565" t="n">
        <v>2029</v>
      </c>
      <c r="C3565" t="n">
        <v>0.0103</v>
      </c>
    </row>
    <row r="3566">
      <c r="A3566" t="n">
        <v>64</v>
      </c>
      <c r="B3566" t="n">
        <v>2030</v>
      </c>
      <c r="C3566" t="n">
        <v>0.0101</v>
      </c>
    </row>
    <row r="3567">
      <c r="A3567" t="n">
        <v>64</v>
      </c>
      <c r="B3567" t="n">
        <v>2031</v>
      </c>
      <c r="C3567" t="n">
        <v>0.01</v>
      </c>
    </row>
    <row r="3568">
      <c r="A3568" t="n">
        <v>65</v>
      </c>
      <c r="B3568" t="n">
        <v>1951</v>
      </c>
      <c r="C3568" t="n">
        <v>0.008200000000000001</v>
      </c>
    </row>
    <row r="3569">
      <c r="A3569" t="n">
        <v>65</v>
      </c>
      <c r="B3569" t="n">
        <v>1952</v>
      </c>
      <c r="C3569" t="n">
        <v>0.0064</v>
      </c>
    </row>
    <row r="3570">
      <c r="A3570" t="n">
        <v>65</v>
      </c>
      <c r="B3570" t="n">
        <v>1953</v>
      </c>
      <c r="C3570" t="n">
        <v>0.0046</v>
      </c>
    </row>
    <row r="3571">
      <c r="A3571" t="n">
        <v>65</v>
      </c>
      <c r="B3571" t="n">
        <v>1954</v>
      </c>
      <c r="C3571" t="n">
        <v>0.0027</v>
      </c>
    </row>
    <row r="3572">
      <c r="A3572" t="n">
        <v>65</v>
      </c>
      <c r="B3572" t="n">
        <v>1955</v>
      </c>
      <c r="C3572" t="n">
        <v>0.0009</v>
      </c>
    </row>
    <row r="3573">
      <c r="A3573" t="n">
        <v>65</v>
      </c>
      <c r="B3573" t="n">
        <v>1956</v>
      </c>
      <c r="C3573" t="n">
        <v>-0.0007</v>
      </c>
    </row>
    <row r="3574">
      <c r="A3574" t="n">
        <v>65</v>
      </c>
      <c r="B3574" t="n">
        <v>1957</v>
      </c>
      <c r="C3574" t="n">
        <v>-0.002</v>
      </c>
    </row>
    <row r="3575">
      <c r="A3575" t="n">
        <v>65</v>
      </c>
      <c r="B3575" t="n">
        <v>1958</v>
      </c>
      <c r="C3575" t="n">
        <v>-0.003</v>
      </c>
    </row>
    <row r="3576">
      <c r="A3576" t="n">
        <v>65</v>
      </c>
      <c r="B3576" t="n">
        <v>1959</v>
      </c>
      <c r="C3576" t="n">
        <v>-0.0037</v>
      </c>
    </row>
    <row r="3577">
      <c r="A3577" t="n">
        <v>65</v>
      </c>
      <c r="B3577" t="n">
        <v>1960</v>
      </c>
      <c r="C3577" t="n">
        <v>-0.0041</v>
      </c>
    </row>
    <row r="3578">
      <c r="A3578" t="n">
        <v>65</v>
      </c>
      <c r="B3578" t="n">
        <v>1961</v>
      </c>
      <c r="C3578" t="n">
        <v>-0.0042</v>
      </c>
    </row>
    <row r="3579">
      <c r="A3579" t="n">
        <v>65</v>
      </c>
      <c r="B3579" t="n">
        <v>1962</v>
      </c>
      <c r="C3579" t="n">
        <v>-0.004</v>
      </c>
    </row>
    <row r="3580">
      <c r="A3580" t="n">
        <v>65</v>
      </c>
      <c r="B3580" t="n">
        <v>1963</v>
      </c>
      <c r="C3580" t="n">
        <v>-0.0034</v>
      </c>
    </row>
    <row r="3581">
      <c r="A3581" t="n">
        <v>65</v>
      </c>
      <c r="B3581" t="n">
        <v>1964</v>
      </c>
      <c r="C3581" t="n">
        <v>-0.0022</v>
      </c>
    </row>
    <row r="3582">
      <c r="A3582" t="n">
        <v>65</v>
      </c>
      <c r="B3582" t="n">
        <v>1965</v>
      </c>
      <c r="C3582" t="n">
        <v>-0.0007</v>
      </c>
    </row>
    <row r="3583">
      <c r="A3583" t="n">
        <v>65</v>
      </c>
      <c r="B3583" t="n">
        <v>1966</v>
      </c>
      <c r="C3583" t="n">
        <v>0.0011</v>
      </c>
    </row>
    <row r="3584">
      <c r="A3584" t="n">
        <v>65</v>
      </c>
      <c r="B3584" t="n">
        <v>1967</v>
      </c>
      <c r="C3584" t="n">
        <v>0.0032</v>
      </c>
    </row>
    <row r="3585">
      <c r="A3585" t="n">
        <v>65</v>
      </c>
      <c r="B3585" t="n">
        <v>1968</v>
      </c>
      <c r="C3585" t="n">
        <v>0.0056</v>
      </c>
    </row>
    <row r="3586">
      <c r="A3586" t="n">
        <v>65</v>
      </c>
      <c r="B3586" t="n">
        <v>1969</v>
      </c>
      <c r="C3586" t="n">
        <v>0.0081</v>
      </c>
    </row>
    <row r="3587">
      <c r="A3587" t="n">
        <v>65</v>
      </c>
      <c r="B3587" t="n">
        <v>1970</v>
      </c>
      <c r="C3587" t="n">
        <v>0.0106</v>
      </c>
    </row>
    <row r="3588">
      <c r="A3588" t="n">
        <v>65</v>
      </c>
      <c r="B3588" t="n">
        <v>1971</v>
      </c>
      <c r="C3588" t="n">
        <v>0.0131</v>
      </c>
    </row>
    <row r="3589">
      <c r="A3589" t="n">
        <v>65</v>
      </c>
      <c r="B3589" t="n">
        <v>1972</v>
      </c>
      <c r="C3589" t="n">
        <v>0.0155</v>
      </c>
    </row>
    <row r="3590">
      <c r="A3590" t="n">
        <v>65</v>
      </c>
      <c r="B3590" t="n">
        <v>1973</v>
      </c>
      <c r="C3590" t="n">
        <v>0.0177</v>
      </c>
    </row>
    <row r="3591">
      <c r="A3591" t="n">
        <v>65</v>
      </c>
      <c r="B3591" t="n">
        <v>1974</v>
      </c>
      <c r="C3591" t="n">
        <v>0.0195</v>
      </c>
    </row>
    <row r="3592">
      <c r="A3592" t="n">
        <v>65</v>
      </c>
      <c r="B3592" t="n">
        <v>1975</v>
      </c>
      <c r="C3592" t="n">
        <v>0.0207</v>
      </c>
    </row>
    <row r="3593">
      <c r="A3593" t="n">
        <v>65</v>
      </c>
      <c r="B3593" t="n">
        <v>1976</v>
      </c>
      <c r="C3593" t="n">
        <v>0.0212</v>
      </c>
    </row>
    <row r="3594">
      <c r="A3594" t="n">
        <v>65</v>
      </c>
      <c r="B3594" t="n">
        <v>1977</v>
      </c>
      <c r="C3594" t="n">
        <v>0.0212</v>
      </c>
    </row>
    <row r="3595">
      <c r="A3595" t="n">
        <v>65</v>
      </c>
      <c r="B3595" t="n">
        <v>1978</v>
      </c>
      <c r="C3595" t="n">
        <v>0.0206</v>
      </c>
    </row>
    <row r="3596">
      <c r="A3596" t="n">
        <v>65</v>
      </c>
      <c r="B3596" t="n">
        <v>1979</v>
      </c>
      <c r="C3596" t="n">
        <v>0.0196</v>
      </c>
    </row>
    <row r="3597">
      <c r="A3597" t="n">
        <v>65</v>
      </c>
      <c r="B3597" t="n">
        <v>1980</v>
      </c>
      <c r="C3597" t="n">
        <v>0.0184</v>
      </c>
    </row>
    <row r="3598">
      <c r="A3598" t="n">
        <v>65</v>
      </c>
      <c r="B3598" t="n">
        <v>1981</v>
      </c>
      <c r="C3598" t="n">
        <v>0.017</v>
      </c>
    </row>
    <row r="3599">
      <c r="A3599" t="n">
        <v>65</v>
      </c>
      <c r="B3599" t="n">
        <v>1982</v>
      </c>
      <c r="C3599" t="n">
        <v>0.0158</v>
      </c>
    </row>
    <row r="3600">
      <c r="A3600" t="n">
        <v>65</v>
      </c>
      <c r="B3600" t="n">
        <v>1983</v>
      </c>
      <c r="C3600" t="n">
        <v>0.0148</v>
      </c>
    </row>
    <row r="3601">
      <c r="A3601" t="n">
        <v>65</v>
      </c>
      <c r="B3601" t="n">
        <v>1984</v>
      </c>
      <c r="C3601" t="n">
        <v>0.0144</v>
      </c>
    </row>
    <row r="3602">
      <c r="A3602" t="n">
        <v>65</v>
      </c>
      <c r="B3602" t="n">
        <v>1985</v>
      </c>
      <c r="C3602" t="n">
        <v>0.0146</v>
      </c>
    </row>
    <row r="3603">
      <c r="A3603" t="n">
        <v>65</v>
      </c>
      <c r="B3603" t="n">
        <v>1986</v>
      </c>
      <c r="C3603" t="n">
        <v>0.0152</v>
      </c>
    </row>
    <row r="3604">
      <c r="A3604" t="n">
        <v>65</v>
      </c>
      <c r="B3604" t="n">
        <v>1987</v>
      </c>
      <c r="C3604" t="n">
        <v>0.0161</v>
      </c>
    </row>
    <row r="3605">
      <c r="A3605" t="n">
        <v>65</v>
      </c>
      <c r="B3605" t="n">
        <v>1988</v>
      </c>
      <c r="C3605" t="n">
        <v>0.0169</v>
      </c>
    </row>
    <row r="3606">
      <c r="A3606" t="n">
        <v>65</v>
      </c>
      <c r="B3606" t="n">
        <v>1989</v>
      </c>
      <c r="C3606" t="n">
        <v>0.0173</v>
      </c>
    </row>
    <row r="3607">
      <c r="A3607" t="n">
        <v>65</v>
      </c>
      <c r="B3607" t="n">
        <v>1990</v>
      </c>
      <c r="C3607" t="n">
        <v>0.0173</v>
      </c>
    </row>
    <row r="3608">
      <c r="A3608" t="n">
        <v>65</v>
      </c>
      <c r="B3608" t="n">
        <v>1991</v>
      </c>
      <c r="C3608" t="n">
        <v>0.0169</v>
      </c>
    </row>
    <row r="3609">
      <c r="A3609" t="n">
        <v>65</v>
      </c>
      <c r="B3609" t="n">
        <v>1992</v>
      </c>
      <c r="C3609" t="n">
        <v>0.0164</v>
      </c>
    </row>
    <row r="3610">
      <c r="A3610" t="n">
        <v>65</v>
      </c>
      <c r="B3610" t="n">
        <v>1993</v>
      </c>
      <c r="C3610" t="n">
        <v>0.0162</v>
      </c>
    </row>
    <row r="3611">
      <c r="A3611" t="n">
        <v>65</v>
      </c>
      <c r="B3611" t="n">
        <v>1994</v>
      </c>
      <c r="C3611" t="n">
        <v>0.0164</v>
      </c>
    </row>
    <row r="3612">
      <c r="A3612" t="n">
        <v>65</v>
      </c>
      <c r="B3612" t="n">
        <v>1995</v>
      </c>
      <c r="C3612" t="n">
        <v>0.0172</v>
      </c>
    </row>
    <row r="3613">
      <c r="A3613" t="n">
        <v>65</v>
      </c>
      <c r="B3613" t="n">
        <v>1996</v>
      </c>
      <c r="C3613" t="n">
        <v>0.0185</v>
      </c>
    </row>
    <row r="3614">
      <c r="A3614" t="n">
        <v>65</v>
      </c>
      <c r="B3614" t="n">
        <v>1997</v>
      </c>
      <c r="C3614" t="n">
        <v>0.02</v>
      </c>
    </row>
    <row r="3615">
      <c r="A3615" t="n">
        <v>65</v>
      </c>
      <c r="B3615" t="n">
        <v>1998</v>
      </c>
      <c r="C3615" t="n">
        <v>0.0216</v>
      </c>
    </row>
    <row r="3616">
      <c r="A3616" t="n">
        <v>65</v>
      </c>
      <c r="B3616" t="n">
        <v>1999</v>
      </c>
      <c r="C3616" t="n">
        <v>0.023</v>
      </c>
    </row>
    <row r="3617">
      <c r="A3617" t="n">
        <v>65</v>
      </c>
      <c r="B3617" t="n">
        <v>2000</v>
      </c>
      <c r="C3617" t="n">
        <v>0.0242</v>
      </c>
    </row>
    <row r="3618">
      <c r="A3618" t="n">
        <v>65</v>
      </c>
      <c r="B3618" t="n">
        <v>2001</v>
      </c>
      <c r="C3618" t="n">
        <v>0.0251</v>
      </c>
    </row>
    <row r="3619">
      <c r="A3619" t="n">
        <v>65</v>
      </c>
      <c r="B3619" t="n">
        <v>2002</v>
      </c>
      <c r="C3619" t="n">
        <v>0.0258</v>
      </c>
    </row>
    <row r="3620">
      <c r="A3620" t="n">
        <v>65</v>
      </c>
      <c r="B3620" t="n">
        <v>2003</v>
      </c>
      <c r="C3620" t="n">
        <v>0.0262</v>
      </c>
    </row>
    <row r="3621">
      <c r="A3621" t="n">
        <v>65</v>
      </c>
      <c r="B3621" t="n">
        <v>2004</v>
      </c>
      <c r="C3621" t="n">
        <v>0.0262</v>
      </c>
    </row>
    <row r="3622">
      <c r="A3622" t="n">
        <v>65</v>
      </c>
      <c r="B3622" t="n">
        <v>2005</v>
      </c>
      <c r="C3622" t="n">
        <v>0.0257</v>
      </c>
    </row>
    <row r="3623">
      <c r="A3623" t="n">
        <v>65</v>
      </c>
      <c r="B3623" t="n">
        <v>2006</v>
      </c>
      <c r="C3623" t="n">
        <v>0.0245</v>
      </c>
    </row>
    <row r="3624">
      <c r="A3624" t="n">
        <v>65</v>
      </c>
      <c r="B3624" t="n">
        <v>2007</v>
      </c>
      <c r="C3624" t="n">
        <v>0.0226</v>
      </c>
    </row>
    <row r="3625">
      <c r="A3625" t="n">
        <v>65</v>
      </c>
      <c r="B3625" t="n">
        <v>2008</v>
      </c>
      <c r="C3625" t="n">
        <v>0.0199</v>
      </c>
    </row>
    <row r="3626">
      <c r="A3626" t="n">
        <v>65</v>
      </c>
      <c r="B3626" t="n">
        <v>2009</v>
      </c>
      <c r="C3626" t="n">
        <v>0.0166</v>
      </c>
    </row>
    <row r="3627">
      <c r="A3627" t="n">
        <v>65</v>
      </c>
      <c r="B3627" t="n">
        <v>2010</v>
      </c>
      <c r="C3627" t="n">
        <v>0.0127</v>
      </c>
    </row>
    <row r="3628">
      <c r="A3628" t="n">
        <v>65</v>
      </c>
      <c r="B3628" t="n">
        <v>2011</v>
      </c>
      <c r="C3628" t="n">
        <v>0.0081</v>
      </c>
    </row>
    <row r="3629">
      <c r="A3629" t="n">
        <v>65</v>
      </c>
      <c r="B3629" t="n">
        <v>2012</v>
      </c>
      <c r="C3629" t="n">
        <v>0.0032</v>
      </c>
    </row>
    <row r="3630">
      <c r="A3630" t="n">
        <v>65</v>
      </c>
      <c r="B3630" t="n">
        <v>2013</v>
      </c>
      <c r="C3630" t="n">
        <v>0.0022</v>
      </c>
    </row>
    <row r="3631">
      <c r="A3631" t="n">
        <v>65</v>
      </c>
      <c r="B3631" t="n">
        <v>2014</v>
      </c>
      <c r="C3631" t="n">
        <v>0.0016</v>
      </c>
    </row>
    <row r="3632">
      <c r="A3632" t="n">
        <v>65</v>
      </c>
      <c r="B3632" t="n">
        <v>2015</v>
      </c>
      <c r="C3632" t="n">
        <v>0.0014</v>
      </c>
    </row>
    <row r="3633">
      <c r="A3633" t="n">
        <v>65</v>
      </c>
      <c r="B3633" t="n">
        <v>2016</v>
      </c>
      <c r="C3633" t="n">
        <v>0.0016</v>
      </c>
    </row>
    <row r="3634">
      <c r="A3634" t="n">
        <v>65</v>
      </c>
      <c r="B3634" t="n">
        <v>2017</v>
      </c>
      <c r="C3634" t="n">
        <v>0.0023</v>
      </c>
    </row>
    <row r="3635">
      <c r="A3635" t="n">
        <v>65</v>
      </c>
      <c r="B3635" t="n">
        <v>2018</v>
      </c>
      <c r="C3635" t="n">
        <v>0.0033</v>
      </c>
    </row>
    <row r="3636">
      <c r="A3636" t="n">
        <v>65</v>
      </c>
      <c r="B3636" t="n">
        <v>2019</v>
      </c>
      <c r="C3636" t="n">
        <v>0.0045</v>
      </c>
    </row>
    <row r="3637">
      <c r="A3637" t="n">
        <v>65</v>
      </c>
      <c r="B3637" t="n">
        <v>2020</v>
      </c>
      <c r="C3637" t="n">
        <v>0.0058</v>
      </c>
    </row>
    <row r="3638">
      <c r="A3638" t="n">
        <v>65</v>
      </c>
      <c r="B3638" t="n">
        <v>2021</v>
      </c>
      <c r="C3638" t="n">
        <v>0.007</v>
      </c>
    </row>
    <row r="3639">
      <c r="A3639" t="n">
        <v>65</v>
      </c>
      <c r="B3639" t="n">
        <v>2022</v>
      </c>
      <c r="C3639" t="n">
        <v>0.008</v>
      </c>
    </row>
    <row r="3640">
      <c r="A3640" t="n">
        <v>65</v>
      </c>
      <c r="B3640" t="n">
        <v>2023</v>
      </c>
      <c r="C3640" t="n">
        <v>0.0089</v>
      </c>
    </row>
    <row r="3641">
      <c r="A3641" t="n">
        <v>65</v>
      </c>
      <c r="B3641" t="n">
        <v>2024</v>
      </c>
      <c r="C3641" t="n">
        <v>0.0095</v>
      </c>
    </row>
    <row r="3642">
      <c r="A3642" t="n">
        <v>65</v>
      </c>
      <c r="B3642" t="n">
        <v>2025</v>
      </c>
      <c r="C3642" t="n">
        <v>0.01</v>
      </c>
    </row>
    <row r="3643">
      <c r="A3643" t="n">
        <v>65</v>
      </c>
      <c r="B3643" t="n">
        <v>2026</v>
      </c>
      <c r="C3643" t="n">
        <v>0.0103</v>
      </c>
    </row>
    <row r="3644">
      <c r="A3644" t="n">
        <v>65</v>
      </c>
      <c r="B3644" t="n">
        <v>2027</v>
      </c>
      <c r="C3644" t="n">
        <v>0.0104</v>
      </c>
    </row>
    <row r="3645">
      <c r="A3645" t="n">
        <v>65</v>
      </c>
      <c r="B3645" t="n">
        <v>2028</v>
      </c>
      <c r="C3645" t="n">
        <v>0.0104</v>
      </c>
    </row>
    <row r="3646">
      <c r="A3646" t="n">
        <v>65</v>
      </c>
      <c r="B3646" t="n">
        <v>2029</v>
      </c>
      <c r="C3646" t="n">
        <v>0.0103</v>
      </c>
    </row>
    <row r="3647">
      <c r="A3647" t="n">
        <v>65</v>
      </c>
      <c r="B3647" t="n">
        <v>2030</v>
      </c>
      <c r="C3647" t="n">
        <v>0.0101</v>
      </c>
    </row>
    <row r="3648">
      <c r="A3648" t="n">
        <v>65</v>
      </c>
      <c r="B3648" t="n">
        <v>2031</v>
      </c>
      <c r="C3648" t="n">
        <v>0.01</v>
      </c>
    </row>
    <row r="3649">
      <c r="A3649" t="n">
        <v>66</v>
      </c>
      <c r="B3649" t="n">
        <v>1951</v>
      </c>
      <c r="C3649" t="n">
        <v>0.0077</v>
      </c>
    </row>
    <row r="3650">
      <c r="A3650" t="n">
        <v>66</v>
      </c>
      <c r="B3650" t="n">
        <v>1952</v>
      </c>
      <c r="C3650" t="n">
        <v>0.0059</v>
      </c>
    </row>
    <row r="3651">
      <c r="A3651" t="n">
        <v>66</v>
      </c>
      <c r="B3651" t="n">
        <v>1953</v>
      </c>
      <c r="C3651" t="n">
        <v>0.0041</v>
      </c>
    </row>
    <row r="3652">
      <c r="A3652" t="n">
        <v>66</v>
      </c>
      <c r="B3652" t="n">
        <v>1954</v>
      </c>
      <c r="C3652" t="n">
        <v>0.0023</v>
      </c>
    </row>
    <row r="3653">
      <c r="A3653" t="n">
        <v>66</v>
      </c>
      <c r="B3653" t="n">
        <v>1955</v>
      </c>
      <c r="C3653" t="n">
        <v>0.0005</v>
      </c>
    </row>
    <row r="3654">
      <c r="A3654" t="n">
        <v>66</v>
      </c>
      <c r="B3654" t="n">
        <v>1956</v>
      </c>
      <c r="C3654" t="n">
        <v>-0.001</v>
      </c>
    </row>
    <row r="3655">
      <c r="A3655" t="n">
        <v>66</v>
      </c>
      <c r="B3655" t="n">
        <v>1957</v>
      </c>
      <c r="C3655" t="n">
        <v>-0.0023</v>
      </c>
    </row>
    <row r="3656">
      <c r="A3656" t="n">
        <v>66</v>
      </c>
      <c r="B3656" t="n">
        <v>1958</v>
      </c>
      <c r="C3656" t="n">
        <v>-0.0031</v>
      </c>
    </row>
    <row r="3657">
      <c r="A3657" t="n">
        <v>66</v>
      </c>
      <c r="B3657" t="n">
        <v>1959</v>
      </c>
      <c r="C3657" t="n">
        <v>-0.0037</v>
      </c>
    </row>
    <row r="3658">
      <c r="A3658" t="n">
        <v>66</v>
      </c>
      <c r="B3658" t="n">
        <v>1960</v>
      </c>
      <c r="C3658" t="n">
        <v>-0.0041</v>
      </c>
    </row>
    <row r="3659">
      <c r="A3659" t="n">
        <v>66</v>
      </c>
      <c r="B3659" t="n">
        <v>1961</v>
      </c>
      <c r="C3659" t="n">
        <v>-0.0041</v>
      </c>
    </row>
    <row r="3660">
      <c r="A3660" t="n">
        <v>66</v>
      </c>
      <c r="B3660" t="n">
        <v>1962</v>
      </c>
      <c r="C3660" t="n">
        <v>-0.0038</v>
      </c>
    </row>
    <row r="3661">
      <c r="A3661" t="n">
        <v>66</v>
      </c>
      <c r="B3661" t="n">
        <v>1963</v>
      </c>
      <c r="C3661" t="n">
        <v>-0.0031</v>
      </c>
    </row>
    <row r="3662">
      <c r="A3662" t="n">
        <v>66</v>
      </c>
      <c r="B3662" t="n">
        <v>1964</v>
      </c>
      <c r="C3662" t="n">
        <v>-0.002</v>
      </c>
    </row>
    <row r="3663">
      <c r="A3663" t="n">
        <v>66</v>
      </c>
      <c r="B3663" t="n">
        <v>1965</v>
      </c>
      <c r="C3663" t="n">
        <v>-0.0005999999999999999</v>
      </c>
    </row>
    <row r="3664">
      <c r="A3664" t="n">
        <v>66</v>
      </c>
      <c r="B3664" t="n">
        <v>1966</v>
      </c>
      <c r="C3664" t="n">
        <v>0.0012</v>
      </c>
    </row>
    <row r="3665">
      <c r="A3665" t="n">
        <v>66</v>
      </c>
      <c r="B3665" t="n">
        <v>1967</v>
      </c>
      <c r="C3665" t="n">
        <v>0.0032</v>
      </c>
    </row>
    <row r="3666">
      <c r="A3666" t="n">
        <v>66</v>
      </c>
      <c r="B3666" t="n">
        <v>1968</v>
      </c>
      <c r="C3666" t="n">
        <v>0.0054</v>
      </c>
    </row>
    <row r="3667">
      <c r="A3667" t="n">
        <v>66</v>
      </c>
      <c r="B3667" t="n">
        <v>1969</v>
      </c>
      <c r="C3667" t="n">
        <v>0.0077</v>
      </c>
    </row>
    <row r="3668">
      <c r="A3668" t="n">
        <v>66</v>
      </c>
      <c r="B3668" t="n">
        <v>1970</v>
      </c>
      <c r="C3668" t="n">
        <v>0.01</v>
      </c>
    </row>
    <row r="3669">
      <c r="A3669" t="n">
        <v>66</v>
      </c>
      <c r="B3669" t="n">
        <v>1971</v>
      </c>
      <c r="C3669" t="n">
        <v>0.0124</v>
      </c>
    </row>
    <row r="3670">
      <c r="A3670" t="n">
        <v>66</v>
      </c>
      <c r="B3670" t="n">
        <v>1972</v>
      </c>
      <c r="C3670" t="n">
        <v>0.0147</v>
      </c>
    </row>
    <row r="3671">
      <c r="A3671" t="n">
        <v>66</v>
      </c>
      <c r="B3671" t="n">
        <v>1973</v>
      </c>
      <c r="C3671" t="n">
        <v>0.0168</v>
      </c>
    </row>
    <row r="3672">
      <c r="A3672" t="n">
        <v>66</v>
      </c>
      <c r="B3672" t="n">
        <v>1974</v>
      </c>
      <c r="C3672" t="n">
        <v>0.0184</v>
      </c>
    </row>
    <row r="3673">
      <c r="A3673" t="n">
        <v>66</v>
      </c>
      <c r="B3673" t="n">
        <v>1975</v>
      </c>
      <c r="C3673" t="n">
        <v>0.0195</v>
      </c>
    </row>
    <row r="3674">
      <c r="A3674" t="n">
        <v>66</v>
      </c>
      <c r="B3674" t="n">
        <v>1976</v>
      </c>
      <c r="C3674" t="n">
        <v>0.02</v>
      </c>
    </row>
    <row r="3675">
      <c r="A3675" t="n">
        <v>66</v>
      </c>
      <c r="B3675" t="n">
        <v>1977</v>
      </c>
      <c r="C3675" t="n">
        <v>0.02</v>
      </c>
    </row>
    <row r="3676">
      <c r="A3676" t="n">
        <v>66</v>
      </c>
      <c r="B3676" t="n">
        <v>1978</v>
      </c>
      <c r="C3676" t="n">
        <v>0.0194</v>
      </c>
    </row>
    <row r="3677">
      <c r="A3677" t="n">
        <v>66</v>
      </c>
      <c r="B3677" t="n">
        <v>1979</v>
      </c>
      <c r="C3677" t="n">
        <v>0.0185</v>
      </c>
    </row>
    <row r="3678">
      <c r="A3678" t="n">
        <v>66</v>
      </c>
      <c r="B3678" t="n">
        <v>1980</v>
      </c>
      <c r="C3678" t="n">
        <v>0.0175</v>
      </c>
    </row>
    <row r="3679">
      <c r="A3679" t="n">
        <v>66</v>
      </c>
      <c r="B3679" t="n">
        <v>1981</v>
      </c>
      <c r="C3679" t="n">
        <v>0.0164</v>
      </c>
    </row>
    <row r="3680">
      <c r="A3680" t="n">
        <v>66</v>
      </c>
      <c r="B3680" t="n">
        <v>1982</v>
      </c>
      <c r="C3680" t="n">
        <v>0.0154</v>
      </c>
    </row>
    <row r="3681">
      <c r="A3681" t="n">
        <v>66</v>
      </c>
      <c r="B3681" t="n">
        <v>1983</v>
      </c>
      <c r="C3681" t="n">
        <v>0.0148</v>
      </c>
    </row>
    <row r="3682">
      <c r="A3682" t="n">
        <v>66</v>
      </c>
      <c r="B3682" t="n">
        <v>1984</v>
      </c>
      <c r="C3682" t="n">
        <v>0.0146</v>
      </c>
    </row>
    <row r="3683">
      <c r="A3683" t="n">
        <v>66</v>
      </c>
      <c r="B3683" t="n">
        <v>1985</v>
      </c>
      <c r="C3683" t="n">
        <v>0.0149</v>
      </c>
    </row>
    <row r="3684">
      <c r="A3684" t="n">
        <v>66</v>
      </c>
      <c r="B3684" t="n">
        <v>1986</v>
      </c>
      <c r="C3684" t="n">
        <v>0.0156</v>
      </c>
    </row>
    <row r="3685">
      <c r="A3685" t="n">
        <v>66</v>
      </c>
      <c r="B3685" t="n">
        <v>1987</v>
      </c>
      <c r="C3685" t="n">
        <v>0.0164</v>
      </c>
    </row>
    <row r="3686">
      <c r="A3686" t="n">
        <v>66</v>
      </c>
      <c r="B3686" t="n">
        <v>1988</v>
      </c>
      <c r="C3686" t="n">
        <v>0.0171</v>
      </c>
    </row>
    <row r="3687">
      <c r="A3687" t="n">
        <v>66</v>
      </c>
      <c r="B3687" t="n">
        <v>1989</v>
      </c>
      <c r="C3687" t="n">
        <v>0.0174</v>
      </c>
    </row>
    <row r="3688">
      <c r="A3688" t="n">
        <v>66</v>
      </c>
      <c r="B3688" t="n">
        <v>1990</v>
      </c>
      <c r="C3688" t="n">
        <v>0.0172</v>
      </c>
    </row>
    <row r="3689">
      <c r="A3689" t="n">
        <v>66</v>
      </c>
      <c r="B3689" t="n">
        <v>1991</v>
      </c>
      <c r="C3689" t="n">
        <v>0.0166</v>
      </c>
    </row>
    <row r="3690">
      <c r="A3690" t="n">
        <v>66</v>
      </c>
      <c r="B3690" t="n">
        <v>1992</v>
      </c>
      <c r="C3690" t="n">
        <v>0.0159</v>
      </c>
    </row>
    <row r="3691">
      <c r="A3691" t="n">
        <v>66</v>
      </c>
      <c r="B3691" t="n">
        <v>1993</v>
      </c>
      <c r="C3691" t="n">
        <v>0.0155</v>
      </c>
    </row>
    <row r="3692">
      <c r="A3692" t="n">
        <v>66</v>
      </c>
      <c r="B3692" t="n">
        <v>1994</v>
      </c>
      <c r="C3692" t="n">
        <v>0.0156</v>
      </c>
    </row>
    <row r="3693">
      <c r="A3693" t="n">
        <v>66</v>
      </c>
      <c r="B3693" t="n">
        <v>1995</v>
      </c>
      <c r="C3693" t="n">
        <v>0.0163</v>
      </c>
    </row>
    <row r="3694">
      <c r="A3694" t="n">
        <v>66</v>
      </c>
      <c r="B3694" t="n">
        <v>1996</v>
      </c>
      <c r="C3694" t="n">
        <v>0.0175</v>
      </c>
    </row>
    <row r="3695">
      <c r="A3695" t="n">
        <v>66</v>
      </c>
      <c r="B3695" t="n">
        <v>1997</v>
      </c>
      <c r="C3695" t="n">
        <v>0.0191</v>
      </c>
    </row>
    <row r="3696">
      <c r="A3696" t="n">
        <v>66</v>
      </c>
      <c r="B3696" t="n">
        <v>1998</v>
      </c>
      <c r="C3696" t="n">
        <v>0.0209</v>
      </c>
    </row>
    <row r="3697">
      <c r="A3697" t="n">
        <v>66</v>
      </c>
      <c r="B3697" t="n">
        <v>1999</v>
      </c>
      <c r="C3697" t="n">
        <v>0.0226</v>
      </c>
    </row>
    <row r="3698">
      <c r="A3698" t="n">
        <v>66</v>
      </c>
      <c r="B3698" t="n">
        <v>2000</v>
      </c>
      <c r="C3698" t="n">
        <v>0.024</v>
      </c>
    </row>
    <row r="3699">
      <c r="A3699" t="n">
        <v>66</v>
      </c>
      <c r="B3699" t="n">
        <v>2001</v>
      </c>
      <c r="C3699" t="n">
        <v>0.0253</v>
      </c>
    </row>
    <row r="3700">
      <c r="A3700" t="n">
        <v>66</v>
      </c>
      <c r="B3700" t="n">
        <v>2002</v>
      </c>
      <c r="C3700" t="n">
        <v>0.0263</v>
      </c>
    </row>
    <row r="3701">
      <c r="A3701" t="n">
        <v>66</v>
      </c>
      <c r="B3701" t="n">
        <v>2003</v>
      </c>
      <c r="C3701" t="n">
        <v>0.0269</v>
      </c>
    </row>
    <row r="3702">
      <c r="A3702" t="n">
        <v>66</v>
      </c>
      <c r="B3702" t="n">
        <v>2004</v>
      </c>
      <c r="C3702" t="n">
        <v>0.0271</v>
      </c>
    </row>
    <row r="3703">
      <c r="A3703" t="n">
        <v>66</v>
      </c>
      <c r="B3703" t="n">
        <v>2005</v>
      </c>
      <c r="C3703" t="n">
        <v>0.0267</v>
      </c>
    </row>
    <row r="3704">
      <c r="A3704" t="n">
        <v>66</v>
      </c>
      <c r="B3704" t="n">
        <v>2006</v>
      </c>
      <c r="C3704" t="n">
        <v>0.0255</v>
      </c>
    </row>
    <row r="3705">
      <c r="A3705" t="n">
        <v>66</v>
      </c>
      <c r="B3705" t="n">
        <v>2007</v>
      </c>
      <c r="C3705" t="n">
        <v>0.0237</v>
      </c>
    </row>
    <row r="3706">
      <c r="A3706" t="n">
        <v>66</v>
      </c>
      <c r="B3706" t="n">
        <v>2008</v>
      </c>
      <c r="C3706" t="n">
        <v>0.0211</v>
      </c>
    </row>
    <row r="3707">
      <c r="A3707" t="n">
        <v>66</v>
      </c>
      <c r="B3707" t="n">
        <v>2009</v>
      </c>
      <c r="C3707" t="n">
        <v>0.018</v>
      </c>
    </row>
    <row r="3708">
      <c r="A3708" t="n">
        <v>66</v>
      </c>
      <c r="B3708" t="n">
        <v>2010</v>
      </c>
      <c r="C3708" t="n">
        <v>0.0142</v>
      </c>
    </row>
    <row r="3709">
      <c r="A3709" t="n">
        <v>66</v>
      </c>
      <c r="B3709" t="n">
        <v>2011</v>
      </c>
      <c r="C3709" t="n">
        <v>0.009900000000000001</v>
      </c>
    </row>
    <row r="3710">
      <c r="A3710" t="n">
        <v>66</v>
      </c>
      <c r="B3710" t="n">
        <v>2012</v>
      </c>
      <c r="C3710" t="n">
        <v>0.0053</v>
      </c>
    </row>
    <row r="3711">
      <c r="A3711" t="n">
        <v>66</v>
      </c>
      <c r="B3711" t="n">
        <v>2013</v>
      </c>
      <c r="C3711" t="n">
        <v>0.0043</v>
      </c>
    </row>
    <row r="3712">
      <c r="A3712" t="n">
        <v>66</v>
      </c>
      <c r="B3712" t="n">
        <v>2014</v>
      </c>
      <c r="C3712" t="n">
        <v>0.0035</v>
      </c>
    </row>
    <row r="3713">
      <c r="A3713" t="n">
        <v>66</v>
      </c>
      <c r="B3713" t="n">
        <v>2015</v>
      </c>
      <c r="C3713" t="n">
        <v>0.003</v>
      </c>
    </row>
    <row r="3714">
      <c r="A3714" t="n">
        <v>66</v>
      </c>
      <c r="B3714" t="n">
        <v>2016</v>
      </c>
      <c r="C3714" t="n">
        <v>0.0028</v>
      </c>
    </row>
    <row r="3715">
      <c r="A3715" t="n">
        <v>66</v>
      </c>
      <c r="B3715" t="n">
        <v>2017</v>
      </c>
      <c r="C3715" t="n">
        <v>0.003</v>
      </c>
    </row>
    <row r="3716">
      <c r="A3716" t="n">
        <v>66</v>
      </c>
      <c r="B3716" t="n">
        <v>2018</v>
      </c>
      <c r="C3716" t="n">
        <v>0.0036</v>
      </c>
    </row>
    <row r="3717">
      <c r="A3717" t="n">
        <v>66</v>
      </c>
      <c r="B3717" t="n">
        <v>2019</v>
      </c>
      <c r="C3717" t="n">
        <v>0.0044</v>
      </c>
    </row>
    <row r="3718">
      <c r="A3718" t="n">
        <v>66</v>
      </c>
      <c r="B3718" t="n">
        <v>2020</v>
      </c>
      <c r="C3718" t="n">
        <v>0.0054</v>
      </c>
    </row>
    <row r="3719">
      <c r="A3719" t="n">
        <v>66</v>
      </c>
      <c r="B3719" t="n">
        <v>2021</v>
      </c>
      <c r="C3719" t="n">
        <v>0.0065</v>
      </c>
    </row>
    <row r="3720">
      <c r="A3720" t="n">
        <v>66</v>
      </c>
      <c r="B3720" t="n">
        <v>2022</v>
      </c>
      <c r="C3720" t="n">
        <v>0.0075</v>
      </c>
    </row>
    <row r="3721">
      <c r="A3721" t="n">
        <v>66</v>
      </c>
      <c r="B3721" t="n">
        <v>2023</v>
      </c>
      <c r="C3721" t="n">
        <v>0.0083</v>
      </c>
    </row>
    <row r="3722">
      <c r="A3722" t="n">
        <v>66</v>
      </c>
      <c r="B3722" t="n">
        <v>2024</v>
      </c>
      <c r="C3722" t="n">
        <v>0.0091</v>
      </c>
    </row>
    <row r="3723">
      <c r="A3723" t="n">
        <v>66</v>
      </c>
      <c r="B3723" t="n">
        <v>2025</v>
      </c>
      <c r="C3723" t="n">
        <v>0.009599999999999999</v>
      </c>
    </row>
    <row r="3724">
      <c r="A3724" t="n">
        <v>66</v>
      </c>
      <c r="B3724" t="n">
        <v>2026</v>
      </c>
      <c r="C3724" t="n">
        <v>0.01</v>
      </c>
    </row>
    <row r="3725">
      <c r="A3725" t="n">
        <v>66</v>
      </c>
      <c r="B3725" t="n">
        <v>2027</v>
      </c>
      <c r="C3725" t="n">
        <v>0.0102</v>
      </c>
    </row>
    <row r="3726">
      <c r="A3726" t="n">
        <v>66</v>
      </c>
      <c r="B3726" t="n">
        <v>2028</v>
      </c>
      <c r="C3726" t="n">
        <v>0.0103</v>
      </c>
    </row>
    <row r="3727">
      <c r="A3727" t="n">
        <v>66</v>
      </c>
      <c r="B3727" t="n">
        <v>2029</v>
      </c>
      <c r="C3727" t="n">
        <v>0.0102</v>
      </c>
    </row>
    <row r="3728">
      <c r="A3728" t="n">
        <v>66</v>
      </c>
      <c r="B3728" t="n">
        <v>2030</v>
      </c>
      <c r="C3728" t="n">
        <v>0.0101</v>
      </c>
    </row>
    <row r="3729">
      <c r="A3729" t="n">
        <v>66</v>
      </c>
      <c r="B3729" t="n">
        <v>2031</v>
      </c>
      <c r="C3729" t="n">
        <v>0.01</v>
      </c>
    </row>
    <row r="3730">
      <c r="A3730" t="n">
        <v>67</v>
      </c>
      <c r="B3730" t="n">
        <v>1951</v>
      </c>
      <c r="C3730" t="n">
        <v>0.0075</v>
      </c>
    </row>
    <row r="3731">
      <c r="A3731" t="n">
        <v>67</v>
      </c>
      <c r="B3731" t="n">
        <v>1952</v>
      </c>
      <c r="C3731" t="n">
        <v>0.0057</v>
      </c>
    </row>
    <row r="3732">
      <c r="A3732" t="n">
        <v>67</v>
      </c>
      <c r="B3732" t="n">
        <v>1953</v>
      </c>
      <c r="C3732" t="n">
        <v>0.0039</v>
      </c>
    </row>
    <row r="3733">
      <c r="A3733" t="n">
        <v>67</v>
      </c>
      <c r="B3733" t="n">
        <v>1954</v>
      </c>
      <c r="C3733" t="n">
        <v>0.0021</v>
      </c>
    </row>
    <row r="3734">
      <c r="A3734" t="n">
        <v>67</v>
      </c>
      <c r="B3734" t="n">
        <v>1955</v>
      </c>
      <c r="C3734" t="n">
        <v>0.0004</v>
      </c>
    </row>
    <row r="3735">
      <c r="A3735" t="n">
        <v>67</v>
      </c>
      <c r="B3735" t="n">
        <v>1956</v>
      </c>
      <c r="C3735" t="n">
        <v>-0.0011</v>
      </c>
    </row>
    <row r="3736">
      <c r="A3736" t="n">
        <v>67</v>
      </c>
      <c r="B3736" t="n">
        <v>1957</v>
      </c>
      <c r="C3736" t="n">
        <v>-0.0023</v>
      </c>
    </row>
    <row r="3737">
      <c r="A3737" t="n">
        <v>67</v>
      </c>
      <c r="B3737" t="n">
        <v>1958</v>
      </c>
      <c r="C3737" t="n">
        <v>-0.0031</v>
      </c>
    </row>
    <row r="3738">
      <c r="A3738" t="n">
        <v>67</v>
      </c>
      <c r="B3738" t="n">
        <v>1959</v>
      </c>
      <c r="C3738" t="n">
        <v>-0.0036</v>
      </c>
    </row>
    <row r="3739">
      <c r="A3739" t="n">
        <v>67</v>
      </c>
      <c r="B3739" t="n">
        <v>1960</v>
      </c>
      <c r="C3739" t="n">
        <v>-0.0039</v>
      </c>
    </row>
    <row r="3740">
      <c r="A3740" t="n">
        <v>67</v>
      </c>
      <c r="B3740" t="n">
        <v>1961</v>
      </c>
      <c r="C3740" t="n">
        <v>-0.0039</v>
      </c>
    </row>
    <row r="3741">
      <c r="A3741" t="n">
        <v>67</v>
      </c>
      <c r="B3741" t="n">
        <v>1962</v>
      </c>
      <c r="C3741" t="n">
        <v>-0.0035</v>
      </c>
    </row>
    <row r="3742">
      <c r="A3742" t="n">
        <v>67</v>
      </c>
      <c r="B3742" t="n">
        <v>1963</v>
      </c>
      <c r="C3742" t="n">
        <v>-0.0029</v>
      </c>
    </row>
    <row r="3743">
      <c r="A3743" t="n">
        <v>67</v>
      </c>
      <c r="B3743" t="n">
        <v>1964</v>
      </c>
      <c r="C3743" t="n">
        <v>-0.0018</v>
      </c>
    </row>
    <row r="3744">
      <c r="A3744" t="n">
        <v>67</v>
      </c>
      <c r="B3744" t="n">
        <v>1965</v>
      </c>
      <c r="C3744" t="n">
        <v>-0.0005</v>
      </c>
    </row>
    <row r="3745">
      <c r="A3745" t="n">
        <v>67</v>
      </c>
      <c r="B3745" t="n">
        <v>1966</v>
      </c>
      <c r="C3745" t="n">
        <v>0.0011</v>
      </c>
    </row>
    <row r="3746">
      <c r="A3746" t="n">
        <v>67</v>
      </c>
      <c r="B3746" t="n">
        <v>1967</v>
      </c>
      <c r="C3746" t="n">
        <v>0.0029</v>
      </c>
    </row>
    <row r="3747">
      <c r="A3747" t="n">
        <v>67</v>
      </c>
      <c r="B3747" t="n">
        <v>1968</v>
      </c>
      <c r="C3747" t="n">
        <v>0.005</v>
      </c>
    </row>
    <row r="3748">
      <c r="A3748" t="n">
        <v>67</v>
      </c>
      <c r="B3748" t="n">
        <v>1969</v>
      </c>
      <c r="C3748" t="n">
        <v>0.0072</v>
      </c>
    </row>
    <row r="3749">
      <c r="A3749" t="n">
        <v>67</v>
      </c>
      <c r="B3749" t="n">
        <v>1970</v>
      </c>
      <c r="C3749" t="n">
        <v>0.0094</v>
      </c>
    </row>
    <row r="3750">
      <c r="A3750" t="n">
        <v>67</v>
      </c>
      <c r="B3750" t="n">
        <v>1971</v>
      </c>
      <c r="C3750" t="n">
        <v>0.0117</v>
      </c>
    </row>
    <row r="3751">
      <c r="A3751" t="n">
        <v>67</v>
      </c>
      <c r="B3751" t="n">
        <v>1972</v>
      </c>
      <c r="C3751" t="n">
        <v>0.0139</v>
      </c>
    </row>
    <row r="3752">
      <c r="A3752" t="n">
        <v>67</v>
      </c>
      <c r="B3752" t="n">
        <v>1973</v>
      </c>
      <c r="C3752" t="n">
        <v>0.0159</v>
      </c>
    </row>
    <row r="3753">
      <c r="A3753" t="n">
        <v>67</v>
      </c>
      <c r="B3753" t="n">
        <v>1974</v>
      </c>
      <c r="C3753" t="n">
        <v>0.0175</v>
      </c>
    </row>
    <row r="3754">
      <c r="A3754" t="n">
        <v>67</v>
      </c>
      <c r="B3754" t="n">
        <v>1975</v>
      </c>
      <c r="C3754" t="n">
        <v>0.0185</v>
      </c>
    </row>
    <row r="3755">
      <c r="A3755" t="n">
        <v>67</v>
      </c>
      <c r="B3755" t="n">
        <v>1976</v>
      </c>
      <c r="C3755" t="n">
        <v>0.0189</v>
      </c>
    </row>
    <row r="3756">
      <c r="A3756" t="n">
        <v>67</v>
      </c>
      <c r="B3756" t="n">
        <v>1977</v>
      </c>
      <c r="C3756" t="n">
        <v>0.0188</v>
      </c>
    </row>
    <row r="3757">
      <c r="A3757" t="n">
        <v>67</v>
      </c>
      <c r="B3757" t="n">
        <v>1978</v>
      </c>
      <c r="C3757" t="n">
        <v>0.0183</v>
      </c>
    </row>
    <row r="3758">
      <c r="A3758" t="n">
        <v>67</v>
      </c>
      <c r="B3758" t="n">
        <v>1979</v>
      </c>
      <c r="C3758" t="n">
        <v>0.0174</v>
      </c>
    </row>
    <row r="3759">
      <c r="A3759" t="n">
        <v>67</v>
      </c>
      <c r="B3759" t="n">
        <v>1980</v>
      </c>
      <c r="C3759" t="n">
        <v>0.0165</v>
      </c>
    </row>
    <row r="3760">
      <c r="A3760" t="n">
        <v>67</v>
      </c>
      <c r="B3760" t="n">
        <v>1981</v>
      </c>
      <c r="C3760" t="n">
        <v>0.0156</v>
      </c>
    </row>
    <row r="3761">
      <c r="A3761" t="n">
        <v>67</v>
      </c>
      <c r="B3761" t="n">
        <v>1982</v>
      </c>
      <c r="C3761" t="n">
        <v>0.0149</v>
      </c>
    </row>
    <row r="3762">
      <c r="A3762" t="n">
        <v>67</v>
      </c>
      <c r="B3762" t="n">
        <v>1983</v>
      </c>
      <c r="C3762" t="n">
        <v>0.0146</v>
      </c>
    </row>
    <row r="3763">
      <c r="A3763" t="n">
        <v>67</v>
      </c>
      <c r="B3763" t="n">
        <v>1984</v>
      </c>
      <c r="C3763" t="n">
        <v>0.0146</v>
      </c>
    </row>
    <row r="3764">
      <c r="A3764" t="n">
        <v>67</v>
      </c>
      <c r="B3764" t="n">
        <v>1985</v>
      </c>
      <c r="C3764" t="n">
        <v>0.0151</v>
      </c>
    </row>
    <row r="3765">
      <c r="A3765" t="n">
        <v>67</v>
      </c>
      <c r="B3765" t="n">
        <v>1986</v>
      </c>
      <c r="C3765" t="n">
        <v>0.0159</v>
      </c>
    </row>
    <row r="3766">
      <c r="A3766" t="n">
        <v>67</v>
      </c>
      <c r="B3766" t="n">
        <v>1987</v>
      </c>
      <c r="C3766" t="n">
        <v>0.0167</v>
      </c>
    </row>
    <row r="3767">
      <c r="A3767" t="n">
        <v>67</v>
      </c>
      <c r="B3767" t="n">
        <v>1988</v>
      </c>
      <c r="C3767" t="n">
        <v>0.0174</v>
      </c>
    </row>
    <row r="3768">
      <c r="A3768" t="n">
        <v>67</v>
      </c>
      <c r="B3768" t="n">
        <v>1989</v>
      </c>
      <c r="C3768" t="n">
        <v>0.0176</v>
      </c>
    </row>
    <row r="3769">
      <c r="A3769" t="n">
        <v>67</v>
      </c>
      <c r="B3769" t="n">
        <v>1990</v>
      </c>
      <c r="C3769" t="n">
        <v>0.0172</v>
      </c>
    </row>
    <row r="3770">
      <c r="A3770" t="n">
        <v>67</v>
      </c>
      <c r="B3770" t="n">
        <v>1991</v>
      </c>
      <c r="C3770" t="n">
        <v>0.0165</v>
      </c>
    </row>
    <row r="3771">
      <c r="A3771" t="n">
        <v>67</v>
      </c>
      <c r="B3771" t="n">
        <v>1992</v>
      </c>
      <c r="C3771" t="n">
        <v>0.0156</v>
      </c>
    </row>
    <row r="3772">
      <c r="A3772" t="n">
        <v>67</v>
      </c>
      <c r="B3772" t="n">
        <v>1993</v>
      </c>
      <c r="C3772" t="n">
        <v>0.015</v>
      </c>
    </row>
    <row r="3773">
      <c r="A3773" t="n">
        <v>67</v>
      </c>
      <c r="B3773" t="n">
        <v>1994</v>
      </c>
      <c r="C3773" t="n">
        <v>0.015</v>
      </c>
    </row>
    <row r="3774">
      <c r="A3774" t="n">
        <v>67</v>
      </c>
      <c r="B3774" t="n">
        <v>1995</v>
      </c>
      <c r="C3774" t="n">
        <v>0.0155</v>
      </c>
    </row>
    <row r="3775">
      <c r="A3775" t="n">
        <v>67</v>
      </c>
      <c r="B3775" t="n">
        <v>1996</v>
      </c>
      <c r="C3775" t="n">
        <v>0.0166</v>
      </c>
    </row>
    <row r="3776">
      <c r="A3776" t="n">
        <v>67</v>
      </c>
      <c r="B3776" t="n">
        <v>1997</v>
      </c>
      <c r="C3776" t="n">
        <v>0.0181</v>
      </c>
    </row>
    <row r="3777">
      <c r="A3777" t="n">
        <v>67</v>
      </c>
      <c r="B3777" t="n">
        <v>1998</v>
      </c>
      <c r="C3777" t="n">
        <v>0.02</v>
      </c>
    </row>
    <row r="3778">
      <c r="A3778" t="n">
        <v>67</v>
      </c>
      <c r="B3778" t="n">
        <v>1999</v>
      </c>
      <c r="C3778" t="n">
        <v>0.0219</v>
      </c>
    </row>
    <row r="3779">
      <c r="A3779" t="n">
        <v>67</v>
      </c>
      <c r="B3779" t="n">
        <v>2000</v>
      </c>
      <c r="C3779" t="n">
        <v>0.0237</v>
      </c>
    </row>
    <row r="3780">
      <c r="A3780" t="n">
        <v>67</v>
      </c>
      <c r="B3780" t="n">
        <v>2001</v>
      </c>
      <c r="C3780" t="n">
        <v>0.0253</v>
      </c>
    </row>
    <row r="3781">
      <c r="A3781" t="n">
        <v>67</v>
      </c>
      <c r="B3781" t="n">
        <v>2002</v>
      </c>
      <c r="C3781" t="n">
        <v>0.0266</v>
      </c>
    </row>
    <row r="3782">
      <c r="A3782" t="n">
        <v>67</v>
      </c>
      <c r="B3782" t="n">
        <v>2003</v>
      </c>
      <c r="C3782" t="n">
        <v>0.0275</v>
      </c>
    </row>
    <row r="3783">
      <c r="A3783" t="n">
        <v>67</v>
      </c>
      <c r="B3783" t="n">
        <v>2004</v>
      </c>
      <c r="C3783" t="n">
        <v>0.0278</v>
      </c>
    </row>
    <row r="3784">
      <c r="A3784" t="n">
        <v>67</v>
      </c>
      <c r="B3784" t="n">
        <v>2005</v>
      </c>
      <c r="C3784" t="n">
        <v>0.0274</v>
      </c>
    </row>
    <row r="3785">
      <c r="A3785" t="n">
        <v>67</v>
      </c>
      <c r="B3785" t="n">
        <v>2006</v>
      </c>
      <c r="C3785" t="n">
        <v>0.0263</v>
      </c>
    </row>
    <row r="3786">
      <c r="A3786" t="n">
        <v>67</v>
      </c>
      <c r="B3786" t="n">
        <v>2007</v>
      </c>
      <c r="C3786" t="n">
        <v>0.0245</v>
      </c>
    </row>
    <row r="3787">
      <c r="A3787" t="n">
        <v>67</v>
      </c>
      <c r="B3787" t="n">
        <v>2008</v>
      </c>
      <c r="C3787" t="n">
        <v>0.0221</v>
      </c>
    </row>
    <row r="3788">
      <c r="A3788" t="n">
        <v>67</v>
      </c>
      <c r="B3788" t="n">
        <v>2009</v>
      </c>
      <c r="C3788" t="n">
        <v>0.0191</v>
      </c>
    </row>
    <row r="3789">
      <c r="A3789" t="n">
        <v>67</v>
      </c>
      <c r="B3789" t="n">
        <v>2010</v>
      </c>
      <c r="C3789" t="n">
        <v>0.0156</v>
      </c>
    </row>
    <row r="3790">
      <c r="A3790" t="n">
        <v>67</v>
      </c>
      <c r="B3790" t="n">
        <v>2011</v>
      </c>
      <c r="C3790" t="n">
        <v>0.0116</v>
      </c>
    </row>
    <row r="3791">
      <c r="A3791" t="n">
        <v>67</v>
      </c>
      <c r="B3791" t="n">
        <v>2012</v>
      </c>
      <c r="C3791" t="n">
        <v>0.0073</v>
      </c>
    </row>
    <row r="3792">
      <c r="A3792" t="n">
        <v>67</v>
      </c>
      <c r="B3792" t="n">
        <v>2013</v>
      </c>
      <c r="C3792" t="n">
        <v>0.0064</v>
      </c>
    </row>
    <row r="3793">
      <c r="A3793" t="n">
        <v>67</v>
      </c>
      <c r="B3793" t="n">
        <v>2014</v>
      </c>
      <c r="C3793" t="n">
        <v>0.0055</v>
      </c>
    </row>
    <row r="3794">
      <c r="A3794" t="n">
        <v>67</v>
      </c>
      <c r="B3794" t="n">
        <v>2015</v>
      </c>
      <c r="C3794" t="n">
        <v>0.0047</v>
      </c>
    </row>
    <row r="3795">
      <c r="A3795" t="n">
        <v>67</v>
      </c>
      <c r="B3795" t="n">
        <v>2016</v>
      </c>
      <c r="C3795" t="n">
        <v>0.0042</v>
      </c>
    </row>
    <row r="3796">
      <c r="A3796" t="n">
        <v>67</v>
      </c>
      <c r="B3796" t="n">
        <v>2017</v>
      </c>
      <c r="C3796" t="n">
        <v>0.004</v>
      </c>
    </row>
    <row r="3797">
      <c r="A3797" t="n">
        <v>67</v>
      </c>
      <c r="B3797" t="n">
        <v>2018</v>
      </c>
      <c r="C3797" t="n">
        <v>0.0041</v>
      </c>
    </row>
    <row r="3798">
      <c r="A3798" t="n">
        <v>67</v>
      </c>
      <c r="B3798" t="n">
        <v>2019</v>
      </c>
      <c r="C3798" t="n">
        <v>0.0046</v>
      </c>
    </row>
    <row r="3799">
      <c r="A3799" t="n">
        <v>67</v>
      </c>
      <c r="B3799" t="n">
        <v>2020</v>
      </c>
      <c r="C3799" t="n">
        <v>0.0053</v>
      </c>
    </row>
    <row r="3800">
      <c r="A3800" t="n">
        <v>67</v>
      </c>
      <c r="B3800" t="n">
        <v>2021</v>
      </c>
      <c r="C3800" t="n">
        <v>0.0061</v>
      </c>
    </row>
    <row r="3801">
      <c r="A3801" t="n">
        <v>67</v>
      </c>
      <c r="B3801" t="n">
        <v>2022</v>
      </c>
      <c r="C3801" t="n">
        <v>0.007</v>
      </c>
    </row>
    <row r="3802">
      <c r="A3802" t="n">
        <v>67</v>
      </c>
      <c r="B3802" t="n">
        <v>2023</v>
      </c>
      <c r="C3802" t="n">
        <v>0.007900000000000001</v>
      </c>
    </row>
    <row r="3803">
      <c r="A3803" t="n">
        <v>67</v>
      </c>
      <c r="B3803" t="n">
        <v>2024</v>
      </c>
      <c r="C3803" t="n">
        <v>0.0086</v>
      </c>
    </row>
    <row r="3804">
      <c r="A3804" t="n">
        <v>67</v>
      </c>
      <c r="B3804" t="n">
        <v>2025</v>
      </c>
      <c r="C3804" t="n">
        <v>0.0092</v>
      </c>
    </row>
    <row r="3805">
      <c r="A3805" t="n">
        <v>67</v>
      </c>
      <c r="B3805" t="n">
        <v>2026</v>
      </c>
      <c r="C3805" t="n">
        <v>0.0097</v>
      </c>
    </row>
    <row r="3806">
      <c r="A3806" t="n">
        <v>67</v>
      </c>
      <c r="B3806" t="n">
        <v>2027</v>
      </c>
      <c r="C3806" t="n">
        <v>0.01</v>
      </c>
    </row>
    <row r="3807">
      <c r="A3807" t="n">
        <v>67</v>
      </c>
      <c r="B3807" t="n">
        <v>2028</v>
      </c>
      <c r="C3807" t="n">
        <v>0.0101</v>
      </c>
    </row>
    <row r="3808">
      <c r="A3808" t="n">
        <v>67</v>
      </c>
      <c r="B3808" t="n">
        <v>2029</v>
      </c>
      <c r="C3808" t="n">
        <v>0.0101</v>
      </c>
    </row>
    <row r="3809">
      <c r="A3809" t="n">
        <v>67</v>
      </c>
      <c r="B3809" t="n">
        <v>2030</v>
      </c>
      <c r="C3809" t="n">
        <v>0.0101</v>
      </c>
    </row>
    <row r="3810">
      <c r="A3810" t="n">
        <v>67</v>
      </c>
      <c r="B3810" t="n">
        <v>2031</v>
      </c>
      <c r="C3810" t="n">
        <v>0.01</v>
      </c>
    </row>
    <row r="3811">
      <c r="A3811" t="n">
        <v>68</v>
      </c>
      <c r="B3811" t="n">
        <v>1951</v>
      </c>
      <c r="C3811" t="n">
        <v>0.0076</v>
      </c>
    </row>
    <row r="3812">
      <c r="A3812" t="n">
        <v>68</v>
      </c>
      <c r="B3812" t="n">
        <v>1952</v>
      </c>
      <c r="C3812" t="n">
        <v>0.0058</v>
      </c>
    </row>
    <row r="3813">
      <c r="A3813" t="n">
        <v>68</v>
      </c>
      <c r="B3813" t="n">
        <v>1953</v>
      </c>
      <c r="C3813" t="n">
        <v>0.004</v>
      </c>
    </row>
    <row r="3814">
      <c r="A3814" t="n">
        <v>68</v>
      </c>
      <c r="B3814" t="n">
        <v>1954</v>
      </c>
      <c r="C3814" t="n">
        <v>0.0022</v>
      </c>
    </row>
    <row r="3815">
      <c r="A3815" t="n">
        <v>68</v>
      </c>
      <c r="B3815" t="n">
        <v>1955</v>
      </c>
      <c r="C3815" t="n">
        <v>0.0004</v>
      </c>
    </row>
    <row r="3816">
      <c r="A3816" t="n">
        <v>68</v>
      </c>
      <c r="B3816" t="n">
        <v>1956</v>
      </c>
      <c r="C3816" t="n">
        <v>-0.001</v>
      </c>
    </row>
    <row r="3817">
      <c r="A3817" t="n">
        <v>68</v>
      </c>
      <c r="B3817" t="n">
        <v>1957</v>
      </c>
      <c r="C3817" t="n">
        <v>-0.0022</v>
      </c>
    </row>
    <row r="3818">
      <c r="A3818" t="n">
        <v>68</v>
      </c>
      <c r="B3818" t="n">
        <v>1958</v>
      </c>
      <c r="C3818" t="n">
        <v>-0.0029</v>
      </c>
    </row>
    <row r="3819">
      <c r="A3819" t="n">
        <v>68</v>
      </c>
      <c r="B3819" t="n">
        <v>1959</v>
      </c>
      <c r="C3819" t="n">
        <v>-0.0034</v>
      </c>
    </row>
    <row r="3820">
      <c r="A3820" t="n">
        <v>68</v>
      </c>
      <c r="B3820" t="n">
        <v>1960</v>
      </c>
      <c r="C3820" t="n">
        <v>-0.0036</v>
      </c>
    </row>
    <row r="3821">
      <c r="A3821" t="n">
        <v>68</v>
      </c>
      <c r="B3821" t="n">
        <v>1961</v>
      </c>
      <c r="C3821" t="n">
        <v>-0.0036</v>
      </c>
    </row>
    <row r="3822">
      <c r="A3822" t="n">
        <v>68</v>
      </c>
      <c r="B3822" t="n">
        <v>1962</v>
      </c>
      <c r="C3822" t="n">
        <v>-0.0033</v>
      </c>
    </row>
    <row r="3823">
      <c r="A3823" t="n">
        <v>68</v>
      </c>
      <c r="B3823" t="n">
        <v>1963</v>
      </c>
      <c r="C3823" t="n">
        <v>-0.0027</v>
      </c>
    </row>
    <row r="3824">
      <c r="A3824" t="n">
        <v>68</v>
      </c>
      <c r="B3824" t="n">
        <v>1964</v>
      </c>
      <c r="C3824" t="n">
        <v>-0.0018</v>
      </c>
    </row>
    <row r="3825">
      <c r="A3825" t="n">
        <v>68</v>
      </c>
      <c r="B3825" t="n">
        <v>1965</v>
      </c>
      <c r="C3825" t="n">
        <v>-0.0005999999999999999</v>
      </c>
    </row>
    <row r="3826">
      <c r="A3826" t="n">
        <v>68</v>
      </c>
      <c r="B3826" t="n">
        <v>1966</v>
      </c>
      <c r="C3826" t="n">
        <v>0.0009</v>
      </c>
    </row>
    <row r="3827">
      <c r="A3827" t="n">
        <v>68</v>
      </c>
      <c r="B3827" t="n">
        <v>1967</v>
      </c>
      <c r="C3827" t="n">
        <v>0.0026</v>
      </c>
    </row>
    <row r="3828">
      <c r="A3828" t="n">
        <v>68</v>
      </c>
      <c r="B3828" t="n">
        <v>1968</v>
      </c>
      <c r="C3828" t="n">
        <v>0.0045</v>
      </c>
    </row>
    <row r="3829">
      <c r="A3829" t="n">
        <v>68</v>
      </c>
      <c r="B3829" t="n">
        <v>1969</v>
      </c>
      <c r="C3829" t="n">
        <v>0.0066</v>
      </c>
    </row>
    <row r="3830">
      <c r="A3830" t="n">
        <v>68</v>
      </c>
      <c r="B3830" t="n">
        <v>1970</v>
      </c>
      <c r="C3830" t="n">
        <v>0.0089</v>
      </c>
    </row>
    <row r="3831">
      <c r="A3831" t="n">
        <v>68</v>
      </c>
      <c r="B3831" t="n">
        <v>1971</v>
      </c>
      <c r="C3831" t="n">
        <v>0.0111</v>
      </c>
    </row>
    <row r="3832">
      <c r="A3832" t="n">
        <v>68</v>
      </c>
      <c r="B3832" t="n">
        <v>1972</v>
      </c>
      <c r="C3832" t="n">
        <v>0.0132</v>
      </c>
    </row>
    <row r="3833">
      <c r="A3833" t="n">
        <v>68</v>
      </c>
      <c r="B3833" t="n">
        <v>1973</v>
      </c>
      <c r="C3833" t="n">
        <v>0.0152</v>
      </c>
    </row>
    <row r="3834">
      <c r="A3834" t="n">
        <v>68</v>
      </c>
      <c r="B3834" t="n">
        <v>1974</v>
      </c>
      <c r="C3834" t="n">
        <v>0.0167</v>
      </c>
    </row>
    <row r="3835">
      <c r="A3835" t="n">
        <v>68</v>
      </c>
      <c r="B3835" t="n">
        <v>1975</v>
      </c>
      <c r="C3835" t="n">
        <v>0.0176</v>
      </c>
    </row>
    <row r="3836">
      <c r="A3836" t="n">
        <v>68</v>
      </c>
      <c r="B3836" t="n">
        <v>1976</v>
      </c>
      <c r="C3836" t="n">
        <v>0.018</v>
      </c>
    </row>
    <row r="3837">
      <c r="A3837" t="n">
        <v>68</v>
      </c>
      <c r="B3837" t="n">
        <v>1977</v>
      </c>
      <c r="C3837" t="n">
        <v>0.0177</v>
      </c>
    </row>
    <row r="3838">
      <c r="A3838" t="n">
        <v>68</v>
      </c>
      <c r="B3838" t="n">
        <v>1978</v>
      </c>
      <c r="C3838" t="n">
        <v>0.0171</v>
      </c>
    </row>
    <row r="3839">
      <c r="A3839" t="n">
        <v>68</v>
      </c>
      <c r="B3839" t="n">
        <v>1979</v>
      </c>
      <c r="C3839" t="n">
        <v>0.0163</v>
      </c>
    </row>
    <row r="3840">
      <c r="A3840" t="n">
        <v>68</v>
      </c>
      <c r="B3840" t="n">
        <v>1980</v>
      </c>
      <c r="C3840" t="n">
        <v>0.0155</v>
      </c>
    </row>
    <row r="3841">
      <c r="A3841" t="n">
        <v>68</v>
      </c>
      <c r="B3841" t="n">
        <v>1981</v>
      </c>
      <c r="C3841" t="n">
        <v>0.0148</v>
      </c>
    </row>
    <row r="3842">
      <c r="A3842" t="n">
        <v>68</v>
      </c>
      <c r="B3842" t="n">
        <v>1982</v>
      </c>
      <c r="C3842" t="n">
        <v>0.0143</v>
      </c>
    </row>
    <row r="3843">
      <c r="A3843" t="n">
        <v>68</v>
      </c>
      <c r="B3843" t="n">
        <v>1983</v>
      </c>
      <c r="C3843" t="n">
        <v>0.0141</v>
      </c>
    </row>
    <row r="3844">
      <c r="A3844" t="n">
        <v>68</v>
      </c>
      <c r="B3844" t="n">
        <v>1984</v>
      </c>
      <c r="C3844" t="n">
        <v>0.0144</v>
      </c>
    </row>
    <row r="3845">
      <c r="A3845" t="n">
        <v>68</v>
      </c>
      <c r="B3845" t="n">
        <v>1985</v>
      </c>
      <c r="C3845" t="n">
        <v>0.0151</v>
      </c>
    </row>
    <row r="3846">
      <c r="A3846" t="n">
        <v>68</v>
      </c>
      <c r="B3846" t="n">
        <v>1986</v>
      </c>
      <c r="C3846" t="n">
        <v>0.016</v>
      </c>
    </row>
    <row r="3847">
      <c r="A3847" t="n">
        <v>68</v>
      </c>
      <c r="B3847" t="n">
        <v>1987</v>
      </c>
      <c r="C3847" t="n">
        <v>0.0169</v>
      </c>
    </row>
    <row r="3848">
      <c r="A3848" t="n">
        <v>68</v>
      </c>
      <c r="B3848" t="n">
        <v>1988</v>
      </c>
      <c r="C3848" t="n">
        <v>0.0176</v>
      </c>
    </row>
    <row r="3849">
      <c r="A3849" t="n">
        <v>68</v>
      </c>
      <c r="B3849" t="n">
        <v>1989</v>
      </c>
      <c r="C3849" t="n">
        <v>0.0178</v>
      </c>
    </row>
    <row r="3850">
      <c r="A3850" t="n">
        <v>68</v>
      </c>
      <c r="B3850" t="n">
        <v>1990</v>
      </c>
      <c r="C3850" t="n">
        <v>0.0173</v>
      </c>
    </row>
    <row r="3851">
      <c r="A3851" t="n">
        <v>68</v>
      </c>
      <c r="B3851" t="n">
        <v>1991</v>
      </c>
      <c r="C3851" t="n">
        <v>0.0165</v>
      </c>
    </row>
    <row r="3852">
      <c r="A3852" t="n">
        <v>68</v>
      </c>
      <c r="B3852" t="n">
        <v>1992</v>
      </c>
      <c r="C3852" t="n">
        <v>0.0155</v>
      </c>
    </row>
    <row r="3853">
      <c r="A3853" t="n">
        <v>68</v>
      </c>
      <c r="B3853" t="n">
        <v>1993</v>
      </c>
      <c r="C3853" t="n">
        <v>0.0147</v>
      </c>
    </row>
    <row r="3854">
      <c r="A3854" t="n">
        <v>68</v>
      </c>
      <c r="B3854" t="n">
        <v>1994</v>
      </c>
      <c r="C3854" t="n">
        <v>0.0145</v>
      </c>
    </row>
    <row r="3855">
      <c r="A3855" t="n">
        <v>68</v>
      </c>
      <c r="B3855" t="n">
        <v>1995</v>
      </c>
      <c r="C3855" t="n">
        <v>0.0148</v>
      </c>
    </row>
    <row r="3856">
      <c r="A3856" t="n">
        <v>68</v>
      </c>
      <c r="B3856" t="n">
        <v>1996</v>
      </c>
      <c r="C3856" t="n">
        <v>0.0157</v>
      </c>
    </row>
    <row r="3857">
      <c r="A3857" t="n">
        <v>68</v>
      </c>
      <c r="B3857" t="n">
        <v>1997</v>
      </c>
      <c r="C3857" t="n">
        <v>0.0172</v>
      </c>
    </row>
    <row r="3858">
      <c r="A3858" t="n">
        <v>68</v>
      </c>
      <c r="B3858" t="n">
        <v>1998</v>
      </c>
      <c r="C3858" t="n">
        <v>0.0191</v>
      </c>
    </row>
    <row r="3859">
      <c r="A3859" t="n">
        <v>68</v>
      </c>
      <c r="B3859" t="n">
        <v>1999</v>
      </c>
      <c r="C3859" t="n">
        <v>0.0211</v>
      </c>
    </row>
    <row r="3860">
      <c r="A3860" t="n">
        <v>68</v>
      </c>
      <c r="B3860" t="n">
        <v>2000</v>
      </c>
      <c r="C3860" t="n">
        <v>0.0232</v>
      </c>
    </row>
    <row r="3861">
      <c r="A3861" t="n">
        <v>68</v>
      </c>
      <c r="B3861" t="n">
        <v>2001</v>
      </c>
      <c r="C3861" t="n">
        <v>0.0251</v>
      </c>
    </row>
    <row r="3862">
      <c r="A3862" t="n">
        <v>68</v>
      </c>
      <c r="B3862" t="n">
        <v>2002</v>
      </c>
      <c r="C3862" t="n">
        <v>0.0266</v>
      </c>
    </row>
    <row r="3863">
      <c r="A3863" t="n">
        <v>68</v>
      </c>
      <c r="B3863" t="n">
        <v>2003</v>
      </c>
      <c r="C3863" t="n">
        <v>0.0277</v>
      </c>
    </row>
    <row r="3864">
      <c r="A3864" t="n">
        <v>68</v>
      </c>
      <c r="B3864" t="n">
        <v>2004</v>
      </c>
      <c r="C3864" t="n">
        <v>0.0282</v>
      </c>
    </row>
    <row r="3865">
      <c r="A3865" t="n">
        <v>68</v>
      </c>
      <c r="B3865" t="n">
        <v>2005</v>
      </c>
      <c r="C3865" t="n">
        <v>0.0279</v>
      </c>
    </row>
    <row r="3866">
      <c r="A3866" t="n">
        <v>68</v>
      </c>
      <c r="B3866" t="n">
        <v>2006</v>
      </c>
      <c r="C3866" t="n">
        <v>0.0269</v>
      </c>
    </row>
    <row r="3867">
      <c r="A3867" t="n">
        <v>68</v>
      </c>
      <c r="B3867" t="n">
        <v>2007</v>
      </c>
      <c r="C3867" t="n">
        <v>0.0252</v>
      </c>
    </row>
    <row r="3868">
      <c r="A3868" t="n">
        <v>68</v>
      </c>
      <c r="B3868" t="n">
        <v>2008</v>
      </c>
      <c r="C3868" t="n">
        <v>0.0228</v>
      </c>
    </row>
    <row r="3869">
      <c r="A3869" t="n">
        <v>68</v>
      </c>
      <c r="B3869" t="n">
        <v>2009</v>
      </c>
      <c r="C3869" t="n">
        <v>0.02</v>
      </c>
    </row>
    <row r="3870">
      <c r="A3870" t="n">
        <v>68</v>
      </c>
      <c r="B3870" t="n">
        <v>2010</v>
      </c>
      <c r="C3870" t="n">
        <v>0.0167</v>
      </c>
    </row>
    <row r="3871">
      <c r="A3871" t="n">
        <v>68</v>
      </c>
      <c r="B3871" t="n">
        <v>2011</v>
      </c>
      <c r="C3871" t="n">
        <v>0.013</v>
      </c>
    </row>
    <row r="3872">
      <c r="A3872" t="n">
        <v>68</v>
      </c>
      <c r="B3872" t="n">
        <v>2012</v>
      </c>
      <c r="C3872" t="n">
        <v>0.0091</v>
      </c>
    </row>
    <row r="3873">
      <c r="A3873" t="n">
        <v>68</v>
      </c>
      <c r="B3873" t="n">
        <v>2013</v>
      </c>
      <c r="C3873" t="n">
        <v>0.008200000000000001</v>
      </c>
    </row>
    <row r="3874">
      <c r="A3874" t="n">
        <v>68</v>
      </c>
      <c r="B3874" t="n">
        <v>2014</v>
      </c>
      <c r="C3874" t="n">
        <v>0.0073</v>
      </c>
    </row>
    <row r="3875">
      <c r="A3875" t="n">
        <v>68</v>
      </c>
      <c r="B3875" t="n">
        <v>2015</v>
      </c>
      <c r="C3875" t="n">
        <v>0.0064</v>
      </c>
    </row>
    <row r="3876">
      <c r="A3876" t="n">
        <v>68</v>
      </c>
      <c r="B3876" t="n">
        <v>2016</v>
      </c>
      <c r="C3876" t="n">
        <v>0.0057</v>
      </c>
    </row>
    <row r="3877">
      <c r="A3877" t="n">
        <v>68</v>
      </c>
      <c r="B3877" t="n">
        <v>2017</v>
      </c>
      <c r="C3877" t="n">
        <v>0.0051</v>
      </c>
    </row>
    <row r="3878">
      <c r="A3878" t="n">
        <v>68</v>
      </c>
      <c r="B3878" t="n">
        <v>2018</v>
      </c>
      <c r="C3878" t="n">
        <v>0.0049</v>
      </c>
    </row>
    <row r="3879">
      <c r="A3879" t="n">
        <v>68</v>
      </c>
      <c r="B3879" t="n">
        <v>2019</v>
      </c>
      <c r="C3879" t="n">
        <v>0.0049</v>
      </c>
    </row>
    <row r="3880">
      <c r="A3880" t="n">
        <v>68</v>
      </c>
      <c r="B3880" t="n">
        <v>2020</v>
      </c>
      <c r="C3880" t="n">
        <v>0.0053</v>
      </c>
    </row>
    <row r="3881">
      <c r="A3881" t="n">
        <v>68</v>
      </c>
      <c r="B3881" t="n">
        <v>2021</v>
      </c>
      <c r="C3881" t="n">
        <v>0.0059</v>
      </c>
    </row>
    <row r="3882">
      <c r="A3882" t="n">
        <v>68</v>
      </c>
      <c r="B3882" t="n">
        <v>2022</v>
      </c>
      <c r="C3882" t="n">
        <v>0.0067</v>
      </c>
    </row>
    <row r="3883">
      <c r="A3883" t="n">
        <v>68</v>
      </c>
      <c r="B3883" t="n">
        <v>2023</v>
      </c>
      <c r="C3883" t="n">
        <v>0.0075</v>
      </c>
    </row>
    <row r="3884">
      <c r="A3884" t="n">
        <v>68</v>
      </c>
      <c r="B3884" t="n">
        <v>2024</v>
      </c>
      <c r="C3884" t="n">
        <v>0.008200000000000001</v>
      </c>
    </row>
    <row r="3885">
      <c r="A3885" t="n">
        <v>68</v>
      </c>
      <c r="B3885" t="n">
        <v>2025</v>
      </c>
      <c r="C3885" t="n">
        <v>0.0089</v>
      </c>
    </row>
    <row r="3886">
      <c r="A3886" t="n">
        <v>68</v>
      </c>
      <c r="B3886" t="n">
        <v>2026</v>
      </c>
      <c r="C3886" t="n">
        <v>0.0094</v>
      </c>
    </row>
    <row r="3887">
      <c r="A3887" t="n">
        <v>68</v>
      </c>
      <c r="B3887" t="n">
        <v>2027</v>
      </c>
      <c r="C3887" t="n">
        <v>0.0098</v>
      </c>
    </row>
    <row r="3888">
      <c r="A3888" t="n">
        <v>68</v>
      </c>
      <c r="B3888" t="n">
        <v>2028</v>
      </c>
      <c r="C3888" t="n">
        <v>0.01</v>
      </c>
    </row>
    <row r="3889">
      <c r="A3889" t="n">
        <v>68</v>
      </c>
      <c r="B3889" t="n">
        <v>2029</v>
      </c>
      <c r="C3889" t="n">
        <v>0.0101</v>
      </c>
    </row>
    <row r="3890">
      <c r="A3890" t="n">
        <v>68</v>
      </c>
      <c r="B3890" t="n">
        <v>2030</v>
      </c>
      <c r="C3890" t="n">
        <v>0.0101</v>
      </c>
    </row>
    <row r="3891">
      <c r="A3891" t="n">
        <v>68</v>
      </c>
      <c r="B3891" t="n">
        <v>2031</v>
      </c>
      <c r="C3891" t="n">
        <v>0.01</v>
      </c>
    </row>
    <row r="3892">
      <c r="A3892" t="n">
        <v>69</v>
      </c>
      <c r="B3892" t="n">
        <v>1951</v>
      </c>
      <c r="C3892" t="n">
        <v>0.008</v>
      </c>
    </row>
    <row r="3893">
      <c r="A3893" t="n">
        <v>69</v>
      </c>
      <c r="B3893" t="n">
        <v>1952</v>
      </c>
      <c r="C3893" t="n">
        <v>0.0061</v>
      </c>
    </row>
    <row r="3894">
      <c r="A3894" t="n">
        <v>69</v>
      </c>
      <c r="B3894" t="n">
        <v>1953</v>
      </c>
      <c r="C3894" t="n">
        <v>0.0042</v>
      </c>
    </row>
    <row r="3895">
      <c r="A3895" t="n">
        <v>69</v>
      </c>
      <c r="B3895" t="n">
        <v>1954</v>
      </c>
      <c r="C3895" t="n">
        <v>0.0024</v>
      </c>
    </row>
    <row r="3896">
      <c r="A3896" t="n">
        <v>69</v>
      </c>
      <c r="B3896" t="n">
        <v>1955</v>
      </c>
      <c r="C3896" t="n">
        <v>0.0007</v>
      </c>
    </row>
    <row r="3897">
      <c r="A3897" t="n">
        <v>69</v>
      </c>
      <c r="B3897" t="n">
        <v>1956</v>
      </c>
      <c r="C3897" t="n">
        <v>-0.0007</v>
      </c>
    </row>
    <row r="3898">
      <c r="A3898" t="n">
        <v>69</v>
      </c>
      <c r="B3898" t="n">
        <v>1957</v>
      </c>
      <c r="C3898" t="n">
        <v>-0.0019</v>
      </c>
    </row>
    <row r="3899">
      <c r="A3899" t="n">
        <v>69</v>
      </c>
      <c r="B3899" t="n">
        <v>1958</v>
      </c>
      <c r="C3899" t="n">
        <v>-0.0026</v>
      </c>
    </row>
    <row r="3900">
      <c r="A3900" t="n">
        <v>69</v>
      </c>
      <c r="B3900" t="n">
        <v>1959</v>
      </c>
      <c r="C3900" t="n">
        <v>-0.0031</v>
      </c>
    </row>
    <row r="3901">
      <c r="A3901" t="n">
        <v>69</v>
      </c>
      <c r="B3901" t="n">
        <v>1960</v>
      </c>
      <c r="C3901" t="n">
        <v>-0.0033</v>
      </c>
    </row>
    <row r="3902">
      <c r="A3902" t="n">
        <v>69</v>
      </c>
      <c r="B3902" t="n">
        <v>1961</v>
      </c>
      <c r="C3902" t="n">
        <v>-0.0033</v>
      </c>
    </row>
    <row r="3903">
      <c r="A3903" t="n">
        <v>69</v>
      </c>
      <c r="B3903" t="n">
        <v>1962</v>
      </c>
      <c r="C3903" t="n">
        <v>-0.0031</v>
      </c>
    </row>
    <row r="3904">
      <c r="A3904" t="n">
        <v>69</v>
      </c>
      <c r="B3904" t="n">
        <v>1963</v>
      </c>
      <c r="C3904" t="n">
        <v>-0.0026</v>
      </c>
    </row>
    <row r="3905">
      <c r="A3905" t="n">
        <v>69</v>
      </c>
      <c r="B3905" t="n">
        <v>1964</v>
      </c>
      <c r="C3905" t="n">
        <v>-0.0018</v>
      </c>
    </row>
    <row r="3906">
      <c r="A3906" t="n">
        <v>69</v>
      </c>
      <c r="B3906" t="n">
        <v>1965</v>
      </c>
      <c r="C3906" t="n">
        <v>-0.0008</v>
      </c>
    </row>
    <row r="3907">
      <c r="A3907" t="n">
        <v>69</v>
      </c>
      <c r="B3907" t="n">
        <v>1966</v>
      </c>
      <c r="C3907" t="n">
        <v>0.0005</v>
      </c>
    </row>
    <row r="3908">
      <c r="A3908" t="n">
        <v>69</v>
      </c>
      <c r="B3908" t="n">
        <v>1967</v>
      </c>
      <c r="C3908" t="n">
        <v>0.0021</v>
      </c>
    </row>
    <row r="3909">
      <c r="A3909" t="n">
        <v>69</v>
      </c>
      <c r="B3909" t="n">
        <v>1968</v>
      </c>
      <c r="C3909" t="n">
        <v>0.004</v>
      </c>
    </row>
    <row r="3910">
      <c r="A3910" t="n">
        <v>69</v>
      </c>
      <c r="B3910" t="n">
        <v>1969</v>
      </c>
      <c r="C3910" t="n">
        <v>0.0061</v>
      </c>
    </row>
    <row r="3911">
      <c r="A3911" t="n">
        <v>69</v>
      </c>
      <c r="B3911" t="n">
        <v>1970</v>
      </c>
      <c r="C3911" t="n">
        <v>0.0083</v>
      </c>
    </row>
    <row r="3912">
      <c r="A3912" t="n">
        <v>69</v>
      </c>
      <c r="B3912" t="n">
        <v>1971</v>
      </c>
      <c r="C3912" t="n">
        <v>0.0105</v>
      </c>
    </row>
    <row r="3913">
      <c r="A3913" t="n">
        <v>69</v>
      </c>
      <c r="B3913" t="n">
        <v>1972</v>
      </c>
      <c r="C3913" t="n">
        <v>0.0126</v>
      </c>
    </row>
    <row r="3914">
      <c r="A3914" t="n">
        <v>69</v>
      </c>
      <c r="B3914" t="n">
        <v>1973</v>
      </c>
      <c r="C3914" t="n">
        <v>0.0145</v>
      </c>
    </row>
    <row r="3915">
      <c r="A3915" t="n">
        <v>69</v>
      </c>
      <c r="B3915" t="n">
        <v>1974</v>
      </c>
      <c r="C3915" t="n">
        <v>0.016</v>
      </c>
    </row>
    <row r="3916">
      <c r="A3916" t="n">
        <v>69</v>
      </c>
      <c r="B3916" t="n">
        <v>1975</v>
      </c>
      <c r="C3916" t="n">
        <v>0.0168</v>
      </c>
    </row>
    <row r="3917">
      <c r="A3917" t="n">
        <v>69</v>
      </c>
      <c r="B3917" t="n">
        <v>1976</v>
      </c>
      <c r="C3917" t="n">
        <v>0.0171</v>
      </c>
    </row>
    <row r="3918">
      <c r="A3918" t="n">
        <v>69</v>
      </c>
      <c r="B3918" t="n">
        <v>1977</v>
      </c>
      <c r="C3918" t="n">
        <v>0.0168</v>
      </c>
    </row>
    <row r="3919">
      <c r="A3919" t="n">
        <v>69</v>
      </c>
      <c r="B3919" t="n">
        <v>1978</v>
      </c>
      <c r="C3919" t="n">
        <v>0.0161</v>
      </c>
    </row>
    <row r="3920">
      <c r="A3920" t="n">
        <v>69</v>
      </c>
      <c r="B3920" t="n">
        <v>1979</v>
      </c>
      <c r="C3920" t="n">
        <v>0.0152</v>
      </c>
    </row>
    <row r="3921">
      <c r="A3921" t="n">
        <v>69</v>
      </c>
      <c r="B3921" t="n">
        <v>1980</v>
      </c>
      <c r="C3921" t="n">
        <v>0.0144</v>
      </c>
    </row>
    <row r="3922">
      <c r="A3922" t="n">
        <v>69</v>
      </c>
      <c r="B3922" t="n">
        <v>1981</v>
      </c>
      <c r="C3922" t="n">
        <v>0.0138</v>
      </c>
    </row>
    <row r="3923">
      <c r="A3923" t="n">
        <v>69</v>
      </c>
      <c r="B3923" t="n">
        <v>1982</v>
      </c>
      <c r="C3923" t="n">
        <v>0.0135</v>
      </c>
    </row>
    <row r="3924">
      <c r="A3924" t="n">
        <v>69</v>
      </c>
      <c r="B3924" t="n">
        <v>1983</v>
      </c>
      <c r="C3924" t="n">
        <v>0.0135</v>
      </c>
    </row>
    <row r="3925">
      <c r="A3925" t="n">
        <v>69</v>
      </c>
      <c r="B3925" t="n">
        <v>1984</v>
      </c>
      <c r="C3925" t="n">
        <v>0.014</v>
      </c>
    </row>
    <row r="3926">
      <c r="A3926" t="n">
        <v>69</v>
      </c>
      <c r="B3926" t="n">
        <v>1985</v>
      </c>
      <c r="C3926" t="n">
        <v>0.0149</v>
      </c>
    </row>
    <row r="3927">
      <c r="A3927" t="n">
        <v>69</v>
      </c>
      <c r="B3927" t="n">
        <v>1986</v>
      </c>
      <c r="C3927" t="n">
        <v>0.016</v>
      </c>
    </row>
    <row r="3928">
      <c r="A3928" t="n">
        <v>69</v>
      </c>
      <c r="B3928" t="n">
        <v>1987</v>
      </c>
      <c r="C3928" t="n">
        <v>0.017</v>
      </c>
    </row>
    <row r="3929">
      <c r="A3929" t="n">
        <v>69</v>
      </c>
      <c r="B3929" t="n">
        <v>1988</v>
      </c>
      <c r="C3929" t="n">
        <v>0.0177</v>
      </c>
    </row>
    <row r="3930">
      <c r="A3930" t="n">
        <v>69</v>
      </c>
      <c r="B3930" t="n">
        <v>1989</v>
      </c>
      <c r="C3930" t="n">
        <v>0.0179</v>
      </c>
    </row>
    <row r="3931">
      <c r="A3931" t="n">
        <v>69</v>
      </c>
      <c r="B3931" t="n">
        <v>1990</v>
      </c>
      <c r="C3931" t="n">
        <v>0.0175</v>
      </c>
    </row>
    <row r="3932">
      <c r="A3932" t="n">
        <v>69</v>
      </c>
      <c r="B3932" t="n">
        <v>1991</v>
      </c>
      <c r="C3932" t="n">
        <v>0.0166</v>
      </c>
    </row>
    <row r="3933">
      <c r="A3933" t="n">
        <v>69</v>
      </c>
      <c r="B3933" t="n">
        <v>1992</v>
      </c>
      <c r="C3933" t="n">
        <v>0.0155</v>
      </c>
    </row>
    <row r="3934">
      <c r="A3934" t="n">
        <v>69</v>
      </c>
      <c r="B3934" t="n">
        <v>1993</v>
      </c>
      <c r="C3934" t="n">
        <v>0.0146</v>
      </c>
    </row>
    <row r="3935">
      <c r="A3935" t="n">
        <v>69</v>
      </c>
      <c r="B3935" t="n">
        <v>1994</v>
      </c>
      <c r="C3935" t="n">
        <v>0.0141</v>
      </c>
    </row>
    <row r="3936">
      <c r="A3936" t="n">
        <v>69</v>
      </c>
      <c r="B3936" t="n">
        <v>1995</v>
      </c>
      <c r="C3936" t="n">
        <v>0.0142</v>
      </c>
    </row>
    <row r="3937">
      <c r="A3937" t="n">
        <v>69</v>
      </c>
      <c r="B3937" t="n">
        <v>1996</v>
      </c>
      <c r="C3937" t="n">
        <v>0.015</v>
      </c>
    </row>
    <row r="3938">
      <c r="A3938" t="n">
        <v>69</v>
      </c>
      <c r="B3938" t="n">
        <v>1997</v>
      </c>
      <c r="C3938" t="n">
        <v>0.0163</v>
      </c>
    </row>
    <row r="3939">
      <c r="A3939" t="n">
        <v>69</v>
      </c>
      <c r="B3939" t="n">
        <v>1998</v>
      </c>
      <c r="C3939" t="n">
        <v>0.0181</v>
      </c>
    </row>
    <row r="3940">
      <c r="A3940" t="n">
        <v>69</v>
      </c>
      <c r="B3940" t="n">
        <v>1999</v>
      </c>
      <c r="C3940" t="n">
        <v>0.0203</v>
      </c>
    </row>
    <row r="3941">
      <c r="A3941" t="n">
        <v>69</v>
      </c>
      <c r="B3941" t="n">
        <v>2000</v>
      </c>
      <c r="C3941" t="n">
        <v>0.0225</v>
      </c>
    </row>
    <row r="3942">
      <c r="A3942" t="n">
        <v>69</v>
      </c>
      <c r="B3942" t="n">
        <v>2001</v>
      </c>
      <c r="C3942" t="n">
        <v>0.0247</v>
      </c>
    </row>
    <row r="3943">
      <c r="A3943" t="n">
        <v>69</v>
      </c>
      <c r="B3943" t="n">
        <v>2002</v>
      </c>
      <c r="C3943" t="n">
        <v>0.0265</v>
      </c>
    </row>
    <row r="3944">
      <c r="A3944" t="n">
        <v>69</v>
      </c>
      <c r="B3944" t="n">
        <v>2003</v>
      </c>
      <c r="C3944" t="n">
        <v>0.0278</v>
      </c>
    </row>
    <row r="3945">
      <c r="A3945" t="n">
        <v>69</v>
      </c>
      <c r="B3945" t="n">
        <v>2004</v>
      </c>
      <c r="C3945" t="n">
        <v>0.0284</v>
      </c>
    </row>
    <row r="3946">
      <c r="A3946" t="n">
        <v>69</v>
      </c>
      <c r="B3946" t="n">
        <v>2005</v>
      </c>
      <c r="C3946" t="n">
        <v>0.0282</v>
      </c>
    </row>
    <row r="3947">
      <c r="A3947" t="n">
        <v>69</v>
      </c>
      <c r="B3947" t="n">
        <v>2006</v>
      </c>
      <c r="C3947" t="n">
        <v>0.0273</v>
      </c>
    </row>
    <row r="3948">
      <c r="A3948" t="n">
        <v>69</v>
      </c>
      <c r="B3948" t="n">
        <v>2007</v>
      </c>
      <c r="C3948" t="n">
        <v>0.0256</v>
      </c>
    </row>
    <row r="3949">
      <c r="A3949" t="n">
        <v>69</v>
      </c>
      <c r="B3949" t="n">
        <v>2008</v>
      </c>
      <c r="C3949" t="n">
        <v>0.0234</v>
      </c>
    </row>
    <row r="3950">
      <c r="A3950" t="n">
        <v>69</v>
      </c>
      <c r="B3950" t="n">
        <v>2009</v>
      </c>
      <c r="C3950" t="n">
        <v>0.0207</v>
      </c>
    </row>
    <row r="3951">
      <c r="A3951" t="n">
        <v>69</v>
      </c>
      <c r="B3951" t="n">
        <v>2010</v>
      </c>
      <c r="C3951" t="n">
        <v>0.0175</v>
      </c>
    </row>
    <row r="3952">
      <c r="A3952" t="n">
        <v>69</v>
      </c>
      <c r="B3952" t="n">
        <v>2011</v>
      </c>
      <c r="C3952" t="n">
        <v>0.0141</v>
      </c>
    </row>
    <row r="3953">
      <c r="A3953" t="n">
        <v>69</v>
      </c>
      <c r="B3953" t="n">
        <v>2012</v>
      </c>
      <c r="C3953" t="n">
        <v>0.0105</v>
      </c>
    </row>
    <row r="3954">
      <c r="A3954" t="n">
        <v>69</v>
      </c>
      <c r="B3954" t="n">
        <v>2013</v>
      </c>
      <c r="C3954" t="n">
        <v>0.0097</v>
      </c>
    </row>
    <row r="3955">
      <c r="A3955" t="n">
        <v>69</v>
      </c>
      <c r="B3955" t="n">
        <v>2014</v>
      </c>
      <c r="C3955" t="n">
        <v>0.0089</v>
      </c>
    </row>
    <row r="3956">
      <c r="A3956" t="n">
        <v>69</v>
      </c>
      <c r="B3956" t="n">
        <v>2015</v>
      </c>
      <c r="C3956" t="n">
        <v>0.008</v>
      </c>
    </row>
    <row r="3957">
      <c r="A3957" t="n">
        <v>69</v>
      </c>
      <c r="B3957" t="n">
        <v>2016</v>
      </c>
      <c r="C3957" t="n">
        <v>0.0071</v>
      </c>
    </row>
    <row r="3958">
      <c r="A3958" t="n">
        <v>69</v>
      </c>
      <c r="B3958" t="n">
        <v>2017</v>
      </c>
      <c r="C3958" t="n">
        <v>0.0063</v>
      </c>
    </row>
    <row r="3959">
      <c r="A3959" t="n">
        <v>69</v>
      </c>
      <c r="B3959" t="n">
        <v>2018</v>
      </c>
      <c r="C3959" t="n">
        <v>0.0058</v>
      </c>
    </row>
    <row r="3960">
      <c r="A3960" t="n">
        <v>69</v>
      </c>
      <c r="B3960" t="n">
        <v>2019</v>
      </c>
      <c r="C3960" t="n">
        <v>0.0055</v>
      </c>
    </row>
    <row r="3961">
      <c r="A3961" t="n">
        <v>69</v>
      </c>
      <c r="B3961" t="n">
        <v>2020</v>
      </c>
      <c r="C3961" t="n">
        <v>0.0056</v>
      </c>
    </row>
    <row r="3962">
      <c r="A3962" t="n">
        <v>69</v>
      </c>
      <c r="B3962" t="n">
        <v>2021</v>
      </c>
      <c r="C3962" t="n">
        <v>0.0059</v>
      </c>
    </row>
    <row r="3963">
      <c r="A3963" t="n">
        <v>69</v>
      </c>
      <c r="B3963" t="n">
        <v>2022</v>
      </c>
      <c r="C3963" t="n">
        <v>0.0065</v>
      </c>
    </row>
    <row r="3964">
      <c r="A3964" t="n">
        <v>69</v>
      </c>
      <c r="B3964" t="n">
        <v>2023</v>
      </c>
      <c r="C3964" t="n">
        <v>0.0072</v>
      </c>
    </row>
    <row r="3965">
      <c r="A3965" t="n">
        <v>69</v>
      </c>
      <c r="B3965" t="n">
        <v>2024</v>
      </c>
      <c r="C3965" t="n">
        <v>0.007900000000000001</v>
      </c>
    </row>
    <row r="3966">
      <c r="A3966" t="n">
        <v>69</v>
      </c>
      <c r="B3966" t="n">
        <v>2025</v>
      </c>
      <c r="C3966" t="n">
        <v>0.0086</v>
      </c>
    </row>
    <row r="3967">
      <c r="A3967" t="n">
        <v>69</v>
      </c>
      <c r="B3967" t="n">
        <v>2026</v>
      </c>
      <c r="C3967" t="n">
        <v>0.0092</v>
      </c>
    </row>
    <row r="3968">
      <c r="A3968" t="n">
        <v>69</v>
      </c>
      <c r="B3968" t="n">
        <v>2027</v>
      </c>
      <c r="C3968" t="n">
        <v>0.009599999999999999</v>
      </c>
    </row>
    <row r="3969">
      <c r="A3969" t="n">
        <v>69</v>
      </c>
      <c r="B3969" t="n">
        <v>2028</v>
      </c>
      <c r="C3969" t="n">
        <v>0.009900000000000001</v>
      </c>
    </row>
    <row r="3970">
      <c r="A3970" t="n">
        <v>69</v>
      </c>
      <c r="B3970" t="n">
        <v>2029</v>
      </c>
      <c r="C3970" t="n">
        <v>0.01</v>
      </c>
    </row>
    <row r="3971">
      <c r="A3971" t="n">
        <v>69</v>
      </c>
      <c r="B3971" t="n">
        <v>2030</v>
      </c>
      <c r="C3971" t="n">
        <v>0.01</v>
      </c>
    </row>
    <row r="3972">
      <c r="A3972" t="n">
        <v>69</v>
      </c>
      <c r="B3972" t="n">
        <v>2031</v>
      </c>
      <c r="C3972" t="n">
        <v>0.01</v>
      </c>
    </row>
    <row r="3973">
      <c r="A3973" t="n">
        <v>70</v>
      </c>
      <c r="B3973" t="n">
        <v>1951</v>
      </c>
      <c r="C3973" t="n">
        <v>0.008500000000000001</v>
      </c>
    </row>
    <row r="3974">
      <c r="A3974" t="n">
        <v>70</v>
      </c>
      <c r="B3974" t="n">
        <v>1952</v>
      </c>
      <c r="C3974" t="n">
        <v>0.0066</v>
      </c>
    </row>
    <row r="3975">
      <c r="A3975" t="n">
        <v>70</v>
      </c>
      <c r="B3975" t="n">
        <v>1953</v>
      </c>
      <c r="C3975" t="n">
        <v>0.0047</v>
      </c>
    </row>
    <row r="3976">
      <c r="A3976" t="n">
        <v>70</v>
      </c>
      <c r="B3976" t="n">
        <v>1954</v>
      </c>
      <c r="C3976" t="n">
        <v>0.0029</v>
      </c>
    </row>
    <row r="3977">
      <c r="A3977" t="n">
        <v>70</v>
      </c>
      <c r="B3977" t="n">
        <v>1955</v>
      </c>
      <c r="C3977" t="n">
        <v>0.0012</v>
      </c>
    </row>
    <row r="3978">
      <c r="A3978" t="n">
        <v>70</v>
      </c>
      <c r="B3978" t="n">
        <v>1956</v>
      </c>
      <c r="C3978" t="n">
        <v>-0.0003</v>
      </c>
    </row>
    <row r="3979">
      <c r="A3979" t="n">
        <v>70</v>
      </c>
      <c r="B3979" t="n">
        <v>1957</v>
      </c>
      <c r="C3979" t="n">
        <v>-0.0014</v>
      </c>
    </row>
    <row r="3980">
      <c r="A3980" t="n">
        <v>70</v>
      </c>
      <c r="B3980" t="n">
        <v>1958</v>
      </c>
      <c r="C3980" t="n">
        <v>-0.0022</v>
      </c>
    </row>
    <row r="3981">
      <c r="A3981" t="n">
        <v>70</v>
      </c>
      <c r="B3981" t="n">
        <v>1959</v>
      </c>
      <c r="C3981" t="n">
        <v>-0.0027</v>
      </c>
    </row>
    <row r="3982">
      <c r="A3982" t="n">
        <v>70</v>
      </c>
      <c r="B3982" t="n">
        <v>1960</v>
      </c>
      <c r="C3982" t="n">
        <v>-0.0029</v>
      </c>
    </row>
    <row r="3983">
      <c r="A3983" t="n">
        <v>70</v>
      </c>
      <c r="B3983" t="n">
        <v>1961</v>
      </c>
      <c r="C3983" t="n">
        <v>-0.003</v>
      </c>
    </row>
    <row r="3984">
      <c r="A3984" t="n">
        <v>70</v>
      </c>
      <c r="B3984" t="n">
        <v>1962</v>
      </c>
      <c r="C3984" t="n">
        <v>-0.0029</v>
      </c>
    </row>
    <row r="3985">
      <c r="A3985" t="n">
        <v>70</v>
      </c>
      <c r="B3985" t="n">
        <v>1963</v>
      </c>
      <c r="C3985" t="n">
        <v>-0.0025</v>
      </c>
    </row>
    <row r="3986">
      <c r="A3986" t="n">
        <v>70</v>
      </c>
      <c r="B3986" t="n">
        <v>1964</v>
      </c>
      <c r="C3986" t="n">
        <v>-0.0019</v>
      </c>
    </row>
    <row r="3987">
      <c r="A3987" t="n">
        <v>70</v>
      </c>
      <c r="B3987" t="n">
        <v>1965</v>
      </c>
      <c r="C3987" t="n">
        <v>-0.001</v>
      </c>
    </row>
    <row r="3988">
      <c r="A3988" t="n">
        <v>70</v>
      </c>
      <c r="B3988" t="n">
        <v>1966</v>
      </c>
      <c r="C3988" t="n">
        <v>0.0001</v>
      </c>
    </row>
    <row r="3989">
      <c r="A3989" t="n">
        <v>70</v>
      </c>
      <c r="B3989" t="n">
        <v>1967</v>
      </c>
      <c r="C3989" t="n">
        <v>0.0017</v>
      </c>
    </row>
    <row r="3990">
      <c r="A3990" t="n">
        <v>70</v>
      </c>
      <c r="B3990" t="n">
        <v>1968</v>
      </c>
      <c r="C3990" t="n">
        <v>0.0035</v>
      </c>
    </row>
    <row r="3991">
      <c r="A3991" t="n">
        <v>70</v>
      </c>
      <c r="B3991" t="n">
        <v>1969</v>
      </c>
      <c r="C3991" t="n">
        <v>0.0056</v>
      </c>
    </row>
    <row r="3992">
      <c r="A3992" t="n">
        <v>70</v>
      </c>
      <c r="B3992" t="n">
        <v>1970</v>
      </c>
      <c r="C3992" t="n">
        <v>0.0078</v>
      </c>
    </row>
    <row r="3993">
      <c r="A3993" t="n">
        <v>70</v>
      </c>
      <c r="B3993" t="n">
        <v>1971</v>
      </c>
      <c r="C3993" t="n">
        <v>0.01</v>
      </c>
    </row>
    <row r="3994">
      <c r="A3994" t="n">
        <v>70</v>
      </c>
      <c r="B3994" t="n">
        <v>1972</v>
      </c>
      <c r="C3994" t="n">
        <v>0.0122</v>
      </c>
    </row>
    <row r="3995">
      <c r="A3995" t="n">
        <v>70</v>
      </c>
      <c r="B3995" t="n">
        <v>1973</v>
      </c>
      <c r="C3995" t="n">
        <v>0.014</v>
      </c>
    </row>
    <row r="3996">
      <c r="A3996" t="n">
        <v>70</v>
      </c>
      <c r="B3996" t="n">
        <v>1974</v>
      </c>
      <c r="C3996" t="n">
        <v>0.0154</v>
      </c>
    </row>
    <row r="3997">
      <c r="A3997" t="n">
        <v>70</v>
      </c>
      <c r="B3997" t="n">
        <v>1975</v>
      </c>
      <c r="C3997" t="n">
        <v>0.0162</v>
      </c>
    </row>
    <row r="3998">
      <c r="A3998" t="n">
        <v>70</v>
      </c>
      <c r="B3998" t="n">
        <v>1976</v>
      </c>
      <c r="C3998" t="n">
        <v>0.0163</v>
      </c>
    </row>
    <row r="3999">
      <c r="A3999" t="n">
        <v>70</v>
      </c>
      <c r="B3999" t="n">
        <v>1977</v>
      </c>
      <c r="C3999" t="n">
        <v>0.0159</v>
      </c>
    </row>
    <row r="4000">
      <c r="A4000" t="n">
        <v>70</v>
      </c>
      <c r="B4000" t="n">
        <v>1978</v>
      </c>
      <c r="C4000" t="n">
        <v>0.0151</v>
      </c>
    </row>
    <row r="4001">
      <c r="A4001" t="n">
        <v>70</v>
      </c>
      <c r="B4001" t="n">
        <v>1979</v>
      </c>
      <c r="C4001" t="n">
        <v>0.0142</v>
      </c>
    </row>
    <row r="4002">
      <c r="A4002" t="n">
        <v>70</v>
      </c>
      <c r="B4002" t="n">
        <v>1980</v>
      </c>
      <c r="C4002" t="n">
        <v>0.0134</v>
      </c>
    </row>
    <row r="4003">
      <c r="A4003" t="n">
        <v>70</v>
      </c>
      <c r="B4003" t="n">
        <v>1981</v>
      </c>
      <c r="C4003" t="n">
        <v>0.0129</v>
      </c>
    </row>
    <row r="4004">
      <c r="A4004" t="n">
        <v>70</v>
      </c>
      <c r="B4004" t="n">
        <v>1982</v>
      </c>
      <c r="C4004" t="n">
        <v>0.0126</v>
      </c>
    </row>
    <row r="4005">
      <c r="A4005" t="n">
        <v>70</v>
      </c>
      <c r="B4005" t="n">
        <v>1983</v>
      </c>
      <c r="C4005" t="n">
        <v>0.0128</v>
      </c>
    </row>
    <row r="4006">
      <c r="A4006" t="n">
        <v>70</v>
      </c>
      <c r="B4006" t="n">
        <v>1984</v>
      </c>
      <c r="C4006" t="n">
        <v>0.0135</v>
      </c>
    </row>
    <row r="4007">
      <c r="A4007" t="n">
        <v>70</v>
      </c>
      <c r="B4007" t="n">
        <v>1985</v>
      </c>
      <c r="C4007" t="n">
        <v>0.0145</v>
      </c>
    </row>
    <row r="4008">
      <c r="A4008" t="n">
        <v>70</v>
      </c>
      <c r="B4008" t="n">
        <v>1986</v>
      </c>
      <c r="C4008" t="n">
        <v>0.0157</v>
      </c>
    </row>
    <row r="4009">
      <c r="A4009" t="n">
        <v>70</v>
      </c>
      <c r="B4009" t="n">
        <v>1987</v>
      </c>
      <c r="C4009" t="n">
        <v>0.0169</v>
      </c>
    </row>
    <row r="4010">
      <c r="A4010" t="n">
        <v>70</v>
      </c>
      <c r="B4010" t="n">
        <v>1988</v>
      </c>
      <c r="C4010" t="n">
        <v>0.0177</v>
      </c>
    </row>
    <row r="4011">
      <c r="A4011" t="n">
        <v>70</v>
      </c>
      <c r="B4011" t="n">
        <v>1989</v>
      </c>
      <c r="C4011" t="n">
        <v>0.018</v>
      </c>
    </row>
    <row r="4012">
      <c r="A4012" t="n">
        <v>70</v>
      </c>
      <c r="B4012" t="n">
        <v>1990</v>
      </c>
      <c r="C4012" t="n">
        <v>0.0176</v>
      </c>
    </row>
    <row r="4013">
      <c r="A4013" t="n">
        <v>70</v>
      </c>
      <c r="B4013" t="n">
        <v>1991</v>
      </c>
      <c r="C4013" t="n">
        <v>0.0167</v>
      </c>
    </row>
    <row r="4014">
      <c r="A4014" t="n">
        <v>70</v>
      </c>
      <c r="B4014" t="n">
        <v>1992</v>
      </c>
      <c r="C4014" t="n">
        <v>0.0156</v>
      </c>
    </row>
    <row r="4015">
      <c r="A4015" t="n">
        <v>70</v>
      </c>
      <c r="B4015" t="n">
        <v>1993</v>
      </c>
      <c r="C4015" t="n">
        <v>0.0145</v>
      </c>
    </row>
    <row r="4016">
      <c r="A4016" t="n">
        <v>70</v>
      </c>
      <c r="B4016" t="n">
        <v>1994</v>
      </c>
      <c r="C4016" t="n">
        <v>0.0139</v>
      </c>
    </row>
    <row r="4017">
      <c r="A4017" t="n">
        <v>70</v>
      </c>
      <c r="B4017" t="n">
        <v>1995</v>
      </c>
      <c r="C4017" t="n">
        <v>0.0138</v>
      </c>
    </row>
    <row r="4018">
      <c r="A4018" t="n">
        <v>70</v>
      </c>
      <c r="B4018" t="n">
        <v>1996</v>
      </c>
      <c r="C4018" t="n">
        <v>0.0143</v>
      </c>
    </row>
    <row r="4019">
      <c r="A4019" t="n">
        <v>70</v>
      </c>
      <c r="B4019" t="n">
        <v>1997</v>
      </c>
      <c r="C4019" t="n">
        <v>0.0155</v>
      </c>
    </row>
    <row r="4020">
      <c r="A4020" t="n">
        <v>70</v>
      </c>
      <c r="B4020" t="n">
        <v>1998</v>
      </c>
      <c r="C4020" t="n">
        <v>0.0172</v>
      </c>
    </row>
    <row r="4021">
      <c r="A4021" t="n">
        <v>70</v>
      </c>
      <c r="B4021" t="n">
        <v>1999</v>
      </c>
      <c r="C4021" t="n">
        <v>0.0194</v>
      </c>
    </row>
    <row r="4022">
      <c r="A4022" t="n">
        <v>70</v>
      </c>
      <c r="B4022" t="n">
        <v>2000</v>
      </c>
      <c r="C4022" t="n">
        <v>0.0218</v>
      </c>
    </row>
    <row r="4023">
      <c r="A4023" t="n">
        <v>70</v>
      </c>
      <c r="B4023" t="n">
        <v>2001</v>
      </c>
      <c r="C4023" t="n">
        <v>0.0241</v>
      </c>
    </row>
    <row r="4024">
      <c r="A4024" t="n">
        <v>70</v>
      </c>
      <c r="B4024" t="n">
        <v>2002</v>
      </c>
      <c r="C4024" t="n">
        <v>0.0261</v>
      </c>
    </row>
    <row r="4025">
      <c r="A4025" t="n">
        <v>70</v>
      </c>
      <c r="B4025" t="n">
        <v>2003</v>
      </c>
      <c r="C4025" t="n">
        <v>0.0276</v>
      </c>
    </row>
    <row r="4026">
      <c r="A4026" t="n">
        <v>70</v>
      </c>
      <c r="B4026" t="n">
        <v>2004</v>
      </c>
      <c r="C4026" t="n">
        <v>0.0283</v>
      </c>
    </row>
    <row r="4027">
      <c r="A4027" t="n">
        <v>70</v>
      </c>
      <c r="B4027" t="n">
        <v>2005</v>
      </c>
      <c r="C4027" t="n">
        <v>0.0283</v>
      </c>
    </row>
    <row r="4028">
      <c r="A4028" t="n">
        <v>70</v>
      </c>
      <c r="B4028" t="n">
        <v>2006</v>
      </c>
      <c r="C4028" t="n">
        <v>0.0275</v>
      </c>
    </row>
    <row r="4029">
      <c r="A4029" t="n">
        <v>70</v>
      </c>
      <c r="B4029" t="n">
        <v>2007</v>
      </c>
      <c r="C4029" t="n">
        <v>0.0259</v>
      </c>
    </row>
    <row r="4030">
      <c r="A4030" t="n">
        <v>70</v>
      </c>
      <c r="B4030" t="n">
        <v>2008</v>
      </c>
      <c r="C4030" t="n">
        <v>0.0238</v>
      </c>
    </row>
    <row r="4031">
      <c r="A4031" t="n">
        <v>70</v>
      </c>
      <c r="B4031" t="n">
        <v>2009</v>
      </c>
      <c r="C4031" t="n">
        <v>0.0212</v>
      </c>
    </row>
    <row r="4032">
      <c r="A4032" t="n">
        <v>70</v>
      </c>
      <c r="B4032" t="n">
        <v>2010</v>
      </c>
      <c r="C4032" t="n">
        <v>0.0182</v>
      </c>
    </row>
    <row r="4033">
      <c r="A4033" t="n">
        <v>70</v>
      </c>
      <c r="B4033" t="n">
        <v>2011</v>
      </c>
      <c r="C4033" t="n">
        <v>0.015</v>
      </c>
    </row>
    <row r="4034">
      <c r="A4034" t="n">
        <v>70</v>
      </c>
      <c r="B4034" t="n">
        <v>2012</v>
      </c>
      <c r="C4034" t="n">
        <v>0.0115</v>
      </c>
    </row>
    <row r="4035">
      <c r="A4035" t="n">
        <v>70</v>
      </c>
      <c r="B4035" t="n">
        <v>2013</v>
      </c>
      <c r="C4035" t="n">
        <v>0.011</v>
      </c>
    </row>
    <row r="4036">
      <c r="A4036" t="n">
        <v>70</v>
      </c>
      <c r="B4036" t="n">
        <v>2014</v>
      </c>
      <c r="C4036" t="n">
        <v>0.0102</v>
      </c>
    </row>
    <row r="4037">
      <c r="A4037" t="n">
        <v>70</v>
      </c>
      <c r="B4037" t="n">
        <v>2015</v>
      </c>
      <c r="C4037" t="n">
        <v>0.009299999999999999</v>
      </c>
    </row>
    <row r="4038">
      <c r="A4038" t="n">
        <v>70</v>
      </c>
      <c r="B4038" t="n">
        <v>2016</v>
      </c>
      <c r="C4038" t="n">
        <v>0.008399999999999999</v>
      </c>
    </row>
    <row r="4039">
      <c r="A4039" t="n">
        <v>70</v>
      </c>
      <c r="B4039" t="n">
        <v>2017</v>
      </c>
      <c r="C4039" t="n">
        <v>0.0075</v>
      </c>
    </row>
    <row r="4040">
      <c r="A4040" t="n">
        <v>70</v>
      </c>
      <c r="B4040" t="n">
        <v>2018</v>
      </c>
      <c r="C4040" t="n">
        <v>0.0067</v>
      </c>
    </row>
    <row r="4041">
      <c r="A4041" t="n">
        <v>70</v>
      </c>
      <c r="B4041" t="n">
        <v>2019</v>
      </c>
      <c r="C4041" t="n">
        <v>0.0062</v>
      </c>
    </row>
    <row r="4042">
      <c r="A4042" t="n">
        <v>70</v>
      </c>
      <c r="B4042" t="n">
        <v>2020</v>
      </c>
      <c r="C4042" t="n">
        <v>0.006</v>
      </c>
    </row>
    <row r="4043">
      <c r="A4043" t="n">
        <v>70</v>
      </c>
      <c r="B4043" t="n">
        <v>2021</v>
      </c>
      <c r="C4043" t="n">
        <v>0.0061</v>
      </c>
    </row>
    <row r="4044">
      <c r="A4044" t="n">
        <v>70</v>
      </c>
      <c r="B4044" t="n">
        <v>2022</v>
      </c>
      <c r="C4044" t="n">
        <v>0.0064</v>
      </c>
    </row>
    <row r="4045">
      <c r="A4045" t="n">
        <v>70</v>
      </c>
      <c r="B4045" t="n">
        <v>2023</v>
      </c>
      <c r="C4045" t="n">
        <v>0.007</v>
      </c>
    </row>
    <row r="4046">
      <c r="A4046" t="n">
        <v>70</v>
      </c>
      <c r="B4046" t="n">
        <v>2024</v>
      </c>
      <c r="C4046" t="n">
        <v>0.0077</v>
      </c>
    </row>
    <row r="4047">
      <c r="A4047" t="n">
        <v>70</v>
      </c>
      <c r="B4047" t="n">
        <v>2025</v>
      </c>
      <c r="C4047" t="n">
        <v>0.0083</v>
      </c>
    </row>
    <row r="4048">
      <c r="A4048" t="n">
        <v>70</v>
      </c>
      <c r="B4048" t="n">
        <v>2026</v>
      </c>
      <c r="C4048" t="n">
        <v>0.0089</v>
      </c>
    </row>
    <row r="4049">
      <c r="A4049" t="n">
        <v>70</v>
      </c>
      <c r="B4049" t="n">
        <v>2027</v>
      </c>
      <c r="C4049" t="n">
        <v>0.0094</v>
      </c>
    </row>
    <row r="4050">
      <c r="A4050" t="n">
        <v>70</v>
      </c>
      <c r="B4050" t="n">
        <v>2028</v>
      </c>
      <c r="C4050" t="n">
        <v>0.0097</v>
      </c>
    </row>
    <row r="4051">
      <c r="A4051" t="n">
        <v>70</v>
      </c>
      <c r="B4051" t="n">
        <v>2029</v>
      </c>
      <c r="C4051" t="n">
        <v>0.009900000000000001</v>
      </c>
    </row>
    <row r="4052">
      <c r="A4052" t="n">
        <v>70</v>
      </c>
      <c r="B4052" t="n">
        <v>2030</v>
      </c>
      <c r="C4052" t="n">
        <v>0.01</v>
      </c>
    </row>
    <row r="4053">
      <c r="A4053" t="n">
        <v>70</v>
      </c>
      <c r="B4053" t="n">
        <v>2031</v>
      </c>
      <c r="C4053" t="n">
        <v>0.01</v>
      </c>
    </row>
    <row r="4054">
      <c r="A4054" t="n">
        <v>71</v>
      </c>
      <c r="B4054" t="n">
        <v>1951</v>
      </c>
      <c r="C4054" t="n">
        <v>0.0091</v>
      </c>
    </row>
    <row r="4055">
      <c r="A4055" t="n">
        <v>71</v>
      </c>
      <c r="B4055" t="n">
        <v>1952</v>
      </c>
      <c r="C4055" t="n">
        <v>0.0071</v>
      </c>
    </row>
    <row r="4056">
      <c r="A4056" t="n">
        <v>71</v>
      </c>
      <c r="B4056" t="n">
        <v>1953</v>
      </c>
      <c r="C4056" t="n">
        <v>0.0053</v>
      </c>
    </row>
    <row r="4057">
      <c r="A4057" t="n">
        <v>71</v>
      </c>
      <c r="B4057" t="n">
        <v>1954</v>
      </c>
      <c r="C4057" t="n">
        <v>0.0034</v>
      </c>
    </row>
    <row r="4058">
      <c r="A4058" t="n">
        <v>71</v>
      </c>
      <c r="B4058" t="n">
        <v>1955</v>
      </c>
      <c r="C4058" t="n">
        <v>0.0017</v>
      </c>
    </row>
    <row r="4059">
      <c r="A4059" t="n">
        <v>71</v>
      </c>
      <c r="B4059" t="n">
        <v>1956</v>
      </c>
      <c r="C4059" t="n">
        <v>0.0002</v>
      </c>
    </row>
    <row r="4060">
      <c r="A4060" t="n">
        <v>71</v>
      </c>
      <c r="B4060" t="n">
        <v>1957</v>
      </c>
      <c r="C4060" t="n">
        <v>-0.0009</v>
      </c>
    </row>
    <row r="4061">
      <c r="A4061" t="n">
        <v>71</v>
      </c>
      <c r="B4061" t="n">
        <v>1958</v>
      </c>
      <c r="C4061" t="n">
        <v>-0.0017</v>
      </c>
    </row>
    <row r="4062">
      <c r="A4062" t="n">
        <v>71</v>
      </c>
      <c r="B4062" t="n">
        <v>1959</v>
      </c>
      <c r="C4062" t="n">
        <v>-0.0022</v>
      </c>
    </row>
    <row r="4063">
      <c r="A4063" t="n">
        <v>71</v>
      </c>
      <c r="B4063" t="n">
        <v>1960</v>
      </c>
      <c r="C4063" t="n">
        <v>-0.0026</v>
      </c>
    </row>
    <row r="4064">
      <c r="A4064" t="n">
        <v>71</v>
      </c>
      <c r="B4064" t="n">
        <v>1961</v>
      </c>
      <c r="C4064" t="n">
        <v>-0.0027</v>
      </c>
    </row>
    <row r="4065">
      <c r="A4065" t="n">
        <v>71</v>
      </c>
      <c r="B4065" t="n">
        <v>1962</v>
      </c>
      <c r="C4065" t="n">
        <v>-0.0028</v>
      </c>
    </row>
    <row r="4066">
      <c r="A4066" t="n">
        <v>71</v>
      </c>
      <c r="B4066" t="n">
        <v>1963</v>
      </c>
      <c r="C4066" t="n">
        <v>-0.0026</v>
      </c>
    </row>
    <row r="4067">
      <c r="A4067" t="n">
        <v>71</v>
      </c>
      <c r="B4067" t="n">
        <v>1964</v>
      </c>
      <c r="C4067" t="n">
        <v>-0.0021</v>
      </c>
    </row>
    <row r="4068">
      <c r="A4068" t="n">
        <v>71</v>
      </c>
      <c r="B4068" t="n">
        <v>1965</v>
      </c>
      <c r="C4068" t="n">
        <v>-0.0013</v>
      </c>
    </row>
    <row r="4069">
      <c r="A4069" t="n">
        <v>71</v>
      </c>
      <c r="B4069" t="n">
        <v>1966</v>
      </c>
      <c r="C4069" t="n">
        <v>-0.0002</v>
      </c>
    </row>
    <row r="4070">
      <c r="A4070" t="n">
        <v>71</v>
      </c>
      <c r="B4070" t="n">
        <v>1967</v>
      </c>
      <c r="C4070" t="n">
        <v>0.0013</v>
      </c>
    </row>
    <row r="4071">
      <c r="A4071" t="n">
        <v>71</v>
      </c>
      <c r="B4071" t="n">
        <v>1968</v>
      </c>
      <c r="C4071" t="n">
        <v>0.0031</v>
      </c>
    </row>
    <row r="4072">
      <c r="A4072" t="n">
        <v>71</v>
      </c>
      <c r="B4072" t="n">
        <v>1969</v>
      </c>
      <c r="C4072" t="n">
        <v>0.0052</v>
      </c>
    </row>
    <row r="4073">
      <c r="A4073" t="n">
        <v>71</v>
      </c>
      <c r="B4073" t="n">
        <v>1970</v>
      </c>
      <c r="C4073" t="n">
        <v>0.0074</v>
      </c>
    </row>
    <row r="4074">
      <c r="A4074" t="n">
        <v>71</v>
      </c>
      <c r="B4074" t="n">
        <v>1971</v>
      </c>
      <c r="C4074" t="n">
        <v>0.0097</v>
      </c>
    </row>
    <row r="4075">
      <c r="A4075" t="n">
        <v>71</v>
      </c>
      <c r="B4075" t="n">
        <v>1972</v>
      </c>
      <c r="C4075" t="n">
        <v>0.0118</v>
      </c>
    </row>
    <row r="4076">
      <c r="A4076" t="n">
        <v>71</v>
      </c>
      <c r="B4076" t="n">
        <v>1973</v>
      </c>
      <c r="C4076" t="n">
        <v>0.0136</v>
      </c>
    </row>
    <row r="4077">
      <c r="A4077" t="n">
        <v>71</v>
      </c>
      <c r="B4077" t="n">
        <v>1974</v>
      </c>
      <c r="C4077" t="n">
        <v>0.0149</v>
      </c>
    </row>
    <row r="4078">
      <c r="A4078" t="n">
        <v>71</v>
      </c>
      <c r="B4078" t="n">
        <v>1975</v>
      </c>
      <c r="C4078" t="n">
        <v>0.0156</v>
      </c>
    </row>
    <row r="4079">
      <c r="A4079" t="n">
        <v>71</v>
      </c>
      <c r="B4079" t="n">
        <v>1976</v>
      </c>
      <c r="C4079" t="n">
        <v>0.0156</v>
      </c>
    </row>
    <row r="4080">
      <c r="A4080" t="n">
        <v>71</v>
      </c>
      <c r="B4080" t="n">
        <v>1977</v>
      </c>
      <c r="C4080" t="n">
        <v>0.0151</v>
      </c>
    </row>
    <row r="4081">
      <c r="A4081" t="n">
        <v>71</v>
      </c>
      <c r="B4081" t="n">
        <v>1978</v>
      </c>
      <c r="C4081" t="n">
        <v>0.0143</v>
      </c>
    </row>
    <row r="4082">
      <c r="A4082" t="n">
        <v>71</v>
      </c>
      <c r="B4082" t="n">
        <v>1979</v>
      </c>
      <c r="C4082" t="n">
        <v>0.0133</v>
      </c>
    </row>
    <row r="4083">
      <c r="A4083" t="n">
        <v>71</v>
      </c>
      <c r="B4083" t="n">
        <v>1980</v>
      </c>
      <c r="C4083" t="n">
        <v>0.0125</v>
      </c>
    </row>
    <row r="4084">
      <c r="A4084" t="n">
        <v>71</v>
      </c>
      <c r="B4084" t="n">
        <v>1981</v>
      </c>
      <c r="C4084" t="n">
        <v>0.0119</v>
      </c>
    </row>
    <row r="4085">
      <c r="A4085" t="n">
        <v>71</v>
      </c>
      <c r="B4085" t="n">
        <v>1982</v>
      </c>
      <c r="C4085" t="n">
        <v>0.0117</v>
      </c>
    </row>
    <row r="4086">
      <c r="A4086" t="n">
        <v>71</v>
      </c>
      <c r="B4086" t="n">
        <v>1983</v>
      </c>
      <c r="C4086" t="n">
        <v>0.0119</v>
      </c>
    </row>
    <row r="4087">
      <c r="A4087" t="n">
        <v>71</v>
      </c>
      <c r="B4087" t="n">
        <v>1984</v>
      </c>
      <c r="C4087" t="n">
        <v>0.0127</v>
      </c>
    </row>
    <row r="4088">
      <c r="A4088" t="n">
        <v>71</v>
      </c>
      <c r="B4088" t="n">
        <v>1985</v>
      </c>
      <c r="C4088" t="n">
        <v>0.0139</v>
      </c>
    </row>
    <row r="4089">
      <c r="A4089" t="n">
        <v>71</v>
      </c>
      <c r="B4089" t="n">
        <v>1986</v>
      </c>
      <c r="C4089" t="n">
        <v>0.0153</v>
      </c>
    </row>
    <row r="4090">
      <c r="A4090" t="n">
        <v>71</v>
      </c>
      <c r="B4090" t="n">
        <v>1987</v>
      </c>
      <c r="C4090" t="n">
        <v>0.0166</v>
      </c>
    </row>
    <row r="4091">
      <c r="A4091" t="n">
        <v>71</v>
      </c>
      <c r="B4091" t="n">
        <v>1988</v>
      </c>
      <c r="C4091" t="n">
        <v>0.0175</v>
      </c>
    </row>
    <row r="4092">
      <c r="A4092" t="n">
        <v>71</v>
      </c>
      <c r="B4092" t="n">
        <v>1989</v>
      </c>
      <c r="C4092" t="n">
        <v>0.0179</v>
      </c>
    </row>
    <row r="4093">
      <c r="A4093" t="n">
        <v>71</v>
      </c>
      <c r="B4093" t="n">
        <v>1990</v>
      </c>
      <c r="C4093" t="n">
        <v>0.0177</v>
      </c>
    </row>
    <row r="4094">
      <c r="A4094" t="n">
        <v>71</v>
      </c>
      <c r="B4094" t="n">
        <v>1991</v>
      </c>
      <c r="C4094" t="n">
        <v>0.0168</v>
      </c>
    </row>
    <row r="4095">
      <c r="A4095" t="n">
        <v>71</v>
      </c>
      <c r="B4095" t="n">
        <v>1992</v>
      </c>
      <c r="C4095" t="n">
        <v>0.0157</v>
      </c>
    </row>
    <row r="4096">
      <c r="A4096" t="n">
        <v>71</v>
      </c>
      <c r="B4096" t="n">
        <v>1993</v>
      </c>
      <c r="C4096" t="n">
        <v>0.0146</v>
      </c>
    </row>
    <row r="4097">
      <c r="A4097" t="n">
        <v>71</v>
      </c>
      <c r="B4097" t="n">
        <v>1994</v>
      </c>
      <c r="C4097" t="n">
        <v>0.0137</v>
      </c>
    </row>
    <row r="4098">
      <c r="A4098" t="n">
        <v>71</v>
      </c>
      <c r="B4098" t="n">
        <v>1995</v>
      </c>
      <c r="C4098" t="n">
        <v>0.0135</v>
      </c>
    </row>
    <row r="4099">
      <c r="A4099" t="n">
        <v>71</v>
      </c>
      <c r="B4099" t="n">
        <v>1996</v>
      </c>
      <c r="C4099" t="n">
        <v>0.0138</v>
      </c>
    </row>
    <row r="4100">
      <c r="A4100" t="n">
        <v>71</v>
      </c>
      <c r="B4100" t="n">
        <v>1997</v>
      </c>
      <c r="C4100" t="n">
        <v>0.0148</v>
      </c>
    </row>
    <row r="4101">
      <c r="A4101" t="n">
        <v>71</v>
      </c>
      <c r="B4101" t="n">
        <v>1998</v>
      </c>
      <c r="C4101" t="n">
        <v>0.0164</v>
      </c>
    </row>
    <row r="4102">
      <c r="A4102" t="n">
        <v>71</v>
      </c>
      <c r="B4102" t="n">
        <v>1999</v>
      </c>
      <c r="C4102" t="n">
        <v>0.0186</v>
      </c>
    </row>
    <row r="4103">
      <c r="A4103" t="n">
        <v>71</v>
      </c>
      <c r="B4103" t="n">
        <v>2000</v>
      </c>
      <c r="C4103" t="n">
        <v>0.021</v>
      </c>
    </row>
    <row r="4104">
      <c r="A4104" t="n">
        <v>71</v>
      </c>
      <c r="B4104" t="n">
        <v>2001</v>
      </c>
      <c r="C4104" t="n">
        <v>0.0234</v>
      </c>
    </row>
    <row r="4105">
      <c r="A4105" t="n">
        <v>71</v>
      </c>
      <c r="B4105" t="n">
        <v>2002</v>
      </c>
      <c r="C4105" t="n">
        <v>0.0256</v>
      </c>
    </row>
    <row r="4106">
      <c r="A4106" t="n">
        <v>71</v>
      </c>
      <c r="B4106" t="n">
        <v>2003</v>
      </c>
      <c r="C4106" t="n">
        <v>0.0272</v>
      </c>
    </row>
    <row r="4107">
      <c r="A4107" t="n">
        <v>71</v>
      </c>
      <c r="B4107" t="n">
        <v>2004</v>
      </c>
      <c r="C4107" t="n">
        <v>0.0281</v>
      </c>
    </row>
    <row r="4108">
      <c r="A4108" t="n">
        <v>71</v>
      </c>
      <c r="B4108" t="n">
        <v>2005</v>
      </c>
      <c r="C4108" t="n">
        <v>0.0282</v>
      </c>
    </row>
    <row r="4109">
      <c r="A4109" t="n">
        <v>71</v>
      </c>
      <c r="B4109" t="n">
        <v>2006</v>
      </c>
      <c r="C4109" t="n">
        <v>0.0275</v>
      </c>
    </row>
    <row r="4110">
      <c r="A4110" t="n">
        <v>71</v>
      </c>
      <c r="B4110" t="n">
        <v>2007</v>
      </c>
      <c r="C4110" t="n">
        <v>0.0261</v>
      </c>
    </row>
    <row r="4111">
      <c r="A4111" t="n">
        <v>71</v>
      </c>
      <c r="B4111" t="n">
        <v>2008</v>
      </c>
      <c r="C4111" t="n">
        <v>0.0241</v>
      </c>
    </row>
    <row r="4112">
      <c r="A4112" t="n">
        <v>71</v>
      </c>
      <c r="B4112" t="n">
        <v>2009</v>
      </c>
      <c r="C4112" t="n">
        <v>0.0216</v>
      </c>
    </row>
    <row r="4113">
      <c r="A4113" t="n">
        <v>71</v>
      </c>
      <c r="B4113" t="n">
        <v>2010</v>
      </c>
      <c r="C4113" t="n">
        <v>0.0187</v>
      </c>
    </row>
    <row r="4114">
      <c r="A4114" t="n">
        <v>71</v>
      </c>
      <c r="B4114" t="n">
        <v>2011</v>
      </c>
      <c r="C4114" t="n">
        <v>0.0156</v>
      </c>
    </row>
    <row r="4115">
      <c r="A4115" t="n">
        <v>71</v>
      </c>
      <c r="B4115" t="n">
        <v>2012</v>
      </c>
      <c r="C4115" t="n">
        <v>0.0123</v>
      </c>
    </row>
    <row r="4116">
      <c r="A4116" t="n">
        <v>71</v>
      </c>
      <c r="B4116" t="n">
        <v>2013</v>
      </c>
      <c r="C4116" t="n">
        <v>0.0119</v>
      </c>
    </row>
    <row r="4117">
      <c r="A4117" t="n">
        <v>71</v>
      </c>
      <c r="B4117" t="n">
        <v>2014</v>
      </c>
      <c r="C4117" t="n">
        <v>0.0113</v>
      </c>
    </row>
    <row r="4118">
      <c r="A4118" t="n">
        <v>71</v>
      </c>
      <c r="B4118" t="n">
        <v>2015</v>
      </c>
      <c r="C4118" t="n">
        <v>0.0104</v>
      </c>
    </row>
    <row r="4119">
      <c r="A4119" t="n">
        <v>71</v>
      </c>
      <c r="B4119" t="n">
        <v>2016</v>
      </c>
      <c r="C4119" t="n">
        <v>0.0095</v>
      </c>
    </row>
    <row r="4120">
      <c r="A4120" t="n">
        <v>71</v>
      </c>
      <c r="B4120" t="n">
        <v>2017</v>
      </c>
      <c r="C4120" t="n">
        <v>0.0086</v>
      </c>
    </row>
    <row r="4121">
      <c r="A4121" t="n">
        <v>71</v>
      </c>
      <c r="B4121" t="n">
        <v>2018</v>
      </c>
      <c r="C4121" t="n">
        <v>0.0077</v>
      </c>
    </row>
    <row r="4122">
      <c r="A4122" t="n">
        <v>71</v>
      </c>
      <c r="B4122" t="n">
        <v>2019</v>
      </c>
      <c r="C4122" t="n">
        <v>0.007</v>
      </c>
    </row>
    <row r="4123">
      <c r="A4123" t="n">
        <v>71</v>
      </c>
      <c r="B4123" t="n">
        <v>2020</v>
      </c>
      <c r="C4123" t="n">
        <v>0.0065</v>
      </c>
    </row>
    <row r="4124">
      <c r="A4124" t="n">
        <v>71</v>
      </c>
      <c r="B4124" t="n">
        <v>2021</v>
      </c>
      <c r="C4124" t="n">
        <v>0.0064</v>
      </c>
    </row>
    <row r="4125">
      <c r="A4125" t="n">
        <v>71</v>
      </c>
      <c r="B4125" t="n">
        <v>2022</v>
      </c>
      <c r="C4125" t="n">
        <v>0.0065</v>
      </c>
    </row>
    <row r="4126">
      <c r="A4126" t="n">
        <v>71</v>
      </c>
      <c r="B4126" t="n">
        <v>2023</v>
      </c>
      <c r="C4126" t="n">
        <v>0.007</v>
      </c>
    </row>
    <row r="4127">
      <c r="A4127" t="n">
        <v>71</v>
      </c>
      <c r="B4127" t="n">
        <v>2024</v>
      </c>
      <c r="C4127" t="n">
        <v>0.0075</v>
      </c>
    </row>
    <row r="4128">
      <c r="A4128" t="n">
        <v>71</v>
      </c>
      <c r="B4128" t="n">
        <v>2025</v>
      </c>
      <c r="C4128" t="n">
        <v>0.0081</v>
      </c>
    </row>
    <row r="4129">
      <c r="A4129" t="n">
        <v>71</v>
      </c>
      <c r="B4129" t="n">
        <v>2026</v>
      </c>
      <c r="C4129" t="n">
        <v>0.008699999999999999</v>
      </c>
    </row>
    <row r="4130">
      <c r="A4130" t="n">
        <v>71</v>
      </c>
      <c r="B4130" t="n">
        <v>2027</v>
      </c>
      <c r="C4130" t="n">
        <v>0.0092</v>
      </c>
    </row>
    <row r="4131">
      <c r="A4131" t="n">
        <v>71</v>
      </c>
      <c r="B4131" t="n">
        <v>2028</v>
      </c>
      <c r="C4131" t="n">
        <v>0.009599999999999999</v>
      </c>
    </row>
    <row r="4132">
      <c r="A4132" t="n">
        <v>71</v>
      </c>
      <c r="B4132" t="n">
        <v>2029</v>
      </c>
      <c r="C4132" t="n">
        <v>0.0098</v>
      </c>
    </row>
    <row r="4133">
      <c r="A4133" t="n">
        <v>71</v>
      </c>
      <c r="B4133" t="n">
        <v>2030</v>
      </c>
      <c r="C4133" t="n">
        <v>0.01</v>
      </c>
    </row>
    <row r="4134">
      <c r="A4134" t="n">
        <v>71</v>
      </c>
      <c r="B4134" t="n">
        <v>2031</v>
      </c>
      <c r="C4134" t="n">
        <v>0.01</v>
      </c>
    </row>
    <row r="4135">
      <c r="A4135" t="n">
        <v>72</v>
      </c>
      <c r="B4135" t="n">
        <v>1951</v>
      </c>
      <c r="C4135" t="n">
        <v>0.009599999999999999</v>
      </c>
    </row>
    <row r="4136">
      <c r="A4136" t="n">
        <v>72</v>
      </c>
      <c r="B4136" t="n">
        <v>1952</v>
      </c>
      <c r="C4136" t="n">
        <v>0.0077</v>
      </c>
    </row>
    <row r="4137">
      <c r="A4137" t="n">
        <v>72</v>
      </c>
      <c r="B4137" t="n">
        <v>1953</v>
      </c>
      <c r="C4137" t="n">
        <v>0.0058</v>
      </c>
    </row>
    <row r="4138">
      <c r="A4138" t="n">
        <v>72</v>
      </c>
      <c r="B4138" t="n">
        <v>1954</v>
      </c>
      <c r="C4138" t="n">
        <v>0.004</v>
      </c>
    </row>
    <row r="4139">
      <c r="A4139" t="n">
        <v>72</v>
      </c>
      <c r="B4139" t="n">
        <v>1955</v>
      </c>
      <c r="C4139" t="n">
        <v>0.0023</v>
      </c>
    </row>
    <row r="4140">
      <c r="A4140" t="n">
        <v>72</v>
      </c>
      <c r="B4140" t="n">
        <v>1956</v>
      </c>
      <c r="C4140" t="n">
        <v>0.0008</v>
      </c>
    </row>
    <row r="4141">
      <c r="A4141" t="n">
        <v>72</v>
      </c>
      <c r="B4141" t="n">
        <v>1957</v>
      </c>
      <c r="C4141" t="n">
        <v>-0.0003</v>
      </c>
    </row>
    <row r="4142">
      <c r="A4142" t="n">
        <v>72</v>
      </c>
      <c r="B4142" t="n">
        <v>1958</v>
      </c>
      <c r="C4142" t="n">
        <v>-0.0012</v>
      </c>
    </row>
    <row r="4143">
      <c r="A4143" t="n">
        <v>72</v>
      </c>
      <c r="B4143" t="n">
        <v>1959</v>
      </c>
      <c r="C4143" t="n">
        <v>-0.0018</v>
      </c>
    </row>
    <row r="4144">
      <c r="A4144" t="n">
        <v>72</v>
      </c>
      <c r="B4144" t="n">
        <v>1960</v>
      </c>
      <c r="C4144" t="n">
        <v>-0.0023</v>
      </c>
    </row>
    <row r="4145">
      <c r="A4145" t="n">
        <v>72</v>
      </c>
      <c r="B4145" t="n">
        <v>1961</v>
      </c>
      <c r="C4145" t="n">
        <v>-0.0025</v>
      </c>
    </row>
    <row r="4146">
      <c r="A4146" t="n">
        <v>72</v>
      </c>
      <c r="B4146" t="n">
        <v>1962</v>
      </c>
      <c r="C4146" t="n">
        <v>-0.0027</v>
      </c>
    </row>
    <row r="4147">
      <c r="A4147" t="n">
        <v>72</v>
      </c>
      <c r="B4147" t="n">
        <v>1963</v>
      </c>
      <c r="C4147" t="n">
        <v>-0.0026</v>
      </c>
    </row>
    <row r="4148">
      <c r="A4148" t="n">
        <v>72</v>
      </c>
      <c r="B4148" t="n">
        <v>1964</v>
      </c>
      <c r="C4148" t="n">
        <v>-0.0022</v>
      </c>
    </row>
    <row r="4149">
      <c r="A4149" t="n">
        <v>72</v>
      </c>
      <c r="B4149" t="n">
        <v>1965</v>
      </c>
      <c r="C4149" t="n">
        <v>-0.0016</v>
      </c>
    </row>
    <row r="4150">
      <c r="A4150" t="n">
        <v>72</v>
      </c>
      <c r="B4150" t="n">
        <v>1966</v>
      </c>
      <c r="C4150" t="n">
        <v>-0.0005</v>
      </c>
    </row>
    <row r="4151">
      <c r="A4151" t="n">
        <v>72</v>
      </c>
      <c r="B4151" t="n">
        <v>1967</v>
      </c>
      <c r="C4151" t="n">
        <v>0.0009</v>
      </c>
    </row>
    <row r="4152">
      <c r="A4152" t="n">
        <v>72</v>
      </c>
      <c r="B4152" t="n">
        <v>1968</v>
      </c>
      <c r="C4152" t="n">
        <v>0.0028</v>
      </c>
    </row>
    <row r="4153">
      <c r="A4153" t="n">
        <v>72</v>
      </c>
      <c r="B4153" t="n">
        <v>1969</v>
      </c>
      <c r="C4153" t="n">
        <v>0.0049</v>
      </c>
    </row>
    <row r="4154">
      <c r="A4154" t="n">
        <v>72</v>
      </c>
      <c r="B4154" t="n">
        <v>1970</v>
      </c>
      <c r="C4154" t="n">
        <v>0.0071</v>
      </c>
    </row>
    <row r="4155">
      <c r="A4155" t="n">
        <v>72</v>
      </c>
      <c r="B4155" t="n">
        <v>1971</v>
      </c>
      <c r="C4155" t="n">
        <v>0.0094</v>
      </c>
    </row>
    <row r="4156">
      <c r="A4156" t="n">
        <v>72</v>
      </c>
      <c r="B4156" t="n">
        <v>1972</v>
      </c>
      <c r="C4156" t="n">
        <v>0.0115</v>
      </c>
    </row>
    <row r="4157">
      <c r="A4157" t="n">
        <v>72</v>
      </c>
      <c r="B4157" t="n">
        <v>1973</v>
      </c>
      <c r="C4157" t="n">
        <v>0.0133</v>
      </c>
    </row>
    <row r="4158">
      <c r="A4158" t="n">
        <v>72</v>
      </c>
      <c r="B4158" t="n">
        <v>1974</v>
      </c>
      <c r="C4158" t="n">
        <v>0.0146</v>
      </c>
    </row>
    <row r="4159">
      <c r="A4159" t="n">
        <v>72</v>
      </c>
      <c r="B4159" t="n">
        <v>1975</v>
      </c>
      <c r="C4159" t="n">
        <v>0.0152</v>
      </c>
    </row>
    <row r="4160">
      <c r="A4160" t="n">
        <v>72</v>
      </c>
      <c r="B4160" t="n">
        <v>1976</v>
      </c>
      <c r="C4160" t="n">
        <v>0.0151</v>
      </c>
    </row>
    <row r="4161">
      <c r="A4161" t="n">
        <v>72</v>
      </c>
      <c r="B4161" t="n">
        <v>1977</v>
      </c>
      <c r="C4161" t="n">
        <v>0.0145</v>
      </c>
    </row>
    <row r="4162">
      <c r="A4162" t="n">
        <v>72</v>
      </c>
      <c r="B4162" t="n">
        <v>1978</v>
      </c>
      <c r="C4162" t="n">
        <v>0.0136</v>
      </c>
    </row>
    <row r="4163">
      <c r="A4163" t="n">
        <v>72</v>
      </c>
      <c r="B4163" t="n">
        <v>1979</v>
      </c>
      <c r="C4163" t="n">
        <v>0.0125</v>
      </c>
    </row>
    <row r="4164">
      <c r="A4164" t="n">
        <v>72</v>
      </c>
      <c r="B4164" t="n">
        <v>1980</v>
      </c>
      <c r="C4164" t="n">
        <v>0.0116</v>
      </c>
    </row>
    <row r="4165">
      <c r="A4165" t="n">
        <v>72</v>
      </c>
      <c r="B4165" t="n">
        <v>1981</v>
      </c>
      <c r="C4165" t="n">
        <v>0.011</v>
      </c>
    </row>
    <row r="4166">
      <c r="A4166" t="n">
        <v>72</v>
      </c>
      <c r="B4166" t="n">
        <v>1982</v>
      </c>
      <c r="C4166" t="n">
        <v>0.0107</v>
      </c>
    </row>
    <row r="4167">
      <c r="A4167" t="n">
        <v>72</v>
      </c>
      <c r="B4167" t="n">
        <v>1983</v>
      </c>
      <c r="C4167" t="n">
        <v>0.011</v>
      </c>
    </row>
    <row r="4168">
      <c r="A4168" t="n">
        <v>72</v>
      </c>
      <c r="B4168" t="n">
        <v>1984</v>
      </c>
      <c r="C4168" t="n">
        <v>0.0119</v>
      </c>
    </row>
    <row r="4169">
      <c r="A4169" t="n">
        <v>72</v>
      </c>
      <c r="B4169" t="n">
        <v>1985</v>
      </c>
      <c r="C4169" t="n">
        <v>0.0131</v>
      </c>
    </row>
    <row r="4170">
      <c r="A4170" t="n">
        <v>72</v>
      </c>
      <c r="B4170" t="n">
        <v>1986</v>
      </c>
      <c r="C4170" t="n">
        <v>0.0146</v>
      </c>
    </row>
    <row r="4171">
      <c r="A4171" t="n">
        <v>72</v>
      </c>
      <c r="B4171" t="n">
        <v>1987</v>
      </c>
      <c r="C4171" t="n">
        <v>0.0161</v>
      </c>
    </row>
    <row r="4172">
      <c r="A4172" t="n">
        <v>72</v>
      </c>
      <c r="B4172" t="n">
        <v>1988</v>
      </c>
      <c r="C4172" t="n">
        <v>0.0172</v>
      </c>
    </row>
    <row r="4173">
      <c r="A4173" t="n">
        <v>72</v>
      </c>
      <c r="B4173" t="n">
        <v>1989</v>
      </c>
      <c r="C4173" t="n">
        <v>0.0178</v>
      </c>
    </row>
    <row r="4174">
      <c r="A4174" t="n">
        <v>72</v>
      </c>
      <c r="B4174" t="n">
        <v>1990</v>
      </c>
      <c r="C4174" t="n">
        <v>0.0176</v>
      </c>
    </row>
    <row r="4175">
      <c r="A4175" t="n">
        <v>72</v>
      </c>
      <c r="B4175" t="n">
        <v>1991</v>
      </c>
      <c r="C4175" t="n">
        <v>0.0169</v>
      </c>
    </row>
    <row r="4176">
      <c r="A4176" t="n">
        <v>72</v>
      </c>
      <c r="B4176" t="n">
        <v>1992</v>
      </c>
      <c r="C4176" t="n">
        <v>0.0158</v>
      </c>
    </row>
    <row r="4177">
      <c r="A4177" t="n">
        <v>72</v>
      </c>
      <c r="B4177" t="n">
        <v>1993</v>
      </c>
      <c r="C4177" t="n">
        <v>0.0146</v>
      </c>
    </row>
    <row r="4178">
      <c r="A4178" t="n">
        <v>72</v>
      </c>
      <c r="B4178" t="n">
        <v>1994</v>
      </c>
      <c r="C4178" t="n">
        <v>0.0137</v>
      </c>
    </row>
    <row r="4179">
      <c r="A4179" t="n">
        <v>72</v>
      </c>
      <c r="B4179" t="n">
        <v>1995</v>
      </c>
      <c r="C4179" t="n">
        <v>0.0133</v>
      </c>
    </row>
    <row r="4180">
      <c r="A4180" t="n">
        <v>72</v>
      </c>
      <c r="B4180" t="n">
        <v>1996</v>
      </c>
      <c r="C4180" t="n">
        <v>0.0134</v>
      </c>
    </row>
    <row r="4181">
      <c r="A4181" t="n">
        <v>72</v>
      </c>
      <c r="B4181" t="n">
        <v>1997</v>
      </c>
      <c r="C4181" t="n">
        <v>0.0143</v>
      </c>
    </row>
    <row r="4182">
      <c r="A4182" t="n">
        <v>72</v>
      </c>
      <c r="B4182" t="n">
        <v>1998</v>
      </c>
      <c r="C4182" t="n">
        <v>0.0158</v>
      </c>
    </row>
    <row r="4183">
      <c r="A4183" t="n">
        <v>72</v>
      </c>
      <c r="B4183" t="n">
        <v>1999</v>
      </c>
      <c r="C4183" t="n">
        <v>0.0178</v>
      </c>
    </row>
    <row r="4184">
      <c r="A4184" t="n">
        <v>72</v>
      </c>
      <c r="B4184" t="n">
        <v>2000</v>
      </c>
      <c r="C4184" t="n">
        <v>0.0202</v>
      </c>
    </row>
    <row r="4185">
      <c r="A4185" t="n">
        <v>72</v>
      </c>
      <c r="B4185" t="n">
        <v>2001</v>
      </c>
      <c r="C4185" t="n">
        <v>0.0227</v>
      </c>
    </row>
    <row r="4186">
      <c r="A4186" t="n">
        <v>72</v>
      </c>
      <c r="B4186" t="n">
        <v>2002</v>
      </c>
      <c r="C4186" t="n">
        <v>0.0249</v>
      </c>
    </row>
    <row r="4187">
      <c r="A4187" t="n">
        <v>72</v>
      </c>
      <c r="B4187" t="n">
        <v>2003</v>
      </c>
      <c r="C4187" t="n">
        <v>0.0267</v>
      </c>
    </row>
    <row r="4188">
      <c r="A4188" t="n">
        <v>72</v>
      </c>
      <c r="B4188" t="n">
        <v>2004</v>
      </c>
      <c r="C4188" t="n">
        <v>0.0277</v>
      </c>
    </row>
    <row r="4189">
      <c r="A4189" t="n">
        <v>72</v>
      </c>
      <c r="B4189" t="n">
        <v>2005</v>
      </c>
      <c r="C4189" t="n">
        <v>0.0279</v>
      </c>
    </row>
    <row r="4190">
      <c r="A4190" t="n">
        <v>72</v>
      </c>
      <c r="B4190" t="n">
        <v>2006</v>
      </c>
      <c r="C4190" t="n">
        <v>0.0274</v>
      </c>
    </row>
    <row r="4191">
      <c r="A4191" t="n">
        <v>72</v>
      </c>
      <c r="B4191" t="n">
        <v>2007</v>
      </c>
      <c r="C4191" t="n">
        <v>0.0261</v>
      </c>
    </row>
    <row r="4192">
      <c r="A4192" t="n">
        <v>72</v>
      </c>
      <c r="B4192" t="n">
        <v>2008</v>
      </c>
      <c r="C4192" t="n">
        <v>0.0242</v>
      </c>
    </row>
    <row r="4193">
      <c r="A4193" t="n">
        <v>72</v>
      </c>
      <c r="B4193" t="n">
        <v>2009</v>
      </c>
      <c r="C4193" t="n">
        <v>0.0218</v>
      </c>
    </row>
    <row r="4194">
      <c r="A4194" t="n">
        <v>72</v>
      </c>
      <c r="B4194" t="n">
        <v>2010</v>
      </c>
      <c r="C4194" t="n">
        <v>0.0191</v>
      </c>
    </row>
    <row r="4195">
      <c r="A4195" t="n">
        <v>72</v>
      </c>
      <c r="B4195" t="n">
        <v>2011</v>
      </c>
      <c r="C4195" t="n">
        <v>0.016</v>
      </c>
    </row>
    <row r="4196">
      <c r="A4196" t="n">
        <v>72</v>
      </c>
      <c r="B4196" t="n">
        <v>2012</v>
      </c>
      <c r="C4196" t="n">
        <v>0.0128</v>
      </c>
    </row>
    <row r="4197">
      <c r="A4197" t="n">
        <v>72</v>
      </c>
      <c r="B4197" t="n">
        <v>2013</v>
      </c>
      <c r="C4197" t="n">
        <v>0.0125</v>
      </c>
    </row>
    <row r="4198">
      <c r="A4198" t="n">
        <v>72</v>
      </c>
      <c r="B4198" t="n">
        <v>2014</v>
      </c>
      <c r="C4198" t="n">
        <v>0.012</v>
      </c>
    </row>
    <row r="4199">
      <c r="A4199" t="n">
        <v>72</v>
      </c>
      <c r="B4199" t="n">
        <v>2015</v>
      </c>
      <c r="C4199" t="n">
        <v>0.0113</v>
      </c>
    </row>
    <row r="4200">
      <c r="A4200" t="n">
        <v>72</v>
      </c>
      <c r="B4200" t="n">
        <v>2016</v>
      </c>
      <c r="C4200" t="n">
        <v>0.0105</v>
      </c>
    </row>
    <row r="4201">
      <c r="A4201" t="n">
        <v>72</v>
      </c>
      <c r="B4201" t="n">
        <v>2017</v>
      </c>
      <c r="C4201" t="n">
        <v>0.009599999999999999</v>
      </c>
    </row>
    <row r="4202">
      <c r="A4202" t="n">
        <v>72</v>
      </c>
      <c r="B4202" t="n">
        <v>2018</v>
      </c>
      <c r="C4202" t="n">
        <v>0.008699999999999999</v>
      </c>
    </row>
    <row r="4203">
      <c r="A4203" t="n">
        <v>72</v>
      </c>
      <c r="B4203" t="n">
        <v>2019</v>
      </c>
      <c r="C4203" t="n">
        <v>0.007900000000000001</v>
      </c>
    </row>
    <row r="4204">
      <c r="A4204" t="n">
        <v>72</v>
      </c>
      <c r="B4204" t="n">
        <v>2020</v>
      </c>
      <c r="C4204" t="n">
        <v>0.0072</v>
      </c>
    </row>
    <row r="4205">
      <c r="A4205" t="n">
        <v>72</v>
      </c>
      <c r="B4205" t="n">
        <v>2021</v>
      </c>
      <c r="C4205" t="n">
        <v>0.0069</v>
      </c>
    </row>
    <row r="4206">
      <c r="A4206" t="n">
        <v>72</v>
      </c>
      <c r="B4206" t="n">
        <v>2022</v>
      </c>
      <c r="C4206" t="n">
        <v>0.0068</v>
      </c>
    </row>
    <row r="4207">
      <c r="A4207" t="n">
        <v>72</v>
      </c>
      <c r="B4207" t="n">
        <v>2023</v>
      </c>
      <c r="C4207" t="n">
        <v>0.0071</v>
      </c>
    </row>
    <row r="4208">
      <c r="A4208" t="n">
        <v>72</v>
      </c>
      <c r="B4208" t="n">
        <v>2024</v>
      </c>
      <c r="C4208" t="n">
        <v>0.0075</v>
      </c>
    </row>
    <row r="4209">
      <c r="A4209" t="n">
        <v>72</v>
      </c>
      <c r="B4209" t="n">
        <v>2025</v>
      </c>
      <c r="C4209" t="n">
        <v>0.008</v>
      </c>
    </row>
    <row r="4210">
      <c r="A4210" t="n">
        <v>72</v>
      </c>
      <c r="B4210" t="n">
        <v>2026</v>
      </c>
      <c r="C4210" t="n">
        <v>0.0086</v>
      </c>
    </row>
    <row r="4211">
      <c r="A4211" t="n">
        <v>72</v>
      </c>
      <c r="B4211" t="n">
        <v>2027</v>
      </c>
      <c r="C4211" t="n">
        <v>0.0091</v>
      </c>
    </row>
    <row r="4212">
      <c r="A4212" t="n">
        <v>72</v>
      </c>
      <c r="B4212" t="n">
        <v>2028</v>
      </c>
      <c r="C4212" t="n">
        <v>0.0095</v>
      </c>
    </row>
    <row r="4213">
      <c r="A4213" t="n">
        <v>72</v>
      </c>
      <c r="B4213" t="n">
        <v>2029</v>
      </c>
      <c r="C4213" t="n">
        <v>0.0098</v>
      </c>
    </row>
    <row r="4214">
      <c r="A4214" t="n">
        <v>72</v>
      </c>
      <c r="B4214" t="n">
        <v>2030</v>
      </c>
      <c r="C4214" t="n">
        <v>0.009900000000000001</v>
      </c>
    </row>
    <row r="4215">
      <c r="A4215" t="n">
        <v>72</v>
      </c>
      <c r="B4215" t="n">
        <v>2031</v>
      </c>
      <c r="C4215" t="n">
        <v>0.01</v>
      </c>
    </row>
    <row r="4216">
      <c r="A4216" t="n">
        <v>73</v>
      </c>
      <c r="B4216" t="n">
        <v>1951</v>
      </c>
      <c r="C4216" t="n">
        <v>0.0101</v>
      </c>
    </row>
    <row r="4217">
      <c r="A4217" t="n">
        <v>73</v>
      </c>
      <c r="B4217" t="n">
        <v>1952</v>
      </c>
      <c r="C4217" t="n">
        <v>0.0083</v>
      </c>
    </row>
    <row r="4218">
      <c r="A4218" t="n">
        <v>73</v>
      </c>
      <c r="B4218" t="n">
        <v>1953</v>
      </c>
      <c r="C4218" t="n">
        <v>0.0064</v>
      </c>
    </row>
    <row r="4219">
      <c r="A4219" t="n">
        <v>73</v>
      </c>
      <c r="B4219" t="n">
        <v>1954</v>
      </c>
      <c r="C4219" t="n">
        <v>0.0046</v>
      </c>
    </row>
    <row r="4220">
      <c r="A4220" t="n">
        <v>73</v>
      </c>
      <c r="B4220" t="n">
        <v>1955</v>
      </c>
      <c r="C4220" t="n">
        <v>0.0029</v>
      </c>
    </row>
    <row r="4221">
      <c r="A4221" t="n">
        <v>73</v>
      </c>
      <c r="B4221" t="n">
        <v>1956</v>
      </c>
      <c r="C4221" t="n">
        <v>0.0014</v>
      </c>
    </row>
    <row r="4222">
      <c r="A4222" t="n">
        <v>73</v>
      </c>
      <c r="B4222" t="n">
        <v>1957</v>
      </c>
      <c r="C4222" t="n">
        <v>0.0002</v>
      </c>
    </row>
    <row r="4223">
      <c r="A4223" t="n">
        <v>73</v>
      </c>
      <c r="B4223" t="n">
        <v>1958</v>
      </c>
      <c r="C4223" t="n">
        <v>-0.0007</v>
      </c>
    </row>
    <row r="4224">
      <c r="A4224" t="n">
        <v>73</v>
      </c>
      <c r="B4224" t="n">
        <v>1959</v>
      </c>
      <c r="C4224" t="n">
        <v>-0.0014</v>
      </c>
    </row>
    <row r="4225">
      <c r="A4225" t="n">
        <v>73</v>
      </c>
      <c r="B4225" t="n">
        <v>1960</v>
      </c>
      <c r="C4225" t="n">
        <v>-0.002</v>
      </c>
    </row>
    <row r="4226">
      <c r="A4226" t="n">
        <v>73</v>
      </c>
      <c r="B4226" t="n">
        <v>1961</v>
      </c>
      <c r="C4226" t="n">
        <v>-0.0024</v>
      </c>
    </row>
    <row r="4227">
      <c r="A4227" t="n">
        <v>73</v>
      </c>
      <c r="B4227" t="n">
        <v>1962</v>
      </c>
      <c r="C4227" t="n">
        <v>-0.0026</v>
      </c>
    </row>
    <row r="4228">
      <c r="A4228" t="n">
        <v>73</v>
      </c>
      <c r="B4228" t="n">
        <v>1963</v>
      </c>
      <c r="C4228" t="n">
        <v>-0.0027</v>
      </c>
    </row>
    <row r="4229">
      <c r="A4229" t="n">
        <v>73</v>
      </c>
      <c r="B4229" t="n">
        <v>1964</v>
      </c>
      <c r="C4229" t="n">
        <v>-0.0024</v>
      </c>
    </row>
    <row r="4230">
      <c r="A4230" t="n">
        <v>73</v>
      </c>
      <c r="B4230" t="n">
        <v>1965</v>
      </c>
      <c r="C4230" t="n">
        <v>-0.0018</v>
      </c>
    </row>
    <row r="4231">
      <c r="A4231" t="n">
        <v>73</v>
      </c>
      <c r="B4231" t="n">
        <v>1966</v>
      </c>
      <c r="C4231" t="n">
        <v>-0.0007</v>
      </c>
    </row>
    <row r="4232">
      <c r="A4232" t="n">
        <v>73</v>
      </c>
      <c r="B4232" t="n">
        <v>1967</v>
      </c>
      <c r="C4232" t="n">
        <v>0.0007</v>
      </c>
    </row>
    <row r="4233">
      <c r="A4233" t="n">
        <v>73</v>
      </c>
      <c r="B4233" t="n">
        <v>1968</v>
      </c>
      <c r="C4233" t="n">
        <v>0.0026</v>
      </c>
    </row>
    <row r="4234">
      <c r="A4234" t="n">
        <v>73</v>
      </c>
      <c r="B4234" t="n">
        <v>1969</v>
      </c>
      <c r="C4234" t="n">
        <v>0.0047</v>
      </c>
    </row>
    <row r="4235">
      <c r="A4235" t="n">
        <v>73</v>
      </c>
      <c r="B4235" t="n">
        <v>1970</v>
      </c>
      <c r="C4235" t="n">
        <v>0.007</v>
      </c>
    </row>
    <row r="4236">
      <c r="A4236" t="n">
        <v>73</v>
      </c>
      <c r="B4236" t="n">
        <v>1971</v>
      </c>
      <c r="C4236" t="n">
        <v>0.0092</v>
      </c>
    </row>
    <row r="4237">
      <c r="A4237" t="n">
        <v>73</v>
      </c>
      <c r="B4237" t="n">
        <v>1972</v>
      </c>
      <c r="C4237" t="n">
        <v>0.0113</v>
      </c>
    </row>
    <row r="4238">
      <c r="A4238" t="n">
        <v>73</v>
      </c>
      <c r="B4238" t="n">
        <v>1973</v>
      </c>
      <c r="C4238" t="n">
        <v>0.013</v>
      </c>
    </row>
    <row r="4239">
      <c r="A4239" t="n">
        <v>73</v>
      </c>
      <c r="B4239" t="n">
        <v>1974</v>
      </c>
      <c r="C4239" t="n">
        <v>0.0143</v>
      </c>
    </row>
    <row r="4240">
      <c r="A4240" t="n">
        <v>73</v>
      </c>
      <c r="B4240" t="n">
        <v>1975</v>
      </c>
      <c r="C4240" t="n">
        <v>0.0148</v>
      </c>
    </row>
    <row r="4241">
      <c r="A4241" t="n">
        <v>73</v>
      </c>
      <c r="B4241" t="n">
        <v>1976</v>
      </c>
      <c r="C4241" t="n">
        <v>0.0147</v>
      </c>
    </row>
    <row r="4242">
      <c r="A4242" t="n">
        <v>73</v>
      </c>
      <c r="B4242" t="n">
        <v>1977</v>
      </c>
      <c r="C4242" t="n">
        <v>0.014</v>
      </c>
    </row>
    <row r="4243">
      <c r="A4243" t="n">
        <v>73</v>
      </c>
      <c r="B4243" t="n">
        <v>1978</v>
      </c>
      <c r="C4243" t="n">
        <v>0.013</v>
      </c>
    </row>
    <row r="4244">
      <c r="A4244" t="n">
        <v>73</v>
      </c>
      <c r="B4244" t="n">
        <v>1979</v>
      </c>
      <c r="C4244" t="n">
        <v>0.0118</v>
      </c>
    </row>
    <row r="4245">
      <c r="A4245" t="n">
        <v>73</v>
      </c>
      <c r="B4245" t="n">
        <v>1980</v>
      </c>
      <c r="C4245" t="n">
        <v>0.0108</v>
      </c>
    </row>
    <row r="4246">
      <c r="A4246" t="n">
        <v>73</v>
      </c>
      <c r="B4246" t="n">
        <v>1981</v>
      </c>
      <c r="C4246" t="n">
        <v>0.0101</v>
      </c>
    </row>
    <row r="4247">
      <c r="A4247" t="n">
        <v>73</v>
      </c>
      <c r="B4247" t="n">
        <v>1982</v>
      </c>
      <c r="C4247" t="n">
        <v>0.0098</v>
      </c>
    </row>
    <row r="4248">
      <c r="A4248" t="n">
        <v>73</v>
      </c>
      <c r="B4248" t="n">
        <v>1983</v>
      </c>
      <c r="C4248" t="n">
        <v>0.0101</v>
      </c>
    </row>
    <row r="4249">
      <c r="A4249" t="n">
        <v>73</v>
      </c>
      <c r="B4249" t="n">
        <v>1984</v>
      </c>
      <c r="C4249" t="n">
        <v>0.0109</v>
      </c>
    </row>
    <row r="4250">
      <c r="A4250" t="n">
        <v>73</v>
      </c>
      <c r="B4250" t="n">
        <v>1985</v>
      </c>
      <c r="C4250" t="n">
        <v>0.0123</v>
      </c>
    </row>
    <row r="4251">
      <c r="A4251" t="n">
        <v>73</v>
      </c>
      <c r="B4251" t="n">
        <v>1986</v>
      </c>
      <c r="C4251" t="n">
        <v>0.0139</v>
      </c>
    </row>
    <row r="4252">
      <c r="A4252" t="n">
        <v>73</v>
      </c>
      <c r="B4252" t="n">
        <v>1987</v>
      </c>
      <c r="C4252" t="n">
        <v>0.0154</v>
      </c>
    </row>
    <row r="4253">
      <c r="A4253" t="n">
        <v>73</v>
      </c>
      <c r="B4253" t="n">
        <v>1988</v>
      </c>
      <c r="C4253" t="n">
        <v>0.0167</v>
      </c>
    </row>
    <row r="4254">
      <c r="A4254" t="n">
        <v>73</v>
      </c>
      <c r="B4254" t="n">
        <v>1989</v>
      </c>
      <c r="C4254" t="n">
        <v>0.0174</v>
      </c>
    </row>
    <row r="4255">
      <c r="A4255" t="n">
        <v>73</v>
      </c>
      <c r="B4255" t="n">
        <v>1990</v>
      </c>
      <c r="C4255" t="n">
        <v>0.0174</v>
      </c>
    </row>
    <row r="4256">
      <c r="A4256" t="n">
        <v>73</v>
      </c>
      <c r="B4256" t="n">
        <v>1991</v>
      </c>
      <c r="C4256" t="n">
        <v>0.0168</v>
      </c>
    </row>
    <row r="4257">
      <c r="A4257" t="n">
        <v>73</v>
      </c>
      <c r="B4257" t="n">
        <v>1992</v>
      </c>
      <c r="C4257" t="n">
        <v>0.0158</v>
      </c>
    </row>
    <row r="4258">
      <c r="A4258" t="n">
        <v>73</v>
      </c>
      <c r="B4258" t="n">
        <v>1993</v>
      </c>
      <c r="C4258" t="n">
        <v>0.0146</v>
      </c>
    </row>
    <row r="4259">
      <c r="A4259" t="n">
        <v>73</v>
      </c>
      <c r="B4259" t="n">
        <v>1994</v>
      </c>
      <c r="C4259" t="n">
        <v>0.0137</v>
      </c>
    </row>
    <row r="4260">
      <c r="A4260" t="n">
        <v>73</v>
      </c>
      <c r="B4260" t="n">
        <v>1995</v>
      </c>
      <c r="C4260" t="n">
        <v>0.0131</v>
      </c>
    </row>
    <row r="4261">
      <c r="A4261" t="n">
        <v>73</v>
      </c>
      <c r="B4261" t="n">
        <v>1996</v>
      </c>
      <c r="C4261" t="n">
        <v>0.0132</v>
      </c>
    </row>
    <row r="4262">
      <c r="A4262" t="n">
        <v>73</v>
      </c>
      <c r="B4262" t="n">
        <v>1997</v>
      </c>
      <c r="C4262" t="n">
        <v>0.0139</v>
      </c>
    </row>
    <row r="4263">
      <c r="A4263" t="n">
        <v>73</v>
      </c>
      <c r="B4263" t="n">
        <v>1998</v>
      </c>
      <c r="C4263" t="n">
        <v>0.0152</v>
      </c>
    </row>
    <row r="4264">
      <c r="A4264" t="n">
        <v>73</v>
      </c>
      <c r="B4264" t="n">
        <v>1999</v>
      </c>
      <c r="C4264" t="n">
        <v>0.0171</v>
      </c>
    </row>
    <row r="4265">
      <c r="A4265" t="n">
        <v>73</v>
      </c>
      <c r="B4265" t="n">
        <v>2000</v>
      </c>
      <c r="C4265" t="n">
        <v>0.0195</v>
      </c>
    </row>
    <row r="4266">
      <c r="A4266" t="n">
        <v>73</v>
      </c>
      <c r="B4266" t="n">
        <v>2001</v>
      </c>
      <c r="C4266" t="n">
        <v>0.0219</v>
      </c>
    </row>
    <row r="4267">
      <c r="A4267" t="n">
        <v>73</v>
      </c>
      <c r="B4267" t="n">
        <v>2002</v>
      </c>
      <c r="C4267" t="n">
        <v>0.0242</v>
      </c>
    </row>
    <row r="4268">
      <c r="A4268" t="n">
        <v>73</v>
      </c>
      <c r="B4268" t="n">
        <v>2003</v>
      </c>
      <c r="C4268" t="n">
        <v>0.026</v>
      </c>
    </row>
    <row r="4269">
      <c r="A4269" t="n">
        <v>73</v>
      </c>
      <c r="B4269" t="n">
        <v>2004</v>
      </c>
      <c r="C4269" t="n">
        <v>0.0272</v>
      </c>
    </row>
    <row r="4270">
      <c r="A4270" t="n">
        <v>73</v>
      </c>
      <c r="B4270" t="n">
        <v>2005</v>
      </c>
      <c r="C4270" t="n">
        <v>0.0276</v>
      </c>
    </row>
    <row r="4271">
      <c r="A4271" t="n">
        <v>73</v>
      </c>
      <c r="B4271" t="n">
        <v>2006</v>
      </c>
      <c r="C4271" t="n">
        <v>0.0272</v>
      </c>
    </row>
    <row r="4272">
      <c r="A4272" t="n">
        <v>73</v>
      </c>
      <c r="B4272" t="n">
        <v>2007</v>
      </c>
      <c r="C4272" t="n">
        <v>0.026</v>
      </c>
    </row>
    <row r="4273">
      <c r="A4273" t="n">
        <v>73</v>
      </c>
      <c r="B4273" t="n">
        <v>2008</v>
      </c>
      <c r="C4273" t="n">
        <v>0.0242</v>
      </c>
    </row>
    <row r="4274">
      <c r="A4274" t="n">
        <v>73</v>
      </c>
      <c r="B4274" t="n">
        <v>2009</v>
      </c>
      <c r="C4274" t="n">
        <v>0.0219</v>
      </c>
    </row>
    <row r="4275">
      <c r="A4275" t="n">
        <v>73</v>
      </c>
      <c r="B4275" t="n">
        <v>2010</v>
      </c>
      <c r="C4275" t="n">
        <v>0.0192</v>
      </c>
    </row>
    <row r="4276">
      <c r="A4276" t="n">
        <v>73</v>
      </c>
      <c r="B4276" t="n">
        <v>2011</v>
      </c>
      <c r="C4276" t="n">
        <v>0.0163</v>
      </c>
    </row>
    <row r="4277">
      <c r="A4277" t="n">
        <v>73</v>
      </c>
      <c r="B4277" t="n">
        <v>2012</v>
      </c>
      <c r="C4277" t="n">
        <v>0.0132</v>
      </c>
    </row>
    <row r="4278">
      <c r="A4278" t="n">
        <v>73</v>
      </c>
      <c r="B4278" t="n">
        <v>2013</v>
      </c>
      <c r="C4278" t="n">
        <v>0.0129</v>
      </c>
    </row>
    <row r="4279">
      <c r="A4279" t="n">
        <v>73</v>
      </c>
      <c r="B4279" t="n">
        <v>2014</v>
      </c>
      <c r="C4279" t="n">
        <v>0.0125</v>
      </c>
    </row>
    <row r="4280">
      <c r="A4280" t="n">
        <v>73</v>
      </c>
      <c r="B4280" t="n">
        <v>2015</v>
      </c>
      <c r="C4280" t="n">
        <v>0.0119</v>
      </c>
    </row>
    <row r="4281">
      <c r="A4281" t="n">
        <v>73</v>
      </c>
      <c r="B4281" t="n">
        <v>2016</v>
      </c>
      <c r="C4281" t="n">
        <v>0.0112</v>
      </c>
    </row>
    <row r="4282">
      <c r="A4282" t="n">
        <v>73</v>
      </c>
      <c r="B4282" t="n">
        <v>2017</v>
      </c>
      <c r="C4282" t="n">
        <v>0.0104</v>
      </c>
    </row>
    <row r="4283">
      <c r="A4283" t="n">
        <v>73</v>
      </c>
      <c r="B4283" t="n">
        <v>2018</v>
      </c>
      <c r="C4283" t="n">
        <v>0.0095</v>
      </c>
    </row>
    <row r="4284">
      <c r="A4284" t="n">
        <v>73</v>
      </c>
      <c r="B4284" t="n">
        <v>2019</v>
      </c>
      <c r="C4284" t="n">
        <v>0.0086</v>
      </c>
    </row>
    <row r="4285">
      <c r="A4285" t="n">
        <v>73</v>
      </c>
      <c r="B4285" t="n">
        <v>2020</v>
      </c>
      <c r="C4285" t="n">
        <v>0.007900000000000001</v>
      </c>
    </row>
    <row r="4286">
      <c r="A4286" t="n">
        <v>73</v>
      </c>
      <c r="B4286" t="n">
        <v>2021</v>
      </c>
      <c r="C4286" t="n">
        <v>0.0075</v>
      </c>
    </row>
    <row r="4287">
      <c r="A4287" t="n">
        <v>73</v>
      </c>
      <c r="B4287" t="n">
        <v>2022</v>
      </c>
      <c r="C4287" t="n">
        <v>0.0072</v>
      </c>
    </row>
    <row r="4288">
      <c r="A4288" t="n">
        <v>73</v>
      </c>
      <c r="B4288" t="n">
        <v>2023</v>
      </c>
      <c r="C4288" t="n">
        <v>0.0073</v>
      </c>
    </row>
    <row r="4289">
      <c r="A4289" t="n">
        <v>73</v>
      </c>
      <c r="B4289" t="n">
        <v>2024</v>
      </c>
      <c r="C4289" t="n">
        <v>0.0076</v>
      </c>
    </row>
    <row r="4290">
      <c r="A4290" t="n">
        <v>73</v>
      </c>
      <c r="B4290" t="n">
        <v>2025</v>
      </c>
      <c r="C4290" t="n">
        <v>0.008</v>
      </c>
    </row>
    <row r="4291">
      <c r="A4291" t="n">
        <v>73</v>
      </c>
      <c r="B4291" t="n">
        <v>2026</v>
      </c>
      <c r="C4291" t="n">
        <v>0.008500000000000001</v>
      </c>
    </row>
    <row r="4292">
      <c r="A4292" t="n">
        <v>73</v>
      </c>
      <c r="B4292" t="n">
        <v>2027</v>
      </c>
      <c r="C4292" t="n">
        <v>0.008999999999999999</v>
      </c>
    </row>
    <row r="4293">
      <c r="A4293" t="n">
        <v>73</v>
      </c>
      <c r="B4293" t="n">
        <v>2028</v>
      </c>
      <c r="C4293" t="n">
        <v>0.0094</v>
      </c>
    </row>
    <row r="4294">
      <c r="A4294" t="n">
        <v>73</v>
      </c>
      <c r="B4294" t="n">
        <v>2029</v>
      </c>
      <c r="C4294" t="n">
        <v>0.0097</v>
      </c>
    </row>
    <row r="4295">
      <c r="A4295" t="n">
        <v>73</v>
      </c>
      <c r="B4295" t="n">
        <v>2030</v>
      </c>
      <c r="C4295" t="n">
        <v>0.009900000000000001</v>
      </c>
    </row>
    <row r="4296">
      <c r="A4296" t="n">
        <v>73</v>
      </c>
      <c r="B4296" t="n">
        <v>2031</v>
      </c>
      <c r="C4296" t="n">
        <v>0.01</v>
      </c>
    </row>
    <row r="4297">
      <c r="A4297" t="n">
        <v>74</v>
      </c>
      <c r="B4297" t="n">
        <v>1951</v>
      </c>
      <c r="C4297" t="n">
        <v>0.0105</v>
      </c>
    </row>
    <row r="4298">
      <c r="A4298" t="n">
        <v>74</v>
      </c>
      <c r="B4298" t="n">
        <v>1952</v>
      </c>
      <c r="C4298" t="n">
        <v>0.0086</v>
      </c>
    </row>
    <row r="4299">
      <c r="A4299" t="n">
        <v>74</v>
      </c>
      <c r="B4299" t="n">
        <v>1953</v>
      </c>
      <c r="C4299" t="n">
        <v>0.0068</v>
      </c>
    </row>
    <row r="4300">
      <c r="A4300" t="n">
        <v>74</v>
      </c>
      <c r="B4300" t="n">
        <v>1954</v>
      </c>
      <c r="C4300" t="n">
        <v>0.0051</v>
      </c>
    </row>
    <row r="4301">
      <c r="A4301" t="n">
        <v>74</v>
      </c>
      <c r="B4301" t="n">
        <v>1955</v>
      </c>
      <c r="C4301" t="n">
        <v>0.0034</v>
      </c>
    </row>
    <row r="4302">
      <c r="A4302" t="n">
        <v>74</v>
      </c>
      <c r="B4302" t="n">
        <v>1956</v>
      </c>
      <c r="C4302" t="n">
        <v>0.002</v>
      </c>
    </row>
    <row r="4303">
      <c r="A4303" t="n">
        <v>74</v>
      </c>
      <c r="B4303" t="n">
        <v>1957</v>
      </c>
      <c r="C4303" t="n">
        <v>0.0008</v>
      </c>
    </row>
    <row r="4304">
      <c r="A4304" t="n">
        <v>74</v>
      </c>
      <c r="B4304" t="n">
        <v>1958</v>
      </c>
      <c r="C4304" t="n">
        <v>-0.0002</v>
      </c>
    </row>
    <row r="4305">
      <c r="A4305" t="n">
        <v>74</v>
      </c>
      <c r="B4305" t="n">
        <v>1959</v>
      </c>
      <c r="C4305" t="n">
        <v>-0.0011</v>
      </c>
    </row>
    <row r="4306">
      <c r="A4306" t="n">
        <v>74</v>
      </c>
      <c r="B4306" t="n">
        <v>1960</v>
      </c>
      <c r="C4306" t="n">
        <v>-0.0017</v>
      </c>
    </row>
    <row r="4307">
      <c r="A4307" t="n">
        <v>74</v>
      </c>
      <c r="B4307" t="n">
        <v>1961</v>
      </c>
      <c r="C4307" t="n">
        <v>-0.0022</v>
      </c>
    </row>
    <row r="4308">
      <c r="A4308" t="n">
        <v>74</v>
      </c>
      <c r="B4308" t="n">
        <v>1962</v>
      </c>
      <c r="C4308" t="n">
        <v>-0.0026</v>
      </c>
    </row>
    <row r="4309">
      <c r="A4309" t="n">
        <v>74</v>
      </c>
      <c r="B4309" t="n">
        <v>1963</v>
      </c>
      <c r="C4309" t="n">
        <v>-0.0027</v>
      </c>
    </row>
    <row r="4310">
      <c r="A4310" t="n">
        <v>74</v>
      </c>
      <c r="B4310" t="n">
        <v>1964</v>
      </c>
      <c r="C4310" t="n">
        <v>-0.0025</v>
      </c>
    </row>
    <row r="4311">
      <c r="A4311" t="n">
        <v>74</v>
      </c>
      <c r="B4311" t="n">
        <v>1965</v>
      </c>
      <c r="C4311" t="n">
        <v>-0.0018</v>
      </c>
    </row>
    <row r="4312">
      <c r="A4312" t="n">
        <v>74</v>
      </c>
      <c r="B4312" t="n">
        <v>1966</v>
      </c>
      <c r="C4312" t="n">
        <v>-0.0008</v>
      </c>
    </row>
    <row r="4313">
      <c r="A4313" t="n">
        <v>74</v>
      </c>
      <c r="B4313" t="n">
        <v>1967</v>
      </c>
      <c r="C4313" t="n">
        <v>0.0007</v>
      </c>
    </row>
    <row r="4314">
      <c r="A4314" t="n">
        <v>74</v>
      </c>
      <c r="B4314" t="n">
        <v>1968</v>
      </c>
      <c r="C4314" t="n">
        <v>0.0025</v>
      </c>
    </row>
    <row r="4315">
      <c r="A4315" t="n">
        <v>74</v>
      </c>
      <c r="B4315" t="n">
        <v>1969</v>
      </c>
      <c r="C4315" t="n">
        <v>0.0046</v>
      </c>
    </row>
    <row r="4316">
      <c r="A4316" t="n">
        <v>74</v>
      </c>
      <c r="B4316" t="n">
        <v>1970</v>
      </c>
      <c r="C4316" t="n">
        <v>0.0069</v>
      </c>
    </row>
    <row r="4317">
      <c r="A4317" t="n">
        <v>74</v>
      </c>
      <c r="B4317" t="n">
        <v>1971</v>
      </c>
      <c r="C4317" t="n">
        <v>0.0091</v>
      </c>
    </row>
    <row r="4318">
      <c r="A4318" t="n">
        <v>74</v>
      </c>
      <c r="B4318" t="n">
        <v>1972</v>
      </c>
      <c r="C4318" t="n">
        <v>0.0112</v>
      </c>
    </row>
    <row r="4319">
      <c r="A4319" t="n">
        <v>74</v>
      </c>
      <c r="B4319" t="n">
        <v>1973</v>
      </c>
      <c r="C4319" t="n">
        <v>0.0129</v>
      </c>
    </row>
    <row r="4320">
      <c r="A4320" t="n">
        <v>74</v>
      </c>
      <c r="B4320" t="n">
        <v>1974</v>
      </c>
      <c r="C4320" t="n">
        <v>0.014</v>
      </c>
    </row>
    <row r="4321">
      <c r="A4321" t="n">
        <v>74</v>
      </c>
      <c r="B4321" t="n">
        <v>1975</v>
      </c>
      <c r="C4321" t="n">
        <v>0.0145</v>
      </c>
    </row>
    <row r="4322">
      <c r="A4322" t="n">
        <v>74</v>
      </c>
      <c r="B4322" t="n">
        <v>1976</v>
      </c>
      <c r="C4322" t="n">
        <v>0.0143</v>
      </c>
    </row>
    <row r="4323">
      <c r="A4323" t="n">
        <v>74</v>
      </c>
      <c r="B4323" t="n">
        <v>1977</v>
      </c>
      <c r="C4323" t="n">
        <v>0.0136</v>
      </c>
    </row>
    <row r="4324">
      <c r="A4324" t="n">
        <v>74</v>
      </c>
      <c r="B4324" t="n">
        <v>1978</v>
      </c>
      <c r="C4324" t="n">
        <v>0.0125</v>
      </c>
    </row>
    <row r="4325">
      <c r="A4325" t="n">
        <v>74</v>
      </c>
      <c r="B4325" t="n">
        <v>1979</v>
      </c>
      <c r="C4325" t="n">
        <v>0.0112</v>
      </c>
    </row>
    <row r="4326">
      <c r="A4326" t="n">
        <v>74</v>
      </c>
      <c r="B4326" t="n">
        <v>1980</v>
      </c>
      <c r="C4326" t="n">
        <v>0.0101</v>
      </c>
    </row>
    <row r="4327">
      <c r="A4327" t="n">
        <v>74</v>
      </c>
      <c r="B4327" t="n">
        <v>1981</v>
      </c>
      <c r="C4327" t="n">
        <v>0.009299999999999999</v>
      </c>
    </row>
    <row r="4328">
      <c r="A4328" t="n">
        <v>74</v>
      </c>
      <c r="B4328" t="n">
        <v>1982</v>
      </c>
      <c r="C4328" t="n">
        <v>0.0089</v>
      </c>
    </row>
    <row r="4329">
      <c r="A4329" t="n">
        <v>74</v>
      </c>
      <c r="B4329" t="n">
        <v>1983</v>
      </c>
      <c r="C4329" t="n">
        <v>0.0091</v>
      </c>
    </row>
    <row r="4330">
      <c r="A4330" t="n">
        <v>74</v>
      </c>
      <c r="B4330" t="n">
        <v>1984</v>
      </c>
      <c r="C4330" t="n">
        <v>0.01</v>
      </c>
    </row>
    <row r="4331">
      <c r="A4331" t="n">
        <v>74</v>
      </c>
      <c r="B4331" t="n">
        <v>1985</v>
      </c>
      <c r="C4331" t="n">
        <v>0.0113</v>
      </c>
    </row>
    <row r="4332">
      <c r="A4332" t="n">
        <v>74</v>
      </c>
      <c r="B4332" t="n">
        <v>1986</v>
      </c>
      <c r="C4332" t="n">
        <v>0.013</v>
      </c>
    </row>
    <row r="4333">
      <c r="A4333" t="n">
        <v>74</v>
      </c>
      <c r="B4333" t="n">
        <v>1987</v>
      </c>
      <c r="C4333" t="n">
        <v>0.0146</v>
      </c>
    </row>
    <row r="4334">
      <c r="A4334" t="n">
        <v>74</v>
      </c>
      <c r="B4334" t="n">
        <v>1988</v>
      </c>
      <c r="C4334" t="n">
        <v>0.016</v>
      </c>
    </row>
    <row r="4335">
      <c r="A4335" t="n">
        <v>74</v>
      </c>
      <c r="B4335" t="n">
        <v>1989</v>
      </c>
      <c r="C4335" t="n">
        <v>0.0169</v>
      </c>
    </row>
    <row r="4336">
      <c r="A4336" t="n">
        <v>74</v>
      </c>
      <c r="B4336" t="n">
        <v>1990</v>
      </c>
      <c r="C4336" t="n">
        <v>0.017</v>
      </c>
    </row>
    <row r="4337">
      <c r="A4337" t="n">
        <v>74</v>
      </c>
      <c r="B4337" t="n">
        <v>1991</v>
      </c>
      <c r="C4337" t="n">
        <v>0.0166</v>
      </c>
    </row>
    <row r="4338">
      <c r="A4338" t="n">
        <v>74</v>
      </c>
      <c r="B4338" t="n">
        <v>1992</v>
      </c>
      <c r="C4338" t="n">
        <v>0.0156</v>
      </c>
    </row>
    <row r="4339">
      <c r="A4339" t="n">
        <v>74</v>
      </c>
      <c r="B4339" t="n">
        <v>1993</v>
      </c>
      <c r="C4339" t="n">
        <v>0.0145</v>
      </c>
    </row>
    <row r="4340">
      <c r="A4340" t="n">
        <v>74</v>
      </c>
      <c r="B4340" t="n">
        <v>1994</v>
      </c>
      <c r="C4340" t="n">
        <v>0.0136</v>
      </c>
    </row>
    <row r="4341">
      <c r="A4341" t="n">
        <v>74</v>
      </c>
      <c r="B4341" t="n">
        <v>1995</v>
      </c>
      <c r="C4341" t="n">
        <v>0.013</v>
      </c>
    </row>
    <row r="4342">
      <c r="A4342" t="n">
        <v>74</v>
      </c>
      <c r="B4342" t="n">
        <v>1996</v>
      </c>
      <c r="C4342" t="n">
        <v>0.013</v>
      </c>
    </row>
    <row r="4343">
      <c r="A4343" t="n">
        <v>74</v>
      </c>
      <c r="B4343" t="n">
        <v>1997</v>
      </c>
      <c r="C4343" t="n">
        <v>0.0135</v>
      </c>
    </row>
    <row r="4344">
      <c r="A4344" t="n">
        <v>74</v>
      </c>
      <c r="B4344" t="n">
        <v>1998</v>
      </c>
      <c r="C4344" t="n">
        <v>0.0147</v>
      </c>
    </row>
    <row r="4345">
      <c r="A4345" t="n">
        <v>74</v>
      </c>
      <c r="B4345" t="n">
        <v>1999</v>
      </c>
      <c r="C4345" t="n">
        <v>0.0165</v>
      </c>
    </row>
    <row r="4346">
      <c r="A4346" t="n">
        <v>74</v>
      </c>
      <c r="B4346" t="n">
        <v>2000</v>
      </c>
      <c r="C4346" t="n">
        <v>0.0187</v>
      </c>
    </row>
    <row r="4347">
      <c r="A4347" t="n">
        <v>74</v>
      </c>
      <c r="B4347" t="n">
        <v>2001</v>
      </c>
      <c r="C4347" t="n">
        <v>0.0211</v>
      </c>
    </row>
    <row r="4348">
      <c r="A4348" t="n">
        <v>74</v>
      </c>
      <c r="B4348" t="n">
        <v>2002</v>
      </c>
      <c r="C4348" t="n">
        <v>0.0234</v>
      </c>
    </row>
    <row r="4349">
      <c r="A4349" t="n">
        <v>74</v>
      </c>
      <c r="B4349" t="n">
        <v>2003</v>
      </c>
      <c r="C4349" t="n">
        <v>0.0253</v>
      </c>
    </row>
    <row r="4350">
      <c r="A4350" t="n">
        <v>74</v>
      </c>
      <c r="B4350" t="n">
        <v>2004</v>
      </c>
      <c r="C4350" t="n">
        <v>0.0266</v>
      </c>
    </row>
    <row r="4351">
      <c r="A4351" t="n">
        <v>74</v>
      </c>
      <c r="B4351" t="n">
        <v>2005</v>
      </c>
      <c r="C4351" t="n">
        <v>0.0271</v>
      </c>
    </row>
    <row r="4352">
      <c r="A4352" t="n">
        <v>74</v>
      </c>
      <c r="B4352" t="n">
        <v>2006</v>
      </c>
      <c r="C4352" t="n">
        <v>0.0268</v>
      </c>
    </row>
    <row r="4353">
      <c r="A4353" t="n">
        <v>74</v>
      </c>
      <c r="B4353" t="n">
        <v>2007</v>
      </c>
      <c r="C4353" t="n">
        <v>0.0258</v>
      </c>
    </row>
    <row r="4354">
      <c r="A4354" t="n">
        <v>74</v>
      </c>
      <c r="B4354" t="n">
        <v>2008</v>
      </c>
      <c r="C4354" t="n">
        <v>0.0241</v>
      </c>
    </row>
    <row r="4355">
      <c r="A4355" t="n">
        <v>74</v>
      </c>
      <c r="B4355" t="n">
        <v>2009</v>
      </c>
      <c r="C4355" t="n">
        <v>0.0219</v>
      </c>
    </row>
    <row r="4356">
      <c r="A4356" t="n">
        <v>74</v>
      </c>
      <c r="B4356" t="n">
        <v>2010</v>
      </c>
      <c r="C4356" t="n">
        <v>0.0193</v>
      </c>
    </row>
    <row r="4357">
      <c r="A4357" t="n">
        <v>74</v>
      </c>
      <c r="B4357" t="n">
        <v>2011</v>
      </c>
      <c r="C4357" t="n">
        <v>0.0164</v>
      </c>
    </row>
    <row r="4358">
      <c r="A4358" t="n">
        <v>74</v>
      </c>
      <c r="B4358" t="n">
        <v>2012</v>
      </c>
      <c r="C4358" t="n">
        <v>0.0133</v>
      </c>
    </row>
    <row r="4359">
      <c r="A4359" t="n">
        <v>74</v>
      </c>
      <c r="B4359" t="n">
        <v>2013</v>
      </c>
      <c r="C4359" t="n">
        <v>0.0132</v>
      </c>
    </row>
    <row r="4360">
      <c r="A4360" t="n">
        <v>74</v>
      </c>
      <c r="B4360" t="n">
        <v>2014</v>
      </c>
      <c r="C4360" t="n">
        <v>0.0128</v>
      </c>
    </row>
    <row r="4361">
      <c r="A4361" t="n">
        <v>74</v>
      </c>
      <c r="B4361" t="n">
        <v>2015</v>
      </c>
      <c r="C4361" t="n">
        <v>0.0124</v>
      </c>
    </row>
    <row r="4362">
      <c r="A4362" t="n">
        <v>74</v>
      </c>
      <c r="B4362" t="n">
        <v>2016</v>
      </c>
      <c r="C4362" t="n">
        <v>0.0117</v>
      </c>
    </row>
    <row r="4363">
      <c r="A4363" t="n">
        <v>74</v>
      </c>
      <c r="B4363" t="n">
        <v>2017</v>
      </c>
      <c r="C4363" t="n">
        <v>0.011</v>
      </c>
    </row>
    <row r="4364">
      <c r="A4364" t="n">
        <v>74</v>
      </c>
      <c r="B4364" t="n">
        <v>2018</v>
      </c>
      <c r="C4364" t="n">
        <v>0.0102</v>
      </c>
    </row>
    <row r="4365">
      <c r="A4365" t="n">
        <v>74</v>
      </c>
      <c r="B4365" t="n">
        <v>2019</v>
      </c>
      <c r="C4365" t="n">
        <v>0.0094</v>
      </c>
    </row>
    <row r="4366">
      <c r="A4366" t="n">
        <v>74</v>
      </c>
      <c r="B4366" t="n">
        <v>2020</v>
      </c>
      <c r="C4366" t="n">
        <v>0.0086</v>
      </c>
    </row>
    <row r="4367">
      <c r="A4367" t="n">
        <v>74</v>
      </c>
      <c r="B4367" t="n">
        <v>2021</v>
      </c>
      <c r="C4367" t="n">
        <v>0.0081</v>
      </c>
    </row>
    <row r="4368">
      <c r="A4368" t="n">
        <v>74</v>
      </c>
      <c r="B4368" t="n">
        <v>2022</v>
      </c>
      <c r="C4368" t="n">
        <v>0.0077</v>
      </c>
    </row>
    <row r="4369">
      <c r="A4369" t="n">
        <v>74</v>
      </c>
      <c r="B4369" t="n">
        <v>2023</v>
      </c>
      <c r="C4369" t="n">
        <v>0.0077</v>
      </c>
    </row>
    <row r="4370">
      <c r="A4370" t="n">
        <v>74</v>
      </c>
      <c r="B4370" t="n">
        <v>2024</v>
      </c>
      <c r="C4370" t="n">
        <v>0.0078</v>
      </c>
    </row>
    <row r="4371">
      <c r="A4371" t="n">
        <v>74</v>
      </c>
      <c r="B4371" t="n">
        <v>2025</v>
      </c>
      <c r="C4371" t="n">
        <v>0.0081</v>
      </c>
    </row>
    <row r="4372">
      <c r="A4372" t="n">
        <v>74</v>
      </c>
      <c r="B4372" t="n">
        <v>2026</v>
      </c>
      <c r="C4372" t="n">
        <v>0.008500000000000001</v>
      </c>
    </row>
    <row r="4373">
      <c r="A4373" t="n">
        <v>74</v>
      </c>
      <c r="B4373" t="n">
        <v>2027</v>
      </c>
      <c r="C4373" t="n">
        <v>0.0089</v>
      </c>
    </row>
    <row r="4374">
      <c r="A4374" t="n">
        <v>74</v>
      </c>
      <c r="B4374" t="n">
        <v>2028</v>
      </c>
      <c r="C4374" t="n">
        <v>0.009299999999999999</v>
      </c>
    </row>
    <row r="4375">
      <c r="A4375" t="n">
        <v>74</v>
      </c>
      <c r="B4375" t="n">
        <v>2029</v>
      </c>
      <c r="C4375" t="n">
        <v>0.009599999999999999</v>
      </c>
    </row>
    <row r="4376">
      <c r="A4376" t="n">
        <v>74</v>
      </c>
      <c r="B4376" t="n">
        <v>2030</v>
      </c>
      <c r="C4376" t="n">
        <v>0.009900000000000001</v>
      </c>
    </row>
    <row r="4377">
      <c r="A4377" t="n">
        <v>74</v>
      </c>
      <c r="B4377" t="n">
        <v>2031</v>
      </c>
      <c r="C4377" t="n">
        <v>0.01</v>
      </c>
    </row>
    <row r="4378">
      <c r="A4378" t="n">
        <v>75</v>
      </c>
      <c r="B4378" t="n">
        <v>1951</v>
      </c>
      <c r="C4378" t="n">
        <v>0.0106</v>
      </c>
    </row>
    <row r="4379">
      <c r="A4379" t="n">
        <v>75</v>
      </c>
      <c r="B4379" t="n">
        <v>1952</v>
      </c>
      <c r="C4379" t="n">
        <v>0.0089</v>
      </c>
    </row>
    <row r="4380">
      <c r="A4380" t="n">
        <v>75</v>
      </c>
      <c r="B4380" t="n">
        <v>1953</v>
      </c>
      <c r="C4380" t="n">
        <v>0.0071</v>
      </c>
    </row>
    <row r="4381">
      <c r="A4381" t="n">
        <v>75</v>
      </c>
      <c r="B4381" t="n">
        <v>1954</v>
      </c>
      <c r="C4381" t="n">
        <v>0.0055</v>
      </c>
    </row>
    <row r="4382">
      <c r="A4382" t="n">
        <v>75</v>
      </c>
      <c r="B4382" t="n">
        <v>1955</v>
      </c>
      <c r="C4382" t="n">
        <v>0.0038</v>
      </c>
    </row>
    <row r="4383">
      <c r="A4383" t="n">
        <v>75</v>
      </c>
      <c r="B4383" t="n">
        <v>1956</v>
      </c>
      <c r="C4383" t="n">
        <v>0.0024</v>
      </c>
    </row>
    <row r="4384">
      <c r="A4384" t="n">
        <v>75</v>
      </c>
      <c r="B4384" t="n">
        <v>1957</v>
      </c>
      <c r="C4384" t="n">
        <v>0.0012</v>
      </c>
    </row>
    <row r="4385">
      <c r="A4385" t="n">
        <v>75</v>
      </c>
      <c r="B4385" t="n">
        <v>1958</v>
      </c>
      <c r="C4385" t="n">
        <v>0.0001</v>
      </c>
    </row>
    <row r="4386">
      <c r="A4386" t="n">
        <v>75</v>
      </c>
      <c r="B4386" t="n">
        <v>1959</v>
      </c>
      <c r="C4386" t="n">
        <v>-0.0008</v>
      </c>
    </row>
    <row r="4387">
      <c r="A4387" t="n">
        <v>75</v>
      </c>
      <c r="B4387" t="n">
        <v>1960</v>
      </c>
      <c r="C4387" t="n">
        <v>-0.0015</v>
      </c>
    </row>
    <row r="4388">
      <c r="A4388" t="n">
        <v>75</v>
      </c>
      <c r="B4388" t="n">
        <v>1961</v>
      </c>
      <c r="C4388" t="n">
        <v>-0.0021</v>
      </c>
    </row>
    <row r="4389">
      <c r="A4389" t="n">
        <v>75</v>
      </c>
      <c r="B4389" t="n">
        <v>1962</v>
      </c>
      <c r="C4389" t="n">
        <v>-0.0025</v>
      </c>
    </row>
    <row r="4390">
      <c r="A4390" t="n">
        <v>75</v>
      </c>
      <c r="B4390" t="n">
        <v>1963</v>
      </c>
      <c r="C4390" t="n">
        <v>-0.0027</v>
      </c>
    </row>
    <row r="4391">
      <c r="A4391" t="n">
        <v>75</v>
      </c>
      <c r="B4391" t="n">
        <v>1964</v>
      </c>
      <c r="C4391" t="n">
        <v>-0.0024</v>
      </c>
    </row>
    <row r="4392">
      <c r="A4392" t="n">
        <v>75</v>
      </c>
      <c r="B4392" t="n">
        <v>1965</v>
      </c>
      <c r="C4392" t="n">
        <v>-0.0018</v>
      </c>
    </row>
    <row r="4393">
      <c r="A4393" t="n">
        <v>75</v>
      </c>
      <c r="B4393" t="n">
        <v>1966</v>
      </c>
      <c r="C4393" t="n">
        <v>-0.0008</v>
      </c>
    </row>
    <row r="4394">
      <c r="A4394" t="n">
        <v>75</v>
      </c>
      <c r="B4394" t="n">
        <v>1967</v>
      </c>
      <c r="C4394" t="n">
        <v>0.0007</v>
      </c>
    </row>
    <row r="4395">
      <c r="A4395" t="n">
        <v>75</v>
      </c>
      <c r="B4395" t="n">
        <v>1968</v>
      </c>
      <c r="C4395" t="n">
        <v>0.0026</v>
      </c>
    </row>
    <row r="4396">
      <c r="A4396" t="n">
        <v>75</v>
      </c>
      <c r="B4396" t="n">
        <v>1969</v>
      </c>
      <c r="C4396" t="n">
        <v>0.0047</v>
      </c>
    </row>
    <row r="4397">
      <c r="A4397" t="n">
        <v>75</v>
      </c>
      <c r="B4397" t="n">
        <v>1970</v>
      </c>
      <c r="C4397" t="n">
        <v>0.0069</v>
      </c>
    </row>
    <row r="4398">
      <c r="A4398" t="n">
        <v>75</v>
      </c>
      <c r="B4398" t="n">
        <v>1971</v>
      </c>
      <c r="C4398" t="n">
        <v>0.0091</v>
      </c>
    </row>
    <row r="4399">
      <c r="A4399" t="n">
        <v>75</v>
      </c>
      <c r="B4399" t="n">
        <v>1972</v>
      </c>
      <c r="C4399" t="n">
        <v>0.0111</v>
      </c>
    </row>
    <row r="4400">
      <c r="A4400" t="n">
        <v>75</v>
      </c>
      <c r="B4400" t="n">
        <v>1973</v>
      </c>
      <c r="C4400" t="n">
        <v>0.0128</v>
      </c>
    </row>
    <row r="4401">
      <c r="A4401" t="n">
        <v>75</v>
      </c>
      <c r="B4401" t="n">
        <v>1974</v>
      </c>
      <c r="C4401" t="n">
        <v>0.0139</v>
      </c>
    </row>
    <row r="4402">
      <c r="A4402" t="n">
        <v>75</v>
      </c>
      <c r="B4402" t="n">
        <v>1975</v>
      </c>
      <c r="C4402" t="n">
        <v>0.0143</v>
      </c>
    </row>
    <row r="4403">
      <c r="A4403" t="n">
        <v>75</v>
      </c>
      <c r="B4403" t="n">
        <v>1976</v>
      </c>
      <c r="C4403" t="n">
        <v>0.0141</v>
      </c>
    </row>
    <row r="4404">
      <c r="A4404" t="n">
        <v>75</v>
      </c>
      <c r="B4404" t="n">
        <v>1977</v>
      </c>
      <c r="C4404" t="n">
        <v>0.0133</v>
      </c>
    </row>
    <row r="4405">
      <c r="A4405" t="n">
        <v>75</v>
      </c>
      <c r="B4405" t="n">
        <v>1978</v>
      </c>
      <c r="C4405" t="n">
        <v>0.0121</v>
      </c>
    </row>
    <row r="4406">
      <c r="A4406" t="n">
        <v>75</v>
      </c>
      <c r="B4406" t="n">
        <v>1979</v>
      </c>
      <c r="C4406" t="n">
        <v>0.0108</v>
      </c>
    </row>
    <row r="4407">
      <c r="A4407" t="n">
        <v>75</v>
      </c>
      <c r="B4407" t="n">
        <v>1980</v>
      </c>
      <c r="C4407" t="n">
        <v>0.0095</v>
      </c>
    </row>
    <row r="4408">
      <c r="A4408" t="n">
        <v>75</v>
      </c>
      <c r="B4408" t="n">
        <v>1981</v>
      </c>
      <c r="C4408" t="n">
        <v>0.0086</v>
      </c>
    </row>
    <row r="4409">
      <c r="A4409" t="n">
        <v>75</v>
      </c>
      <c r="B4409" t="n">
        <v>1982</v>
      </c>
      <c r="C4409" t="n">
        <v>0.0081</v>
      </c>
    </row>
    <row r="4410">
      <c r="A4410" t="n">
        <v>75</v>
      </c>
      <c r="B4410" t="n">
        <v>1983</v>
      </c>
      <c r="C4410" t="n">
        <v>0.0083</v>
      </c>
    </row>
    <row r="4411">
      <c r="A4411" t="n">
        <v>75</v>
      </c>
      <c r="B4411" t="n">
        <v>1984</v>
      </c>
      <c r="C4411" t="n">
        <v>0.008999999999999999</v>
      </c>
    </row>
    <row r="4412">
      <c r="A4412" t="n">
        <v>75</v>
      </c>
      <c r="B4412" t="n">
        <v>1985</v>
      </c>
      <c r="C4412" t="n">
        <v>0.0103</v>
      </c>
    </row>
    <row r="4413">
      <c r="A4413" t="n">
        <v>75</v>
      </c>
      <c r="B4413" t="n">
        <v>1986</v>
      </c>
      <c r="C4413" t="n">
        <v>0.012</v>
      </c>
    </row>
    <row r="4414">
      <c r="A4414" t="n">
        <v>75</v>
      </c>
      <c r="B4414" t="n">
        <v>1987</v>
      </c>
      <c r="C4414" t="n">
        <v>0.0137</v>
      </c>
    </row>
    <row r="4415">
      <c r="A4415" t="n">
        <v>75</v>
      </c>
      <c r="B4415" t="n">
        <v>1988</v>
      </c>
      <c r="C4415" t="n">
        <v>0.0152</v>
      </c>
    </row>
    <row r="4416">
      <c r="A4416" t="n">
        <v>75</v>
      </c>
      <c r="B4416" t="n">
        <v>1989</v>
      </c>
      <c r="C4416" t="n">
        <v>0.0161</v>
      </c>
    </row>
    <row r="4417">
      <c r="A4417" t="n">
        <v>75</v>
      </c>
      <c r="B4417" t="n">
        <v>1990</v>
      </c>
      <c r="C4417" t="n">
        <v>0.0164</v>
      </c>
    </row>
    <row r="4418">
      <c r="A4418" t="n">
        <v>75</v>
      </c>
      <c r="B4418" t="n">
        <v>1991</v>
      </c>
      <c r="C4418" t="n">
        <v>0.0161</v>
      </c>
    </row>
    <row r="4419">
      <c r="A4419" t="n">
        <v>75</v>
      </c>
      <c r="B4419" t="n">
        <v>1992</v>
      </c>
      <c r="C4419" t="n">
        <v>0.0153</v>
      </c>
    </row>
    <row r="4420">
      <c r="A4420" t="n">
        <v>75</v>
      </c>
      <c r="B4420" t="n">
        <v>1993</v>
      </c>
      <c r="C4420" t="n">
        <v>0.0143</v>
      </c>
    </row>
    <row r="4421">
      <c r="A4421" t="n">
        <v>75</v>
      </c>
      <c r="B4421" t="n">
        <v>1994</v>
      </c>
      <c r="C4421" t="n">
        <v>0.0134</v>
      </c>
    </row>
    <row r="4422">
      <c r="A4422" t="n">
        <v>75</v>
      </c>
      <c r="B4422" t="n">
        <v>1995</v>
      </c>
      <c r="C4422" t="n">
        <v>0.0128</v>
      </c>
    </row>
    <row r="4423">
      <c r="A4423" t="n">
        <v>75</v>
      </c>
      <c r="B4423" t="n">
        <v>1996</v>
      </c>
      <c r="C4423" t="n">
        <v>0.0127</v>
      </c>
    </row>
    <row r="4424">
      <c r="A4424" t="n">
        <v>75</v>
      </c>
      <c r="B4424" t="n">
        <v>1997</v>
      </c>
      <c r="C4424" t="n">
        <v>0.0132</v>
      </c>
    </row>
    <row r="4425">
      <c r="A4425" t="n">
        <v>75</v>
      </c>
      <c r="B4425" t="n">
        <v>1998</v>
      </c>
      <c r="C4425" t="n">
        <v>0.0143</v>
      </c>
    </row>
    <row r="4426">
      <c r="A4426" t="n">
        <v>75</v>
      </c>
      <c r="B4426" t="n">
        <v>1999</v>
      </c>
      <c r="C4426" t="n">
        <v>0.016</v>
      </c>
    </row>
    <row r="4427">
      <c r="A4427" t="n">
        <v>75</v>
      </c>
      <c r="B4427" t="n">
        <v>2000</v>
      </c>
      <c r="C4427" t="n">
        <v>0.0181</v>
      </c>
    </row>
    <row r="4428">
      <c r="A4428" t="n">
        <v>75</v>
      </c>
      <c r="B4428" t="n">
        <v>2001</v>
      </c>
      <c r="C4428" t="n">
        <v>0.0204</v>
      </c>
    </row>
    <row r="4429">
      <c r="A4429" t="n">
        <v>75</v>
      </c>
      <c r="B4429" t="n">
        <v>2002</v>
      </c>
      <c r="C4429" t="n">
        <v>0.0226</v>
      </c>
    </row>
    <row r="4430">
      <c r="A4430" t="n">
        <v>75</v>
      </c>
      <c r="B4430" t="n">
        <v>2003</v>
      </c>
      <c r="C4430" t="n">
        <v>0.0245</v>
      </c>
    </row>
    <row r="4431">
      <c r="A4431" t="n">
        <v>75</v>
      </c>
      <c r="B4431" t="n">
        <v>2004</v>
      </c>
      <c r="C4431" t="n">
        <v>0.0259</v>
      </c>
    </row>
    <row r="4432">
      <c r="A4432" t="n">
        <v>75</v>
      </c>
      <c r="B4432" t="n">
        <v>2005</v>
      </c>
      <c r="C4432" t="n">
        <v>0.0265</v>
      </c>
    </row>
    <row r="4433">
      <c r="A4433" t="n">
        <v>75</v>
      </c>
      <c r="B4433" t="n">
        <v>2006</v>
      </c>
      <c r="C4433" t="n">
        <v>0.0264</v>
      </c>
    </row>
    <row r="4434">
      <c r="A4434" t="n">
        <v>75</v>
      </c>
      <c r="B4434" t="n">
        <v>2007</v>
      </c>
      <c r="C4434" t="n">
        <v>0.0255</v>
      </c>
    </row>
    <row r="4435">
      <c r="A4435" t="n">
        <v>75</v>
      </c>
      <c r="B4435" t="n">
        <v>2008</v>
      </c>
      <c r="C4435" t="n">
        <v>0.0239</v>
      </c>
    </row>
    <row r="4436">
      <c r="A4436" t="n">
        <v>75</v>
      </c>
      <c r="B4436" t="n">
        <v>2009</v>
      </c>
      <c r="C4436" t="n">
        <v>0.0218</v>
      </c>
    </row>
    <row r="4437">
      <c r="A4437" t="n">
        <v>75</v>
      </c>
      <c r="B4437" t="n">
        <v>2010</v>
      </c>
      <c r="C4437" t="n">
        <v>0.0192</v>
      </c>
    </row>
    <row r="4438">
      <c r="A4438" t="n">
        <v>75</v>
      </c>
      <c r="B4438" t="n">
        <v>2011</v>
      </c>
      <c r="C4438" t="n">
        <v>0.0163</v>
      </c>
    </row>
    <row r="4439">
      <c r="A4439" t="n">
        <v>75</v>
      </c>
      <c r="B4439" t="n">
        <v>2012</v>
      </c>
      <c r="C4439" t="n">
        <v>0.0133</v>
      </c>
    </row>
    <row r="4440">
      <c r="A4440" t="n">
        <v>75</v>
      </c>
      <c r="B4440" t="n">
        <v>2013</v>
      </c>
      <c r="C4440" t="n">
        <v>0.0132</v>
      </c>
    </row>
    <row r="4441">
      <c r="A4441" t="n">
        <v>75</v>
      </c>
      <c r="B4441" t="n">
        <v>2014</v>
      </c>
      <c r="C4441" t="n">
        <v>0.013</v>
      </c>
    </row>
    <row r="4442">
      <c r="A4442" t="n">
        <v>75</v>
      </c>
      <c r="B4442" t="n">
        <v>2015</v>
      </c>
      <c r="C4442" t="n">
        <v>0.0126</v>
      </c>
    </row>
    <row r="4443">
      <c r="A4443" t="n">
        <v>75</v>
      </c>
      <c r="B4443" t="n">
        <v>2016</v>
      </c>
      <c r="C4443" t="n">
        <v>0.0121</v>
      </c>
    </row>
    <row r="4444">
      <c r="A4444" t="n">
        <v>75</v>
      </c>
      <c r="B4444" t="n">
        <v>2017</v>
      </c>
      <c r="C4444" t="n">
        <v>0.0114</v>
      </c>
    </row>
    <row r="4445">
      <c r="A4445" t="n">
        <v>75</v>
      </c>
      <c r="B4445" t="n">
        <v>2018</v>
      </c>
      <c r="C4445" t="n">
        <v>0.0107</v>
      </c>
    </row>
    <row r="4446">
      <c r="A4446" t="n">
        <v>75</v>
      </c>
      <c r="B4446" t="n">
        <v>2019</v>
      </c>
      <c r="C4446" t="n">
        <v>0.01</v>
      </c>
    </row>
    <row r="4447">
      <c r="A4447" t="n">
        <v>75</v>
      </c>
      <c r="B4447" t="n">
        <v>2020</v>
      </c>
      <c r="C4447" t="n">
        <v>0.009299999999999999</v>
      </c>
    </row>
    <row r="4448">
      <c r="A4448" t="n">
        <v>75</v>
      </c>
      <c r="B4448" t="n">
        <v>2021</v>
      </c>
      <c r="C4448" t="n">
        <v>0.008699999999999999</v>
      </c>
    </row>
    <row r="4449">
      <c r="A4449" t="n">
        <v>75</v>
      </c>
      <c r="B4449" t="n">
        <v>2022</v>
      </c>
      <c r="C4449" t="n">
        <v>0.0083</v>
      </c>
    </row>
    <row r="4450">
      <c r="A4450" t="n">
        <v>75</v>
      </c>
      <c r="B4450" t="n">
        <v>2023</v>
      </c>
      <c r="C4450" t="n">
        <v>0.0081</v>
      </c>
    </row>
    <row r="4451">
      <c r="A4451" t="n">
        <v>75</v>
      </c>
      <c r="B4451" t="n">
        <v>2024</v>
      </c>
      <c r="C4451" t="n">
        <v>0.0081</v>
      </c>
    </row>
    <row r="4452">
      <c r="A4452" t="n">
        <v>75</v>
      </c>
      <c r="B4452" t="n">
        <v>2025</v>
      </c>
      <c r="C4452" t="n">
        <v>0.008200000000000001</v>
      </c>
    </row>
    <row r="4453">
      <c r="A4453" t="n">
        <v>75</v>
      </c>
      <c r="B4453" t="n">
        <v>2026</v>
      </c>
      <c r="C4453" t="n">
        <v>0.008500000000000001</v>
      </c>
    </row>
    <row r="4454">
      <c r="A4454" t="n">
        <v>75</v>
      </c>
      <c r="B4454" t="n">
        <v>2027</v>
      </c>
      <c r="C4454" t="n">
        <v>0.0089</v>
      </c>
    </row>
    <row r="4455">
      <c r="A4455" t="n">
        <v>75</v>
      </c>
      <c r="B4455" t="n">
        <v>2028</v>
      </c>
      <c r="C4455" t="n">
        <v>0.009299999999999999</v>
      </c>
    </row>
    <row r="4456">
      <c r="A4456" t="n">
        <v>75</v>
      </c>
      <c r="B4456" t="n">
        <v>2029</v>
      </c>
      <c r="C4456" t="n">
        <v>0.009599999999999999</v>
      </c>
    </row>
    <row r="4457">
      <c r="A4457" t="n">
        <v>75</v>
      </c>
      <c r="B4457" t="n">
        <v>2030</v>
      </c>
      <c r="C4457" t="n">
        <v>0.0098</v>
      </c>
    </row>
    <row r="4458">
      <c r="A4458" t="n">
        <v>75</v>
      </c>
      <c r="B4458" t="n">
        <v>2031</v>
      </c>
      <c r="C4458" t="n">
        <v>0.01</v>
      </c>
    </row>
    <row r="4459">
      <c r="A4459" t="n">
        <v>76</v>
      </c>
      <c r="B4459" t="n">
        <v>1951</v>
      </c>
      <c r="C4459" t="n">
        <v>0.0105</v>
      </c>
    </row>
    <row r="4460">
      <c r="A4460" t="n">
        <v>76</v>
      </c>
      <c r="B4460" t="n">
        <v>1952</v>
      </c>
      <c r="C4460" t="n">
        <v>0.0089</v>
      </c>
    </row>
    <row r="4461">
      <c r="A4461" t="n">
        <v>76</v>
      </c>
      <c r="B4461" t="n">
        <v>1953</v>
      </c>
      <c r="C4461" t="n">
        <v>0.0073</v>
      </c>
    </row>
    <row r="4462">
      <c r="A4462" t="n">
        <v>76</v>
      </c>
      <c r="B4462" t="n">
        <v>1954</v>
      </c>
      <c r="C4462" t="n">
        <v>0.0057</v>
      </c>
    </row>
    <row r="4463">
      <c r="A4463" t="n">
        <v>76</v>
      </c>
      <c r="B4463" t="n">
        <v>1955</v>
      </c>
      <c r="C4463" t="n">
        <v>0.0041</v>
      </c>
    </row>
    <row r="4464">
      <c r="A4464" t="n">
        <v>76</v>
      </c>
      <c r="B4464" t="n">
        <v>1956</v>
      </c>
      <c r="C4464" t="n">
        <v>0.0027</v>
      </c>
    </row>
    <row r="4465">
      <c r="A4465" t="n">
        <v>76</v>
      </c>
      <c r="B4465" t="n">
        <v>1957</v>
      </c>
      <c r="C4465" t="n">
        <v>0.0015</v>
      </c>
    </row>
    <row r="4466">
      <c r="A4466" t="n">
        <v>76</v>
      </c>
      <c r="B4466" t="n">
        <v>1958</v>
      </c>
      <c r="C4466" t="n">
        <v>0.0004</v>
      </c>
    </row>
    <row r="4467">
      <c r="A4467" t="n">
        <v>76</v>
      </c>
      <c r="B4467" t="n">
        <v>1959</v>
      </c>
      <c r="C4467" t="n">
        <v>-0.0005</v>
      </c>
    </row>
    <row r="4468">
      <c r="A4468" t="n">
        <v>76</v>
      </c>
      <c r="B4468" t="n">
        <v>1960</v>
      </c>
      <c r="C4468" t="n">
        <v>-0.0014</v>
      </c>
    </row>
    <row r="4469">
      <c r="A4469" t="n">
        <v>76</v>
      </c>
      <c r="B4469" t="n">
        <v>1961</v>
      </c>
      <c r="C4469" t="n">
        <v>-0.002</v>
      </c>
    </row>
    <row r="4470">
      <c r="A4470" t="n">
        <v>76</v>
      </c>
      <c r="B4470" t="n">
        <v>1962</v>
      </c>
      <c r="C4470" t="n">
        <v>-0.0025</v>
      </c>
    </row>
    <row r="4471">
      <c r="A4471" t="n">
        <v>76</v>
      </c>
      <c r="B4471" t="n">
        <v>1963</v>
      </c>
      <c r="C4471" t="n">
        <v>-0.0026</v>
      </c>
    </row>
    <row r="4472">
      <c r="A4472" t="n">
        <v>76</v>
      </c>
      <c r="B4472" t="n">
        <v>1964</v>
      </c>
      <c r="C4472" t="n">
        <v>-0.0023</v>
      </c>
    </row>
    <row r="4473">
      <c r="A4473" t="n">
        <v>76</v>
      </c>
      <c r="B4473" t="n">
        <v>1965</v>
      </c>
      <c r="C4473" t="n">
        <v>-0.0017</v>
      </c>
    </row>
    <row r="4474">
      <c r="A4474" t="n">
        <v>76</v>
      </c>
      <c r="B4474" t="n">
        <v>1966</v>
      </c>
      <c r="C4474" t="n">
        <v>-0.0005999999999999999</v>
      </c>
    </row>
    <row r="4475">
      <c r="A4475" t="n">
        <v>76</v>
      </c>
      <c r="B4475" t="n">
        <v>1967</v>
      </c>
      <c r="C4475" t="n">
        <v>0.0009</v>
      </c>
    </row>
    <row r="4476">
      <c r="A4476" t="n">
        <v>76</v>
      </c>
      <c r="B4476" t="n">
        <v>1968</v>
      </c>
      <c r="C4476" t="n">
        <v>0.0027</v>
      </c>
    </row>
    <row r="4477">
      <c r="A4477" t="n">
        <v>76</v>
      </c>
      <c r="B4477" t="n">
        <v>1969</v>
      </c>
      <c r="C4477" t="n">
        <v>0.0048</v>
      </c>
    </row>
    <row r="4478">
      <c r="A4478" t="n">
        <v>76</v>
      </c>
      <c r="B4478" t="n">
        <v>1970</v>
      </c>
      <c r="C4478" t="n">
        <v>0.007</v>
      </c>
    </row>
    <row r="4479">
      <c r="A4479" t="n">
        <v>76</v>
      </c>
      <c r="B4479" t="n">
        <v>1971</v>
      </c>
      <c r="C4479" t="n">
        <v>0.0092</v>
      </c>
    </row>
    <row r="4480">
      <c r="A4480" t="n">
        <v>76</v>
      </c>
      <c r="B4480" t="n">
        <v>1972</v>
      </c>
      <c r="C4480" t="n">
        <v>0.0112</v>
      </c>
    </row>
    <row r="4481">
      <c r="A4481" t="n">
        <v>76</v>
      </c>
      <c r="B4481" t="n">
        <v>1973</v>
      </c>
      <c r="C4481" t="n">
        <v>0.0128</v>
      </c>
    </row>
    <row r="4482">
      <c r="A4482" t="n">
        <v>76</v>
      </c>
      <c r="B4482" t="n">
        <v>1974</v>
      </c>
      <c r="C4482" t="n">
        <v>0.0138</v>
      </c>
    </row>
    <row r="4483">
      <c r="A4483" t="n">
        <v>76</v>
      </c>
      <c r="B4483" t="n">
        <v>1975</v>
      </c>
      <c r="C4483" t="n">
        <v>0.0142</v>
      </c>
    </row>
    <row r="4484">
      <c r="A4484" t="n">
        <v>76</v>
      </c>
      <c r="B4484" t="n">
        <v>1976</v>
      </c>
      <c r="C4484" t="n">
        <v>0.0139</v>
      </c>
    </row>
    <row r="4485">
      <c r="A4485" t="n">
        <v>76</v>
      </c>
      <c r="B4485" t="n">
        <v>1977</v>
      </c>
      <c r="C4485" t="n">
        <v>0.013</v>
      </c>
    </row>
    <row r="4486">
      <c r="A4486" t="n">
        <v>76</v>
      </c>
      <c r="B4486" t="n">
        <v>1978</v>
      </c>
      <c r="C4486" t="n">
        <v>0.0118</v>
      </c>
    </row>
    <row r="4487">
      <c r="A4487" t="n">
        <v>76</v>
      </c>
      <c r="B4487" t="n">
        <v>1979</v>
      </c>
      <c r="C4487" t="n">
        <v>0.0104</v>
      </c>
    </row>
    <row r="4488">
      <c r="A4488" t="n">
        <v>76</v>
      </c>
      <c r="B4488" t="n">
        <v>1980</v>
      </c>
      <c r="C4488" t="n">
        <v>0.008999999999999999</v>
      </c>
    </row>
    <row r="4489">
      <c r="A4489" t="n">
        <v>76</v>
      </c>
      <c r="B4489" t="n">
        <v>1981</v>
      </c>
      <c r="C4489" t="n">
        <v>0.008</v>
      </c>
    </row>
    <row r="4490">
      <c r="A4490" t="n">
        <v>76</v>
      </c>
      <c r="B4490" t="n">
        <v>1982</v>
      </c>
      <c r="C4490" t="n">
        <v>0.0074</v>
      </c>
    </row>
    <row r="4491">
      <c r="A4491" t="n">
        <v>76</v>
      </c>
      <c r="B4491" t="n">
        <v>1983</v>
      </c>
      <c r="C4491" t="n">
        <v>0.0074</v>
      </c>
    </row>
    <row r="4492">
      <c r="A4492" t="n">
        <v>76</v>
      </c>
      <c r="B4492" t="n">
        <v>1984</v>
      </c>
      <c r="C4492" t="n">
        <v>0.0081</v>
      </c>
    </row>
    <row r="4493">
      <c r="A4493" t="n">
        <v>76</v>
      </c>
      <c r="B4493" t="n">
        <v>1985</v>
      </c>
      <c r="C4493" t="n">
        <v>0.0094</v>
      </c>
    </row>
    <row r="4494">
      <c r="A4494" t="n">
        <v>76</v>
      </c>
      <c r="B4494" t="n">
        <v>1986</v>
      </c>
      <c r="C4494" t="n">
        <v>0.011</v>
      </c>
    </row>
    <row r="4495">
      <c r="A4495" t="n">
        <v>76</v>
      </c>
      <c r="B4495" t="n">
        <v>1987</v>
      </c>
      <c r="C4495" t="n">
        <v>0.0127</v>
      </c>
    </row>
    <row r="4496">
      <c r="A4496" t="n">
        <v>76</v>
      </c>
      <c r="B4496" t="n">
        <v>1988</v>
      </c>
      <c r="C4496" t="n">
        <v>0.0142</v>
      </c>
    </row>
    <row r="4497">
      <c r="A4497" t="n">
        <v>76</v>
      </c>
      <c r="B4497" t="n">
        <v>1989</v>
      </c>
      <c r="C4497" t="n">
        <v>0.0152</v>
      </c>
    </row>
    <row r="4498">
      <c r="A4498" t="n">
        <v>76</v>
      </c>
      <c r="B4498" t="n">
        <v>1990</v>
      </c>
      <c r="C4498" t="n">
        <v>0.0157</v>
      </c>
    </row>
    <row r="4499">
      <c r="A4499" t="n">
        <v>76</v>
      </c>
      <c r="B4499" t="n">
        <v>1991</v>
      </c>
      <c r="C4499" t="n">
        <v>0.0155</v>
      </c>
    </row>
    <row r="4500">
      <c r="A4500" t="n">
        <v>76</v>
      </c>
      <c r="B4500" t="n">
        <v>1992</v>
      </c>
      <c r="C4500" t="n">
        <v>0.0148</v>
      </c>
    </row>
    <row r="4501">
      <c r="A4501" t="n">
        <v>76</v>
      </c>
      <c r="B4501" t="n">
        <v>1993</v>
      </c>
      <c r="C4501" t="n">
        <v>0.0139</v>
      </c>
    </row>
    <row r="4502">
      <c r="A4502" t="n">
        <v>76</v>
      </c>
      <c r="B4502" t="n">
        <v>1994</v>
      </c>
      <c r="C4502" t="n">
        <v>0.0131</v>
      </c>
    </row>
    <row r="4503">
      <c r="A4503" t="n">
        <v>76</v>
      </c>
      <c r="B4503" t="n">
        <v>1995</v>
      </c>
      <c r="C4503" t="n">
        <v>0.0126</v>
      </c>
    </row>
    <row r="4504">
      <c r="A4504" t="n">
        <v>76</v>
      </c>
      <c r="B4504" t="n">
        <v>1996</v>
      </c>
      <c r="C4504" t="n">
        <v>0.0125</v>
      </c>
    </row>
    <row r="4505">
      <c r="A4505" t="n">
        <v>76</v>
      </c>
      <c r="B4505" t="n">
        <v>1997</v>
      </c>
      <c r="C4505" t="n">
        <v>0.013</v>
      </c>
    </row>
    <row r="4506">
      <c r="A4506" t="n">
        <v>76</v>
      </c>
      <c r="B4506" t="n">
        <v>1998</v>
      </c>
      <c r="C4506" t="n">
        <v>0.014</v>
      </c>
    </row>
    <row r="4507">
      <c r="A4507" t="n">
        <v>76</v>
      </c>
      <c r="B4507" t="n">
        <v>1999</v>
      </c>
      <c r="C4507" t="n">
        <v>0.0155</v>
      </c>
    </row>
    <row r="4508">
      <c r="A4508" t="n">
        <v>76</v>
      </c>
      <c r="B4508" t="n">
        <v>2000</v>
      </c>
      <c r="C4508" t="n">
        <v>0.0175</v>
      </c>
    </row>
    <row r="4509">
      <c r="A4509" t="n">
        <v>76</v>
      </c>
      <c r="B4509" t="n">
        <v>2001</v>
      </c>
      <c r="C4509" t="n">
        <v>0.0197</v>
      </c>
    </row>
    <row r="4510">
      <c r="A4510" t="n">
        <v>76</v>
      </c>
      <c r="B4510" t="n">
        <v>2002</v>
      </c>
      <c r="C4510" t="n">
        <v>0.0218</v>
      </c>
    </row>
    <row r="4511">
      <c r="A4511" t="n">
        <v>76</v>
      </c>
      <c r="B4511" t="n">
        <v>2003</v>
      </c>
      <c r="C4511" t="n">
        <v>0.0238</v>
      </c>
    </row>
    <row r="4512">
      <c r="A4512" t="n">
        <v>76</v>
      </c>
      <c r="B4512" t="n">
        <v>2004</v>
      </c>
      <c r="C4512" t="n">
        <v>0.0252</v>
      </c>
    </row>
    <row r="4513">
      <c r="A4513" t="n">
        <v>76</v>
      </c>
      <c r="B4513" t="n">
        <v>2005</v>
      </c>
      <c r="C4513" t="n">
        <v>0.0259</v>
      </c>
    </row>
    <row r="4514">
      <c r="A4514" t="n">
        <v>76</v>
      </c>
      <c r="B4514" t="n">
        <v>2006</v>
      </c>
      <c r="C4514" t="n">
        <v>0.0258</v>
      </c>
    </row>
    <row r="4515">
      <c r="A4515" t="n">
        <v>76</v>
      </c>
      <c r="B4515" t="n">
        <v>2007</v>
      </c>
      <c r="C4515" t="n">
        <v>0.025</v>
      </c>
    </row>
    <row r="4516">
      <c r="A4516" t="n">
        <v>76</v>
      </c>
      <c r="B4516" t="n">
        <v>2008</v>
      </c>
      <c r="C4516" t="n">
        <v>0.0235</v>
      </c>
    </row>
    <row r="4517">
      <c r="A4517" t="n">
        <v>76</v>
      </c>
      <c r="B4517" t="n">
        <v>2009</v>
      </c>
      <c r="C4517" t="n">
        <v>0.0215</v>
      </c>
    </row>
    <row r="4518">
      <c r="A4518" t="n">
        <v>76</v>
      </c>
      <c r="B4518" t="n">
        <v>2010</v>
      </c>
      <c r="C4518" t="n">
        <v>0.019</v>
      </c>
    </row>
    <row r="4519">
      <c r="A4519" t="n">
        <v>76</v>
      </c>
      <c r="B4519" t="n">
        <v>2011</v>
      </c>
      <c r="C4519" t="n">
        <v>0.0162</v>
      </c>
    </row>
    <row r="4520">
      <c r="A4520" t="n">
        <v>76</v>
      </c>
      <c r="B4520" t="n">
        <v>2012</v>
      </c>
      <c r="C4520" t="n">
        <v>0.0132</v>
      </c>
    </row>
    <row r="4521">
      <c r="A4521" t="n">
        <v>76</v>
      </c>
      <c r="B4521" t="n">
        <v>2013</v>
      </c>
      <c r="C4521" t="n">
        <v>0.0132</v>
      </c>
    </row>
    <row r="4522">
      <c r="A4522" t="n">
        <v>76</v>
      </c>
      <c r="B4522" t="n">
        <v>2014</v>
      </c>
      <c r="C4522" t="n">
        <v>0.013</v>
      </c>
    </row>
    <row r="4523">
      <c r="A4523" t="n">
        <v>76</v>
      </c>
      <c r="B4523" t="n">
        <v>2015</v>
      </c>
      <c r="C4523" t="n">
        <v>0.0127</v>
      </c>
    </row>
    <row r="4524">
      <c r="A4524" t="n">
        <v>76</v>
      </c>
      <c r="B4524" t="n">
        <v>2016</v>
      </c>
      <c r="C4524" t="n">
        <v>0.0123</v>
      </c>
    </row>
    <row r="4525">
      <c r="A4525" t="n">
        <v>76</v>
      </c>
      <c r="B4525" t="n">
        <v>2017</v>
      </c>
      <c r="C4525" t="n">
        <v>0.0117</v>
      </c>
    </row>
    <row r="4526">
      <c r="A4526" t="n">
        <v>76</v>
      </c>
      <c r="B4526" t="n">
        <v>2018</v>
      </c>
      <c r="C4526" t="n">
        <v>0.0111</v>
      </c>
    </row>
    <row r="4527">
      <c r="A4527" t="n">
        <v>76</v>
      </c>
      <c r="B4527" t="n">
        <v>2019</v>
      </c>
      <c r="C4527" t="n">
        <v>0.0104</v>
      </c>
    </row>
    <row r="4528">
      <c r="A4528" t="n">
        <v>76</v>
      </c>
      <c r="B4528" t="n">
        <v>2020</v>
      </c>
      <c r="C4528" t="n">
        <v>0.0098</v>
      </c>
    </row>
    <row r="4529">
      <c r="A4529" t="n">
        <v>76</v>
      </c>
      <c r="B4529" t="n">
        <v>2021</v>
      </c>
      <c r="C4529" t="n">
        <v>0.0092</v>
      </c>
    </row>
    <row r="4530">
      <c r="A4530" t="n">
        <v>76</v>
      </c>
      <c r="B4530" t="n">
        <v>2022</v>
      </c>
      <c r="C4530" t="n">
        <v>0.008800000000000001</v>
      </c>
    </row>
    <row r="4531">
      <c r="A4531" t="n">
        <v>76</v>
      </c>
      <c r="B4531" t="n">
        <v>2023</v>
      </c>
      <c r="C4531" t="n">
        <v>0.008500000000000001</v>
      </c>
    </row>
    <row r="4532">
      <c r="A4532" t="n">
        <v>76</v>
      </c>
      <c r="B4532" t="n">
        <v>2024</v>
      </c>
      <c r="C4532" t="n">
        <v>0.008399999999999999</v>
      </c>
    </row>
    <row r="4533">
      <c r="A4533" t="n">
        <v>76</v>
      </c>
      <c r="B4533" t="n">
        <v>2025</v>
      </c>
      <c r="C4533" t="n">
        <v>0.008399999999999999</v>
      </c>
    </row>
    <row r="4534">
      <c r="A4534" t="n">
        <v>76</v>
      </c>
      <c r="B4534" t="n">
        <v>2026</v>
      </c>
      <c r="C4534" t="n">
        <v>0.0086</v>
      </c>
    </row>
    <row r="4535">
      <c r="A4535" t="n">
        <v>76</v>
      </c>
      <c r="B4535" t="n">
        <v>2027</v>
      </c>
      <c r="C4535" t="n">
        <v>0.0089</v>
      </c>
    </row>
    <row r="4536">
      <c r="A4536" t="n">
        <v>76</v>
      </c>
      <c r="B4536" t="n">
        <v>2028</v>
      </c>
      <c r="C4536" t="n">
        <v>0.009299999999999999</v>
      </c>
    </row>
    <row r="4537">
      <c r="A4537" t="n">
        <v>76</v>
      </c>
      <c r="B4537" t="n">
        <v>2029</v>
      </c>
      <c r="C4537" t="n">
        <v>0.009599999999999999</v>
      </c>
    </row>
    <row r="4538">
      <c r="A4538" t="n">
        <v>76</v>
      </c>
      <c r="B4538" t="n">
        <v>2030</v>
      </c>
      <c r="C4538" t="n">
        <v>0.0098</v>
      </c>
    </row>
    <row r="4539">
      <c r="A4539" t="n">
        <v>76</v>
      </c>
      <c r="B4539" t="n">
        <v>2031</v>
      </c>
      <c r="C4539" t="n">
        <v>0.01</v>
      </c>
    </row>
    <row r="4540">
      <c r="A4540" t="n">
        <v>77</v>
      </c>
      <c r="B4540" t="n">
        <v>1951</v>
      </c>
      <c r="C4540" t="n">
        <v>0.0102</v>
      </c>
    </row>
    <row r="4541">
      <c r="A4541" t="n">
        <v>77</v>
      </c>
      <c r="B4541" t="n">
        <v>1952</v>
      </c>
      <c r="C4541" t="n">
        <v>0.008699999999999999</v>
      </c>
    </row>
    <row r="4542">
      <c r="A4542" t="n">
        <v>77</v>
      </c>
      <c r="B4542" t="n">
        <v>1953</v>
      </c>
      <c r="C4542" t="n">
        <v>0.0072</v>
      </c>
    </row>
    <row r="4543">
      <c r="A4543" t="n">
        <v>77</v>
      </c>
      <c r="B4543" t="n">
        <v>1954</v>
      </c>
      <c r="C4543" t="n">
        <v>0.0057</v>
      </c>
    </row>
    <row r="4544">
      <c r="A4544" t="n">
        <v>77</v>
      </c>
      <c r="B4544" t="n">
        <v>1955</v>
      </c>
      <c r="C4544" t="n">
        <v>0.0042</v>
      </c>
    </row>
    <row r="4545">
      <c r="A4545" t="n">
        <v>77</v>
      </c>
      <c r="B4545" t="n">
        <v>1956</v>
      </c>
      <c r="C4545" t="n">
        <v>0.0029</v>
      </c>
    </row>
    <row r="4546">
      <c r="A4546" t="n">
        <v>77</v>
      </c>
      <c r="B4546" t="n">
        <v>1957</v>
      </c>
      <c r="C4546" t="n">
        <v>0.0016</v>
      </c>
    </row>
    <row r="4547">
      <c r="A4547" t="n">
        <v>77</v>
      </c>
      <c r="B4547" t="n">
        <v>1958</v>
      </c>
      <c r="C4547" t="n">
        <v>0.0005</v>
      </c>
    </row>
    <row r="4548">
      <c r="A4548" t="n">
        <v>77</v>
      </c>
      <c r="B4548" t="n">
        <v>1959</v>
      </c>
      <c r="C4548" t="n">
        <v>-0.0004</v>
      </c>
    </row>
    <row r="4549">
      <c r="A4549" t="n">
        <v>77</v>
      </c>
      <c r="B4549" t="n">
        <v>1960</v>
      </c>
      <c r="C4549" t="n">
        <v>-0.0012</v>
      </c>
    </row>
    <row r="4550">
      <c r="A4550" t="n">
        <v>77</v>
      </c>
      <c r="B4550" t="n">
        <v>1961</v>
      </c>
      <c r="C4550" t="n">
        <v>-0.0019</v>
      </c>
    </row>
    <row r="4551">
      <c r="A4551" t="n">
        <v>77</v>
      </c>
      <c r="B4551" t="n">
        <v>1962</v>
      </c>
      <c r="C4551" t="n">
        <v>-0.0023</v>
      </c>
    </row>
    <row r="4552">
      <c r="A4552" t="n">
        <v>77</v>
      </c>
      <c r="B4552" t="n">
        <v>1963</v>
      </c>
      <c r="C4552" t="n">
        <v>-0.0024</v>
      </c>
    </row>
    <row r="4553">
      <c r="A4553" t="n">
        <v>77</v>
      </c>
      <c r="B4553" t="n">
        <v>1964</v>
      </c>
      <c r="C4553" t="n">
        <v>-0.0021</v>
      </c>
    </row>
    <row r="4554">
      <c r="A4554" t="n">
        <v>77</v>
      </c>
      <c r="B4554" t="n">
        <v>1965</v>
      </c>
      <c r="C4554" t="n">
        <v>-0.0014</v>
      </c>
    </row>
    <row r="4555">
      <c r="A4555" t="n">
        <v>77</v>
      </c>
      <c r="B4555" t="n">
        <v>1966</v>
      </c>
      <c r="C4555" t="n">
        <v>-0.0003</v>
      </c>
    </row>
    <row r="4556">
      <c r="A4556" t="n">
        <v>77</v>
      </c>
      <c r="B4556" t="n">
        <v>1967</v>
      </c>
      <c r="C4556" t="n">
        <v>0.0012</v>
      </c>
    </row>
    <row r="4557">
      <c r="A4557" t="n">
        <v>77</v>
      </c>
      <c r="B4557" t="n">
        <v>1968</v>
      </c>
      <c r="C4557" t="n">
        <v>0.003</v>
      </c>
    </row>
    <row r="4558">
      <c r="A4558" t="n">
        <v>77</v>
      </c>
      <c r="B4558" t="n">
        <v>1969</v>
      </c>
      <c r="C4558" t="n">
        <v>0.0051</v>
      </c>
    </row>
    <row r="4559">
      <c r="A4559" t="n">
        <v>77</v>
      </c>
      <c r="B4559" t="n">
        <v>1970</v>
      </c>
      <c r="C4559" t="n">
        <v>0.0072</v>
      </c>
    </row>
    <row r="4560">
      <c r="A4560" t="n">
        <v>77</v>
      </c>
      <c r="B4560" t="n">
        <v>1971</v>
      </c>
      <c r="C4560" t="n">
        <v>0.009299999999999999</v>
      </c>
    </row>
    <row r="4561">
      <c r="A4561" t="n">
        <v>77</v>
      </c>
      <c r="B4561" t="n">
        <v>1972</v>
      </c>
      <c r="C4561" t="n">
        <v>0.0112</v>
      </c>
    </row>
    <row r="4562">
      <c r="A4562" t="n">
        <v>77</v>
      </c>
      <c r="B4562" t="n">
        <v>1973</v>
      </c>
      <c r="C4562" t="n">
        <v>0.0128</v>
      </c>
    </row>
    <row r="4563">
      <c r="A4563" t="n">
        <v>77</v>
      </c>
      <c r="B4563" t="n">
        <v>1974</v>
      </c>
      <c r="C4563" t="n">
        <v>0.0138</v>
      </c>
    </row>
    <row r="4564">
      <c r="A4564" t="n">
        <v>77</v>
      </c>
      <c r="B4564" t="n">
        <v>1975</v>
      </c>
      <c r="C4564" t="n">
        <v>0.0141</v>
      </c>
    </row>
    <row r="4565">
      <c r="A4565" t="n">
        <v>77</v>
      </c>
      <c r="B4565" t="n">
        <v>1976</v>
      </c>
      <c r="C4565" t="n">
        <v>0.0137</v>
      </c>
    </row>
    <row r="4566">
      <c r="A4566" t="n">
        <v>77</v>
      </c>
      <c r="B4566" t="n">
        <v>1977</v>
      </c>
      <c r="C4566" t="n">
        <v>0.0128</v>
      </c>
    </row>
    <row r="4567">
      <c r="A4567" t="n">
        <v>77</v>
      </c>
      <c r="B4567" t="n">
        <v>1978</v>
      </c>
      <c r="C4567" t="n">
        <v>0.0115</v>
      </c>
    </row>
    <row r="4568">
      <c r="A4568" t="n">
        <v>77</v>
      </c>
      <c r="B4568" t="n">
        <v>1979</v>
      </c>
      <c r="C4568" t="n">
        <v>0.0101</v>
      </c>
    </row>
    <row r="4569">
      <c r="A4569" t="n">
        <v>77</v>
      </c>
      <c r="B4569" t="n">
        <v>1980</v>
      </c>
      <c r="C4569" t="n">
        <v>0.0086</v>
      </c>
    </row>
    <row r="4570">
      <c r="A4570" t="n">
        <v>77</v>
      </c>
      <c r="B4570" t="n">
        <v>1981</v>
      </c>
      <c r="C4570" t="n">
        <v>0.0075</v>
      </c>
    </row>
    <row r="4571">
      <c r="A4571" t="n">
        <v>77</v>
      </c>
      <c r="B4571" t="n">
        <v>1982</v>
      </c>
      <c r="C4571" t="n">
        <v>0.0068</v>
      </c>
    </row>
    <row r="4572">
      <c r="A4572" t="n">
        <v>77</v>
      </c>
      <c r="B4572" t="n">
        <v>1983</v>
      </c>
      <c r="C4572" t="n">
        <v>0.0067</v>
      </c>
    </row>
    <row r="4573">
      <c r="A4573" t="n">
        <v>77</v>
      </c>
      <c r="B4573" t="n">
        <v>1984</v>
      </c>
      <c r="C4573" t="n">
        <v>0.0073</v>
      </c>
    </row>
    <row r="4574">
      <c r="A4574" t="n">
        <v>77</v>
      </c>
      <c r="B4574" t="n">
        <v>1985</v>
      </c>
      <c r="C4574" t="n">
        <v>0.008399999999999999</v>
      </c>
    </row>
    <row r="4575">
      <c r="A4575" t="n">
        <v>77</v>
      </c>
      <c r="B4575" t="n">
        <v>1986</v>
      </c>
      <c r="C4575" t="n">
        <v>0.009900000000000001</v>
      </c>
    </row>
    <row r="4576">
      <c r="A4576" t="n">
        <v>77</v>
      </c>
      <c r="B4576" t="n">
        <v>1987</v>
      </c>
      <c r="C4576" t="n">
        <v>0.0116</v>
      </c>
    </row>
    <row r="4577">
      <c r="A4577" t="n">
        <v>77</v>
      </c>
      <c r="B4577" t="n">
        <v>1988</v>
      </c>
      <c r="C4577" t="n">
        <v>0.0131</v>
      </c>
    </row>
    <row r="4578">
      <c r="A4578" t="n">
        <v>77</v>
      </c>
      <c r="B4578" t="n">
        <v>1989</v>
      </c>
      <c r="C4578" t="n">
        <v>0.0142</v>
      </c>
    </row>
    <row r="4579">
      <c r="A4579" t="n">
        <v>77</v>
      </c>
      <c r="B4579" t="n">
        <v>1990</v>
      </c>
      <c r="C4579" t="n">
        <v>0.0147</v>
      </c>
    </row>
    <row r="4580">
      <c r="A4580" t="n">
        <v>77</v>
      </c>
      <c r="B4580" t="n">
        <v>1991</v>
      </c>
      <c r="C4580" t="n">
        <v>0.0146</v>
      </c>
    </row>
    <row r="4581">
      <c r="A4581" t="n">
        <v>77</v>
      </c>
      <c r="B4581" t="n">
        <v>1992</v>
      </c>
      <c r="C4581" t="n">
        <v>0.0141</v>
      </c>
    </row>
    <row r="4582">
      <c r="A4582" t="n">
        <v>77</v>
      </c>
      <c r="B4582" t="n">
        <v>1993</v>
      </c>
      <c r="C4582" t="n">
        <v>0.0134</v>
      </c>
    </row>
    <row r="4583">
      <c r="A4583" t="n">
        <v>77</v>
      </c>
      <c r="B4583" t="n">
        <v>1994</v>
      </c>
      <c r="C4583" t="n">
        <v>0.0127</v>
      </c>
    </row>
    <row r="4584">
      <c r="A4584" t="n">
        <v>77</v>
      </c>
      <c r="B4584" t="n">
        <v>1995</v>
      </c>
      <c r="C4584" t="n">
        <v>0.0122</v>
      </c>
    </row>
    <row r="4585">
      <c r="A4585" t="n">
        <v>77</v>
      </c>
      <c r="B4585" t="n">
        <v>1996</v>
      </c>
      <c r="C4585" t="n">
        <v>0.0122</v>
      </c>
    </row>
    <row r="4586">
      <c r="A4586" t="n">
        <v>77</v>
      </c>
      <c r="B4586" t="n">
        <v>1997</v>
      </c>
      <c r="C4586" t="n">
        <v>0.0126</v>
      </c>
    </row>
    <row r="4587">
      <c r="A4587" t="n">
        <v>77</v>
      </c>
      <c r="B4587" t="n">
        <v>1998</v>
      </c>
      <c r="C4587" t="n">
        <v>0.0136</v>
      </c>
    </row>
    <row r="4588">
      <c r="A4588" t="n">
        <v>77</v>
      </c>
      <c r="B4588" t="n">
        <v>1999</v>
      </c>
      <c r="C4588" t="n">
        <v>0.0151</v>
      </c>
    </row>
    <row r="4589">
      <c r="A4589" t="n">
        <v>77</v>
      </c>
      <c r="B4589" t="n">
        <v>2000</v>
      </c>
      <c r="C4589" t="n">
        <v>0.017</v>
      </c>
    </row>
    <row r="4590">
      <c r="A4590" t="n">
        <v>77</v>
      </c>
      <c r="B4590" t="n">
        <v>2001</v>
      </c>
      <c r="C4590" t="n">
        <v>0.019</v>
      </c>
    </row>
    <row r="4591">
      <c r="A4591" t="n">
        <v>77</v>
      </c>
      <c r="B4591" t="n">
        <v>2002</v>
      </c>
      <c r="C4591" t="n">
        <v>0.0212</v>
      </c>
    </row>
    <row r="4592">
      <c r="A4592" t="n">
        <v>77</v>
      </c>
      <c r="B4592" t="n">
        <v>2003</v>
      </c>
      <c r="C4592" t="n">
        <v>0.023</v>
      </c>
    </row>
    <row r="4593">
      <c r="A4593" t="n">
        <v>77</v>
      </c>
      <c r="B4593" t="n">
        <v>2004</v>
      </c>
      <c r="C4593" t="n">
        <v>0.0244</v>
      </c>
    </row>
    <row r="4594">
      <c r="A4594" t="n">
        <v>77</v>
      </c>
      <c r="B4594" t="n">
        <v>2005</v>
      </c>
      <c r="C4594" t="n">
        <v>0.0252</v>
      </c>
    </row>
    <row r="4595">
      <c r="A4595" t="n">
        <v>77</v>
      </c>
      <c r="B4595" t="n">
        <v>2006</v>
      </c>
      <c r="C4595" t="n">
        <v>0.0252</v>
      </c>
    </row>
    <row r="4596">
      <c r="A4596" t="n">
        <v>77</v>
      </c>
      <c r="B4596" t="n">
        <v>2007</v>
      </c>
      <c r="C4596" t="n">
        <v>0.0245</v>
      </c>
    </row>
    <row r="4597">
      <c r="A4597" t="n">
        <v>77</v>
      </c>
      <c r="B4597" t="n">
        <v>2008</v>
      </c>
      <c r="C4597" t="n">
        <v>0.0231</v>
      </c>
    </row>
    <row r="4598">
      <c r="A4598" t="n">
        <v>77</v>
      </c>
      <c r="B4598" t="n">
        <v>2009</v>
      </c>
      <c r="C4598" t="n">
        <v>0.0211</v>
      </c>
    </row>
    <row r="4599">
      <c r="A4599" t="n">
        <v>77</v>
      </c>
      <c r="B4599" t="n">
        <v>2010</v>
      </c>
      <c r="C4599" t="n">
        <v>0.0187</v>
      </c>
    </row>
    <row r="4600">
      <c r="A4600" t="n">
        <v>77</v>
      </c>
      <c r="B4600" t="n">
        <v>2011</v>
      </c>
      <c r="C4600" t="n">
        <v>0.016</v>
      </c>
    </row>
    <row r="4601">
      <c r="A4601" t="n">
        <v>77</v>
      </c>
      <c r="B4601" t="n">
        <v>2012</v>
      </c>
      <c r="C4601" t="n">
        <v>0.0131</v>
      </c>
    </row>
    <row r="4602">
      <c r="A4602" t="n">
        <v>77</v>
      </c>
      <c r="B4602" t="n">
        <v>2013</v>
      </c>
      <c r="C4602" t="n">
        <v>0.0131</v>
      </c>
    </row>
    <row r="4603">
      <c r="A4603" t="n">
        <v>77</v>
      </c>
      <c r="B4603" t="n">
        <v>2014</v>
      </c>
      <c r="C4603" t="n">
        <v>0.013</v>
      </c>
    </row>
    <row r="4604">
      <c r="A4604" t="n">
        <v>77</v>
      </c>
      <c r="B4604" t="n">
        <v>2015</v>
      </c>
      <c r="C4604" t="n">
        <v>0.0127</v>
      </c>
    </row>
    <row r="4605">
      <c r="A4605" t="n">
        <v>77</v>
      </c>
      <c r="B4605" t="n">
        <v>2016</v>
      </c>
      <c r="C4605" t="n">
        <v>0.0124</v>
      </c>
    </row>
    <row r="4606">
      <c r="A4606" t="n">
        <v>77</v>
      </c>
      <c r="B4606" t="n">
        <v>2017</v>
      </c>
      <c r="C4606" t="n">
        <v>0.0119</v>
      </c>
    </row>
    <row r="4607">
      <c r="A4607" t="n">
        <v>77</v>
      </c>
      <c r="B4607" t="n">
        <v>2018</v>
      </c>
      <c r="C4607" t="n">
        <v>0.0114</v>
      </c>
    </row>
    <row r="4608">
      <c r="A4608" t="n">
        <v>77</v>
      </c>
      <c r="B4608" t="n">
        <v>2019</v>
      </c>
      <c r="C4608" t="n">
        <v>0.0108</v>
      </c>
    </row>
    <row r="4609">
      <c r="A4609" t="n">
        <v>77</v>
      </c>
      <c r="B4609" t="n">
        <v>2020</v>
      </c>
      <c r="C4609" t="n">
        <v>0.0102</v>
      </c>
    </row>
    <row r="4610">
      <c r="A4610" t="n">
        <v>77</v>
      </c>
      <c r="B4610" t="n">
        <v>2021</v>
      </c>
      <c r="C4610" t="n">
        <v>0.0097</v>
      </c>
    </row>
    <row r="4611">
      <c r="A4611" t="n">
        <v>77</v>
      </c>
      <c r="B4611" t="n">
        <v>2022</v>
      </c>
      <c r="C4611" t="n">
        <v>0.009299999999999999</v>
      </c>
    </row>
    <row r="4612">
      <c r="A4612" t="n">
        <v>77</v>
      </c>
      <c r="B4612" t="n">
        <v>2023</v>
      </c>
      <c r="C4612" t="n">
        <v>0.008999999999999999</v>
      </c>
    </row>
    <row r="4613">
      <c r="A4613" t="n">
        <v>77</v>
      </c>
      <c r="B4613" t="n">
        <v>2024</v>
      </c>
      <c r="C4613" t="n">
        <v>0.008800000000000001</v>
      </c>
    </row>
    <row r="4614">
      <c r="A4614" t="n">
        <v>77</v>
      </c>
      <c r="B4614" t="n">
        <v>2025</v>
      </c>
      <c r="C4614" t="n">
        <v>0.008699999999999999</v>
      </c>
    </row>
    <row r="4615">
      <c r="A4615" t="n">
        <v>77</v>
      </c>
      <c r="B4615" t="n">
        <v>2026</v>
      </c>
      <c r="C4615" t="n">
        <v>0.008800000000000001</v>
      </c>
    </row>
    <row r="4616">
      <c r="A4616" t="n">
        <v>77</v>
      </c>
      <c r="B4616" t="n">
        <v>2027</v>
      </c>
      <c r="C4616" t="n">
        <v>0.008999999999999999</v>
      </c>
    </row>
    <row r="4617">
      <c r="A4617" t="n">
        <v>77</v>
      </c>
      <c r="B4617" t="n">
        <v>2028</v>
      </c>
      <c r="C4617" t="n">
        <v>0.009299999999999999</v>
      </c>
    </row>
    <row r="4618">
      <c r="A4618" t="n">
        <v>77</v>
      </c>
      <c r="B4618" t="n">
        <v>2029</v>
      </c>
      <c r="C4618" t="n">
        <v>0.009599999999999999</v>
      </c>
    </row>
    <row r="4619">
      <c r="A4619" t="n">
        <v>77</v>
      </c>
      <c r="B4619" t="n">
        <v>2030</v>
      </c>
      <c r="C4619" t="n">
        <v>0.0098</v>
      </c>
    </row>
    <row r="4620">
      <c r="A4620" t="n">
        <v>77</v>
      </c>
      <c r="B4620" t="n">
        <v>2031</v>
      </c>
      <c r="C4620" t="n">
        <v>0.01</v>
      </c>
    </row>
    <row r="4621">
      <c r="A4621" t="n">
        <v>78</v>
      </c>
      <c r="B4621" t="n">
        <v>1951</v>
      </c>
      <c r="C4621" t="n">
        <v>0.0098</v>
      </c>
    </row>
    <row r="4622">
      <c r="A4622" t="n">
        <v>78</v>
      </c>
      <c r="B4622" t="n">
        <v>1952</v>
      </c>
      <c r="C4622" t="n">
        <v>0.008399999999999999</v>
      </c>
    </row>
    <row r="4623">
      <c r="A4623" t="n">
        <v>78</v>
      </c>
      <c r="B4623" t="n">
        <v>1953</v>
      </c>
      <c r="C4623" t="n">
        <v>0.0069</v>
      </c>
    </row>
    <row r="4624">
      <c r="A4624" t="n">
        <v>78</v>
      </c>
      <c r="B4624" t="n">
        <v>1954</v>
      </c>
      <c r="C4624" t="n">
        <v>0.0055</v>
      </c>
    </row>
    <row r="4625">
      <c r="A4625" t="n">
        <v>78</v>
      </c>
      <c r="B4625" t="n">
        <v>1955</v>
      </c>
      <c r="C4625" t="n">
        <v>0.0041</v>
      </c>
    </row>
    <row r="4626">
      <c r="A4626" t="n">
        <v>78</v>
      </c>
      <c r="B4626" t="n">
        <v>1956</v>
      </c>
      <c r="C4626" t="n">
        <v>0.0028</v>
      </c>
    </row>
    <row r="4627">
      <c r="A4627" t="n">
        <v>78</v>
      </c>
      <c r="B4627" t="n">
        <v>1957</v>
      </c>
      <c r="C4627" t="n">
        <v>0.0016</v>
      </c>
    </row>
    <row r="4628">
      <c r="A4628" t="n">
        <v>78</v>
      </c>
      <c r="B4628" t="n">
        <v>1958</v>
      </c>
      <c r="C4628" t="n">
        <v>0.0005</v>
      </c>
    </row>
    <row r="4629">
      <c r="A4629" t="n">
        <v>78</v>
      </c>
      <c r="B4629" t="n">
        <v>1959</v>
      </c>
      <c r="C4629" t="n">
        <v>-0.0004</v>
      </c>
    </row>
    <row r="4630">
      <c r="A4630" t="n">
        <v>78</v>
      </c>
      <c r="B4630" t="n">
        <v>1960</v>
      </c>
      <c r="C4630" t="n">
        <v>-0.0012</v>
      </c>
    </row>
    <row r="4631">
      <c r="A4631" t="n">
        <v>78</v>
      </c>
      <c r="B4631" t="n">
        <v>1961</v>
      </c>
      <c r="C4631" t="n">
        <v>-0.0018</v>
      </c>
    </row>
    <row r="4632">
      <c r="A4632" t="n">
        <v>78</v>
      </c>
      <c r="B4632" t="n">
        <v>1962</v>
      </c>
      <c r="C4632" t="n">
        <v>-0.0021</v>
      </c>
    </row>
    <row r="4633">
      <c r="A4633" t="n">
        <v>78</v>
      </c>
      <c r="B4633" t="n">
        <v>1963</v>
      </c>
      <c r="C4633" t="n">
        <v>-0.0022</v>
      </c>
    </row>
    <row r="4634">
      <c r="A4634" t="n">
        <v>78</v>
      </c>
      <c r="B4634" t="n">
        <v>1964</v>
      </c>
      <c r="C4634" t="n">
        <v>-0.0018</v>
      </c>
    </row>
    <row r="4635">
      <c r="A4635" t="n">
        <v>78</v>
      </c>
      <c r="B4635" t="n">
        <v>1965</v>
      </c>
      <c r="C4635" t="n">
        <v>-0.0011</v>
      </c>
    </row>
    <row r="4636">
      <c r="A4636" t="n">
        <v>78</v>
      </c>
      <c r="B4636" t="n">
        <v>1966</v>
      </c>
      <c r="C4636" t="n">
        <v>0</v>
      </c>
    </row>
    <row r="4637">
      <c r="A4637" t="n">
        <v>78</v>
      </c>
      <c r="B4637" t="n">
        <v>1967</v>
      </c>
      <c r="C4637" t="n">
        <v>0.0015</v>
      </c>
    </row>
    <row r="4638">
      <c r="A4638" t="n">
        <v>78</v>
      </c>
      <c r="B4638" t="n">
        <v>1968</v>
      </c>
      <c r="C4638" t="n">
        <v>0.0033</v>
      </c>
    </row>
    <row r="4639">
      <c r="A4639" t="n">
        <v>78</v>
      </c>
      <c r="B4639" t="n">
        <v>1969</v>
      </c>
      <c r="C4639" t="n">
        <v>0.0053</v>
      </c>
    </row>
    <row r="4640">
      <c r="A4640" t="n">
        <v>78</v>
      </c>
      <c r="B4640" t="n">
        <v>1970</v>
      </c>
      <c r="C4640" t="n">
        <v>0.0074</v>
      </c>
    </row>
    <row r="4641">
      <c r="A4641" t="n">
        <v>78</v>
      </c>
      <c r="B4641" t="n">
        <v>1971</v>
      </c>
      <c r="C4641" t="n">
        <v>0.0095</v>
      </c>
    </row>
    <row r="4642">
      <c r="A4642" t="n">
        <v>78</v>
      </c>
      <c r="B4642" t="n">
        <v>1972</v>
      </c>
      <c r="C4642" t="n">
        <v>0.0113</v>
      </c>
    </row>
    <row r="4643">
      <c r="A4643" t="n">
        <v>78</v>
      </c>
      <c r="B4643" t="n">
        <v>1973</v>
      </c>
      <c r="C4643" t="n">
        <v>0.0128</v>
      </c>
    </row>
    <row r="4644">
      <c r="A4644" t="n">
        <v>78</v>
      </c>
      <c r="B4644" t="n">
        <v>1974</v>
      </c>
      <c r="C4644" t="n">
        <v>0.0138</v>
      </c>
    </row>
    <row r="4645">
      <c r="A4645" t="n">
        <v>78</v>
      </c>
      <c r="B4645" t="n">
        <v>1975</v>
      </c>
      <c r="C4645" t="n">
        <v>0.014</v>
      </c>
    </row>
    <row r="4646">
      <c r="A4646" t="n">
        <v>78</v>
      </c>
      <c r="B4646" t="n">
        <v>1976</v>
      </c>
      <c r="C4646" t="n">
        <v>0.0137</v>
      </c>
    </row>
    <row r="4647">
      <c r="A4647" t="n">
        <v>78</v>
      </c>
      <c r="B4647" t="n">
        <v>1977</v>
      </c>
      <c r="C4647" t="n">
        <v>0.0127</v>
      </c>
    </row>
    <row r="4648">
      <c r="A4648" t="n">
        <v>78</v>
      </c>
      <c r="B4648" t="n">
        <v>1978</v>
      </c>
      <c r="C4648" t="n">
        <v>0.0114</v>
      </c>
    </row>
    <row r="4649">
      <c r="A4649" t="n">
        <v>78</v>
      </c>
      <c r="B4649" t="n">
        <v>1979</v>
      </c>
      <c r="C4649" t="n">
        <v>0.0098</v>
      </c>
    </row>
    <row r="4650">
      <c r="A4650" t="n">
        <v>78</v>
      </c>
      <c r="B4650" t="n">
        <v>1980</v>
      </c>
      <c r="C4650" t="n">
        <v>0.0083</v>
      </c>
    </row>
    <row r="4651">
      <c r="A4651" t="n">
        <v>78</v>
      </c>
      <c r="B4651" t="n">
        <v>1981</v>
      </c>
      <c r="C4651" t="n">
        <v>0.0071</v>
      </c>
    </row>
    <row r="4652">
      <c r="A4652" t="n">
        <v>78</v>
      </c>
      <c r="B4652" t="n">
        <v>1982</v>
      </c>
      <c r="C4652" t="n">
        <v>0.0063</v>
      </c>
    </row>
    <row r="4653">
      <c r="A4653" t="n">
        <v>78</v>
      </c>
      <c r="B4653" t="n">
        <v>1983</v>
      </c>
      <c r="C4653" t="n">
        <v>0.0061</v>
      </c>
    </row>
    <row r="4654">
      <c r="A4654" t="n">
        <v>78</v>
      </c>
      <c r="B4654" t="n">
        <v>1984</v>
      </c>
      <c r="C4654" t="n">
        <v>0.0065</v>
      </c>
    </row>
    <row r="4655">
      <c r="A4655" t="n">
        <v>78</v>
      </c>
      <c r="B4655" t="n">
        <v>1985</v>
      </c>
      <c r="C4655" t="n">
        <v>0.0075</v>
      </c>
    </row>
    <row r="4656">
      <c r="A4656" t="n">
        <v>78</v>
      </c>
      <c r="B4656" t="n">
        <v>1986</v>
      </c>
      <c r="C4656" t="n">
        <v>0.0089</v>
      </c>
    </row>
    <row r="4657">
      <c r="A4657" t="n">
        <v>78</v>
      </c>
      <c r="B4657" t="n">
        <v>1987</v>
      </c>
      <c r="C4657" t="n">
        <v>0.0104</v>
      </c>
    </row>
    <row r="4658">
      <c r="A4658" t="n">
        <v>78</v>
      </c>
      <c r="B4658" t="n">
        <v>1988</v>
      </c>
      <c r="C4658" t="n">
        <v>0.0119</v>
      </c>
    </row>
    <row r="4659">
      <c r="A4659" t="n">
        <v>78</v>
      </c>
      <c r="B4659" t="n">
        <v>1989</v>
      </c>
      <c r="C4659" t="n">
        <v>0.013</v>
      </c>
    </row>
    <row r="4660">
      <c r="A4660" t="n">
        <v>78</v>
      </c>
      <c r="B4660" t="n">
        <v>1990</v>
      </c>
      <c r="C4660" t="n">
        <v>0.0135</v>
      </c>
    </row>
    <row r="4661">
      <c r="A4661" t="n">
        <v>78</v>
      </c>
      <c r="B4661" t="n">
        <v>1991</v>
      </c>
      <c r="C4661" t="n">
        <v>0.0136</v>
      </c>
    </row>
    <row r="4662">
      <c r="A4662" t="n">
        <v>78</v>
      </c>
      <c r="B4662" t="n">
        <v>1992</v>
      </c>
      <c r="C4662" t="n">
        <v>0.0132</v>
      </c>
    </row>
    <row r="4663">
      <c r="A4663" t="n">
        <v>78</v>
      </c>
      <c r="B4663" t="n">
        <v>1993</v>
      </c>
      <c r="C4663" t="n">
        <v>0.0126</v>
      </c>
    </row>
    <row r="4664">
      <c r="A4664" t="n">
        <v>78</v>
      </c>
      <c r="B4664" t="n">
        <v>1994</v>
      </c>
      <c r="C4664" t="n">
        <v>0.012</v>
      </c>
    </row>
    <row r="4665">
      <c r="A4665" t="n">
        <v>78</v>
      </c>
      <c r="B4665" t="n">
        <v>1995</v>
      </c>
      <c r="C4665" t="n">
        <v>0.0117</v>
      </c>
    </row>
    <row r="4666">
      <c r="A4666" t="n">
        <v>78</v>
      </c>
      <c r="B4666" t="n">
        <v>1996</v>
      </c>
      <c r="C4666" t="n">
        <v>0.0117</v>
      </c>
    </row>
    <row r="4667">
      <c r="A4667" t="n">
        <v>78</v>
      </c>
      <c r="B4667" t="n">
        <v>1997</v>
      </c>
      <c r="C4667" t="n">
        <v>0.0122</v>
      </c>
    </row>
    <row r="4668">
      <c r="A4668" t="n">
        <v>78</v>
      </c>
      <c r="B4668" t="n">
        <v>1998</v>
      </c>
      <c r="C4668" t="n">
        <v>0.0132</v>
      </c>
    </row>
    <row r="4669">
      <c r="A4669" t="n">
        <v>78</v>
      </c>
      <c r="B4669" t="n">
        <v>1999</v>
      </c>
      <c r="C4669" t="n">
        <v>0.0146</v>
      </c>
    </row>
    <row r="4670">
      <c r="A4670" t="n">
        <v>78</v>
      </c>
      <c r="B4670" t="n">
        <v>2000</v>
      </c>
      <c r="C4670" t="n">
        <v>0.0164</v>
      </c>
    </row>
    <row r="4671">
      <c r="A4671" t="n">
        <v>78</v>
      </c>
      <c r="B4671" t="n">
        <v>2001</v>
      </c>
      <c r="C4671" t="n">
        <v>0.0185</v>
      </c>
    </row>
    <row r="4672">
      <c r="A4672" t="n">
        <v>78</v>
      </c>
      <c r="B4672" t="n">
        <v>2002</v>
      </c>
      <c r="C4672" t="n">
        <v>0.0205</v>
      </c>
    </row>
    <row r="4673">
      <c r="A4673" t="n">
        <v>78</v>
      </c>
      <c r="B4673" t="n">
        <v>2003</v>
      </c>
      <c r="C4673" t="n">
        <v>0.0223</v>
      </c>
    </row>
    <row r="4674">
      <c r="A4674" t="n">
        <v>78</v>
      </c>
      <c r="B4674" t="n">
        <v>2004</v>
      </c>
      <c r="C4674" t="n">
        <v>0.0237</v>
      </c>
    </row>
    <row r="4675">
      <c r="A4675" t="n">
        <v>78</v>
      </c>
      <c r="B4675" t="n">
        <v>2005</v>
      </c>
      <c r="C4675" t="n">
        <v>0.0245</v>
      </c>
    </row>
    <row r="4676">
      <c r="A4676" t="n">
        <v>78</v>
      </c>
      <c r="B4676" t="n">
        <v>2006</v>
      </c>
      <c r="C4676" t="n">
        <v>0.0245</v>
      </c>
    </row>
    <row r="4677">
      <c r="A4677" t="n">
        <v>78</v>
      </c>
      <c r="B4677" t="n">
        <v>2007</v>
      </c>
      <c r="C4677" t="n">
        <v>0.0238</v>
      </c>
    </row>
    <row r="4678">
      <c r="A4678" t="n">
        <v>78</v>
      </c>
      <c r="B4678" t="n">
        <v>2008</v>
      </c>
      <c r="C4678" t="n">
        <v>0.0225</v>
      </c>
    </row>
    <row r="4679">
      <c r="A4679" t="n">
        <v>78</v>
      </c>
      <c r="B4679" t="n">
        <v>2009</v>
      </c>
      <c r="C4679" t="n">
        <v>0.0206</v>
      </c>
    </row>
    <row r="4680">
      <c r="A4680" t="n">
        <v>78</v>
      </c>
      <c r="B4680" t="n">
        <v>2010</v>
      </c>
      <c r="C4680" t="n">
        <v>0.0183</v>
      </c>
    </row>
    <row r="4681">
      <c r="A4681" t="n">
        <v>78</v>
      </c>
      <c r="B4681" t="n">
        <v>2011</v>
      </c>
      <c r="C4681" t="n">
        <v>0.0156</v>
      </c>
    </row>
    <row r="4682">
      <c r="A4682" t="n">
        <v>78</v>
      </c>
      <c r="B4682" t="n">
        <v>2012</v>
      </c>
      <c r="C4682" t="n">
        <v>0.0129</v>
      </c>
    </row>
    <row r="4683">
      <c r="A4683" t="n">
        <v>78</v>
      </c>
      <c r="B4683" t="n">
        <v>2013</v>
      </c>
      <c r="C4683" t="n">
        <v>0.0129</v>
      </c>
    </row>
    <row r="4684">
      <c r="A4684" t="n">
        <v>78</v>
      </c>
      <c r="B4684" t="n">
        <v>2014</v>
      </c>
      <c r="C4684" t="n">
        <v>0.0128</v>
      </c>
    </row>
    <row r="4685">
      <c r="A4685" t="n">
        <v>78</v>
      </c>
      <c r="B4685" t="n">
        <v>2015</v>
      </c>
      <c r="C4685" t="n">
        <v>0.0126</v>
      </c>
    </row>
    <row r="4686">
      <c r="A4686" t="n">
        <v>78</v>
      </c>
      <c r="B4686" t="n">
        <v>2016</v>
      </c>
      <c r="C4686" t="n">
        <v>0.0123</v>
      </c>
    </row>
    <row r="4687">
      <c r="A4687" t="n">
        <v>78</v>
      </c>
      <c r="B4687" t="n">
        <v>2017</v>
      </c>
      <c r="C4687" t="n">
        <v>0.012</v>
      </c>
    </row>
    <row r="4688">
      <c r="A4688" t="n">
        <v>78</v>
      </c>
      <c r="B4688" t="n">
        <v>2018</v>
      </c>
      <c r="C4688" t="n">
        <v>0.0115</v>
      </c>
    </row>
    <row r="4689">
      <c r="A4689" t="n">
        <v>78</v>
      </c>
      <c r="B4689" t="n">
        <v>2019</v>
      </c>
      <c r="C4689" t="n">
        <v>0.011</v>
      </c>
    </row>
    <row r="4690">
      <c r="A4690" t="n">
        <v>78</v>
      </c>
      <c r="B4690" t="n">
        <v>2020</v>
      </c>
      <c r="C4690" t="n">
        <v>0.0105</v>
      </c>
    </row>
    <row r="4691">
      <c r="A4691" t="n">
        <v>78</v>
      </c>
      <c r="B4691" t="n">
        <v>2021</v>
      </c>
      <c r="C4691" t="n">
        <v>0.01</v>
      </c>
    </row>
    <row r="4692">
      <c r="A4692" t="n">
        <v>78</v>
      </c>
      <c r="B4692" t="n">
        <v>2022</v>
      </c>
      <c r="C4692" t="n">
        <v>0.0097</v>
      </c>
    </row>
    <row r="4693">
      <c r="A4693" t="n">
        <v>78</v>
      </c>
      <c r="B4693" t="n">
        <v>2023</v>
      </c>
      <c r="C4693" t="n">
        <v>0.009299999999999999</v>
      </c>
    </row>
    <row r="4694">
      <c r="A4694" t="n">
        <v>78</v>
      </c>
      <c r="B4694" t="n">
        <v>2024</v>
      </c>
      <c r="C4694" t="n">
        <v>0.0091</v>
      </c>
    </row>
    <row r="4695">
      <c r="A4695" t="n">
        <v>78</v>
      </c>
      <c r="B4695" t="n">
        <v>2025</v>
      </c>
      <c r="C4695" t="n">
        <v>0.008999999999999999</v>
      </c>
    </row>
    <row r="4696">
      <c r="A4696" t="n">
        <v>78</v>
      </c>
      <c r="B4696" t="n">
        <v>2026</v>
      </c>
      <c r="C4696" t="n">
        <v>0.008999999999999999</v>
      </c>
    </row>
    <row r="4697">
      <c r="A4697" t="n">
        <v>78</v>
      </c>
      <c r="B4697" t="n">
        <v>2027</v>
      </c>
      <c r="C4697" t="n">
        <v>0.0091</v>
      </c>
    </row>
    <row r="4698">
      <c r="A4698" t="n">
        <v>78</v>
      </c>
      <c r="B4698" t="n">
        <v>2028</v>
      </c>
      <c r="C4698" t="n">
        <v>0.009299999999999999</v>
      </c>
    </row>
    <row r="4699">
      <c r="A4699" t="n">
        <v>78</v>
      </c>
      <c r="B4699" t="n">
        <v>2029</v>
      </c>
      <c r="C4699" t="n">
        <v>0.009599999999999999</v>
      </c>
    </row>
    <row r="4700">
      <c r="A4700" t="n">
        <v>78</v>
      </c>
      <c r="B4700" t="n">
        <v>2030</v>
      </c>
      <c r="C4700" t="n">
        <v>0.0098</v>
      </c>
    </row>
    <row r="4701">
      <c r="A4701" t="n">
        <v>78</v>
      </c>
      <c r="B4701" t="n">
        <v>2031</v>
      </c>
      <c r="C4701" t="n">
        <v>0.009900000000000001</v>
      </c>
    </row>
    <row r="4702">
      <c r="A4702" t="n">
        <v>79</v>
      </c>
      <c r="B4702" t="n">
        <v>1951</v>
      </c>
      <c r="C4702" t="n">
        <v>0.0092</v>
      </c>
    </row>
    <row r="4703">
      <c r="A4703" t="n">
        <v>79</v>
      </c>
      <c r="B4703" t="n">
        <v>1952</v>
      </c>
      <c r="C4703" t="n">
        <v>0.007900000000000001</v>
      </c>
    </row>
    <row r="4704">
      <c r="A4704" t="n">
        <v>79</v>
      </c>
      <c r="B4704" t="n">
        <v>1953</v>
      </c>
      <c r="C4704" t="n">
        <v>0.0065</v>
      </c>
    </row>
    <row r="4705">
      <c r="A4705" t="n">
        <v>79</v>
      </c>
      <c r="B4705" t="n">
        <v>1954</v>
      </c>
      <c r="C4705" t="n">
        <v>0.0052</v>
      </c>
    </row>
    <row r="4706">
      <c r="A4706" t="n">
        <v>79</v>
      </c>
      <c r="B4706" t="n">
        <v>1955</v>
      </c>
      <c r="C4706" t="n">
        <v>0.0039</v>
      </c>
    </row>
    <row r="4707">
      <c r="A4707" t="n">
        <v>79</v>
      </c>
      <c r="B4707" t="n">
        <v>1956</v>
      </c>
      <c r="C4707" t="n">
        <v>0.0026</v>
      </c>
    </row>
    <row r="4708">
      <c r="A4708" t="n">
        <v>79</v>
      </c>
      <c r="B4708" t="n">
        <v>1957</v>
      </c>
      <c r="C4708" t="n">
        <v>0.0014</v>
      </c>
    </row>
    <row r="4709">
      <c r="A4709" t="n">
        <v>79</v>
      </c>
      <c r="B4709" t="n">
        <v>1958</v>
      </c>
      <c r="C4709" t="n">
        <v>0.0004</v>
      </c>
    </row>
    <row r="4710">
      <c r="A4710" t="n">
        <v>79</v>
      </c>
      <c r="B4710" t="n">
        <v>1959</v>
      </c>
      <c r="C4710" t="n">
        <v>-0.0005</v>
      </c>
    </row>
    <row r="4711">
      <c r="A4711" t="n">
        <v>79</v>
      </c>
      <c r="B4711" t="n">
        <v>1960</v>
      </c>
      <c r="C4711" t="n">
        <v>-0.0012</v>
      </c>
    </row>
    <row r="4712">
      <c r="A4712" t="n">
        <v>79</v>
      </c>
      <c r="B4712" t="n">
        <v>1961</v>
      </c>
      <c r="C4712" t="n">
        <v>-0.0017</v>
      </c>
    </row>
    <row r="4713">
      <c r="A4713" t="n">
        <v>79</v>
      </c>
      <c r="B4713" t="n">
        <v>1962</v>
      </c>
      <c r="C4713" t="n">
        <v>-0.002</v>
      </c>
    </row>
    <row r="4714">
      <c r="A4714" t="n">
        <v>79</v>
      </c>
      <c r="B4714" t="n">
        <v>1963</v>
      </c>
      <c r="C4714" t="n">
        <v>-0.0019</v>
      </c>
    </row>
    <row r="4715">
      <c r="A4715" t="n">
        <v>79</v>
      </c>
      <c r="B4715" t="n">
        <v>1964</v>
      </c>
      <c r="C4715" t="n">
        <v>-0.0015</v>
      </c>
    </row>
    <row r="4716">
      <c r="A4716" t="n">
        <v>79</v>
      </c>
      <c r="B4716" t="n">
        <v>1965</v>
      </c>
      <c r="C4716" t="n">
        <v>-0.0007</v>
      </c>
    </row>
    <row r="4717">
      <c r="A4717" t="n">
        <v>79</v>
      </c>
      <c r="B4717" t="n">
        <v>1966</v>
      </c>
      <c r="C4717" t="n">
        <v>0.0005</v>
      </c>
    </row>
    <row r="4718">
      <c r="A4718" t="n">
        <v>79</v>
      </c>
      <c r="B4718" t="n">
        <v>1967</v>
      </c>
      <c r="C4718" t="n">
        <v>0.0019</v>
      </c>
    </row>
    <row r="4719">
      <c r="A4719" t="n">
        <v>79</v>
      </c>
      <c r="B4719" t="n">
        <v>1968</v>
      </c>
      <c r="C4719" t="n">
        <v>0.0037</v>
      </c>
    </row>
    <row r="4720">
      <c r="A4720" t="n">
        <v>79</v>
      </c>
      <c r="B4720" t="n">
        <v>1969</v>
      </c>
      <c r="C4720" t="n">
        <v>0.0057</v>
      </c>
    </row>
    <row r="4721">
      <c r="A4721" t="n">
        <v>79</v>
      </c>
      <c r="B4721" t="n">
        <v>1970</v>
      </c>
      <c r="C4721" t="n">
        <v>0.0077</v>
      </c>
    </row>
    <row r="4722">
      <c r="A4722" t="n">
        <v>79</v>
      </c>
      <c r="B4722" t="n">
        <v>1971</v>
      </c>
      <c r="C4722" t="n">
        <v>0.0097</v>
      </c>
    </row>
    <row r="4723">
      <c r="A4723" t="n">
        <v>79</v>
      </c>
      <c r="B4723" t="n">
        <v>1972</v>
      </c>
      <c r="C4723" t="n">
        <v>0.0115</v>
      </c>
    </row>
    <row r="4724">
      <c r="A4724" t="n">
        <v>79</v>
      </c>
      <c r="B4724" t="n">
        <v>1973</v>
      </c>
      <c r="C4724" t="n">
        <v>0.0129</v>
      </c>
    </row>
    <row r="4725">
      <c r="A4725" t="n">
        <v>79</v>
      </c>
      <c r="B4725" t="n">
        <v>1974</v>
      </c>
      <c r="C4725" t="n">
        <v>0.0138</v>
      </c>
    </row>
    <row r="4726">
      <c r="A4726" t="n">
        <v>79</v>
      </c>
      <c r="B4726" t="n">
        <v>1975</v>
      </c>
      <c r="C4726" t="n">
        <v>0.014</v>
      </c>
    </row>
    <row r="4727">
      <c r="A4727" t="n">
        <v>79</v>
      </c>
      <c r="B4727" t="n">
        <v>1976</v>
      </c>
      <c r="C4727" t="n">
        <v>0.0136</v>
      </c>
    </row>
    <row r="4728">
      <c r="A4728" t="n">
        <v>79</v>
      </c>
      <c r="B4728" t="n">
        <v>1977</v>
      </c>
      <c r="C4728" t="n">
        <v>0.0126</v>
      </c>
    </row>
    <row r="4729">
      <c r="A4729" t="n">
        <v>79</v>
      </c>
      <c r="B4729" t="n">
        <v>1978</v>
      </c>
      <c r="C4729" t="n">
        <v>0.0113</v>
      </c>
    </row>
    <row r="4730">
      <c r="A4730" t="n">
        <v>79</v>
      </c>
      <c r="B4730" t="n">
        <v>1979</v>
      </c>
      <c r="C4730" t="n">
        <v>0.0097</v>
      </c>
    </row>
    <row r="4731">
      <c r="A4731" t="n">
        <v>79</v>
      </c>
      <c r="B4731" t="n">
        <v>1980</v>
      </c>
      <c r="C4731" t="n">
        <v>0.0081</v>
      </c>
    </row>
    <row r="4732">
      <c r="A4732" t="n">
        <v>79</v>
      </c>
      <c r="B4732" t="n">
        <v>1981</v>
      </c>
      <c r="C4732" t="n">
        <v>0.0068</v>
      </c>
    </row>
    <row r="4733">
      <c r="A4733" t="n">
        <v>79</v>
      </c>
      <c r="B4733" t="n">
        <v>1982</v>
      </c>
      <c r="C4733" t="n">
        <v>0.0059</v>
      </c>
    </row>
    <row r="4734">
      <c r="A4734" t="n">
        <v>79</v>
      </c>
      <c r="B4734" t="n">
        <v>1983</v>
      </c>
      <c r="C4734" t="n">
        <v>0.0055</v>
      </c>
    </row>
    <row r="4735">
      <c r="A4735" t="n">
        <v>79</v>
      </c>
      <c r="B4735" t="n">
        <v>1984</v>
      </c>
      <c r="C4735" t="n">
        <v>0.0058</v>
      </c>
    </row>
    <row r="4736">
      <c r="A4736" t="n">
        <v>79</v>
      </c>
      <c r="B4736" t="n">
        <v>1985</v>
      </c>
      <c r="C4736" t="n">
        <v>0.0066</v>
      </c>
    </row>
    <row r="4737">
      <c r="A4737" t="n">
        <v>79</v>
      </c>
      <c r="B4737" t="n">
        <v>1986</v>
      </c>
      <c r="C4737" t="n">
        <v>0.0078</v>
      </c>
    </row>
    <row r="4738">
      <c r="A4738" t="n">
        <v>79</v>
      </c>
      <c r="B4738" t="n">
        <v>1987</v>
      </c>
      <c r="C4738" t="n">
        <v>0.0092</v>
      </c>
    </row>
    <row r="4739">
      <c r="A4739" t="n">
        <v>79</v>
      </c>
      <c r="B4739" t="n">
        <v>1988</v>
      </c>
      <c r="C4739" t="n">
        <v>0.0106</v>
      </c>
    </row>
    <row r="4740">
      <c r="A4740" t="n">
        <v>79</v>
      </c>
      <c r="B4740" t="n">
        <v>1989</v>
      </c>
      <c r="C4740" t="n">
        <v>0.0116</v>
      </c>
    </row>
    <row r="4741">
      <c r="A4741" t="n">
        <v>79</v>
      </c>
      <c r="B4741" t="n">
        <v>1990</v>
      </c>
      <c r="C4741" t="n">
        <v>0.0122</v>
      </c>
    </row>
    <row r="4742">
      <c r="A4742" t="n">
        <v>79</v>
      </c>
      <c r="B4742" t="n">
        <v>1991</v>
      </c>
      <c r="C4742" t="n">
        <v>0.0124</v>
      </c>
    </row>
    <row r="4743">
      <c r="A4743" t="n">
        <v>79</v>
      </c>
      <c r="B4743" t="n">
        <v>1992</v>
      </c>
      <c r="C4743" t="n">
        <v>0.0121</v>
      </c>
    </row>
    <row r="4744">
      <c r="A4744" t="n">
        <v>79</v>
      </c>
      <c r="B4744" t="n">
        <v>1993</v>
      </c>
      <c r="C4744" t="n">
        <v>0.0116</v>
      </c>
    </row>
    <row r="4745">
      <c r="A4745" t="n">
        <v>79</v>
      </c>
      <c r="B4745" t="n">
        <v>1994</v>
      </c>
      <c r="C4745" t="n">
        <v>0.0112</v>
      </c>
    </row>
    <row r="4746">
      <c r="A4746" t="n">
        <v>79</v>
      </c>
      <c r="B4746" t="n">
        <v>1995</v>
      </c>
      <c r="C4746" t="n">
        <v>0.011</v>
      </c>
    </row>
    <row r="4747">
      <c r="A4747" t="n">
        <v>79</v>
      </c>
      <c r="B4747" t="n">
        <v>1996</v>
      </c>
      <c r="C4747" t="n">
        <v>0.0111</v>
      </c>
    </row>
    <row r="4748">
      <c r="A4748" t="n">
        <v>79</v>
      </c>
      <c r="B4748" t="n">
        <v>1997</v>
      </c>
      <c r="C4748" t="n">
        <v>0.0117</v>
      </c>
    </row>
    <row r="4749">
      <c r="A4749" t="n">
        <v>79</v>
      </c>
      <c r="B4749" t="n">
        <v>1998</v>
      </c>
      <c r="C4749" t="n">
        <v>0.0127</v>
      </c>
    </row>
    <row r="4750">
      <c r="A4750" t="n">
        <v>79</v>
      </c>
      <c r="B4750" t="n">
        <v>1999</v>
      </c>
      <c r="C4750" t="n">
        <v>0.0141</v>
      </c>
    </row>
    <row r="4751">
      <c r="A4751" t="n">
        <v>79</v>
      </c>
      <c r="B4751" t="n">
        <v>2000</v>
      </c>
      <c r="C4751" t="n">
        <v>0.0159</v>
      </c>
    </row>
    <row r="4752">
      <c r="A4752" t="n">
        <v>79</v>
      </c>
      <c r="B4752" t="n">
        <v>2001</v>
      </c>
      <c r="C4752" t="n">
        <v>0.0179</v>
      </c>
    </row>
    <row r="4753">
      <c r="A4753" t="n">
        <v>79</v>
      </c>
      <c r="B4753" t="n">
        <v>2002</v>
      </c>
      <c r="C4753" t="n">
        <v>0.0199</v>
      </c>
    </row>
    <row r="4754">
      <c r="A4754" t="n">
        <v>79</v>
      </c>
      <c r="B4754" t="n">
        <v>2003</v>
      </c>
      <c r="C4754" t="n">
        <v>0.0217</v>
      </c>
    </row>
    <row r="4755">
      <c r="A4755" t="n">
        <v>79</v>
      </c>
      <c r="B4755" t="n">
        <v>2004</v>
      </c>
      <c r="C4755" t="n">
        <v>0.023</v>
      </c>
    </row>
    <row r="4756">
      <c r="A4756" t="n">
        <v>79</v>
      </c>
      <c r="B4756" t="n">
        <v>2005</v>
      </c>
      <c r="C4756" t="n">
        <v>0.0237</v>
      </c>
    </row>
    <row r="4757">
      <c r="A4757" t="n">
        <v>79</v>
      </c>
      <c r="B4757" t="n">
        <v>2006</v>
      </c>
      <c r="C4757" t="n">
        <v>0.0238</v>
      </c>
    </row>
    <row r="4758">
      <c r="A4758" t="n">
        <v>79</v>
      </c>
      <c r="B4758" t="n">
        <v>2007</v>
      </c>
      <c r="C4758" t="n">
        <v>0.0232</v>
      </c>
    </row>
    <row r="4759">
      <c r="A4759" t="n">
        <v>79</v>
      </c>
      <c r="B4759" t="n">
        <v>2008</v>
      </c>
      <c r="C4759" t="n">
        <v>0.0219</v>
      </c>
    </row>
    <row r="4760">
      <c r="A4760" t="n">
        <v>79</v>
      </c>
      <c r="B4760" t="n">
        <v>2009</v>
      </c>
      <c r="C4760" t="n">
        <v>0.02</v>
      </c>
    </row>
    <row r="4761">
      <c r="A4761" t="n">
        <v>79</v>
      </c>
      <c r="B4761" t="n">
        <v>2010</v>
      </c>
      <c r="C4761" t="n">
        <v>0.0178</v>
      </c>
    </row>
    <row r="4762">
      <c r="A4762" t="n">
        <v>79</v>
      </c>
      <c r="B4762" t="n">
        <v>2011</v>
      </c>
      <c r="C4762" t="n">
        <v>0.0153</v>
      </c>
    </row>
    <row r="4763">
      <c r="A4763" t="n">
        <v>79</v>
      </c>
      <c r="B4763" t="n">
        <v>2012</v>
      </c>
      <c r="C4763" t="n">
        <v>0.0126</v>
      </c>
    </row>
    <row r="4764">
      <c r="A4764" t="n">
        <v>79</v>
      </c>
      <c r="B4764" t="n">
        <v>2013</v>
      </c>
      <c r="C4764" t="n">
        <v>0.0127</v>
      </c>
    </row>
    <row r="4765">
      <c r="A4765" t="n">
        <v>79</v>
      </c>
      <c r="B4765" t="n">
        <v>2014</v>
      </c>
      <c r="C4765" t="n">
        <v>0.0126</v>
      </c>
    </row>
    <row r="4766">
      <c r="A4766" t="n">
        <v>79</v>
      </c>
      <c r="B4766" t="n">
        <v>2015</v>
      </c>
      <c r="C4766" t="n">
        <v>0.0125</v>
      </c>
    </row>
    <row r="4767">
      <c r="A4767" t="n">
        <v>79</v>
      </c>
      <c r="B4767" t="n">
        <v>2016</v>
      </c>
      <c r="C4767" t="n">
        <v>0.0122</v>
      </c>
    </row>
    <row r="4768">
      <c r="A4768" t="n">
        <v>79</v>
      </c>
      <c r="B4768" t="n">
        <v>2017</v>
      </c>
      <c r="C4768" t="n">
        <v>0.0119</v>
      </c>
    </row>
    <row r="4769">
      <c r="A4769" t="n">
        <v>79</v>
      </c>
      <c r="B4769" t="n">
        <v>2018</v>
      </c>
      <c r="C4769" t="n">
        <v>0.0116</v>
      </c>
    </row>
    <row r="4770">
      <c r="A4770" t="n">
        <v>79</v>
      </c>
      <c r="B4770" t="n">
        <v>2019</v>
      </c>
      <c r="C4770" t="n">
        <v>0.0112</v>
      </c>
    </row>
    <row r="4771">
      <c r="A4771" t="n">
        <v>79</v>
      </c>
      <c r="B4771" t="n">
        <v>2020</v>
      </c>
      <c r="C4771" t="n">
        <v>0.0107</v>
      </c>
    </row>
    <row r="4772">
      <c r="A4772" t="n">
        <v>79</v>
      </c>
      <c r="B4772" t="n">
        <v>2021</v>
      </c>
      <c r="C4772" t="n">
        <v>0.0103</v>
      </c>
    </row>
    <row r="4773">
      <c r="A4773" t="n">
        <v>79</v>
      </c>
      <c r="B4773" t="n">
        <v>2022</v>
      </c>
      <c r="C4773" t="n">
        <v>0.01</v>
      </c>
    </row>
    <row r="4774">
      <c r="A4774" t="n">
        <v>79</v>
      </c>
      <c r="B4774" t="n">
        <v>2023</v>
      </c>
      <c r="C4774" t="n">
        <v>0.0097</v>
      </c>
    </row>
    <row r="4775">
      <c r="A4775" t="n">
        <v>79</v>
      </c>
      <c r="B4775" t="n">
        <v>2024</v>
      </c>
      <c r="C4775" t="n">
        <v>0.0094</v>
      </c>
    </row>
    <row r="4776">
      <c r="A4776" t="n">
        <v>79</v>
      </c>
      <c r="B4776" t="n">
        <v>2025</v>
      </c>
      <c r="C4776" t="n">
        <v>0.009299999999999999</v>
      </c>
    </row>
    <row r="4777">
      <c r="A4777" t="n">
        <v>79</v>
      </c>
      <c r="B4777" t="n">
        <v>2026</v>
      </c>
      <c r="C4777" t="n">
        <v>0.009299999999999999</v>
      </c>
    </row>
    <row r="4778">
      <c r="A4778" t="n">
        <v>79</v>
      </c>
      <c r="B4778" t="n">
        <v>2027</v>
      </c>
      <c r="C4778" t="n">
        <v>0.009299999999999999</v>
      </c>
    </row>
    <row r="4779">
      <c r="A4779" t="n">
        <v>79</v>
      </c>
      <c r="B4779" t="n">
        <v>2028</v>
      </c>
      <c r="C4779" t="n">
        <v>0.0094</v>
      </c>
    </row>
    <row r="4780">
      <c r="A4780" t="n">
        <v>79</v>
      </c>
      <c r="B4780" t="n">
        <v>2029</v>
      </c>
      <c r="C4780" t="n">
        <v>0.009599999999999999</v>
      </c>
    </row>
    <row r="4781">
      <c r="A4781" t="n">
        <v>79</v>
      </c>
      <c r="B4781" t="n">
        <v>2030</v>
      </c>
      <c r="C4781" t="n">
        <v>0.0098</v>
      </c>
    </row>
    <row r="4782">
      <c r="A4782" t="n">
        <v>79</v>
      </c>
      <c r="B4782" t="n">
        <v>2031</v>
      </c>
      <c r="C4782" t="n">
        <v>0.009900000000000001</v>
      </c>
    </row>
    <row r="4783">
      <c r="A4783" t="n">
        <v>80</v>
      </c>
      <c r="B4783" t="n">
        <v>1951</v>
      </c>
      <c r="C4783" t="n">
        <v>0.008500000000000001</v>
      </c>
    </row>
    <row r="4784">
      <c r="A4784" t="n">
        <v>80</v>
      </c>
      <c r="B4784" t="n">
        <v>1952</v>
      </c>
      <c r="C4784" t="n">
        <v>0.0072</v>
      </c>
    </row>
    <row r="4785">
      <c r="A4785" t="n">
        <v>80</v>
      </c>
      <c r="B4785" t="n">
        <v>1953</v>
      </c>
      <c r="C4785" t="n">
        <v>0.006</v>
      </c>
    </row>
    <row r="4786">
      <c r="A4786" t="n">
        <v>80</v>
      </c>
      <c r="B4786" t="n">
        <v>1954</v>
      </c>
      <c r="C4786" t="n">
        <v>0.0047</v>
      </c>
    </row>
    <row r="4787">
      <c r="A4787" t="n">
        <v>80</v>
      </c>
      <c r="B4787" t="n">
        <v>1955</v>
      </c>
      <c r="C4787" t="n">
        <v>0.0034</v>
      </c>
    </row>
    <row r="4788">
      <c r="A4788" t="n">
        <v>80</v>
      </c>
      <c r="B4788" t="n">
        <v>1956</v>
      </c>
      <c r="C4788" t="n">
        <v>0.0022</v>
      </c>
    </row>
    <row r="4789">
      <c r="A4789" t="n">
        <v>80</v>
      </c>
      <c r="B4789" t="n">
        <v>1957</v>
      </c>
      <c r="C4789" t="n">
        <v>0.0011</v>
      </c>
    </row>
    <row r="4790">
      <c r="A4790" t="n">
        <v>80</v>
      </c>
      <c r="B4790" t="n">
        <v>1958</v>
      </c>
      <c r="C4790" t="n">
        <v>0.0001</v>
      </c>
    </row>
    <row r="4791">
      <c r="A4791" t="n">
        <v>80</v>
      </c>
      <c r="B4791" t="n">
        <v>1959</v>
      </c>
      <c r="C4791" t="n">
        <v>-0.0007</v>
      </c>
    </row>
    <row r="4792">
      <c r="A4792" t="n">
        <v>80</v>
      </c>
      <c r="B4792" t="n">
        <v>1960</v>
      </c>
      <c r="C4792" t="n">
        <v>-0.0013</v>
      </c>
    </row>
    <row r="4793">
      <c r="A4793" t="n">
        <v>80</v>
      </c>
      <c r="B4793" t="n">
        <v>1961</v>
      </c>
      <c r="C4793" t="n">
        <v>-0.0017</v>
      </c>
    </row>
    <row r="4794">
      <c r="A4794" t="n">
        <v>80</v>
      </c>
      <c r="B4794" t="n">
        <v>1962</v>
      </c>
      <c r="C4794" t="n">
        <v>-0.0018</v>
      </c>
    </row>
    <row r="4795">
      <c r="A4795" t="n">
        <v>80</v>
      </c>
      <c r="B4795" t="n">
        <v>1963</v>
      </c>
      <c r="C4795" t="n">
        <v>-0.0016</v>
      </c>
    </row>
    <row r="4796">
      <c r="A4796" t="n">
        <v>80</v>
      </c>
      <c r="B4796" t="n">
        <v>1964</v>
      </c>
      <c r="C4796" t="n">
        <v>-0.0011</v>
      </c>
    </row>
    <row r="4797">
      <c r="A4797" t="n">
        <v>80</v>
      </c>
      <c r="B4797" t="n">
        <v>1965</v>
      </c>
      <c r="C4797" t="n">
        <v>-0.0003</v>
      </c>
    </row>
    <row r="4798">
      <c r="A4798" t="n">
        <v>80</v>
      </c>
      <c r="B4798" t="n">
        <v>1966</v>
      </c>
      <c r="C4798" t="n">
        <v>0.0009</v>
      </c>
    </row>
    <row r="4799">
      <c r="A4799" t="n">
        <v>80</v>
      </c>
      <c r="B4799" t="n">
        <v>1967</v>
      </c>
      <c r="C4799" t="n">
        <v>0.0024</v>
      </c>
    </row>
    <row r="4800">
      <c r="A4800" t="n">
        <v>80</v>
      </c>
      <c r="B4800" t="n">
        <v>1968</v>
      </c>
      <c r="C4800" t="n">
        <v>0.0041</v>
      </c>
    </row>
    <row r="4801">
      <c r="A4801" t="n">
        <v>80</v>
      </c>
      <c r="B4801" t="n">
        <v>1969</v>
      </c>
      <c r="C4801" t="n">
        <v>0.0061</v>
      </c>
    </row>
    <row r="4802">
      <c r="A4802" t="n">
        <v>80</v>
      </c>
      <c r="B4802" t="n">
        <v>1970</v>
      </c>
      <c r="C4802" t="n">
        <v>0.0081</v>
      </c>
    </row>
    <row r="4803">
      <c r="A4803" t="n">
        <v>80</v>
      </c>
      <c r="B4803" t="n">
        <v>1971</v>
      </c>
      <c r="C4803" t="n">
        <v>0.01</v>
      </c>
    </row>
    <row r="4804">
      <c r="A4804" t="n">
        <v>80</v>
      </c>
      <c r="B4804" t="n">
        <v>1972</v>
      </c>
      <c r="C4804" t="n">
        <v>0.0117</v>
      </c>
    </row>
    <row r="4805">
      <c r="A4805" t="n">
        <v>80</v>
      </c>
      <c r="B4805" t="n">
        <v>1973</v>
      </c>
      <c r="C4805" t="n">
        <v>0.013</v>
      </c>
    </row>
    <row r="4806">
      <c r="A4806" t="n">
        <v>80</v>
      </c>
      <c r="B4806" t="n">
        <v>1974</v>
      </c>
      <c r="C4806" t="n">
        <v>0.0138</v>
      </c>
    </row>
    <row r="4807">
      <c r="A4807" t="n">
        <v>80</v>
      </c>
      <c r="B4807" t="n">
        <v>1975</v>
      </c>
      <c r="C4807" t="n">
        <v>0.014</v>
      </c>
    </row>
    <row r="4808">
      <c r="A4808" t="n">
        <v>80</v>
      </c>
      <c r="B4808" t="n">
        <v>1976</v>
      </c>
      <c r="C4808" t="n">
        <v>0.0136</v>
      </c>
    </row>
    <row r="4809">
      <c r="A4809" t="n">
        <v>80</v>
      </c>
      <c r="B4809" t="n">
        <v>1977</v>
      </c>
      <c r="C4809" t="n">
        <v>0.0126</v>
      </c>
    </row>
    <row r="4810">
      <c r="A4810" t="n">
        <v>80</v>
      </c>
      <c r="B4810" t="n">
        <v>1978</v>
      </c>
      <c r="C4810" t="n">
        <v>0.0112</v>
      </c>
    </row>
    <row r="4811">
      <c r="A4811" t="n">
        <v>80</v>
      </c>
      <c r="B4811" t="n">
        <v>1979</v>
      </c>
      <c r="C4811" t="n">
        <v>0.009599999999999999</v>
      </c>
    </row>
    <row r="4812">
      <c r="A4812" t="n">
        <v>80</v>
      </c>
      <c r="B4812" t="n">
        <v>1980</v>
      </c>
      <c r="C4812" t="n">
        <v>0.008</v>
      </c>
    </row>
    <row r="4813">
      <c r="A4813" t="n">
        <v>80</v>
      </c>
      <c r="B4813" t="n">
        <v>1981</v>
      </c>
      <c r="C4813" t="n">
        <v>0.0066</v>
      </c>
    </row>
    <row r="4814">
      <c r="A4814" t="n">
        <v>80</v>
      </c>
      <c r="B4814" t="n">
        <v>1982</v>
      </c>
      <c r="C4814" t="n">
        <v>0.0056</v>
      </c>
    </row>
    <row r="4815">
      <c r="A4815" t="n">
        <v>80</v>
      </c>
      <c r="B4815" t="n">
        <v>1983</v>
      </c>
      <c r="C4815" t="n">
        <v>0.0051</v>
      </c>
    </row>
    <row r="4816">
      <c r="A4816" t="n">
        <v>80</v>
      </c>
      <c r="B4816" t="n">
        <v>1984</v>
      </c>
      <c r="C4816" t="n">
        <v>0.0052</v>
      </c>
    </row>
    <row r="4817">
      <c r="A4817" t="n">
        <v>80</v>
      </c>
      <c r="B4817" t="n">
        <v>1985</v>
      </c>
      <c r="C4817" t="n">
        <v>0.0058</v>
      </c>
    </row>
    <row r="4818">
      <c r="A4818" t="n">
        <v>80</v>
      </c>
      <c r="B4818" t="n">
        <v>1986</v>
      </c>
      <c r="C4818" t="n">
        <v>0.0068</v>
      </c>
    </row>
    <row r="4819">
      <c r="A4819" t="n">
        <v>80</v>
      </c>
      <c r="B4819" t="n">
        <v>1987</v>
      </c>
      <c r="C4819" t="n">
        <v>0.008</v>
      </c>
    </row>
    <row r="4820">
      <c r="A4820" t="n">
        <v>80</v>
      </c>
      <c r="B4820" t="n">
        <v>1988</v>
      </c>
      <c r="C4820" t="n">
        <v>0.009299999999999999</v>
      </c>
    </row>
    <row r="4821">
      <c r="A4821" t="n">
        <v>80</v>
      </c>
      <c r="B4821" t="n">
        <v>1989</v>
      </c>
      <c r="C4821" t="n">
        <v>0.0102</v>
      </c>
    </row>
    <row r="4822">
      <c r="A4822" t="n">
        <v>80</v>
      </c>
      <c r="B4822" t="n">
        <v>1990</v>
      </c>
      <c r="C4822" t="n">
        <v>0.0108</v>
      </c>
    </row>
    <row r="4823">
      <c r="A4823" t="n">
        <v>80</v>
      </c>
      <c r="B4823" t="n">
        <v>1991</v>
      </c>
      <c r="C4823" t="n">
        <v>0.011</v>
      </c>
    </row>
    <row r="4824">
      <c r="A4824" t="n">
        <v>80</v>
      </c>
      <c r="B4824" t="n">
        <v>1992</v>
      </c>
      <c r="C4824" t="n">
        <v>0.0109</v>
      </c>
    </row>
    <row r="4825">
      <c r="A4825" t="n">
        <v>80</v>
      </c>
      <c r="B4825" t="n">
        <v>1993</v>
      </c>
      <c r="C4825" t="n">
        <v>0.0105</v>
      </c>
    </row>
    <row r="4826">
      <c r="A4826" t="n">
        <v>80</v>
      </c>
      <c r="B4826" t="n">
        <v>1994</v>
      </c>
      <c r="C4826" t="n">
        <v>0.0103</v>
      </c>
    </row>
    <row r="4827">
      <c r="A4827" t="n">
        <v>80</v>
      </c>
      <c r="B4827" t="n">
        <v>1995</v>
      </c>
      <c r="C4827" t="n">
        <v>0.0102</v>
      </c>
    </row>
    <row r="4828">
      <c r="A4828" t="n">
        <v>80</v>
      </c>
      <c r="B4828" t="n">
        <v>1996</v>
      </c>
      <c r="C4828" t="n">
        <v>0.0104</v>
      </c>
    </row>
    <row r="4829">
      <c r="A4829" t="n">
        <v>80</v>
      </c>
      <c r="B4829" t="n">
        <v>1997</v>
      </c>
      <c r="C4829" t="n">
        <v>0.011</v>
      </c>
    </row>
    <row r="4830">
      <c r="A4830" t="n">
        <v>80</v>
      </c>
      <c r="B4830" t="n">
        <v>1998</v>
      </c>
      <c r="C4830" t="n">
        <v>0.0121</v>
      </c>
    </row>
    <row r="4831">
      <c r="A4831" t="n">
        <v>80</v>
      </c>
      <c r="B4831" t="n">
        <v>1999</v>
      </c>
      <c r="C4831" t="n">
        <v>0.0136</v>
      </c>
    </row>
    <row r="4832">
      <c r="A4832" t="n">
        <v>80</v>
      </c>
      <c r="B4832" t="n">
        <v>2000</v>
      </c>
      <c r="C4832" t="n">
        <v>0.0154</v>
      </c>
    </row>
    <row r="4833">
      <c r="A4833" t="n">
        <v>80</v>
      </c>
      <c r="B4833" t="n">
        <v>2001</v>
      </c>
      <c r="C4833" t="n">
        <v>0.0174</v>
      </c>
    </row>
    <row r="4834">
      <c r="A4834" t="n">
        <v>80</v>
      </c>
      <c r="B4834" t="n">
        <v>2002</v>
      </c>
      <c r="C4834" t="n">
        <v>0.0193</v>
      </c>
    </row>
    <row r="4835">
      <c r="A4835" t="n">
        <v>80</v>
      </c>
      <c r="B4835" t="n">
        <v>2003</v>
      </c>
      <c r="C4835" t="n">
        <v>0.021</v>
      </c>
    </row>
    <row r="4836">
      <c r="A4836" t="n">
        <v>80</v>
      </c>
      <c r="B4836" t="n">
        <v>2004</v>
      </c>
      <c r="C4836" t="n">
        <v>0.0223</v>
      </c>
    </row>
    <row r="4837">
      <c r="A4837" t="n">
        <v>80</v>
      </c>
      <c r="B4837" t="n">
        <v>2005</v>
      </c>
      <c r="C4837" t="n">
        <v>0.023</v>
      </c>
    </row>
    <row r="4838">
      <c r="A4838" t="n">
        <v>80</v>
      </c>
      <c r="B4838" t="n">
        <v>2006</v>
      </c>
      <c r="C4838" t="n">
        <v>0.023</v>
      </c>
    </row>
    <row r="4839">
      <c r="A4839" t="n">
        <v>80</v>
      </c>
      <c r="B4839" t="n">
        <v>2007</v>
      </c>
      <c r="C4839" t="n">
        <v>0.0224</v>
      </c>
    </row>
    <row r="4840">
      <c r="A4840" t="n">
        <v>80</v>
      </c>
      <c r="B4840" t="n">
        <v>2008</v>
      </c>
      <c r="C4840" t="n">
        <v>0.0212</v>
      </c>
    </row>
    <row r="4841">
      <c r="A4841" t="n">
        <v>80</v>
      </c>
      <c r="B4841" t="n">
        <v>2009</v>
      </c>
      <c r="C4841" t="n">
        <v>0.0194</v>
      </c>
    </row>
    <row r="4842">
      <c r="A4842" t="n">
        <v>80</v>
      </c>
      <c r="B4842" t="n">
        <v>2010</v>
      </c>
      <c r="C4842" t="n">
        <v>0.0172</v>
      </c>
    </row>
    <row r="4843">
      <c r="A4843" t="n">
        <v>80</v>
      </c>
      <c r="B4843" t="n">
        <v>2011</v>
      </c>
      <c r="C4843" t="n">
        <v>0.0148</v>
      </c>
    </row>
    <row r="4844">
      <c r="A4844" t="n">
        <v>80</v>
      </c>
      <c r="B4844" t="n">
        <v>2012</v>
      </c>
      <c r="C4844" t="n">
        <v>0.0123</v>
      </c>
    </row>
    <row r="4845">
      <c r="A4845" t="n">
        <v>80</v>
      </c>
      <c r="B4845" t="n">
        <v>2013</v>
      </c>
      <c r="C4845" t="n">
        <v>0.0124</v>
      </c>
    </row>
    <row r="4846">
      <c r="A4846" t="n">
        <v>80</v>
      </c>
      <c r="B4846" t="n">
        <v>2014</v>
      </c>
      <c r="C4846" t="n">
        <v>0.0124</v>
      </c>
    </row>
    <row r="4847">
      <c r="A4847" t="n">
        <v>80</v>
      </c>
      <c r="B4847" t="n">
        <v>2015</v>
      </c>
      <c r="C4847" t="n">
        <v>0.0123</v>
      </c>
    </row>
    <row r="4848">
      <c r="A4848" t="n">
        <v>80</v>
      </c>
      <c r="B4848" t="n">
        <v>2016</v>
      </c>
      <c r="C4848" t="n">
        <v>0.0121</v>
      </c>
    </row>
    <row r="4849">
      <c r="A4849" t="n">
        <v>80</v>
      </c>
      <c r="B4849" t="n">
        <v>2017</v>
      </c>
      <c r="C4849" t="n">
        <v>0.0119</v>
      </c>
    </row>
    <row r="4850">
      <c r="A4850" t="n">
        <v>80</v>
      </c>
      <c r="B4850" t="n">
        <v>2018</v>
      </c>
      <c r="C4850" t="n">
        <v>0.0115</v>
      </c>
    </row>
    <row r="4851">
      <c r="A4851" t="n">
        <v>80</v>
      </c>
      <c r="B4851" t="n">
        <v>2019</v>
      </c>
      <c r="C4851" t="n">
        <v>0.0112</v>
      </c>
    </row>
    <row r="4852">
      <c r="A4852" t="n">
        <v>80</v>
      </c>
      <c r="B4852" t="n">
        <v>2020</v>
      </c>
      <c r="C4852" t="n">
        <v>0.0109</v>
      </c>
    </row>
    <row r="4853">
      <c r="A4853" t="n">
        <v>80</v>
      </c>
      <c r="B4853" t="n">
        <v>2021</v>
      </c>
      <c r="C4853" t="n">
        <v>0.0105</v>
      </c>
    </row>
    <row r="4854">
      <c r="A4854" t="n">
        <v>80</v>
      </c>
      <c r="B4854" t="n">
        <v>2022</v>
      </c>
      <c r="C4854" t="n">
        <v>0.0102</v>
      </c>
    </row>
    <row r="4855">
      <c r="A4855" t="n">
        <v>80</v>
      </c>
      <c r="B4855" t="n">
        <v>2023</v>
      </c>
      <c r="C4855" t="n">
        <v>0.009900000000000001</v>
      </c>
    </row>
    <row r="4856">
      <c r="A4856" t="n">
        <v>80</v>
      </c>
      <c r="B4856" t="n">
        <v>2024</v>
      </c>
      <c r="C4856" t="n">
        <v>0.0097</v>
      </c>
    </row>
    <row r="4857">
      <c r="A4857" t="n">
        <v>80</v>
      </c>
      <c r="B4857" t="n">
        <v>2025</v>
      </c>
      <c r="C4857" t="n">
        <v>0.0095</v>
      </c>
    </row>
    <row r="4858">
      <c r="A4858" t="n">
        <v>80</v>
      </c>
      <c r="B4858" t="n">
        <v>2026</v>
      </c>
      <c r="C4858" t="n">
        <v>0.0094</v>
      </c>
    </row>
    <row r="4859">
      <c r="A4859" t="n">
        <v>80</v>
      </c>
      <c r="B4859" t="n">
        <v>2027</v>
      </c>
      <c r="C4859" t="n">
        <v>0.0095</v>
      </c>
    </row>
    <row r="4860">
      <c r="A4860" t="n">
        <v>80</v>
      </c>
      <c r="B4860" t="n">
        <v>2028</v>
      </c>
      <c r="C4860" t="n">
        <v>0.0095</v>
      </c>
    </row>
    <row r="4861">
      <c r="A4861" t="n">
        <v>80</v>
      </c>
      <c r="B4861" t="n">
        <v>2029</v>
      </c>
      <c r="C4861" t="n">
        <v>0.0097</v>
      </c>
    </row>
    <row r="4862">
      <c r="A4862" t="n">
        <v>80</v>
      </c>
      <c r="B4862" t="n">
        <v>2030</v>
      </c>
      <c r="C4862" t="n">
        <v>0.0098</v>
      </c>
    </row>
    <row r="4863">
      <c r="A4863" t="n">
        <v>80</v>
      </c>
      <c r="B4863" t="n">
        <v>2031</v>
      </c>
      <c r="C4863" t="n">
        <v>0.009900000000000001</v>
      </c>
    </row>
    <row r="4864">
      <c r="A4864" t="n">
        <v>81</v>
      </c>
      <c r="B4864" t="n">
        <v>1951</v>
      </c>
      <c r="C4864" t="n">
        <v>0.0077</v>
      </c>
    </row>
    <row r="4865">
      <c r="A4865" t="n">
        <v>81</v>
      </c>
      <c r="B4865" t="n">
        <v>1952</v>
      </c>
      <c r="C4865" t="n">
        <v>0.0065</v>
      </c>
    </row>
    <row r="4866">
      <c r="A4866" t="n">
        <v>81</v>
      </c>
      <c r="B4866" t="n">
        <v>1953</v>
      </c>
      <c r="C4866" t="n">
        <v>0.0053</v>
      </c>
    </row>
    <row r="4867">
      <c r="A4867" t="n">
        <v>81</v>
      </c>
      <c r="B4867" t="n">
        <v>1954</v>
      </c>
      <c r="C4867" t="n">
        <v>0.0041</v>
      </c>
    </row>
    <row r="4868">
      <c r="A4868" t="n">
        <v>81</v>
      </c>
      <c r="B4868" t="n">
        <v>1955</v>
      </c>
      <c r="C4868" t="n">
        <v>0.0028</v>
      </c>
    </row>
    <row r="4869">
      <c r="A4869" t="n">
        <v>81</v>
      </c>
      <c r="B4869" t="n">
        <v>1956</v>
      </c>
      <c r="C4869" t="n">
        <v>0.0017</v>
      </c>
    </row>
    <row r="4870">
      <c r="A4870" t="n">
        <v>81</v>
      </c>
      <c r="B4870" t="n">
        <v>1957</v>
      </c>
      <c r="C4870" t="n">
        <v>0.0005999999999999999</v>
      </c>
    </row>
    <row r="4871">
      <c r="A4871" t="n">
        <v>81</v>
      </c>
      <c r="B4871" t="n">
        <v>1958</v>
      </c>
      <c r="C4871" t="n">
        <v>-0.0003</v>
      </c>
    </row>
    <row r="4872">
      <c r="A4872" t="n">
        <v>81</v>
      </c>
      <c r="B4872" t="n">
        <v>1959</v>
      </c>
      <c r="C4872" t="n">
        <v>-0.001</v>
      </c>
    </row>
    <row r="4873">
      <c r="A4873" t="n">
        <v>81</v>
      </c>
      <c r="B4873" t="n">
        <v>1960</v>
      </c>
      <c r="C4873" t="n">
        <v>-0.0015</v>
      </c>
    </row>
    <row r="4874">
      <c r="A4874" t="n">
        <v>81</v>
      </c>
      <c r="B4874" t="n">
        <v>1961</v>
      </c>
      <c r="C4874" t="n">
        <v>-0.0018</v>
      </c>
    </row>
    <row r="4875">
      <c r="A4875" t="n">
        <v>81</v>
      </c>
      <c r="B4875" t="n">
        <v>1962</v>
      </c>
      <c r="C4875" t="n">
        <v>-0.0017</v>
      </c>
    </row>
    <row r="4876">
      <c r="A4876" t="n">
        <v>81</v>
      </c>
      <c r="B4876" t="n">
        <v>1963</v>
      </c>
      <c r="C4876" t="n">
        <v>-0.0014</v>
      </c>
    </row>
    <row r="4877">
      <c r="A4877" t="n">
        <v>81</v>
      </c>
      <c r="B4877" t="n">
        <v>1964</v>
      </c>
      <c r="C4877" t="n">
        <v>-0.0008</v>
      </c>
    </row>
    <row r="4878">
      <c r="A4878" t="n">
        <v>81</v>
      </c>
      <c r="B4878" t="n">
        <v>1965</v>
      </c>
      <c r="C4878" t="n">
        <v>0.0002</v>
      </c>
    </row>
    <row r="4879">
      <c r="A4879" t="n">
        <v>81</v>
      </c>
      <c r="B4879" t="n">
        <v>1966</v>
      </c>
      <c r="C4879" t="n">
        <v>0.0014</v>
      </c>
    </row>
    <row r="4880">
      <c r="A4880" t="n">
        <v>81</v>
      </c>
      <c r="B4880" t="n">
        <v>1967</v>
      </c>
      <c r="C4880" t="n">
        <v>0.0029</v>
      </c>
    </row>
    <row r="4881">
      <c r="A4881" t="n">
        <v>81</v>
      </c>
      <c r="B4881" t="n">
        <v>1968</v>
      </c>
      <c r="C4881" t="n">
        <v>0.0046</v>
      </c>
    </row>
    <row r="4882">
      <c r="A4882" t="n">
        <v>81</v>
      </c>
      <c r="B4882" t="n">
        <v>1969</v>
      </c>
      <c r="C4882" t="n">
        <v>0.0065</v>
      </c>
    </row>
    <row r="4883">
      <c r="A4883" t="n">
        <v>81</v>
      </c>
      <c r="B4883" t="n">
        <v>1970</v>
      </c>
      <c r="C4883" t="n">
        <v>0.008399999999999999</v>
      </c>
    </row>
    <row r="4884">
      <c r="A4884" t="n">
        <v>81</v>
      </c>
      <c r="B4884" t="n">
        <v>1971</v>
      </c>
      <c r="C4884" t="n">
        <v>0.0103</v>
      </c>
    </row>
    <row r="4885">
      <c r="A4885" t="n">
        <v>81</v>
      </c>
      <c r="B4885" t="n">
        <v>1972</v>
      </c>
      <c r="C4885" t="n">
        <v>0.0119</v>
      </c>
    </row>
    <row r="4886">
      <c r="A4886" t="n">
        <v>81</v>
      </c>
      <c r="B4886" t="n">
        <v>1973</v>
      </c>
      <c r="C4886" t="n">
        <v>0.0131</v>
      </c>
    </row>
    <row r="4887">
      <c r="A4887" t="n">
        <v>81</v>
      </c>
      <c r="B4887" t="n">
        <v>1974</v>
      </c>
      <c r="C4887" t="n">
        <v>0.0139</v>
      </c>
    </row>
    <row r="4888">
      <c r="A4888" t="n">
        <v>81</v>
      </c>
      <c r="B4888" t="n">
        <v>1975</v>
      </c>
      <c r="C4888" t="n">
        <v>0.014</v>
      </c>
    </row>
    <row r="4889">
      <c r="A4889" t="n">
        <v>81</v>
      </c>
      <c r="B4889" t="n">
        <v>1976</v>
      </c>
      <c r="C4889" t="n">
        <v>0.0136</v>
      </c>
    </row>
    <row r="4890">
      <c r="A4890" t="n">
        <v>81</v>
      </c>
      <c r="B4890" t="n">
        <v>1977</v>
      </c>
      <c r="C4890" t="n">
        <v>0.0126</v>
      </c>
    </row>
    <row r="4891">
      <c r="A4891" t="n">
        <v>81</v>
      </c>
      <c r="B4891" t="n">
        <v>1978</v>
      </c>
      <c r="C4891" t="n">
        <v>0.0112</v>
      </c>
    </row>
    <row r="4892">
      <c r="A4892" t="n">
        <v>81</v>
      </c>
      <c r="B4892" t="n">
        <v>1979</v>
      </c>
      <c r="C4892" t="n">
        <v>0.009599999999999999</v>
      </c>
    </row>
    <row r="4893">
      <c r="A4893" t="n">
        <v>81</v>
      </c>
      <c r="B4893" t="n">
        <v>1980</v>
      </c>
      <c r="C4893" t="n">
        <v>0.007900000000000001</v>
      </c>
    </row>
    <row r="4894">
      <c r="A4894" t="n">
        <v>81</v>
      </c>
      <c r="B4894" t="n">
        <v>1981</v>
      </c>
      <c r="C4894" t="n">
        <v>0.0065</v>
      </c>
    </row>
    <row r="4895">
      <c r="A4895" t="n">
        <v>81</v>
      </c>
      <c r="B4895" t="n">
        <v>1982</v>
      </c>
      <c r="C4895" t="n">
        <v>0.0054</v>
      </c>
    </row>
    <row r="4896">
      <c r="A4896" t="n">
        <v>81</v>
      </c>
      <c r="B4896" t="n">
        <v>1983</v>
      </c>
      <c r="C4896" t="n">
        <v>0.0048</v>
      </c>
    </row>
    <row r="4897">
      <c r="A4897" t="n">
        <v>81</v>
      </c>
      <c r="B4897" t="n">
        <v>1984</v>
      </c>
      <c r="C4897" t="n">
        <v>0.0046</v>
      </c>
    </row>
    <row r="4898">
      <c r="A4898" t="n">
        <v>81</v>
      </c>
      <c r="B4898" t="n">
        <v>1985</v>
      </c>
      <c r="C4898" t="n">
        <v>0.005</v>
      </c>
    </row>
    <row r="4899">
      <c r="A4899" t="n">
        <v>81</v>
      </c>
      <c r="B4899" t="n">
        <v>1986</v>
      </c>
      <c r="C4899" t="n">
        <v>0.0059</v>
      </c>
    </row>
    <row r="4900">
      <c r="A4900" t="n">
        <v>81</v>
      </c>
      <c r="B4900" t="n">
        <v>1987</v>
      </c>
      <c r="C4900" t="n">
        <v>0.0069</v>
      </c>
    </row>
    <row r="4901">
      <c r="A4901" t="n">
        <v>81</v>
      </c>
      <c r="B4901" t="n">
        <v>1988</v>
      </c>
      <c r="C4901" t="n">
        <v>0.007900000000000001</v>
      </c>
    </row>
    <row r="4902">
      <c r="A4902" t="n">
        <v>81</v>
      </c>
      <c r="B4902" t="n">
        <v>1989</v>
      </c>
      <c r="C4902" t="n">
        <v>0.008800000000000001</v>
      </c>
    </row>
    <row r="4903">
      <c r="A4903" t="n">
        <v>81</v>
      </c>
      <c r="B4903" t="n">
        <v>1990</v>
      </c>
      <c r="C4903" t="n">
        <v>0.0094</v>
      </c>
    </row>
    <row r="4904">
      <c r="A4904" t="n">
        <v>81</v>
      </c>
      <c r="B4904" t="n">
        <v>1991</v>
      </c>
      <c r="C4904" t="n">
        <v>0.009599999999999999</v>
      </c>
    </row>
    <row r="4905">
      <c r="A4905" t="n">
        <v>81</v>
      </c>
      <c r="B4905" t="n">
        <v>1992</v>
      </c>
      <c r="C4905" t="n">
        <v>0.0095</v>
      </c>
    </row>
    <row r="4906">
      <c r="A4906" t="n">
        <v>81</v>
      </c>
      <c r="B4906" t="n">
        <v>1993</v>
      </c>
      <c r="C4906" t="n">
        <v>0.009299999999999999</v>
      </c>
    </row>
    <row r="4907">
      <c r="A4907" t="n">
        <v>81</v>
      </c>
      <c r="B4907" t="n">
        <v>1994</v>
      </c>
      <c r="C4907" t="n">
        <v>0.0091</v>
      </c>
    </row>
    <row r="4908">
      <c r="A4908" t="n">
        <v>81</v>
      </c>
      <c r="B4908" t="n">
        <v>1995</v>
      </c>
      <c r="C4908" t="n">
        <v>0.0092</v>
      </c>
    </row>
    <row r="4909">
      <c r="A4909" t="n">
        <v>81</v>
      </c>
      <c r="B4909" t="n">
        <v>1996</v>
      </c>
      <c r="C4909" t="n">
        <v>0.0095</v>
      </c>
    </row>
    <row r="4910">
      <c r="A4910" t="n">
        <v>81</v>
      </c>
      <c r="B4910" t="n">
        <v>1997</v>
      </c>
      <c r="C4910" t="n">
        <v>0.0103</v>
      </c>
    </row>
    <row r="4911">
      <c r="A4911" t="n">
        <v>81</v>
      </c>
      <c r="B4911" t="n">
        <v>1998</v>
      </c>
      <c r="C4911" t="n">
        <v>0.0114</v>
      </c>
    </row>
    <row r="4912">
      <c r="A4912" t="n">
        <v>81</v>
      </c>
      <c r="B4912" t="n">
        <v>1999</v>
      </c>
      <c r="C4912" t="n">
        <v>0.013</v>
      </c>
    </row>
    <row r="4913">
      <c r="A4913" t="n">
        <v>81</v>
      </c>
      <c r="B4913" t="n">
        <v>2000</v>
      </c>
      <c r="C4913" t="n">
        <v>0.0148</v>
      </c>
    </row>
    <row r="4914">
      <c r="A4914" t="n">
        <v>81</v>
      </c>
      <c r="B4914" t="n">
        <v>2001</v>
      </c>
      <c r="C4914" t="n">
        <v>0.0167</v>
      </c>
    </row>
    <row r="4915">
      <c r="A4915" t="n">
        <v>81</v>
      </c>
      <c r="B4915" t="n">
        <v>2002</v>
      </c>
      <c r="C4915" t="n">
        <v>0.0186</v>
      </c>
    </row>
    <row r="4916">
      <c r="A4916" t="n">
        <v>81</v>
      </c>
      <c r="B4916" t="n">
        <v>2003</v>
      </c>
      <c r="C4916" t="n">
        <v>0.0203</v>
      </c>
    </row>
    <row r="4917">
      <c r="A4917" t="n">
        <v>81</v>
      </c>
      <c r="B4917" t="n">
        <v>2004</v>
      </c>
      <c r="C4917" t="n">
        <v>0.0215</v>
      </c>
    </row>
    <row r="4918">
      <c r="A4918" t="n">
        <v>81</v>
      </c>
      <c r="B4918" t="n">
        <v>2005</v>
      </c>
      <c r="C4918" t="n">
        <v>0.0222</v>
      </c>
    </row>
    <row r="4919">
      <c r="A4919" t="n">
        <v>81</v>
      </c>
      <c r="B4919" t="n">
        <v>2006</v>
      </c>
      <c r="C4919" t="n">
        <v>0.0222</v>
      </c>
    </row>
    <row r="4920">
      <c r="A4920" t="n">
        <v>81</v>
      </c>
      <c r="B4920" t="n">
        <v>2007</v>
      </c>
      <c r="C4920" t="n">
        <v>0.0216</v>
      </c>
    </row>
    <row r="4921">
      <c r="A4921" t="n">
        <v>81</v>
      </c>
      <c r="B4921" t="n">
        <v>2008</v>
      </c>
      <c r="C4921" t="n">
        <v>0.0204</v>
      </c>
    </row>
    <row r="4922">
      <c r="A4922" t="n">
        <v>81</v>
      </c>
      <c r="B4922" t="n">
        <v>2009</v>
      </c>
      <c r="C4922" t="n">
        <v>0.0188</v>
      </c>
    </row>
    <row r="4923">
      <c r="A4923" t="n">
        <v>81</v>
      </c>
      <c r="B4923" t="n">
        <v>2010</v>
      </c>
      <c r="C4923" t="n">
        <v>0.0167</v>
      </c>
    </row>
    <row r="4924">
      <c r="A4924" t="n">
        <v>81</v>
      </c>
      <c r="B4924" t="n">
        <v>2011</v>
      </c>
      <c r="C4924" t="n">
        <v>0.0144</v>
      </c>
    </row>
    <row r="4925">
      <c r="A4925" t="n">
        <v>81</v>
      </c>
      <c r="B4925" t="n">
        <v>2012</v>
      </c>
      <c r="C4925" t="n">
        <v>0.0119</v>
      </c>
    </row>
    <row r="4926">
      <c r="A4926" t="n">
        <v>81</v>
      </c>
      <c r="B4926" t="n">
        <v>2013</v>
      </c>
      <c r="C4926" t="n">
        <v>0.012</v>
      </c>
    </row>
    <row r="4927">
      <c r="A4927" t="n">
        <v>81</v>
      </c>
      <c r="B4927" t="n">
        <v>2014</v>
      </c>
      <c r="C4927" t="n">
        <v>0.0121</v>
      </c>
    </row>
    <row r="4928">
      <c r="A4928" t="n">
        <v>81</v>
      </c>
      <c r="B4928" t="n">
        <v>2015</v>
      </c>
      <c r="C4928" t="n">
        <v>0.012</v>
      </c>
    </row>
    <row r="4929">
      <c r="A4929" t="n">
        <v>81</v>
      </c>
      <c r="B4929" t="n">
        <v>2016</v>
      </c>
      <c r="C4929" t="n">
        <v>0.0119</v>
      </c>
    </row>
    <row r="4930">
      <c r="A4930" t="n">
        <v>81</v>
      </c>
      <c r="B4930" t="n">
        <v>2017</v>
      </c>
      <c r="C4930" t="n">
        <v>0.0117</v>
      </c>
    </row>
    <row r="4931">
      <c r="A4931" t="n">
        <v>81</v>
      </c>
      <c r="B4931" t="n">
        <v>2018</v>
      </c>
      <c r="C4931" t="n">
        <v>0.0115</v>
      </c>
    </row>
    <row r="4932">
      <c r="A4932" t="n">
        <v>81</v>
      </c>
      <c r="B4932" t="n">
        <v>2019</v>
      </c>
      <c r="C4932" t="n">
        <v>0.0112</v>
      </c>
    </row>
    <row r="4933">
      <c r="A4933" t="n">
        <v>81</v>
      </c>
      <c r="B4933" t="n">
        <v>2020</v>
      </c>
      <c r="C4933" t="n">
        <v>0.0109</v>
      </c>
    </row>
    <row r="4934">
      <c r="A4934" t="n">
        <v>81</v>
      </c>
      <c r="B4934" t="n">
        <v>2021</v>
      </c>
      <c r="C4934" t="n">
        <v>0.0106</v>
      </c>
    </row>
    <row r="4935">
      <c r="A4935" t="n">
        <v>81</v>
      </c>
      <c r="B4935" t="n">
        <v>2022</v>
      </c>
      <c r="C4935" t="n">
        <v>0.0104</v>
      </c>
    </row>
    <row r="4936">
      <c r="A4936" t="n">
        <v>81</v>
      </c>
      <c r="B4936" t="n">
        <v>2023</v>
      </c>
      <c r="C4936" t="n">
        <v>0.0101</v>
      </c>
    </row>
    <row r="4937">
      <c r="A4937" t="n">
        <v>81</v>
      </c>
      <c r="B4937" t="n">
        <v>2024</v>
      </c>
      <c r="C4937" t="n">
        <v>0.009900000000000001</v>
      </c>
    </row>
    <row r="4938">
      <c r="A4938" t="n">
        <v>81</v>
      </c>
      <c r="B4938" t="n">
        <v>2025</v>
      </c>
      <c r="C4938" t="n">
        <v>0.0097</v>
      </c>
    </row>
    <row r="4939">
      <c r="A4939" t="n">
        <v>81</v>
      </c>
      <c r="B4939" t="n">
        <v>2026</v>
      </c>
      <c r="C4939" t="n">
        <v>0.009599999999999999</v>
      </c>
    </row>
    <row r="4940">
      <c r="A4940" t="n">
        <v>81</v>
      </c>
      <c r="B4940" t="n">
        <v>2027</v>
      </c>
      <c r="C4940" t="n">
        <v>0.009599999999999999</v>
      </c>
    </row>
    <row r="4941">
      <c r="A4941" t="n">
        <v>81</v>
      </c>
      <c r="B4941" t="n">
        <v>2028</v>
      </c>
      <c r="C4941" t="n">
        <v>0.009599999999999999</v>
      </c>
    </row>
    <row r="4942">
      <c r="A4942" t="n">
        <v>81</v>
      </c>
      <c r="B4942" t="n">
        <v>2029</v>
      </c>
      <c r="C4942" t="n">
        <v>0.0097</v>
      </c>
    </row>
    <row r="4943">
      <c r="A4943" t="n">
        <v>81</v>
      </c>
      <c r="B4943" t="n">
        <v>2030</v>
      </c>
      <c r="C4943" t="n">
        <v>0.0098</v>
      </c>
    </row>
    <row r="4944">
      <c r="A4944" t="n">
        <v>81</v>
      </c>
      <c r="B4944" t="n">
        <v>2031</v>
      </c>
      <c r="C4944" t="n">
        <v>0.01</v>
      </c>
    </row>
    <row r="4945">
      <c r="A4945" t="n">
        <v>82</v>
      </c>
      <c r="B4945" t="n">
        <v>1951</v>
      </c>
      <c r="C4945" t="n">
        <v>0.0069</v>
      </c>
    </row>
    <row r="4946">
      <c r="A4946" t="n">
        <v>82</v>
      </c>
      <c r="B4946" t="n">
        <v>1952</v>
      </c>
      <c r="C4946" t="n">
        <v>0.0057</v>
      </c>
    </row>
    <row r="4947">
      <c r="A4947" t="n">
        <v>82</v>
      </c>
      <c r="B4947" t="n">
        <v>1953</v>
      </c>
      <c r="C4947" t="n">
        <v>0.0045</v>
      </c>
    </row>
    <row r="4948">
      <c r="A4948" t="n">
        <v>82</v>
      </c>
      <c r="B4948" t="n">
        <v>1954</v>
      </c>
      <c r="C4948" t="n">
        <v>0.0033</v>
      </c>
    </row>
    <row r="4949">
      <c r="A4949" t="n">
        <v>82</v>
      </c>
      <c r="B4949" t="n">
        <v>1955</v>
      </c>
      <c r="C4949" t="n">
        <v>0.0021</v>
      </c>
    </row>
    <row r="4950">
      <c r="A4950" t="n">
        <v>82</v>
      </c>
      <c r="B4950" t="n">
        <v>1956</v>
      </c>
      <c r="C4950" t="n">
        <v>0.001</v>
      </c>
    </row>
    <row r="4951">
      <c r="A4951" t="n">
        <v>82</v>
      </c>
      <c r="B4951" t="n">
        <v>1957</v>
      </c>
      <c r="C4951" t="n">
        <v>0</v>
      </c>
    </row>
    <row r="4952">
      <c r="A4952" t="n">
        <v>82</v>
      </c>
      <c r="B4952" t="n">
        <v>1958</v>
      </c>
      <c r="C4952" t="n">
        <v>-0.0008</v>
      </c>
    </row>
    <row r="4953">
      <c r="A4953" t="n">
        <v>82</v>
      </c>
      <c r="B4953" t="n">
        <v>1959</v>
      </c>
      <c r="C4953" t="n">
        <v>-0.0014</v>
      </c>
    </row>
    <row r="4954">
      <c r="A4954" t="n">
        <v>82</v>
      </c>
      <c r="B4954" t="n">
        <v>1960</v>
      </c>
      <c r="C4954" t="n">
        <v>-0.0018</v>
      </c>
    </row>
    <row r="4955">
      <c r="A4955" t="n">
        <v>82</v>
      </c>
      <c r="B4955" t="n">
        <v>1961</v>
      </c>
      <c r="C4955" t="n">
        <v>-0.0019</v>
      </c>
    </row>
    <row r="4956">
      <c r="A4956" t="n">
        <v>82</v>
      </c>
      <c r="B4956" t="n">
        <v>1962</v>
      </c>
      <c r="C4956" t="n">
        <v>-0.0017</v>
      </c>
    </row>
    <row r="4957">
      <c r="A4957" t="n">
        <v>82</v>
      </c>
      <c r="B4957" t="n">
        <v>1963</v>
      </c>
      <c r="C4957" t="n">
        <v>-0.0012</v>
      </c>
    </row>
    <row r="4958">
      <c r="A4958" t="n">
        <v>82</v>
      </c>
      <c r="B4958" t="n">
        <v>1964</v>
      </c>
      <c r="C4958" t="n">
        <v>-0.0004</v>
      </c>
    </row>
    <row r="4959">
      <c r="A4959" t="n">
        <v>82</v>
      </c>
      <c r="B4959" t="n">
        <v>1965</v>
      </c>
      <c r="C4959" t="n">
        <v>0.0005999999999999999</v>
      </c>
    </row>
    <row r="4960">
      <c r="A4960" t="n">
        <v>82</v>
      </c>
      <c r="B4960" t="n">
        <v>1966</v>
      </c>
      <c r="C4960" t="n">
        <v>0.0019</v>
      </c>
    </row>
    <row r="4961">
      <c r="A4961" t="n">
        <v>82</v>
      </c>
      <c r="B4961" t="n">
        <v>1967</v>
      </c>
      <c r="C4961" t="n">
        <v>0.0034</v>
      </c>
    </row>
    <row r="4962">
      <c r="A4962" t="n">
        <v>82</v>
      </c>
      <c r="B4962" t="n">
        <v>1968</v>
      </c>
      <c r="C4962" t="n">
        <v>0.0051</v>
      </c>
    </row>
    <row r="4963">
      <c r="A4963" t="n">
        <v>82</v>
      </c>
      <c r="B4963" t="n">
        <v>1969</v>
      </c>
      <c r="C4963" t="n">
        <v>0.007</v>
      </c>
    </row>
    <row r="4964">
      <c r="A4964" t="n">
        <v>82</v>
      </c>
      <c r="B4964" t="n">
        <v>1970</v>
      </c>
      <c r="C4964" t="n">
        <v>0.008800000000000001</v>
      </c>
    </row>
    <row r="4965">
      <c r="A4965" t="n">
        <v>82</v>
      </c>
      <c r="B4965" t="n">
        <v>1971</v>
      </c>
      <c r="C4965" t="n">
        <v>0.0106</v>
      </c>
    </row>
    <row r="4966">
      <c r="A4966" t="n">
        <v>82</v>
      </c>
      <c r="B4966" t="n">
        <v>1972</v>
      </c>
      <c r="C4966" t="n">
        <v>0.0121</v>
      </c>
    </row>
    <row r="4967">
      <c r="A4967" t="n">
        <v>82</v>
      </c>
      <c r="B4967" t="n">
        <v>1973</v>
      </c>
      <c r="C4967" t="n">
        <v>0.0132</v>
      </c>
    </row>
    <row r="4968">
      <c r="A4968" t="n">
        <v>82</v>
      </c>
      <c r="B4968" t="n">
        <v>1974</v>
      </c>
      <c r="C4968" t="n">
        <v>0.0139</v>
      </c>
    </row>
    <row r="4969">
      <c r="A4969" t="n">
        <v>82</v>
      </c>
      <c r="B4969" t="n">
        <v>1975</v>
      </c>
      <c r="C4969" t="n">
        <v>0.0141</v>
      </c>
    </row>
    <row r="4970">
      <c r="A4970" t="n">
        <v>82</v>
      </c>
      <c r="B4970" t="n">
        <v>1976</v>
      </c>
      <c r="C4970" t="n">
        <v>0.0136</v>
      </c>
    </row>
    <row r="4971">
      <c r="A4971" t="n">
        <v>82</v>
      </c>
      <c r="B4971" t="n">
        <v>1977</v>
      </c>
      <c r="C4971" t="n">
        <v>0.0126</v>
      </c>
    </row>
    <row r="4972">
      <c r="A4972" t="n">
        <v>82</v>
      </c>
      <c r="B4972" t="n">
        <v>1978</v>
      </c>
      <c r="C4972" t="n">
        <v>0.0112</v>
      </c>
    </row>
    <row r="4973">
      <c r="A4973" t="n">
        <v>82</v>
      </c>
      <c r="B4973" t="n">
        <v>1979</v>
      </c>
      <c r="C4973" t="n">
        <v>0.009599999999999999</v>
      </c>
    </row>
    <row r="4974">
      <c r="A4974" t="n">
        <v>82</v>
      </c>
      <c r="B4974" t="n">
        <v>1980</v>
      </c>
      <c r="C4974" t="n">
        <v>0.008</v>
      </c>
    </row>
    <row r="4975">
      <c r="A4975" t="n">
        <v>82</v>
      </c>
      <c r="B4975" t="n">
        <v>1981</v>
      </c>
      <c r="C4975" t="n">
        <v>0.0065</v>
      </c>
    </row>
    <row r="4976">
      <c r="A4976" t="n">
        <v>82</v>
      </c>
      <c r="B4976" t="n">
        <v>1982</v>
      </c>
      <c r="C4976" t="n">
        <v>0.0053</v>
      </c>
    </row>
    <row r="4977">
      <c r="A4977" t="n">
        <v>82</v>
      </c>
      <c r="B4977" t="n">
        <v>1983</v>
      </c>
      <c r="C4977" t="n">
        <v>0.0045</v>
      </c>
    </row>
    <row r="4978">
      <c r="A4978" t="n">
        <v>82</v>
      </c>
      <c r="B4978" t="n">
        <v>1984</v>
      </c>
      <c r="C4978" t="n">
        <v>0.0042</v>
      </c>
    </row>
    <row r="4979">
      <c r="A4979" t="n">
        <v>82</v>
      </c>
      <c r="B4979" t="n">
        <v>1985</v>
      </c>
      <c r="C4979" t="n">
        <v>0.0044</v>
      </c>
    </row>
    <row r="4980">
      <c r="A4980" t="n">
        <v>82</v>
      </c>
      <c r="B4980" t="n">
        <v>1986</v>
      </c>
      <c r="C4980" t="n">
        <v>0.0049</v>
      </c>
    </row>
    <row r="4981">
      <c r="A4981" t="n">
        <v>82</v>
      </c>
      <c r="B4981" t="n">
        <v>1987</v>
      </c>
      <c r="C4981" t="n">
        <v>0.0057</v>
      </c>
    </row>
    <row r="4982">
      <c r="A4982" t="n">
        <v>82</v>
      </c>
      <c r="B4982" t="n">
        <v>1988</v>
      </c>
      <c r="C4982" t="n">
        <v>0.0066</v>
      </c>
    </row>
    <row r="4983">
      <c r="A4983" t="n">
        <v>82</v>
      </c>
      <c r="B4983" t="n">
        <v>1989</v>
      </c>
      <c r="C4983" t="n">
        <v>0.0073</v>
      </c>
    </row>
    <row r="4984">
      <c r="A4984" t="n">
        <v>82</v>
      </c>
      <c r="B4984" t="n">
        <v>1990</v>
      </c>
      <c r="C4984" t="n">
        <v>0.0078</v>
      </c>
    </row>
    <row r="4985">
      <c r="A4985" t="n">
        <v>82</v>
      </c>
      <c r="B4985" t="n">
        <v>1991</v>
      </c>
      <c r="C4985" t="n">
        <v>0.008</v>
      </c>
    </row>
    <row r="4986">
      <c r="A4986" t="n">
        <v>82</v>
      </c>
      <c r="B4986" t="n">
        <v>1992</v>
      </c>
      <c r="C4986" t="n">
        <v>0.008</v>
      </c>
    </row>
    <row r="4987">
      <c r="A4987" t="n">
        <v>82</v>
      </c>
      <c r="B4987" t="n">
        <v>1993</v>
      </c>
      <c r="C4987" t="n">
        <v>0.007900000000000001</v>
      </c>
    </row>
    <row r="4988">
      <c r="A4988" t="n">
        <v>82</v>
      </c>
      <c r="B4988" t="n">
        <v>1994</v>
      </c>
      <c r="C4988" t="n">
        <v>0.007900000000000001</v>
      </c>
    </row>
    <row r="4989">
      <c r="A4989" t="n">
        <v>82</v>
      </c>
      <c r="B4989" t="n">
        <v>1995</v>
      </c>
      <c r="C4989" t="n">
        <v>0.0081</v>
      </c>
    </row>
    <row r="4990">
      <c r="A4990" t="n">
        <v>82</v>
      </c>
      <c r="B4990" t="n">
        <v>1996</v>
      </c>
      <c r="C4990" t="n">
        <v>0.008500000000000001</v>
      </c>
    </row>
    <row r="4991">
      <c r="A4991" t="n">
        <v>82</v>
      </c>
      <c r="B4991" t="n">
        <v>1997</v>
      </c>
      <c r="C4991" t="n">
        <v>0.0094</v>
      </c>
    </row>
    <row r="4992">
      <c r="A4992" t="n">
        <v>82</v>
      </c>
      <c r="B4992" t="n">
        <v>1998</v>
      </c>
      <c r="C4992" t="n">
        <v>0.0106</v>
      </c>
    </row>
    <row r="4993">
      <c r="A4993" t="n">
        <v>82</v>
      </c>
      <c r="B4993" t="n">
        <v>1999</v>
      </c>
      <c r="C4993" t="n">
        <v>0.0122</v>
      </c>
    </row>
    <row r="4994">
      <c r="A4994" t="n">
        <v>82</v>
      </c>
      <c r="B4994" t="n">
        <v>2000</v>
      </c>
      <c r="C4994" t="n">
        <v>0.0141</v>
      </c>
    </row>
    <row r="4995">
      <c r="A4995" t="n">
        <v>82</v>
      </c>
      <c r="B4995" t="n">
        <v>2001</v>
      </c>
      <c r="C4995" t="n">
        <v>0.016</v>
      </c>
    </row>
    <row r="4996">
      <c r="A4996" t="n">
        <v>82</v>
      </c>
      <c r="B4996" t="n">
        <v>2002</v>
      </c>
      <c r="C4996" t="n">
        <v>0.0179</v>
      </c>
    </row>
    <row r="4997">
      <c r="A4997" t="n">
        <v>82</v>
      </c>
      <c r="B4997" t="n">
        <v>2003</v>
      </c>
      <c r="C4997" t="n">
        <v>0.0196</v>
      </c>
    </row>
    <row r="4998">
      <c r="A4998" t="n">
        <v>82</v>
      </c>
      <c r="B4998" t="n">
        <v>2004</v>
      </c>
      <c r="C4998" t="n">
        <v>0.0207</v>
      </c>
    </row>
    <row r="4999">
      <c r="A4999" t="n">
        <v>82</v>
      </c>
      <c r="B4999" t="n">
        <v>2005</v>
      </c>
      <c r="C4999" t="n">
        <v>0.0214</v>
      </c>
    </row>
    <row r="5000">
      <c r="A5000" t="n">
        <v>82</v>
      </c>
      <c r="B5000" t="n">
        <v>2006</v>
      </c>
      <c r="C5000" t="n">
        <v>0.0214</v>
      </c>
    </row>
    <row r="5001">
      <c r="A5001" t="n">
        <v>82</v>
      </c>
      <c r="B5001" t="n">
        <v>2007</v>
      </c>
      <c r="C5001" t="n">
        <v>0.0208</v>
      </c>
    </row>
    <row r="5002">
      <c r="A5002" t="n">
        <v>82</v>
      </c>
      <c r="B5002" t="n">
        <v>2008</v>
      </c>
      <c r="C5002" t="n">
        <v>0.0197</v>
      </c>
    </row>
    <row r="5003">
      <c r="A5003" t="n">
        <v>82</v>
      </c>
      <c r="B5003" t="n">
        <v>2009</v>
      </c>
      <c r="C5003" t="n">
        <v>0.0181</v>
      </c>
    </row>
    <row r="5004">
      <c r="A5004" t="n">
        <v>82</v>
      </c>
      <c r="B5004" t="n">
        <v>2010</v>
      </c>
      <c r="C5004" t="n">
        <v>0.0161</v>
      </c>
    </row>
    <row r="5005">
      <c r="A5005" t="n">
        <v>82</v>
      </c>
      <c r="B5005" t="n">
        <v>2011</v>
      </c>
      <c r="C5005" t="n">
        <v>0.0139</v>
      </c>
    </row>
    <row r="5006">
      <c r="A5006" t="n">
        <v>82</v>
      </c>
      <c r="B5006" t="n">
        <v>2012</v>
      </c>
      <c r="C5006" t="n">
        <v>0.0115</v>
      </c>
    </row>
    <row r="5007">
      <c r="A5007" t="n">
        <v>82</v>
      </c>
      <c r="B5007" t="n">
        <v>2013</v>
      </c>
      <c r="C5007" t="n">
        <v>0.0117</v>
      </c>
    </row>
    <row r="5008">
      <c r="A5008" t="n">
        <v>82</v>
      </c>
      <c r="B5008" t="n">
        <v>2014</v>
      </c>
      <c r="C5008" t="n">
        <v>0.0117</v>
      </c>
    </row>
    <row r="5009">
      <c r="A5009" t="n">
        <v>82</v>
      </c>
      <c r="B5009" t="n">
        <v>2015</v>
      </c>
      <c r="C5009" t="n">
        <v>0.0117</v>
      </c>
    </row>
    <row r="5010">
      <c r="A5010" t="n">
        <v>82</v>
      </c>
      <c r="B5010" t="n">
        <v>2016</v>
      </c>
      <c r="C5010" t="n">
        <v>0.0116</v>
      </c>
    </row>
    <row r="5011">
      <c r="A5011" t="n">
        <v>82</v>
      </c>
      <c r="B5011" t="n">
        <v>2017</v>
      </c>
      <c r="C5011" t="n">
        <v>0.0115</v>
      </c>
    </row>
    <row r="5012">
      <c r="A5012" t="n">
        <v>82</v>
      </c>
      <c r="B5012" t="n">
        <v>2018</v>
      </c>
      <c r="C5012" t="n">
        <v>0.0113</v>
      </c>
    </row>
    <row r="5013">
      <c r="A5013" t="n">
        <v>82</v>
      </c>
      <c r="B5013" t="n">
        <v>2019</v>
      </c>
      <c r="C5013" t="n">
        <v>0.0111</v>
      </c>
    </row>
    <row r="5014">
      <c r="A5014" t="n">
        <v>82</v>
      </c>
      <c r="B5014" t="n">
        <v>2020</v>
      </c>
      <c r="C5014" t="n">
        <v>0.0109</v>
      </c>
    </row>
    <row r="5015">
      <c r="A5015" t="n">
        <v>82</v>
      </c>
      <c r="B5015" t="n">
        <v>2021</v>
      </c>
      <c r="C5015" t="n">
        <v>0.0107</v>
      </c>
    </row>
    <row r="5016">
      <c r="A5016" t="n">
        <v>82</v>
      </c>
      <c r="B5016" t="n">
        <v>2022</v>
      </c>
      <c r="C5016" t="n">
        <v>0.0104</v>
      </c>
    </row>
    <row r="5017">
      <c r="A5017" t="n">
        <v>82</v>
      </c>
      <c r="B5017" t="n">
        <v>2023</v>
      </c>
      <c r="C5017" t="n">
        <v>0.0102</v>
      </c>
    </row>
    <row r="5018">
      <c r="A5018" t="n">
        <v>82</v>
      </c>
      <c r="B5018" t="n">
        <v>2024</v>
      </c>
      <c r="C5018" t="n">
        <v>0.01</v>
      </c>
    </row>
    <row r="5019">
      <c r="A5019" t="n">
        <v>82</v>
      </c>
      <c r="B5019" t="n">
        <v>2025</v>
      </c>
      <c r="C5019" t="n">
        <v>0.0098</v>
      </c>
    </row>
    <row r="5020">
      <c r="A5020" t="n">
        <v>82</v>
      </c>
      <c r="B5020" t="n">
        <v>2026</v>
      </c>
      <c r="C5020" t="n">
        <v>0.0097</v>
      </c>
    </row>
    <row r="5021">
      <c r="A5021" t="n">
        <v>82</v>
      </c>
      <c r="B5021" t="n">
        <v>2027</v>
      </c>
      <c r="C5021" t="n">
        <v>0.0097</v>
      </c>
    </row>
    <row r="5022">
      <c r="A5022" t="n">
        <v>82</v>
      </c>
      <c r="B5022" t="n">
        <v>2028</v>
      </c>
      <c r="C5022" t="n">
        <v>0.0097</v>
      </c>
    </row>
    <row r="5023">
      <c r="A5023" t="n">
        <v>82</v>
      </c>
      <c r="B5023" t="n">
        <v>2029</v>
      </c>
      <c r="C5023" t="n">
        <v>0.0098</v>
      </c>
    </row>
    <row r="5024">
      <c r="A5024" t="n">
        <v>82</v>
      </c>
      <c r="B5024" t="n">
        <v>2030</v>
      </c>
      <c r="C5024" t="n">
        <v>0.009900000000000001</v>
      </c>
    </row>
    <row r="5025">
      <c r="A5025" t="n">
        <v>82</v>
      </c>
      <c r="B5025" t="n">
        <v>2031</v>
      </c>
      <c r="C5025" t="n">
        <v>0.01</v>
      </c>
    </row>
    <row r="5026">
      <c r="A5026" t="n">
        <v>83</v>
      </c>
      <c r="B5026" t="n">
        <v>1951</v>
      </c>
      <c r="C5026" t="n">
        <v>0.006</v>
      </c>
    </row>
    <row r="5027">
      <c r="A5027" t="n">
        <v>83</v>
      </c>
      <c r="B5027" t="n">
        <v>1952</v>
      </c>
      <c r="C5027" t="n">
        <v>0.0048</v>
      </c>
    </row>
    <row r="5028">
      <c r="A5028" t="n">
        <v>83</v>
      </c>
      <c r="B5028" t="n">
        <v>1953</v>
      </c>
      <c r="C5028" t="n">
        <v>0.0036</v>
      </c>
    </row>
    <row r="5029">
      <c r="A5029" t="n">
        <v>83</v>
      </c>
      <c r="B5029" t="n">
        <v>1954</v>
      </c>
      <c r="C5029" t="n">
        <v>0.0024</v>
      </c>
    </row>
    <row r="5030">
      <c r="A5030" t="n">
        <v>83</v>
      </c>
      <c r="B5030" t="n">
        <v>1955</v>
      </c>
      <c r="C5030" t="n">
        <v>0.0013</v>
      </c>
    </row>
    <row r="5031">
      <c r="A5031" t="n">
        <v>83</v>
      </c>
      <c r="B5031" t="n">
        <v>1956</v>
      </c>
      <c r="C5031" t="n">
        <v>0.0002</v>
      </c>
    </row>
    <row r="5032">
      <c r="A5032" t="n">
        <v>83</v>
      </c>
      <c r="B5032" t="n">
        <v>1957</v>
      </c>
      <c r="C5032" t="n">
        <v>-0.0007</v>
      </c>
    </row>
    <row r="5033">
      <c r="A5033" t="n">
        <v>83</v>
      </c>
      <c r="B5033" t="n">
        <v>1958</v>
      </c>
      <c r="C5033" t="n">
        <v>-0.0014</v>
      </c>
    </row>
    <row r="5034">
      <c r="A5034" t="n">
        <v>83</v>
      </c>
      <c r="B5034" t="n">
        <v>1959</v>
      </c>
      <c r="C5034" t="n">
        <v>-0.0019</v>
      </c>
    </row>
    <row r="5035">
      <c r="A5035" t="n">
        <v>83</v>
      </c>
      <c r="B5035" t="n">
        <v>1960</v>
      </c>
      <c r="C5035" t="n">
        <v>-0.0021</v>
      </c>
    </row>
    <row r="5036">
      <c r="A5036" t="n">
        <v>83</v>
      </c>
      <c r="B5036" t="n">
        <v>1961</v>
      </c>
      <c r="C5036" t="n">
        <v>-0.0021</v>
      </c>
    </row>
    <row r="5037">
      <c r="A5037" t="n">
        <v>83</v>
      </c>
      <c r="B5037" t="n">
        <v>1962</v>
      </c>
      <c r="C5037" t="n">
        <v>-0.0017</v>
      </c>
    </row>
    <row r="5038">
      <c r="A5038" t="n">
        <v>83</v>
      </c>
      <c r="B5038" t="n">
        <v>1963</v>
      </c>
      <c r="C5038" t="n">
        <v>-0.0011</v>
      </c>
    </row>
    <row r="5039">
      <c r="A5039" t="n">
        <v>83</v>
      </c>
      <c r="B5039" t="n">
        <v>1964</v>
      </c>
      <c r="C5039" t="n">
        <v>-0.0002</v>
      </c>
    </row>
    <row r="5040">
      <c r="A5040" t="n">
        <v>83</v>
      </c>
      <c r="B5040" t="n">
        <v>1965</v>
      </c>
      <c r="C5040" t="n">
        <v>0.001</v>
      </c>
    </row>
    <row r="5041">
      <c r="A5041" t="n">
        <v>83</v>
      </c>
      <c r="B5041" t="n">
        <v>1966</v>
      </c>
      <c r="C5041" t="n">
        <v>0.0024</v>
      </c>
    </row>
    <row r="5042">
      <c r="A5042" t="n">
        <v>83</v>
      </c>
      <c r="B5042" t="n">
        <v>1967</v>
      </c>
      <c r="C5042" t="n">
        <v>0.004</v>
      </c>
    </row>
    <row r="5043">
      <c r="A5043" t="n">
        <v>83</v>
      </c>
      <c r="B5043" t="n">
        <v>1968</v>
      </c>
      <c r="C5043" t="n">
        <v>0.0057</v>
      </c>
    </row>
    <row r="5044">
      <c r="A5044" t="n">
        <v>83</v>
      </c>
      <c r="B5044" t="n">
        <v>1969</v>
      </c>
      <c r="C5044" t="n">
        <v>0.0075</v>
      </c>
    </row>
    <row r="5045">
      <c r="A5045" t="n">
        <v>83</v>
      </c>
      <c r="B5045" t="n">
        <v>1970</v>
      </c>
      <c r="C5045" t="n">
        <v>0.0092</v>
      </c>
    </row>
    <row r="5046">
      <c r="A5046" t="n">
        <v>83</v>
      </c>
      <c r="B5046" t="n">
        <v>1971</v>
      </c>
      <c r="C5046" t="n">
        <v>0.0109</v>
      </c>
    </row>
    <row r="5047">
      <c r="A5047" t="n">
        <v>83</v>
      </c>
      <c r="B5047" t="n">
        <v>1972</v>
      </c>
      <c r="C5047" t="n">
        <v>0.0123</v>
      </c>
    </row>
    <row r="5048">
      <c r="A5048" t="n">
        <v>83</v>
      </c>
      <c r="B5048" t="n">
        <v>1973</v>
      </c>
      <c r="C5048" t="n">
        <v>0.0134</v>
      </c>
    </row>
    <row r="5049">
      <c r="A5049" t="n">
        <v>83</v>
      </c>
      <c r="B5049" t="n">
        <v>1974</v>
      </c>
      <c r="C5049" t="n">
        <v>0.014</v>
      </c>
    </row>
    <row r="5050">
      <c r="A5050" t="n">
        <v>83</v>
      </c>
      <c r="B5050" t="n">
        <v>1975</v>
      </c>
      <c r="C5050" t="n">
        <v>0.0141</v>
      </c>
    </row>
    <row r="5051">
      <c r="A5051" t="n">
        <v>83</v>
      </c>
      <c r="B5051" t="n">
        <v>1976</v>
      </c>
      <c r="C5051" t="n">
        <v>0.0136</v>
      </c>
    </row>
    <row r="5052">
      <c r="A5052" t="n">
        <v>83</v>
      </c>
      <c r="B5052" t="n">
        <v>1977</v>
      </c>
      <c r="C5052" t="n">
        <v>0.0126</v>
      </c>
    </row>
    <row r="5053">
      <c r="A5053" t="n">
        <v>83</v>
      </c>
      <c r="B5053" t="n">
        <v>1978</v>
      </c>
      <c r="C5053" t="n">
        <v>0.0112</v>
      </c>
    </row>
    <row r="5054">
      <c r="A5054" t="n">
        <v>83</v>
      </c>
      <c r="B5054" t="n">
        <v>1979</v>
      </c>
      <c r="C5054" t="n">
        <v>0.009599999999999999</v>
      </c>
    </row>
    <row r="5055">
      <c r="A5055" t="n">
        <v>83</v>
      </c>
      <c r="B5055" t="n">
        <v>1980</v>
      </c>
      <c r="C5055" t="n">
        <v>0.008</v>
      </c>
    </row>
    <row r="5056">
      <c r="A5056" t="n">
        <v>83</v>
      </c>
      <c r="B5056" t="n">
        <v>1981</v>
      </c>
      <c r="C5056" t="n">
        <v>0.0065</v>
      </c>
    </row>
    <row r="5057">
      <c r="A5057" t="n">
        <v>83</v>
      </c>
      <c r="B5057" t="n">
        <v>1982</v>
      </c>
      <c r="C5057" t="n">
        <v>0.0052</v>
      </c>
    </row>
    <row r="5058">
      <c r="A5058" t="n">
        <v>83</v>
      </c>
      <c r="B5058" t="n">
        <v>1983</v>
      </c>
      <c r="C5058" t="n">
        <v>0.0043</v>
      </c>
    </row>
    <row r="5059">
      <c r="A5059" t="n">
        <v>83</v>
      </c>
      <c r="B5059" t="n">
        <v>1984</v>
      </c>
      <c r="C5059" t="n">
        <v>0.0038</v>
      </c>
    </row>
    <row r="5060">
      <c r="A5060" t="n">
        <v>83</v>
      </c>
      <c r="B5060" t="n">
        <v>1985</v>
      </c>
      <c r="C5060" t="n">
        <v>0.0037</v>
      </c>
    </row>
    <row r="5061">
      <c r="A5061" t="n">
        <v>83</v>
      </c>
      <c r="B5061" t="n">
        <v>1986</v>
      </c>
      <c r="C5061" t="n">
        <v>0.0041</v>
      </c>
    </row>
    <row r="5062">
      <c r="A5062" t="n">
        <v>83</v>
      </c>
      <c r="B5062" t="n">
        <v>1987</v>
      </c>
      <c r="C5062" t="n">
        <v>0.0046</v>
      </c>
    </row>
    <row r="5063">
      <c r="A5063" t="n">
        <v>83</v>
      </c>
      <c r="B5063" t="n">
        <v>1988</v>
      </c>
      <c r="C5063" t="n">
        <v>0.0053</v>
      </c>
    </row>
    <row r="5064">
      <c r="A5064" t="n">
        <v>83</v>
      </c>
      <c r="B5064" t="n">
        <v>1989</v>
      </c>
      <c r="C5064" t="n">
        <v>0.0059</v>
      </c>
    </row>
    <row r="5065">
      <c r="A5065" t="n">
        <v>83</v>
      </c>
      <c r="B5065" t="n">
        <v>1990</v>
      </c>
      <c r="C5065" t="n">
        <v>0.0063</v>
      </c>
    </row>
    <row r="5066">
      <c r="A5066" t="n">
        <v>83</v>
      </c>
      <c r="B5066" t="n">
        <v>1991</v>
      </c>
      <c r="C5066" t="n">
        <v>0.0064</v>
      </c>
    </row>
    <row r="5067">
      <c r="A5067" t="n">
        <v>83</v>
      </c>
      <c r="B5067" t="n">
        <v>1992</v>
      </c>
      <c r="C5067" t="n">
        <v>0.0065</v>
      </c>
    </row>
    <row r="5068">
      <c r="A5068" t="n">
        <v>83</v>
      </c>
      <c r="B5068" t="n">
        <v>1993</v>
      </c>
      <c r="C5068" t="n">
        <v>0.0064</v>
      </c>
    </row>
    <row r="5069">
      <c r="A5069" t="n">
        <v>83</v>
      </c>
      <c r="B5069" t="n">
        <v>1994</v>
      </c>
      <c r="C5069" t="n">
        <v>0.0065</v>
      </c>
    </row>
    <row r="5070">
      <c r="A5070" t="n">
        <v>83</v>
      </c>
      <c r="B5070" t="n">
        <v>1995</v>
      </c>
      <c r="C5070" t="n">
        <v>0.0068</v>
      </c>
    </row>
    <row r="5071">
      <c r="A5071" t="n">
        <v>83</v>
      </c>
      <c r="B5071" t="n">
        <v>1996</v>
      </c>
      <c r="C5071" t="n">
        <v>0.0074</v>
      </c>
    </row>
    <row r="5072">
      <c r="A5072" t="n">
        <v>83</v>
      </c>
      <c r="B5072" t="n">
        <v>1997</v>
      </c>
      <c r="C5072" t="n">
        <v>0.008399999999999999</v>
      </c>
    </row>
    <row r="5073">
      <c r="A5073" t="n">
        <v>83</v>
      </c>
      <c r="B5073" t="n">
        <v>1998</v>
      </c>
      <c r="C5073" t="n">
        <v>0.0097</v>
      </c>
    </row>
    <row r="5074">
      <c r="A5074" t="n">
        <v>83</v>
      </c>
      <c r="B5074" t="n">
        <v>1999</v>
      </c>
      <c r="C5074" t="n">
        <v>0.0114</v>
      </c>
    </row>
    <row r="5075">
      <c r="A5075" t="n">
        <v>83</v>
      </c>
      <c r="B5075" t="n">
        <v>2000</v>
      </c>
      <c r="C5075" t="n">
        <v>0.0133</v>
      </c>
    </row>
    <row r="5076">
      <c r="A5076" t="n">
        <v>83</v>
      </c>
      <c r="B5076" t="n">
        <v>2001</v>
      </c>
      <c r="C5076" t="n">
        <v>0.0152</v>
      </c>
    </row>
    <row r="5077">
      <c r="A5077" t="n">
        <v>83</v>
      </c>
      <c r="B5077" t="n">
        <v>2002</v>
      </c>
      <c r="C5077" t="n">
        <v>0.0171</v>
      </c>
    </row>
    <row r="5078">
      <c r="A5078" t="n">
        <v>83</v>
      </c>
      <c r="B5078" t="n">
        <v>2003</v>
      </c>
      <c r="C5078" t="n">
        <v>0.0187</v>
      </c>
    </row>
    <row r="5079">
      <c r="A5079" t="n">
        <v>83</v>
      </c>
      <c r="B5079" t="n">
        <v>2004</v>
      </c>
      <c r="C5079" t="n">
        <v>0.0199</v>
      </c>
    </row>
    <row r="5080">
      <c r="A5080" t="n">
        <v>83</v>
      </c>
      <c r="B5080" t="n">
        <v>2005</v>
      </c>
      <c r="C5080" t="n">
        <v>0.0205</v>
      </c>
    </row>
    <row r="5081">
      <c r="A5081" t="n">
        <v>83</v>
      </c>
      <c r="B5081" t="n">
        <v>2006</v>
      </c>
      <c r="C5081" t="n">
        <v>0.0206</v>
      </c>
    </row>
    <row r="5082">
      <c r="A5082" t="n">
        <v>83</v>
      </c>
      <c r="B5082" t="n">
        <v>2007</v>
      </c>
      <c r="C5082" t="n">
        <v>0.02</v>
      </c>
    </row>
    <row r="5083">
      <c r="A5083" t="n">
        <v>83</v>
      </c>
      <c r="B5083" t="n">
        <v>2008</v>
      </c>
      <c r="C5083" t="n">
        <v>0.0189</v>
      </c>
    </row>
    <row r="5084">
      <c r="A5084" t="n">
        <v>83</v>
      </c>
      <c r="B5084" t="n">
        <v>2009</v>
      </c>
      <c r="C5084" t="n">
        <v>0.0174</v>
      </c>
    </row>
    <row r="5085">
      <c r="A5085" t="n">
        <v>83</v>
      </c>
      <c r="B5085" t="n">
        <v>2010</v>
      </c>
      <c r="C5085" t="n">
        <v>0.0155</v>
      </c>
    </row>
    <row r="5086">
      <c r="A5086" t="n">
        <v>83</v>
      </c>
      <c r="B5086" t="n">
        <v>2011</v>
      </c>
      <c r="C5086" t="n">
        <v>0.0134</v>
      </c>
    </row>
    <row r="5087">
      <c r="A5087" t="n">
        <v>83</v>
      </c>
      <c r="B5087" t="n">
        <v>2012</v>
      </c>
      <c r="C5087" t="n">
        <v>0.0112</v>
      </c>
    </row>
    <row r="5088">
      <c r="A5088" t="n">
        <v>83</v>
      </c>
      <c r="B5088" t="n">
        <v>2013</v>
      </c>
      <c r="C5088" t="n">
        <v>0.0113</v>
      </c>
    </row>
    <row r="5089">
      <c r="A5089" t="n">
        <v>83</v>
      </c>
      <c r="B5089" t="n">
        <v>2014</v>
      </c>
      <c r="C5089" t="n">
        <v>0.0114</v>
      </c>
    </row>
    <row r="5090">
      <c r="A5090" t="n">
        <v>83</v>
      </c>
      <c r="B5090" t="n">
        <v>2015</v>
      </c>
      <c r="C5090" t="n">
        <v>0.0114</v>
      </c>
    </row>
    <row r="5091">
      <c r="A5091" t="n">
        <v>83</v>
      </c>
      <c r="B5091" t="n">
        <v>2016</v>
      </c>
      <c r="C5091" t="n">
        <v>0.0114</v>
      </c>
    </row>
    <row r="5092">
      <c r="A5092" t="n">
        <v>83</v>
      </c>
      <c r="B5092" t="n">
        <v>2017</v>
      </c>
      <c r="C5092" t="n">
        <v>0.0113</v>
      </c>
    </row>
    <row r="5093">
      <c r="A5093" t="n">
        <v>83</v>
      </c>
      <c r="B5093" t="n">
        <v>2018</v>
      </c>
      <c r="C5093" t="n">
        <v>0.0112</v>
      </c>
    </row>
    <row r="5094">
      <c r="A5094" t="n">
        <v>83</v>
      </c>
      <c r="B5094" t="n">
        <v>2019</v>
      </c>
      <c r="C5094" t="n">
        <v>0.011</v>
      </c>
    </row>
    <row r="5095">
      <c r="A5095" t="n">
        <v>83</v>
      </c>
      <c r="B5095" t="n">
        <v>2020</v>
      </c>
      <c r="C5095" t="n">
        <v>0.0109</v>
      </c>
    </row>
    <row r="5096">
      <c r="A5096" t="n">
        <v>83</v>
      </c>
      <c r="B5096" t="n">
        <v>2021</v>
      </c>
      <c r="C5096" t="n">
        <v>0.0107</v>
      </c>
    </row>
    <row r="5097">
      <c r="A5097" t="n">
        <v>83</v>
      </c>
      <c r="B5097" t="n">
        <v>2022</v>
      </c>
      <c r="C5097" t="n">
        <v>0.0105</v>
      </c>
    </row>
    <row r="5098">
      <c r="A5098" t="n">
        <v>83</v>
      </c>
      <c r="B5098" t="n">
        <v>2023</v>
      </c>
      <c r="C5098" t="n">
        <v>0.0103</v>
      </c>
    </row>
    <row r="5099">
      <c r="A5099" t="n">
        <v>83</v>
      </c>
      <c r="B5099" t="n">
        <v>2024</v>
      </c>
      <c r="C5099" t="n">
        <v>0.0101</v>
      </c>
    </row>
    <row r="5100">
      <c r="A5100" t="n">
        <v>83</v>
      </c>
      <c r="B5100" t="n">
        <v>2025</v>
      </c>
      <c r="C5100" t="n">
        <v>0.009900000000000001</v>
      </c>
    </row>
    <row r="5101">
      <c r="A5101" t="n">
        <v>83</v>
      </c>
      <c r="B5101" t="n">
        <v>2026</v>
      </c>
      <c r="C5101" t="n">
        <v>0.0098</v>
      </c>
    </row>
    <row r="5102">
      <c r="A5102" t="n">
        <v>83</v>
      </c>
      <c r="B5102" t="n">
        <v>2027</v>
      </c>
      <c r="C5102" t="n">
        <v>0.0097</v>
      </c>
    </row>
    <row r="5103">
      <c r="A5103" t="n">
        <v>83</v>
      </c>
      <c r="B5103" t="n">
        <v>2028</v>
      </c>
      <c r="C5103" t="n">
        <v>0.0097</v>
      </c>
    </row>
    <row r="5104">
      <c r="A5104" t="n">
        <v>83</v>
      </c>
      <c r="B5104" t="n">
        <v>2029</v>
      </c>
      <c r="C5104" t="n">
        <v>0.0098</v>
      </c>
    </row>
    <row r="5105">
      <c r="A5105" t="n">
        <v>83</v>
      </c>
      <c r="B5105" t="n">
        <v>2030</v>
      </c>
      <c r="C5105" t="n">
        <v>0.009900000000000001</v>
      </c>
    </row>
    <row r="5106">
      <c r="A5106" t="n">
        <v>83</v>
      </c>
      <c r="B5106" t="n">
        <v>2031</v>
      </c>
      <c r="C5106" t="n">
        <v>0.01</v>
      </c>
    </row>
    <row r="5107">
      <c r="A5107" t="n">
        <v>84</v>
      </c>
      <c r="B5107" t="n">
        <v>1951</v>
      </c>
      <c r="C5107" t="n">
        <v>0.005</v>
      </c>
    </row>
    <row r="5108">
      <c r="A5108" t="n">
        <v>84</v>
      </c>
      <c r="B5108" t="n">
        <v>1952</v>
      </c>
      <c r="C5108" t="n">
        <v>0.0038</v>
      </c>
    </row>
    <row r="5109">
      <c r="A5109" t="n">
        <v>84</v>
      </c>
      <c r="B5109" t="n">
        <v>1953</v>
      </c>
      <c r="C5109" t="n">
        <v>0.0026</v>
      </c>
    </row>
    <row r="5110">
      <c r="A5110" t="n">
        <v>84</v>
      </c>
      <c r="B5110" t="n">
        <v>1954</v>
      </c>
      <c r="C5110" t="n">
        <v>0.0014</v>
      </c>
    </row>
    <row r="5111">
      <c r="A5111" t="n">
        <v>84</v>
      </c>
      <c r="B5111" t="n">
        <v>1955</v>
      </c>
      <c r="C5111" t="n">
        <v>0.0003</v>
      </c>
    </row>
    <row r="5112">
      <c r="A5112" t="n">
        <v>84</v>
      </c>
      <c r="B5112" t="n">
        <v>1956</v>
      </c>
      <c r="C5112" t="n">
        <v>-0.0007</v>
      </c>
    </row>
    <row r="5113">
      <c r="A5113" t="n">
        <v>84</v>
      </c>
      <c r="B5113" t="n">
        <v>1957</v>
      </c>
      <c r="C5113" t="n">
        <v>-0.0015</v>
      </c>
    </row>
    <row r="5114">
      <c r="A5114" t="n">
        <v>84</v>
      </c>
      <c r="B5114" t="n">
        <v>1958</v>
      </c>
      <c r="C5114" t="n">
        <v>-0.0021</v>
      </c>
    </row>
    <row r="5115">
      <c r="A5115" t="n">
        <v>84</v>
      </c>
      <c r="B5115" t="n">
        <v>1959</v>
      </c>
      <c r="C5115" t="n">
        <v>-0.0025</v>
      </c>
    </row>
    <row r="5116">
      <c r="A5116" t="n">
        <v>84</v>
      </c>
      <c r="B5116" t="n">
        <v>1960</v>
      </c>
      <c r="C5116" t="n">
        <v>-0.0026</v>
      </c>
    </row>
    <row r="5117">
      <c r="A5117" t="n">
        <v>84</v>
      </c>
      <c r="B5117" t="n">
        <v>1961</v>
      </c>
      <c r="C5117" t="n">
        <v>-0.0024</v>
      </c>
    </row>
    <row r="5118">
      <c r="A5118" t="n">
        <v>84</v>
      </c>
      <c r="B5118" t="n">
        <v>1962</v>
      </c>
      <c r="C5118" t="n">
        <v>-0.0018</v>
      </c>
    </row>
    <row r="5119">
      <c r="A5119" t="n">
        <v>84</v>
      </c>
      <c r="B5119" t="n">
        <v>1963</v>
      </c>
      <c r="C5119" t="n">
        <v>-0.001</v>
      </c>
    </row>
    <row r="5120">
      <c r="A5120" t="n">
        <v>84</v>
      </c>
      <c r="B5120" t="n">
        <v>1964</v>
      </c>
      <c r="C5120" t="n">
        <v>0</v>
      </c>
    </row>
    <row r="5121">
      <c r="A5121" t="n">
        <v>84</v>
      </c>
      <c r="B5121" t="n">
        <v>1965</v>
      </c>
      <c r="C5121" t="n">
        <v>0.0013</v>
      </c>
    </row>
    <row r="5122">
      <c r="A5122" t="n">
        <v>84</v>
      </c>
      <c r="B5122" t="n">
        <v>1966</v>
      </c>
      <c r="C5122" t="n">
        <v>0.0028</v>
      </c>
    </row>
    <row r="5123">
      <c r="A5123" t="n">
        <v>84</v>
      </c>
      <c r="B5123" t="n">
        <v>1967</v>
      </c>
      <c r="C5123" t="n">
        <v>0.0045</v>
      </c>
    </row>
    <row r="5124">
      <c r="A5124" t="n">
        <v>84</v>
      </c>
      <c r="B5124" t="n">
        <v>1968</v>
      </c>
      <c r="C5124" t="n">
        <v>0.0062</v>
      </c>
    </row>
    <row r="5125">
      <c r="A5125" t="n">
        <v>84</v>
      </c>
      <c r="B5125" t="n">
        <v>1969</v>
      </c>
      <c r="C5125" t="n">
        <v>0.007900000000000001</v>
      </c>
    </row>
    <row r="5126">
      <c r="A5126" t="n">
        <v>84</v>
      </c>
      <c r="B5126" t="n">
        <v>1970</v>
      </c>
      <c r="C5126" t="n">
        <v>0.009599999999999999</v>
      </c>
    </row>
    <row r="5127">
      <c r="A5127" t="n">
        <v>84</v>
      </c>
      <c r="B5127" t="n">
        <v>1971</v>
      </c>
      <c r="C5127" t="n">
        <v>0.0112</v>
      </c>
    </row>
    <row r="5128">
      <c r="A5128" t="n">
        <v>84</v>
      </c>
      <c r="B5128" t="n">
        <v>1972</v>
      </c>
      <c r="C5128" t="n">
        <v>0.0125</v>
      </c>
    </row>
    <row r="5129">
      <c r="A5129" t="n">
        <v>84</v>
      </c>
      <c r="B5129" t="n">
        <v>1973</v>
      </c>
      <c r="C5129" t="n">
        <v>0.0135</v>
      </c>
    </row>
    <row r="5130">
      <c r="A5130" t="n">
        <v>84</v>
      </c>
      <c r="B5130" t="n">
        <v>1974</v>
      </c>
      <c r="C5130" t="n">
        <v>0.014</v>
      </c>
    </row>
    <row r="5131">
      <c r="A5131" t="n">
        <v>84</v>
      </c>
      <c r="B5131" t="n">
        <v>1975</v>
      </c>
      <c r="C5131" t="n">
        <v>0.014</v>
      </c>
    </row>
    <row r="5132">
      <c r="A5132" t="n">
        <v>84</v>
      </c>
      <c r="B5132" t="n">
        <v>1976</v>
      </c>
      <c r="C5132" t="n">
        <v>0.0135</v>
      </c>
    </row>
    <row r="5133">
      <c r="A5133" t="n">
        <v>84</v>
      </c>
      <c r="B5133" t="n">
        <v>1977</v>
      </c>
      <c r="C5133" t="n">
        <v>0.0126</v>
      </c>
    </row>
    <row r="5134">
      <c r="A5134" t="n">
        <v>84</v>
      </c>
      <c r="B5134" t="n">
        <v>1978</v>
      </c>
      <c r="C5134" t="n">
        <v>0.0113</v>
      </c>
    </row>
    <row r="5135">
      <c r="A5135" t="n">
        <v>84</v>
      </c>
      <c r="B5135" t="n">
        <v>1979</v>
      </c>
      <c r="C5135" t="n">
        <v>0.0097</v>
      </c>
    </row>
    <row r="5136">
      <c r="A5136" t="n">
        <v>84</v>
      </c>
      <c r="B5136" t="n">
        <v>1980</v>
      </c>
      <c r="C5136" t="n">
        <v>0.0081</v>
      </c>
    </row>
    <row r="5137">
      <c r="A5137" t="n">
        <v>84</v>
      </c>
      <c r="B5137" t="n">
        <v>1981</v>
      </c>
      <c r="C5137" t="n">
        <v>0.0065</v>
      </c>
    </row>
    <row r="5138">
      <c r="A5138" t="n">
        <v>84</v>
      </c>
      <c r="B5138" t="n">
        <v>1982</v>
      </c>
      <c r="C5138" t="n">
        <v>0.0052</v>
      </c>
    </row>
    <row r="5139">
      <c r="A5139" t="n">
        <v>84</v>
      </c>
      <c r="B5139" t="n">
        <v>1983</v>
      </c>
      <c r="C5139" t="n">
        <v>0.0041</v>
      </c>
    </row>
    <row r="5140">
      <c r="A5140" t="n">
        <v>84</v>
      </c>
      <c r="B5140" t="n">
        <v>1984</v>
      </c>
      <c r="C5140" t="n">
        <v>0.0034</v>
      </c>
    </row>
    <row r="5141">
      <c r="A5141" t="n">
        <v>84</v>
      </c>
      <c r="B5141" t="n">
        <v>1985</v>
      </c>
      <c r="C5141" t="n">
        <v>0.0032</v>
      </c>
    </row>
    <row r="5142">
      <c r="A5142" t="n">
        <v>84</v>
      </c>
      <c r="B5142" t="n">
        <v>1986</v>
      </c>
      <c r="C5142" t="n">
        <v>0.0033</v>
      </c>
    </row>
    <row r="5143">
      <c r="A5143" t="n">
        <v>84</v>
      </c>
      <c r="B5143" t="n">
        <v>1987</v>
      </c>
      <c r="C5143" t="n">
        <v>0.0036</v>
      </c>
    </row>
    <row r="5144">
      <c r="A5144" t="n">
        <v>84</v>
      </c>
      <c r="B5144" t="n">
        <v>1988</v>
      </c>
      <c r="C5144" t="n">
        <v>0.004</v>
      </c>
    </row>
    <row r="5145">
      <c r="A5145" t="n">
        <v>84</v>
      </c>
      <c r="B5145" t="n">
        <v>1989</v>
      </c>
      <c r="C5145" t="n">
        <v>0.0044</v>
      </c>
    </row>
    <row r="5146">
      <c r="A5146" t="n">
        <v>84</v>
      </c>
      <c r="B5146" t="n">
        <v>1990</v>
      </c>
      <c r="C5146" t="n">
        <v>0.0047</v>
      </c>
    </row>
    <row r="5147">
      <c r="A5147" t="n">
        <v>84</v>
      </c>
      <c r="B5147" t="n">
        <v>1991</v>
      </c>
      <c r="C5147" t="n">
        <v>0.0049</v>
      </c>
    </row>
    <row r="5148">
      <c r="A5148" t="n">
        <v>84</v>
      </c>
      <c r="B5148" t="n">
        <v>1992</v>
      </c>
      <c r="C5148" t="n">
        <v>0.0049</v>
      </c>
    </row>
    <row r="5149">
      <c r="A5149" t="n">
        <v>84</v>
      </c>
      <c r="B5149" t="n">
        <v>1993</v>
      </c>
      <c r="C5149" t="n">
        <v>0.0049</v>
      </c>
    </row>
    <row r="5150">
      <c r="A5150" t="n">
        <v>84</v>
      </c>
      <c r="B5150" t="n">
        <v>1994</v>
      </c>
      <c r="C5150" t="n">
        <v>0.0051</v>
      </c>
    </row>
    <row r="5151">
      <c r="A5151" t="n">
        <v>84</v>
      </c>
      <c r="B5151" t="n">
        <v>1995</v>
      </c>
      <c r="C5151" t="n">
        <v>0.0055</v>
      </c>
    </row>
    <row r="5152">
      <c r="A5152" t="n">
        <v>84</v>
      </c>
      <c r="B5152" t="n">
        <v>1996</v>
      </c>
      <c r="C5152" t="n">
        <v>0.0062</v>
      </c>
    </row>
    <row r="5153">
      <c r="A5153" t="n">
        <v>84</v>
      </c>
      <c r="B5153" t="n">
        <v>1997</v>
      </c>
      <c r="C5153" t="n">
        <v>0.0073</v>
      </c>
    </row>
    <row r="5154">
      <c r="A5154" t="n">
        <v>84</v>
      </c>
      <c r="B5154" t="n">
        <v>1998</v>
      </c>
      <c r="C5154" t="n">
        <v>0.008699999999999999</v>
      </c>
    </row>
    <row r="5155">
      <c r="A5155" t="n">
        <v>84</v>
      </c>
      <c r="B5155" t="n">
        <v>1999</v>
      </c>
      <c r="C5155" t="n">
        <v>0.0104</v>
      </c>
    </row>
    <row r="5156">
      <c r="A5156" t="n">
        <v>84</v>
      </c>
      <c r="B5156" t="n">
        <v>2000</v>
      </c>
      <c r="C5156" t="n">
        <v>0.0123</v>
      </c>
    </row>
    <row r="5157">
      <c r="A5157" t="n">
        <v>84</v>
      </c>
      <c r="B5157" t="n">
        <v>2001</v>
      </c>
      <c r="C5157" t="n">
        <v>0.0143</v>
      </c>
    </row>
    <row r="5158">
      <c r="A5158" t="n">
        <v>84</v>
      </c>
      <c r="B5158" t="n">
        <v>2002</v>
      </c>
      <c r="C5158" t="n">
        <v>0.0162</v>
      </c>
    </row>
    <row r="5159">
      <c r="A5159" t="n">
        <v>84</v>
      </c>
      <c r="B5159" t="n">
        <v>2003</v>
      </c>
      <c r="C5159" t="n">
        <v>0.0178</v>
      </c>
    </row>
    <row r="5160">
      <c r="A5160" t="n">
        <v>84</v>
      </c>
      <c r="B5160" t="n">
        <v>2004</v>
      </c>
      <c r="C5160" t="n">
        <v>0.019</v>
      </c>
    </row>
    <row r="5161">
      <c r="A5161" t="n">
        <v>84</v>
      </c>
      <c r="B5161" t="n">
        <v>2005</v>
      </c>
      <c r="C5161" t="n">
        <v>0.0196</v>
      </c>
    </row>
    <row r="5162">
      <c r="A5162" t="n">
        <v>84</v>
      </c>
      <c r="B5162" t="n">
        <v>2006</v>
      </c>
      <c r="C5162" t="n">
        <v>0.0197</v>
      </c>
    </row>
    <row r="5163">
      <c r="A5163" t="n">
        <v>84</v>
      </c>
      <c r="B5163" t="n">
        <v>2007</v>
      </c>
      <c r="C5163" t="n">
        <v>0.0192</v>
      </c>
    </row>
    <row r="5164">
      <c r="A5164" t="n">
        <v>84</v>
      </c>
      <c r="B5164" t="n">
        <v>2008</v>
      </c>
      <c r="C5164" t="n">
        <v>0.0181</v>
      </c>
    </row>
    <row r="5165">
      <c r="A5165" t="n">
        <v>84</v>
      </c>
      <c r="B5165" t="n">
        <v>2009</v>
      </c>
      <c r="C5165" t="n">
        <v>0.0167</v>
      </c>
    </row>
    <row r="5166">
      <c r="A5166" t="n">
        <v>84</v>
      </c>
      <c r="B5166" t="n">
        <v>2010</v>
      </c>
      <c r="C5166" t="n">
        <v>0.0149</v>
      </c>
    </row>
    <row r="5167">
      <c r="A5167" t="n">
        <v>84</v>
      </c>
      <c r="B5167" t="n">
        <v>2011</v>
      </c>
      <c r="C5167" t="n">
        <v>0.0129</v>
      </c>
    </row>
    <row r="5168">
      <c r="A5168" t="n">
        <v>84</v>
      </c>
      <c r="B5168" t="n">
        <v>2012</v>
      </c>
      <c r="C5168" t="n">
        <v>0.0108</v>
      </c>
    </row>
    <row r="5169">
      <c r="A5169" t="n">
        <v>84</v>
      </c>
      <c r="B5169" t="n">
        <v>2013</v>
      </c>
      <c r="C5169" t="n">
        <v>0.0109</v>
      </c>
    </row>
    <row r="5170">
      <c r="A5170" t="n">
        <v>84</v>
      </c>
      <c r="B5170" t="n">
        <v>2014</v>
      </c>
      <c r="C5170" t="n">
        <v>0.011</v>
      </c>
    </row>
    <row r="5171">
      <c r="A5171" t="n">
        <v>84</v>
      </c>
      <c r="B5171" t="n">
        <v>2015</v>
      </c>
      <c r="C5171" t="n">
        <v>0.0111</v>
      </c>
    </row>
    <row r="5172">
      <c r="A5172" t="n">
        <v>84</v>
      </c>
      <c r="B5172" t="n">
        <v>2016</v>
      </c>
      <c r="C5172" t="n">
        <v>0.0111</v>
      </c>
    </row>
    <row r="5173">
      <c r="A5173" t="n">
        <v>84</v>
      </c>
      <c r="B5173" t="n">
        <v>2017</v>
      </c>
      <c r="C5173" t="n">
        <v>0.011</v>
      </c>
    </row>
    <row r="5174">
      <c r="A5174" t="n">
        <v>84</v>
      </c>
      <c r="B5174" t="n">
        <v>2018</v>
      </c>
      <c r="C5174" t="n">
        <v>0.011</v>
      </c>
    </row>
    <row r="5175">
      <c r="A5175" t="n">
        <v>84</v>
      </c>
      <c r="B5175" t="n">
        <v>2019</v>
      </c>
      <c r="C5175" t="n">
        <v>0.0109</v>
      </c>
    </row>
    <row r="5176">
      <c r="A5176" t="n">
        <v>84</v>
      </c>
      <c r="B5176" t="n">
        <v>2020</v>
      </c>
      <c r="C5176" t="n">
        <v>0.0108</v>
      </c>
    </row>
    <row r="5177">
      <c r="A5177" t="n">
        <v>84</v>
      </c>
      <c r="B5177" t="n">
        <v>2021</v>
      </c>
      <c r="C5177" t="n">
        <v>0.0106</v>
      </c>
    </row>
    <row r="5178">
      <c r="A5178" t="n">
        <v>84</v>
      </c>
      <c r="B5178" t="n">
        <v>2022</v>
      </c>
      <c r="C5178" t="n">
        <v>0.0105</v>
      </c>
    </row>
    <row r="5179">
      <c r="A5179" t="n">
        <v>84</v>
      </c>
      <c r="B5179" t="n">
        <v>2023</v>
      </c>
      <c r="C5179" t="n">
        <v>0.0103</v>
      </c>
    </row>
    <row r="5180">
      <c r="A5180" t="n">
        <v>84</v>
      </c>
      <c r="B5180" t="n">
        <v>2024</v>
      </c>
      <c r="C5180" t="n">
        <v>0.0102</v>
      </c>
    </row>
    <row r="5181">
      <c r="A5181" t="n">
        <v>84</v>
      </c>
      <c r="B5181" t="n">
        <v>2025</v>
      </c>
      <c r="C5181" t="n">
        <v>0.01</v>
      </c>
    </row>
    <row r="5182">
      <c r="A5182" t="n">
        <v>84</v>
      </c>
      <c r="B5182" t="n">
        <v>2026</v>
      </c>
      <c r="C5182" t="n">
        <v>0.009900000000000001</v>
      </c>
    </row>
    <row r="5183">
      <c r="A5183" t="n">
        <v>84</v>
      </c>
      <c r="B5183" t="n">
        <v>2027</v>
      </c>
      <c r="C5183" t="n">
        <v>0.0098</v>
      </c>
    </row>
    <row r="5184">
      <c r="A5184" t="n">
        <v>84</v>
      </c>
      <c r="B5184" t="n">
        <v>2028</v>
      </c>
      <c r="C5184" t="n">
        <v>0.0097</v>
      </c>
    </row>
    <row r="5185">
      <c r="A5185" t="n">
        <v>84</v>
      </c>
      <c r="B5185" t="n">
        <v>2029</v>
      </c>
      <c r="C5185" t="n">
        <v>0.0098</v>
      </c>
    </row>
    <row r="5186">
      <c r="A5186" t="n">
        <v>84</v>
      </c>
      <c r="B5186" t="n">
        <v>2030</v>
      </c>
      <c r="C5186" t="n">
        <v>0.009900000000000001</v>
      </c>
    </row>
    <row r="5187">
      <c r="A5187" t="n">
        <v>84</v>
      </c>
      <c r="B5187" t="n">
        <v>2031</v>
      </c>
      <c r="C5187" t="n">
        <v>0.01</v>
      </c>
    </row>
    <row r="5188">
      <c r="A5188" t="n">
        <v>85</v>
      </c>
      <c r="B5188" t="n">
        <v>1951</v>
      </c>
      <c r="C5188" t="n">
        <v>0.0039</v>
      </c>
    </row>
    <row r="5189">
      <c r="A5189" t="n">
        <v>85</v>
      </c>
      <c r="B5189" t="n">
        <v>1952</v>
      </c>
      <c r="C5189" t="n">
        <v>0.0027</v>
      </c>
    </row>
    <row r="5190">
      <c r="A5190" t="n">
        <v>85</v>
      </c>
      <c r="B5190" t="n">
        <v>1953</v>
      </c>
      <c r="C5190" t="n">
        <v>0.0015</v>
      </c>
    </row>
    <row r="5191">
      <c r="A5191" t="n">
        <v>85</v>
      </c>
      <c r="B5191" t="n">
        <v>1954</v>
      </c>
      <c r="C5191" t="n">
        <v>0.0004</v>
      </c>
    </row>
    <row r="5192">
      <c r="A5192" t="n">
        <v>85</v>
      </c>
      <c r="B5192" t="n">
        <v>1955</v>
      </c>
      <c r="C5192" t="n">
        <v>-0.0007</v>
      </c>
    </row>
    <row r="5193">
      <c r="A5193" t="n">
        <v>85</v>
      </c>
      <c r="B5193" t="n">
        <v>1956</v>
      </c>
      <c r="C5193" t="n">
        <v>-0.0016</v>
      </c>
    </row>
    <row r="5194">
      <c r="A5194" t="n">
        <v>85</v>
      </c>
      <c r="B5194" t="n">
        <v>1957</v>
      </c>
      <c r="C5194" t="n">
        <v>-0.0024</v>
      </c>
    </row>
    <row r="5195">
      <c r="A5195" t="n">
        <v>85</v>
      </c>
      <c r="B5195" t="n">
        <v>1958</v>
      </c>
      <c r="C5195" t="n">
        <v>-0.0029</v>
      </c>
    </row>
    <row r="5196">
      <c r="A5196" t="n">
        <v>85</v>
      </c>
      <c r="B5196" t="n">
        <v>1959</v>
      </c>
      <c r="C5196" t="n">
        <v>-0.0031</v>
      </c>
    </row>
    <row r="5197">
      <c r="A5197" t="n">
        <v>85</v>
      </c>
      <c r="B5197" t="n">
        <v>1960</v>
      </c>
      <c r="C5197" t="n">
        <v>-0.003</v>
      </c>
    </row>
    <row r="5198">
      <c r="A5198" t="n">
        <v>85</v>
      </c>
      <c r="B5198" t="n">
        <v>1961</v>
      </c>
      <c r="C5198" t="n">
        <v>-0.0027</v>
      </c>
    </row>
    <row r="5199">
      <c r="A5199" t="n">
        <v>85</v>
      </c>
      <c r="B5199" t="n">
        <v>1962</v>
      </c>
      <c r="C5199" t="n">
        <v>-0.002</v>
      </c>
    </row>
    <row r="5200">
      <c r="A5200" t="n">
        <v>85</v>
      </c>
      <c r="B5200" t="n">
        <v>1963</v>
      </c>
      <c r="C5200" t="n">
        <v>-0.001</v>
      </c>
    </row>
    <row r="5201">
      <c r="A5201" t="n">
        <v>85</v>
      </c>
      <c r="B5201" t="n">
        <v>1964</v>
      </c>
      <c r="C5201" t="n">
        <v>0.0002</v>
      </c>
    </row>
    <row r="5202">
      <c r="A5202" t="n">
        <v>85</v>
      </c>
      <c r="B5202" t="n">
        <v>1965</v>
      </c>
      <c r="C5202" t="n">
        <v>0.0017</v>
      </c>
    </row>
    <row r="5203">
      <c r="A5203" t="n">
        <v>85</v>
      </c>
      <c r="B5203" t="n">
        <v>1966</v>
      </c>
      <c r="C5203" t="n">
        <v>0.0033</v>
      </c>
    </row>
    <row r="5204">
      <c r="A5204" t="n">
        <v>85</v>
      </c>
      <c r="B5204" t="n">
        <v>1967</v>
      </c>
      <c r="C5204" t="n">
        <v>0.0049</v>
      </c>
    </row>
    <row r="5205">
      <c r="A5205" t="n">
        <v>85</v>
      </c>
      <c r="B5205" t="n">
        <v>1968</v>
      </c>
      <c r="C5205" t="n">
        <v>0.0067</v>
      </c>
    </row>
    <row r="5206">
      <c r="A5206" t="n">
        <v>85</v>
      </c>
      <c r="B5206" t="n">
        <v>1969</v>
      </c>
      <c r="C5206" t="n">
        <v>0.008399999999999999</v>
      </c>
    </row>
    <row r="5207">
      <c r="A5207" t="n">
        <v>85</v>
      </c>
      <c r="B5207" t="n">
        <v>1970</v>
      </c>
      <c r="C5207" t="n">
        <v>0.01</v>
      </c>
    </row>
    <row r="5208">
      <c r="A5208" t="n">
        <v>85</v>
      </c>
      <c r="B5208" t="n">
        <v>1971</v>
      </c>
      <c r="C5208" t="n">
        <v>0.0115</v>
      </c>
    </row>
    <row r="5209">
      <c r="A5209" t="n">
        <v>85</v>
      </c>
      <c r="B5209" t="n">
        <v>1972</v>
      </c>
      <c r="C5209" t="n">
        <v>0.0127</v>
      </c>
    </row>
    <row r="5210">
      <c r="A5210" t="n">
        <v>85</v>
      </c>
      <c r="B5210" t="n">
        <v>1973</v>
      </c>
      <c r="C5210" t="n">
        <v>0.0136</v>
      </c>
    </row>
    <row r="5211">
      <c r="A5211" t="n">
        <v>85</v>
      </c>
      <c r="B5211" t="n">
        <v>1974</v>
      </c>
      <c r="C5211" t="n">
        <v>0.014</v>
      </c>
    </row>
    <row r="5212">
      <c r="A5212" t="n">
        <v>85</v>
      </c>
      <c r="B5212" t="n">
        <v>1975</v>
      </c>
      <c r="C5212" t="n">
        <v>0.014</v>
      </c>
    </row>
    <row r="5213">
      <c r="A5213" t="n">
        <v>85</v>
      </c>
      <c r="B5213" t="n">
        <v>1976</v>
      </c>
      <c r="C5213" t="n">
        <v>0.0135</v>
      </c>
    </row>
    <row r="5214">
      <c r="A5214" t="n">
        <v>85</v>
      </c>
      <c r="B5214" t="n">
        <v>1977</v>
      </c>
      <c r="C5214" t="n">
        <v>0.0126</v>
      </c>
    </row>
    <row r="5215">
      <c r="A5215" t="n">
        <v>85</v>
      </c>
      <c r="B5215" t="n">
        <v>1978</v>
      </c>
      <c r="C5215" t="n">
        <v>0.0113</v>
      </c>
    </row>
    <row r="5216">
      <c r="A5216" t="n">
        <v>85</v>
      </c>
      <c r="B5216" t="n">
        <v>1979</v>
      </c>
      <c r="C5216" t="n">
        <v>0.0098</v>
      </c>
    </row>
    <row r="5217">
      <c r="A5217" t="n">
        <v>85</v>
      </c>
      <c r="B5217" t="n">
        <v>1980</v>
      </c>
      <c r="C5217" t="n">
        <v>0.0081</v>
      </c>
    </row>
    <row r="5218">
      <c r="A5218" t="n">
        <v>85</v>
      </c>
      <c r="B5218" t="n">
        <v>1981</v>
      </c>
      <c r="C5218" t="n">
        <v>0.0066</v>
      </c>
    </row>
    <row r="5219">
      <c r="A5219" t="n">
        <v>85</v>
      </c>
      <c r="B5219" t="n">
        <v>1982</v>
      </c>
      <c r="C5219" t="n">
        <v>0.0052</v>
      </c>
    </row>
    <row r="5220">
      <c r="A5220" t="n">
        <v>85</v>
      </c>
      <c r="B5220" t="n">
        <v>1983</v>
      </c>
      <c r="C5220" t="n">
        <v>0.004</v>
      </c>
    </row>
    <row r="5221">
      <c r="A5221" t="n">
        <v>85</v>
      </c>
      <c r="B5221" t="n">
        <v>1984</v>
      </c>
      <c r="C5221" t="n">
        <v>0.0031</v>
      </c>
    </row>
    <row r="5222">
      <c r="A5222" t="n">
        <v>85</v>
      </c>
      <c r="B5222" t="n">
        <v>1985</v>
      </c>
      <c r="C5222" t="n">
        <v>0.0027</v>
      </c>
    </row>
    <row r="5223">
      <c r="A5223" t="n">
        <v>85</v>
      </c>
      <c r="B5223" t="n">
        <v>1986</v>
      </c>
      <c r="C5223" t="n">
        <v>0.0025</v>
      </c>
    </row>
    <row r="5224">
      <c r="A5224" t="n">
        <v>85</v>
      </c>
      <c r="B5224" t="n">
        <v>1987</v>
      </c>
      <c r="C5224" t="n">
        <v>0.0026</v>
      </c>
    </row>
    <row r="5225">
      <c r="A5225" t="n">
        <v>85</v>
      </c>
      <c r="B5225" t="n">
        <v>1988</v>
      </c>
      <c r="C5225" t="n">
        <v>0.0028</v>
      </c>
    </row>
    <row r="5226">
      <c r="A5226" t="n">
        <v>85</v>
      </c>
      <c r="B5226" t="n">
        <v>1989</v>
      </c>
      <c r="C5226" t="n">
        <v>0.003</v>
      </c>
    </row>
    <row r="5227">
      <c r="A5227" t="n">
        <v>85</v>
      </c>
      <c r="B5227" t="n">
        <v>1990</v>
      </c>
      <c r="C5227" t="n">
        <v>0.0032</v>
      </c>
    </row>
    <row r="5228">
      <c r="A5228" t="n">
        <v>85</v>
      </c>
      <c r="B5228" t="n">
        <v>1991</v>
      </c>
      <c r="C5228" t="n">
        <v>0.0033</v>
      </c>
    </row>
    <row r="5229">
      <c r="A5229" t="n">
        <v>85</v>
      </c>
      <c r="B5229" t="n">
        <v>1992</v>
      </c>
      <c r="C5229" t="n">
        <v>0.0033</v>
      </c>
    </row>
    <row r="5230">
      <c r="A5230" t="n">
        <v>85</v>
      </c>
      <c r="B5230" t="n">
        <v>1993</v>
      </c>
      <c r="C5230" t="n">
        <v>0.0034</v>
      </c>
    </row>
    <row r="5231">
      <c r="A5231" t="n">
        <v>85</v>
      </c>
      <c r="B5231" t="n">
        <v>1994</v>
      </c>
      <c r="C5231" t="n">
        <v>0.0037</v>
      </c>
    </row>
    <row r="5232">
      <c r="A5232" t="n">
        <v>85</v>
      </c>
      <c r="B5232" t="n">
        <v>1995</v>
      </c>
      <c r="C5232" t="n">
        <v>0.0041</v>
      </c>
    </row>
    <row r="5233">
      <c r="A5233" t="n">
        <v>85</v>
      </c>
      <c r="B5233" t="n">
        <v>1996</v>
      </c>
      <c r="C5233" t="n">
        <v>0.0049</v>
      </c>
    </row>
    <row r="5234">
      <c r="A5234" t="n">
        <v>85</v>
      </c>
      <c r="B5234" t="n">
        <v>1997</v>
      </c>
      <c r="C5234" t="n">
        <v>0.0061</v>
      </c>
    </row>
    <row r="5235">
      <c r="A5235" t="n">
        <v>85</v>
      </c>
      <c r="B5235" t="n">
        <v>1998</v>
      </c>
      <c r="C5235" t="n">
        <v>0.0076</v>
      </c>
    </row>
    <row r="5236">
      <c r="A5236" t="n">
        <v>85</v>
      </c>
      <c r="B5236" t="n">
        <v>1999</v>
      </c>
      <c r="C5236" t="n">
        <v>0.009299999999999999</v>
      </c>
    </row>
    <row r="5237">
      <c r="A5237" t="n">
        <v>85</v>
      </c>
      <c r="B5237" t="n">
        <v>2000</v>
      </c>
      <c r="C5237" t="n">
        <v>0.0113</v>
      </c>
    </row>
    <row r="5238">
      <c r="A5238" t="n">
        <v>85</v>
      </c>
      <c r="B5238" t="n">
        <v>2001</v>
      </c>
      <c r="C5238" t="n">
        <v>0.0133</v>
      </c>
    </row>
    <row r="5239">
      <c r="A5239" t="n">
        <v>85</v>
      </c>
      <c r="B5239" t="n">
        <v>2002</v>
      </c>
      <c r="C5239" t="n">
        <v>0.0152</v>
      </c>
    </row>
    <row r="5240">
      <c r="A5240" t="n">
        <v>85</v>
      </c>
      <c r="B5240" t="n">
        <v>2003</v>
      </c>
      <c r="C5240" t="n">
        <v>0.0168</v>
      </c>
    </row>
    <row r="5241">
      <c r="A5241" t="n">
        <v>85</v>
      </c>
      <c r="B5241" t="n">
        <v>2004</v>
      </c>
      <c r="C5241" t="n">
        <v>0.018</v>
      </c>
    </row>
    <row r="5242">
      <c r="A5242" t="n">
        <v>85</v>
      </c>
      <c r="B5242" t="n">
        <v>2005</v>
      </c>
      <c r="C5242" t="n">
        <v>0.0187</v>
      </c>
    </row>
    <row r="5243">
      <c r="A5243" t="n">
        <v>85</v>
      </c>
      <c r="B5243" t="n">
        <v>2006</v>
      </c>
      <c r="C5243" t="n">
        <v>0.0188</v>
      </c>
    </row>
    <row r="5244">
      <c r="A5244" t="n">
        <v>85</v>
      </c>
      <c r="B5244" t="n">
        <v>2007</v>
      </c>
      <c r="C5244" t="n">
        <v>0.0183</v>
      </c>
    </row>
    <row r="5245">
      <c r="A5245" t="n">
        <v>85</v>
      </c>
      <c r="B5245" t="n">
        <v>2008</v>
      </c>
      <c r="C5245" t="n">
        <v>0.0173</v>
      </c>
    </row>
    <row r="5246">
      <c r="A5246" t="n">
        <v>85</v>
      </c>
      <c r="B5246" t="n">
        <v>2009</v>
      </c>
      <c r="C5246" t="n">
        <v>0.016</v>
      </c>
    </row>
    <row r="5247">
      <c r="A5247" t="n">
        <v>85</v>
      </c>
      <c r="B5247" t="n">
        <v>2010</v>
      </c>
      <c r="C5247" t="n">
        <v>0.0143</v>
      </c>
    </row>
    <row r="5248">
      <c r="A5248" t="n">
        <v>85</v>
      </c>
      <c r="B5248" t="n">
        <v>2011</v>
      </c>
      <c r="C5248" t="n">
        <v>0.0124</v>
      </c>
    </row>
    <row r="5249">
      <c r="A5249" t="n">
        <v>85</v>
      </c>
      <c r="B5249" t="n">
        <v>2012</v>
      </c>
      <c r="C5249" t="n">
        <v>0.0105</v>
      </c>
    </row>
    <row r="5250">
      <c r="A5250" t="n">
        <v>85</v>
      </c>
      <c r="B5250" t="n">
        <v>2013</v>
      </c>
      <c r="C5250" t="n">
        <v>0.0106</v>
      </c>
    </row>
    <row r="5251">
      <c r="A5251" t="n">
        <v>85</v>
      </c>
      <c r="B5251" t="n">
        <v>2014</v>
      </c>
      <c r="C5251" t="n">
        <v>0.0107</v>
      </c>
    </row>
    <row r="5252">
      <c r="A5252" t="n">
        <v>85</v>
      </c>
      <c r="B5252" t="n">
        <v>2015</v>
      </c>
      <c r="C5252" t="n">
        <v>0.0108</v>
      </c>
    </row>
    <row r="5253">
      <c r="A5253" t="n">
        <v>85</v>
      </c>
      <c r="B5253" t="n">
        <v>2016</v>
      </c>
      <c r="C5253" t="n">
        <v>0.0108</v>
      </c>
    </row>
    <row r="5254">
      <c r="A5254" t="n">
        <v>85</v>
      </c>
      <c r="B5254" t="n">
        <v>2017</v>
      </c>
      <c r="C5254" t="n">
        <v>0.0108</v>
      </c>
    </row>
    <row r="5255">
      <c r="A5255" t="n">
        <v>85</v>
      </c>
      <c r="B5255" t="n">
        <v>2018</v>
      </c>
      <c r="C5255" t="n">
        <v>0.0108</v>
      </c>
    </row>
    <row r="5256">
      <c r="A5256" t="n">
        <v>85</v>
      </c>
      <c r="B5256" t="n">
        <v>2019</v>
      </c>
      <c r="C5256" t="n">
        <v>0.0107</v>
      </c>
    </row>
    <row r="5257">
      <c r="A5257" t="n">
        <v>85</v>
      </c>
      <c r="B5257" t="n">
        <v>2020</v>
      </c>
      <c r="C5257" t="n">
        <v>0.0106</v>
      </c>
    </row>
    <row r="5258">
      <c r="A5258" t="n">
        <v>85</v>
      </c>
      <c r="B5258" t="n">
        <v>2021</v>
      </c>
      <c r="C5258" t="n">
        <v>0.0105</v>
      </c>
    </row>
    <row r="5259">
      <c r="A5259" t="n">
        <v>85</v>
      </c>
      <c r="B5259" t="n">
        <v>2022</v>
      </c>
      <c r="C5259" t="n">
        <v>0.0105</v>
      </c>
    </row>
    <row r="5260">
      <c r="A5260" t="n">
        <v>85</v>
      </c>
      <c r="B5260" t="n">
        <v>2023</v>
      </c>
      <c r="C5260" t="n">
        <v>0.0103</v>
      </c>
    </row>
    <row r="5261">
      <c r="A5261" t="n">
        <v>85</v>
      </c>
      <c r="B5261" t="n">
        <v>2024</v>
      </c>
      <c r="C5261" t="n">
        <v>0.0102</v>
      </c>
    </row>
    <row r="5262">
      <c r="A5262" t="n">
        <v>85</v>
      </c>
      <c r="B5262" t="n">
        <v>2025</v>
      </c>
      <c r="C5262" t="n">
        <v>0.01</v>
      </c>
    </row>
    <row r="5263">
      <c r="A5263" t="n">
        <v>85</v>
      </c>
      <c r="B5263" t="n">
        <v>2026</v>
      </c>
      <c r="C5263" t="n">
        <v>0.009900000000000001</v>
      </c>
    </row>
    <row r="5264">
      <c r="A5264" t="n">
        <v>85</v>
      </c>
      <c r="B5264" t="n">
        <v>2027</v>
      </c>
      <c r="C5264" t="n">
        <v>0.0098</v>
      </c>
    </row>
    <row r="5265">
      <c r="A5265" t="n">
        <v>85</v>
      </c>
      <c r="B5265" t="n">
        <v>2028</v>
      </c>
      <c r="C5265" t="n">
        <v>0.0098</v>
      </c>
    </row>
    <row r="5266">
      <c r="A5266" t="n">
        <v>85</v>
      </c>
      <c r="B5266" t="n">
        <v>2029</v>
      </c>
      <c r="C5266" t="n">
        <v>0.0098</v>
      </c>
    </row>
    <row r="5267">
      <c r="A5267" t="n">
        <v>85</v>
      </c>
      <c r="B5267" t="n">
        <v>2030</v>
      </c>
      <c r="C5267" t="n">
        <v>0.0098</v>
      </c>
    </row>
    <row r="5268">
      <c r="A5268" t="n">
        <v>85</v>
      </c>
      <c r="B5268" t="n">
        <v>2031</v>
      </c>
      <c r="C5268" t="n">
        <v>0.009900000000000001</v>
      </c>
    </row>
    <row r="5269">
      <c r="A5269" t="n">
        <v>86</v>
      </c>
      <c r="B5269" t="n">
        <v>1951</v>
      </c>
      <c r="C5269" t="n">
        <v>0.0026</v>
      </c>
    </row>
    <row r="5270">
      <c r="A5270" t="n">
        <v>86</v>
      </c>
      <c r="B5270" t="n">
        <v>1952</v>
      </c>
      <c r="C5270" t="n">
        <v>0.0014</v>
      </c>
    </row>
    <row r="5271">
      <c r="A5271" t="n">
        <v>86</v>
      </c>
      <c r="B5271" t="n">
        <v>1953</v>
      </c>
      <c r="C5271" t="n">
        <v>0.0003</v>
      </c>
    </row>
    <row r="5272">
      <c r="A5272" t="n">
        <v>86</v>
      </c>
      <c r="B5272" t="n">
        <v>1954</v>
      </c>
      <c r="C5272" t="n">
        <v>-0.0008</v>
      </c>
    </row>
    <row r="5273">
      <c r="A5273" t="n">
        <v>86</v>
      </c>
      <c r="B5273" t="n">
        <v>1955</v>
      </c>
      <c r="C5273" t="n">
        <v>-0.0018</v>
      </c>
    </row>
    <row r="5274">
      <c r="A5274" t="n">
        <v>86</v>
      </c>
      <c r="B5274" t="n">
        <v>1956</v>
      </c>
      <c r="C5274" t="n">
        <v>-0.0026</v>
      </c>
    </row>
    <row r="5275">
      <c r="A5275" t="n">
        <v>86</v>
      </c>
      <c r="B5275" t="n">
        <v>1957</v>
      </c>
      <c r="C5275" t="n">
        <v>-0.0032</v>
      </c>
    </row>
    <row r="5276">
      <c r="A5276" t="n">
        <v>86</v>
      </c>
      <c r="B5276" t="n">
        <v>1958</v>
      </c>
      <c r="C5276" t="n">
        <v>-0.0036</v>
      </c>
    </row>
    <row r="5277">
      <c r="A5277" t="n">
        <v>86</v>
      </c>
      <c r="B5277" t="n">
        <v>1959</v>
      </c>
      <c r="C5277" t="n">
        <v>-0.0037</v>
      </c>
    </row>
    <row r="5278">
      <c r="A5278" t="n">
        <v>86</v>
      </c>
      <c r="B5278" t="n">
        <v>1960</v>
      </c>
      <c r="C5278" t="n">
        <v>-0.0035</v>
      </c>
    </row>
    <row r="5279">
      <c r="A5279" t="n">
        <v>86</v>
      </c>
      <c r="B5279" t="n">
        <v>1961</v>
      </c>
      <c r="C5279" t="n">
        <v>-0.003</v>
      </c>
    </row>
    <row r="5280">
      <c r="A5280" t="n">
        <v>86</v>
      </c>
      <c r="B5280" t="n">
        <v>1962</v>
      </c>
      <c r="C5280" t="n">
        <v>-0.0021</v>
      </c>
    </row>
    <row r="5281">
      <c r="A5281" t="n">
        <v>86</v>
      </c>
      <c r="B5281" t="n">
        <v>1963</v>
      </c>
      <c r="C5281" t="n">
        <v>-0.001</v>
      </c>
    </row>
    <row r="5282">
      <c r="A5282" t="n">
        <v>86</v>
      </c>
      <c r="B5282" t="n">
        <v>1964</v>
      </c>
      <c r="C5282" t="n">
        <v>0.0004</v>
      </c>
    </row>
    <row r="5283">
      <c r="A5283" t="n">
        <v>86</v>
      </c>
      <c r="B5283" t="n">
        <v>1965</v>
      </c>
      <c r="C5283" t="n">
        <v>0.0019</v>
      </c>
    </row>
    <row r="5284">
      <c r="A5284" t="n">
        <v>86</v>
      </c>
      <c r="B5284" t="n">
        <v>1966</v>
      </c>
      <c r="C5284" t="n">
        <v>0.0036</v>
      </c>
    </row>
    <row r="5285">
      <c r="A5285" t="n">
        <v>86</v>
      </c>
      <c r="B5285" t="n">
        <v>1967</v>
      </c>
      <c r="C5285" t="n">
        <v>0.0054</v>
      </c>
    </row>
    <row r="5286">
      <c r="A5286" t="n">
        <v>86</v>
      </c>
      <c r="B5286" t="n">
        <v>1968</v>
      </c>
      <c r="C5286" t="n">
        <v>0.0071</v>
      </c>
    </row>
    <row r="5287">
      <c r="A5287" t="n">
        <v>86</v>
      </c>
      <c r="B5287" t="n">
        <v>1969</v>
      </c>
      <c r="C5287" t="n">
        <v>0.008800000000000001</v>
      </c>
    </row>
    <row r="5288">
      <c r="A5288" t="n">
        <v>86</v>
      </c>
      <c r="B5288" t="n">
        <v>1970</v>
      </c>
      <c r="C5288" t="n">
        <v>0.0104</v>
      </c>
    </row>
    <row r="5289">
      <c r="A5289" t="n">
        <v>86</v>
      </c>
      <c r="B5289" t="n">
        <v>1971</v>
      </c>
      <c r="C5289" t="n">
        <v>0.0118</v>
      </c>
    </row>
    <row r="5290">
      <c r="A5290" t="n">
        <v>86</v>
      </c>
      <c r="B5290" t="n">
        <v>1972</v>
      </c>
      <c r="C5290" t="n">
        <v>0.0129</v>
      </c>
    </row>
    <row r="5291">
      <c r="A5291" t="n">
        <v>86</v>
      </c>
      <c r="B5291" t="n">
        <v>1973</v>
      </c>
      <c r="C5291" t="n">
        <v>0.0137</v>
      </c>
    </row>
    <row r="5292">
      <c r="A5292" t="n">
        <v>86</v>
      </c>
      <c r="B5292" t="n">
        <v>1974</v>
      </c>
      <c r="C5292" t="n">
        <v>0.014</v>
      </c>
    </row>
    <row r="5293">
      <c r="A5293" t="n">
        <v>86</v>
      </c>
      <c r="B5293" t="n">
        <v>1975</v>
      </c>
      <c r="C5293" t="n">
        <v>0.014</v>
      </c>
    </row>
    <row r="5294">
      <c r="A5294" t="n">
        <v>86</v>
      </c>
      <c r="B5294" t="n">
        <v>1976</v>
      </c>
      <c r="C5294" t="n">
        <v>0.0135</v>
      </c>
    </row>
    <row r="5295">
      <c r="A5295" t="n">
        <v>86</v>
      </c>
      <c r="B5295" t="n">
        <v>1977</v>
      </c>
      <c r="C5295" t="n">
        <v>0.0126</v>
      </c>
    </row>
    <row r="5296">
      <c r="A5296" t="n">
        <v>86</v>
      </c>
      <c r="B5296" t="n">
        <v>1978</v>
      </c>
      <c r="C5296" t="n">
        <v>0.0113</v>
      </c>
    </row>
    <row r="5297">
      <c r="A5297" t="n">
        <v>86</v>
      </c>
      <c r="B5297" t="n">
        <v>1979</v>
      </c>
      <c r="C5297" t="n">
        <v>0.0098</v>
      </c>
    </row>
    <row r="5298">
      <c r="A5298" t="n">
        <v>86</v>
      </c>
      <c r="B5298" t="n">
        <v>1980</v>
      </c>
      <c r="C5298" t="n">
        <v>0.008200000000000001</v>
      </c>
    </row>
    <row r="5299">
      <c r="A5299" t="n">
        <v>86</v>
      </c>
      <c r="B5299" t="n">
        <v>1981</v>
      </c>
      <c r="C5299" t="n">
        <v>0.0066</v>
      </c>
    </row>
    <row r="5300">
      <c r="A5300" t="n">
        <v>86</v>
      </c>
      <c r="B5300" t="n">
        <v>1982</v>
      </c>
      <c r="C5300" t="n">
        <v>0.0052</v>
      </c>
    </row>
    <row r="5301">
      <c r="A5301" t="n">
        <v>86</v>
      </c>
      <c r="B5301" t="n">
        <v>1983</v>
      </c>
      <c r="C5301" t="n">
        <v>0.0039</v>
      </c>
    </row>
    <row r="5302">
      <c r="A5302" t="n">
        <v>86</v>
      </c>
      <c r="B5302" t="n">
        <v>1984</v>
      </c>
      <c r="C5302" t="n">
        <v>0.0029</v>
      </c>
    </row>
    <row r="5303">
      <c r="A5303" t="n">
        <v>86</v>
      </c>
      <c r="B5303" t="n">
        <v>1985</v>
      </c>
      <c r="C5303" t="n">
        <v>0.0022</v>
      </c>
    </row>
    <row r="5304">
      <c r="A5304" t="n">
        <v>86</v>
      </c>
      <c r="B5304" t="n">
        <v>1986</v>
      </c>
      <c r="C5304" t="n">
        <v>0.0018</v>
      </c>
    </row>
    <row r="5305">
      <c r="A5305" t="n">
        <v>86</v>
      </c>
      <c r="B5305" t="n">
        <v>1987</v>
      </c>
      <c r="C5305" t="n">
        <v>0.0016</v>
      </c>
    </row>
    <row r="5306">
      <c r="A5306" t="n">
        <v>86</v>
      </c>
      <c r="B5306" t="n">
        <v>1988</v>
      </c>
      <c r="C5306" t="n">
        <v>0.0016</v>
      </c>
    </row>
    <row r="5307">
      <c r="A5307" t="n">
        <v>86</v>
      </c>
      <c r="B5307" t="n">
        <v>1989</v>
      </c>
      <c r="C5307" t="n">
        <v>0.0017</v>
      </c>
    </row>
    <row r="5308">
      <c r="A5308" t="n">
        <v>86</v>
      </c>
      <c r="B5308" t="n">
        <v>1990</v>
      </c>
      <c r="C5308" t="n">
        <v>0.0017</v>
      </c>
    </row>
    <row r="5309">
      <c r="A5309" t="n">
        <v>86</v>
      </c>
      <c r="B5309" t="n">
        <v>1991</v>
      </c>
      <c r="C5309" t="n">
        <v>0.0017</v>
      </c>
    </row>
    <row r="5310">
      <c r="A5310" t="n">
        <v>86</v>
      </c>
      <c r="B5310" t="n">
        <v>1992</v>
      </c>
      <c r="C5310" t="n">
        <v>0.0018</v>
      </c>
    </row>
    <row r="5311">
      <c r="A5311" t="n">
        <v>86</v>
      </c>
      <c r="B5311" t="n">
        <v>1993</v>
      </c>
      <c r="C5311" t="n">
        <v>0.0019</v>
      </c>
    </row>
    <row r="5312">
      <c r="A5312" t="n">
        <v>86</v>
      </c>
      <c r="B5312" t="n">
        <v>1994</v>
      </c>
      <c r="C5312" t="n">
        <v>0.0022</v>
      </c>
    </row>
    <row r="5313">
      <c r="A5313" t="n">
        <v>86</v>
      </c>
      <c r="B5313" t="n">
        <v>1995</v>
      </c>
      <c r="C5313" t="n">
        <v>0.0028</v>
      </c>
    </row>
    <row r="5314">
      <c r="A5314" t="n">
        <v>86</v>
      </c>
      <c r="B5314" t="n">
        <v>1996</v>
      </c>
      <c r="C5314" t="n">
        <v>0.0036</v>
      </c>
    </row>
    <row r="5315">
      <c r="A5315" t="n">
        <v>86</v>
      </c>
      <c r="B5315" t="n">
        <v>1997</v>
      </c>
      <c r="C5315" t="n">
        <v>0.0048</v>
      </c>
    </row>
    <row r="5316">
      <c r="A5316" t="n">
        <v>86</v>
      </c>
      <c r="B5316" t="n">
        <v>1998</v>
      </c>
      <c r="C5316" t="n">
        <v>0.0063</v>
      </c>
    </row>
    <row r="5317">
      <c r="A5317" t="n">
        <v>86</v>
      </c>
      <c r="B5317" t="n">
        <v>1999</v>
      </c>
      <c r="C5317" t="n">
        <v>0.0081</v>
      </c>
    </row>
    <row r="5318">
      <c r="A5318" t="n">
        <v>86</v>
      </c>
      <c r="B5318" t="n">
        <v>2000</v>
      </c>
      <c r="C5318" t="n">
        <v>0.0101</v>
      </c>
    </row>
    <row r="5319">
      <c r="A5319" t="n">
        <v>86</v>
      </c>
      <c r="B5319" t="n">
        <v>2001</v>
      </c>
      <c r="C5319" t="n">
        <v>0.0121</v>
      </c>
    </row>
    <row r="5320">
      <c r="A5320" t="n">
        <v>86</v>
      </c>
      <c r="B5320" t="n">
        <v>2002</v>
      </c>
      <c r="C5320" t="n">
        <v>0.014</v>
      </c>
    </row>
    <row r="5321">
      <c r="A5321" t="n">
        <v>86</v>
      </c>
      <c r="B5321" t="n">
        <v>2003</v>
      </c>
      <c r="C5321" t="n">
        <v>0.0157</v>
      </c>
    </row>
    <row r="5322">
      <c r="A5322" t="n">
        <v>86</v>
      </c>
      <c r="B5322" t="n">
        <v>2004</v>
      </c>
      <c r="C5322" t="n">
        <v>0.0169</v>
      </c>
    </row>
    <row r="5323">
      <c r="A5323" t="n">
        <v>86</v>
      </c>
      <c r="B5323" t="n">
        <v>2005</v>
      </c>
      <c r="C5323" t="n">
        <v>0.0176</v>
      </c>
    </row>
    <row r="5324">
      <c r="A5324" t="n">
        <v>86</v>
      </c>
      <c r="B5324" t="n">
        <v>2006</v>
      </c>
      <c r="C5324" t="n">
        <v>0.0178</v>
      </c>
    </row>
    <row r="5325">
      <c r="A5325" t="n">
        <v>86</v>
      </c>
      <c r="B5325" t="n">
        <v>2007</v>
      </c>
      <c r="C5325" t="n">
        <v>0.0174</v>
      </c>
    </row>
    <row r="5326">
      <c r="A5326" t="n">
        <v>86</v>
      </c>
      <c r="B5326" t="n">
        <v>2008</v>
      </c>
      <c r="C5326" t="n">
        <v>0.0165</v>
      </c>
    </row>
    <row r="5327">
      <c r="A5327" t="n">
        <v>86</v>
      </c>
      <c r="B5327" t="n">
        <v>2009</v>
      </c>
      <c r="C5327" t="n">
        <v>0.0153</v>
      </c>
    </row>
    <row r="5328">
      <c r="A5328" t="n">
        <v>86</v>
      </c>
      <c r="B5328" t="n">
        <v>2010</v>
      </c>
      <c r="C5328" t="n">
        <v>0.0137</v>
      </c>
    </row>
    <row r="5329">
      <c r="A5329" t="n">
        <v>86</v>
      </c>
      <c r="B5329" t="n">
        <v>2011</v>
      </c>
      <c r="C5329" t="n">
        <v>0.012</v>
      </c>
    </row>
    <row r="5330">
      <c r="A5330" t="n">
        <v>86</v>
      </c>
      <c r="B5330" t="n">
        <v>2012</v>
      </c>
      <c r="C5330" t="n">
        <v>0.0102</v>
      </c>
    </row>
    <row r="5331">
      <c r="A5331" t="n">
        <v>86</v>
      </c>
      <c r="B5331" t="n">
        <v>2013</v>
      </c>
      <c r="C5331" t="n">
        <v>0.0103</v>
      </c>
    </row>
    <row r="5332">
      <c r="A5332" t="n">
        <v>86</v>
      </c>
      <c r="B5332" t="n">
        <v>2014</v>
      </c>
      <c r="C5332" t="n">
        <v>0.0104</v>
      </c>
    </row>
    <row r="5333">
      <c r="A5333" t="n">
        <v>86</v>
      </c>
      <c r="B5333" t="n">
        <v>2015</v>
      </c>
      <c r="C5333" t="n">
        <v>0.0105</v>
      </c>
    </row>
    <row r="5334">
      <c r="A5334" t="n">
        <v>86</v>
      </c>
      <c r="B5334" t="n">
        <v>2016</v>
      </c>
      <c r="C5334" t="n">
        <v>0.0105</v>
      </c>
    </row>
    <row r="5335">
      <c r="A5335" t="n">
        <v>86</v>
      </c>
      <c r="B5335" t="n">
        <v>2017</v>
      </c>
      <c r="C5335" t="n">
        <v>0.0105</v>
      </c>
    </row>
    <row r="5336">
      <c r="A5336" t="n">
        <v>86</v>
      </c>
      <c r="B5336" t="n">
        <v>2018</v>
      </c>
      <c r="C5336" t="n">
        <v>0.0105</v>
      </c>
    </row>
    <row r="5337">
      <c r="A5337" t="n">
        <v>86</v>
      </c>
      <c r="B5337" t="n">
        <v>2019</v>
      </c>
      <c r="C5337" t="n">
        <v>0.0104</v>
      </c>
    </row>
    <row r="5338">
      <c r="A5338" t="n">
        <v>86</v>
      </c>
      <c r="B5338" t="n">
        <v>2020</v>
      </c>
      <c r="C5338" t="n">
        <v>0.0104</v>
      </c>
    </row>
    <row r="5339">
      <c r="A5339" t="n">
        <v>86</v>
      </c>
      <c r="B5339" t="n">
        <v>2021</v>
      </c>
      <c r="C5339" t="n">
        <v>0.0103</v>
      </c>
    </row>
    <row r="5340">
      <c r="A5340" t="n">
        <v>86</v>
      </c>
      <c r="B5340" t="n">
        <v>2022</v>
      </c>
      <c r="C5340" t="n">
        <v>0.0103</v>
      </c>
    </row>
    <row r="5341">
      <c r="A5341" t="n">
        <v>86</v>
      </c>
      <c r="B5341" t="n">
        <v>2023</v>
      </c>
      <c r="C5341" t="n">
        <v>0.0102</v>
      </c>
    </row>
    <row r="5342">
      <c r="A5342" t="n">
        <v>86</v>
      </c>
      <c r="B5342" t="n">
        <v>2024</v>
      </c>
      <c r="C5342" t="n">
        <v>0.0101</v>
      </c>
    </row>
    <row r="5343">
      <c r="A5343" t="n">
        <v>86</v>
      </c>
      <c r="B5343" t="n">
        <v>2025</v>
      </c>
      <c r="C5343" t="n">
        <v>0.009900000000000001</v>
      </c>
    </row>
    <row r="5344">
      <c r="A5344" t="n">
        <v>86</v>
      </c>
      <c r="B5344" t="n">
        <v>2026</v>
      </c>
      <c r="C5344" t="n">
        <v>0.0098</v>
      </c>
    </row>
    <row r="5345">
      <c r="A5345" t="n">
        <v>86</v>
      </c>
      <c r="B5345" t="n">
        <v>2027</v>
      </c>
      <c r="C5345" t="n">
        <v>0.0097</v>
      </c>
    </row>
    <row r="5346">
      <c r="A5346" t="n">
        <v>86</v>
      </c>
      <c r="B5346" t="n">
        <v>2028</v>
      </c>
      <c r="C5346" t="n">
        <v>0.0097</v>
      </c>
    </row>
    <row r="5347">
      <c r="A5347" t="n">
        <v>86</v>
      </c>
      <c r="B5347" t="n">
        <v>2029</v>
      </c>
      <c r="C5347" t="n">
        <v>0.0097</v>
      </c>
    </row>
    <row r="5348">
      <c r="A5348" t="n">
        <v>86</v>
      </c>
      <c r="B5348" t="n">
        <v>2030</v>
      </c>
      <c r="C5348" t="n">
        <v>0.0097</v>
      </c>
    </row>
    <row r="5349">
      <c r="A5349" t="n">
        <v>86</v>
      </c>
      <c r="B5349" t="n">
        <v>2031</v>
      </c>
      <c r="C5349" t="n">
        <v>0.0098</v>
      </c>
    </row>
    <row r="5350">
      <c r="A5350" t="n">
        <v>87</v>
      </c>
      <c r="B5350" t="n">
        <v>1951</v>
      </c>
      <c r="C5350" t="n">
        <v>0.0011</v>
      </c>
    </row>
    <row r="5351">
      <c r="A5351" t="n">
        <v>87</v>
      </c>
      <c r="B5351" t="n">
        <v>1952</v>
      </c>
      <c r="C5351" t="n">
        <v>0</v>
      </c>
    </row>
    <row r="5352">
      <c r="A5352" t="n">
        <v>87</v>
      </c>
      <c r="B5352" t="n">
        <v>1953</v>
      </c>
      <c r="C5352" t="n">
        <v>-0.001</v>
      </c>
    </row>
    <row r="5353">
      <c r="A5353" t="n">
        <v>87</v>
      </c>
      <c r="B5353" t="n">
        <v>1954</v>
      </c>
      <c r="C5353" t="n">
        <v>-0.002</v>
      </c>
    </row>
    <row r="5354">
      <c r="A5354" t="n">
        <v>87</v>
      </c>
      <c r="B5354" t="n">
        <v>1955</v>
      </c>
      <c r="C5354" t="n">
        <v>-0.0029</v>
      </c>
    </row>
    <row r="5355">
      <c r="A5355" t="n">
        <v>87</v>
      </c>
      <c r="B5355" t="n">
        <v>1956</v>
      </c>
      <c r="C5355" t="n">
        <v>-0.0036</v>
      </c>
    </row>
    <row r="5356">
      <c r="A5356" t="n">
        <v>87</v>
      </c>
      <c r="B5356" t="n">
        <v>1957</v>
      </c>
      <c r="C5356" t="n">
        <v>-0.0041</v>
      </c>
    </row>
    <row r="5357">
      <c r="A5357" t="n">
        <v>87</v>
      </c>
      <c r="B5357" t="n">
        <v>1958</v>
      </c>
      <c r="C5357" t="n">
        <v>-0.0044</v>
      </c>
    </row>
    <row r="5358">
      <c r="A5358" t="n">
        <v>87</v>
      </c>
      <c r="B5358" t="n">
        <v>1959</v>
      </c>
      <c r="C5358" t="n">
        <v>-0.0043</v>
      </c>
    </row>
    <row r="5359">
      <c r="A5359" t="n">
        <v>87</v>
      </c>
      <c r="B5359" t="n">
        <v>1960</v>
      </c>
      <c r="C5359" t="n">
        <v>-0.004</v>
      </c>
    </row>
    <row r="5360">
      <c r="A5360" t="n">
        <v>87</v>
      </c>
      <c r="B5360" t="n">
        <v>1961</v>
      </c>
      <c r="C5360" t="n">
        <v>-0.0033</v>
      </c>
    </row>
    <row r="5361">
      <c r="A5361" t="n">
        <v>87</v>
      </c>
      <c r="B5361" t="n">
        <v>1962</v>
      </c>
      <c r="C5361" t="n">
        <v>-0.0023</v>
      </c>
    </row>
    <row r="5362">
      <c r="A5362" t="n">
        <v>87</v>
      </c>
      <c r="B5362" t="n">
        <v>1963</v>
      </c>
      <c r="C5362" t="n">
        <v>-0.001</v>
      </c>
    </row>
    <row r="5363">
      <c r="A5363" t="n">
        <v>87</v>
      </c>
      <c r="B5363" t="n">
        <v>1964</v>
      </c>
      <c r="C5363" t="n">
        <v>0.0005</v>
      </c>
    </row>
    <row r="5364">
      <c r="A5364" t="n">
        <v>87</v>
      </c>
      <c r="B5364" t="n">
        <v>1965</v>
      </c>
      <c r="C5364" t="n">
        <v>0.0022</v>
      </c>
    </row>
    <row r="5365">
      <c r="A5365" t="n">
        <v>87</v>
      </c>
      <c r="B5365" t="n">
        <v>1966</v>
      </c>
      <c r="C5365" t="n">
        <v>0.004</v>
      </c>
    </row>
    <row r="5366">
      <c r="A5366" t="n">
        <v>87</v>
      </c>
      <c r="B5366" t="n">
        <v>1967</v>
      </c>
      <c r="C5366" t="n">
        <v>0.0058</v>
      </c>
    </row>
    <row r="5367">
      <c r="A5367" t="n">
        <v>87</v>
      </c>
      <c r="B5367" t="n">
        <v>1968</v>
      </c>
      <c r="C5367" t="n">
        <v>0.0075</v>
      </c>
    </row>
    <row r="5368">
      <c r="A5368" t="n">
        <v>87</v>
      </c>
      <c r="B5368" t="n">
        <v>1969</v>
      </c>
      <c r="C5368" t="n">
        <v>0.0092</v>
      </c>
    </row>
    <row r="5369">
      <c r="A5369" t="n">
        <v>87</v>
      </c>
      <c r="B5369" t="n">
        <v>1970</v>
      </c>
      <c r="C5369" t="n">
        <v>0.0107</v>
      </c>
    </row>
    <row r="5370">
      <c r="A5370" t="n">
        <v>87</v>
      </c>
      <c r="B5370" t="n">
        <v>1971</v>
      </c>
      <c r="C5370" t="n">
        <v>0.012</v>
      </c>
    </row>
    <row r="5371">
      <c r="A5371" t="n">
        <v>87</v>
      </c>
      <c r="B5371" t="n">
        <v>1972</v>
      </c>
      <c r="C5371" t="n">
        <v>0.013</v>
      </c>
    </row>
    <row r="5372">
      <c r="A5372" t="n">
        <v>87</v>
      </c>
      <c r="B5372" t="n">
        <v>1973</v>
      </c>
      <c r="C5372" t="n">
        <v>0.0137</v>
      </c>
    </row>
    <row r="5373">
      <c r="A5373" t="n">
        <v>87</v>
      </c>
      <c r="B5373" t="n">
        <v>1974</v>
      </c>
      <c r="C5373" t="n">
        <v>0.014</v>
      </c>
    </row>
    <row r="5374">
      <c r="A5374" t="n">
        <v>87</v>
      </c>
      <c r="B5374" t="n">
        <v>1975</v>
      </c>
      <c r="C5374" t="n">
        <v>0.0139</v>
      </c>
    </row>
    <row r="5375">
      <c r="A5375" t="n">
        <v>87</v>
      </c>
      <c r="B5375" t="n">
        <v>1976</v>
      </c>
      <c r="C5375" t="n">
        <v>0.0134</v>
      </c>
    </row>
    <row r="5376">
      <c r="A5376" t="n">
        <v>87</v>
      </c>
      <c r="B5376" t="n">
        <v>1977</v>
      </c>
      <c r="C5376" t="n">
        <v>0.0125</v>
      </c>
    </row>
    <row r="5377">
      <c r="A5377" t="n">
        <v>87</v>
      </c>
      <c r="B5377" t="n">
        <v>1978</v>
      </c>
      <c r="C5377" t="n">
        <v>0.0113</v>
      </c>
    </row>
    <row r="5378">
      <c r="A5378" t="n">
        <v>87</v>
      </c>
      <c r="B5378" t="n">
        <v>1979</v>
      </c>
      <c r="C5378" t="n">
        <v>0.009900000000000001</v>
      </c>
    </row>
    <row r="5379">
      <c r="A5379" t="n">
        <v>87</v>
      </c>
      <c r="B5379" t="n">
        <v>1980</v>
      </c>
      <c r="C5379" t="n">
        <v>0.0083</v>
      </c>
    </row>
    <row r="5380">
      <c r="A5380" t="n">
        <v>87</v>
      </c>
      <c r="B5380" t="n">
        <v>1981</v>
      </c>
      <c r="C5380" t="n">
        <v>0.0067</v>
      </c>
    </row>
    <row r="5381">
      <c r="A5381" t="n">
        <v>87</v>
      </c>
      <c r="B5381" t="n">
        <v>1982</v>
      </c>
      <c r="C5381" t="n">
        <v>0.0052</v>
      </c>
    </row>
    <row r="5382">
      <c r="A5382" t="n">
        <v>87</v>
      </c>
      <c r="B5382" t="n">
        <v>1983</v>
      </c>
      <c r="C5382" t="n">
        <v>0.0038</v>
      </c>
    </row>
    <row r="5383">
      <c r="A5383" t="n">
        <v>87</v>
      </c>
      <c r="B5383" t="n">
        <v>1984</v>
      </c>
      <c r="C5383" t="n">
        <v>0.0026</v>
      </c>
    </row>
    <row r="5384">
      <c r="A5384" t="n">
        <v>87</v>
      </c>
      <c r="B5384" t="n">
        <v>1985</v>
      </c>
      <c r="C5384" t="n">
        <v>0.0018</v>
      </c>
    </row>
    <row r="5385">
      <c r="A5385" t="n">
        <v>87</v>
      </c>
      <c r="B5385" t="n">
        <v>1986</v>
      </c>
      <c r="C5385" t="n">
        <v>0.0011</v>
      </c>
    </row>
    <row r="5386">
      <c r="A5386" t="n">
        <v>87</v>
      </c>
      <c r="B5386" t="n">
        <v>1987</v>
      </c>
      <c r="C5386" t="n">
        <v>0.0008</v>
      </c>
    </row>
    <row r="5387">
      <c r="A5387" t="n">
        <v>87</v>
      </c>
      <c r="B5387" t="n">
        <v>1988</v>
      </c>
      <c r="C5387" t="n">
        <v>0.0005</v>
      </c>
    </row>
    <row r="5388">
      <c r="A5388" t="n">
        <v>87</v>
      </c>
      <c r="B5388" t="n">
        <v>1989</v>
      </c>
      <c r="C5388" t="n">
        <v>0.0004</v>
      </c>
    </row>
    <row r="5389">
      <c r="A5389" t="n">
        <v>87</v>
      </c>
      <c r="B5389" t="n">
        <v>1990</v>
      </c>
      <c r="C5389" t="n">
        <v>0.0003</v>
      </c>
    </row>
    <row r="5390">
      <c r="A5390" t="n">
        <v>87</v>
      </c>
      <c r="B5390" t="n">
        <v>1991</v>
      </c>
      <c r="C5390" t="n">
        <v>0.0003</v>
      </c>
    </row>
    <row r="5391">
      <c r="A5391" t="n">
        <v>87</v>
      </c>
      <c r="B5391" t="n">
        <v>1992</v>
      </c>
      <c r="C5391" t="n">
        <v>0.0003</v>
      </c>
    </row>
    <row r="5392">
      <c r="A5392" t="n">
        <v>87</v>
      </c>
      <c r="B5392" t="n">
        <v>1993</v>
      </c>
      <c r="C5392" t="n">
        <v>0.0004</v>
      </c>
    </row>
    <row r="5393">
      <c r="A5393" t="n">
        <v>87</v>
      </c>
      <c r="B5393" t="n">
        <v>1994</v>
      </c>
      <c r="C5393" t="n">
        <v>0.0007</v>
      </c>
    </row>
    <row r="5394">
      <c r="A5394" t="n">
        <v>87</v>
      </c>
      <c r="B5394" t="n">
        <v>1995</v>
      </c>
      <c r="C5394" t="n">
        <v>0.0014</v>
      </c>
    </row>
    <row r="5395">
      <c r="A5395" t="n">
        <v>87</v>
      </c>
      <c r="B5395" t="n">
        <v>1996</v>
      </c>
      <c r="C5395" t="n">
        <v>0.0023</v>
      </c>
    </row>
    <row r="5396">
      <c r="A5396" t="n">
        <v>87</v>
      </c>
      <c r="B5396" t="n">
        <v>1997</v>
      </c>
      <c r="C5396" t="n">
        <v>0.0035</v>
      </c>
    </row>
    <row r="5397">
      <c r="A5397" t="n">
        <v>87</v>
      </c>
      <c r="B5397" t="n">
        <v>1998</v>
      </c>
      <c r="C5397" t="n">
        <v>0.0051</v>
      </c>
    </row>
    <row r="5398">
      <c r="A5398" t="n">
        <v>87</v>
      </c>
      <c r="B5398" t="n">
        <v>1999</v>
      </c>
      <c r="C5398" t="n">
        <v>0.0069</v>
      </c>
    </row>
    <row r="5399">
      <c r="A5399" t="n">
        <v>87</v>
      </c>
      <c r="B5399" t="n">
        <v>2000</v>
      </c>
      <c r="C5399" t="n">
        <v>0.008800000000000001</v>
      </c>
    </row>
    <row r="5400">
      <c r="A5400" t="n">
        <v>87</v>
      </c>
      <c r="B5400" t="n">
        <v>2001</v>
      </c>
      <c r="C5400" t="n">
        <v>0.0109</v>
      </c>
    </row>
    <row r="5401">
      <c r="A5401" t="n">
        <v>87</v>
      </c>
      <c r="B5401" t="n">
        <v>2002</v>
      </c>
      <c r="C5401" t="n">
        <v>0.0128</v>
      </c>
    </row>
    <row r="5402">
      <c r="A5402" t="n">
        <v>87</v>
      </c>
      <c r="B5402" t="n">
        <v>2003</v>
      </c>
      <c r="C5402" t="n">
        <v>0.0144</v>
      </c>
    </row>
    <row r="5403">
      <c r="A5403" t="n">
        <v>87</v>
      </c>
      <c r="B5403" t="n">
        <v>2004</v>
      </c>
      <c r="C5403" t="n">
        <v>0.0157</v>
      </c>
    </row>
    <row r="5404">
      <c r="A5404" t="n">
        <v>87</v>
      </c>
      <c r="B5404" t="n">
        <v>2005</v>
      </c>
      <c r="C5404" t="n">
        <v>0.0165</v>
      </c>
    </row>
    <row r="5405">
      <c r="A5405" t="n">
        <v>87</v>
      </c>
      <c r="B5405" t="n">
        <v>2006</v>
      </c>
      <c r="C5405" t="n">
        <v>0.0167</v>
      </c>
    </row>
    <row r="5406">
      <c r="A5406" t="n">
        <v>87</v>
      </c>
      <c r="B5406" t="n">
        <v>2007</v>
      </c>
      <c r="C5406" t="n">
        <v>0.0164</v>
      </c>
    </row>
    <row r="5407">
      <c r="A5407" t="n">
        <v>87</v>
      </c>
      <c r="B5407" t="n">
        <v>2008</v>
      </c>
      <c r="C5407" t="n">
        <v>0.0157</v>
      </c>
    </row>
    <row r="5408">
      <c r="A5408" t="n">
        <v>87</v>
      </c>
      <c r="B5408" t="n">
        <v>2009</v>
      </c>
      <c r="C5408" t="n">
        <v>0.0146</v>
      </c>
    </row>
    <row r="5409">
      <c r="A5409" t="n">
        <v>87</v>
      </c>
      <c r="B5409" t="n">
        <v>2010</v>
      </c>
      <c r="C5409" t="n">
        <v>0.0132</v>
      </c>
    </row>
    <row r="5410">
      <c r="A5410" t="n">
        <v>87</v>
      </c>
      <c r="B5410" t="n">
        <v>2011</v>
      </c>
      <c r="C5410" t="n">
        <v>0.0116</v>
      </c>
    </row>
    <row r="5411">
      <c r="A5411" t="n">
        <v>87</v>
      </c>
      <c r="B5411" t="n">
        <v>2012</v>
      </c>
      <c r="C5411" t="n">
        <v>0.01</v>
      </c>
    </row>
    <row r="5412">
      <c r="A5412" t="n">
        <v>87</v>
      </c>
      <c r="B5412" t="n">
        <v>2013</v>
      </c>
      <c r="C5412" t="n">
        <v>0.0101</v>
      </c>
    </row>
    <row r="5413">
      <c r="A5413" t="n">
        <v>87</v>
      </c>
      <c r="B5413" t="n">
        <v>2014</v>
      </c>
      <c r="C5413" t="n">
        <v>0.0101</v>
      </c>
    </row>
    <row r="5414">
      <c r="A5414" t="n">
        <v>87</v>
      </c>
      <c r="B5414" t="n">
        <v>2015</v>
      </c>
      <c r="C5414" t="n">
        <v>0.0102</v>
      </c>
    </row>
    <row r="5415">
      <c r="A5415" t="n">
        <v>87</v>
      </c>
      <c r="B5415" t="n">
        <v>2016</v>
      </c>
      <c r="C5415" t="n">
        <v>0.0102</v>
      </c>
    </row>
    <row r="5416">
      <c r="A5416" t="n">
        <v>87</v>
      </c>
      <c r="B5416" t="n">
        <v>2017</v>
      </c>
      <c r="C5416" t="n">
        <v>0.0102</v>
      </c>
    </row>
    <row r="5417">
      <c r="A5417" t="n">
        <v>87</v>
      </c>
      <c r="B5417" t="n">
        <v>2018</v>
      </c>
      <c r="C5417" t="n">
        <v>0.0102</v>
      </c>
    </row>
    <row r="5418">
      <c r="A5418" t="n">
        <v>87</v>
      </c>
      <c r="B5418" t="n">
        <v>2019</v>
      </c>
      <c r="C5418" t="n">
        <v>0.0102</v>
      </c>
    </row>
    <row r="5419">
      <c r="A5419" t="n">
        <v>87</v>
      </c>
      <c r="B5419" t="n">
        <v>2020</v>
      </c>
      <c r="C5419" t="n">
        <v>0.0101</v>
      </c>
    </row>
    <row r="5420">
      <c r="A5420" t="n">
        <v>87</v>
      </c>
      <c r="B5420" t="n">
        <v>2021</v>
      </c>
      <c r="C5420" t="n">
        <v>0.0101</v>
      </c>
    </row>
    <row r="5421">
      <c r="A5421" t="n">
        <v>87</v>
      </c>
      <c r="B5421" t="n">
        <v>2022</v>
      </c>
      <c r="C5421" t="n">
        <v>0.01</v>
      </c>
    </row>
    <row r="5422">
      <c r="A5422" t="n">
        <v>87</v>
      </c>
      <c r="B5422" t="n">
        <v>2023</v>
      </c>
      <c r="C5422" t="n">
        <v>0.01</v>
      </c>
    </row>
    <row r="5423">
      <c r="A5423" t="n">
        <v>87</v>
      </c>
      <c r="B5423" t="n">
        <v>2024</v>
      </c>
      <c r="C5423" t="n">
        <v>0.009900000000000001</v>
      </c>
    </row>
    <row r="5424">
      <c r="A5424" t="n">
        <v>87</v>
      </c>
      <c r="B5424" t="n">
        <v>2025</v>
      </c>
      <c r="C5424" t="n">
        <v>0.0098</v>
      </c>
    </row>
    <row r="5425">
      <c r="A5425" t="n">
        <v>87</v>
      </c>
      <c r="B5425" t="n">
        <v>2026</v>
      </c>
      <c r="C5425" t="n">
        <v>0.0097</v>
      </c>
    </row>
    <row r="5426">
      <c r="A5426" t="n">
        <v>87</v>
      </c>
      <c r="B5426" t="n">
        <v>2027</v>
      </c>
      <c r="C5426" t="n">
        <v>0.009599999999999999</v>
      </c>
    </row>
    <row r="5427">
      <c r="A5427" t="n">
        <v>87</v>
      </c>
      <c r="B5427" t="n">
        <v>2028</v>
      </c>
      <c r="C5427" t="n">
        <v>0.009599999999999999</v>
      </c>
    </row>
    <row r="5428">
      <c r="A5428" t="n">
        <v>87</v>
      </c>
      <c r="B5428" t="n">
        <v>2029</v>
      </c>
      <c r="C5428" t="n">
        <v>0.0095</v>
      </c>
    </row>
    <row r="5429">
      <c r="A5429" t="n">
        <v>87</v>
      </c>
      <c r="B5429" t="n">
        <v>2030</v>
      </c>
      <c r="C5429" t="n">
        <v>0.009599999999999999</v>
      </c>
    </row>
    <row r="5430">
      <c r="A5430" t="n">
        <v>87</v>
      </c>
      <c r="B5430" t="n">
        <v>2031</v>
      </c>
      <c r="C5430" t="n">
        <v>0.009599999999999999</v>
      </c>
    </row>
    <row r="5431">
      <c r="A5431" t="n">
        <v>88</v>
      </c>
      <c r="B5431" t="n">
        <v>1951</v>
      </c>
      <c r="C5431" t="n">
        <v>-0.0005999999999999999</v>
      </c>
    </row>
    <row r="5432">
      <c r="A5432" t="n">
        <v>88</v>
      </c>
      <c r="B5432" t="n">
        <v>1952</v>
      </c>
      <c r="C5432" t="n">
        <v>-0.0016</v>
      </c>
    </row>
    <row r="5433">
      <c r="A5433" t="n">
        <v>88</v>
      </c>
      <c r="B5433" t="n">
        <v>1953</v>
      </c>
      <c r="C5433" t="n">
        <v>-0.0025</v>
      </c>
    </row>
    <row r="5434">
      <c r="A5434" t="n">
        <v>88</v>
      </c>
      <c r="B5434" t="n">
        <v>1954</v>
      </c>
      <c r="C5434" t="n">
        <v>-0.0033</v>
      </c>
    </row>
    <row r="5435">
      <c r="A5435" t="n">
        <v>88</v>
      </c>
      <c r="B5435" t="n">
        <v>1955</v>
      </c>
      <c r="C5435" t="n">
        <v>-0.0041</v>
      </c>
    </row>
    <row r="5436">
      <c r="A5436" t="n">
        <v>88</v>
      </c>
      <c r="B5436" t="n">
        <v>1956</v>
      </c>
      <c r="C5436" t="n">
        <v>-0.0046</v>
      </c>
    </row>
    <row r="5437">
      <c r="A5437" t="n">
        <v>88</v>
      </c>
      <c r="B5437" t="n">
        <v>1957</v>
      </c>
      <c r="C5437" t="n">
        <v>-0.005</v>
      </c>
    </row>
    <row r="5438">
      <c r="A5438" t="n">
        <v>88</v>
      </c>
      <c r="B5438" t="n">
        <v>1958</v>
      </c>
      <c r="C5438" t="n">
        <v>-0.0051</v>
      </c>
    </row>
    <row r="5439">
      <c r="A5439" t="n">
        <v>88</v>
      </c>
      <c r="B5439" t="n">
        <v>1959</v>
      </c>
      <c r="C5439" t="n">
        <v>-0.0049</v>
      </c>
    </row>
    <row r="5440">
      <c r="A5440" t="n">
        <v>88</v>
      </c>
      <c r="B5440" t="n">
        <v>1960</v>
      </c>
      <c r="C5440" t="n">
        <v>-0.0044</v>
      </c>
    </row>
    <row r="5441">
      <c r="A5441" t="n">
        <v>88</v>
      </c>
      <c r="B5441" t="n">
        <v>1961</v>
      </c>
      <c r="C5441" t="n">
        <v>-0.0036</v>
      </c>
    </row>
    <row r="5442">
      <c r="A5442" t="n">
        <v>88</v>
      </c>
      <c r="B5442" t="n">
        <v>1962</v>
      </c>
      <c r="C5442" t="n">
        <v>-0.0024</v>
      </c>
    </row>
    <row r="5443">
      <c r="A5443" t="n">
        <v>88</v>
      </c>
      <c r="B5443" t="n">
        <v>1963</v>
      </c>
      <c r="C5443" t="n">
        <v>-0.001</v>
      </c>
    </row>
    <row r="5444">
      <c r="A5444" t="n">
        <v>88</v>
      </c>
      <c r="B5444" t="n">
        <v>1964</v>
      </c>
      <c r="C5444" t="n">
        <v>0.0005999999999999999</v>
      </c>
    </row>
    <row r="5445">
      <c r="A5445" t="n">
        <v>88</v>
      </c>
      <c r="B5445" t="n">
        <v>1965</v>
      </c>
      <c r="C5445" t="n">
        <v>0.0024</v>
      </c>
    </row>
    <row r="5446">
      <c r="A5446" t="n">
        <v>88</v>
      </c>
      <c r="B5446" t="n">
        <v>1966</v>
      </c>
      <c r="C5446" t="n">
        <v>0.0043</v>
      </c>
    </row>
    <row r="5447">
      <c r="A5447" t="n">
        <v>88</v>
      </c>
      <c r="B5447" t="n">
        <v>1967</v>
      </c>
      <c r="C5447" t="n">
        <v>0.0061</v>
      </c>
    </row>
    <row r="5448">
      <c r="A5448" t="n">
        <v>88</v>
      </c>
      <c r="B5448" t="n">
        <v>1968</v>
      </c>
      <c r="C5448" t="n">
        <v>0.007900000000000001</v>
      </c>
    </row>
    <row r="5449">
      <c r="A5449" t="n">
        <v>88</v>
      </c>
      <c r="B5449" t="n">
        <v>1969</v>
      </c>
      <c r="C5449" t="n">
        <v>0.0095</v>
      </c>
    </row>
    <row r="5450">
      <c r="A5450" t="n">
        <v>88</v>
      </c>
      <c r="B5450" t="n">
        <v>1970</v>
      </c>
      <c r="C5450" t="n">
        <v>0.011</v>
      </c>
    </row>
    <row r="5451">
      <c r="A5451" t="n">
        <v>88</v>
      </c>
      <c r="B5451" t="n">
        <v>1971</v>
      </c>
      <c r="C5451" t="n">
        <v>0.0122</v>
      </c>
    </row>
    <row r="5452">
      <c r="A5452" t="n">
        <v>88</v>
      </c>
      <c r="B5452" t="n">
        <v>1972</v>
      </c>
      <c r="C5452" t="n">
        <v>0.0131</v>
      </c>
    </row>
    <row r="5453">
      <c r="A5453" t="n">
        <v>88</v>
      </c>
      <c r="B5453" t="n">
        <v>1973</v>
      </c>
      <c r="C5453" t="n">
        <v>0.0138</v>
      </c>
    </row>
    <row r="5454">
      <c r="A5454" t="n">
        <v>88</v>
      </c>
      <c r="B5454" t="n">
        <v>1974</v>
      </c>
      <c r="C5454" t="n">
        <v>0.014</v>
      </c>
    </row>
    <row r="5455">
      <c r="A5455" t="n">
        <v>88</v>
      </c>
      <c r="B5455" t="n">
        <v>1975</v>
      </c>
      <c r="C5455" t="n">
        <v>0.0139</v>
      </c>
    </row>
    <row r="5456">
      <c r="A5456" t="n">
        <v>88</v>
      </c>
      <c r="B5456" t="n">
        <v>1976</v>
      </c>
      <c r="C5456" t="n">
        <v>0.0133</v>
      </c>
    </row>
    <row r="5457">
      <c r="A5457" t="n">
        <v>88</v>
      </c>
      <c r="B5457" t="n">
        <v>1977</v>
      </c>
      <c r="C5457" t="n">
        <v>0.0125</v>
      </c>
    </row>
    <row r="5458">
      <c r="A5458" t="n">
        <v>88</v>
      </c>
      <c r="B5458" t="n">
        <v>1978</v>
      </c>
      <c r="C5458" t="n">
        <v>0.0113</v>
      </c>
    </row>
    <row r="5459">
      <c r="A5459" t="n">
        <v>88</v>
      </c>
      <c r="B5459" t="n">
        <v>1979</v>
      </c>
      <c r="C5459" t="n">
        <v>0.009900000000000001</v>
      </c>
    </row>
    <row r="5460">
      <c r="A5460" t="n">
        <v>88</v>
      </c>
      <c r="B5460" t="n">
        <v>1980</v>
      </c>
      <c r="C5460" t="n">
        <v>0.008399999999999999</v>
      </c>
    </row>
    <row r="5461">
      <c r="A5461" t="n">
        <v>88</v>
      </c>
      <c r="B5461" t="n">
        <v>1981</v>
      </c>
      <c r="C5461" t="n">
        <v>0.0068</v>
      </c>
    </row>
    <row r="5462">
      <c r="A5462" t="n">
        <v>88</v>
      </c>
      <c r="B5462" t="n">
        <v>1982</v>
      </c>
      <c r="C5462" t="n">
        <v>0.0052</v>
      </c>
    </row>
    <row r="5463">
      <c r="A5463" t="n">
        <v>88</v>
      </c>
      <c r="B5463" t="n">
        <v>1983</v>
      </c>
      <c r="C5463" t="n">
        <v>0.0037</v>
      </c>
    </row>
    <row r="5464">
      <c r="A5464" t="n">
        <v>88</v>
      </c>
      <c r="B5464" t="n">
        <v>1984</v>
      </c>
      <c r="C5464" t="n">
        <v>0.0024</v>
      </c>
    </row>
    <row r="5465">
      <c r="A5465" t="n">
        <v>88</v>
      </c>
      <c r="B5465" t="n">
        <v>1985</v>
      </c>
      <c r="C5465" t="n">
        <v>0.0014</v>
      </c>
    </row>
    <row r="5466">
      <c r="A5466" t="n">
        <v>88</v>
      </c>
      <c r="B5466" t="n">
        <v>1986</v>
      </c>
      <c r="C5466" t="n">
        <v>0.0005</v>
      </c>
    </row>
    <row r="5467">
      <c r="A5467" t="n">
        <v>88</v>
      </c>
      <c r="B5467" t="n">
        <v>1987</v>
      </c>
      <c r="C5467" t="n">
        <v>0</v>
      </c>
    </row>
    <row r="5468">
      <c r="A5468" t="n">
        <v>88</v>
      </c>
      <c r="B5468" t="n">
        <v>1988</v>
      </c>
      <c r="C5468" t="n">
        <v>-0.0005</v>
      </c>
    </row>
    <row r="5469">
      <c r="A5469" t="n">
        <v>88</v>
      </c>
      <c r="B5469" t="n">
        <v>1989</v>
      </c>
      <c r="C5469" t="n">
        <v>-0.0008</v>
      </c>
    </row>
    <row r="5470">
      <c r="A5470" t="n">
        <v>88</v>
      </c>
      <c r="B5470" t="n">
        <v>1990</v>
      </c>
      <c r="C5470" t="n">
        <v>-0.001</v>
      </c>
    </row>
    <row r="5471">
      <c r="A5471" t="n">
        <v>88</v>
      </c>
      <c r="B5471" t="n">
        <v>1991</v>
      </c>
      <c r="C5471" t="n">
        <v>-0.0011</v>
      </c>
    </row>
    <row r="5472">
      <c r="A5472" t="n">
        <v>88</v>
      </c>
      <c r="B5472" t="n">
        <v>1992</v>
      </c>
      <c r="C5472" t="n">
        <v>-0.0012</v>
      </c>
    </row>
    <row r="5473">
      <c r="A5473" t="n">
        <v>88</v>
      </c>
      <c r="B5473" t="n">
        <v>1993</v>
      </c>
      <c r="C5473" t="n">
        <v>-0.0011</v>
      </c>
    </row>
    <row r="5474">
      <c r="A5474" t="n">
        <v>88</v>
      </c>
      <c r="B5474" t="n">
        <v>1994</v>
      </c>
      <c r="C5474" t="n">
        <v>-0.0007</v>
      </c>
    </row>
    <row r="5475">
      <c r="A5475" t="n">
        <v>88</v>
      </c>
      <c r="B5475" t="n">
        <v>1995</v>
      </c>
      <c r="C5475" t="n">
        <v>0</v>
      </c>
    </row>
    <row r="5476">
      <c r="A5476" t="n">
        <v>88</v>
      </c>
      <c r="B5476" t="n">
        <v>1996</v>
      </c>
      <c r="C5476" t="n">
        <v>0.0009</v>
      </c>
    </row>
    <row r="5477">
      <c r="A5477" t="n">
        <v>88</v>
      </c>
      <c r="B5477" t="n">
        <v>1997</v>
      </c>
      <c r="C5477" t="n">
        <v>0.0022</v>
      </c>
    </row>
    <row r="5478">
      <c r="A5478" t="n">
        <v>88</v>
      </c>
      <c r="B5478" t="n">
        <v>1998</v>
      </c>
      <c r="C5478" t="n">
        <v>0.0037</v>
      </c>
    </row>
    <row r="5479">
      <c r="A5479" t="n">
        <v>88</v>
      </c>
      <c r="B5479" t="n">
        <v>1999</v>
      </c>
      <c r="C5479" t="n">
        <v>0.0055</v>
      </c>
    </row>
    <row r="5480">
      <c r="A5480" t="n">
        <v>88</v>
      </c>
      <c r="B5480" t="n">
        <v>2000</v>
      </c>
      <c r="C5480" t="n">
        <v>0.0075</v>
      </c>
    </row>
    <row r="5481">
      <c r="A5481" t="n">
        <v>88</v>
      </c>
      <c r="B5481" t="n">
        <v>2001</v>
      </c>
      <c r="C5481" t="n">
        <v>0.0095</v>
      </c>
    </row>
    <row r="5482">
      <c r="A5482" t="n">
        <v>88</v>
      </c>
      <c r="B5482" t="n">
        <v>2002</v>
      </c>
      <c r="C5482" t="n">
        <v>0.0114</v>
      </c>
    </row>
    <row r="5483">
      <c r="A5483" t="n">
        <v>88</v>
      </c>
      <c r="B5483" t="n">
        <v>2003</v>
      </c>
      <c r="C5483" t="n">
        <v>0.0131</v>
      </c>
    </row>
    <row r="5484">
      <c r="A5484" t="n">
        <v>88</v>
      </c>
      <c r="B5484" t="n">
        <v>2004</v>
      </c>
      <c r="C5484" t="n">
        <v>0.0144</v>
      </c>
    </row>
    <row r="5485">
      <c r="A5485" t="n">
        <v>88</v>
      </c>
      <c r="B5485" t="n">
        <v>2005</v>
      </c>
      <c r="C5485" t="n">
        <v>0.0152</v>
      </c>
    </row>
    <row r="5486">
      <c r="A5486" t="n">
        <v>88</v>
      </c>
      <c r="B5486" t="n">
        <v>2006</v>
      </c>
      <c r="C5486" t="n">
        <v>0.0156</v>
      </c>
    </row>
    <row r="5487">
      <c r="A5487" t="n">
        <v>88</v>
      </c>
      <c r="B5487" t="n">
        <v>2007</v>
      </c>
      <c r="C5487" t="n">
        <v>0.0154</v>
      </c>
    </row>
    <row r="5488">
      <c r="A5488" t="n">
        <v>88</v>
      </c>
      <c r="B5488" t="n">
        <v>2008</v>
      </c>
      <c r="C5488" t="n">
        <v>0.0148</v>
      </c>
    </row>
    <row r="5489">
      <c r="A5489" t="n">
        <v>88</v>
      </c>
      <c r="B5489" t="n">
        <v>2009</v>
      </c>
      <c r="C5489" t="n">
        <v>0.0139</v>
      </c>
    </row>
    <row r="5490">
      <c r="A5490" t="n">
        <v>88</v>
      </c>
      <c r="B5490" t="n">
        <v>2010</v>
      </c>
      <c r="C5490" t="n">
        <v>0.0127</v>
      </c>
    </row>
    <row r="5491">
      <c r="A5491" t="n">
        <v>88</v>
      </c>
      <c r="B5491" t="n">
        <v>2011</v>
      </c>
      <c r="C5491" t="n">
        <v>0.0113</v>
      </c>
    </row>
    <row r="5492">
      <c r="A5492" t="n">
        <v>88</v>
      </c>
      <c r="B5492" t="n">
        <v>2012</v>
      </c>
      <c r="C5492" t="n">
        <v>0.009900000000000001</v>
      </c>
    </row>
    <row r="5493">
      <c r="A5493" t="n">
        <v>88</v>
      </c>
      <c r="B5493" t="n">
        <v>2013</v>
      </c>
      <c r="C5493" t="n">
        <v>0.009900000000000001</v>
      </c>
    </row>
    <row r="5494">
      <c r="A5494" t="n">
        <v>88</v>
      </c>
      <c r="B5494" t="n">
        <v>2014</v>
      </c>
      <c r="C5494" t="n">
        <v>0.009900000000000001</v>
      </c>
    </row>
    <row r="5495">
      <c r="A5495" t="n">
        <v>88</v>
      </c>
      <c r="B5495" t="n">
        <v>2015</v>
      </c>
      <c r="C5495" t="n">
        <v>0.009900000000000001</v>
      </c>
    </row>
    <row r="5496">
      <c r="A5496" t="n">
        <v>88</v>
      </c>
      <c r="B5496" t="n">
        <v>2016</v>
      </c>
      <c r="C5496" t="n">
        <v>0.01</v>
      </c>
    </row>
    <row r="5497">
      <c r="A5497" t="n">
        <v>88</v>
      </c>
      <c r="B5497" t="n">
        <v>2017</v>
      </c>
      <c r="C5497" t="n">
        <v>0.01</v>
      </c>
    </row>
    <row r="5498">
      <c r="A5498" t="n">
        <v>88</v>
      </c>
      <c r="B5498" t="n">
        <v>2018</v>
      </c>
      <c r="C5498" t="n">
        <v>0.009900000000000001</v>
      </c>
    </row>
    <row r="5499">
      <c r="A5499" t="n">
        <v>88</v>
      </c>
      <c r="B5499" t="n">
        <v>2019</v>
      </c>
      <c r="C5499" t="n">
        <v>0.009900000000000001</v>
      </c>
    </row>
    <row r="5500">
      <c r="A5500" t="n">
        <v>88</v>
      </c>
      <c r="B5500" t="n">
        <v>2020</v>
      </c>
      <c r="C5500" t="n">
        <v>0.009900000000000001</v>
      </c>
    </row>
    <row r="5501">
      <c r="A5501" t="n">
        <v>88</v>
      </c>
      <c r="B5501" t="n">
        <v>2021</v>
      </c>
      <c r="C5501" t="n">
        <v>0.0098</v>
      </c>
    </row>
    <row r="5502">
      <c r="A5502" t="n">
        <v>88</v>
      </c>
      <c r="B5502" t="n">
        <v>2022</v>
      </c>
      <c r="C5502" t="n">
        <v>0.0098</v>
      </c>
    </row>
    <row r="5503">
      <c r="A5503" t="n">
        <v>88</v>
      </c>
      <c r="B5503" t="n">
        <v>2023</v>
      </c>
      <c r="C5503" t="n">
        <v>0.0098</v>
      </c>
    </row>
    <row r="5504">
      <c r="A5504" t="n">
        <v>88</v>
      </c>
      <c r="B5504" t="n">
        <v>2024</v>
      </c>
      <c r="C5504" t="n">
        <v>0.0097</v>
      </c>
    </row>
    <row r="5505">
      <c r="A5505" t="n">
        <v>88</v>
      </c>
      <c r="B5505" t="n">
        <v>2025</v>
      </c>
      <c r="C5505" t="n">
        <v>0.0097</v>
      </c>
    </row>
    <row r="5506">
      <c r="A5506" t="n">
        <v>88</v>
      </c>
      <c r="B5506" t="n">
        <v>2026</v>
      </c>
      <c r="C5506" t="n">
        <v>0.009599999999999999</v>
      </c>
    </row>
    <row r="5507">
      <c r="A5507" t="n">
        <v>88</v>
      </c>
      <c r="B5507" t="n">
        <v>2027</v>
      </c>
      <c r="C5507" t="n">
        <v>0.0095</v>
      </c>
    </row>
    <row r="5508">
      <c r="A5508" t="n">
        <v>88</v>
      </c>
      <c r="B5508" t="n">
        <v>2028</v>
      </c>
      <c r="C5508" t="n">
        <v>0.0095</v>
      </c>
    </row>
    <row r="5509">
      <c r="A5509" t="n">
        <v>88</v>
      </c>
      <c r="B5509" t="n">
        <v>2029</v>
      </c>
      <c r="C5509" t="n">
        <v>0.0094</v>
      </c>
    </row>
    <row r="5510">
      <c r="A5510" t="n">
        <v>88</v>
      </c>
      <c r="B5510" t="n">
        <v>2030</v>
      </c>
      <c r="C5510" t="n">
        <v>0.0094</v>
      </c>
    </row>
    <row r="5511">
      <c r="A5511" t="n">
        <v>88</v>
      </c>
      <c r="B5511" t="n">
        <v>2031</v>
      </c>
      <c r="C5511" t="n">
        <v>0.0095</v>
      </c>
    </row>
    <row r="5512">
      <c r="A5512" t="n">
        <v>89</v>
      </c>
      <c r="B5512" t="n">
        <v>1951</v>
      </c>
      <c r="C5512" t="n">
        <v>-0.0026</v>
      </c>
    </row>
    <row r="5513">
      <c r="A5513" t="n">
        <v>89</v>
      </c>
      <c r="B5513" t="n">
        <v>1952</v>
      </c>
      <c r="C5513" t="n">
        <v>-0.0033</v>
      </c>
    </row>
    <row r="5514">
      <c r="A5514" t="n">
        <v>89</v>
      </c>
      <c r="B5514" t="n">
        <v>1953</v>
      </c>
      <c r="C5514" t="n">
        <v>-0.004</v>
      </c>
    </row>
    <row r="5515">
      <c r="A5515" t="n">
        <v>89</v>
      </c>
      <c r="B5515" t="n">
        <v>1954</v>
      </c>
      <c r="C5515" t="n">
        <v>-0.0047</v>
      </c>
    </row>
    <row r="5516">
      <c r="A5516" t="n">
        <v>89</v>
      </c>
      <c r="B5516" t="n">
        <v>1955</v>
      </c>
      <c r="C5516" t="n">
        <v>-0.0053</v>
      </c>
    </row>
    <row r="5517">
      <c r="A5517" t="n">
        <v>89</v>
      </c>
      <c r="B5517" t="n">
        <v>1956</v>
      </c>
      <c r="C5517" t="n">
        <v>-0.0057</v>
      </c>
    </row>
    <row r="5518">
      <c r="A5518" t="n">
        <v>89</v>
      </c>
      <c r="B5518" t="n">
        <v>1957</v>
      </c>
      <c r="C5518" t="n">
        <v>-0.0059</v>
      </c>
    </row>
    <row r="5519">
      <c r="A5519" t="n">
        <v>89</v>
      </c>
      <c r="B5519" t="n">
        <v>1958</v>
      </c>
      <c r="C5519" t="n">
        <v>-0.0058</v>
      </c>
    </row>
    <row r="5520">
      <c r="A5520" t="n">
        <v>89</v>
      </c>
      <c r="B5520" t="n">
        <v>1959</v>
      </c>
      <c r="C5520" t="n">
        <v>-0.0054</v>
      </c>
    </row>
    <row r="5521">
      <c r="A5521" t="n">
        <v>89</v>
      </c>
      <c r="B5521" t="n">
        <v>1960</v>
      </c>
      <c r="C5521" t="n">
        <v>-0.0048</v>
      </c>
    </row>
    <row r="5522">
      <c r="A5522" t="n">
        <v>89</v>
      </c>
      <c r="B5522" t="n">
        <v>1961</v>
      </c>
      <c r="C5522" t="n">
        <v>-0.0038</v>
      </c>
    </row>
    <row r="5523">
      <c r="A5523" t="n">
        <v>89</v>
      </c>
      <c r="B5523" t="n">
        <v>1962</v>
      </c>
      <c r="C5523" t="n">
        <v>-0.0025</v>
      </c>
    </row>
    <row r="5524">
      <c r="A5524" t="n">
        <v>89</v>
      </c>
      <c r="B5524" t="n">
        <v>1963</v>
      </c>
      <c r="C5524" t="n">
        <v>-0.001</v>
      </c>
    </row>
    <row r="5525">
      <c r="A5525" t="n">
        <v>89</v>
      </c>
      <c r="B5525" t="n">
        <v>1964</v>
      </c>
      <c r="C5525" t="n">
        <v>0.0007</v>
      </c>
    </row>
    <row r="5526">
      <c r="A5526" t="n">
        <v>89</v>
      </c>
      <c r="B5526" t="n">
        <v>1965</v>
      </c>
      <c r="C5526" t="n">
        <v>0.0026</v>
      </c>
    </row>
    <row r="5527">
      <c r="A5527" t="n">
        <v>89</v>
      </c>
      <c r="B5527" t="n">
        <v>1966</v>
      </c>
      <c r="C5527" t="n">
        <v>0.0045</v>
      </c>
    </row>
    <row r="5528">
      <c r="A5528" t="n">
        <v>89</v>
      </c>
      <c r="B5528" t="n">
        <v>1967</v>
      </c>
      <c r="C5528" t="n">
        <v>0.0064</v>
      </c>
    </row>
    <row r="5529">
      <c r="A5529" t="n">
        <v>89</v>
      </c>
      <c r="B5529" t="n">
        <v>1968</v>
      </c>
      <c r="C5529" t="n">
        <v>0.008200000000000001</v>
      </c>
    </row>
    <row r="5530">
      <c r="A5530" t="n">
        <v>89</v>
      </c>
      <c r="B5530" t="n">
        <v>1969</v>
      </c>
      <c r="C5530" t="n">
        <v>0.0098</v>
      </c>
    </row>
    <row r="5531">
      <c r="A5531" t="n">
        <v>89</v>
      </c>
      <c r="B5531" t="n">
        <v>1970</v>
      </c>
      <c r="C5531" t="n">
        <v>0.0112</v>
      </c>
    </row>
    <row r="5532">
      <c r="A5532" t="n">
        <v>89</v>
      </c>
      <c r="B5532" t="n">
        <v>1971</v>
      </c>
      <c r="C5532" t="n">
        <v>0.0124</v>
      </c>
    </row>
    <row r="5533">
      <c r="A5533" t="n">
        <v>89</v>
      </c>
      <c r="B5533" t="n">
        <v>1972</v>
      </c>
      <c r="C5533" t="n">
        <v>0.0132</v>
      </c>
    </row>
    <row r="5534">
      <c r="A5534" t="n">
        <v>89</v>
      </c>
      <c r="B5534" t="n">
        <v>1973</v>
      </c>
      <c r="C5534" t="n">
        <v>0.0138</v>
      </c>
    </row>
    <row r="5535">
      <c r="A5535" t="n">
        <v>89</v>
      </c>
      <c r="B5535" t="n">
        <v>1974</v>
      </c>
      <c r="C5535" t="n">
        <v>0.014</v>
      </c>
    </row>
    <row r="5536">
      <c r="A5536" t="n">
        <v>89</v>
      </c>
      <c r="B5536" t="n">
        <v>1975</v>
      </c>
      <c r="C5536" t="n">
        <v>0.0138</v>
      </c>
    </row>
    <row r="5537">
      <c r="A5537" t="n">
        <v>89</v>
      </c>
      <c r="B5537" t="n">
        <v>1976</v>
      </c>
      <c r="C5537" t="n">
        <v>0.0133</v>
      </c>
    </row>
    <row r="5538">
      <c r="A5538" t="n">
        <v>89</v>
      </c>
      <c r="B5538" t="n">
        <v>1977</v>
      </c>
      <c r="C5538" t="n">
        <v>0.0124</v>
      </c>
    </row>
    <row r="5539">
      <c r="A5539" t="n">
        <v>89</v>
      </c>
      <c r="B5539" t="n">
        <v>1978</v>
      </c>
      <c r="C5539" t="n">
        <v>0.0113</v>
      </c>
    </row>
    <row r="5540">
      <c r="A5540" t="n">
        <v>89</v>
      </c>
      <c r="B5540" t="n">
        <v>1979</v>
      </c>
      <c r="C5540" t="n">
        <v>0.009900000000000001</v>
      </c>
    </row>
    <row r="5541">
      <c r="A5541" t="n">
        <v>89</v>
      </c>
      <c r="B5541" t="n">
        <v>1980</v>
      </c>
      <c r="C5541" t="n">
        <v>0.008399999999999999</v>
      </c>
    </row>
    <row r="5542">
      <c r="A5542" t="n">
        <v>89</v>
      </c>
      <c r="B5542" t="n">
        <v>1981</v>
      </c>
      <c r="C5542" t="n">
        <v>0.0068</v>
      </c>
    </row>
    <row r="5543">
      <c r="A5543" t="n">
        <v>89</v>
      </c>
      <c r="B5543" t="n">
        <v>1982</v>
      </c>
      <c r="C5543" t="n">
        <v>0.0052</v>
      </c>
    </row>
    <row r="5544">
      <c r="A5544" t="n">
        <v>89</v>
      </c>
      <c r="B5544" t="n">
        <v>1983</v>
      </c>
      <c r="C5544" t="n">
        <v>0.0036</v>
      </c>
    </row>
    <row r="5545">
      <c r="A5545" t="n">
        <v>89</v>
      </c>
      <c r="B5545" t="n">
        <v>1984</v>
      </c>
      <c r="C5545" t="n">
        <v>0.0022</v>
      </c>
    </row>
    <row r="5546">
      <c r="A5546" t="n">
        <v>89</v>
      </c>
      <c r="B5546" t="n">
        <v>1985</v>
      </c>
      <c r="C5546" t="n">
        <v>0.001</v>
      </c>
    </row>
    <row r="5547">
      <c r="A5547" t="n">
        <v>89</v>
      </c>
      <c r="B5547" t="n">
        <v>1986</v>
      </c>
      <c r="C5547" t="n">
        <v>0</v>
      </c>
    </row>
    <row r="5548">
      <c r="A5548" t="n">
        <v>89</v>
      </c>
      <c r="B5548" t="n">
        <v>1987</v>
      </c>
      <c r="C5548" t="n">
        <v>-0.0008</v>
      </c>
    </row>
    <row r="5549">
      <c r="A5549" t="n">
        <v>89</v>
      </c>
      <c r="B5549" t="n">
        <v>1988</v>
      </c>
      <c r="C5549" t="n">
        <v>-0.0014</v>
      </c>
    </row>
    <row r="5550">
      <c r="A5550" t="n">
        <v>89</v>
      </c>
      <c r="B5550" t="n">
        <v>1989</v>
      </c>
      <c r="C5550" t="n">
        <v>-0.0019</v>
      </c>
    </row>
    <row r="5551">
      <c r="A5551" t="n">
        <v>89</v>
      </c>
      <c r="B5551" t="n">
        <v>1990</v>
      </c>
      <c r="C5551" t="n">
        <v>-0.0022</v>
      </c>
    </row>
    <row r="5552">
      <c r="A5552" t="n">
        <v>89</v>
      </c>
      <c r="B5552" t="n">
        <v>1991</v>
      </c>
      <c r="C5552" t="n">
        <v>-0.0025</v>
      </c>
    </row>
    <row r="5553">
      <c r="A5553" t="n">
        <v>89</v>
      </c>
      <c r="B5553" t="n">
        <v>1992</v>
      </c>
      <c r="C5553" t="n">
        <v>-0.0025</v>
      </c>
    </row>
    <row r="5554">
      <c r="A5554" t="n">
        <v>89</v>
      </c>
      <c r="B5554" t="n">
        <v>1993</v>
      </c>
      <c r="C5554" t="n">
        <v>-0.0024</v>
      </c>
    </row>
    <row r="5555">
      <c r="A5555" t="n">
        <v>89</v>
      </c>
      <c r="B5555" t="n">
        <v>1994</v>
      </c>
      <c r="C5555" t="n">
        <v>-0.0021</v>
      </c>
    </row>
    <row r="5556">
      <c r="A5556" t="n">
        <v>89</v>
      </c>
      <c r="B5556" t="n">
        <v>1995</v>
      </c>
      <c r="C5556" t="n">
        <v>-0.0014</v>
      </c>
    </row>
    <row r="5557">
      <c r="A5557" t="n">
        <v>89</v>
      </c>
      <c r="B5557" t="n">
        <v>1996</v>
      </c>
      <c r="C5557" t="n">
        <v>-0.0005</v>
      </c>
    </row>
    <row r="5558">
      <c r="A5558" t="n">
        <v>89</v>
      </c>
      <c r="B5558" t="n">
        <v>1997</v>
      </c>
      <c r="C5558" t="n">
        <v>0.0008</v>
      </c>
    </row>
    <row r="5559">
      <c r="A5559" t="n">
        <v>89</v>
      </c>
      <c r="B5559" t="n">
        <v>1998</v>
      </c>
      <c r="C5559" t="n">
        <v>0.0023</v>
      </c>
    </row>
    <row r="5560">
      <c r="A5560" t="n">
        <v>89</v>
      </c>
      <c r="B5560" t="n">
        <v>1999</v>
      </c>
      <c r="C5560" t="n">
        <v>0.0041</v>
      </c>
    </row>
    <row r="5561">
      <c r="A5561" t="n">
        <v>89</v>
      </c>
      <c r="B5561" t="n">
        <v>2000</v>
      </c>
      <c r="C5561" t="n">
        <v>0.006</v>
      </c>
    </row>
    <row r="5562">
      <c r="A5562" t="n">
        <v>89</v>
      </c>
      <c r="B5562" t="n">
        <v>2001</v>
      </c>
      <c r="C5562" t="n">
        <v>0.008</v>
      </c>
    </row>
    <row r="5563">
      <c r="A5563" t="n">
        <v>89</v>
      </c>
      <c r="B5563" t="n">
        <v>2002</v>
      </c>
      <c r="C5563" t="n">
        <v>0.009900000000000001</v>
      </c>
    </row>
    <row r="5564">
      <c r="A5564" t="n">
        <v>89</v>
      </c>
      <c r="B5564" t="n">
        <v>2003</v>
      </c>
      <c r="C5564" t="n">
        <v>0.0116</v>
      </c>
    </row>
    <row r="5565">
      <c r="A5565" t="n">
        <v>89</v>
      </c>
      <c r="B5565" t="n">
        <v>2004</v>
      </c>
      <c r="C5565" t="n">
        <v>0.0129</v>
      </c>
    </row>
    <row r="5566">
      <c r="A5566" t="n">
        <v>89</v>
      </c>
      <c r="B5566" t="n">
        <v>2005</v>
      </c>
      <c r="C5566" t="n">
        <v>0.0138</v>
      </c>
    </row>
    <row r="5567">
      <c r="A5567" t="n">
        <v>89</v>
      </c>
      <c r="B5567" t="n">
        <v>2006</v>
      </c>
      <c r="C5567" t="n">
        <v>0.0143</v>
      </c>
    </row>
    <row r="5568">
      <c r="A5568" t="n">
        <v>89</v>
      </c>
      <c r="B5568" t="n">
        <v>2007</v>
      </c>
      <c r="C5568" t="n">
        <v>0.0143</v>
      </c>
    </row>
    <row r="5569">
      <c r="A5569" t="n">
        <v>89</v>
      </c>
      <c r="B5569" t="n">
        <v>2008</v>
      </c>
      <c r="C5569" t="n">
        <v>0.0139</v>
      </c>
    </row>
    <row r="5570">
      <c r="A5570" t="n">
        <v>89</v>
      </c>
      <c r="B5570" t="n">
        <v>2009</v>
      </c>
      <c r="C5570" t="n">
        <v>0.0132</v>
      </c>
    </row>
    <row r="5571">
      <c r="A5571" t="n">
        <v>89</v>
      </c>
      <c r="B5571" t="n">
        <v>2010</v>
      </c>
      <c r="C5571" t="n">
        <v>0.0122</v>
      </c>
    </row>
    <row r="5572">
      <c r="A5572" t="n">
        <v>89</v>
      </c>
      <c r="B5572" t="n">
        <v>2011</v>
      </c>
      <c r="C5572" t="n">
        <v>0.0111</v>
      </c>
    </row>
    <row r="5573">
      <c r="A5573" t="n">
        <v>89</v>
      </c>
      <c r="B5573" t="n">
        <v>2012</v>
      </c>
      <c r="C5573" t="n">
        <v>0.0098</v>
      </c>
    </row>
    <row r="5574">
      <c r="A5574" t="n">
        <v>89</v>
      </c>
      <c r="B5574" t="n">
        <v>2013</v>
      </c>
      <c r="C5574" t="n">
        <v>0.0098</v>
      </c>
    </row>
    <row r="5575">
      <c r="A5575" t="n">
        <v>89</v>
      </c>
      <c r="B5575" t="n">
        <v>2014</v>
      </c>
      <c r="C5575" t="n">
        <v>0.0098</v>
      </c>
    </row>
    <row r="5576">
      <c r="A5576" t="n">
        <v>89</v>
      </c>
      <c r="B5576" t="n">
        <v>2015</v>
      </c>
      <c r="C5576" t="n">
        <v>0.0098</v>
      </c>
    </row>
    <row r="5577">
      <c r="A5577" t="n">
        <v>89</v>
      </c>
      <c r="B5577" t="n">
        <v>2016</v>
      </c>
      <c r="C5577" t="n">
        <v>0.0098</v>
      </c>
    </row>
    <row r="5578">
      <c r="A5578" t="n">
        <v>89</v>
      </c>
      <c r="B5578" t="n">
        <v>2017</v>
      </c>
      <c r="C5578" t="n">
        <v>0.0097</v>
      </c>
    </row>
    <row r="5579">
      <c r="A5579" t="n">
        <v>89</v>
      </c>
      <c r="B5579" t="n">
        <v>2018</v>
      </c>
      <c r="C5579" t="n">
        <v>0.0097</v>
      </c>
    </row>
    <row r="5580">
      <c r="A5580" t="n">
        <v>89</v>
      </c>
      <c r="B5580" t="n">
        <v>2019</v>
      </c>
      <c r="C5580" t="n">
        <v>0.0097</v>
      </c>
    </row>
    <row r="5581">
      <c r="A5581" t="n">
        <v>89</v>
      </c>
      <c r="B5581" t="n">
        <v>2020</v>
      </c>
      <c r="C5581" t="n">
        <v>0.009599999999999999</v>
      </c>
    </row>
    <row r="5582">
      <c r="A5582" t="n">
        <v>89</v>
      </c>
      <c r="B5582" t="n">
        <v>2021</v>
      </c>
      <c r="C5582" t="n">
        <v>0.009599999999999999</v>
      </c>
    </row>
    <row r="5583">
      <c r="A5583" t="n">
        <v>89</v>
      </c>
      <c r="B5583" t="n">
        <v>2022</v>
      </c>
      <c r="C5583" t="n">
        <v>0.0095</v>
      </c>
    </row>
    <row r="5584">
      <c r="A5584" t="n">
        <v>89</v>
      </c>
      <c r="B5584" t="n">
        <v>2023</v>
      </c>
      <c r="C5584" t="n">
        <v>0.0095</v>
      </c>
    </row>
    <row r="5585">
      <c r="A5585" t="n">
        <v>89</v>
      </c>
      <c r="B5585" t="n">
        <v>2024</v>
      </c>
      <c r="C5585" t="n">
        <v>0.0095</v>
      </c>
    </row>
    <row r="5586">
      <c r="A5586" t="n">
        <v>89</v>
      </c>
      <c r="B5586" t="n">
        <v>2025</v>
      </c>
      <c r="C5586" t="n">
        <v>0.0095</v>
      </c>
    </row>
    <row r="5587">
      <c r="A5587" t="n">
        <v>89</v>
      </c>
      <c r="B5587" t="n">
        <v>2026</v>
      </c>
      <c r="C5587" t="n">
        <v>0.0095</v>
      </c>
    </row>
    <row r="5588">
      <c r="A5588" t="n">
        <v>89</v>
      </c>
      <c r="B5588" t="n">
        <v>2027</v>
      </c>
      <c r="C5588" t="n">
        <v>0.0094</v>
      </c>
    </row>
    <row r="5589">
      <c r="A5589" t="n">
        <v>89</v>
      </c>
      <c r="B5589" t="n">
        <v>2028</v>
      </c>
      <c r="C5589" t="n">
        <v>0.009299999999999999</v>
      </c>
    </row>
    <row r="5590">
      <c r="A5590" t="n">
        <v>89</v>
      </c>
      <c r="B5590" t="n">
        <v>2029</v>
      </c>
      <c r="C5590" t="n">
        <v>0.009299999999999999</v>
      </c>
    </row>
    <row r="5591">
      <c r="A5591" t="n">
        <v>89</v>
      </c>
      <c r="B5591" t="n">
        <v>2030</v>
      </c>
      <c r="C5591" t="n">
        <v>0.009299999999999999</v>
      </c>
    </row>
    <row r="5592">
      <c r="A5592" t="n">
        <v>89</v>
      </c>
      <c r="B5592" t="n">
        <v>2031</v>
      </c>
      <c r="C5592" t="n">
        <v>0.009299999999999999</v>
      </c>
    </row>
    <row r="5593">
      <c r="A5593" t="n">
        <v>90</v>
      </c>
      <c r="B5593" t="n">
        <v>1951</v>
      </c>
      <c r="C5593" t="n">
        <v>-0.0048</v>
      </c>
    </row>
    <row r="5594">
      <c r="A5594" t="n">
        <v>90</v>
      </c>
      <c r="B5594" t="n">
        <v>1952</v>
      </c>
      <c r="C5594" t="n">
        <v>-0.0053</v>
      </c>
    </row>
    <row r="5595">
      <c r="A5595" t="n">
        <v>90</v>
      </c>
      <c r="B5595" t="n">
        <v>1953</v>
      </c>
      <c r="C5595" t="n">
        <v>-0.0058</v>
      </c>
    </row>
    <row r="5596">
      <c r="A5596" t="n">
        <v>90</v>
      </c>
      <c r="B5596" t="n">
        <v>1954</v>
      </c>
      <c r="C5596" t="n">
        <v>-0.0062</v>
      </c>
    </row>
    <row r="5597">
      <c r="A5597" t="n">
        <v>90</v>
      </c>
      <c r="B5597" t="n">
        <v>1955</v>
      </c>
      <c r="C5597" t="n">
        <v>-0.0065</v>
      </c>
    </row>
    <row r="5598">
      <c r="A5598" t="n">
        <v>90</v>
      </c>
      <c r="B5598" t="n">
        <v>1956</v>
      </c>
      <c r="C5598" t="n">
        <v>-0.0067</v>
      </c>
    </row>
    <row r="5599">
      <c r="A5599" t="n">
        <v>90</v>
      </c>
      <c r="B5599" t="n">
        <v>1957</v>
      </c>
      <c r="C5599" t="n">
        <v>-0.0067</v>
      </c>
    </row>
    <row r="5600">
      <c r="A5600" t="n">
        <v>90</v>
      </c>
      <c r="B5600" t="n">
        <v>1958</v>
      </c>
      <c r="C5600" t="n">
        <v>-0.0064</v>
      </c>
    </row>
    <row r="5601">
      <c r="A5601" t="n">
        <v>90</v>
      </c>
      <c r="B5601" t="n">
        <v>1959</v>
      </c>
      <c r="C5601" t="n">
        <v>-0.0059</v>
      </c>
    </row>
    <row r="5602">
      <c r="A5602" t="n">
        <v>90</v>
      </c>
      <c r="B5602" t="n">
        <v>1960</v>
      </c>
      <c r="C5602" t="n">
        <v>-0.0051</v>
      </c>
    </row>
    <row r="5603">
      <c r="A5603" t="n">
        <v>90</v>
      </c>
      <c r="B5603" t="n">
        <v>1961</v>
      </c>
      <c r="C5603" t="n">
        <v>-0.004</v>
      </c>
    </row>
    <row r="5604">
      <c r="A5604" t="n">
        <v>90</v>
      </c>
      <c r="B5604" t="n">
        <v>1962</v>
      </c>
      <c r="C5604" t="n">
        <v>-0.0026</v>
      </c>
    </row>
    <row r="5605">
      <c r="A5605" t="n">
        <v>90</v>
      </c>
      <c r="B5605" t="n">
        <v>1963</v>
      </c>
      <c r="C5605" t="n">
        <v>-0.0009</v>
      </c>
    </row>
    <row r="5606">
      <c r="A5606" t="n">
        <v>90</v>
      </c>
      <c r="B5606" t="n">
        <v>1964</v>
      </c>
      <c r="C5606" t="n">
        <v>0.0009</v>
      </c>
    </row>
    <row r="5607">
      <c r="A5607" t="n">
        <v>90</v>
      </c>
      <c r="B5607" t="n">
        <v>1965</v>
      </c>
      <c r="C5607" t="n">
        <v>0.0028</v>
      </c>
    </row>
    <row r="5608">
      <c r="A5608" t="n">
        <v>90</v>
      </c>
      <c r="B5608" t="n">
        <v>1966</v>
      </c>
      <c r="C5608" t="n">
        <v>0.0047</v>
      </c>
    </row>
    <row r="5609">
      <c r="A5609" t="n">
        <v>90</v>
      </c>
      <c r="B5609" t="n">
        <v>1967</v>
      </c>
      <c r="C5609" t="n">
        <v>0.0066</v>
      </c>
    </row>
    <row r="5610">
      <c r="A5610" t="n">
        <v>90</v>
      </c>
      <c r="B5610" t="n">
        <v>1968</v>
      </c>
      <c r="C5610" t="n">
        <v>0.008399999999999999</v>
      </c>
    </row>
    <row r="5611">
      <c r="A5611" t="n">
        <v>90</v>
      </c>
      <c r="B5611" t="n">
        <v>1969</v>
      </c>
      <c r="C5611" t="n">
        <v>0.01</v>
      </c>
    </row>
    <row r="5612">
      <c r="A5612" t="n">
        <v>90</v>
      </c>
      <c r="B5612" t="n">
        <v>1970</v>
      </c>
      <c r="C5612" t="n">
        <v>0.0113</v>
      </c>
    </row>
    <row r="5613">
      <c r="A5613" t="n">
        <v>90</v>
      </c>
      <c r="B5613" t="n">
        <v>1971</v>
      </c>
      <c r="C5613" t="n">
        <v>0.0124</v>
      </c>
    </row>
    <row r="5614">
      <c r="A5614" t="n">
        <v>90</v>
      </c>
      <c r="B5614" t="n">
        <v>1972</v>
      </c>
      <c r="C5614" t="n">
        <v>0.0132</v>
      </c>
    </row>
    <row r="5615">
      <c r="A5615" t="n">
        <v>90</v>
      </c>
      <c r="B5615" t="n">
        <v>1973</v>
      </c>
      <c r="C5615" t="n">
        <v>0.0137</v>
      </c>
    </row>
    <row r="5616">
      <c r="A5616" t="n">
        <v>90</v>
      </c>
      <c r="B5616" t="n">
        <v>1974</v>
      </c>
      <c r="C5616" t="n">
        <v>0.0139</v>
      </c>
    </row>
    <row r="5617">
      <c r="A5617" t="n">
        <v>90</v>
      </c>
      <c r="B5617" t="n">
        <v>1975</v>
      </c>
      <c r="C5617" t="n">
        <v>0.0137</v>
      </c>
    </row>
    <row r="5618">
      <c r="A5618" t="n">
        <v>90</v>
      </c>
      <c r="B5618" t="n">
        <v>1976</v>
      </c>
      <c r="C5618" t="n">
        <v>0.0132</v>
      </c>
    </row>
    <row r="5619">
      <c r="A5619" t="n">
        <v>90</v>
      </c>
      <c r="B5619" t="n">
        <v>1977</v>
      </c>
      <c r="C5619" t="n">
        <v>0.0123</v>
      </c>
    </row>
    <row r="5620">
      <c r="A5620" t="n">
        <v>90</v>
      </c>
      <c r="B5620" t="n">
        <v>1978</v>
      </c>
      <c r="C5620" t="n">
        <v>0.0112</v>
      </c>
    </row>
    <row r="5621">
      <c r="A5621" t="n">
        <v>90</v>
      </c>
      <c r="B5621" t="n">
        <v>1979</v>
      </c>
      <c r="C5621" t="n">
        <v>0.009900000000000001</v>
      </c>
    </row>
    <row r="5622">
      <c r="A5622" t="n">
        <v>90</v>
      </c>
      <c r="B5622" t="n">
        <v>1980</v>
      </c>
      <c r="C5622" t="n">
        <v>0.008399999999999999</v>
      </c>
    </row>
    <row r="5623">
      <c r="A5623" t="n">
        <v>90</v>
      </c>
      <c r="B5623" t="n">
        <v>1981</v>
      </c>
      <c r="C5623" t="n">
        <v>0.0068</v>
      </c>
    </row>
    <row r="5624">
      <c r="A5624" t="n">
        <v>90</v>
      </c>
      <c r="B5624" t="n">
        <v>1982</v>
      </c>
      <c r="C5624" t="n">
        <v>0.0051</v>
      </c>
    </row>
    <row r="5625">
      <c r="A5625" t="n">
        <v>90</v>
      </c>
      <c r="B5625" t="n">
        <v>1983</v>
      </c>
      <c r="C5625" t="n">
        <v>0.0035</v>
      </c>
    </row>
    <row r="5626">
      <c r="A5626" t="n">
        <v>90</v>
      </c>
      <c r="B5626" t="n">
        <v>1984</v>
      </c>
      <c r="C5626" t="n">
        <v>0.002</v>
      </c>
    </row>
    <row r="5627">
      <c r="A5627" t="n">
        <v>90</v>
      </c>
      <c r="B5627" t="n">
        <v>1985</v>
      </c>
      <c r="C5627" t="n">
        <v>0.0007</v>
      </c>
    </row>
    <row r="5628">
      <c r="A5628" t="n">
        <v>90</v>
      </c>
      <c r="B5628" t="n">
        <v>1986</v>
      </c>
      <c r="C5628" t="n">
        <v>-0.0005</v>
      </c>
    </row>
    <row r="5629">
      <c r="A5629" t="n">
        <v>90</v>
      </c>
      <c r="B5629" t="n">
        <v>1987</v>
      </c>
      <c r="C5629" t="n">
        <v>-0.0015</v>
      </c>
    </row>
    <row r="5630">
      <c r="A5630" t="n">
        <v>90</v>
      </c>
      <c r="B5630" t="n">
        <v>1988</v>
      </c>
      <c r="C5630" t="n">
        <v>-0.0023</v>
      </c>
    </row>
    <row r="5631">
      <c r="A5631" t="n">
        <v>90</v>
      </c>
      <c r="B5631" t="n">
        <v>1989</v>
      </c>
      <c r="C5631" t="n">
        <v>-0.0029</v>
      </c>
    </row>
    <row r="5632">
      <c r="A5632" t="n">
        <v>90</v>
      </c>
      <c r="B5632" t="n">
        <v>1990</v>
      </c>
      <c r="C5632" t="n">
        <v>-0.0034</v>
      </c>
    </row>
    <row r="5633">
      <c r="A5633" t="n">
        <v>90</v>
      </c>
      <c r="B5633" t="n">
        <v>1991</v>
      </c>
      <c r="C5633" t="n">
        <v>-0.0037</v>
      </c>
    </row>
    <row r="5634">
      <c r="A5634" t="n">
        <v>90</v>
      </c>
      <c r="B5634" t="n">
        <v>1992</v>
      </c>
      <c r="C5634" t="n">
        <v>-0.0038</v>
      </c>
    </row>
    <row r="5635">
      <c r="A5635" t="n">
        <v>90</v>
      </c>
      <c r="B5635" t="n">
        <v>1993</v>
      </c>
      <c r="C5635" t="n">
        <v>-0.0037</v>
      </c>
    </row>
    <row r="5636">
      <c r="A5636" t="n">
        <v>90</v>
      </c>
      <c r="B5636" t="n">
        <v>1994</v>
      </c>
      <c r="C5636" t="n">
        <v>-0.0034</v>
      </c>
    </row>
    <row r="5637">
      <c r="A5637" t="n">
        <v>90</v>
      </c>
      <c r="B5637" t="n">
        <v>1995</v>
      </c>
      <c r="C5637" t="n">
        <v>-0.0028</v>
      </c>
    </row>
    <row r="5638">
      <c r="A5638" t="n">
        <v>90</v>
      </c>
      <c r="B5638" t="n">
        <v>1996</v>
      </c>
      <c r="C5638" t="n">
        <v>-0.0018</v>
      </c>
    </row>
    <row r="5639">
      <c r="A5639" t="n">
        <v>90</v>
      </c>
      <c r="B5639" t="n">
        <v>1997</v>
      </c>
      <c r="C5639" t="n">
        <v>-0.0005999999999999999</v>
      </c>
    </row>
    <row r="5640">
      <c r="A5640" t="n">
        <v>90</v>
      </c>
      <c r="B5640" t="n">
        <v>1998</v>
      </c>
      <c r="C5640" t="n">
        <v>0.0009</v>
      </c>
    </row>
    <row r="5641">
      <c r="A5641" t="n">
        <v>90</v>
      </c>
      <c r="B5641" t="n">
        <v>1999</v>
      </c>
      <c r="C5641" t="n">
        <v>0.0026</v>
      </c>
    </row>
    <row r="5642">
      <c r="A5642" t="n">
        <v>90</v>
      </c>
      <c r="B5642" t="n">
        <v>2000</v>
      </c>
      <c r="C5642" t="n">
        <v>0.0045</v>
      </c>
    </row>
    <row r="5643">
      <c r="A5643" t="n">
        <v>90</v>
      </c>
      <c r="B5643" t="n">
        <v>2001</v>
      </c>
      <c r="C5643" t="n">
        <v>0.0064</v>
      </c>
    </row>
    <row r="5644">
      <c r="A5644" t="n">
        <v>90</v>
      </c>
      <c r="B5644" t="n">
        <v>2002</v>
      </c>
      <c r="C5644" t="n">
        <v>0.0083</v>
      </c>
    </row>
    <row r="5645">
      <c r="A5645" t="n">
        <v>90</v>
      </c>
      <c r="B5645" t="n">
        <v>2003</v>
      </c>
      <c r="C5645" t="n">
        <v>0.01</v>
      </c>
    </row>
    <row r="5646">
      <c r="A5646" t="n">
        <v>90</v>
      </c>
      <c r="B5646" t="n">
        <v>2004</v>
      </c>
      <c r="C5646" t="n">
        <v>0.0114</v>
      </c>
    </row>
    <row r="5647">
      <c r="A5647" t="n">
        <v>90</v>
      </c>
      <c r="B5647" t="n">
        <v>2005</v>
      </c>
      <c r="C5647" t="n">
        <v>0.0124</v>
      </c>
    </row>
    <row r="5648">
      <c r="A5648" t="n">
        <v>90</v>
      </c>
      <c r="B5648" t="n">
        <v>2006</v>
      </c>
      <c r="C5648" t="n">
        <v>0.013</v>
      </c>
    </row>
    <row r="5649">
      <c r="A5649" t="n">
        <v>90</v>
      </c>
      <c r="B5649" t="n">
        <v>2007</v>
      </c>
      <c r="C5649" t="n">
        <v>0.0132</v>
      </c>
    </row>
    <row r="5650">
      <c r="A5650" t="n">
        <v>90</v>
      </c>
      <c r="B5650" t="n">
        <v>2008</v>
      </c>
      <c r="C5650" t="n">
        <v>0.013</v>
      </c>
    </row>
    <row r="5651">
      <c r="A5651" t="n">
        <v>90</v>
      </c>
      <c r="B5651" t="n">
        <v>2009</v>
      </c>
      <c r="C5651" t="n">
        <v>0.0125</v>
      </c>
    </row>
    <row r="5652">
      <c r="A5652" t="n">
        <v>90</v>
      </c>
      <c r="B5652" t="n">
        <v>2010</v>
      </c>
      <c r="C5652" t="n">
        <v>0.0118</v>
      </c>
    </row>
    <row r="5653">
      <c r="A5653" t="n">
        <v>90</v>
      </c>
      <c r="B5653" t="n">
        <v>2011</v>
      </c>
      <c r="C5653" t="n">
        <v>0.0109</v>
      </c>
    </row>
    <row r="5654">
      <c r="A5654" t="n">
        <v>90</v>
      </c>
      <c r="B5654" t="n">
        <v>2012</v>
      </c>
      <c r="C5654" t="n">
        <v>0.009900000000000001</v>
      </c>
    </row>
    <row r="5655">
      <c r="A5655" t="n">
        <v>90</v>
      </c>
      <c r="B5655" t="n">
        <v>2013</v>
      </c>
      <c r="C5655" t="n">
        <v>0.0098</v>
      </c>
    </row>
    <row r="5656">
      <c r="A5656" t="n">
        <v>90</v>
      </c>
      <c r="B5656" t="n">
        <v>2014</v>
      </c>
      <c r="C5656" t="n">
        <v>0.0097</v>
      </c>
    </row>
    <row r="5657">
      <c r="A5657" t="n">
        <v>90</v>
      </c>
      <c r="B5657" t="n">
        <v>2015</v>
      </c>
      <c r="C5657" t="n">
        <v>0.0097</v>
      </c>
    </row>
    <row r="5658">
      <c r="A5658" t="n">
        <v>90</v>
      </c>
      <c r="B5658" t="n">
        <v>2016</v>
      </c>
      <c r="C5658" t="n">
        <v>0.009599999999999999</v>
      </c>
    </row>
    <row r="5659">
      <c r="A5659" t="n">
        <v>90</v>
      </c>
      <c r="B5659" t="n">
        <v>2017</v>
      </c>
      <c r="C5659" t="n">
        <v>0.0095</v>
      </c>
    </row>
    <row r="5660">
      <c r="A5660" t="n">
        <v>90</v>
      </c>
      <c r="B5660" t="n">
        <v>2018</v>
      </c>
      <c r="C5660" t="n">
        <v>0.0095</v>
      </c>
    </row>
    <row r="5661">
      <c r="A5661" t="n">
        <v>90</v>
      </c>
      <c r="B5661" t="n">
        <v>2019</v>
      </c>
      <c r="C5661" t="n">
        <v>0.0094</v>
      </c>
    </row>
    <row r="5662">
      <c r="A5662" t="n">
        <v>90</v>
      </c>
      <c r="B5662" t="n">
        <v>2020</v>
      </c>
      <c r="C5662" t="n">
        <v>0.0094</v>
      </c>
    </row>
    <row r="5663">
      <c r="A5663" t="n">
        <v>90</v>
      </c>
      <c r="B5663" t="n">
        <v>2021</v>
      </c>
      <c r="C5663" t="n">
        <v>0.009299999999999999</v>
      </c>
    </row>
    <row r="5664">
      <c r="A5664" t="n">
        <v>90</v>
      </c>
      <c r="B5664" t="n">
        <v>2022</v>
      </c>
      <c r="C5664" t="n">
        <v>0.009299999999999999</v>
      </c>
    </row>
    <row r="5665">
      <c r="A5665" t="n">
        <v>90</v>
      </c>
      <c r="B5665" t="n">
        <v>2023</v>
      </c>
      <c r="C5665" t="n">
        <v>0.009299999999999999</v>
      </c>
    </row>
    <row r="5666">
      <c r="A5666" t="n">
        <v>90</v>
      </c>
      <c r="B5666" t="n">
        <v>2024</v>
      </c>
      <c r="C5666" t="n">
        <v>0.0092</v>
      </c>
    </row>
    <row r="5667">
      <c r="A5667" t="n">
        <v>90</v>
      </c>
      <c r="B5667" t="n">
        <v>2025</v>
      </c>
      <c r="C5667" t="n">
        <v>0.0092</v>
      </c>
    </row>
    <row r="5668">
      <c r="A5668" t="n">
        <v>90</v>
      </c>
      <c r="B5668" t="n">
        <v>2026</v>
      </c>
      <c r="C5668" t="n">
        <v>0.0092</v>
      </c>
    </row>
    <row r="5669">
      <c r="A5669" t="n">
        <v>90</v>
      </c>
      <c r="B5669" t="n">
        <v>2027</v>
      </c>
      <c r="C5669" t="n">
        <v>0.009299999999999999</v>
      </c>
    </row>
    <row r="5670">
      <c r="A5670" t="n">
        <v>90</v>
      </c>
      <c r="B5670" t="n">
        <v>2028</v>
      </c>
      <c r="C5670" t="n">
        <v>0.0092</v>
      </c>
    </row>
    <row r="5671">
      <c r="A5671" t="n">
        <v>90</v>
      </c>
      <c r="B5671" t="n">
        <v>2029</v>
      </c>
      <c r="C5671" t="n">
        <v>0.0092</v>
      </c>
    </row>
    <row r="5672">
      <c r="A5672" t="n">
        <v>90</v>
      </c>
      <c r="B5672" t="n">
        <v>2030</v>
      </c>
      <c r="C5672" t="n">
        <v>0.0092</v>
      </c>
    </row>
    <row r="5673">
      <c r="A5673" t="n">
        <v>90</v>
      </c>
      <c r="B5673" t="n">
        <v>2031</v>
      </c>
      <c r="C5673" t="n">
        <v>0.0092</v>
      </c>
    </row>
    <row r="5674">
      <c r="A5674" t="n">
        <v>91</v>
      </c>
      <c r="B5674" t="n">
        <v>1951</v>
      </c>
      <c r="C5674" t="n">
        <v>-0.0072</v>
      </c>
    </row>
    <row r="5675">
      <c r="A5675" t="n">
        <v>91</v>
      </c>
      <c r="B5675" t="n">
        <v>1952</v>
      </c>
      <c r="C5675" t="n">
        <v>-0.0074</v>
      </c>
    </row>
    <row r="5676">
      <c r="A5676" t="n">
        <v>91</v>
      </c>
      <c r="B5676" t="n">
        <v>1953</v>
      </c>
      <c r="C5676" t="n">
        <v>-0.0076</v>
      </c>
    </row>
    <row r="5677">
      <c r="A5677" t="n">
        <v>91</v>
      </c>
      <c r="B5677" t="n">
        <v>1954</v>
      </c>
      <c r="C5677" t="n">
        <v>-0.0078</v>
      </c>
    </row>
    <row r="5678">
      <c r="A5678" t="n">
        <v>91</v>
      </c>
      <c r="B5678" t="n">
        <v>1955</v>
      </c>
      <c r="C5678" t="n">
        <v>-0.0078</v>
      </c>
    </row>
    <row r="5679">
      <c r="A5679" t="n">
        <v>91</v>
      </c>
      <c r="B5679" t="n">
        <v>1956</v>
      </c>
      <c r="C5679" t="n">
        <v>-0.0078</v>
      </c>
    </row>
    <row r="5680">
      <c r="A5680" t="n">
        <v>91</v>
      </c>
      <c r="B5680" t="n">
        <v>1957</v>
      </c>
      <c r="C5680" t="n">
        <v>-0.0075</v>
      </c>
    </row>
    <row r="5681">
      <c r="A5681" t="n">
        <v>91</v>
      </c>
      <c r="B5681" t="n">
        <v>1958</v>
      </c>
      <c r="C5681" t="n">
        <v>-0.007</v>
      </c>
    </row>
    <row r="5682">
      <c r="A5682" t="n">
        <v>91</v>
      </c>
      <c r="B5682" t="n">
        <v>1959</v>
      </c>
      <c r="C5682" t="n">
        <v>-0.0063</v>
      </c>
    </row>
    <row r="5683">
      <c r="A5683" t="n">
        <v>91</v>
      </c>
      <c r="B5683" t="n">
        <v>1960</v>
      </c>
      <c r="C5683" t="n">
        <v>-0.0053</v>
      </c>
    </row>
    <row r="5684">
      <c r="A5684" t="n">
        <v>91</v>
      </c>
      <c r="B5684" t="n">
        <v>1961</v>
      </c>
      <c r="C5684" t="n">
        <v>-0.0041</v>
      </c>
    </row>
    <row r="5685">
      <c r="A5685" t="n">
        <v>91</v>
      </c>
      <c r="B5685" t="n">
        <v>1962</v>
      </c>
      <c r="C5685" t="n">
        <v>-0.0026</v>
      </c>
    </row>
    <row r="5686">
      <c r="A5686" t="n">
        <v>91</v>
      </c>
      <c r="B5686" t="n">
        <v>1963</v>
      </c>
      <c r="C5686" t="n">
        <v>-0.0009</v>
      </c>
    </row>
    <row r="5687">
      <c r="A5687" t="n">
        <v>91</v>
      </c>
      <c r="B5687" t="n">
        <v>1964</v>
      </c>
      <c r="C5687" t="n">
        <v>0.001</v>
      </c>
    </row>
    <row r="5688">
      <c r="A5688" t="n">
        <v>91</v>
      </c>
      <c r="B5688" t="n">
        <v>1965</v>
      </c>
      <c r="C5688" t="n">
        <v>0.0029</v>
      </c>
    </row>
    <row r="5689">
      <c r="A5689" t="n">
        <v>91</v>
      </c>
      <c r="B5689" t="n">
        <v>1966</v>
      </c>
      <c r="C5689" t="n">
        <v>0.0049</v>
      </c>
    </row>
    <row r="5690">
      <c r="A5690" t="n">
        <v>91</v>
      </c>
      <c r="B5690" t="n">
        <v>1967</v>
      </c>
      <c r="C5690" t="n">
        <v>0.0068</v>
      </c>
    </row>
    <row r="5691">
      <c r="A5691" t="n">
        <v>91</v>
      </c>
      <c r="B5691" t="n">
        <v>1968</v>
      </c>
      <c r="C5691" t="n">
        <v>0.008500000000000001</v>
      </c>
    </row>
    <row r="5692">
      <c r="A5692" t="n">
        <v>91</v>
      </c>
      <c r="B5692" t="n">
        <v>1969</v>
      </c>
      <c r="C5692" t="n">
        <v>0.0101</v>
      </c>
    </row>
    <row r="5693">
      <c r="A5693" t="n">
        <v>91</v>
      </c>
      <c r="B5693" t="n">
        <v>1970</v>
      </c>
      <c r="C5693" t="n">
        <v>0.0114</v>
      </c>
    </row>
    <row r="5694">
      <c r="A5694" t="n">
        <v>91</v>
      </c>
      <c r="B5694" t="n">
        <v>1971</v>
      </c>
      <c r="C5694" t="n">
        <v>0.0125</v>
      </c>
    </row>
    <row r="5695">
      <c r="A5695" t="n">
        <v>91</v>
      </c>
      <c r="B5695" t="n">
        <v>1972</v>
      </c>
      <c r="C5695" t="n">
        <v>0.0132</v>
      </c>
    </row>
    <row r="5696">
      <c r="A5696" t="n">
        <v>91</v>
      </c>
      <c r="B5696" t="n">
        <v>1973</v>
      </c>
      <c r="C5696" t="n">
        <v>0.0137</v>
      </c>
    </row>
    <row r="5697">
      <c r="A5697" t="n">
        <v>91</v>
      </c>
      <c r="B5697" t="n">
        <v>1974</v>
      </c>
      <c r="C5697" t="n">
        <v>0.0138</v>
      </c>
    </row>
    <row r="5698">
      <c r="A5698" t="n">
        <v>91</v>
      </c>
      <c r="B5698" t="n">
        <v>1975</v>
      </c>
      <c r="C5698" t="n">
        <v>0.0136</v>
      </c>
    </row>
    <row r="5699">
      <c r="A5699" t="n">
        <v>91</v>
      </c>
      <c r="B5699" t="n">
        <v>1976</v>
      </c>
      <c r="C5699" t="n">
        <v>0.013</v>
      </c>
    </row>
    <row r="5700">
      <c r="A5700" t="n">
        <v>91</v>
      </c>
      <c r="B5700" t="n">
        <v>1977</v>
      </c>
      <c r="C5700" t="n">
        <v>0.0122</v>
      </c>
    </row>
    <row r="5701">
      <c r="A5701" t="n">
        <v>91</v>
      </c>
      <c r="B5701" t="n">
        <v>1978</v>
      </c>
      <c r="C5701" t="n">
        <v>0.0111</v>
      </c>
    </row>
    <row r="5702">
      <c r="A5702" t="n">
        <v>91</v>
      </c>
      <c r="B5702" t="n">
        <v>1979</v>
      </c>
      <c r="C5702" t="n">
        <v>0.0098</v>
      </c>
    </row>
    <row r="5703">
      <c r="A5703" t="n">
        <v>91</v>
      </c>
      <c r="B5703" t="n">
        <v>1980</v>
      </c>
      <c r="C5703" t="n">
        <v>0.008399999999999999</v>
      </c>
    </row>
    <row r="5704">
      <c r="A5704" t="n">
        <v>91</v>
      </c>
      <c r="B5704" t="n">
        <v>1981</v>
      </c>
      <c r="C5704" t="n">
        <v>0.0068</v>
      </c>
    </row>
    <row r="5705">
      <c r="A5705" t="n">
        <v>91</v>
      </c>
      <c r="B5705" t="n">
        <v>1982</v>
      </c>
      <c r="C5705" t="n">
        <v>0.0051</v>
      </c>
    </row>
    <row r="5706">
      <c r="A5706" t="n">
        <v>91</v>
      </c>
      <c r="B5706" t="n">
        <v>1983</v>
      </c>
      <c r="C5706" t="n">
        <v>0.0034</v>
      </c>
    </row>
    <row r="5707">
      <c r="A5707" t="n">
        <v>91</v>
      </c>
      <c r="B5707" t="n">
        <v>1984</v>
      </c>
      <c r="C5707" t="n">
        <v>0.0018</v>
      </c>
    </row>
    <row r="5708">
      <c r="A5708" t="n">
        <v>91</v>
      </c>
      <c r="B5708" t="n">
        <v>1985</v>
      </c>
      <c r="C5708" t="n">
        <v>0.0004</v>
      </c>
    </row>
    <row r="5709">
      <c r="A5709" t="n">
        <v>91</v>
      </c>
      <c r="B5709" t="n">
        <v>1986</v>
      </c>
      <c r="C5709" t="n">
        <v>-0.0009</v>
      </c>
    </row>
    <row r="5710">
      <c r="A5710" t="n">
        <v>91</v>
      </c>
      <c r="B5710" t="n">
        <v>1987</v>
      </c>
      <c r="C5710" t="n">
        <v>-0.0021</v>
      </c>
    </row>
    <row r="5711">
      <c r="A5711" t="n">
        <v>91</v>
      </c>
      <c r="B5711" t="n">
        <v>1988</v>
      </c>
      <c r="C5711" t="n">
        <v>-0.003</v>
      </c>
    </row>
    <row r="5712">
      <c r="A5712" t="n">
        <v>91</v>
      </c>
      <c r="B5712" t="n">
        <v>1989</v>
      </c>
      <c r="C5712" t="n">
        <v>-0.0038</v>
      </c>
    </row>
    <row r="5713">
      <c r="A5713" t="n">
        <v>91</v>
      </c>
      <c r="B5713" t="n">
        <v>1990</v>
      </c>
      <c r="C5713" t="n">
        <v>-0.0044</v>
      </c>
    </row>
    <row r="5714">
      <c r="A5714" t="n">
        <v>91</v>
      </c>
      <c r="B5714" t="n">
        <v>1991</v>
      </c>
      <c r="C5714" t="n">
        <v>-0.0048</v>
      </c>
    </row>
    <row r="5715">
      <c r="A5715" t="n">
        <v>91</v>
      </c>
      <c r="B5715" t="n">
        <v>1992</v>
      </c>
      <c r="C5715" t="n">
        <v>-0.005</v>
      </c>
    </row>
    <row r="5716">
      <c r="A5716" t="n">
        <v>91</v>
      </c>
      <c r="B5716" t="n">
        <v>1993</v>
      </c>
      <c r="C5716" t="n">
        <v>-0.005</v>
      </c>
    </row>
    <row r="5717">
      <c r="A5717" t="n">
        <v>91</v>
      </c>
      <c r="B5717" t="n">
        <v>1994</v>
      </c>
      <c r="C5717" t="n">
        <v>-0.0047</v>
      </c>
    </row>
    <row r="5718">
      <c r="A5718" t="n">
        <v>91</v>
      </c>
      <c r="B5718" t="n">
        <v>1995</v>
      </c>
      <c r="C5718" t="n">
        <v>-0.0041</v>
      </c>
    </row>
    <row r="5719">
      <c r="A5719" t="n">
        <v>91</v>
      </c>
      <c r="B5719" t="n">
        <v>1996</v>
      </c>
      <c r="C5719" t="n">
        <v>-0.0032</v>
      </c>
    </row>
    <row r="5720">
      <c r="A5720" t="n">
        <v>91</v>
      </c>
      <c r="B5720" t="n">
        <v>1997</v>
      </c>
      <c r="C5720" t="n">
        <v>-0.002</v>
      </c>
    </row>
    <row r="5721">
      <c r="A5721" t="n">
        <v>91</v>
      </c>
      <c r="B5721" t="n">
        <v>1998</v>
      </c>
      <c r="C5721" t="n">
        <v>-0.0005</v>
      </c>
    </row>
    <row r="5722">
      <c r="A5722" t="n">
        <v>91</v>
      </c>
      <c r="B5722" t="n">
        <v>1999</v>
      </c>
      <c r="C5722" t="n">
        <v>0.0011</v>
      </c>
    </row>
    <row r="5723">
      <c r="A5723" t="n">
        <v>91</v>
      </c>
      <c r="B5723" t="n">
        <v>2000</v>
      </c>
      <c r="C5723" t="n">
        <v>0.0029</v>
      </c>
    </row>
    <row r="5724">
      <c r="A5724" t="n">
        <v>91</v>
      </c>
      <c r="B5724" t="n">
        <v>2001</v>
      </c>
      <c r="C5724" t="n">
        <v>0.0048</v>
      </c>
    </row>
    <row r="5725">
      <c r="A5725" t="n">
        <v>91</v>
      </c>
      <c r="B5725" t="n">
        <v>2002</v>
      </c>
      <c r="C5725" t="n">
        <v>0.0066</v>
      </c>
    </row>
    <row r="5726">
      <c r="A5726" t="n">
        <v>91</v>
      </c>
      <c r="B5726" t="n">
        <v>2003</v>
      </c>
      <c r="C5726" t="n">
        <v>0.0083</v>
      </c>
    </row>
    <row r="5727">
      <c r="A5727" t="n">
        <v>91</v>
      </c>
      <c r="B5727" t="n">
        <v>2004</v>
      </c>
      <c r="C5727" t="n">
        <v>0.0097</v>
      </c>
    </row>
    <row r="5728">
      <c r="A5728" t="n">
        <v>91</v>
      </c>
      <c r="B5728" t="n">
        <v>2005</v>
      </c>
      <c r="C5728" t="n">
        <v>0.0108</v>
      </c>
    </row>
    <row r="5729">
      <c r="A5729" t="n">
        <v>91</v>
      </c>
      <c r="B5729" t="n">
        <v>2006</v>
      </c>
      <c r="C5729" t="n">
        <v>0.0116</v>
      </c>
    </row>
    <row r="5730">
      <c r="A5730" t="n">
        <v>91</v>
      </c>
      <c r="B5730" t="n">
        <v>2007</v>
      </c>
      <c r="C5730" t="n">
        <v>0.012</v>
      </c>
    </row>
    <row r="5731">
      <c r="A5731" t="n">
        <v>91</v>
      </c>
      <c r="B5731" t="n">
        <v>2008</v>
      </c>
      <c r="C5731" t="n">
        <v>0.012</v>
      </c>
    </row>
    <row r="5732">
      <c r="A5732" t="n">
        <v>91</v>
      </c>
      <c r="B5732" t="n">
        <v>2009</v>
      </c>
      <c r="C5732" t="n">
        <v>0.0118</v>
      </c>
    </row>
    <row r="5733">
      <c r="A5733" t="n">
        <v>91</v>
      </c>
      <c r="B5733" t="n">
        <v>2010</v>
      </c>
      <c r="C5733" t="n">
        <v>0.0113</v>
      </c>
    </row>
    <row r="5734">
      <c r="A5734" t="n">
        <v>91</v>
      </c>
      <c r="B5734" t="n">
        <v>2011</v>
      </c>
      <c r="C5734" t="n">
        <v>0.0107</v>
      </c>
    </row>
    <row r="5735">
      <c r="A5735" t="n">
        <v>91</v>
      </c>
      <c r="B5735" t="n">
        <v>2012</v>
      </c>
      <c r="C5735" t="n">
        <v>0.0101</v>
      </c>
    </row>
    <row r="5736">
      <c r="A5736" t="n">
        <v>91</v>
      </c>
      <c r="B5736" t="n">
        <v>2013</v>
      </c>
      <c r="C5736" t="n">
        <v>0.009900000000000001</v>
      </c>
    </row>
    <row r="5737">
      <c r="A5737" t="n">
        <v>91</v>
      </c>
      <c r="B5737" t="n">
        <v>2014</v>
      </c>
      <c r="C5737" t="n">
        <v>0.0098</v>
      </c>
    </row>
    <row r="5738">
      <c r="A5738" t="n">
        <v>91</v>
      </c>
      <c r="B5738" t="n">
        <v>2015</v>
      </c>
      <c r="C5738" t="n">
        <v>0.009599999999999999</v>
      </c>
    </row>
    <row r="5739">
      <c r="A5739" t="n">
        <v>91</v>
      </c>
      <c r="B5739" t="n">
        <v>2016</v>
      </c>
      <c r="C5739" t="n">
        <v>0.0095</v>
      </c>
    </row>
    <row r="5740">
      <c r="A5740" t="n">
        <v>91</v>
      </c>
      <c r="B5740" t="n">
        <v>2017</v>
      </c>
      <c r="C5740" t="n">
        <v>0.0094</v>
      </c>
    </row>
    <row r="5741">
      <c r="A5741" t="n">
        <v>91</v>
      </c>
      <c r="B5741" t="n">
        <v>2018</v>
      </c>
      <c r="C5741" t="n">
        <v>0.009299999999999999</v>
      </c>
    </row>
    <row r="5742">
      <c r="A5742" t="n">
        <v>91</v>
      </c>
      <c r="B5742" t="n">
        <v>2019</v>
      </c>
      <c r="C5742" t="n">
        <v>0.0092</v>
      </c>
    </row>
    <row r="5743">
      <c r="A5743" t="n">
        <v>91</v>
      </c>
      <c r="B5743" t="n">
        <v>2020</v>
      </c>
      <c r="C5743" t="n">
        <v>0.0091</v>
      </c>
    </row>
    <row r="5744">
      <c r="A5744" t="n">
        <v>91</v>
      </c>
      <c r="B5744" t="n">
        <v>2021</v>
      </c>
      <c r="C5744" t="n">
        <v>0.0091</v>
      </c>
    </row>
    <row r="5745">
      <c r="A5745" t="n">
        <v>91</v>
      </c>
      <c r="B5745" t="n">
        <v>2022</v>
      </c>
      <c r="C5745" t="n">
        <v>0.008999999999999999</v>
      </c>
    </row>
    <row r="5746">
      <c r="A5746" t="n">
        <v>91</v>
      </c>
      <c r="B5746" t="n">
        <v>2023</v>
      </c>
      <c r="C5746" t="n">
        <v>0.008999999999999999</v>
      </c>
    </row>
    <row r="5747">
      <c r="A5747" t="n">
        <v>91</v>
      </c>
      <c r="B5747" t="n">
        <v>2024</v>
      </c>
      <c r="C5747" t="n">
        <v>0.008999999999999999</v>
      </c>
    </row>
    <row r="5748">
      <c r="A5748" t="n">
        <v>91</v>
      </c>
      <c r="B5748" t="n">
        <v>2025</v>
      </c>
      <c r="C5748" t="n">
        <v>0.008999999999999999</v>
      </c>
    </row>
    <row r="5749">
      <c r="A5749" t="n">
        <v>91</v>
      </c>
      <c r="B5749" t="n">
        <v>2026</v>
      </c>
      <c r="C5749" t="n">
        <v>0.008999999999999999</v>
      </c>
    </row>
    <row r="5750">
      <c r="A5750" t="n">
        <v>91</v>
      </c>
      <c r="B5750" t="n">
        <v>2027</v>
      </c>
      <c r="C5750" t="n">
        <v>0.008999999999999999</v>
      </c>
    </row>
    <row r="5751">
      <c r="A5751" t="n">
        <v>91</v>
      </c>
      <c r="B5751" t="n">
        <v>2028</v>
      </c>
      <c r="C5751" t="n">
        <v>0.0091</v>
      </c>
    </row>
    <row r="5752">
      <c r="A5752" t="n">
        <v>91</v>
      </c>
      <c r="B5752" t="n">
        <v>2029</v>
      </c>
      <c r="C5752" t="n">
        <v>0.008999999999999999</v>
      </c>
    </row>
    <row r="5753">
      <c r="A5753" t="n">
        <v>91</v>
      </c>
      <c r="B5753" t="n">
        <v>2030</v>
      </c>
      <c r="C5753" t="n">
        <v>0.008999999999999999</v>
      </c>
    </row>
    <row r="5754">
      <c r="A5754" t="n">
        <v>91</v>
      </c>
      <c r="B5754" t="n">
        <v>2031</v>
      </c>
      <c r="C5754" t="n">
        <v>0.008999999999999999</v>
      </c>
    </row>
    <row r="5755">
      <c r="A5755" t="n">
        <v>92</v>
      </c>
      <c r="B5755" t="n">
        <v>1951</v>
      </c>
      <c r="C5755" t="n">
        <v>-0.0098</v>
      </c>
    </row>
    <row r="5756">
      <c r="A5756" t="n">
        <v>92</v>
      </c>
      <c r="B5756" t="n">
        <v>1952</v>
      </c>
      <c r="C5756" t="n">
        <v>-0.0097</v>
      </c>
    </row>
    <row r="5757">
      <c r="A5757" t="n">
        <v>92</v>
      </c>
      <c r="B5757" t="n">
        <v>1953</v>
      </c>
      <c r="C5757" t="n">
        <v>-0.009599999999999999</v>
      </c>
    </row>
    <row r="5758">
      <c r="A5758" t="n">
        <v>92</v>
      </c>
      <c r="B5758" t="n">
        <v>1954</v>
      </c>
      <c r="C5758" t="n">
        <v>-0.0094</v>
      </c>
    </row>
    <row r="5759">
      <c r="A5759" t="n">
        <v>92</v>
      </c>
      <c r="B5759" t="n">
        <v>1955</v>
      </c>
      <c r="C5759" t="n">
        <v>-0.0092</v>
      </c>
    </row>
    <row r="5760">
      <c r="A5760" t="n">
        <v>92</v>
      </c>
      <c r="B5760" t="n">
        <v>1956</v>
      </c>
      <c r="C5760" t="n">
        <v>-0.008800000000000001</v>
      </c>
    </row>
    <row r="5761">
      <c r="A5761" t="n">
        <v>92</v>
      </c>
      <c r="B5761" t="n">
        <v>1957</v>
      </c>
      <c r="C5761" t="n">
        <v>-0.0083</v>
      </c>
    </row>
    <row r="5762">
      <c r="A5762" t="n">
        <v>92</v>
      </c>
      <c r="B5762" t="n">
        <v>1958</v>
      </c>
      <c r="C5762" t="n">
        <v>-0.0076</v>
      </c>
    </row>
    <row r="5763">
      <c r="A5763" t="n">
        <v>92</v>
      </c>
      <c r="B5763" t="n">
        <v>1959</v>
      </c>
      <c r="C5763" t="n">
        <v>-0.0067</v>
      </c>
    </row>
    <row r="5764">
      <c r="A5764" t="n">
        <v>92</v>
      </c>
      <c r="B5764" t="n">
        <v>1960</v>
      </c>
      <c r="C5764" t="n">
        <v>-0.0055</v>
      </c>
    </row>
    <row r="5765">
      <c r="A5765" t="n">
        <v>92</v>
      </c>
      <c r="B5765" t="n">
        <v>1961</v>
      </c>
      <c r="C5765" t="n">
        <v>-0.0041</v>
      </c>
    </row>
    <row r="5766">
      <c r="A5766" t="n">
        <v>92</v>
      </c>
      <c r="B5766" t="n">
        <v>1962</v>
      </c>
      <c r="C5766" t="n">
        <v>-0.0025</v>
      </c>
    </row>
    <row r="5767">
      <c r="A5767" t="n">
        <v>92</v>
      </c>
      <c r="B5767" t="n">
        <v>1963</v>
      </c>
      <c r="C5767" t="n">
        <v>-0.0007</v>
      </c>
    </row>
    <row r="5768">
      <c r="A5768" t="n">
        <v>92</v>
      </c>
      <c r="B5768" t="n">
        <v>1964</v>
      </c>
      <c r="C5768" t="n">
        <v>0.0012</v>
      </c>
    </row>
    <row r="5769">
      <c r="A5769" t="n">
        <v>92</v>
      </c>
      <c r="B5769" t="n">
        <v>1965</v>
      </c>
      <c r="C5769" t="n">
        <v>0.0031</v>
      </c>
    </row>
    <row r="5770">
      <c r="A5770" t="n">
        <v>92</v>
      </c>
      <c r="B5770" t="n">
        <v>1966</v>
      </c>
      <c r="C5770" t="n">
        <v>0.005</v>
      </c>
    </row>
    <row r="5771">
      <c r="A5771" t="n">
        <v>92</v>
      </c>
      <c r="B5771" t="n">
        <v>1967</v>
      </c>
      <c r="C5771" t="n">
        <v>0.0069</v>
      </c>
    </row>
    <row r="5772">
      <c r="A5772" t="n">
        <v>92</v>
      </c>
      <c r="B5772" t="n">
        <v>1968</v>
      </c>
      <c r="C5772" t="n">
        <v>0.0086</v>
      </c>
    </row>
    <row r="5773">
      <c r="A5773" t="n">
        <v>92</v>
      </c>
      <c r="B5773" t="n">
        <v>1969</v>
      </c>
      <c r="C5773" t="n">
        <v>0.0101</v>
      </c>
    </row>
    <row r="5774">
      <c r="A5774" t="n">
        <v>92</v>
      </c>
      <c r="B5774" t="n">
        <v>1970</v>
      </c>
      <c r="C5774" t="n">
        <v>0.0114</v>
      </c>
    </row>
    <row r="5775">
      <c r="A5775" t="n">
        <v>92</v>
      </c>
      <c r="B5775" t="n">
        <v>1971</v>
      </c>
      <c r="C5775" t="n">
        <v>0.0124</v>
      </c>
    </row>
    <row r="5776">
      <c r="A5776" t="n">
        <v>92</v>
      </c>
      <c r="B5776" t="n">
        <v>1972</v>
      </c>
      <c r="C5776" t="n">
        <v>0.0131</v>
      </c>
    </row>
    <row r="5777">
      <c r="A5777" t="n">
        <v>92</v>
      </c>
      <c r="B5777" t="n">
        <v>1973</v>
      </c>
      <c r="C5777" t="n">
        <v>0.0135</v>
      </c>
    </row>
    <row r="5778">
      <c r="A5778" t="n">
        <v>92</v>
      </c>
      <c r="B5778" t="n">
        <v>1974</v>
      </c>
      <c r="C5778" t="n">
        <v>0.0136</v>
      </c>
    </row>
    <row r="5779">
      <c r="A5779" t="n">
        <v>92</v>
      </c>
      <c r="B5779" t="n">
        <v>1975</v>
      </c>
      <c r="C5779" t="n">
        <v>0.0134</v>
      </c>
    </row>
    <row r="5780">
      <c r="A5780" t="n">
        <v>92</v>
      </c>
      <c r="B5780" t="n">
        <v>1976</v>
      </c>
      <c r="C5780" t="n">
        <v>0.0129</v>
      </c>
    </row>
    <row r="5781">
      <c r="A5781" t="n">
        <v>92</v>
      </c>
      <c r="B5781" t="n">
        <v>1977</v>
      </c>
      <c r="C5781" t="n">
        <v>0.0121</v>
      </c>
    </row>
    <row r="5782">
      <c r="A5782" t="n">
        <v>92</v>
      </c>
      <c r="B5782" t="n">
        <v>1978</v>
      </c>
      <c r="C5782" t="n">
        <v>0.011</v>
      </c>
    </row>
    <row r="5783">
      <c r="A5783" t="n">
        <v>92</v>
      </c>
      <c r="B5783" t="n">
        <v>1979</v>
      </c>
      <c r="C5783" t="n">
        <v>0.0098</v>
      </c>
    </row>
    <row r="5784">
      <c r="A5784" t="n">
        <v>92</v>
      </c>
      <c r="B5784" t="n">
        <v>1980</v>
      </c>
      <c r="C5784" t="n">
        <v>0.0083</v>
      </c>
    </row>
    <row r="5785">
      <c r="A5785" t="n">
        <v>92</v>
      </c>
      <c r="B5785" t="n">
        <v>1981</v>
      </c>
      <c r="C5785" t="n">
        <v>0.0067</v>
      </c>
    </row>
    <row r="5786">
      <c r="A5786" t="n">
        <v>92</v>
      </c>
      <c r="B5786" t="n">
        <v>1982</v>
      </c>
      <c r="C5786" t="n">
        <v>0.005</v>
      </c>
    </row>
    <row r="5787">
      <c r="A5787" t="n">
        <v>92</v>
      </c>
      <c r="B5787" t="n">
        <v>1983</v>
      </c>
      <c r="C5787" t="n">
        <v>0.0033</v>
      </c>
    </row>
    <row r="5788">
      <c r="A5788" t="n">
        <v>92</v>
      </c>
      <c r="B5788" t="n">
        <v>1984</v>
      </c>
      <c r="C5788" t="n">
        <v>0.0017</v>
      </c>
    </row>
    <row r="5789">
      <c r="A5789" t="n">
        <v>92</v>
      </c>
      <c r="B5789" t="n">
        <v>1985</v>
      </c>
      <c r="C5789" t="n">
        <v>0.0001</v>
      </c>
    </row>
    <row r="5790">
      <c r="A5790" t="n">
        <v>92</v>
      </c>
      <c r="B5790" t="n">
        <v>1986</v>
      </c>
      <c r="C5790" t="n">
        <v>-0.0013</v>
      </c>
    </row>
    <row r="5791">
      <c r="A5791" t="n">
        <v>92</v>
      </c>
      <c r="B5791" t="n">
        <v>1987</v>
      </c>
      <c r="C5791" t="n">
        <v>-0.0026</v>
      </c>
    </row>
    <row r="5792">
      <c r="A5792" t="n">
        <v>92</v>
      </c>
      <c r="B5792" t="n">
        <v>1988</v>
      </c>
      <c r="C5792" t="n">
        <v>-0.0037</v>
      </c>
    </row>
    <row r="5793">
      <c r="A5793" t="n">
        <v>92</v>
      </c>
      <c r="B5793" t="n">
        <v>1989</v>
      </c>
      <c r="C5793" t="n">
        <v>-0.0046</v>
      </c>
    </row>
    <row r="5794">
      <c r="A5794" t="n">
        <v>92</v>
      </c>
      <c r="B5794" t="n">
        <v>1990</v>
      </c>
      <c r="C5794" t="n">
        <v>-0.0053</v>
      </c>
    </row>
    <row r="5795">
      <c r="A5795" t="n">
        <v>92</v>
      </c>
      <c r="B5795" t="n">
        <v>1991</v>
      </c>
      <c r="C5795" t="n">
        <v>-0.0058</v>
      </c>
    </row>
    <row r="5796">
      <c r="A5796" t="n">
        <v>92</v>
      </c>
      <c r="B5796" t="n">
        <v>1992</v>
      </c>
      <c r="C5796" t="n">
        <v>-0.0061</v>
      </c>
    </row>
    <row r="5797">
      <c r="A5797" t="n">
        <v>92</v>
      </c>
      <c r="B5797" t="n">
        <v>1993</v>
      </c>
      <c r="C5797" t="n">
        <v>-0.0061</v>
      </c>
    </row>
    <row r="5798">
      <c r="A5798" t="n">
        <v>92</v>
      </c>
      <c r="B5798" t="n">
        <v>1994</v>
      </c>
      <c r="C5798" t="n">
        <v>-0.0059</v>
      </c>
    </row>
    <row r="5799">
      <c r="A5799" t="n">
        <v>92</v>
      </c>
      <c r="B5799" t="n">
        <v>1995</v>
      </c>
      <c r="C5799" t="n">
        <v>-0.0053</v>
      </c>
    </row>
    <row r="5800">
      <c r="A5800" t="n">
        <v>92</v>
      </c>
      <c r="B5800" t="n">
        <v>1996</v>
      </c>
      <c r="C5800" t="n">
        <v>-0.0045</v>
      </c>
    </row>
    <row r="5801">
      <c r="A5801" t="n">
        <v>92</v>
      </c>
      <c r="B5801" t="n">
        <v>1997</v>
      </c>
      <c r="C5801" t="n">
        <v>-0.0034</v>
      </c>
    </row>
    <row r="5802">
      <c r="A5802" t="n">
        <v>92</v>
      </c>
      <c r="B5802" t="n">
        <v>1998</v>
      </c>
      <c r="C5802" t="n">
        <v>-0.002</v>
      </c>
    </row>
    <row r="5803">
      <c r="A5803" t="n">
        <v>92</v>
      </c>
      <c r="B5803" t="n">
        <v>1999</v>
      </c>
      <c r="C5803" t="n">
        <v>-0.0005</v>
      </c>
    </row>
    <row r="5804">
      <c r="A5804" t="n">
        <v>92</v>
      </c>
      <c r="B5804" t="n">
        <v>2000</v>
      </c>
      <c r="C5804" t="n">
        <v>0.0012</v>
      </c>
    </row>
    <row r="5805">
      <c r="A5805" t="n">
        <v>92</v>
      </c>
      <c r="B5805" t="n">
        <v>2001</v>
      </c>
      <c r="C5805" t="n">
        <v>0.003</v>
      </c>
    </row>
    <row r="5806">
      <c r="A5806" t="n">
        <v>92</v>
      </c>
      <c r="B5806" t="n">
        <v>2002</v>
      </c>
      <c r="C5806" t="n">
        <v>0.0048</v>
      </c>
    </row>
    <row r="5807">
      <c r="A5807" t="n">
        <v>92</v>
      </c>
      <c r="B5807" t="n">
        <v>2003</v>
      </c>
      <c r="C5807" t="n">
        <v>0.0065</v>
      </c>
    </row>
    <row r="5808">
      <c r="A5808" t="n">
        <v>92</v>
      </c>
      <c r="B5808" t="n">
        <v>2004</v>
      </c>
      <c r="C5808" t="n">
        <v>0.007900000000000001</v>
      </c>
    </row>
    <row r="5809">
      <c r="A5809" t="n">
        <v>92</v>
      </c>
      <c r="B5809" t="n">
        <v>2005</v>
      </c>
      <c r="C5809" t="n">
        <v>0.0092</v>
      </c>
    </row>
    <row r="5810">
      <c r="A5810" t="n">
        <v>92</v>
      </c>
      <c r="B5810" t="n">
        <v>2006</v>
      </c>
      <c r="C5810" t="n">
        <v>0.0101</v>
      </c>
    </row>
    <row r="5811">
      <c r="A5811" t="n">
        <v>92</v>
      </c>
      <c r="B5811" t="n">
        <v>2007</v>
      </c>
      <c r="C5811" t="n">
        <v>0.0107</v>
      </c>
    </row>
    <row r="5812">
      <c r="A5812" t="n">
        <v>92</v>
      </c>
      <c r="B5812" t="n">
        <v>2008</v>
      </c>
      <c r="C5812" t="n">
        <v>0.011</v>
      </c>
    </row>
    <row r="5813">
      <c r="A5813" t="n">
        <v>92</v>
      </c>
      <c r="B5813" t="n">
        <v>2009</v>
      </c>
      <c r="C5813" t="n">
        <v>0.0111</v>
      </c>
    </row>
    <row r="5814">
      <c r="A5814" t="n">
        <v>92</v>
      </c>
      <c r="B5814" t="n">
        <v>2010</v>
      </c>
      <c r="C5814" t="n">
        <v>0.0109</v>
      </c>
    </row>
    <row r="5815">
      <c r="A5815" t="n">
        <v>92</v>
      </c>
      <c r="B5815" t="n">
        <v>2011</v>
      </c>
      <c r="C5815" t="n">
        <v>0.0107</v>
      </c>
    </row>
    <row r="5816">
      <c r="A5816" t="n">
        <v>92</v>
      </c>
      <c r="B5816" t="n">
        <v>2012</v>
      </c>
      <c r="C5816" t="n">
        <v>0.0103</v>
      </c>
    </row>
    <row r="5817">
      <c r="A5817" t="n">
        <v>92</v>
      </c>
      <c r="B5817" t="n">
        <v>2013</v>
      </c>
      <c r="C5817" t="n">
        <v>0.0102</v>
      </c>
    </row>
    <row r="5818">
      <c r="A5818" t="n">
        <v>92</v>
      </c>
      <c r="B5818" t="n">
        <v>2014</v>
      </c>
      <c r="C5818" t="n">
        <v>0.009900000000000001</v>
      </c>
    </row>
    <row r="5819">
      <c r="A5819" t="n">
        <v>92</v>
      </c>
      <c r="B5819" t="n">
        <v>2015</v>
      </c>
      <c r="C5819" t="n">
        <v>0.0097</v>
      </c>
    </row>
    <row r="5820">
      <c r="A5820" t="n">
        <v>92</v>
      </c>
      <c r="B5820" t="n">
        <v>2016</v>
      </c>
      <c r="C5820" t="n">
        <v>0.0095</v>
      </c>
    </row>
    <row r="5821">
      <c r="A5821" t="n">
        <v>92</v>
      </c>
      <c r="B5821" t="n">
        <v>2017</v>
      </c>
      <c r="C5821" t="n">
        <v>0.009299999999999999</v>
      </c>
    </row>
    <row r="5822">
      <c r="A5822" t="n">
        <v>92</v>
      </c>
      <c r="B5822" t="n">
        <v>2018</v>
      </c>
      <c r="C5822" t="n">
        <v>0.0091</v>
      </c>
    </row>
    <row r="5823">
      <c r="A5823" t="n">
        <v>92</v>
      </c>
      <c r="B5823" t="n">
        <v>2019</v>
      </c>
      <c r="C5823" t="n">
        <v>0.008999999999999999</v>
      </c>
    </row>
    <row r="5824">
      <c r="A5824" t="n">
        <v>92</v>
      </c>
      <c r="B5824" t="n">
        <v>2020</v>
      </c>
      <c r="C5824" t="n">
        <v>0.0089</v>
      </c>
    </row>
    <row r="5825">
      <c r="A5825" t="n">
        <v>92</v>
      </c>
      <c r="B5825" t="n">
        <v>2021</v>
      </c>
      <c r="C5825" t="n">
        <v>0.008800000000000001</v>
      </c>
    </row>
    <row r="5826">
      <c r="A5826" t="n">
        <v>92</v>
      </c>
      <c r="B5826" t="n">
        <v>2022</v>
      </c>
      <c r="C5826" t="n">
        <v>0.008699999999999999</v>
      </c>
    </row>
    <row r="5827">
      <c r="A5827" t="n">
        <v>92</v>
      </c>
      <c r="B5827" t="n">
        <v>2023</v>
      </c>
      <c r="C5827" t="n">
        <v>0.008699999999999999</v>
      </c>
    </row>
    <row r="5828">
      <c r="A5828" t="n">
        <v>92</v>
      </c>
      <c r="B5828" t="n">
        <v>2024</v>
      </c>
      <c r="C5828" t="n">
        <v>0.008699999999999999</v>
      </c>
    </row>
    <row r="5829">
      <c r="A5829" t="n">
        <v>92</v>
      </c>
      <c r="B5829" t="n">
        <v>2025</v>
      </c>
      <c r="C5829" t="n">
        <v>0.008699999999999999</v>
      </c>
    </row>
    <row r="5830">
      <c r="A5830" t="n">
        <v>92</v>
      </c>
      <c r="B5830" t="n">
        <v>2026</v>
      </c>
      <c r="C5830" t="n">
        <v>0.008699999999999999</v>
      </c>
    </row>
    <row r="5831">
      <c r="A5831" t="n">
        <v>92</v>
      </c>
      <c r="B5831" t="n">
        <v>2027</v>
      </c>
      <c r="C5831" t="n">
        <v>0.008699999999999999</v>
      </c>
    </row>
    <row r="5832">
      <c r="A5832" t="n">
        <v>92</v>
      </c>
      <c r="B5832" t="n">
        <v>2028</v>
      </c>
      <c r="C5832" t="n">
        <v>0.008800000000000001</v>
      </c>
    </row>
    <row r="5833">
      <c r="A5833" t="n">
        <v>92</v>
      </c>
      <c r="B5833" t="n">
        <v>2029</v>
      </c>
      <c r="C5833" t="n">
        <v>0.0089</v>
      </c>
    </row>
    <row r="5834">
      <c r="A5834" t="n">
        <v>92</v>
      </c>
      <c r="B5834" t="n">
        <v>2030</v>
      </c>
      <c r="C5834" t="n">
        <v>0.0089</v>
      </c>
    </row>
    <row r="5835">
      <c r="A5835" t="n">
        <v>92</v>
      </c>
      <c r="B5835" t="n">
        <v>2031</v>
      </c>
      <c r="C5835" t="n">
        <v>0.0089</v>
      </c>
    </row>
    <row r="5836">
      <c r="A5836" t="n">
        <v>93</v>
      </c>
      <c r="B5836" t="n">
        <v>1951</v>
      </c>
      <c r="C5836" t="n">
        <v>-0.0127</v>
      </c>
    </row>
    <row r="5837">
      <c r="A5837" t="n">
        <v>93</v>
      </c>
      <c r="B5837" t="n">
        <v>1952</v>
      </c>
      <c r="C5837" t="n">
        <v>-0.0122</v>
      </c>
    </row>
    <row r="5838">
      <c r="A5838" t="n">
        <v>93</v>
      </c>
      <c r="B5838" t="n">
        <v>1953</v>
      </c>
      <c r="C5838" t="n">
        <v>-0.0117</v>
      </c>
    </row>
    <row r="5839">
      <c r="A5839" t="n">
        <v>93</v>
      </c>
      <c r="B5839" t="n">
        <v>1954</v>
      </c>
      <c r="C5839" t="n">
        <v>-0.0112</v>
      </c>
    </row>
    <row r="5840">
      <c r="A5840" t="n">
        <v>93</v>
      </c>
      <c r="B5840" t="n">
        <v>1955</v>
      </c>
      <c r="C5840" t="n">
        <v>-0.0106</v>
      </c>
    </row>
    <row r="5841">
      <c r="A5841" t="n">
        <v>93</v>
      </c>
      <c r="B5841" t="n">
        <v>1956</v>
      </c>
      <c r="C5841" t="n">
        <v>-0.009900000000000001</v>
      </c>
    </row>
    <row r="5842">
      <c r="A5842" t="n">
        <v>93</v>
      </c>
      <c r="B5842" t="n">
        <v>1957</v>
      </c>
      <c r="C5842" t="n">
        <v>-0.0091</v>
      </c>
    </row>
    <row r="5843">
      <c r="A5843" t="n">
        <v>93</v>
      </c>
      <c r="B5843" t="n">
        <v>1958</v>
      </c>
      <c r="C5843" t="n">
        <v>-0.0081</v>
      </c>
    </row>
    <row r="5844">
      <c r="A5844" t="n">
        <v>93</v>
      </c>
      <c r="B5844" t="n">
        <v>1959</v>
      </c>
      <c r="C5844" t="n">
        <v>-0.0069</v>
      </c>
    </row>
    <row r="5845">
      <c r="A5845" t="n">
        <v>93</v>
      </c>
      <c r="B5845" t="n">
        <v>1960</v>
      </c>
      <c r="C5845" t="n">
        <v>-0.0056</v>
      </c>
    </row>
    <row r="5846">
      <c r="A5846" t="n">
        <v>93</v>
      </c>
      <c r="B5846" t="n">
        <v>1961</v>
      </c>
      <c r="C5846" t="n">
        <v>-0.0041</v>
      </c>
    </row>
    <row r="5847">
      <c r="A5847" t="n">
        <v>93</v>
      </c>
      <c r="B5847" t="n">
        <v>1962</v>
      </c>
      <c r="C5847" t="n">
        <v>-0.0024</v>
      </c>
    </row>
    <row r="5848">
      <c r="A5848" t="n">
        <v>93</v>
      </c>
      <c r="B5848" t="n">
        <v>1963</v>
      </c>
      <c r="C5848" t="n">
        <v>-0.0005999999999999999</v>
      </c>
    </row>
    <row r="5849">
      <c r="A5849" t="n">
        <v>93</v>
      </c>
      <c r="B5849" t="n">
        <v>1964</v>
      </c>
      <c r="C5849" t="n">
        <v>0.0013</v>
      </c>
    </row>
    <row r="5850">
      <c r="A5850" t="n">
        <v>93</v>
      </c>
      <c r="B5850" t="n">
        <v>1965</v>
      </c>
      <c r="C5850" t="n">
        <v>0.0033</v>
      </c>
    </row>
    <row r="5851">
      <c r="A5851" t="n">
        <v>93</v>
      </c>
      <c r="B5851" t="n">
        <v>1966</v>
      </c>
      <c r="C5851" t="n">
        <v>0.0052</v>
      </c>
    </row>
    <row r="5852">
      <c r="A5852" t="n">
        <v>93</v>
      </c>
      <c r="B5852" t="n">
        <v>1967</v>
      </c>
      <c r="C5852" t="n">
        <v>0.007</v>
      </c>
    </row>
    <row r="5853">
      <c r="A5853" t="n">
        <v>93</v>
      </c>
      <c r="B5853" t="n">
        <v>1968</v>
      </c>
      <c r="C5853" t="n">
        <v>0.0086</v>
      </c>
    </row>
    <row r="5854">
      <c r="A5854" t="n">
        <v>93</v>
      </c>
      <c r="B5854" t="n">
        <v>1969</v>
      </c>
      <c r="C5854" t="n">
        <v>0.0101</v>
      </c>
    </row>
    <row r="5855">
      <c r="A5855" t="n">
        <v>93</v>
      </c>
      <c r="B5855" t="n">
        <v>1970</v>
      </c>
      <c r="C5855" t="n">
        <v>0.0114</v>
      </c>
    </row>
    <row r="5856">
      <c r="A5856" t="n">
        <v>93</v>
      </c>
      <c r="B5856" t="n">
        <v>1971</v>
      </c>
      <c r="C5856" t="n">
        <v>0.0123</v>
      </c>
    </row>
    <row r="5857">
      <c r="A5857" t="n">
        <v>93</v>
      </c>
      <c r="B5857" t="n">
        <v>1972</v>
      </c>
      <c r="C5857" t="n">
        <v>0.013</v>
      </c>
    </row>
    <row r="5858">
      <c r="A5858" t="n">
        <v>93</v>
      </c>
      <c r="B5858" t="n">
        <v>1973</v>
      </c>
      <c r="C5858" t="n">
        <v>0.0134</v>
      </c>
    </row>
    <row r="5859">
      <c r="A5859" t="n">
        <v>93</v>
      </c>
      <c r="B5859" t="n">
        <v>1974</v>
      </c>
      <c r="C5859" t="n">
        <v>0.0135</v>
      </c>
    </row>
    <row r="5860">
      <c r="A5860" t="n">
        <v>93</v>
      </c>
      <c r="B5860" t="n">
        <v>1975</v>
      </c>
      <c r="C5860" t="n">
        <v>0.0132</v>
      </c>
    </row>
    <row r="5861">
      <c r="A5861" t="n">
        <v>93</v>
      </c>
      <c r="B5861" t="n">
        <v>1976</v>
      </c>
      <c r="C5861" t="n">
        <v>0.0127</v>
      </c>
    </row>
    <row r="5862">
      <c r="A5862" t="n">
        <v>93</v>
      </c>
      <c r="B5862" t="n">
        <v>1977</v>
      </c>
      <c r="C5862" t="n">
        <v>0.0119</v>
      </c>
    </row>
    <row r="5863">
      <c r="A5863" t="n">
        <v>93</v>
      </c>
      <c r="B5863" t="n">
        <v>1978</v>
      </c>
      <c r="C5863" t="n">
        <v>0.0109</v>
      </c>
    </row>
    <row r="5864">
      <c r="A5864" t="n">
        <v>93</v>
      </c>
      <c r="B5864" t="n">
        <v>1979</v>
      </c>
      <c r="C5864" t="n">
        <v>0.0097</v>
      </c>
    </row>
    <row r="5865">
      <c r="A5865" t="n">
        <v>93</v>
      </c>
      <c r="B5865" t="n">
        <v>1980</v>
      </c>
      <c r="C5865" t="n">
        <v>0.008200000000000001</v>
      </c>
    </row>
    <row r="5866">
      <c r="A5866" t="n">
        <v>93</v>
      </c>
      <c r="B5866" t="n">
        <v>1981</v>
      </c>
      <c r="C5866" t="n">
        <v>0.0066</v>
      </c>
    </row>
    <row r="5867">
      <c r="A5867" t="n">
        <v>93</v>
      </c>
      <c r="B5867" t="n">
        <v>1982</v>
      </c>
      <c r="C5867" t="n">
        <v>0.0049</v>
      </c>
    </row>
    <row r="5868">
      <c r="A5868" t="n">
        <v>93</v>
      </c>
      <c r="B5868" t="n">
        <v>1983</v>
      </c>
      <c r="C5868" t="n">
        <v>0.0032</v>
      </c>
    </row>
    <row r="5869">
      <c r="A5869" t="n">
        <v>93</v>
      </c>
      <c r="B5869" t="n">
        <v>1984</v>
      </c>
      <c r="C5869" t="n">
        <v>0.0015</v>
      </c>
    </row>
    <row r="5870">
      <c r="A5870" t="n">
        <v>93</v>
      </c>
      <c r="B5870" t="n">
        <v>1985</v>
      </c>
      <c r="C5870" t="n">
        <v>-0.0002</v>
      </c>
    </row>
    <row r="5871">
      <c r="A5871" t="n">
        <v>93</v>
      </c>
      <c r="B5871" t="n">
        <v>1986</v>
      </c>
      <c r="C5871" t="n">
        <v>-0.0017</v>
      </c>
    </row>
    <row r="5872">
      <c r="A5872" t="n">
        <v>93</v>
      </c>
      <c r="B5872" t="n">
        <v>1987</v>
      </c>
      <c r="C5872" t="n">
        <v>-0.0031</v>
      </c>
    </row>
    <row r="5873">
      <c r="A5873" t="n">
        <v>93</v>
      </c>
      <c r="B5873" t="n">
        <v>1988</v>
      </c>
      <c r="C5873" t="n">
        <v>-0.0043</v>
      </c>
    </row>
    <row r="5874">
      <c r="A5874" t="n">
        <v>93</v>
      </c>
      <c r="B5874" t="n">
        <v>1989</v>
      </c>
      <c r="C5874" t="n">
        <v>-0.0053</v>
      </c>
    </row>
    <row r="5875">
      <c r="A5875" t="n">
        <v>93</v>
      </c>
      <c r="B5875" t="n">
        <v>1990</v>
      </c>
      <c r="C5875" t="n">
        <v>-0.0061</v>
      </c>
    </row>
    <row r="5876">
      <c r="A5876" t="n">
        <v>93</v>
      </c>
      <c r="B5876" t="n">
        <v>1991</v>
      </c>
      <c r="C5876" t="n">
        <v>-0.0067</v>
      </c>
    </row>
    <row r="5877">
      <c r="A5877" t="n">
        <v>93</v>
      </c>
      <c r="B5877" t="n">
        <v>1992</v>
      </c>
      <c r="C5877" t="n">
        <v>-0.0071</v>
      </c>
    </row>
    <row r="5878">
      <c r="A5878" t="n">
        <v>93</v>
      </c>
      <c r="B5878" t="n">
        <v>1993</v>
      </c>
      <c r="C5878" t="n">
        <v>-0.0072</v>
      </c>
    </row>
    <row r="5879">
      <c r="A5879" t="n">
        <v>93</v>
      </c>
      <c r="B5879" t="n">
        <v>1994</v>
      </c>
      <c r="C5879" t="n">
        <v>-0.007</v>
      </c>
    </row>
    <row r="5880">
      <c r="A5880" t="n">
        <v>93</v>
      </c>
      <c r="B5880" t="n">
        <v>1995</v>
      </c>
      <c r="C5880" t="n">
        <v>-0.0066</v>
      </c>
    </row>
    <row r="5881">
      <c r="A5881" t="n">
        <v>93</v>
      </c>
      <c r="B5881" t="n">
        <v>1996</v>
      </c>
      <c r="C5881" t="n">
        <v>-0.0058</v>
      </c>
    </row>
    <row r="5882">
      <c r="A5882" t="n">
        <v>93</v>
      </c>
      <c r="B5882" t="n">
        <v>1997</v>
      </c>
      <c r="C5882" t="n">
        <v>-0.0048</v>
      </c>
    </row>
    <row r="5883">
      <c r="A5883" t="n">
        <v>93</v>
      </c>
      <c r="B5883" t="n">
        <v>1998</v>
      </c>
      <c r="C5883" t="n">
        <v>-0.0036</v>
      </c>
    </row>
    <row r="5884">
      <c r="A5884" t="n">
        <v>93</v>
      </c>
      <c r="B5884" t="n">
        <v>1999</v>
      </c>
      <c r="C5884" t="n">
        <v>-0.0021</v>
      </c>
    </row>
    <row r="5885">
      <c r="A5885" t="n">
        <v>93</v>
      </c>
      <c r="B5885" t="n">
        <v>2000</v>
      </c>
      <c r="C5885" t="n">
        <v>-0.0005</v>
      </c>
    </row>
    <row r="5886">
      <c r="A5886" t="n">
        <v>93</v>
      </c>
      <c r="B5886" t="n">
        <v>2001</v>
      </c>
      <c r="C5886" t="n">
        <v>0.0012</v>
      </c>
    </row>
    <row r="5887">
      <c r="A5887" t="n">
        <v>93</v>
      </c>
      <c r="B5887" t="n">
        <v>2002</v>
      </c>
      <c r="C5887" t="n">
        <v>0.0029</v>
      </c>
    </row>
    <row r="5888">
      <c r="A5888" t="n">
        <v>93</v>
      </c>
      <c r="B5888" t="n">
        <v>2003</v>
      </c>
      <c r="C5888" t="n">
        <v>0.0046</v>
      </c>
    </row>
    <row r="5889">
      <c r="A5889" t="n">
        <v>93</v>
      </c>
      <c r="B5889" t="n">
        <v>2004</v>
      </c>
      <c r="C5889" t="n">
        <v>0.0061</v>
      </c>
    </row>
    <row r="5890">
      <c r="A5890" t="n">
        <v>93</v>
      </c>
      <c r="B5890" t="n">
        <v>2005</v>
      </c>
      <c r="C5890" t="n">
        <v>0.0074</v>
      </c>
    </row>
    <row r="5891">
      <c r="A5891" t="n">
        <v>93</v>
      </c>
      <c r="B5891" t="n">
        <v>2006</v>
      </c>
      <c r="C5891" t="n">
        <v>0.008500000000000001</v>
      </c>
    </row>
    <row r="5892">
      <c r="A5892" t="n">
        <v>93</v>
      </c>
      <c r="B5892" t="n">
        <v>2007</v>
      </c>
      <c r="C5892" t="n">
        <v>0.0094</v>
      </c>
    </row>
    <row r="5893">
      <c r="A5893" t="n">
        <v>93</v>
      </c>
      <c r="B5893" t="n">
        <v>2008</v>
      </c>
      <c r="C5893" t="n">
        <v>0.01</v>
      </c>
    </row>
    <row r="5894">
      <c r="A5894" t="n">
        <v>93</v>
      </c>
      <c r="B5894" t="n">
        <v>2009</v>
      </c>
      <c r="C5894" t="n">
        <v>0.0104</v>
      </c>
    </row>
    <row r="5895">
      <c r="A5895" t="n">
        <v>93</v>
      </c>
      <c r="B5895" t="n">
        <v>2010</v>
      </c>
      <c r="C5895" t="n">
        <v>0.0106</v>
      </c>
    </row>
    <row r="5896">
      <c r="A5896" t="n">
        <v>93</v>
      </c>
      <c r="B5896" t="n">
        <v>2011</v>
      </c>
      <c r="C5896" t="n">
        <v>0.0107</v>
      </c>
    </row>
    <row r="5897">
      <c r="A5897" t="n">
        <v>93</v>
      </c>
      <c r="B5897" t="n">
        <v>2012</v>
      </c>
      <c r="C5897" t="n">
        <v>0.0107</v>
      </c>
    </row>
    <row r="5898">
      <c r="A5898" t="n">
        <v>93</v>
      </c>
      <c r="B5898" t="n">
        <v>2013</v>
      </c>
      <c r="C5898" t="n">
        <v>0.0105</v>
      </c>
    </row>
    <row r="5899">
      <c r="A5899" t="n">
        <v>93</v>
      </c>
      <c r="B5899" t="n">
        <v>2014</v>
      </c>
      <c r="C5899" t="n">
        <v>0.0102</v>
      </c>
    </row>
    <row r="5900">
      <c r="A5900" t="n">
        <v>93</v>
      </c>
      <c r="B5900" t="n">
        <v>2015</v>
      </c>
      <c r="C5900" t="n">
        <v>0.009900000000000001</v>
      </c>
    </row>
    <row r="5901">
      <c r="A5901" t="n">
        <v>93</v>
      </c>
      <c r="B5901" t="n">
        <v>2016</v>
      </c>
      <c r="C5901" t="n">
        <v>0.009599999999999999</v>
      </c>
    </row>
    <row r="5902">
      <c r="A5902" t="n">
        <v>93</v>
      </c>
      <c r="B5902" t="n">
        <v>2017</v>
      </c>
      <c r="C5902" t="n">
        <v>0.009299999999999999</v>
      </c>
    </row>
    <row r="5903">
      <c r="A5903" t="n">
        <v>93</v>
      </c>
      <c r="B5903" t="n">
        <v>2018</v>
      </c>
      <c r="C5903" t="n">
        <v>0.008999999999999999</v>
      </c>
    </row>
    <row r="5904">
      <c r="A5904" t="n">
        <v>93</v>
      </c>
      <c r="B5904" t="n">
        <v>2019</v>
      </c>
      <c r="C5904" t="n">
        <v>0.008800000000000001</v>
      </c>
    </row>
    <row r="5905">
      <c r="A5905" t="n">
        <v>93</v>
      </c>
      <c r="B5905" t="n">
        <v>2020</v>
      </c>
      <c r="C5905" t="n">
        <v>0.0086</v>
      </c>
    </row>
    <row r="5906">
      <c r="A5906" t="n">
        <v>93</v>
      </c>
      <c r="B5906" t="n">
        <v>2021</v>
      </c>
      <c r="C5906" t="n">
        <v>0.008500000000000001</v>
      </c>
    </row>
    <row r="5907">
      <c r="A5907" t="n">
        <v>93</v>
      </c>
      <c r="B5907" t="n">
        <v>2022</v>
      </c>
      <c r="C5907" t="n">
        <v>0.008500000000000001</v>
      </c>
    </row>
    <row r="5908">
      <c r="A5908" t="n">
        <v>93</v>
      </c>
      <c r="B5908" t="n">
        <v>2023</v>
      </c>
      <c r="C5908" t="n">
        <v>0.008399999999999999</v>
      </c>
    </row>
    <row r="5909">
      <c r="A5909" t="n">
        <v>93</v>
      </c>
      <c r="B5909" t="n">
        <v>2024</v>
      </c>
      <c r="C5909" t="n">
        <v>0.008399999999999999</v>
      </c>
    </row>
    <row r="5910">
      <c r="A5910" t="n">
        <v>93</v>
      </c>
      <c r="B5910" t="n">
        <v>2025</v>
      </c>
      <c r="C5910" t="n">
        <v>0.008399999999999999</v>
      </c>
    </row>
    <row r="5911">
      <c r="A5911" t="n">
        <v>93</v>
      </c>
      <c r="B5911" t="n">
        <v>2026</v>
      </c>
      <c r="C5911" t="n">
        <v>0.008399999999999999</v>
      </c>
    </row>
    <row r="5912">
      <c r="A5912" t="n">
        <v>93</v>
      </c>
      <c r="B5912" t="n">
        <v>2027</v>
      </c>
      <c r="C5912" t="n">
        <v>0.008500000000000001</v>
      </c>
    </row>
    <row r="5913">
      <c r="A5913" t="n">
        <v>93</v>
      </c>
      <c r="B5913" t="n">
        <v>2028</v>
      </c>
      <c r="C5913" t="n">
        <v>0.008500000000000001</v>
      </c>
    </row>
    <row r="5914">
      <c r="A5914" t="n">
        <v>93</v>
      </c>
      <c r="B5914" t="n">
        <v>2029</v>
      </c>
      <c r="C5914" t="n">
        <v>0.0086</v>
      </c>
    </row>
    <row r="5915">
      <c r="A5915" t="n">
        <v>93</v>
      </c>
      <c r="B5915" t="n">
        <v>2030</v>
      </c>
      <c r="C5915" t="n">
        <v>0.008699999999999999</v>
      </c>
    </row>
    <row r="5916">
      <c r="A5916" t="n">
        <v>93</v>
      </c>
      <c r="B5916" t="n">
        <v>2031</v>
      </c>
      <c r="C5916" t="n">
        <v>0.008699999999999999</v>
      </c>
    </row>
    <row r="5917">
      <c r="A5917" t="n">
        <v>94</v>
      </c>
      <c r="B5917" t="n">
        <v>1951</v>
      </c>
      <c r="C5917" t="n">
        <v>-0.0158</v>
      </c>
    </row>
    <row r="5918">
      <c r="A5918" t="n">
        <v>94</v>
      </c>
      <c r="B5918" t="n">
        <v>1952</v>
      </c>
      <c r="C5918" t="n">
        <v>-0.0149</v>
      </c>
    </row>
    <row r="5919">
      <c r="A5919" t="n">
        <v>94</v>
      </c>
      <c r="B5919" t="n">
        <v>1953</v>
      </c>
      <c r="C5919" t="n">
        <v>-0.0139</v>
      </c>
    </row>
    <row r="5920">
      <c r="A5920" t="n">
        <v>94</v>
      </c>
      <c r="B5920" t="n">
        <v>1954</v>
      </c>
      <c r="C5920" t="n">
        <v>-0.013</v>
      </c>
    </row>
    <row r="5921">
      <c r="A5921" t="n">
        <v>94</v>
      </c>
      <c r="B5921" t="n">
        <v>1955</v>
      </c>
      <c r="C5921" t="n">
        <v>-0.012</v>
      </c>
    </row>
    <row r="5922">
      <c r="A5922" t="n">
        <v>94</v>
      </c>
      <c r="B5922" t="n">
        <v>1956</v>
      </c>
      <c r="C5922" t="n">
        <v>-0.0109</v>
      </c>
    </row>
    <row r="5923">
      <c r="A5923" t="n">
        <v>94</v>
      </c>
      <c r="B5923" t="n">
        <v>1957</v>
      </c>
      <c r="C5923" t="n">
        <v>-0.0098</v>
      </c>
    </row>
    <row r="5924">
      <c r="A5924" t="n">
        <v>94</v>
      </c>
      <c r="B5924" t="n">
        <v>1958</v>
      </c>
      <c r="C5924" t="n">
        <v>-0.008500000000000001</v>
      </c>
    </row>
    <row r="5925">
      <c r="A5925" t="n">
        <v>94</v>
      </c>
      <c r="B5925" t="n">
        <v>1959</v>
      </c>
      <c r="C5925" t="n">
        <v>-0.0071</v>
      </c>
    </row>
    <row r="5926">
      <c r="A5926" t="n">
        <v>94</v>
      </c>
      <c r="B5926" t="n">
        <v>1960</v>
      </c>
      <c r="C5926" t="n">
        <v>-0.0056</v>
      </c>
    </row>
    <row r="5927">
      <c r="A5927" t="n">
        <v>94</v>
      </c>
      <c r="B5927" t="n">
        <v>1961</v>
      </c>
      <c r="C5927" t="n">
        <v>-0.004</v>
      </c>
    </row>
    <row r="5928">
      <c r="A5928" t="n">
        <v>94</v>
      </c>
      <c r="B5928" t="n">
        <v>1962</v>
      </c>
      <c r="C5928" t="n">
        <v>-0.0022</v>
      </c>
    </row>
    <row r="5929">
      <c r="A5929" t="n">
        <v>94</v>
      </c>
      <c r="B5929" t="n">
        <v>1963</v>
      </c>
      <c r="C5929" t="n">
        <v>-0.0004</v>
      </c>
    </row>
    <row r="5930">
      <c r="A5930" t="n">
        <v>94</v>
      </c>
      <c r="B5930" t="n">
        <v>1964</v>
      </c>
      <c r="C5930" t="n">
        <v>0.0015</v>
      </c>
    </row>
    <row r="5931">
      <c r="A5931" t="n">
        <v>94</v>
      </c>
      <c r="B5931" t="n">
        <v>1965</v>
      </c>
      <c r="C5931" t="n">
        <v>0.0034</v>
      </c>
    </row>
    <row r="5932">
      <c r="A5932" t="n">
        <v>94</v>
      </c>
      <c r="B5932" t="n">
        <v>1966</v>
      </c>
      <c r="C5932" t="n">
        <v>0.0053</v>
      </c>
    </row>
    <row r="5933">
      <c r="A5933" t="n">
        <v>94</v>
      </c>
      <c r="B5933" t="n">
        <v>1967</v>
      </c>
      <c r="C5933" t="n">
        <v>0.007</v>
      </c>
    </row>
    <row r="5934">
      <c r="A5934" t="n">
        <v>94</v>
      </c>
      <c r="B5934" t="n">
        <v>1968</v>
      </c>
      <c r="C5934" t="n">
        <v>0.0086</v>
      </c>
    </row>
    <row r="5935">
      <c r="A5935" t="n">
        <v>94</v>
      </c>
      <c r="B5935" t="n">
        <v>1969</v>
      </c>
      <c r="C5935" t="n">
        <v>0.01</v>
      </c>
    </row>
    <row r="5936">
      <c r="A5936" t="n">
        <v>94</v>
      </c>
      <c r="B5936" t="n">
        <v>1970</v>
      </c>
      <c r="C5936" t="n">
        <v>0.0112</v>
      </c>
    </row>
    <row r="5937">
      <c r="A5937" t="n">
        <v>94</v>
      </c>
      <c r="B5937" t="n">
        <v>1971</v>
      </c>
      <c r="C5937" t="n">
        <v>0.0121</v>
      </c>
    </row>
    <row r="5938">
      <c r="A5938" t="n">
        <v>94</v>
      </c>
      <c r="B5938" t="n">
        <v>1972</v>
      </c>
      <c r="C5938" t="n">
        <v>0.0128</v>
      </c>
    </row>
    <row r="5939">
      <c r="A5939" t="n">
        <v>94</v>
      </c>
      <c r="B5939" t="n">
        <v>1973</v>
      </c>
      <c r="C5939" t="n">
        <v>0.0132</v>
      </c>
    </row>
    <row r="5940">
      <c r="A5940" t="n">
        <v>94</v>
      </c>
      <c r="B5940" t="n">
        <v>1974</v>
      </c>
      <c r="C5940" t="n">
        <v>0.0132</v>
      </c>
    </row>
    <row r="5941">
      <c r="A5941" t="n">
        <v>94</v>
      </c>
      <c r="B5941" t="n">
        <v>1975</v>
      </c>
      <c r="C5941" t="n">
        <v>0.013</v>
      </c>
    </row>
    <row r="5942">
      <c r="A5942" t="n">
        <v>94</v>
      </c>
      <c r="B5942" t="n">
        <v>1976</v>
      </c>
      <c r="C5942" t="n">
        <v>0.0125</v>
      </c>
    </row>
    <row r="5943">
      <c r="A5943" t="n">
        <v>94</v>
      </c>
      <c r="B5943" t="n">
        <v>1977</v>
      </c>
      <c r="C5943" t="n">
        <v>0.0118</v>
      </c>
    </row>
    <row r="5944">
      <c r="A5944" t="n">
        <v>94</v>
      </c>
      <c r="B5944" t="n">
        <v>1978</v>
      </c>
      <c r="C5944" t="n">
        <v>0.0108</v>
      </c>
    </row>
    <row r="5945">
      <c r="A5945" t="n">
        <v>94</v>
      </c>
      <c r="B5945" t="n">
        <v>1979</v>
      </c>
      <c r="C5945" t="n">
        <v>0.0095</v>
      </c>
    </row>
    <row r="5946">
      <c r="A5946" t="n">
        <v>94</v>
      </c>
      <c r="B5946" t="n">
        <v>1980</v>
      </c>
      <c r="C5946" t="n">
        <v>0.0081</v>
      </c>
    </row>
    <row r="5947">
      <c r="A5947" t="n">
        <v>94</v>
      </c>
      <c r="B5947" t="n">
        <v>1981</v>
      </c>
      <c r="C5947" t="n">
        <v>0.0065</v>
      </c>
    </row>
    <row r="5948">
      <c r="A5948" t="n">
        <v>94</v>
      </c>
      <c r="B5948" t="n">
        <v>1982</v>
      </c>
      <c r="C5948" t="n">
        <v>0.0048</v>
      </c>
    </row>
    <row r="5949">
      <c r="A5949" t="n">
        <v>94</v>
      </c>
      <c r="B5949" t="n">
        <v>1983</v>
      </c>
      <c r="C5949" t="n">
        <v>0.0031</v>
      </c>
    </row>
    <row r="5950">
      <c r="A5950" t="n">
        <v>94</v>
      </c>
      <c r="B5950" t="n">
        <v>1984</v>
      </c>
      <c r="C5950" t="n">
        <v>0.0013</v>
      </c>
    </row>
    <row r="5951">
      <c r="A5951" t="n">
        <v>94</v>
      </c>
      <c r="B5951" t="n">
        <v>1985</v>
      </c>
      <c r="C5951" t="n">
        <v>-0.0004</v>
      </c>
    </row>
    <row r="5952">
      <c r="A5952" t="n">
        <v>94</v>
      </c>
      <c r="B5952" t="n">
        <v>1986</v>
      </c>
      <c r="C5952" t="n">
        <v>-0.002</v>
      </c>
    </row>
    <row r="5953">
      <c r="A5953" t="n">
        <v>94</v>
      </c>
      <c r="B5953" t="n">
        <v>1987</v>
      </c>
      <c r="C5953" t="n">
        <v>-0.0035</v>
      </c>
    </row>
    <row r="5954">
      <c r="A5954" t="n">
        <v>94</v>
      </c>
      <c r="B5954" t="n">
        <v>1988</v>
      </c>
      <c r="C5954" t="n">
        <v>-0.0048</v>
      </c>
    </row>
    <row r="5955">
      <c r="A5955" t="n">
        <v>94</v>
      </c>
      <c r="B5955" t="n">
        <v>1989</v>
      </c>
      <c r="C5955" t="n">
        <v>-0.0059</v>
      </c>
    </row>
    <row r="5956">
      <c r="A5956" t="n">
        <v>94</v>
      </c>
      <c r="B5956" t="n">
        <v>1990</v>
      </c>
      <c r="C5956" t="n">
        <v>-0.0068</v>
      </c>
    </row>
    <row r="5957">
      <c r="A5957" t="n">
        <v>94</v>
      </c>
      <c r="B5957" t="n">
        <v>1991</v>
      </c>
      <c r="C5957" t="n">
        <v>-0.0075</v>
      </c>
    </row>
    <row r="5958">
      <c r="A5958" t="n">
        <v>94</v>
      </c>
      <c r="B5958" t="n">
        <v>1992</v>
      </c>
      <c r="C5958" t="n">
        <v>-0.008</v>
      </c>
    </row>
    <row r="5959">
      <c r="A5959" t="n">
        <v>94</v>
      </c>
      <c r="B5959" t="n">
        <v>1993</v>
      </c>
      <c r="C5959" t="n">
        <v>-0.008200000000000001</v>
      </c>
    </row>
    <row r="5960">
      <c r="A5960" t="n">
        <v>94</v>
      </c>
      <c r="B5960" t="n">
        <v>1994</v>
      </c>
      <c r="C5960" t="n">
        <v>-0.0081</v>
      </c>
    </row>
    <row r="5961">
      <c r="A5961" t="n">
        <v>94</v>
      </c>
      <c r="B5961" t="n">
        <v>1995</v>
      </c>
      <c r="C5961" t="n">
        <v>-0.0078</v>
      </c>
    </row>
    <row r="5962">
      <c r="A5962" t="n">
        <v>94</v>
      </c>
      <c r="B5962" t="n">
        <v>1996</v>
      </c>
      <c r="C5962" t="n">
        <v>-0.0071</v>
      </c>
    </row>
    <row r="5963">
      <c r="A5963" t="n">
        <v>94</v>
      </c>
      <c r="B5963" t="n">
        <v>1997</v>
      </c>
      <c r="C5963" t="n">
        <v>-0.0063</v>
      </c>
    </row>
    <row r="5964">
      <c r="A5964" t="n">
        <v>94</v>
      </c>
      <c r="B5964" t="n">
        <v>1998</v>
      </c>
      <c r="C5964" t="n">
        <v>-0.0051</v>
      </c>
    </row>
    <row r="5965">
      <c r="A5965" t="n">
        <v>94</v>
      </c>
      <c r="B5965" t="n">
        <v>1999</v>
      </c>
      <c r="C5965" t="n">
        <v>-0.0038</v>
      </c>
    </row>
    <row r="5966">
      <c r="A5966" t="n">
        <v>94</v>
      </c>
      <c r="B5966" t="n">
        <v>2000</v>
      </c>
      <c r="C5966" t="n">
        <v>-0.0023</v>
      </c>
    </row>
    <row r="5967">
      <c r="A5967" t="n">
        <v>94</v>
      </c>
      <c r="B5967" t="n">
        <v>2001</v>
      </c>
      <c r="C5967" t="n">
        <v>-0.0007</v>
      </c>
    </row>
    <row r="5968">
      <c r="A5968" t="n">
        <v>94</v>
      </c>
      <c r="B5968" t="n">
        <v>2002</v>
      </c>
      <c r="C5968" t="n">
        <v>0.0009</v>
      </c>
    </row>
    <row r="5969">
      <c r="A5969" t="n">
        <v>94</v>
      </c>
      <c r="B5969" t="n">
        <v>2003</v>
      </c>
      <c r="C5969" t="n">
        <v>0.0026</v>
      </c>
    </row>
    <row r="5970">
      <c r="A5970" t="n">
        <v>94</v>
      </c>
      <c r="B5970" t="n">
        <v>2004</v>
      </c>
      <c r="C5970" t="n">
        <v>0.0041</v>
      </c>
    </row>
    <row r="5971">
      <c r="A5971" t="n">
        <v>94</v>
      </c>
      <c r="B5971" t="n">
        <v>2005</v>
      </c>
      <c r="C5971" t="n">
        <v>0.0056</v>
      </c>
    </row>
    <row r="5972">
      <c r="A5972" t="n">
        <v>94</v>
      </c>
      <c r="B5972" t="n">
        <v>2006</v>
      </c>
      <c r="C5972" t="n">
        <v>0.0069</v>
      </c>
    </row>
    <row r="5973">
      <c r="A5973" t="n">
        <v>94</v>
      </c>
      <c r="B5973" t="n">
        <v>2007</v>
      </c>
      <c r="C5973" t="n">
        <v>0.008</v>
      </c>
    </row>
    <row r="5974">
      <c r="A5974" t="n">
        <v>94</v>
      </c>
      <c r="B5974" t="n">
        <v>2008</v>
      </c>
      <c r="C5974" t="n">
        <v>0.0089</v>
      </c>
    </row>
    <row r="5975">
      <c r="A5975" t="n">
        <v>94</v>
      </c>
      <c r="B5975" t="n">
        <v>2009</v>
      </c>
      <c r="C5975" t="n">
        <v>0.009599999999999999</v>
      </c>
    </row>
    <row r="5976">
      <c r="A5976" t="n">
        <v>94</v>
      </c>
      <c r="B5976" t="n">
        <v>2010</v>
      </c>
      <c r="C5976" t="n">
        <v>0.0102</v>
      </c>
    </row>
    <row r="5977">
      <c r="A5977" t="n">
        <v>94</v>
      </c>
      <c r="B5977" t="n">
        <v>2011</v>
      </c>
      <c r="C5977" t="n">
        <v>0.0108</v>
      </c>
    </row>
    <row r="5978">
      <c r="A5978" t="n">
        <v>94</v>
      </c>
      <c r="B5978" t="n">
        <v>2012</v>
      </c>
      <c r="C5978" t="n">
        <v>0.0112</v>
      </c>
    </row>
    <row r="5979">
      <c r="A5979" t="n">
        <v>94</v>
      </c>
      <c r="B5979" t="n">
        <v>2013</v>
      </c>
      <c r="C5979" t="n">
        <v>0.0109</v>
      </c>
    </row>
    <row r="5980">
      <c r="A5980" t="n">
        <v>94</v>
      </c>
      <c r="B5980" t="n">
        <v>2014</v>
      </c>
      <c r="C5980" t="n">
        <v>0.0105</v>
      </c>
    </row>
    <row r="5981">
      <c r="A5981" t="n">
        <v>94</v>
      </c>
      <c r="B5981" t="n">
        <v>2015</v>
      </c>
      <c r="C5981" t="n">
        <v>0.0101</v>
      </c>
    </row>
    <row r="5982">
      <c r="A5982" t="n">
        <v>94</v>
      </c>
      <c r="B5982" t="n">
        <v>2016</v>
      </c>
      <c r="C5982" t="n">
        <v>0.0097</v>
      </c>
    </row>
    <row r="5983">
      <c r="A5983" t="n">
        <v>94</v>
      </c>
      <c r="B5983" t="n">
        <v>2017</v>
      </c>
      <c r="C5983" t="n">
        <v>0.009299999999999999</v>
      </c>
    </row>
    <row r="5984">
      <c r="A5984" t="n">
        <v>94</v>
      </c>
      <c r="B5984" t="n">
        <v>2018</v>
      </c>
      <c r="C5984" t="n">
        <v>0.008999999999999999</v>
      </c>
    </row>
    <row r="5985">
      <c r="A5985" t="n">
        <v>94</v>
      </c>
      <c r="B5985" t="n">
        <v>2019</v>
      </c>
      <c r="C5985" t="n">
        <v>0.008699999999999999</v>
      </c>
    </row>
    <row r="5986">
      <c r="A5986" t="n">
        <v>94</v>
      </c>
      <c r="B5986" t="n">
        <v>2020</v>
      </c>
      <c r="C5986" t="n">
        <v>0.008399999999999999</v>
      </c>
    </row>
    <row r="5987">
      <c r="A5987" t="n">
        <v>94</v>
      </c>
      <c r="B5987" t="n">
        <v>2021</v>
      </c>
      <c r="C5987" t="n">
        <v>0.0083</v>
      </c>
    </row>
    <row r="5988">
      <c r="A5988" t="n">
        <v>94</v>
      </c>
      <c r="B5988" t="n">
        <v>2022</v>
      </c>
      <c r="C5988" t="n">
        <v>0.008200000000000001</v>
      </c>
    </row>
    <row r="5989">
      <c r="A5989" t="n">
        <v>94</v>
      </c>
      <c r="B5989" t="n">
        <v>2023</v>
      </c>
      <c r="C5989" t="n">
        <v>0.008200000000000001</v>
      </c>
    </row>
    <row r="5990">
      <c r="A5990" t="n">
        <v>94</v>
      </c>
      <c r="B5990" t="n">
        <v>2024</v>
      </c>
      <c r="C5990" t="n">
        <v>0.0081</v>
      </c>
    </row>
    <row r="5991">
      <c r="A5991" t="n">
        <v>94</v>
      </c>
      <c r="B5991" t="n">
        <v>2025</v>
      </c>
      <c r="C5991" t="n">
        <v>0.0081</v>
      </c>
    </row>
    <row r="5992">
      <c r="A5992" t="n">
        <v>94</v>
      </c>
      <c r="B5992" t="n">
        <v>2026</v>
      </c>
      <c r="C5992" t="n">
        <v>0.0081</v>
      </c>
    </row>
    <row r="5993">
      <c r="A5993" t="n">
        <v>94</v>
      </c>
      <c r="B5993" t="n">
        <v>2027</v>
      </c>
      <c r="C5993" t="n">
        <v>0.008200000000000001</v>
      </c>
    </row>
    <row r="5994">
      <c r="A5994" t="n">
        <v>94</v>
      </c>
      <c r="B5994" t="n">
        <v>2028</v>
      </c>
      <c r="C5994" t="n">
        <v>0.008200000000000001</v>
      </c>
    </row>
    <row r="5995">
      <c r="A5995" t="n">
        <v>94</v>
      </c>
      <c r="B5995" t="n">
        <v>2029</v>
      </c>
      <c r="C5995" t="n">
        <v>0.0083</v>
      </c>
    </row>
    <row r="5996">
      <c r="A5996" t="n">
        <v>94</v>
      </c>
      <c r="B5996" t="n">
        <v>2030</v>
      </c>
      <c r="C5996" t="n">
        <v>0.008399999999999999</v>
      </c>
    </row>
    <row r="5997">
      <c r="A5997" t="n">
        <v>94</v>
      </c>
      <c r="B5997" t="n">
        <v>2031</v>
      </c>
      <c r="C5997" t="n">
        <v>0.0086</v>
      </c>
    </row>
    <row r="5998">
      <c r="A5998" t="n">
        <v>95</v>
      </c>
      <c r="B5998" t="n">
        <v>1951</v>
      </c>
      <c r="C5998" t="n">
        <v>-0.0191</v>
      </c>
    </row>
    <row r="5999">
      <c r="A5999" t="n">
        <v>95</v>
      </c>
      <c r="B5999" t="n">
        <v>1952</v>
      </c>
      <c r="C5999" t="n">
        <v>-0.0177</v>
      </c>
    </row>
    <row r="6000">
      <c r="A6000" t="n">
        <v>95</v>
      </c>
      <c r="B6000" t="n">
        <v>1953</v>
      </c>
      <c r="C6000" t="n">
        <v>-0.0163</v>
      </c>
    </row>
    <row r="6001">
      <c r="A6001" t="n">
        <v>95</v>
      </c>
      <c r="B6001" t="n">
        <v>1954</v>
      </c>
      <c r="C6001" t="n">
        <v>-0.0149</v>
      </c>
    </row>
    <row r="6002">
      <c r="A6002" t="n">
        <v>95</v>
      </c>
      <c r="B6002" t="n">
        <v>1955</v>
      </c>
      <c r="C6002" t="n">
        <v>-0.0135</v>
      </c>
    </row>
    <row r="6003">
      <c r="A6003" t="n">
        <v>95</v>
      </c>
      <c r="B6003" t="n">
        <v>1956</v>
      </c>
      <c r="C6003" t="n">
        <v>-0.012</v>
      </c>
    </row>
    <row r="6004">
      <c r="A6004" t="n">
        <v>95</v>
      </c>
      <c r="B6004" t="n">
        <v>1957</v>
      </c>
      <c r="C6004" t="n">
        <v>-0.0105</v>
      </c>
    </row>
    <row r="6005">
      <c r="A6005" t="n">
        <v>95</v>
      </c>
      <c r="B6005" t="n">
        <v>1958</v>
      </c>
      <c r="C6005" t="n">
        <v>-0.0089</v>
      </c>
    </row>
    <row r="6006">
      <c r="A6006" t="n">
        <v>95</v>
      </c>
      <c r="B6006" t="n">
        <v>1959</v>
      </c>
      <c r="C6006" t="n">
        <v>-0.0073</v>
      </c>
    </row>
    <row r="6007">
      <c r="A6007" t="n">
        <v>95</v>
      </c>
      <c r="B6007" t="n">
        <v>1960</v>
      </c>
      <c r="C6007" t="n">
        <v>-0.0056</v>
      </c>
    </row>
    <row r="6008">
      <c r="A6008" t="n">
        <v>95</v>
      </c>
      <c r="B6008" t="n">
        <v>1961</v>
      </c>
      <c r="C6008" t="n">
        <v>-0.0038</v>
      </c>
    </row>
    <row r="6009">
      <c r="A6009" t="n">
        <v>95</v>
      </c>
      <c r="B6009" t="n">
        <v>1962</v>
      </c>
      <c r="C6009" t="n">
        <v>-0.002</v>
      </c>
    </row>
    <row r="6010">
      <c r="A6010" t="n">
        <v>95</v>
      </c>
      <c r="B6010" t="n">
        <v>1963</v>
      </c>
      <c r="C6010" t="n">
        <v>-0.0001</v>
      </c>
    </row>
    <row r="6011">
      <c r="A6011" t="n">
        <v>95</v>
      </c>
      <c r="B6011" t="n">
        <v>1964</v>
      </c>
      <c r="C6011" t="n">
        <v>0.0017</v>
      </c>
    </row>
    <row r="6012">
      <c r="A6012" t="n">
        <v>95</v>
      </c>
      <c r="B6012" t="n">
        <v>1965</v>
      </c>
      <c r="C6012" t="n">
        <v>0.0036</v>
      </c>
    </row>
    <row r="6013">
      <c r="A6013" t="n">
        <v>95</v>
      </c>
      <c r="B6013" t="n">
        <v>1966</v>
      </c>
      <c r="C6013" t="n">
        <v>0.0053</v>
      </c>
    </row>
    <row r="6014">
      <c r="A6014" t="n">
        <v>95</v>
      </c>
      <c r="B6014" t="n">
        <v>1967</v>
      </c>
      <c r="C6014" t="n">
        <v>0.007</v>
      </c>
    </row>
    <row r="6015">
      <c r="A6015" t="n">
        <v>95</v>
      </c>
      <c r="B6015" t="n">
        <v>1968</v>
      </c>
      <c r="C6015" t="n">
        <v>0.008500000000000001</v>
      </c>
    </row>
    <row r="6016">
      <c r="A6016" t="n">
        <v>95</v>
      </c>
      <c r="B6016" t="n">
        <v>1969</v>
      </c>
      <c r="C6016" t="n">
        <v>0.009900000000000001</v>
      </c>
    </row>
    <row r="6017">
      <c r="A6017" t="n">
        <v>95</v>
      </c>
      <c r="B6017" t="n">
        <v>1970</v>
      </c>
      <c r="C6017" t="n">
        <v>0.011</v>
      </c>
    </row>
    <row r="6018">
      <c r="A6018" t="n">
        <v>95</v>
      </c>
      <c r="B6018" t="n">
        <v>1971</v>
      </c>
      <c r="C6018" t="n">
        <v>0.0119</v>
      </c>
    </row>
    <row r="6019">
      <c r="A6019" t="n">
        <v>95</v>
      </c>
      <c r="B6019" t="n">
        <v>1972</v>
      </c>
      <c r="C6019" t="n">
        <v>0.0125</v>
      </c>
    </row>
    <row r="6020">
      <c r="A6020" t="n">
        <v>95</v>
      </c>
      <c r="B6020" t="n">
        <v>1973</v>
      </c>
      <c r="C6020" t="n">
        <v>0.0129</v>
      </c>
    </row>
    <row r="6021">
      <c r="A6021" t="n">
        <v>95</v>
      </c>
      <c r="B6021" t="n">
        <v>1974</v>
      </c>
      <c r="C6021" t="n">
        <v>0.013</v>
      </c>
    </row>
    <row r="6022">
      <c r="A6022" t="n">
        <v>95</v>
      </c>
      <c r="B6022" t="n">
        <v>1975</v>
      </c>
      <c r="C6022" t="n">
        <v>0.0128</v>
      </c>
    </row>
    <row r="6023">
      <c r="A6023" t="n">
        <v>95</v>
      </c>
      <c r="B6023" t="n">
        <v>1976</v>
      </c>
      <c r="C6023" t="n">
        <v>0.0123</v>
      </c>
    </row>
    <row r="6024">
      <c r="A6024" t="n">
        <v>95</v>
      </c>
      <c r="B6024" t="n">
        <v>1977</v>
      </c>
      <c r="C6024" t="n">
        <v>0.0116</v>
      </c>
    </row>
    <row r="6025">
      <c r="A6025" t="n">
        <v>95</v>
      </c>
      <c r="B6025" t="n">
        <v>1978</v>
      </c>
      <c r="C6025" t="n">
        <v>0.0106</v>
      </c>
    </row>
    <row r="6026">
      <c r="A6026" t="n">
        <v>95</v>
      </c>
      <c r="B6026" t="n">
        <v>1979</v>
      </c>
      <c r="C6026" t="n">
        <v>0.009299999999999999</v>
      </c>
    </row>
    <row r="6027">
      <c r="A6027" t="n">
        <v>95</v>
      </c>
      <c r="B6027" t="n">
        <v>1980</v>
      </c>
      <c r="C6027" t="n">
        <v>0.007900000000000001</v>
      </c>
    </row>
    <row r="6028">
      <c r="A6028" t="n">
        <v>95</v>
      </c>
      <c r="B6028" t="n">
        <v>1981</v>
      </c>
      <c r="C6028" t="n">
        <v>0.0064</v>
      </c>
    </row>
    <row r="6029">
      <c r="A6029" t="n">
        <v>95</v>
      </c>
      <c r="B6029" t="n">
        <v>1982</v>
      </c>
      <c r="C6029" t="n">
        <v>0.0047</v>
      </c>
    </row>
    <row r="6030">
      <c r="A6030" t="n">
        <v>95</v>
      </c>
      <c r="B6030" t="n">
        <v>1983</v>
      </c>
      <c r="C6030" t="n">
        <v>0.0029</v>
      </c>
    </row>
    <row r="6031">
      <c r="A6031" t="n">
        <v>95</v>
      </c>
      <c r="B6031" t="n">
        <v>1984</v>
      </c>
      <c r="C6031" t="n">
        <v>0.0012</v>
      </c>
    </row>
    <row r="6032">
      <c r="A6032" t="n">
        <v>95</v>
      </c>
      <c r="B6032" t="n">
        <v>1985</v>
      </c>
      <c r="C6032" t="n">
        <v>-0.0005999999999999999</v>
      </c>
    </row>
    <row r="6033">
      <c r="A6033" t="n">
        <v>95</v>
      </c>
      <c r="B6033" t="n">
        <v>1986</v>
      </c>
      <c r="C6033" t="n">
        <v>-0.0022</v>
      </c>
    </row>
    <row r="6034">
      <c r="A6034" t="n">
        <v>95</v>
      </c>
      <c r="B6034" t="n">
        <v>1987</v>
      </c>
      <c r="C6034" t="n">
        <v>-0.0038</v>
      </c>
    </row>
    <row r="6035">
      <c r="A6035" t="n">
        <v>95</v>
      </c>
      <c r="B6035" t="n">
        <v>1988</v>
      </c>
      <c r="C6035" t="n">
        <v>-0.0052</v>
      </c>
    </row>
    <row r="6036">
      <c r="A6036" t="n">
        <v>95</v>
      </c>
      <c r="B6036" t="n">
        <v>1989</v>
      </c>
      <c r="C6036" t="n">
        <v>-0.0064</v>
      </c>
    </row>
    <row r="6037">
      <c r="A6037" t="n">
        <v>95</v>
      </c>
      <c r="B6037" t="n">
        <v>1990</v>
      </c>
      <c r="C6037" t="n">
        <v>-0.0074</v>
      </c>
    </row>
    <row r="6038">
      <c r="A6038" t="n">
        <v>95</v>
      </c>
      <c r="B6038" t="n">
        <v>1991</v>
      </c>
      <c r="C6038" t="n">
        <v>-0.008200000000000001</v>
      </c>
    </row>
    <row r="6039">
      <c r="A6039" t="n">
        <v>95</v>
      </c>
      <c r="B6039" t="n">
        <v>1992</v>
      </c>
      <c r="C6039" t="n">
        <v>-0.008699999999999999</v>
      </c>
    </row>
    <row r="6040">
      <c r="A6040" t="n">
        <v>95</v>
      </c>
      <c r="B6040" t="n">
        <v>1993</v>
      </c>
      <c r="C6040" t="n">
        <v>-0.0091</v>
      </c>
    </row>
    <row r="6041">
      <c r="A6041" t="n">
        <v>95</v>
      </c>
      <c r="B6041" t="n">
        <v>1994</v>
      </c>
      <c r="C6041" t="n">
        <v>-0.0091</v>
      </c>
    </row>
    <row r="6042">
      <c r="A6042" t="n">
        <v>95</v>
      </c>
      <c r="B6042" t="n">
        <v>1995</v>
      </c>
      <c r="C6042" t="n">
        <v>-0.0089</v>
      </c>
    </row>
    <row r="6043">
      <c r="A6043" t="n">
        <v>95</v>
      </c>
      <c r="B6043" t="n">
        <v>1996</v>
      </c>
      <c r="C6043" t="n">
        <v>-0.008399999999999999</v>
      </c>
    </row>
    <row r="6044">
      <c r="A6044" t="n">
        <v>95</v>
      </c>
      <c r="B6044" t="n">
        <v>1997</v>
      </c>
      <c r="C6044" t="n">
        <v>-0.0077</v>
      </c>
    </row>
    <row r="6045">
      <c r="A6045" t="n">
        <v>95</v>
      </c>
      <c r="B6045" t="n">
        <v>1998</v>
      </c>
      <c r="C6045" t="n">
        <v>-0.0067</v>
      </c>
    </row>
    <row r="6046">
      <c r="A6046" t="n">
        <v>95</v>
      </c>
      <c r="B6046" t="n">
        <v>1999</v>
      </c>
      <c r="C6046" t="n">
        <v>-0.0056</v>
      </c>
    </row>
    <row r="6047">
      <c r="A6047" t="n">
        <v>95</v>
      </c>
      <c r="B6047" t="n">
        <v>2000</v>
      </c>
      <c r="C6047" t="n">
        <v>-0.0042</v>
      </c>
    </row>
    <row r="6048">
      <c r="A6048" t="n">
        <v>95</v>
      </c>
      <c r="B6048" t="n">
        <v>2001</v>
      </c>
      <c r="C6048" t="n">
        <v>-0.0027</v>
      </c>
    </row>
    <row r="6049">
      <c r="A6049" t="n">
        <v>95</v>
      </c>
      <c r="B6049" t="n">
        <v>2002</v>
      </c>
      <c r="C6049" t="n">
        <v>-0.0011</v>
      </c>
    </row>
    <row r="6050">
      <c r="A6050" t="n">
        <v>95</v>
      </c>
      <c r="B6050" t="n">
        <v>2003</v>
      </c>
      <c r="C6050" t="n">
        <v>0.0005</v>
      </c>
    </row>
    <row r="6051">
      <c r="A6051" t="n">
        <v>95</v>
      </c>
      <c r="B6051" t="n">
        <v>2004</v>
      </c>
      <c r="C6051" t="n">
        <v>0.0021</v>
      </c>
    </row>
    <row r="6052">
      <c r="A6052" t="n">
        <v>95</v>
      </c>
      <c r="B6052" t="n">
        <v>2005</v>
      </c>
      <c r="C6052" t="n">
        <v>0.0037</v>
      </c>
    </row>
    <row r="6053">
      <c r="A6053" t="n">
        <v>95</v>
      </c>
      <c r="B6053" t="n">
        <v>2006</v>
      </c>
      <c r="C6053" t="n">
        <v>0.0051</v>
      </c>
    </row>
    <row r="6054">
      <c r="A6054" t="n">
        <v>95</v>
      </c>
      <c r="B6054" t="n">
        <v>2007</v>
      </c>
      <c r="C6054" t="n">
        <v>0.0065</v>
      </c>
    </row>
    <row r="6055">
      <c r="A6055" t="n">
        <v>95</v>
      </c>
      <c r="B6055" t="n">
        <v>2008</v>
      </c>
      <c r="C6055" t="n">
        <v>0.0077</v>
      </c>
    </row>
    <row r="6056">
      <c r="A6056" t="n">
        <v>95</v>
      </c>
      <c r="B6056" t="n">
        <v>2009</v>
      </c>
      <c r="C6056" t="n">
        <v>0.0089</v>
      </c>
    </row>
    <row r="6057">
      <c r="A6057" t="n">
        <v>95</v>
      </c>
      <c r="B6057" t="n">
        <v>2010</v>
      </c>
      <c r="C6057" t="n">
        <v>0.009900000000000001</v>
      </c>
    </row>
    <row r="6058">
      <c r="A6058" t="n">
        <v>95</v>
      </c>
      <c r="B6058" t="n">
        <v>2011</v>
      </c>
      <c r="C6058" t="n">
        <v>0.0109</v>
      </c>
    </row>
    <row r="6059">
      <c r="A6059" t="n">
        <v>95</v>
      </c>
      <c r="B6059" t="n">
        <v>2012</v>
      </c>
      <c r="C6059" t="n">
        <v>0.0118</v>
      </c>
    </row>
    <row r="6060">
      <c r="A6060" t="n">
        <v>95</v>
      </c>
      <c r="B6060" t="n">
        <v>2013</v>
      </c>
      <c r="C6060" t="n">
        <v>0.0114</v>
      </c>
    </row>
    <row r="6061">
      <c r="A6061" t="n">
        <v>95</v>
      </c>
      <c r="B6061" t="n">
        <v>2014</v>
      </c>
      <c r="C6061" t="n">
        <v>0.011</v>
      </c>
    </row>
    <row r="6062">
      <c r="A6062" t="n">
        <v>95</v>
      </c>
      <c r="B6062" t="n">
        <v>2015</v>
      </c>
      <c r="C6062" t="n">
        <v>0.0104</v>
      </c>
    </row>
    <row r="6063">
      <c r="A6063" t="n">
        <v>95</v>
      </c>
      <c r="B6063" t="n">
        <v>2016</v>
      </c>
      <c r="C6063" t="n">
        <v>0.009900000000000001</v>
      </c>
    </row>
    <row r="6064">
      <c r="A6064" t="n">
        <v>95</v>
      </c>
      <c r="B6064" t="n">
        <v>2017</v>
      </c>
      <c r="C6064" t="n">
        <v>0.0094</v>
      </c>
    </row>
    <row r="6065">
      <c r="A6065" t="n">
        <v>95</v>
      </c>
      <c r="B6065" t="n">
        <v>2018</v>
      </c>
      <c r="C6065" t="n">
        <v>0.008999999999999999</v>
      </c>
    </row>
    <row r="6066">
      <c r="A6066" t="n">
        <v>95</v>
      </c>
      <c r="B6066" t="n">
        <v>2019</v>
      </c>
      <c r="C6066" t="n">
        <v>0.0086</v>
      </c>
    </row>
    <row r="6067">
      <c r="A6067" t="n">
        <v>95</v>
      </c>
      <c r="B6067" t="n">
        <v>2020</v>
      </c>
      <c r="C6067" t="n">
        <v>0.0083</v>
      </c>
    </row>
    <row r="6068">
      <c r="A6068" t="n">
        <v>95</v>
      </c>
      <c r="B6068" t="n">
        <v>2021</v>
      </c>
      <c r="C6068" t="n">
        <v>0.008</v>
      </c>
    </row>
    <row r="6069">
      <c r="A6069" t="n">
        <v>95</v>
      </c>
      <c r="B6069" t="n">
        <v>2022</v>
      </c>
      <c r="C6069" t="n">
        <v>0.007900000000000001</v>
      </c>
    </row>
    <row r="6070">
      <c r="A6070" t="n">
        <v>95</v>
      </c>
      <c r="B6070" t="n">
        <v>2023</v>
      </c>
      <c r="C6070" t="n">
        <v>0.007900000000000001</v>
      </c>
    </row>
    <row r="6071">
      <c r="A6071" t="n">
        <v>95</v>
      </c>
      <c r="B6071" t="n">
        <v>2024</v>
      </c>
      <c r="C6071" t="n">
        <v>0.007900000000000001</v>
      </c>
    </row>
    <row r="6072">
      <c r="A6072" t="n">
        <v>95</v>
      </c>
      <c r="B6072" t="n">
        <v>2025</v>
      </c>
      <c r="C6072" t="n">
        <v>0.007900000000000001</v>
      </c>
    </row>
    <row r="6073">
      <c r="A6073" t="n">
        <v>95</v>
      </c>
      <c r="B6073" t="n">
        <v>2026</v>
      </c>
      <c r="C6073" t="n">
        <v>0.007900000000000001</v>
      </c>
    </row>
    <row r="6074">
      <c r="A6074" t="n">
        <v>95</v>
      </c>
      <c r="B6074" t="n">
        <v>2027</v>
      </c>
      <c r="C6074" t="n">
        <v>0.007900000000000001</v>
      </c>
    </row>
    <row r="6075">
      <c r="A6075" t="n">
        <v>95</v>
      </c>
      <c r="B6075" t="n">
        <v>2028</v>
      </c>
      <c r="C6075" t="n">
        <v>0.008</v>
      </c>
    </row>
    <row r="6076">
      <c r="A6076" t="n">
        <v>95</v>
      </c>
      <c r="B6076" t="n">
        <v>2029</v>
      </c>
      <c r="C6076" t="n">
        <v>0.008</v>
      </c>
    </row>
    <row r="6077">
      <c r="A6077" t="n">
        <v>95</v>
      </c>
      <c r="B6077" t="n">
        <v>2030</v>
      </c>
      <c r="C6077" t="n">
        <v>0.008200000000000001</v>
      </c>
    </row>
    <row r="6078">
      <c r="A6078" t="n">
        <v>95</v>
      </c>
      <c r="B6078" t="n">
        <v>2031</v>
      </c>
      <c r="C6078" t="n">
        <v>0.0083</v>
      </c>
    </row>
    <row r="6079">
      <c r="A6079" t="n">
        <v>96</v>
      </c>
      <c r="B6079" t="n">
        <v>1951</v>
      </c>
      <c r="C6079" t="n">
        <v>-0.0181</v>
      </c>
    </row>
    <row r="6080">
      <c r="A6080" t="n">
        <v>96</v>
      </c>
      <c r="B6080" t="n">
        <v>1952</v>
      </c>
      <c r="C6080" t="n">
        <v>-0.0168</v>
      </c>
    </row>
    <row r="6081">
      <c r="A6081" t="n">
        <v>96</v>
      </c>
      <c r="B6081" t="n">
        <v>1953</v>
      </c>
      <c r="C6081" t="n">
        <v>-0.0155</v>
      </c>
    </row>
    <row r="6082">
      <c r="A6082" t="n">
        <v>96</v>
      </c>
      <c r="B6082" t="n">
        <v>1954</v>
      </c>
      <c r="C6082" t="n">
        <v>-0.0141</v>
      </c>
    </row>
    <row r="6083">
      <c r="A6083" t="n">
        <v>96</v>
      </c>
      <c r="B6083" t="n">
        <v>1955</v>
      </c>
      <c r="C6083" t="n">
        <v>-0.0128</v>
      </c>
    </row>
    <row r="6084">
      <c r="A6084" t="n">
        <v>96</v>
      </c>
      <c r="B6084" t="n">
        <v>1956</v>
      </c>
      <c r="C6084" t="n">
        <v>-0.0114</v>
      </c>
    </row>
    <row r="6085">
      <c r="A6085" t="n">
        <v>96</v>
      </c>
      <c r="B6085" t="n">
        <v>1957</v>
      </c>
      <c r="C6085" t="n">
        <v>-0.01</v>
      </c>
    </row>
    <row r="6086">
      <c r="A6086" t="n">
        <v>96</v>
      </c>
      <c r="B6086" t="n">
        <v>1958</v>
      </c>
      <c r="C6086" t="n">
        <v>-0.008500000000000001</v>
      </c>
    </row>
    <row r="6087">
      <c r="A6087" t="n">
        <v>96</v>
      </c>
      <c r="B6087" t="n">
        <v>1959</v>
      </c>
      <c r="C6087" t="n">
        <v>-0.0069</v>
      </c>
    </row>
    <row r="6088">
      <c r="A6088" t="n">
        <v>96</v>
      </c>
      <c r="B6088" t="n">
        <v>1960</v>
      </c>
      <c r="C6088" t="n">
        <v>-0.0053</v>
      </c>
    </row>
    <row r="6089">
      <c r="A6089" t="n">
        <v>96</v>
      </c>
      <c r="B6089" t="n">
        <v>1961</v>
      </c>
      <c r="C6089" t="n">
        <v>-0.0036</v>
      </c>
    </row>
    <row r="6090">
      <c r="A6090" t="n">
        <v>96</v>
      </c>
      <c r="B6090" t="n">
        <v>1962</v>
      </c>
      <c r="C6090" t="n">
        <v>-0.0019</v>
      </c>
    </row>
    <row r="6091">
      <c r="A6091" t="n">
        <v>96</v>
      </c>
      <c r="B6091" t="n">
        <v>1963</v>
      </c>
      <c r="C6091" t="n">
        <v>-0.0001</v>
      </c>
    </row>
    <row r="6092">
      <c r="A6092" t="n">
        <v>96</v>
      </c>
      <c r="B6092" t="n">
        <v>1964</v>
      </c>
      <c r="C6092" t="n">
        <v>0.0016</v>
      </c>
    </row>
    <row r="6093">
      <c r="A6093" t="n">
        <v>96</v>
      </c>
      <c r="B6093" t="n">
        <v>1965</v>
      </c>
      <c r="C6093" t="n">
        <v>0.0034</v>
      </c>
    </row>
    <row r="6094">
      <c r="A6094" t="n">
        <v>96</v>
      </c>
      <c r="B6094" t="n">
        <v>1966</v>
      </c>
      <c r="C6094" t="n">
        <v>0.0051</v>
      </c>
    </row>
    <row r="6095">
      <c r="A6095" t="n">
        <v>96</v>
      </c>
      <c r="B6095" t="n">
        <v>1967</v>
      </c>
      <c r="C6095" t="n">
        <v>0.0067</v>
      </c>
    </row>
    <row r="6096">
      <c r="A6096" t="n">
        <v>96</v>
      </c>
      <c r="B6096" t="n">
        <v>1968</v>
      </c>
      <c r="C6096" t="n">
        <v>0.0081</v>
      </c>
    </row>
    <row r="6097">
      <c r="A6097" t="n">
        <v>96</v>
      </c>
      <c r="B6097" t="n">
        <v>1969</v>
      </c>
      <c r="C6097" t="n">
        <v>0.0094</v>
      </c>
    </row>
    <row r="6098">
      <c r="A6098" t="n">
        <v>96</v>
      </c>
      <c r="B6098" t="n">
        <v>1970</v>
      </c>
      <c r="C6098" t="n">
        <v>0.0105</v>
      </c>
    </row>
    <row r="6099">
      <c r="A6099" t="n">
        <v>96</v>
      </c>
      <c r="B6099" t="n">
        <v>1971</v>
      </c>
      <c r="C6099" t="n">
        <v>0.0113</v>
      </c>
    </row>
    <row r="6100">
      <c r="A6100" t="n">
        <v>96</v>
      </c>
      <c r="B6100" t="n">
        <v>1972</v>
      </c>
      <c r="C6100" t="n">
        <v>0.0119</v>
      </c>
    </row>
    <row r="6101">
      <c r="A6101" t="n">
        <v>96</v>
      </c>
      <c r="B6101" t="n">
        <v>1973</v>
      </c>
      <c r="C6101" t="n">
        <v>0.0123</v>
      </c>
    </row>
    <row r="6102">
      <c r="A6102" t="n">
        <v>96</v>
      </c>
      <c r="B6102" t="n">
        <v>1974</v>
      </c>
      <c r="C6102" t="n">
        <v>0.0123</v>
      </c>
    </row>
    <row r="6103">
      <c r="A6103" t="n">
        <v>96</v>
      </c>
      <c r="B6103" t="n">
        <v>1975</v>
      </c>
      <c r="C6103" t="n">
        <v>0.0121</v>
      </c>
    </row>
    <row r="6104">
      <c r="A6104" t="n">
        <v>96</v>
      </c>
      <c r="B6104" t="n">
        <v>1976</v>
      </c>
      <c r="C6104" t="n">
        <v>0.0117</v>
      </c>
    </row>
    <row r="6105">
      <c r="A6105" t="n">
        <v>96</v>
      </c>
      <c r="B6105" t="n">
        <v>1977</v>
      </c>
      <c r="C6105" t="n">
        <v>0.011</v>
      </c>
    </row>
    <row r="6106">
      <c r="A6106" t="n">
        <v>96</v>
      </c>
      <c r="B6106" t="n">
        <v>1978</v>
      </c>
      <c r="C6106" t="n">
        <v>0.01</v>
      </c>
    </row>
    <row r="6107">
      <c r="A6107" t="n">
        <v>96</v>
      </c>
      <c r="B6107" t="n">
        <v>1979</v>
      </c>
      <c r="C6107" t="n">
        <v>0.0089</v>
      </c>
    </row>
    <row r="6108">
      <c r="A6108" t="n">
        <v>96</v>
      </c>
      <c r="B6108" t="n">
        <v>1980</v>
      </c>
      <c r="C6108" t="n">
        <v>0.0075</v>
      </c>
    </row>
    <row r="6109">
      <c r="A6109" t="n">
        <v>96</v>
      </c>
      <c r="B6109" t="n">
        <v>1981</v>
      </c>
      <c r="C6109" t="n">
        <v>0.006</v>
      </c>
    </row>
    <row r="6110">
      <c r="A6110" t="n">
        <v>96</v>
      </c>
      <c r="B6110" t="n">
        <v>1982</v>
      </c>
      <c r="C6110" t="n">
        <v>0.0044</v>
      </c>
    </row>
    <row r="6111">
      <c r="A6111" t="n">
        <v>96</v>
      </c>
      <c r="B6111" t="n">
        <v>1983</v>
      </c>
      <c r="C6111" t="n">
        <v>0.0028</v>
      </c>
    </row>
    <row r="6112">
      <c r="A6112" t="n">
        <v>96</v>
      </c>
      <c r="B6112" t="n">
        <v>1984</v>
      </c>
      <c r="C6112" t="n">
        <v>0.0011</v>
      </c>
    </row>
    <row r="6113">
      <c r="A6113" t="n">
        <v>96</v>
      </c>
      <c r="B6113" t="n">
        <v>1985</v>
      </c>
      <c r="C6113" t="n">
        <v>-0.0005999999999999999</v>
      </c>
    </row>
    <row r="6114">
      <c r="A6114" t="n">
        <v>96</v>
      </c>
      <c r="B6114" t="n">
        <v>1986</v>
      </c>
      <c r="C6114" t="n">
        <v>-0.0021</v>
      </c>
    </row>
    <row r="6115">
      <c r="A6115" t="n">
        <v>96</v>
      </c>
      <c r="B6115" t="n">
        <v>1987</v>
      </c>
      <c r="C6115" t="n">
        <v>-0.0036</v>
      </c>
    </row>
    <row r="6116">
      <c r="A6116" t="n">
        <v>96</v>
      </c>
      <c r="B6116" t="n">
        <v>1988</v>
      </c>
      <c r="C6116" t="n">
        <v>-0.0049</v>
      </c>
    </row>
    <row r="6117">
      <c r="A6117" t="n">
        <v>96</v>
      </c>
      <c r="B6117" t="n">
        <v>1989</v>
      </c>
      <c r="C6117" t="n">
        <v>-0.006</v>
      </c>
    </row>
    <row r="6118">
      <c r="A6118" t="n">
        <v>96</v>
      </c>
      <c r="B6118" t="n">
        <v>1990</v>
      </c>
      <c r="C6118" t="n">
        <v>-0.007</v>
      </c>
    </row>
    <row r="6119">
      <c r="A6119" t="n">
        <v>96</v>
      </c>
      <c r="B6119" t="n">
        <v>1991</v>
      </c>
      <c r="C6119" t="n">
        <v>-0.0078</v>
      </c>
    </row>
    <row r="6120">
      <c r="A6120" t="n">
        <v>96</v>
      </c>
      <c r="B6120" t="n">
        <v>1992</v>
      </c>
      <c r="C6120" t="n">
        <v>-0.0083</v>
      </c>
    </row>
    <row r="6121">
      <c r="A6121" t="n">
        <v>96</v>
      </c>
      <c r="B6121" t="n">
        <v>1993</v>
      </c>
      <c r="C6121" t="n">
        <v>-0.0086</v>
      </c>
    </row>
    <row r="6122">
      <c r="A6122" t="n">
        <v>96</v>
      </c>
      <c r="B6122" t="n">
        <v>1994</v>
      </c>
      <c r="C6122" t="n">
        <v>-0.008699999999999999</v>
      </c>
    </row>
    <row r="6123">
      <c r="A6123" t="n">
        <v>96</v>
      </c>
      <c r="B6123" t="n">
        <v>1995</v>
      </c>
      <c r="C6123" t="n">
        <v>-0.008500000000000001</v>
      </c>
    </row>
    <row r="6124">
      <c r="A6124" t="n">
        <v>96</v>
      </c>
      <c r="B6124" t="n">
        <v>1996</v>
      </c>
      <c r="C6124" t="n">
        <v>-0.008</v>
      </c>
    </row>
    <row r="6125">
      <c r="A6125" t="n">
        <v>96</v>
      </c>
      <c r="B6125" t="n">
        <v>1997</v>
      </c>
      <c r="C6125" t="n">
        <v>-0.0073</v>
      </c>
    </row>
    <row r="6126">
      <c r="A6126" t="n">
        <v>96</v>
      </c>
      <c r="B6126" t="n">
        <v>1998</v>
      </c>
      <c r="C6126" t="n">
        <v>-0.0064</v>
      </c>
    </row>
    <row r="6127">
      <c r="A6127" t="n">
        <v>96</v>
      </c>
      <c r="B6127" t="n">
        <v>1999</v>
      </c>
      <c r="C6127" t="n">
        <v>-0.0053</v>
      </c>
    </row>
    <row r="6128">
      <c r="A6128" t="n">
        <v>96</v>
      </c>
      <c r="B6128" t="n">
        <v>2000</v>
      </c>
      <c r="C6128" t="n">
        <v>-0.004</v>
      </c>
    </row>
    <row r="6129">
      <c r="A6129" t="n">
        <v>96</v>
      </c>
      <c r="B6129" t="n">
        <v>2001</v>
      </c>
      <c r="C6129" t="n">
        <v>-0.0026</v>
      </c>
    </row>
    <row r="6130">
      <c r="A6130" t="n">
        <v>96</v>
      </c>
      <c r="B6130" t="n">
        <v>2002</v>
      </c>
      <c r="C6130" t="n">
        <v>-0.0011</v>
      </c>
    </row>
    <row r="6131">
      <c r="A6131" t="n">
        <v>96</v>
      </c>
      <c r="B6131" t="n">
        <v>2003</v>
      </c>
      <c r="C6131" t="n">
        <v>0.0005</v>
      </c>
    </row>
    <row r="6132">
      <c r="A6132" t="n">
        <v>96</v>
      </c>
      <c r="B6132" t="n">
        <v>2004</v>
      </c>
      <c r="C6132" t="n">
        <v>0.002</v>
      </c>
    </row>
    <row r="6133">
      <c r="A6133" t="n">
        <v>96</v>
      </c>
      <c r="B6133" t="n">
        <v>2005</v>
      </c>
      <c r="C6133" t="n">
        <v>0.0035</v>
      </c>
    </row>
    <row r="6134">
      <c r="A6134" t="n">
        <v>96</v>
      </c>
      <c r="B6134" t="n">
        <v>2006</v>
      </c>
      <c r="C6134" t="n">
        <v>0.0049</v>
      </c>
    </row>
    <row r="6135">
      <c r="A6135" t="n">
        <v>96</v>
      </c>
      <c r="B6135" t="n">
        <v>2007</v>
      </c>
      <c r="C6135" t="n">
        <v>0.0062</v>
      </c>
    </row>
    <row r="6136">
      <c r="A6136" t="n">
        <v>96</v>
      </c>
      <c r="B6136" t="n">
        <v>2008</v>
      </c>
      <c r="C6136" t="n">
        <v>0.0074</v>
      </c>
    </row>
    <row r="6137">
      <c r="A6137" t="n">
        <v>96</v>
      </c>
      <c r="B6137" t="n">
        <v>2009</v>
      </c>
      <c r="C6137" t="n">
        <v>0.008399999999999999</v>
      </c>
    </row>
    <row r="6138">
      <c r="A6138" t="n">
        <v>96</v>
      </c>
      <c r="B6138" t="n">
        <v>2010</v>
      </c>
      <c r="C6138" t="n">
        <v>0.0094</v>
      </c>
    </row>
    <row r="6139">
      <c r="A6139" t="n">
        <v>96</v>
      </c>
      <c r="B6139" t="n">
        <v>2011</v>
      </c>
      <c r="C6139" t="n">
        <v>0.0103</v>
      </c>
    </row>
    <row r="6140">
      <c r="A6140" t="n">
        <v>96</v>
      </c>
      <c r="B6140" t="n">
        <v>2012</v>
      </c>
      <c r="C6140" t="n">
        <v>0.0112</v>
      </c>
    </row>
    <row r="6141">
      <c r="A6141" t="n">
        <v>96</v>
      </c>
      <c r="B6141" t="n">
        <v>2013</v>
      </c>
      <c r="C6141" t="n">
        <v>0.0109</v>
      </c>
    </row>
    <row r="6142">
      <c r="A6142" t="n">
        <v>96</v>
      </c>
      <c r="B6142" t="n">
        <v>2014</v>
      </c>
      <c r="C6142" t="n">
        <v>0.0104</v>
      </c>
    </row>
    <row r="6143">
      <c r="A6143" t="n">
        <v>96</v>
      </c>
      <c r="B6143" t="n">
        <v>2015</v>
      </c>
      <c r="C6143" t="n">
        <v>0.009900000000000001</v>
      </c>
    </row>
    <row r="6144">
      <c r="A6144" t="n">
        <v>96</v>
      </c>
      <c r="B6144" t="n">
        <v>2016</v>
      </c>
      <c r="C6144" t="n">
        <v>0.0094</v>
      </c>
    </row>
    <row r="6145">
      <c r="A6145" t="n">
        <v>96</v>
      </c>
      <c r="B6145" t="n">
        <v>2017</v>
      </c>
      <c r="C6145" t="n">
        <v>0.0089</v>
      </c>
    </row>
    <row r="6146">
      <c r="A6146" t="n">
        <v>96</v>
      </c>
      <c r="B6146" t="n">
        <v>2018</v>
      </c>
      <c r="C6146" t="n">
        <v>0.008500000000000001</v>
      </c>
    </row>
    <row r="6147">
      <c r="A6147" t="n">
        <v>96</v>
      </c>
      <c r="B6147" t="n">
        <v>2019</v>
      </c>
      <c r="C6147" t="n">
        <v>0.0081</v>
      </c>
    </row>
    <row r="6148">
      <c r="A6148" t="n">
        <v>96</v>
      </c>
      <c r="B6148" t="n">
        <v>2020</v>
      </c>
      <c r="C6148" t="n">
        <v>0.0078</v>
      </c>
    </row>
    <row r="6149">
      <c r="A6149" t="n">
        <v>96</v>
      </c>
      <c r="B6149" t="n">
        <v>2021</v>
      </c>
      <c r="C6149" t="n">
        <v>0.0076</v>
      </c>
    </row>
    <row r="6150">
      <c r="A6150" t="n">
        <v>96</v>
      </c>
      <c r="B6150" t="n">
        <v>2022</v>
      </c>
      <c r="C6150" t="n">
        <v>0.0075</v>
      </c>
    </row>
    <row r="6151">
      <c r="A6151" t="n">
        <v>96</v>
      </c>
      <c r="B6151" t="n">
        <v>2023</v>
      </c>
      <c r="C6151" t="n">
        <v>0.0075</v>
      </c>
    </row>
    <row r="6152">
      <c r="A6152" t="n">
        <v>96</v>
      </c>
      <c r="B6152" t="n">
        <v>2024</v>
      </c>
      <c r="C6152" t="n">
        <v>0.0075</v>
      </c>
    </row>
    <row r="6153">
      <c r="A6153" t="n">
        <v>96</v>
      </c>
      <c r="B6153" t="n">
        <v>2025</v>
      </c>
      <c r="C6153" t="n">
        <v>0.0075</v>
      </c>
    </row>
    <row r="6154">
      <c r="A6154" t="n">
        <v>96</v>
      </c>
      <c r="B6154" t="n">
        <v>2026</v>
      </c>
      <c r="C6154" t="n">
        <v>0.0075</v>
      </c>
    </row>
    <row r="6155">
      <c r="A6155" t="n">
        <v>96</v>
      </c>
      <c r="B6155" t="n">
        <v>2027</v>
      </c>
      <c r="C6155" t="n">
        <v>0.0075</v>
      </c>
    </row>
    <row r="6156">
      <c r="A6156" t="n">
        <v>96</v>
      </c>
      <c r="B6156" t="n">
        <v>2028</v>
      </c>
      <c r="C6156" t="n">
        <v>0.0076</v>
      </c>
    </row>
    <row r="6157">
      <c r="A6157" t="n">
        <v>96</v>
      </c>
      <c r="B6157" t="n">
        <v>2029</v>
      </c>
      <c r="C6157" t="n">
        <v>0.0076</v>
      </c>
    </row>
    <row r="6158">
      <c r="A6158" t="n">
        <v>96</v>
      </c>
      <c r="B6158" t="n">
        <v>2030</v>
      </c>
      <c r="C6158" t="n">
        <v>0.0077</v>
      </c>
    </row>
    <row r="6159">
      <c r="A6159" t="n">
        <v>96</v>
      </c>
      <c r="B6159" t="n">
        <v>2031</v>
      </c>
      <c r="C6159" t="n">
        <v>0.007900000000000001</v>
      </c>
    </row>
    <row r="6160">
      <c r="A6160" t="n">
        <v>97</v>
      </c>
      <c r="B6160" t="n">
        <v>1951</v>
      </c>
      <c r="C6160" t="n">
        <v>-0.0172</v>
      </c>
    </row>
    <row r="6161">
      <c r="A6161" t="n">
        <v>97</v>
      </c>
      <c r="B6161" t="n">
        <v>1952</v>
      </c>
      <c r="C6161" t="n">
        <v>-0.0159</v>
      </c>
    </row>
    <row r="6162">
      <c r="A6162" t="n">
        <v>97</v>
      </c>
      <c r="B6162" t="n">
        <v>1953</v>
      </c>
      <c r="C6162" t="n">
        <v>-0.0147</v>
      </c>
    </row>
    <row r="6163">
      <c r="A6163" t="n">
        <v>97</v>
      </c>
      <c r="B6163" t="n">
        <v>1954</v>
      </c>
      <c r="C6163" t="n">
        <v>-0.0134</v>
      </c>
    </row>
    <row r="6164">
      <c r="A6164" t="n">
        <v>97</v>
      </c>
      <c r="B6164" t="n">
        <v>1955</v>
      </c>
      <c r="C6164" t="n">
        <v>-0.0121</v>
      </c>
    </row>
    <row r="6165">
      <c r="A6165" t="n">
        <v>97</v>
      </c>
      <c r="B6165" t="n">
        <v>1956</v>
      </c>
      <c r="C6165" t="n">
        <v>-0.0108</v>
      </c>
    </row>
    <row r="6166">
      <c r="A6166" t="n">
        <v>97</v>
      </c>
      <c r="B6166" t="n">
        <v>1957</v>
      </c>
      <c r="C6166" t="n">
        <v>-0.0094</v>
      </c>
    </row>
    <row r="6167">
      <c r="A6167" t="n">
        <v>97</v>
      </c>
      <c r="B6167" t="n">
        <v>1958</v>
      </c>
      <c r="C6167" t="n">
        <v>-0.008</v>
      </c>
    </row>
    <row r="6168">
      <c r="A6168" t="n">
        <v>97</v>
      </c>
      <c r="B6168" t="n">
        <v>1959</v>
      </c>
      <c r="C6168" t="n">
        <v>-0.0066</v>
      </c>
    </row>
    <row r="6169">
      <c r="A6169" t="n">
        <v>97</v>
      </c>
      <c r="B6169" t="n">
        <v>1960</v>
      </c>
      <c r="C6169" t="n">
        <v>-0.005</v>
      </c>
    </row>
    <row r="6170">
      <c r="A6170" t="n">
        <v>97</v>
      </c>
      <c r="B6170" t="n">
        <v>1961</v>
      </c>
      <c r="C6170" t="n">
        <v>-0.0034</v>
      </c>
    </row>
    <row r="6171">
      <c r="A6171" t="n">
        <v>97</v>
      </c>
      <c r="B6171" t="n">
        <v>1962</v>
      </c>
      <c r="C6171" t="n">
        <v>-0.0018</v>
      </c>
    </row>
    <row r="6172">
      <c r="A6172" t="n">
        <v>97</v>
      </c>
      <c r="B6172" t="n">
        <v>1963</v>
      </c>
      <c r="C6172" t="n">
        <v>-0.0001</v>
      </c>
    </row>
    <row r="6173">
      <c r="A6173" t="n">
        <v>97</v>
      </c>
      <c r="B6173" t="n">
        <v>1964</v>
      </c>
      <c r="C6173" t="n">
        <v>0.0016</v>
      </c>
    </row>
    <row r="6174">
      <c r="A6174" t="n">
        <v>97</v>
      </c>
      <c r="B6174" t="n">
        <v>1965</v>
      </c>
      <c r="C6174" t="n">
        <v>0.0032</v>
      </c>
    </row>
    <row r="6175">
      <c r="A6175" t="n">
        <v>97</v>
      </c>
      <c r="B6175" t="n">
        <v>1966</v>
      </c>
      <c r="C6175" t="n">
        <v>0.0048</v>
      </c>
    </row>
    <row r="6176">
      <c r="A6176" t="n">
        <v>97</v>
      </c>
      <c r="B6176" t="n">
        <v>1967</v>
      </c>
      <c r="C6176" t="n">
        <v>0.0063</v>
      </c>
    </row>
    <row r="6177">
      <c r="A6177" t="n">
        <v>97</v>
      </c>
      <c r="B6177" t="n">
        <v>1968</v>
      </c>
      <c r="C6177" t="n">
        <v>0.0077</v>
      </c>
    </row>
    <row r="6178">
      <c r="A6178" t="n">
        <v>97</v>
      </c>
      <c r="B6178" t="n">
        <v>1969</v>
      </c>
      <c r="C6178" t="n">
        <v>0.0089</v>
      </c>
    </row>
    <row r="6179">
      <c r="A6179" t="n">
        <v>97</v>
      </c>
      <c r="B6179" t="n">
        <v>1970</v>
      </c>
      <c r="C6179" t="n">
        <v>0.009900000000000001</v>
      </c>
    </row>
    <row r="6180">
      <c r="A6180" t="n">
        <v>97</v>
      </c>
      <c r="B6180" t="n">
        <v>1971</v>
      </c>
      <c r="C6180" t="n">
        <v>0.0107</v>
      </c>
    </row>
    <row r="6181">
      <c r="A6181" t="n">
        <v>97</v>
      </c>
      <c r="B6181" t="n">
        <v>1972</v>
      </c>
      <c r="C6181" t="n">
        <v>0.0113</v>
      </c>
    </row>
    <row r="6182">
      <c r="A6182" t="n">
        <v>97</v>
      </c>
      <c r="B6182" t="n">
        <v>1973</v>
      </c>
      <c r="C6182" t="n">
        <v>0.0116</v>
      </c>
    </row>
    <row r="6183">
      <c r="A6183" t="n">
        <v>97</v>
      </c>
      <c r="B6183" t="n">
        <v>1974</v>
      </c>
      <c r="C6183" t="n">
        <v>0.0117</v>
      </c>
    </row>
    <row r="6184">
      <c r="A6184" t="n">
        <v>97</v>
      </c>
      <c r="B6184" t="n">
        <v>1975</v>
      </c>
      <c r="C6184" t="n">
        <v>0.0115</v>
      </c>
    </row>
    <row r="6185">
      <c r="A6185" t="n">
        <v>97</v>
      </c>
      <c r="B6185" t="n">
        <v>1976</v>
      </c>
      <c r="C6185" t="n">
        <v>0.0111</v>
      </c>
    </row>
    <row r="6186">
      <c r="A6186" t="n">
        <v>97</v>
      </c>
      <c r="B6186" t="n">
        <v>1977</v>
      </c>
      <c r="C6186" t="n">
        <v>0.0104</v>
      </c>
    </row>
    <row r="6187">
      <c r="A6187" t="n">
        <v>97</v>
      </c>
      <c r="B6187" t="n">
        <v>1978</v>
      </c>
      <c r="C6187" t="n">
        <v>0.0095</v>
      </c>
    </row>
    <row r="6188">
      <c r="A6188" t="n">
        <v>97</v>
      </c>
      <c r="B6188" t="n">
        <v>1979</v>
      </c>
      <c r="C6188" t="n">
        <v>0.008399999999999999</v>
      </c>
    </row>
    <row r="6189">
      <c r="A6189" t="n">
        <v>97</v>
      </c>
      <c r="B6189" t="n">
        <v>1980</v>
      </c>
      <c r="C6189" t="n">
        <v>0.0071</v>
      </c>
    </row>
    <row r="6190">
      <c r="A6190" t="n">
        <v>97</v>
      </c>
      <c r="B6190" t="n">
        <v>1981</v>
      </c>
      <c r="C6190" t="n">
        <v>0.0057</v>
      </c>
    </row>
    <row r="6191">
      <c r="A6191" t="n">
        <v>97</v>
      </c>
      <c r="B6191" t="n">
        <v>1982</v>
      </c>
      <c r="C6191" t="n">
        <v>0.0042</v>
      </c>
    </row>
    <row r="6192">
      <c r="A6192" t="n">
        <v>97</v>
      </c>
      <c r="B6192" t="n">
        <v>1983</v>
      </c>
      <c r="C6192" t="n">
        <v>0.0026</v>
      </c>
    </row>
    <row r="6193">
      <c r="A6193" t="n">
        <v>97</v>
      </c>
      <c r="B6193" t="n">
        <v>1984</v>
      </c>
      <c r="C6193" t="n">
        <v>0.001</v>
      </c>
    </row>
    <row r="6194">
      <c r="A6194" t="n">
        <v>97</v>
      </c>
      <c r="B6194" t="n">
        <v>1985</v>
      </c>
      <c r="C6194" t="n">
        <v>-0.0005</v>
      </c>
    </row>
    <row r="6195">
      <c r="A6195" t="n">
        <v>97</v>
      </c>
      <c r="B6195" t="n">
        <v>1986</v>
      </c>
      <c r="C6195" t="n">
        <v>-0.002</v>
      </c>
    </row>
    <row r="6196">
      <c r="A6196" t="n">
        <v>97</v>
      </c>
      <c r="B6196" t="n">
        <v>1987</v>
      </c>
      <c r="C6196" t="n">
        <v>-0.0034</v>
      </c>
    </row>
    <row r="6197">
      <c r="A6197" t="n">
        <v>97</v>
      </c>
      <c r="B6197" t="n">
        <v>1988</v>
      </c>
      <c r="C6197" t="n">
        <v>-0.0046</v>
      </c>
    </row>
    <row r="6198">
      <c r="A6198" t="n">
        <v>97</v>
      </c>
      <c r="B6198" t="n">
        <v>1989</v>
      </c>
      <c r="C6198" t="n">
        <v>-0.0057</v>
      </c>
    </row>
    <row r="6199">
      <c r="A6199" t="n">
        <v>97</v>
      </c>
      <c r="B6199" t="n">
        <v>1990</v>
      </c>
      <c r="C6199" t="n">
        <v>-0.0066</v>
      </c>
    </row>
    <row r="6200">
      <c r="A6200" t="n">
        <v>97</v>
      </c>
      <c r="B6200" t="n">
        <v>1991</v>
      </c>
      <c r="C6200" t="n">
        <v>-0.0074</v>
      </c>
    </row>
    <row r="6201">
      <c r="A6201" t="n">
        <v>97</v>
      </c>
      <c r="B6201" t="n">
        <v>1992</v>
      </c>
      <c r="C6201" t="n">
        <v>-0.007900000000000001</v>
      </c>
    </row>
    <row r="6202">
      <c r="A6202" t="n">
        <v>97</v>
      </c>
      <c r="B6202" t="n">
        <v>1993</v>
      </c>
      <c r="C6202" t="n">
        <v>-0.0081</v>
      </c>
    </row>
    <row r="6203">
      <c r="A6203" t="n">
        <v>97</v>
      </c>
      <c r="B6203" t="n">
        <v>1994</v>
      </c>
      <c r="C6203" t="n">
        <v>-0.008200000000000001</v>
      </c>
    </row>
    <row r="6204">
      <c r="A6204" t="n">
        <v>97</v>
      </c>
      <c r="B6204" t="n">
        <v>1995</v>
      </c>
      <c r="C6204" t="n">
        <v>-0.008</v>
      </c>
    </row>
    <row r="6205">
      <c r="A6205" t="n">
        <v>97</v>
      </c>
      <c r="B6205" t="n">
        <v>1996</v>
      </c>
      <c r="C6205" t="n">
        <v>-0.0076</v>
      </c>
    </row>
    <row r="6206">
      <c r="A6206" t="n">
        <v>97</v>
      </c>
      <c r="B6206" t="n">
        <v>1997</v>
      </c>
      <c r="C6206" t="n">
        <v>-0.0069</v>
      </c>
    </row>
    <row r="6207">
      <c r="A6207" t="n">
        <v>97</v>
      </c>
      <c r="B6207" t="n">
        <v>1998</v>
      </c>
      <c r="C6207" t="n">
        <v>-0.0061</v>
      </c>
    </row>
    <row r="6208">
      <c r="A6208" t="n">
        <v>97</v>
      </c>
      <c r="B6208" t="n">
        <v>1999</v>
      </c>
      <c r="C6208" t="n">
        <v>-0.005</v>
      </c>
    </row>
    <row r="6209">
      <c r="A6209" t="n">
        <v>97</v>
      </c>
      <c r="B6209" t="n">
        <v>2000</v>
      </c>
      <c r="C6209" t="n">
        <v>-0.0038</v>
      </c>
    </row>
    <row r="6210">
      <c r="A6210" t="n">
        <v>97</v>
      </c>
      <c r="B6210" t="n">
        <v>2001</v>
      </c>
      <c r="C6210" t="n">
        <v>-0.0024</v>
      </c>
    </row>
    <row r="6211">
      <c r="A6211" t="n">
        <v>97</v>
      </c>
      <c r="B6211" t="n">
        <v>2002</v>
      </c>
      <c r="C6211" t="n">
        <v>-0.001</v>
      </c>
    </row>
    <row r="6212">
      <c r="A6212" t="n">
        <v>97</v>
      </c>
      <c r="B6212" t="n">
        <v>2003</v>
      </c>
      <c r="C6212" t="n">
        <v>0.0004</v>
      </c>
    </row>
    <row r="6213">
      <c r="A6213" t="n">
        <v>97</v>
      </c>
      <c r="B6213" t="n">
        <v>2004</v>
      </c>
      <c r="C6213" t="n">
        <v>0.0019</v>
      </c>
    </row>
    <row r="6214">
      <c r="A6214" t="n">
        <v>97</v>
      </c>
      <c r="B6214" t="n">
        <v>2005</v>
      </c>
      <c r="C6214" t="n">
        <v>0.0033</v>
      </c>
    </row>
    <row r="6215">
      <c r="A6215" t="n">
        <v>97</v>
      </c>
      <c r="B6215" t="n">
        <v>2006</v>
      </c>
      <c r="C6215" t="n">
        <v>0.0046</v>
      </c>
    </row>
    <row r="6216">
      <c r="A6216" t="n">
        <v>97</v>
      </c>
      <c r="B6216" t="n">
        <v>2007</v>
      </c>
      <c r="C6216" t="n">
        <v>0.0058</v>
      </c>
    </row>
    <row r="6217">
      <c r="A6217" t="n">
        <v>97</v>
      </c>
      <c r="B6217" t="n">
        <v>2008</v>
      </c>
      <c r="C6217" t="n">
        <v>0.007</v>
      </c>
    </row>
    <row r="6218">
      <c r="A6218" t="n">
        <v>97</v>
      </c>
      <c r="B6218" t="n">
        <v>2009</v>
      </c>
      <c r="C6218" t="n">
        <v>0.008</v>
      </c>
    </row>
    <row r="6219">
      <c r="A6219" t="n">
        <v>97</v>
      </c>
      <c r="B6219" t="n">
        <v>2010</v>
      </c>
      <c r="C6219" t="n">
        <v>0.0089</v>
      </c>
    </row>
    <row r="6220">
      <c r="A6220" t="n">
        <v>97</v>
      </c>
      <c r="B6220" t="n">
        <v>2011</v>
      </c>
      <c r="C6220" t="n">
        <v>0.0098</v>
      </c>
    </row>
    <row r="6221">
      <c r="A6221" t="n">
        <v>97</v>
      </c>
      <c r="B6221" t="n">
        <v>2012</v>
      </c>
      <c r="C6221" t="n">
        <v>0.0106</v>
      </c>
    </row>
    <row r="6222">
      <c r="A6222" t="n">
        <v>97</v>
      </c>
      <c r="B6222" t="n">
        <v>2013</v>
      </c>
      <c r="C6222" t="n">
        <v>0.0103</v>
      </c>
    </row>
    <row r="6223">
      <c r="A6223" t="n">
        <v>97</v>
      </c>
      <c r="B6223" t="n">
        <v>2014</v>
      </c>
      <c r="C6223" t="n">
        <v>0.009900000000000001</v>
      </c>
    </row>
    <row r="6224">
      <c r="A6224" t="n">
        <v>97</v>
      </c>
      <c r="B6224" t="n">
        <v>2015</v>
      </c>
      <c r="C6224" t="n">
        <v>0.0094</v>
      </c>
    </row>
    <row r="6225">
      <c r="A6225" t="n">
        <v>97</v>
      </c>
      <c r="B6225" t="n">
        <v>2016</v>
      </c>
      <c r="C6225" t="n">
        <v>0.0089</v>
      </c>
    </row>
    <row r="6226">
      <c r="A6226" t="n">
        <v>97</v>
      </c>
      <c r="B6226" t="n">
        <v>2017</v>
      </c>
      <c r="C6226" t="n">
        <v>0.008500000000000001</v>
      </c>
    </row>
    <row r="6227">
      <c r="A6227" t="n">
        <v>97</v>
      </c>
      <c r="B6227" t="n">
        <v>2018</v>
      </c>
      <c r="C6227" t="n">
        <v>0.0081</v>
      </c>
    </row>
    <row r="6228">
      <c r="A6228" t="n">
        <v>97</v>
      </c>
      <c r="B6228" t="n">
        <v>2019</v>
      </c>
      <c r="C6228" t="n">
        <v>0.0077</v>
      </c>
    </row>
    <row r="6229">
      <c r="A6229" t="n">
        <v>97</v>
      </c>
      <c r="B6229" t="n">
        <v>2020</v>
      </c>
      <c r="C6229" t="n">
        <v>0.0074</v>
      </c>
    </row>
    <row r="6230">
      <c r="A6230" t="n">
        <v>97</v>
      </c>
      <c r="B6230" t="n">
        <v>2021</v>
      </c>
      <c r="C6230" t="n">
        <v>0.0072</v>
      </c>
    </row>
    <row r="6231">
      <c r="A6231" t="n">
        <v>97</v>
      </c>
      <c r="B6231" t="n">
        <v>2022</v>
      </c>
      <c r="C6231" t="n">
        <v>0.0071</v>
      </c>
    </row>
    <row r="6232">
      <c r="A6232" t="n">
        <v>97</v>
      </c>
      <c r="B6232" t="n">
        <v>2023</v>
      </c>
      <c r="C6232" t="n">
        <v>0.0071</v>
      </c>
    </row>
    <row r="6233">
      <c r="A6233" t="n">
        <v>97</v>
      </c>
      <c r="B6233" t="n">
        <v>2024</v>
      </c>
      <c r="C6233" t="n">
        <v>0.0071</v>
      </c>
    </row>
    <row r="6234">
      <c r="A6234" t="n">
        <v>97</v>
      </c>
      <c r="B6234" t="n">
        <v>2025</v>
      </c>
      <c r="C6234" t="n">
        <v>0.0071</v>
      </c>
    </row>
    <row r="6235">
      <c r="A6235" t="n">
        <v>97</v>
      </c>
      <c r="B6235" t="n">
        <v>2026</v>
      </c>
      <c r="C6235" t="n">
        <v>0.0071</v>
      </c>
    </row>
    <row r="6236">
      <c r="A6236" t="n">
        <v>97</v>
      </c>
      <c r="B6236" t="n">
        <v>2027</v>
      </c>
      <c r="C6236" t="n">
        <v>0.0071</v>
      </c>
    </row>
    <row r="6237">
      <c r="A6237" t="n">
        <v>97</v>
      </c>
      <c r="B6237" t="n">
        <v>2028</v>
      </c>
      <c r="C6237" t="n">
        <v>0.0072</v>
      </c>
    </row>
    <row r="6238">
      <c r="A6238" t="n">
        <v>97</v>
      </c>
      <c r="B6238" t="n">
        <v>2029</v>
      </c>
      <c r="C6238" t="n">
        <v>0.0072</v>
      </c>
    </row>
    <row r="6239">
      <c r="A6239" t="n">
        <v>97</v>
      </c>
      <c r="B6239" t="n">
        <v>2030</v>
      </c>
      <c r="C6239" t="n">
        <v>0.0073</v>
      </c>
    </row>
    <row r="6240">
      <c r="A6240" t="n">
        <v>97</v>
      </c>
      <c r="B6240" t="n">
        <v>2031</v>
      </c>
      <c r="C6240" t="n">
        <v>0.0075</v>
      </c>
    </row>
    <row r="6241">
      <c r="A6241" t="n">
        <v>98</v>
      </c>
      <c r="B6241" t="n">
        <v>1951</v>
      </c>
      <c r="C6241" t="n">
        <v>-0.0162</v>
      </c>
    </row>
    <row r="6242">
      <c r="A6242" t="n">
        <v>98</v>
      </c>
      <c r="B6242" t="n">
        <v>1952</v>
      </c>
      <c r="C6242" t="n">
        <v>-0.015</v>
      </c>
    </row>
    <row r="6243">
      <c r="A6243" t="n">
        <v>98</v>
      </c>
      <c r="B6243" t="n">
        <v>1953</v>
      </c>
      <c r="C6243" t="n">
        <v>-0.0138</v>
      </c>
    </row>
    <row r="6244">
      <c r="A6244" t="n">
        <v>98</v>
      </c>
      <c r="B6244" t="n">
        <v>1954</v>
      </c>
      <c r="C6244" t="n">
        <v>-0.0127</v>
      </c>
    </row>
    <row r="6245">
      <c r="A6245" t="n">
        <v>98</v>
      </c>
      <c r="B6245" t="n">
        <v>1955</v>
      </c>
      <c r="C6245" t="n">
        <v>-0.0114</v>
      </c>
    </row>
    <row r="6246">
      <c r="A6246" t="n">
        <v>98</v>
      </c>
      <c r="B6246" t="n">
        <v>1956</v>
      </c>
      <c r="C6246" t="n">
        <v>-0.0102</v>
      </c>
    </row>
    <row r="6247">
      <c r="A6247" t="n">
        <v>98</v>
      </c>
      <c r="B6247" t="n">
        <v>1957</v>
      </c>
      <c r="C6247" t="n">
        <v>-0.0089</v>
      </c>
    </row>
    <row r="6248">
      <c r="A6248" t="n">
        <v>98</v>
      </c>
      <c r="B6248" t="n">
        <v>1958</v>
      </c>
      <c r="C6248" t="n">
        <v>-0.0076</v>
      </c>
    </row>
    <row r="6249">
      <c r="A6249" t="n">
        <v>98</v>
      </c>
      <c r="B6249" t="n">
        <v>1959</v>
      </c>
      <c r="C6249" t="n">
        <v>-0.0062</v>
      </c>
    </row>
    <row r="6250">
      <c r="A6250" t="n">
        <v>98</v>
      </c>
      <c r="B6250" t="n">
        <v>1960</v>
      </c>
      <c r="C6250" t="n">
        <v>-0.0047</v>
      </c>
    </row>
    <row r="6251">
      <c r="A6251" t="n">
        <v>98</v>
      </c>
      <c r="B6251" t="n">
        <v>1961</v>
      </c>
      <c r="C6251" t="n">
        <v>-0.0032</v>
      </c>
    </row>
    <row r="6252">
      <c r="A6252" t="n">
        <v>98</v>
      </c>
      <c r="B6252" t="n">
        <v>1962</v>
      </c>
      <c r="C6252" t="n">
        <v>-0.0017</v>
      </c>
    </row>
    <row r="6253">
      <c r="A6253" t="n">
        <v>98</v>
      </c>
      <c r="B6253" t="n">
        <v>1963</v>
      </c>
      <c r="C6253" t="n">
        <v>-0.0001</v>
      </c>
    </row>
    <row r="6254">
      <c r="A6254" t="n">
        <v>98</v>
      </c>
      <c r="B6254" t="n">
        <v>1964</v>
      </c>
      <c r="C6254" t="n">
        <v>0.0015</v>
      </c>
    </row>
    <row r="6255">
      <c r="A6255" t="n">
        <v>98</v>
      </c>
      <c r="B6255" t="n">
        <v>1965</v>
      </c>
      <c r="C6255" t="n">
        <v>0.003</v>
      </c>
    </row>
    <row r="6256">
      <c r="A6256" t="n">
        <v>98</v>
      </c>
      <c r="B6256" t="n">
        <v>1966</v>
      </c>
      <c r="C6256" t="n">
        <v>0.0045</v>
      </c>
    </row>
    <row r="6257">
      <c r="A6257" t="n">
        <v>98</v>
      </c>
      <c r="B6257" t="n">
        <v>1967</v>
      </c>
      <c r="C6257" t="n">
        <v>0.006</v>
      </c>
    </row>
    <row r="6258">
      <c r="A6258" t="n">
        <v>98</v>
      </c>
      <c r="B6258" t="n">
        <v>1968</v>
      </c>
      <c r="C6258" t="n">
        <v>0.0072</v>
      </c>
    </row>
    <row r="6259">
      <c r="A6259" t="n">
        <v>98</v>
      </c>
      <c r="B6259" t="n">
        <v>1969</v>
      </c>
      <c r="C6259" t="n">
        <v>0.008399999999999999</v>
      </c>
    </row>
    <row r="6260">
      <c r="A6260" t="n">
        <v>98</v>
      </c>
      <c r="B6260" t="n">
        <v>1970</v>
      </c>
      <c r="C6260" t="n">
        <v>0.0094</v>
      </c>
    </row>
    <row r="6261">
      <c r="A6261" t="n">
        <v>98</v>
      </c>
      <c r="B6261" t="n">
        <v>1971</v>
      </c>
      <c r="C6261" t="n">
        <v>0.0101</v>
      </c>
    </row>
    <row r="6262">
      <c r="A6262" t="n">
        <v>98</v>
      </c>
      <c r="B6262" t="n">
        <v>1972</v>
      </c>
      <c r="C6262" t="n">
        <v>0.0107</v>
      </c>
    </row>
    <row r="6263">
      <c r="A6263" t="n">
        <v>98</v>
      </c>
      <c r="B6263" t="n">
        <v>1973</v>
      </c>
      <c r="C6263" t="n">
        <v>0.011</v>
      </c>
    </row>
    <row r="6264">
      <c r="A6264" t="n">
        <v>98</v>
      </c>
      <c r="B6264" t="n">
        <v>1974</v>
      </c>
      <c r="C6264" t="n">
        <v>0.011</v>
      </c>
    </row>
    <row r="6265">
      <c r="A6265" t="n">
        <v>98</v>
      </c>
      <c r="B6265" t="n">
        <v>1975</v>
      </c>
      <c r="C6265" t="n">
        <v>0.0109</v>
      </c>
    </row>
    <row r="6266">
      <c r="A6266" t="n">
        <v>98</v>
      </c>
      <c r="B6266" t="n">
        <v>1976</v>
      </c>
      <c r="C6266" t="n">
        <v>0.0105</v>
      </c>
    </row>
    <row r="6267">
      <c r="A6267" t="n">
        <v>98</v>
      </c>
      <c r="B6267" t="n">
        <v>1977</v>
      </c>
      <c r="C6267" t="n">
        <v>0.0098</v>
      </c>
    </row>
    <row r="6268">
      <c r="A6268" t="n">
        <v>98</v>
      </c>
      <c r="B6268" t="n">
        <v>1978</v>
      </c>
      <c r="C6268" t="n">
        <v>0.008999999999999999</v>
      </c>
    </row>
    <row r="6269">
      <c r="A6269" t="n">
        <v>98</v>
      </c>
      <c r="B6269" t="n">
        <v>1979</v>
      </c>
      <c r="C6269" t="n">
        <v>0.007900000000000001</v>
      </c>
    </row>
    <row r="6270">
      <c r="A6270" t="n">
        <v>98</v>
      </c>
      <c r="B6270" t="n">
        <v>1980</v>
      </c>
      <c r="C6270" t="n">
        <v>0.0067</v>
      </c>
    </row>
    <row r="6271">
      <c r="A6271" t="n">
        <v>98</v>
      </c>
      <c r="B6271" t="n">
        <v>1981</v>
      </c>
      <c r="C6271" t="n">
        <v>0.0054</v>
      </c>
    </row>
    <row r="6272">
      <c r="A6272" t="n">
        <v>98</v>
      </c>
      <c r="B6272" t="n">
        <v>1982</v>
      </c>
      <c r="C6272" t="n">
        <v>0.004</v>
      </c>
    </row>
    <row r="6273">
      <c r="A6273" t="n">
        <v>98</v>
      </c>
      <c r="B6273" t="n">
        <v>1983</v>
      </c>
      <c r="C6273" t="n">
        <v>0.0025</v>
      </c>
    </row>
    <row r="6274">
      <c r="A6274" t="n">
        <v>98</v>
      </c>
      <c r="B6274" t="n">
        <v>1984</v>
      </c>
      <c r="C6274" t="n">
        <v>0.001</v>
      </c>
    </row>
    <row r="6275">
      <c r="A6275" t="n">
        <v>98</v>
      </c>
      <c r="B6275" t="n">
        <v>1985</v>
      </c>
      <c r="C6275" t="n">
        <v>-0.0005</v>
      </c>
    </row>
    <row r="6276">
      <c r="A6276" t="n">
        <v>98</v>
      </c>
      <c r="B6276" t="n">
        <v>1986</v>
      </c>
      <c r="C6276" t="n">
        <v>-0.0019</v>
      </c>
    </row>
    <row r="6277">
      <c r="A6277" t="n">
        <v>98</v>
      </c>
      <c r="B6277" t="n">
        <v>1987</v>
      </c>
      <c r="C6277" t="n">
        <v>-0.0032</v>
      </c>
    </row>
    <row r="6278">
      <c r="A6278" t="n">
        <v>98</v>
      </c>
      <c r="B6278" t="n">
        <v>1988</v>
      </c>
      <c r="C6278" t="n">
        <v>-0.0044</v>
      </c>
    </row>
    <row r="6279">
      <c r="A6279" t="n">
        <v>98</v>
      </c>
      <c r="B6279" t="n">
        <v>1989</v>
      </c>
      <c r="C6279" t="n">
        <v>-0.0054</v>
      </c>
    </row>
    <row r="6280">
      <c r="A6280" t="n">
        <v>98</v>
      </c>
      <c r="B6280" t="n">
        <v>1990</v>
      </c>
      <c r="C6280" t="n">
        <v>-0.0063</v>
      </c>
    </row>
    <row r="6281">
      <c r="A6281" t="n">
        <v>98</v>
      </c>
      <c r="B6281" t="n">
        <v>1991</v>
      </c>
      <c r="C6281" t="n">
        <v>-0.0069</v>
      </c>
    </row>
    <row r="6282">
      <c r="A6282" t="n">
        <v>98</v>
      </c>
      <c r="B6282" t="n">
        <v>1992</v>
      </c>
      <c r="C6282" t="n">
        <v>-0.0074</v>
      </c>
    </row>
    <row r="6283">
      <c r="A6283" t="n">
        <v>98</v>
      </c>
      <c r="B6283" t="n">
        <v>1993</v>
      </c>
      <c r="C6283" t="n">
        <v>-0.0077</v>
      </c>
    </row>
    <row r="6284">
      <c r="A6284" t="n">
        <v>98</v>
      </c>
      <c r="B6284" t="n">
        <v>1994</v>
      </c>
      <c r="C6284" t="n">
        <v>-0.0077</v>
      </c>
    </row>
    <row r="6285">
      <c r="A6285" t="n">
        <v>98</v>
      </c>
      <c r="B6285" t="n">
        <v>1995</v>
      </c>
      <c r="C6285" t="n">
        <v>-0.0076</v>
      </c>
    </row>
    <row r="6286">
      <c r="A6286" t="n">
        <v>98</v>
      </c>
      <c r="B6286" t="n">
        <v>1996</v>
      </c>
      <c r="C6286" t="n">
        <v>-0.0072</v>
      </c>
    </row>
    <row r="6287">
      <c r="A6287" t="n">
        <v>98</v>
      </c>
      <c r="B6287" t="n">
        <v>1997</v>
      </c>
      <c r="C6287" t="n">
        <v>-0.0065</v>
      </c>
    </row>
    <row r="6288">
      <c r="A6288" t="n">
        <v>98</v>
      </c>
      <c r="B6288" t="n">
        <v>1998</v>
      </c>
      <c r="C6288" t="n">
        <v>-0.0057</v>
      </c>
    </row>
    <row r="6289">
      <c r="A6289" t="n">
        <v>98</v>
      </c>
      <c r="B6289" t="n">
        <v>1999</v>
      </c>
      <c r="C6289" t="n">
        <v>-0.0047</v>
      </c>
    </row>
    <row r="6290">
      <c r="A6290" t="n">
        <v>98</v>
      </c>
      <c r="B6290" t="n">
        <v>2000</v>
      </c>
      <c r="C6290" t="n">
        <v>-0.0036</v>
      </c>
    </row>
    <row r="6291">
      <c r="A6291" t="n">
        <v>98</v>
      </c>
      <c r="B6291" t="n">
        <v>2001</v>
      </c>
      <c r="C6291" t="n">
        <v>-0.0023</v>
      </c>
    </row>
    <row r="6292">
      <c r="A6292" t="n">
        <v>98</v>
      </c>
      <c r="B6292" t="n">
        <v>2002</v>
      </c>
      <c r="C6292" t="n">
        <v>-0.001</v>
      </c>
    </row>
    <row r="6293">
      <c r="A6293" t="n">
        <v>98</v>
      </c>
      <c r="B6293" t="n">
        <v>2003</v>
      </c>
      <c r="C6293" t="n">
        <v>0.0004</v>
      </c>
    </row>
    <row r="6294">
      <c r="A6294" t="n">
        <v>98</v>
      </c>
      <c r="B6294" t="n">
        <v>2004</v>
      </c>
      <c r="C6294" t="n">
        <v>0.0018</v>
      </c>
    </row>
    <row r="6295">
      <c r="A6295" t="n">
        <v>98</v>
      </c>
      <c r="B6295" t="n">
        <v>2005</v>
      </c>
      <c r="C6295" t="n">
        <v>0.0031</v>
      </c>
    </row>
    <row r="6296">
      <c r="A6296" t="n">
        <v>98</v>
      </c>
      <c r="B6296" t="n">
        <v>2006</v>
      </c>
      <c r="C6296" t="n">
        <v>0.0044</v>
      </c>
    </row>
    <row r="6297">
      <c r="A6297" t="n">
        <v>98</v>
      </c>
      <c r="B6297" t="n">
        <v>2007</v>
      </c>
      <c r="C6297" t="n">
        <v>0.0055</v>
      </c>
    </row>
    <row r="6298">
      <c r="A6298" t="n">
        <v>98</v>
      </c>
      <c r="B6298" t="n">
        <v>2008</v>
      </c>
      <c r="C6298" t="n">
        <v>0.0066</v>
      </c>
    </row>
    <row r="6299">
      <c r="A6299" t="n">
        <v>98</v>
      </c>
      <c r="B6299" t="n">
        <v>2009</v>
      </c>
      <c r="C6299" t="n">
        <v>0.0075</v>
      </c>
    </row>
    <row r="6300">
      <c r="A6300" t="n">
        <v>98</v>
      </c>
      <c r="B6300" t="n">
        <v>2010</v>
      </c>
      <c r="C6300" t="n">
        <v>0.008399999999999999</v>
      </c>
    </row>
    <row r="6301">
      <c r="A6301" t="n">
        <v>98</v>
      </c>
      <c r="B6301" t="n">
        <v>2011</v>
      </c>
      <c r="C6301" t="n">
        <v>0.009299999999999999</v>
      </c>
    </row>
    <row r="6302">
      <c r="A6302" t="n">
        <v>98</v>
      </c>
      <c r="B6302" t="n">
        <v>2012</v>
      </c>
      <c r="C6302" t="n">
        <v>0.0101</v>
      </c>
    </row>
    <row r="6303">
      <c r="A6303" t="n">
        <v>98</v>
      </c>
      <c r="B6303" t="n">
        <v>2013</v>
      </c>
      <c r="C6303" t="n">
        <v>0.0097</v>
      </c>
    </row>
    <row r="6304">
      <c r="A6304" t="n">
        <v>98</v>
      </c>
      <c r="B6304" t="n">
        <v>2014</v>
      </c>
      <c r="C6304" t="n">
        <v>0.009299999999999999</v>
      </c>
    </row>
    <row r="6305">
      <c r="A6305" t="n">
        <v>98</v>
      </c>
      <c r="B6305" t="n">
        <v>2015</v>
      </c>
      <c r="C6305" t="n">
        <v>0.0089</v>
      </c>
    </row>
    <row r="6306">
      <c r="A6306" t="n">
        <v>98</v>
      </c>
      <c r="B6306" t="n">
        <v>2016</v>
      </c>
      <c r="C6306" t="n">
        <v>0.008399999999999999</v>
      </c>
    </row>
    <row r="6307">
      <c r="A6307" t="n">
        <v>98</v>
      </c>
      <c r="B6307" t="n">
        <v>2017</v>
      </c>
      <c r="C6307" t="n">
        <v>0.008</v>
      </c>
    </row>
    <row r="6308">
      <c r="A6308" t="n">
        <v>98</v>
      </c>
      <c r="B6308" t="n">
        <v>2018</v>
      </c>
      <c r="C6308" t="n">
        <v>0.0076</v>
      </c>
    </row>
    <row r="6309">
      <c r="A6309" t="n">
        <v>98</v>
      </c>
      <c r="B6309" t="n">
        <v>2019</v>
      </c>
      <c r="C6309" t="n">
        <v>0.0073</v>
      </c>
    </row>
    <row r="6310">
      <c r="A6310" t="n">
        <v>98</v>
      </c>
      <c r="B6310" t="n">
        <v>2020</v>
      </c>
      <c r="C6310" t="n">
        <v>0.007</v>
      </c>
    </row>
    <row r="6311">
      <c r="A6311" t="n">
        <v>98</v>
      </c>
      <c r="B6311" t="n">
        <v>2021</v>
      </c>
      <c r="C6311" t="n">
        <v>0.0068</v>
      </c>
    </row>
    <row r="6312">
      <c r="A6312" t="n">
        <v>98</v>
      </c>
      <c r="B6312" t="n">
        <v>2022</v>
      </c>
      <c r="C6312" t="n">
        <v>0.0067</v>
      </c>
    </row>
    <row r="6313">
      <c r="A6313" t="n">
        <v>98</v>
      </c>
      <c r="B6313" t="n">
        <v>2023</v>
      </c>
      <c r="C6313" t="n">
        <v>0.0067</v>
      </c>
    </row>
    <row r="6314">
      <c r="A6314" t="n">
        <v>98</v>
      </c>
      <c r="B6314" t="n">
        <v>2024</v>
      </c>
      <c r="C6314" t="n">
        <v>0.0067</v>
      </c>
    </row>
    <row r="6315">
      <c r="A6315" t="n">
        <v>98</v>
      </c>
      <c r="B6315" t="n">
        <v>2025</v>
      </c>
      <c r="C6315" t="n">
        <v>0.0067</v>
      </c>
    </row>
    <row r="6316">
      <c r="A6316" t="n">
        <v>98</v>
      </c>
      <c r="B6316" t="n">
        <v>2026</v>
      </c>
      <c r="C6316" t="n">
        <v>0.0067</v>
      </c>
    </row>
    <row r="6317">
      <c r="A6317" t="n">
        <v>98</v>
      </c>
      <c r="B6317" t="n">
        <v>2027</v>
      </c>
      <c r="C6317" t="n">
        <v>0.0067</v>
      </c>
    </row>
    <row r="6318">
      <c r="A6318" t="n">
        <v>98</v>
      </c>
      <c r="B6318" t="n">
        <v>2028</v>
      </c>
      <c r="C6318" t="n">
        <v>0.0068</v>
      </c>
    </row>
    <row r="6319">
      <c r="A6319" t="n">
        <v>98</v>
      </c>
      <c r="B6319" t="n">
        <v>2029</v>
      </c>
      <c r="C6319" t="n">
        <v>0.0068</v>
      </c>
    </row>
    <row r="6320">
      <c r="A6320" t="n">
        <v>98</v>
      </c>
      <c r="B6320" t="n">
        <v>2030</v>
      </c>
      <c r="C6320" t="n">
        <v>0.0069</v>
      </c>
    </row>
    <row r="6321">
      <c r="A6321" t="n">
        <v>98</v>
      </c>
      <c r="B6321" t="n">
        <v>2031</v>
      </c>
      <c r="C6321" t="n">
        <v>0.0071</v>
      </c>
    </row>
    <row r="6322">
      <c r="A6322" t="n">
        <v>99</v>
      </c>
      <c r="B6322" t="n">
        <v>1951</v>
      </c>
      <c r="C6322" t="n">
        <v>-0.0153</v>
      </c>
    </row>
    <row r="6323">
      <c r="A6323" t="n">
        <v>99</v>
      </c>
      <c r="B6323" t="n">
        <v>1952</v>
      </c>
      <c r="C6323" t="n">
        <v>-0.0141</v>
      </c>
    </row>
    <row r="6324">
      <c r="A6324" t="n">
        <v>99</v>
      </c>
      <c r="B6324" t="n">
        <v>1953</v>
      </c>
      <c r="C6324" t="n">
        <v>-0.013</v>
      </c>
    </row>
    <row r="6325">
      <c r="A6325" t="n">
        <v>99</v>
      </c>
      <c r="B6325" t="n">
        <v>1954</v>
      </c>
      <c r="C6325" t="n">
        <v>-0.0119</v>
      </c>
    </row>
    <row r="6326">
      <c r="A6326" t="n">
        <v>99</v>
      </c>
      <c r="B6326" t="n">
        <v>1955</v>
      </c>
      <c r="C6326" t="n">
        <v>-0.0108</v>
      </c>
    </row>
    <row r="6327">
      <c r="A6327" t="n">
        <v>99</v>
      </c>
      <c r="B6327" t="n">
        <v>1956</v>
      </c>
      <c r="C6327" t="n">
        <v>-0.009599999999999999</v>
      </c>
    </row>
    <row r="6328">
      <c r="A6328" t="n">
        <v>99</v>
      </c>
      <c r="B6328" t="n">
        <v>1957</v>
      </c>
      <c r="C6328" t="n">
        <v>-0.008399999999999999</v>
      </c>
    </row>
    <row r="6329">
      <c r="A6329" t="n">
        <v>99</v>
      </c>
      <c r="B6329" t="n">
        <v>1958</v>
      </c>
      <c r="C6329" t="n">
        <v>-0.0071</v>
      </c>
    </row>
    <row r="6330">
      <c r="A6330" t="n">
        <v>99</v>
      </c>
      <c r="B6330" t="n">
        <v>1959</v>
      </c>
      <c r="C6330" t="n">
        <v>-0.0058</v>
      </c>
    </row>
    <row r="6331">
      <c r="A6331" t="n">
        <v>99</v>
      </c>
      <c r="B6331" t="n">
        <v>1960</v>
      </c>
      <c r="C6331" t="n">
        <v>-0.0045</v>
      </c>
    </row>
    <row r="6332">
      <c r="A6332" t="n">
        <v>99</v>
      </c>
      <c r="B6332" t="n">
        <v>1961</v>
      </c>
      <c r="C6332" t="n">
        <v>-0.003</v>
      </c>
    </row>
    <row r="6333">
      <c r="A6333" t="n">
        <v>99</v>
      </c>
      <c r="B6333" t="n">
        <v>1962</v>
      </c>
      <c r="C6333" t="n">
        <v>-0.0016</v>
      </c>
    </row>
    <row r="6334">
      <c r="A6334" t="n">
        <v>99</v>
      </c>
      <c r="B6334" t="n">
        <v>1963</v>
      </c>
      <c r="C6334" t="n">
        <v>-0.0001</v>
      </c>
    </row>
    <row r="6335">
      <c r="A6335" t="n">
        <v>99</v>
      </c>
      <c r="B6335" t="n">
        <v>1964</v>
      </c>
      <c r="C6335" t="n">
        <v>0.0014</v>
      </c>
    </row>
    <row r="6336">
      <c r="A6336" t="n">
        <v>99</v>
      </c>
      <c r="B6336" t="n">
        <v>1965</v>
      </c>
      <c r="C6336" t="n">
        <v>0.0029</v>
      </c>
    </row>
    <row r="6337">
      <c r="A6337" t="n">
        <v>99</v>
      </c>
      <c r="B6337" t="n">
        <v>1966</v>
      </c>
      <c r="C6337" t="n">
        <v>0.0043</v>
      </c>
    </row>
    <row r="6338">
      <c r="A6338" t="n">
        <v>99</v>
      </c>
      <c r="B6338" t="n">
        <v>1967</v>
      </c>
      <c r="C6338" t="n">
        <v>0.0056</v>
      </c>
    </row>
    <row r="6339">
      <c r="A6339" t="n">
        <v>99</v>
      </c>
      <c r="B6339" t="n">
        <v>1968</v>
      </c>
      <c r="C6339" t="n">
        <v>0.0068</v>
      </c>
    </row>
    <row r="6340">
      <c r="A6340" t="n">
        <v>99</v>
      </c>
      <c r="B6340" t="n">
        <v>1969</v>
      </c>
      <c r="C6340" t="n">
        <v>0.007900000000000001</v>
      </c>
    </row>
    <row r="6341">
      <c r="A6341" t="n">
        <v>99</v>
      </c>
      <c r="B6341" t="n">
        <v>1970</v>
      </c>
      <c r="C6341" t="n">
        <v>0.008800000000000001</v>
      </c>
    </row>
    <row r="6342">
      <c r="A6342" t="n">
        <v>99</v>
      </c>
      <c r="B6342" t="n">
        <v>1971</v>
      </c>
      <c r="C6342" t="n">
        <v>0.0095</v>
      </c>
    </row>
    <row r="6343">
      <c r="A6343" t="n">
        <v>99</v>
      </c>
      <c r="B6343" t="n">
        <v>1972</v>
      </c>
      <c r="C6343" t="n">
        <v>0.01</v>
      </c>
    </row>
    <row r="6344">
      <c r="A6344" t="n">
        <v>99</v>
      </c>
      <c r="B6344" t="n">
        <v>1973</v>
      </c>
      <c r="C6344" t="n">
        <v>0.0103</v>
      </c>
    </row>
    <row r="6345">
      <c r="A6345" t="n">
        <v>99</v>
      </c>
      <c r="B6345" t="n">
        <v>1974</v>
      </c>
      <c r="C6345" t="n">
        <v>0.0104</v>
      </c>
    </row>
    <row r="6346">
      <c r="A6346" t="n">
        <v>99</v>
      </c>
      <c r="B6346" t="n">
        <v>1975</v>
      </c>
      <c r="C6346" t="n">
        <v>0.0102</v>
      </c>
    </row>
    <row r="6347">
      <c r="A6347" t="n">
        <v>99</v>
      </c>
      <c r="B6347" t="n">
        <v>1976</v>
      </c>
      <c r="C6347" t="n">
        <v>0.0098</v>
      </c>
    </row>
    <row r="6348">
      <c r="A6348" t="n">
        <v>99</v>
      </c>
      <c r="B6348" t="n">
        <v>1977</v>
      </c>
      <c r="C6348" t="n">
        <v>0.0092</v>
      </c>
    </row>
    <row r="6349">
      <c r="A6349" t="n">
        <v>99</v>
      </c>
      <c r="B6349" t="n">
        <v>1978</v>
      </c>
      <c r="C6349" t="n">
        <v>0.008500000000000001</v>
      </c>
    </row>
    <row r="6350">
      <c r="A6350" t="n">
        <v>99</v>
      </c>
      <c r="B6350" t="n">
        <v>1979</v>
      </c>
      <c r="C6350" t="n">
        <v>0.0075</v>
      </c>
    </row>
    <row r="6351">
      <c r="A6351" t="n">
        <v>99</v>
      </c>
      <c r="B6351" t="n">
        <v>1980</v>
      </c>
      <c r="C6351" t="n">
        <v>0.0063</v>
      </c>
    </row>
    <row r="6352">
      <c r="A6352" t="n">
        <v>99</v>
      </c>
      <c r="B6352" t="n">
        <v>1981</v>
      </c>
      <c r="C6352" t="n">
        <v>0.0051</v>
      </c>
    </row>
    <row r="6353">
      <c r="A6353" t="n">
        <v>99</v>
      </c>
      <c r="B6353" t="n">
        <v>1982</v>
      </c>
      <c r="C6353" t="n">
        <v>0.0037</v>
      </c>
    </row>
    <row r="6354">
      <c r="A6354" t="n">
        <v>99</v>
      </c>
      <c r="B6354" t="n">
        <v>1983</v>
      </c>
      <c r="C6354" t="n">
        <v>0.0023</v>
      </c>
    </row>
    <row r="6355">
      <c r="A6355" t="n">
        <v>99</v>
      </c>
      <c r="B6355" t="n">
        <v>1984</v>
      </c>
      <c r="C6355" t="n">
        <v>0.0009</v>
      </c>
    </row>
    <row r="6356">
      <c r="A6356" t="n">
        <v>99</v>
      </c>
      <c r="B6356" t="n">
        <v>1985</v>
      </c>
      <c r="C6356" t="n">
        <v>-0.0005</v>
      </c>
    </row>
    <row r="6357">
      <c r="A6357" t="n">
        <v>99</v>
      </c>
      <c r="B6357" t="n">
        <v>1986</v>
      </c>
      <c r="C6357" t="n">
        <v>-0.0018</v>
      </c>
    </row>
    <row r="6358">
      <c r="A6358" t="n">
        <v>99</v>
      </c>
      <c r="B6358" t="n">
        <v>1987</v>
      </c>
      <c r="C6358" t="n">
        <v>-0.003</v>
      </c>
    </row>
    <row r="6359">
      <c r="A6359" t="n">
        <v>99</v>
      </c>
      <c r="B6359" t="n">
        <v>1988</v>
      </c>
      <c r="C6359" t="n">
        <v>-0.0041</v>
      </c>
    </row>
    <row r="6360">
      <c r="A6360" t="n">
        <v>99</v>
      </c>
      <c r="B6360" t="n">
        <v>1989</v>
      </c>
      <c r="C6360" t="n">
        <v>-0.0051</v>
      </c>
    </row>
    <row r="6361">
      <c r="A6361" t="n">
        <v>99</v>
      </c>
      <c r="B6361" t="n">
        <v>1990</v>
      </c>
      <c r="C6361" t="n">
        <v>-0.0059</v>
      </c>
    </row>
    <row r="6362">
      <c r="A6362" t="n">
        <v>99</v>
      </c>
      <c r="B6362" t="n">
        <v>1991</v>
      </c>
      <c r="C6362" t="n">
        <v>-0.0065</v>
      </c>
    </row>
    <row r="6363">
      <c r="A6363" t="n">
        <v>99</v>
      </c>
      <c r="B6363" t="n">
        <v>1992</v>
      </c>
      <c r="C6363" t="n">
        <v>-0.007</v>
      </c>
    </row>
    <row r="6364">
      <c r="A6364" t="n">
        <v>99</v>
      </c>
      <c r="B6364" t="n">
        <v>1993</v>
      </c>
      <c r="C6364" t="n">
        <v>-0.0072</v>
      </c>
    </row>
    <row r="6365">
      <c r="A6365" t="n">
        <v>99</v>
      </c>
      <c r="B6365" t="n">
        <v>1994</v>
      </c>
      <c r="C6365" t="n">
        <v>-0.0073</v>
      </c>
    </row>
    <row r="6366">
      <c r="A6366" t="n">
        <v>99</v>
      </c>
      <c r="B6366" t="n">
        <v>1995</v>
      </c>
      <c r="C6366" t="n">
        <v>-0.0071</v>
      </c>
    </row>
    <row r="6367">
      <c r="A6367" t="n">
        <v>99</v>
      </c>
      <c r="B6367" t="n">
        <v>1996</v>
      </c>
      <c r="C6367" t="n">
        <v>-0.0067</v>
      </c>
    </row>
    <row r="6368">
      <c r="A6368" t="n">
        <v>99</v>
      </c>
      <c r="B6368" t="n">
        <v>1997</v>
      </c>
      <c r="C6368" t="n">
        <v>-0.0062</v>
      </c>
    </row>
    <row r="6369">
      <c r="A6369" t="n">
        <v>99</v>
      </c>
      <c r="B6369" t="n">
        <v>1998</v>
      </c>
      <c r="C6369" t="n">
        <v>-0.0054</v>
      </c>
    </row>
    <row r="6370">
      <c r="A6370" t="n">
        <v>99</v>
      </c>
      <c r="B6370" t="n">
        <v>1999</v>
      </c>
      <c r="C6370" t="n">
        <v>-0.0045</v>
      </c>
    </row>
    <row r="6371">
      <c r="A6371" t="n">
        <v>99</v>
      </c>
      <c r="B6371" t="n">
        <v>2000</v>
      </c>
      <c r="C6371" t="n">
        <v>-0.0034</v>
      </c>
    </row>
    <row r="6372">
      <c r="A6372" t="n">
        <v>99</v>
      </c>
      <c r="B6372" t="n">
        <v>2001</v>
      </c>
      <c r="C6372" t="n">
        <v>-0.0022</v>
      </c>
    </row>
    <row r="6373">
      <c r="A6373" t="n">
        <v>99</v>
      </c>
      <c r="B6373" t="n">
        <v>2002</v>
      </c>
      <c r="C6373" t="n">
        <v>-0.0009</v>
      </c>
    </row>
    <row r="6374">
      <c r="A6374" t="n">
        <v>99</v>
      </c>
      <c r="B6374" t="n">
        <v>2003</v>
      </c>
      <c r="C6374" t="n">
        <v>0.0004</v>
      </c>
    </row>
    <row r="6375">
      <c r="A6375" t="n">
        <v>99</v>
      </c>
      <c r="B6375" t="n">
        <v>2004</v>
      </c>
      <c r="C6375" t="n">
        <v>0.0017</v>
      </c>
    </row>
    <row r="6376">
      <c r="A6376" t="n">
        <v>99</v>
      </c>
      <c r="B6376" t="n">
        <v>2005</v>
      </c>
      <c r="C6376" t="n">
        <v>0.0029</v>
      </c>
    </row>
    <row r="6377">
      <c r="A6377" t="n">
        <v>99</v>
      </c>
      <c r="B6377" t="n">
        <v>2006</v>
      </c>
      <c r="C6377" t="n">
        <v>0.0041</v>
      </c>
    </row>
    <row r="6378">
      <c r="A6378" t="n">
        <v>99</v>
      </c>
      <c r="B6378" t="n">
        <v>2007</v>
      </c>
      <c r="C6378" t="n">
        <v>0.0052</v>
      </c>
    </row>
    <row r="6379">
      <c r="A6379" t="n">
        <v>99</v>
      </c>
      <c r="B6379" t="n">
        <v>2008</v>
      </c>
      <c r="C6379" t="n">
        <v>0.0062</v>
      </c>
    </row>
    <row r="6380">
      <c r="A6380" t="n">
        <v>99</v>
      </c>
      <c r="B6380" t="n">
        <v>2009</v>
      </c>
      <c r="C6380" t="n">
        <v>0.0071</v>
      </c>
    </row>
    <row r="6381">
      <c r="A6381" t="n">
        <v>99</v>
      </c>
      <c r="B6381" t="n">
        <v>2010</v>
      </c>
      <c r="C6381" t="n">
        <v>0.007900000000000001</v>
      </c>
    </row>
    <row r="6382">
      <c r="A6382" t="n">
        <v>99</v>
      </c>
      <c r="B6382" t="n">
        <v>2011</v>
      </c>
      <c r="C6382" t="n">
        <v>0.008699999999999999</v>
      </c>
    </row>
    <row r="6383">
      <c r="A6383" t="n">
        <v>99</v>
      </c>
      <c r="B6383" t="n">
        <v>2012</v>
      </c>
      <c r="C6383" t="n">
        <v>0.0095</v>
      </c>
    </row>
    <row r="6384">
      <c r="A6384" t="n">
        <v>99</v>
      </c>
      <c r="B6384" t="n">
        <v>2013</v>
      </c>
      <c r="C6384" t="n">
        <v>0.0091</v>
      </c>
    </row>
    <row r="6385">
      <c r="A6385" t="n">
        <v>99</v>
      </c>
      <c r="B6385" t="n">
        <v>2014</v>
      </c>
      <c r="C6385" t="n">
        <v>0.008800000000000001</v>
      </c>
    </row>
    <row r="6386">
      <c r="A6386" t="n">
        <v>99</v>
      </c>
      <c r="B6386" t="n">
        <v>2015</v>
      </c>
      <c r="C6386" t="n">
        <v>0.008399999999999999</v>
      </c>
    </row>
    <row r="6387">
      <c r="A6387" t="n">
        <v>99</v>
      </c>
      <c r="B6387" t="n">
        <v>2016</v>
      </c>
      <c r="C6387" t="n">
        <v>0.007900000000000001</v>
      </c>
    </row>
    <row r="6388">
      <c r="A6388" t="n">
        <v>99</v>
      </c>
      <c r="B6388" t="n">
        <v>2017</v>
      </c>
      <c r="C6388" t="n">
        <v>0.0075</v>
      </c>
    </row>
    <row r="6389">
      <c r="A6389" t="n">
        <v>99</v>
      </c>
      <c r="B6389" t="n">
        <v>2018</v>
      </c>
      <c r="C6389" t="n">
        <v>0.0072</v>
      </c>
    </row>
    <row r="6390">
      <c r="A6390" t="n">
        <v>99</v>
      </c>
      <c r="B6390" t="n">
        <v>2019</v>
      </c>
      <c r="C6390" t="n">
        <v>0.0069</v>
      </c>
    </row>
    <row r="6391">
      <c r="A6391" t="n">
        <v>99</v>
      </c>
      <c r="B6391" t="n">
        <v>2020</v>
      </c>
      <c r="C6391" t="n">
        <v>0.0066</v>
      </c>
    </row>
    <row r="6392">
      <c r="A6392" t="n">
        <v>99</v>
      </c>
      <c r="B6392" t="n">
        <v>2021</v>
      </c>
      <c r="C6392" t="n">
        <v>0.0064</v>
      </c>
    </row>
    <row r="6393">
      <c r="A6393" t="n">
        <v>99</v>
      </c>
      <c r="B6393" t="n">
        <v>2022</v>
      </c>
      <c r="C6393" t="n">
        <v>0.0063</v>
      </c>
    </row>
    <row r="6394">
      <c r="A6394" t="n">
        <v>99</v>
      </c>
      <c r="B6394" t="n">
        <v>2023</v>
      </c>
      <c r="C6394" t="n">
        <v>0.0063</v>
      </c>
    </row>
    <row r="6395">
      <c r="A6395" t="n">
        <v>99</v>
      </c>
      <c r="B6395" t="n">
        <v>2024</v>
      </c>
      <c r="C6395" t="n">
        <v>0.0063</v>
      </c>
    </row>
    <row r="6396">
      <c r="A6396" t="n">
        <v>99</v>
      </c>
      <c r="B6396" t="n">
        <v>2025</v>
      </c>
      <c r="C6396" t="n">
        <v>0.0063</v>
      </c>
    </row>
    <row r="6397">
      <c r="A6397" t="n">
        <v>99</v>
      </c>
      <c r="B6397" t="n">
        <v>2026</v>
      </c>
      <c r="C6397" t="n">
        <v>0.0063</v>
      </c>
    </row>
    <row r="6398">
      <c r="A6398" t="n">
        <v>99</v>
      </c>
      <c r="B6398" t="n">
        <v>2027</v>
      </c>
      <c r="C6398" t="n">
        <v>0.0063</v>
      </c>
    </row>
    <row r="6399">
      <c r="A6399" t="n">
        <v>99</v>
      </c>
      <c r="B6399" t="n">
        <v>2028</v>
      </c>
      <c r="C6399" t="n">
        <v>0.0064</v>
      </c>
    </row>
    <row r="6400">
      <c r="A6400" t="n">
        <v>99</v>
      </c>
      <c r="B6400" t="n">
        <v>2029</v>
      </c>
      <c r="C6400" t="n">
        <v>0.0064</v>
      </c>
    </row>
    <row r="6401">
      <c r="A6401" t="n">
        <v>99</v>
      </c>
      <c r="B6401" t="n">
        <v>2030</v>
      </c>
      <c r="C6401" t="n">
        <v>0.0065</v>
      </c>
    </row>
    <row r="6402">
      <c r="A6402" t="n">
        <v>99</v>
      </c>
      <c r="B6402" t="n">
        <v>2031</v>
      </c>
      <c r="C6402" t="n">
        <v>0.0066</v>
      </c>
    </row>
    <row r="6403">
      <c r="A6403" t="n">
        <v>100</v>
      </c>
      <c r="B6403" t="n">
        <v>1951</v>
      </c>
      <c r="C6403" t="n">
        <v>-0.0143</v>
      </c>
    </row>
    <row r="6404">
      <c r="A6404" t="n">
        <v>100</v>
      </c>
      <c r="B6404" t="n">
        <v>1952</v>
      </c>
      <c r="C6404" t="n">
        <v>-0.0133</v>
      </c>
    </row>
    <row r="6405">
      <c r="A6405" t="n">
        <v>100</v>
      </c>
      <c r="B6405" t="n">
        <v>1953</v>
      </c>
      <c r="C6405" t="n">
        <v>-0.0122</v>
      </c>
    </row>
    <row r="6406">
      <c r="A6406" t="n">
        <v>100</v>
      </c>
      <c r="B6406" t="n">
        <v>1954</v>
      </c>
      <c r="C6406" t="n">
        <v>-0.0112</v>
      </c>
    </row>
    <row r="6407">
      <c r="A6407" t="n">
        <v>100</v>
      </c>
      <c r="B6407" t="n">
        <v>1955</v>
      </c>
      <c r="C6407" t="n">
        <v>-0.0101</v>
      </c>
    </row>
    <row r="6408">
      <c r="A6408" t="n">
        <v>100</v>
      </c>
      <c r="B6408" t="n">
        <v>1956</v>
      </c>
      <c r="C6408" t="n">
        <v>-0.008999999999999999</v>
      </c>
    </row>
    <row r="6409">
      <c r="A6409" t="n">
        <v>100</v>
      </c>
      <c r="B6409" t="n">
        <v>1957</v>
      </c>
      <c r="C6409" t="n">
        <v>-0.007900000000000001</v>
      </c>
    </row>
    <row r="6410">
      <c r="A6410" t="n">
        <v>100</v>
      </c>
      <c r="B6410" t="n">
        <v>1958</v>
      </c>
      <c r="C6410" t="n">
        <v>-0.0067</v>
      </c>
    </row>
    <row r="6411">
      <c r="A6411" t="n">
        <v>100</v>
      </c>
      <c r="B6411" t="n">
        <v>1959</v>
      </c>
      <c r="C6411" t="n">
        <v>-0.0055</v>
      </c>
    </row>
    <row r="6412">
      <c r="A6412" t="n">
        <v>100</v>
      </c>
      <c r="B6412" t="n">
        <v>1960</v>
      </c>
      <c r="C6412" t="n">
        <v>-0.0042</v>
      </c>
    </row>
    <row r="6413">
      <c r="A6413" t="n">
        <v>100</v>
      </c>
      <c r="B6413" t="n">
        <v>1961</v>
      </c>
      <c r="C6413" t="n">
        <v>-0.0029</v>
      </c>
    </row>
    <row r="6414">
      <c r="A6414" t="n">
        <v>100</v>
      </c>
      <c r="B6414" t="n">
        <v>1962</v>
      </c>
      <c r="C6414" t="n">
        <v>-0.0015</v>
      </c>
    </row>
    <row r="6415">
      <c r="A6415" t="n">
        <v>100</v>
      </c>
      <c r="B6415" t="n">
        <v>1963</v>
      </c>
      <c r="C6415" t="n">
        <v>-0.0001</v>
      </c>
    </row>
    <row r="6416">
      <c r="A6416" t="n">
        <v>100</v>
      </c>
      <c r="B6416" t="n">
        <v>1964</v>
      </c>
      <c r="C6416" t="n">
        <v>0.0013</v>
      </c>
    </row>
    <row r="6417">
      <c r="A6417" t="n">
        <v>100</v>
      </c>
      <c r="B6417" t="n">
        <v>1965</v>
      </c>
      <c r="C6417" t="n">
        <v>0.0027</v>
      </c>
    </row>
    <row r="6418">
      <c r="A6418" t="n">
        <v>100</v>
      </c>
      <c r="B6418" t="n">
        <v>1966</v>
      </c>
      <c r="C6418" t="n">
        <v>0.004</v>
      </c>
    </row>
    <row r="6419">
      <c r="A6419" t="n">
        <v>100</v>
      </c>
      <c r="B6419" t="n">
        <v>1967</v>
      </c>
      <c r="C6419" t="n">
        <v>0.0053</v>
      </c>
    </row>
    <row r="6420">
      <c r="A6420" t="n">
        <v>100</v>
      </c>
      <c r="B6420" t="n">
        <v>1968</v>
      </c>
      <c r="C6420" t="n">
        <v>0.0064</v>
      </c>
    </row>
    <row r="6421">
      <c r="A6421" t="n">
        <v>100</v>
      </c>
      <c r="B6421" t="n">
        <v>1969</v>
      </c>
      <c r="C6421" t="n">
        <v>0.0074</v>
      </c>
    </row>
    <row r="6422">
      <c r="A6422" t="n">
        <v>100</v>
      </c>
      <c r="B6422" t="n">
        <v>1970</v>
      </c>
      <c r="C6422" t="n">
        <v>0.0083</v>
      </c>
    </row>
    <row r="6423">
      <c r="A6423" t="n">
        <v>100</v>
      </c>
      <c r="B6423" t="n">
        <v>1971</v>
      </c>
      <c r="C6423" t="n">
        <v>0.0089</v>
      </c>
    </row>
    <row r="6424">
      <c r="A6424" t="n">
        <v>100</v>
      </c>
      <c r="B6424" t="n">
        <v>1972</v>
      </c>
      <c r="C6424" t="n">
        <v>0.0094</v>
      </c>
    </row>
    <row r="6425">
      <c r="A6425" t="n">
        <v>100</v>
      </c>
      <c r="B6425" t="n">
        <v>1973</v>
      </c>
      <c r="C6425" t="n">
        <v>0.0097</v>
      </c>
    </row>
    <row r="6426">
      <c r="A6426" t="n">
        <v>100</v>
      </c>
      <c r="B6426" t="n">
        <v>1974</v>
      </c>
      <c r="C6426" t="n">
        <v>0.0097</v>
      </c>
    </row>
    <row r="6427">
      <c r="A6427" t="n">
        <v>100</v>
      </c>
      <c r="B6427" t="n">
        <v>1975</v>
      </c>
      <c r="C6427" t="n">
        <v>0.009599999999999999</v>
      </c>
    </row>
    <row r="6428">
      <c r="A6428" t="n">
        <v>100</v>
      </c>
      <c r="B6428" t="n">
        <v>1976</v>
      </c>
      <c r="C6428" t="n">
        <v>0.0092</v>
      </c>
    </row>
    <row r="6429">
      <c r="A6429" t="n">
        <v>100</v>
      </c>
      <c r="B6429" t="n">
        <v>1977</v>
      </c>
      <c r="C6429" t="n">
        <v>0.008699999999999999</v>
      </c>
    </row>
    <row r="6430">
      <c r="A6430" t="n">
        <v>100</v>
      </c>
      <c r="B6430" t="n">
        <v>1978</v>
      </c>
      <c r="C6430" t="n">
        <v>0.007900000000000001</v>
      </c>
    </row>
    <row r="6431">
      <c r="A6431" t="n">
        <v>100</v>
      </c>
      <c r="B6431" t="n">
        <v>1979</v>
      </c>
      <c r="C6431" t="n">
        <v>0.007</v>
      </c>
    </row>
    <row r="6432">
      <c r="A6432" t="n">
        <v>100</v>
      </c>
      <c r="B6432" t="n">
        <v>1980</v>
      </c>
      <c r="C6432" t="n">
        <v>0.006</v>
      </c>
    </row>
    <row r="6433">
      <c r="A6433" t="n">
        <v>100</v>
      </c>
      <c r="B6433" t="n">
        <v>1981</v>
      </c>
      <c r="C6433" t="n">
        <v>0.0048</v>
      </c>
    </row>
    <row r="6434">
      <c r="A6434" t="n">
        <v>100</v>
      </c>
      <c r="B6434" t="n">
        <v>1982</v>
      </c>
      <c r="C6434" t="n">
        <v>0.0035</v>
      </c>
    </row>
    <row r="6435">
      <c r="A6435" t="n">
        <v>100</v>
      </c>
      <c r="B6435" t="n">
        <v>1983</v>
      </c>
      <c r="C6435" t="n">
        <v>0.0022</v>
      </c>
    </row>
    <row r="6436">
      <c r="A6436" t="n">
        <v>100</v>
      </c>
      <c r="B6436" t="n">
        <v>1984</v>
      </c>
      <c r="C6436" t="n">
        <v>0.0009</v>
      </c>
    </row>
    <row r="6437">
      <c r="A6437" t="n">
        <v>100</v>
      </c>
      <c r="B6437" t="n">
        <v>1985</v>
      </c>
      <c r="C6437" t="n">
        <v>-0.0004</v>
      </c>
    </row>
    <row r="6438">
      <c r="A6438" t="n">
        <v>100</v>
      </c>
      <c r="B6438" t="n">
        <v>1986</v>
      </c>
      <c r="C6438" t="n">
        <v>-0.0017</v>
      </c>
    </row>
    <row r="6439">
      <c r="A6439" t="n">
        <v>100</v>
      </c>
      <c r="B6439" t="n">
        <v>1987</v>
      </c>
      <c r="C6439" t="n">
        <v>-0.0028</v>
      </c>
    </row>
    <row r="6440">
      <c r="A6440" t="n">
        <v>100</v>
      </c>
      <c r="B6440" t="n">
        <v>1988</v>
      </c>
      <c r="C6440" t="n">
        <v>-0.0039</v>
      </c>
    </row>
    <row r="6441">
      <c r="A6441" t="n">
        <v>100</v>
      </c>
      <c r="B6441" t="n">
        <v>1989</v>
      </c>
      <c r="C6441" t="n">
        <v>-0.0048</v>
      </c>
    </row>
    <row r="6442">
      <c r="A6442" t="n">
        <v>100</v>
      </c>
      <c r="B6442" t="n">
        <v>1990</v>
      </c>
      <c r="C6442" t="n">
        <v>-0.0055</v>
      </c>
    </row>
    <row r="6443">
      <c r="A6443" t="n">
        <v>100</v>
      </c>
      <c r="B6443" t="n">
        <v>1991</v>
      </c>
      <c r="C6443" t="n">
        <v>-0.0061</v>
      </c>
    </row>
    <row r="6444">
      <c r="A6444" t="n">
        <v>100</v>
      </c>
      <c r="B6444" t="n">
        <v>1992</v>
      </c>
      <c r="C6444" t="n">
        <v>-0.0066</v>
      </c>
    </row>
    <row r="6445">
      <c r="A6445" t="n">
        <v>100</v>
      </c>
      <c r="B6445" t="n">
        <v>1993</v>
      </c>
      <c r="C6445" t="n">
        <v>-0.0068</v>
      </c>
    </row>
    <row r="6446">
      <c r="A6446" t="n">
        <v>100</v>
      </c>
      <c r="B6446" t="n">
        <v>1994</v>
      </c>
      <c r="C6446" t="n">
        <v>-0.0068</v>
      </c>
    </row>
    <row r="6447">
      <c r="A6447" t="n">
        <v>100</v>
      </c>
      <c r="B6447" t="n">
        <v>1995</v>
      </c>
      <c r="C6447" t="n">
        <v>-0.0067</v>
      </c>
    </row>
    <row r="6448">
      <c r="A6448" t="n">
        <v>100</v>
      </c>
      <c r="B6448" t="n">
        <v>1996</v>
      </c>
      <c r="C6448" t="n">
        <v>-0.0063</v>
      </c>
    </row>
    <row r="6449">
      <c r="A6449" t="n">
        <v>100</v>
      </c>
      <c r="B6449" t="n">
        <v>1997</v>
      </c>
      <c r="C6449" t="n">
        <v>-0.0058</v>
      </c>
    </row>
    <row r="6450">
      <c r="A6450" t="n">
        <v>100</v>
      </c>
      <c r="B6450" t="n">
        <v>1998</v>
      </c>
      <c r="C6450" t="n">
        <v>-0.0051</v>
      </c>
    </row>
    <row r="6451">
      <c r="A6451" t="n">
        <v>100</v>
      </c>
      <c r="B6451" t="n">
        <v>1999</v>
      </c>
      <c r="C6451" t="n">
        <v>-0.0042</v>
      </c>
    </row>
    <row r="6452">
      <c r="A6452" t="n">
        <v>100</v>
      </c>
      <c r="B6452" t="n">
        <v>2000</v>
      </c>
      <c r="C6452" t="n">
        <v>-0.0032</v>
      </c>
    </row>
    <row r="6453">
      <c r="A6453" t="n">
        <v>100</v>
      </c>
      <c r="B6453" t="n">
        <v>2001</v>
      </c>
      <c r="C6453" t="n">
        <v>-0.002</v>
      </c>
    </row>
    <row r="6454">
      <c r="A6454" t="n">
        <v>100</v>
      </c>
      <c r="B6454" t="n">
        <v>2002</v>
      </c>
      <c r="C6454" t="n">
        <v>-0.0009</v>
      </c>
    </row>
    <row r="6455">
      <c r="A6455" t="n">
        <v>100</v>
      </c>
      <c r="B6455" t="n">
        <v>2003</v>
      </c>
      <c r="C6455" t="n">
        <v>0.0004</v>
      </c>
    </row>
    <row r="6456">
      <c r="A6456" t="n">
        <v>100</v>
      </c>
      <c r="B6456" t="n">
        <v>2004</v>
      </c>
      <c r="C6456" t="n">
        <v>0.0016</v>
      </c>
    </row>
    <row r="6457">
      <c r="A6457" t="n">
        <v>100</v>
      </c>
      <c r="B6457" t="n">
        <v>2005</v>
      </c>
      <c r="C6457" t="n">
        <v>0.0027</v>
      </c>
    </row>
    <row r="6458">
      <c r="A6458" t="n">
        <v>100</v>
      </c>
      <c r="B6458" t="n">
        <v>2006</v>
      </c>
      <c r="C6458" t="n">
        <v>0.0038</v>
      </c>
    </row>
    <row r="6459">
      <c r="A6459" t="n">
        <v>100</v>
      </c>
      <c r="B6459" t="n">
        <v>2007</v>
      </c>
      <c r="C6459" t="n">
        <v>0.0049</v>
      </c>
    </row>
    <row r="6460">
      <c r="A6460" t="n">
        <v>100</v>
      </c>
      <c r="B6460" t="n">
        <v>2008</v>
      </c>
      <c r="C6460" t="n">
        <v>0.0058</v>
      </c>
    </row>
    <row r="6461">
      <c r="A6461" t="n">
        <v>100</v>
      </c>
      <c r="B6461" t="n">
        <v>2009</v>
      </c>
      <c r="C6461" t="n">
        <v>0.0067</v>
      </c>
    </row>
    <row r="6462">
      <c r="A6462" t="n">
        <v>100</v>
      </c>
      <c r="B6462" t="n">
        <v>2010</v>
      </c>
      <c r="C6462" t="n">
        <v>0.0074</v>
      </c>
    </row>
    <row r="6463">
      <c r="A6463" t="n">
        <v>100</v>
      </c>
      <c r="B6463" t="n">
        <v>2011</v>
      </c>
      <c r="C6463" t="n">
        <v>0.008200000000000001</v>
      </c>
    </row>
    <row r="6464">
      <c r="A6464" t="n">
        <v>100</v>
      </c>
      <c r="B6464" t="n">
        <v>2012</v>
      </c>
      <c r="C6464" t="n">
        <v>0.0089</v>
      </c>
    </row>
    <row r="6465">
      <c r="A6465" t="n">
        <v>100</v>
      </c>
      <c r="B6465" t="n">
        <v>2013</v>
      </c>
      <c r="C6465" t="n">
        <v>0.0086</v>
      </c>
    </row>
    <row r="6466">
      <c r="A6466" t="n">
        <v>100</v>
      </c>
      <c r="B6466" t="n">
        <v>2014</v>
      </c>
      <c r="C6466" t="n">
        <v>0.008200000000000001</v>
      </c>
    </row>
    <row r="6467">
      <c r="A6467" t="n">
        <v>100</v>
      </c>
      <c r="B6467" t="n">
        <v>2015</v>
      </c>
      <c r="C6467" t="n">
        <v>0.0078</v>
      </c>
    </row>
    <row r="6468">
      <c r="A6468" t="n">
        <v>100</v>
      </c>
      <c r="B6468" t="n">
        <v>2016</v>
      </c>
      <c r="C6468" t="n">
        <v>0.0074</v>
      </c>
    </row>
    <row r="6469">
      <c r="A6469" t="n">
        <v>100</v>
      </c>
      <c r="B6469" t="n">
        <v>2017</v>
      </c>
      <c r="C6469" t="n">
        <v>0.0071</v>
      </c>
    </row>
    <row r="6470">
      <c r="A6470" t="n">
        <v>100</v>
      </c>
      <c r="B6470" t="n">
        <v>2018</v>
      </c>
      <c r="C6470" t="n">
        <v>0.0067</v>
      </c>
    </row>
    <row r="6471">
      <c r="A6471" t="n">
        <v>100</v>
      </c>
      <c r="B6471" t="n">
        <v>2019</v>
      </c>
      <c r="C6471" t="n">
        <v>0.0064</v>
      </c>
    </row>
    <row r="6472">
      <c r="A6472" t="n">
        <v>100</v>
      </c>
      <c r="B6472" t="n">
        <v>2020</v>
      </c>
      <c r="C6472" t="n">
        <v>0.0062</v>
      </c>
    </row>
    <row r="6473">
      <c r="A6473" t="n">
        <v>100</v>
      </c>
      <c r="B6473" t="n">
        <v>2021</v>
      </c>
      <c r="C6473" t="n">
        <v>0.006</v>
      </c>
    </row>
    <row r="6474">
      <c r="A6474" t="n">
        <v>100</v>
      </c>
      <c r="B6474" t="n">
        <v>2022</v>
      </c>
      <c r="C6474" t="n">
        <v>0.0059</v>
      </c>
    </row>
    <row r="6475">
      <c r="A6475" t="n">
        <v>100</v>
      </c>
      <c r="B6475" t="n">
        <v>2023</v>
      </c>
      <c r="C6475" t="n">
        <v>0.0059</v>
      </c>
    </row>
    <row r="6476">
      <c r="A6476" t="n">
        <v>100</v>
      </c>
      <c r="B6476" t="n">
        <v>2024</v>
      </c>
      <c r="C6476" t="n">
        <v>0.0059</v>
      </c>
    </row>
    <row r="6477">
      <c r="A6477" t="n">
        <v>100</v>
      </c>
      <c r="B6477" t="n">
        <v>2025</v>
      </c>
      <c r="C6477" t="n">
        <v>0.0059</v>
      </c>
    </row>
    <row r="6478">
      <c r="A6478" t="n">
        <v>100</v>
      </c>
      <c r="B6478" t="n">
        <v>2026</v>
      </c>
      <c r="C6478" t="n">
        <v>0.0059</v>
      </c>
    </row>
    <row r="6479">
      <c r="A6479" t="n">
        <v>100</v>
      </c>
      <c r="B6479" t="n">
        <v>2027</v>
      </c>
      <c r="C6479" t="n">
        <v>0.0059</v>
      </c>
    </row>
    <row r="6480">
      <c r="A6480" t="n">
        <v>100</v>
      </c>
      <c r="B6480" t="n">
        <v>2028</v>
      </c>
      <c r="C6480" t="n">
        <v>0.006</v>
      </c>
    </row>
    <row r="6481">
      <c r="A6481" t="n">
        <v>100</v>
      </c>
      <c r="B6481" t="n">
        <v>2029</v>
      </c>
      <c r="C6481" t="n">
        <v>0.006</v>
      </c>
    </row>
    <row r="6482">
      <c r="A6482" t="n">
        <v>100</v>
      </c>
      <c r="B6482" t="n">
        <v>2030</v>
      </c>
      <c r="C6482" t="n">
        <v>0.0061</v>
      </c>
    </row>
    <row r="6483">
      <c r="A6483" t="n">
        <v>100</v>
      </c>
      <c r="B6483" t="n">
        <v>2031</v>
      </c>
      <c r="C6483" t="n">
        <v>0.0062</v>
      </c>
    </row>
    <row r="6484">
      <c r="A6484" t="n">
        <v>101</v>
      </c>
      <c r="B6484" t="n">
        <v>1951</v>
      </c>
      <c r="C6484" t="n">
        <v>-0.0134</v>
      </c>
    </row>
    <row r="6485">
      <c r="A6485" t="n">
        <v>101</v>
      </c>
      <c r="B6485" t="n">
        <v>1952</v>
      </c>
      <c r="C6485" t="n">
        <v>-0.0124</v>
      </c>
    </row>
    <row r="6486">
      <c r="A6486" t="n">
        <v>101</v>
      </c>
      <c r="B6486" t="n">
        <v>1953</v>
      </c>
      <c r="C6486" t="n">
        <v>-0.0114</v>
      </c>
    </row>
    <row r="6487">
      <c r="A6487" t="n">
        <v>101</v>
      </c>
      <c r="B6487" t="n">
        <v>1954</v>
      </c>
      <c r="C6487" t="n">
        <v>-0.0104</v>
      </c>
    </row>
    <row r="6488">
      <c r="A6488" t="n">
        <v>101</v>
      </c>
      <c r="B6488" t="n">
        <v>1955</v>
      </c>
      <c r="C6488" t="n">
        <v>-0.0094</v>
      </c>
    </row>
    <row r="6489">
      <c r="A6489" t="n">
        <v>101</v>
      </c>
      <c r="B6489" t="n">
        <v>1956</v>
      </c>
      <c r="C6489" t="n">
        <v>-0.008399999999999999</v>
      </c>
    </row>
    <row r="6490">
      <c r="A6490" t="n">
        <v>101</v>
      </c>
      <c r="B6490" t="n">
        <v>1957</v>
      </c>
      <c r="C6490" t="n">
        <v>-0.0073</v>
      </c>
    </row>
    <row r="6491">
      <c r="A6491" t="n">
        <v>101</v>
      </c>
      <c r="B6491" t="n">
        <v>1958</v>
      </c>
      <c r="C6491" t="n">
        <v>-0.0062</v>
      </c>
    </row>
    <row r="6492">
      <c r="A6492" t="n">
        <v>101</v>
      </c>
      <c r="B6492" t="n">
        <v>1959</v>
      </c>
      <c r="C6492" t="n">
        <v>-0.0051</v>
      </c>
    </row>
    <row r="6493">
      <c r="A6493" t="n">
        <v>101</v>
      </c>
      <c r="B6493" t="n">
        <v>1960</v>
      </c>
      <c r="C6493" t="n">
        <v>-0.0039</v>
      </c>
    </row>
    <row r="6494">
      <c r="A6494" t="n">
        <v>101</v>
      </c>
      <c r="B6494" t="n">
        <v>1961</v>
      </c>
      <c r="C6494" t="n">
        <v>-0.0027</v>
      </c>
    </row>
    <row r="6495">
      <c r="A6495" t="n">
        <v>101</v>
      </c>
      <c r="B6495" t="n">
        <v>1962</v>
      </c>
      <c r="C6495" t="n">
        <v>-0.0014</v>
      </c>
    </row>
    <row r="6496">
      <c r="A6496" t="n">
        <v>101</v>
      </c>
      <c r="B6496" t="n">
        <v>1963</v>
      </c>
      <c r="C6496" t="n">
        <v>-0.0001</v>
      </c>
    </row>
    <row r="6497">
      <c r="A6497" t="n">
        <v>101</v>
      </c>
      <c r="B6497" t="n">
        <v>1964</v>
      </c>
      <c r="C6497" t="n">
        <v>0.0012</v>
      </c>
    </row>
    <row r="6498">
      <c r="A6498" t="n">
        <v>101</v>
      </c>
      <c r="B6498" t="n">
        <v>1965</v>
      </c>
      <c r="C6498" t="n">
        <v>0.0025</v>
      </c>
    </row>
    <row r="6499">
      <c r="A6499" t="n">
        <v>101</v>
      </c>
      <c r="B6499" t="n">
        <v>1966</v>
      </c>
      <c r="C6499" t="n">
        <v>0.0037</v>
      </c>
    </row>
    <row r="6500">
      <c r="A6500" t="n">
        <v>101</v>
      </c>
      <c r="B6500" t="n">
        <v>1967</v>
      </c>
      <c r="C6500" t="n">
        <v>0.0049</v>
      </c>
    </row>
    <row r="6501">
      <c r="A6501" t="n">
        <v>101</v>
      </c>
      <c r="B6501" t="n">
        <v>1968</v>
      </c>
      <c r="C6501" t="n">
        <v>0.006</v>
      </c>
    </row>
    <row r="6502">
      <c r="A6502" t="n">
        <v>101</v>
      </c>
      <c r="B6502" t="n">
        <v>1969</v>
      </c>
      <c r="C6502" t="n">
        <v>0.0069</v>
      </c>
    </row>
    <row r="6503">
      <c r="A6503" t="n">
        <v>101</v>
      </c>
      <c r="B6503" t="n">
        <v>1970</v>
      </c>
      <c r="C6503" t="n">
        <v>0.0077</v>
      </c>
    </row>
    <row r="6504">
      <c r="A6504" t="n">
        <v>101</v>
      </c>
      <c r="B6504" t="n">
        <v>1971</v>
      </c>
      <c r="C6504" t="n">
        <v>0.0083</v>
      </c>
    </row>
    <row r="6505">
      <c r="A6505" t="n">
        <v>101</v>
      </c>
      <c r="B6505" t="n">
        <v>1972</v>
      </c>
      <c r="C6505" t="n">
        <v>0.008800000000000001</v>
      </c>
    </row>
    <row r="6506">
      <c r="A6506" t="n">
        <v>101</v>
      </c>
      <c r="B6506" t="n">
        <v>1973</v>
      </c>
      <c r="C6506" t="n">
        <v>0.008999999999999999</v>
      </c>
    </row>
    <row r="6507">
      <c r="A6507" t="n">
        <v>101</v>
      </c>
      <c r="B6507" t="n">
        <v>1974</v>
      </c>
      <c r="C6507" t="n">
        <v>0.0091</v>
      </c>
    </row>
    <row r="6508">
      <c r="A6508" t="n">
        <v>101</v>
      </c>
      <c r="B6508" t="n">
        <v>1975</v>
      </c>
      <c r="C6508" t="n">
        <v>0.008999999999999999</v>
      </c>
    </row>
    <row r="6509">
      <c r="A6509" t="n">
        <v>101</v>
      </c>
      <c r="B6509" t="n">
        <v>1976</v>
      </c>
      <c r="C6509" t="n">
        <v>0.0086</v>
      </c>
    </row>
    <row r="6510">
      <c r="A6510" t="n">
        <v>101</v>
      </c>
      <c r="B6510" t="n">
        <v>1977</v>
      </c>
      <c r="C6510" t="n">
        <v>0.0081</v>
      </c>
    </row>
    <row r="6511">
      <c r="A6511" t="n">
        <v>101</v>
      </c>
      <c r="B6511" t="n">
        <v>1978</v>
      </c>
      <c r="C6511" t="n">
        <v>0.0074</v>
      </c>
    </row>
    <row r="6512">
      <c r="A6512" t="n">
        <v>101</v>
      </c>
      <c r="B6512" t="n">
        <v>1979</v>
      </c>
      <c r="C6512" t="n">
        <v>0.0065</v>
      </c>
    </row>
    <row r="6513">
      <c r="A6513" t="n">
        <v>101</v>
      </c>
      <c r="B6513" t="n">
        <v>1980</v>
      </c>
      <c r="C6513" t="n">
        <v>0.0056</v>
      </c>
    </row>
    <row r="6514">
      <c r="A6514" t="n">
        <v>101</v>
      </c>
      <c r="B6514" t="n">
        <v>1981</v>
      </c>
      <c r="C6514" t="n">
        <v>0.0045</v>
      </c>
    </row>
    <row r="6515">
      <c r="A6515" t="n">
        <v>101</v>
      </c>
      <c r="B6515" t="n">
        <v>1982</v>
      </c>
      <c r="C6515" t="n">
        <v>0.0033</v>
      </c>
    </row>
    <row r="6516">
      <c r="A6516" t="n">
        <v>101</v>
      </c>
      <c r="B6516" t="n">
        <v>1983</v>
      </c>
      <c r="C6516" t="n">
        <v>0.002</v>
      </c>
    </row>
    <row r="6517">
      <c r="A6517" t="n">
        <v>101</v>
      </c>
      <c r="B6517" t="n">
        <v>1984</v>
      </c>
      <c r="C6517" t="n">
        <v>0.0008</v>
      </c>
    </row>
    <row r="6518">
      <c r="A6518" t="n">
        <v>101</v>
      </c>
      <c r="B6518" t="n">
        <v>1985</v>
      </c>
      <c r="C6518" t="n">
        <v>-0.0004</v>
      </c>
    </row>
    <row r="6519">
      <c r="A6519" t="n">
        <v>101</v>
      </c>
      <c r="B6519" t="n">
        <v>1986</v>
      </c>
      <c r="C6519" t="n">
        <v>-0.0016</v>
      </c>
    </row>
    <row r="6520">
      <c r="A6520" t="n">
        <v>101</v>
      </c>
      <c r="B6520" t="n">
        <v>1987</v>
      </c>
      <c r="C6520" t="n">
        <v>-0.0026</v>
      </c>
    </row>
    <row r="6521">
      <c r="A6521" t="n">
        <v>101</v>
      </c>
      <c r="B6521" t="n">
        <v>1988</v>
      </c>
      <c r="C6521" t="n">
        <v>-0.0036</v>
      </c>
    </row>
    <row r="6522">
      <c r="A6522" t="n">
        <v>101</v>
      </c>
      <c r="B6522" t="n">
        <v>1989</v>
      </c>
      <c r="C6522" t="n">
        <v>-0.0045</v>
      </c>
    </row>
    <row r="6523">
      <c r="A6523" t="n">
        <v>101</v>
      </c>
      <c r="B6523" t="n">
        <v>1990</v>
      </c>
      <c r="C6523" t="n">
        <v>-0.0052</v>
      </c>
    </row>
    <row r="6524">
      <c r="A6524" t="n">
        <v>101</v>
      </c>
      <c r="B6524" t="n">
        <v>1991</v>
      </c>
      <c r="C6524" t="n">
        <v>-0.0057</v>
      </c>
    </row>
    <row r="6525">
      <c r="A6525" t="n">
        <v>101</v>
      </c>
      <c r="B6525" t="n">
        <v>1992</v>
      </c>
      <c r="C6525" t="n">
        <v>-0.0061</v>
      </c>
    </row>
    <row r="6526">
      <c r="A6526" t="n">
        <v>101</v>
      </c>
      <c r="B6526" t="n">
        <v>1993</v>
      </c>
      <c r="C6526" t="n">
        <v>-0.0063</v>
      </c>
    </row>
    <row r="6527">
      <c r="A6527" t="n">
        <v>101</v>
      </c>
      <c r="B6527" t="n">
        <v>1994</v>
      </c>
      <c r="C6527" t="n">
        <v>-0.0064</v>
      </c>
    </row>
    <row r="6528">
      <c r="A6528" t="n">
        <v>101</v>
      </c>
      <c r="B6528" t="n">
        <v>1995</v>
      </c>
      <c r="C6528" t="n">
        <v>-0.0062</v>
      </c>
    </row>
    <row r="6529">
      <c r="A6529" t="n">
        <v>101</v>
      </c>
      <c r="B6529" t="n">
        <v>1996</v>
      </c>
      <c r="C6529" t="n">
        <v>-0.0059</v>
      </c>
    </row>
    <row r="6530">
      <c r="A6530" t="n">
        <v>101</v>
      </c>
      <c r="B6530" t="n">
        <v>1997</v>
      </c>
      <c r="C6530" t="n">
        <v>-0.0054</v>
      </c>
    </row>
    <row r="6531">
      <c r="A6531" t="n">
        <v>101</v>
      </c>
      <c r="B6531" t="n">
        <v>1998</v>
      </c>
      <c r="C6531" t="n">
        <v>-0.0047</v>
      </c>
    </row>
    <row r="6532">
      <c r="A6532" t="n">
        <v>101</v>
      </c>
      <c r="B6532" t="n">
        <v>1999</v>
      </c>
      <c r="C6532" t="n">
        <v>-0.0039</v>
      </c>
    </row>
    <row r="6533">
      <c r="A6533" t="n">
        <v>101</v>
      </c>
      <c r="B6533" t="n">
        <v>2000</v>
      </c>
      <c r="C6533" t="n">
        <v>-0.0029</v>
      </c>
    </row>
    <row r="6534">
      <c r="A6534" t="n">
        <v>101</v>
      </c>
      <c r="B6534" t="n">
        <v>2001</v>
      </c>
      <c r="C6534" t="n">
        <v>-0.0019</v>
      </c>
    </row>
    <row r="6535">
      <c r="A6535" t="n">
        <v>101</v>
      </c>
      <c r="B6535" t="n">
        <v>2002</v>
      </c>
      <c r="C6535" t="n">
        <v>-0.0008</v>
      </c>
    </row>
    <row r="6536">
      <c r="A6536" t="n">
        <v>101</v>
      </c>
      <c r="B6536" t="n">
        <v>2003</v>
      </c>
      <c r="C6536" t="n">
        <v>0.0003</v>
      </c>
    </row>
    <row r="6537">
      <c r="A6537" t="n">
        <v>101</v>
      </c>
      <c r="B6537" t="n">
        <v>2004</v>
      </c>
      <c r="C6537" t="n">
        <v>0.0015</v>
      </c>
    </row>
    <row r="6538">
      <c r="A6538" t="n">
        <v>101</v>
      </c>
      <c r="B6538" t="n">
        <v>2005</v>
      </c>
      <c r="C6538" t="n">
        <v>0.0026</v>
      </c>
    </row>
    <row r="6539">
      <c r="A6539" t="n">
        <v>101</v>
      </c>
      <c r="B6539" t="n">
        <v>2006</v>
      </c>
      <c r="C6539" t="n">
        <v>0.0036</v>
      </c>
    </row>
    <row r="6540">
      <c r="A6540" t="n">
        <v>101</v>
      </c>
      <c r="B6540" t="n">
        <v>2007</v>
      </c>
      <c r="C6540" t="n">
        <v>0.0045</v>
      </c>
    </row>
    <row r="6541">
      <c r="A6541" t="n">
        <v>101</v>
      </c>
      <c r="B6541" t="n">
        <v>2008</v>
      </c>
      <c r="C6541" t="n">
        <v>0.0054</v>
      </c>
    </row>
    <row r="6542">
      <c r="A6542" t="n">
        <v>101</v>
      </c>
      <c r="B6542" t="n">
        <v>2009</v>
      </c>
      <c r="C6542" t="n">
        <v>0.0062</v>
      </c>
    </row>
    <row r="6543">
      <c r="A6543" t="n">
        <v>101</v>
      </c>
      <c r="B6543" t="n">
        <v>2010</v>
      </c>
      <c r="C6543" t="n">
        <v>0.0069</v>
      </c>
    </row>
    <row r="6544">
      <c r="A6544" t="n">
        <v>101</v>
      </c>
      <c r="B6544" t="n">
        <v>2011</v>
      </c>
      <c r="C6544" t="n">
        <v>0.0076</v>
      </c>
    </row>
    <row r="6545">
      <c r="A6545" t="n">
        <v>101</v>
      </c>
      <c r="B6545" t="n">
        <v>2012</v>
      </c>
      <c r="C6545" t="n">
        <v>0.0083</v>
      </c>
    </row>
    <row r="6546">
      <c r="A6546" t="n">
        <v>101</v>
      </c>
      <c r="B6546" t="n">
        <v>2013</v>
      </c>
      <c r="C6546" t="n">
        <v>0.008</v>
      </c>
    </row>
    <row r="6547">
      <c r="A6547" t="n">
        <v>101</v>
      </c>
      <c r="B6547" t="n">
        <v>2014</v>
      </c>
      <c r="C6547" t="n">
        <v>0.0077</v>
      </c>
    </row>
    <row r="6548">
      <c r="A6548" t="n">
        <v>101</v>
      </c>
      <c r="B6548" t="n">
        <v>2015</v>
      </c>
      <c r="C6548" t="n">
        <v>0.0073</v>
      </c>
    </row>
    <row r="6549">
      <c r="A6549" t="n">
        <v>101</v>
      </c>
      <c r="B6549" t="n">
        <v>2016</v>
      </c>
      <c r="C6549" t="n">
        <v>0.0069</v>
      </c>
    </row>
    <row r="6550">
      <c r="A6550" t="n">
        <v>101</v>
      </c>
      <c r="B6550" t="n">
        <v>2017</v>
      </c>
      <c r="C6550" t="n">
        <v>0.0066</v>
      </c>
    </row>
    <row r="6551">
      <c r="A6551" t="n">
        <v>101</v>
      </c>
      <c r="B6551" t="n">
        <v>2018</v>
      </c>
      <c r="C6551" t="n">
        <v>0.0063</v>
      </c>
    </row>
    <row r="6552">
      <c r="A6552" t="n">
        <v>101</v>
      </c>
      <c r="B6552" t="n">
        <v>2019</v>
      </c>
      <c r="C6552" t="n">
        <v>0.006</v>
      </c>
    </row>
    <row r="6553">
      <c r="A6553" t="n">
        <v>101</v>
      </c>
      <c r="B6553" t="n">
        <v>2020</v>
      </c>
      <c r="C6553" t="n">
        <v>0.0058</v>
      </c>
    </row>
    <row r="6554">
      <c r="A6554" t="n">
        <v>101</v>
      </c>
      <c r="B6554" t="n">
        <v>2021</v>
      </c>
      <c r="C6554" t="n">
        <v>0.0056</v>
      </c>
    </row>
    <row r="6555">
      <c r="A6555" t="n">
        <v>101</v>
      </c>
      <c r="B6555" t="n">
        <v>2022</v>
      </c>
      <c r="C6555" t="n">
        <v>0.0056</v>
      </c>
    </row>
    <row r="6556">
      <c r="A6556" t="n">
        <v>101</v>
      </c>
      <c r="B6556" t="n">
        <v>2023</v>
      </c>
      <c r="C6556" t="n">
        <v>0.0055</v>
      </c>
    </row>
    <row r="6557">
      <c r="A6557" t="n">
        <v>101</v>
      </c>
      <c r="B6557" t="n">
        <v>2024</v>
      </c>
      <c r="C6557" t="n">
        <v>0.0055</v>
      </c>
    </row>
    <row r="6558">
      <c r="A6558" t="n">
        <v>101</v>
      </c>
      <c r="B6558" t="n">
        <v>2025</v>
      </c>
      <c r="C6558" t="n">
        <v>0.0055</v>
      </c>
    </row>
    <row r="6559">
      <c r="A6559" t="n">
        <v>101</v>
      </c>
      <c r="B6559" t="n">
        <v>2026</v>
      </c>
      <c r="C6559" t="n">
        <v>0.0055</v>
      </c>
    </row>
    <row r="6560">
      <c r="A6560" t="n">
        <v>101</v>
      </c>
      <c r="B6560" t="n">
        <v>2027</v>
      </c>
      <c r="C6560" t="n">
        <v>0.0055</v>
      </c>
    </row>
    <row r="6561">
      <c r="A6561" t="n">
        <v>101</v>
      </c>
      <c r="B6561" t="n">
        <v>2028</v>
      </c>
      <c r="C6561" t="n">
        <v>0.0056</v>
      </c>
    </row>
    <row r="6562">
      <c r="A6562" t="n">
        <v>101</v>
      </c>
      <c r="B6562" t="n">
        <v>2029</v>
      </c>
      <c r="C6562" t="n">
        <v>0.0056</v>
      </c>
    </row>
    <row r="6563">
      <c r="A6563" t="n">
        <v>101</v>
      </c>
      <c r="B6563" t="n">
        <v>2030</v>
      </c>
      <c r="C6563" t="n">
        <v>0.0057</v>
      </c>
    </row>
    <row r="6564">
      <c r="A6564" t="n">
        <v>101</v>
      </c>
      <c r="B6564" t="n">
        <v>2031</v>
      </c>
      <c r="C6564" t="n">
        <v>0.0058</v>
      </c>
    </row>
    <row r="6565">
      <c r="A6565" t="n">
        <v>102</v>
      </c>
      <c r="B6565" t="n">
        <v>1951</v>
      </c>
      <c r="C6565" t="n">
        <v>-0.0124</v>
      </c>
    </row>
    <row r="6566">
      <c r="A6566" t="n">
        <v>102</v>
      </c>
      <c r="B6566" t="n">
        <v>1952</v>
      </c>
      <c r="C6566" t="n">
        <v>-0.0115</v>
      </c>
    </row>
    <row r="6567">
      <c r="A6567" t="n">
        <v>102</v>
      </c>
      <c r="B6567" t="n">
        <v>1953</v>
      </c>
      <c r="C6567" t="n">
        <v>-0.0106</v>
      </c>
    </row>
    <row r="6568">
      <c r="A6568" t="n">
        <v>102</v>
      </c>
      <c r="B6568" t="n">
        <v>1954</v>
      </c>
      <c r="C6568" t="n">
        <v>-0.0097</v>
      </c>
    </row>
    <row r="6569">
      <c r="A6569" t="n">
        <v>102</v>
      </c>
      <c r="B6569" t="n">
        <v>1955</v>
      </c>
      <c r="C6569" t="n">
        <v>-0.008699999999999999</v>
      </c>
    </row>
    <row r="6570">
      <c r="A6570" t="n">
        <v>102</v>
      </c>
      <c r="B6570" t="n">
        <v>1956</v>
      </c>
      <c r="C6570" t="n">
        <v>-0.0078</v>
      </c>
    </row>
    <row r="6571">
      <c r="A6571" t="n">
        <v>102</v>
      </c>
      <c r="B6571" t="n">
        <v>1957</v>
      </c>
      <c r="C6571" t="n">
        <v>-0.0068</v>
      </c>
    </row>
    <row r="6572">
      <c r="A6572" t="n">
        <v>102</v>
      </c>
      <c r="B6572" t="n">
        <v>1958</v>
      </c>
      <c r="C6572" t="n">
        <v>-0.0058</v>
      </c>
    </row>
    <row r="6573">
      <c r="A6573" t="n">
        <v>102</v>
      </c>
      <c r="B6573" t="n">
        <v>1959</v>
      </c>
      <c r="C6573" t="n">
        <v>-0.0047</v>
      </c>
    </row>
    <row r="6574">
      <c r="A6574" t="n">
        <v>102</v>
      </c>
      <c r="B6574" t="n">
        <v>1960</v>
      </c>
      <c r="C6574" t="n">
        <v>-0.0036</v>
      </c>
    </row>
    <row r="6575">
      <c r="A6575" t="n">
        <v>102</v>
      </c>
      <c r="B6575" t="n">
        <v>1961</v>
      </c>
      <c r="C6575" t="n">
        <v>-0.0025</v>
      </c>
    </row>
    <row r="6576">
      <c r="A6576" t="n">
        <v>102</v>
      </c>
      <c r="B6576" t="n">
        <v>1962</v>
      </c>
      <c r="C6576" t="n">
        <v>-0.0013</v>
      </c>
    </row>
    <row r="6577">
      <c r="A6577" t="n">
        <v>102</v>
      </c>
      <c r="B6577" t="n">
        <v>1963</v>
      </c>
      <c r="C6577" t="n">
        <v>-0.0001</v>
      </c>
    </row>
    <row r="6578">
      <c r="A6578" t="n">
        <v>102</v>
      </c>
      <c r="B6578" t="n">
        <v>1964</v>
      </c>
      <c r="C6578" t="n">
        <v>0.0011</v>
      </c>
    </row>
    <row r="6579">
      <c r="A6579" t="n">
        <v>102</v>
      </c>
      <c r="B6579" t="n">
        <v>1965</v>
      </c>
      <c r="C6579" t="n">
        <v>0.0023</v>
      </c>
    </row>
    <row r="6580">
      <c r="A6580" t="n">
        <v>102</v>
      </c>
      <c r="B6580" t="n">
        <v>1966</v>
      </c>
      <c r="C6580" t="n">
        <v>0.0035</v>
      </c>
    </row>
    <row r="6581">
      <c r="A6581" t="n">
        <v>102</v>
      </c>
      <c r="B6581" t="n">
        <v>1967</v>
      </c>
      <c r="C6581" t="n">
        <v>0.0046</v>
      </c>
    </row>
    <row r="6582">
      <c r="A6582" t="n">
        <v>102</v>
      </c>
      <c r="B6582" t="n">
        <v>1968</v>
      </c>
      <c r="C6582" t="n">
        <v>0.0055</v>
      </c>
    </row>
    <row r="6583">
      <c r="A6583" t="n">
        <v>102</v>
      </c>
      <c r="B6583" t="n">
        <v>1969</v>
      </c>
      <c r="C6583" t="n">
        <v>0.0064</v>
      </c>
    </row>
    <row r="6584">
      <c r="A6584" t="n">
        <v>102</v>
      </c>
      <c r="B6584" t="n">
        <v>1970</v>
      </c>
      <c r="C6584" t="n">
        <v>0.0072</v>
      </c>
    </row>
    <row r="6585">
      <c r="A6585" t="n">
        <v>102</v>
      </c>
      <c r="B6585" t="n">
        <v>1971</v>
      </c>
      <c r="C6585" t="n">
        <v>0.0077</v>
      </c>
    </row>
    <row r="6586">
      <c r="A6586" t="n">
        <v>102</v>
      </c>
      <c r="B6586" t="n">
        <v>1972</v>
      </c>
      <c r="C6586" t="n">
        <v>0.008200000000000001</v>
      </c>
    </row>
    <row r="6587">
      <c r="A6587" t="n">
        <v>102</v>
      </c>
      <c r="B6587" t="n">
        <v>1973</v>
      </c>
      <c r="C6587" t="n">
        <v>0.008399999999999999</v>
      </c>
    </row>
    <row r="6588">
      <c r="A6588" t="n">
        <v>102</v>
      </c>
      <c r="B6588" t="n">
        <v>1974</v>
      </c>
      <c r="C6588" t="n">
        <v>0.008399999999999999</v>
      </c>
    </row>
    <row r="6589">
      <c r="A6589" t="n">
        <v>102</v>
      </c>
      <c r="B6589" t="n">
        <v>1975</v>
      </c>
      <c r="C6589" t="n">
        <v>0.0083</v>
      </c>
    </row>
    <row r="6590">
      <c r="A6590" t="n">
        <v>102</v>
      </c>
      <c r="B6590" t="n">
        <v>1976</v>
      </c>
      <c r="C6590" t="n">
        <v>0.008</v>
      </c>
    </row>
    <row r="6591">
      <c r="A6591" t="n">
        <v>102</v>
      </c>
      <c r="B6591" t="n">
        <v>1977</v>
      </c>
      <c r="C6591" t="n">
        <v>0.0075</v>
      </c>
    </row>
    <row r="6592">
      <c r="A6592" t="n">
        <v>102</v>
      </c>
      <c r="B6592" t="n">
        <v>1978</v>
      </c>
      <c r="C6592" t="n">
        <v>0.0069</v>
      </c>
    </row>
    <row r="6593">
      <c r="A6593" t="n">
        <v>102</v>
      </c>
      <c r="B6593" t="n">
        <v>1979</v>
      </c>
      <c r="C6593" t="n">
        <v>0.0061</v>
      </c>
    </row>
    <row r="6594">
      <c r="A6594" t="n">
        <v>102</v>
      </c>
      <c r="B6594" t="n">
        <v>1980</v>
      </c>
      <c r="C6594" t="n">
        <v>0.0052</v>
      </c>
    </row>
    <row r="6595">
      <c r="A6595" t="n">
        <v>102</v>
      </c>
      <c r="B6595" t="n">
        <v>1981</v>
      </c>
      <c r="C6595" t="n">
        <v>0.0041</v>
      </c>
    </row>
    <row r="6596">
      <c r="A6596" t="n">
        <v>102</v>
      </c>
      <c r="B6596" t="n">
        <v>1982</v>
      </c>
      <c r="C6596" t="n">
        <v>0.003</v>
      </c>
    </row>
    <row r="6597">
      <c r="A6597" t="n">
        <v>102</v>
      </c>
      <c r="B6597" t="n">
        <v>1983</v>
      </c>
      <c r="C6597" t="n">
        <v>0.0019</v>
      </c>
    </row>
    <row r="6598">
      <c r="A6598" t="n">
        <v>102</v>
      </c>
      <c r="B6598" t="n">
        <v>1984</v>
      </c>
      <c r="C6598" t="n">
        <v>0.0008</v>
      </c>
    </row>
    <row r="6599">
      <c r="A6599" t="n">
        <v>102</v>
      </c>
      <c r="B6599" t="n">
        <v>1985</v>
      </c>
      <c r="C6599" t="n">
        <v>-0.0004</v>
      </c>
    </row>
    <row r="6600">
      <c r="A6600" t="n">
        <v>102</v>
      </c>
      <c r="B6600" t="n">
        <v>1986</v>
      </c>
      <c r="C6600" t="n">
        <v>-0.0015</v>
      </c>
    </row>
    <row r="6601">
      <c r="A6601" t="n">
        <v>102</v>
      </c>
      <c r="B6601" t="n">
        <v>1987</v>
      </c>
      <c r="C6601" t="n">
        <v>-0.0025</v>
      </c>
    </row>
    <row r="6602">
      <c r="A6602" t="n">
        <v>102</v>
      </c>
      <c r="B6602" t="n">
        <v>1988</v>
      </c>
      <c r="C6602" t="n">
        <v>-0.0034</v>
      </c>
    </row>
    <row r="6603">
      <c r="A6603" t="n">
        <v>102</v>
      </c>
      <c r="B6603" t="n">
        <v>1989</v>
      </c>
      <c r="C6603" t="n">
        <v>-0.0041</v>
      </c>
    </row>
    <row r="6604">
      <c r="A6604" t="n">
        <v>102</v>
      </c>
      <c r="B6604" t="n">
        <v>1990</v>
      </c>
      <c r="C6604" t="n">
        <v>-0.0048</v>
      </c>
    </row>
    <row r="6605">
      <c r="A6605" t="n">
        <v>102</v>
      </c>
      <c r="B6605" t="n">
        <v>1991</v>
      </c>
      <c r="C6605" t="n">
        <v>-0.0053</v>
      </c>
    </row>
    <row r="6606">
      <c r="A6606" t="n">
        <v>102</v>
      </c>
      <c r="B6606" t="n">
        <v>1992</v>
      </c>
      <c r="C6606" t="n">
        <v>-0.0057</v>
      </c>
    </row>
    <row r="6607">
      <c r="A6607" t="n">
        <v>102</v>
      </c>
      <c r="B6607" t="n">
        <v>1993</v>
      </c>
      <c r="C6607" t="n">
        <v>-0.0059</v>
      </c>
    </row>
    <row r="6608">
      <c r="A6608" t="n">
        <v>102</v>
      </c>
      <c r="B6608" t="n">
        <v>1994</v>
      </c>
      <c r="C6608" t="n">
        <v>-0.0059</v>
      </c>
    </row>
    <row r="6609">
      <c r="A6609" t="n">
        <v>102</v>
      </c>
      <c r="B6609" t="n">
        <v>1995</v>
      </c>
      <c r="C6609" t="n">
        <v>-0.0058</v>
      </c>
    </row>
    <row r="6610">
      <c r="A6610" t="n">
        <v>102</v>
      </c>
      <c r="B6610" t="n">
        <v>1996</v>
      </c>
      <c r="C6610" t="n">
        <v>-0.0055</v>
      </c>
    </row>
    <row r="6611">
      <c r="A6611" t="n">
        <v>102</v>
      </c>
      <c r="B6611" t="n">
        <v>1997</v>
      </c>
      <c r="C6611" t="n">
        <v>-0.005</v>
      </c>
    </row>
    <row r="6612">
      <c r="A6612" t="n">
        <v>102</v>
      </c>
      <c r="B6612" t="n">
        <v>1998</v>
      </c>
      <c r="C6612" t="n">
        <v>-0.0044</v>
      </c>
    </row>
    <row r="6613">
      <c r="A6613" t="n">
        <v>102</v>
      </c>
      <c r="B6613" t="n">
        <v>1999</v>
      </c>
      <c r="C6613" t="n">
        <v>-0.0036</v>
      </c>
    </row>
    <row r="6614">
      <c r="A6614" t="n">
        <v>102</v>
      </c>
      <c r="B6614" t="n">
        <v>2000</v>
      </c>
      <c r="C6614" t="n">
        <v>-0.0027</v>
      </c>
    </row>
    <row r="6615">
      <c r="A6615" t="n">
        <v>102</v>
      </c>
      <c r="B6615" t="n">
        <v>2001</v>
      </c>
      <c r="C6615" t="n">
        <v>-0.0018</v>
      </c>
    </row>
    <row r="6616">
      <c r="A6616" t="n">
        <v>102</v>
      </c>
      <c r="B6616" t="n">
        <v>2002</v>
      </c>
      <c r="C6616" t="n">
        <v>-0.0007</v>
      </c>
    </row>
    <row r="6617">
      <c r="A6617" t="n">
        <v>102</v>
      </c>
      <c r="B6617" t="n">
        <v>2003</v>
      </c>
      <c r="C6617" t="n">
        <v>0.0003</v>
      </c>
    </row>
    <row r="6618">
      <c r="A6618" t="n">
        <v>102</v>
      </c>
      <c r="B6618" t="n">
        <v>2004</v>
      </c>
      <c r="C6618" t="n">
        <v>0.0014</v>
      </c>
    </row>
    <row r="6619">
      <c r="A6619" t="n">
        <v>102</v>
      </c>
      <c r="B6619" t="n">
        <v>2005</v>
      </c>
      <c r="C6619" t="n">
        <v>0.0024</v>
      </c>
    </row>
    <row r="6620">
      <c r="A6620" t="n">
        <v>102</v>
      </c>
      <c r="B6620" t="n">
        <v>2006</v>
      </c>
      <c r="C6620" t="n">
        <v>0.0033</v>
      </c>
    </row>
    <row r="6621">
      <c r="A6621" t="n">
        <v>102</v>
      </c>
      <c r="B6621" t="n">
        <v>2007</v>
      </c>
      <c r="C6621" t="n">
        <v>0.0042</v>
      </c>
    </row>
    <row r="6622">
      <c r="A6622" t="n">
        <v>102</v>
      </c>
      <c r="B6622" t="n">
        <v>2008</v>
      </c>
      <c r="C6622" t="n">
        <v>0.005</v>
      </c>
    </row>
    <row r="6623">
      <c r="A6623" t="n">
        <v>102</v>
      </c>
      <c r="B6623" t="n">
        <v>2009</v>
      </c>
      <c r="C6623" t="n">
        <v>0.0058</v>
      </c>
    </row>
    <row r="6624">
      <c r="A6624" t="n">
        <v>102</v>
      </c>
      <c r="B6624" t="n">
        <v>2010</v>
      </c>
      <c r="C6624" t="n">
        <v>0.0064</v>
      </c>
    </row>
    <row r="6625">
      <c r="A6625" t="n">
        <v>102</v>
      </c>
      <c r="B6625" t="n">
        <v>2011</v>
      </c>
      <c r="C6625" t="n">
        <v>0.0071</v>
      </c>
    </row>
    <row r="6626">
      <c r="A6626" t="n">
        <v>102</v>
      </c>
      <c r="B6626" t="n">
        <v>2012</v>
      </c>
      <c r="C6626" t="n">
        <v>0.0077</v>
      </c>
    </row>
    <row r="6627">
      <c r="A6627" t="n">
        <v>102</v>
      </c>
      <c r="B6627" t="n">
        <v>2013</v>
      </c>
      <c r="C6627" t="n">
        <v>0.0074</v>
      </c>
    </row>
    <row r="6628">
      <c r="A6628" t="n">
        <v>102</v>
      </c>
      <c r="B6628" t="n">
        <v>2014</v>
      </c>
      <c r="C6628" t="n">
        <v>0.0071</v>
      </c>
    </row>
    <row r="6629">
      <c r="A6629" t="n">
        <v>102</v>
      </c>
      <c r="B6629" t="n">
        <v>2015</v>
      </c>
      <c r="C6629" t="n">
        <v>0.0068</v>
      </c>
    </row>
    <row r="6630">
      <c r="A6630" t="n">
        <v>102</v>
      </c>
      <c r="B6630" t="n">
        <v>2016</v>
      </c>
      <c r="C6630" t="n">
        <v>0.0065</v>
      </c>
    </row>
    <row r="6631">
      <c r="A6631" t="n">
        <v>102</v>
      </c>
      <c r="B6631" t="n">
        <v>2017</v>
      </c>
      <c r="C6631" t="n">
        <v>0.0061</v>
      </c>
    </row>
    <row r="6632">
      <c r="A6632" t="n">
        <v>102</v>
      </c>
      <c r="B6632" t="n">
        <v>2018</v>
      </c>
      <c r="C6632" t="n">
        <v>0.0058</v>
      </c>
    </row>
    <row r="6633">
      <c r="A6633" t="n">
        <v>102</v>
      </c>
      <c r="B6633" t="n">
        <v>2019</v>
      </c>
      <c r="C6633" t="n">
        <v>0.0056</v>
      </c>
    </row>
    <row r="6634">
      <c r="A6634" t="n">
        <v>102</v>
      </c>
      <c r="B6634" t="n">
        <v>2020</v>
      </c>
      <c r="C6634" t="n">
        <v>0.0054</v>
      </c>
    </row>
    <row r="6635">
      <c r="A6635" t="n">
        <v>102</v>
      </c>
      <c r="B6635" t="n">
        <v>2021</v>
      </c>
      <c r="C6635" t="n">
        <v>0.0052</v>
      </c>
    </row>
    <row r="6636">
      <c r="A6636" t="n">
        <v>102</v>
      </c>
      <c r="B6636" t="n">
        <v>2022</v>
      </c>
      <c r="C6636" t="n">
        <v>0.0052</v>
      </c>
    </row>
    <row r="6637">
      <c r="A6637" t="n">
        <v>102</v>
      </c>
      <c r="B6637" t="n">
        <v>2023</v>
      </c>
      <c r="C6637" t="n">
        <v>0.0051</v>
      </c>
    </row>
    <row r="6638">
      <c r="A6638" t="n">
        <v>102</v>
      </c>
      <c r="B6638" t="n">
        <v>2024</v>
      </c>
      <c r="C6638" t="n">
        <v>0.0051</v>
      </c>
    </row>
    <row r="6639">
      <c r="A6639" t="n">
        <v>102</v>
      </c>
      <c r="B6639" t="n">
        <v>2025</v>
      </c>
      <c r="C6639" t="n">
        <v>0.0051</v>
      </c>
    </row>
    <row r="6640">
      <c r="A6640" t="n">
        <v>102</v>
      </c>
      <c r="B6640" t="n">
        <v>2026</v>
      </c>
      <c r="C6640" t="n">
        <v>0.0051</v>
      </c>
    </row>
    <row r="6641">
      <c r="A6641" t="n">
        <v>102</v>
      </c>
      <c r="B6641" t="n">
        <v>2027</v>
      </c>
      <c r="C6641" t="n">
        <v>0.0051</v>
      </c>
    </row>
    <row r="6642">
      <c r="A6642" t="n">
        <v>102</v>
      </c>
      <c r="B6642" t="n">
        <v>2028</v>
      </c>
      <c r="C6642" t="n">
        <v>0.0052</v>
      </c>
    </row>
    <row r="6643">
      <c r="A6643" t="n">
        <v>102</v>
      </c>
      <c r="B6643" t="n">
        <v>2029</v>
      </c>
      <c r="C6643" t="n">
        <v>0.0052</v>
      </c>
    </row>
    <row r="6644">
      <c r="A6644" t="n">
        <v>102</v>
      </c>
      <c r="B6644" t="n">
        <v>2030</v>
      </c>
      <c r="C6644" t="n">
        <v>0.0053</v>
      </c>
    </row>
    <row r="6645">
      <c r="A6645" t="n">
        <v>102</v>
      </c>
      <c r="B6645" t="n">
        <v>2031</v>
      </c>
      <c r="C6645" t="n">
        <v>0.0054</v>
      </c>
    </row>
    <row r="6646">
      <c r="A6646" t="n">
        <v>103</v>
      </c>
      <c r="B6646" t="n">
        <v>1951</v>
      </c>
      <c r="C6646" t="n">
        <v>-0.0114</v>
      </c>
    </row>
    <row r="6647">
      <c r="A6647" t="n">
        <v>103</v>
      </c>
      <c r="B6647" t="n">
        <v>1952</v>
      </c>
      <c r="C6647" t="n">
        <v>-0.0106</v>
      </c>
    </row>
    <row r="6648">
      <c r="A6648" t="n">
        <v>103</v>
      </c>
      <c r="B6648" t="n">
        <v>1953</v>
      </c>
      <c r="C6648" t="n">
        <v>-0.0098</v>
      </c>
    </row>
    <row r="6649">
      <c r="A6649" t="n">
        <v>103</v>
      </c>
      <c r="B6649" t="n">
        <v>1954</v>
      </c>
      <c r="C6649" t="n">
        <v>-0.0089</v>
      </c>
    </row>
    <row r="6650">
      <c r="A6650" t="n">
        <v>103</v>
      </c>
      <c r="B6650" t="n">
        <v>1955</v>
      </c>
      <c r="C6650" t="n">
        <v>-0.0081</v>
      </c>
    </row>
    <row r="6651">
      <c r="A6651" t="n">
        <v>103</v>
      </c>
      <c r="B6651" t="n">
        <v>1956</v>
      </c>
      <c r="C6651" t="n">
        <v>-0.0072</v>
      </c>
    </row>
    <row r="6652">
      <c r="A6652" t="n">
        <v>103</v>
      </c>
      <c r="B6652" t="n">
        <v>1957</v>
      </c>
      <c r="C6652" t="n">
        <v>-0.0063</v>
      </c>
    </row>
    <row r="6653">
      <c r="A6653" t="n">
        <v>103</v>
      </c>
      <c r="B6653" t="n">
        <v>1958</v>
      </c>
      <c r="C6653" t="n">
        <v>-0.0054</v>
      </c>
    </row>
    <row r="6654">
      <c r="A6654" t="n">
        <v>103</v>
      </c>
      <c r="B6654" t="n">
        <v>1959</v>
      </c>
      <c r="C6654" t="n">
        <v>-0.0044</v>
      </c>
    </row>
    <row r="6655">
      <c r="A6655" t="n">
        <v>103</v>
      </c>
      <c r="B6655" t="n">
        <v>1960</v>
      </c>
      <c r="C6655" t="n">
        <v>-0.0033</v>
      </c>
    </row>
    <row r="6656">
      <c r="A6656" t="n">
        <v>103</v>
      </c>
      <c r="B6656" t="n">
        <v>1961</v>
      </c>
      <c r="C6656" t="n">
        <v>-0.0023</v>
      </c>
    </row>
    <row r="6657">
      <c r="A6657" t="n">
        <v>103</v>
      </c>
      <c r="B6657" t="n">
        <v>1962</v>
      </c>
      <c r="C6657" t="n">
        <v>-0.0012</v>
      </c>
    </row>
    <row r="6658">
      <c r="A6658" t="n">
        <v>103</v>
      </c>
      <c r="B6658" t="n">
        <v>1963</v>
      </c>
      <c r="C6658" t="n">
        <v>-0.0001</v>
      </c>
    </row>
    <row r="6659">
      <c r="A6659" t="n">
        <v>103</v>
      </c>
      <c r="B6659" t="n">
        <v>1964</v>
      </c>
      <c r="C6659" t="n">
        <v>0.001</v>
      </c>
    </row>
    <row r="6660">
      <c r="A6660" t="n">
        <v>103</v>
      </c>
      <c r="B6660" t="n">
        <v>1965</v>
      </c>
      <c r="C6660" t="n">
        <v>0.0021</v>
      </c>
    </row>
    <row r="6661">
      <c r="A6661" t="n">
        <v>103</v>
      </c>
      <c r="B6661" t="n">
        <v>1966</v>
      </c>
      <c r="C6661" t="n">
        <v>0.0032</v>
      </c>
    </row>
    <row r="6662">
      <c r="A6662" t="n">
        <v>103</v>
      </c>
      <c r="B6662" t="n">
        <v>1967</v>
      </c>
      <c r="C6662" t="n">
        <v>0.0042</v>
      </c>
    </row>
    <row r="6663">
      <c r="A6663" t="n">
        <v>103</v>
      </c>
      <c r="B6663" t="n">
        <v>1968</v>
      </c>
      <c r="C6663" t="n">
        <v>0.0051</v>
      </c>
    </row>
    <row r="6664">
      <c r="A6664" t="n">
        <v>103</v>
      </c>
      <c r="B6664" t="n">
        <v>1969</v>
      </c>
      <c r="C6664" t="n">
        <v>0.0059</v>
      </c>
    </row>
    <row r="6665">
      <c r="A6665" t="n">
        <v>103</v>
      </c>
      <c r="B6665" t="n">
        <v>1970</v>
      </c>
      <c r="C6665" t="n">
        <v>0.0066</v>
      </c>
    </row>
    <row r="6666">
      <c r="A6666" t="n">
        <v>103</v>
      </c>
      <c r="B6666" t="n">
        <v>1971</v>
      </c>
      <c r="C6666" t="n">
        <v>0.0071</v>
      </c>
    </row>
    <row r="6667">
      <c r="A6667" t="n">
        <v>103</v>
      </c>
      <c r="B6667" t="n">
        <v>1972</v>
      </c>
      <c r="C6667" t="n">
        <v>0.0075</v>
      </c>
    </row>
    <row r="6668">
      <c r="A6668" t="n">
        <v>103</v>
      </c>
      <c r="B6668" t="n">
        <v>1973</v>
      </c>
      <c r="C6668" t="n">
        <v>0.0077</v>
      </c>
    </row>
    <row r="6669">
      <c r="A6669" t="n">
        <v>103</v>
      </c>
      <c r="B6669" t="n">
        <v>1974</v>
      </c>
      <c r="C6669" t="n">
        <v>0.0078</v>
      </c>
    </row>
    <row r="6670">
      <c r="A6670" t="n">
        <v>103</v>
      </c>
      <c r="B6670" t="n">
        <v>1975</v>
      </c>
      <c r="C6670" t="n">
        <v>0.0077</v>
      </c>
    </row>
    <row r="6671">
      <c r="A6671" t="n">
        <v>103</v>
      </c>
      <c r="B6671" t="n">
        <v>1976</v>
      </c>
      <c r="C6671" t="n">
        <v>0.0074</v>
      </c>
    </row>
    <row r="6672">
      <c r="A6672" t="n">
        <v>103</v>
      </c>
      <c r="B6672" t="n">
        <v>1977</v>
      </c>
      <c r="C6672" t="n">
        <v>0.0069</v>
      </c>
    </row>
    <row r="6673">
      <c r="A6673" t="n">
        <v>103</v>
      </c>
      <c r="B6673" t="n">
        <v>1978</v>
      </c>
      <c r="C6673" t="n">
        <v>0.0063</v>
      </c>
    </row>
    <row r="6674">
      <c r="A6674" t="n">
        <v>103</v>
      </c>
      <c r="B6674" t="n">
        <v>1979</v>
      </c>
      <c r="C6674" t="n">
        <v>0.0056</v>
      </c>
    </row>
    <row r="6675">
      <c r="A6675" t="n">
        <v>103</v>
      </c>
      <c r="B6675" t="n">
        <v>1980</v>
      </c>
      <c r="C6675" t="n">
        <v>0.0048</v>
      </c>
    </row>
    <row r="6676">
      <c r="A6676" t="n">
        <v>103</v>
      </c>
      <c r="B6676" t="n">
        <v>1981</v>
      </c>
      <c r="C6676" t="n">
        <v>0.0038</v>
      </c>
    </row>
    <row r="6677">
      <c r="A6677" t="n">
        <v>103</v>
      </c>
      <c r="B6677" t="n">
        <v>1982</v>
      </c>
      <c r="C6677" t="n">
        <v>0.0028</v>
      </c>
    </row>
    <row r="6678">
      <c r="A6678" t="n">
        <v>103</v>
      </c>
      <c r="B6678" t="n">
        <v>1983</v>
      </c>
      <c r="C6678" t="n">
        <v>0.0018</v>
      </c>
    </row>
    <row r="6679">
      <c r="A6679" t="n">
        <v>103</v>
      </c>
      <c r="B6679" t="n">
        <v>1984</v>
      </c>
      <c r="C6679" t="n">
        <v>0.0007</v>
      </c>
    </row>
    <row r="6680">
      <c r="A6680" t="n">
        <v>103</v>
      </c>
      <c r="B6680" t="n">
        <v>1985</v>
      </c>
      <c r="C6680" t="n">
        <v>-0.0003</v>
      </c>
    </row>
    <row r="6681">
      <c r="A6681" t="n">
        <v>103</v>
      </c>
      <c r="B6681" t="n">
        <v>1986</v>
      </c>
      <c r="C6681" t="n">
        <v>-0.0013</v>
      </c>
    </row>
    <row r="6682">
      <c r="A6682" t="n">
        <v>103</v>
      </c>
      <c r="B6682" t="n">
        <v>1987</v>
      </c>
      <c r="C6682" t="n">
        <v>-0.0023</v>
      </c>
    </row>
    <row r="6683">
      <c r="A6683" t="n">
        <v>103</v>
      </c>
      <c r="B6683" t="n">
        <v>1988</v>
      </c>
      <c r="C6683" t="n">
        <v>-0.0031</v>
      </c>
    </row>
    <row r="6684">
      <c r="A6684" t="n">
        <v>103</v>
      </c>
      <c r="B6684" t="n">
        <v>1989</v>
      </c>
      <c r="C6684" t="n">
        <v>-0.0038</v>
      </c>
    </row>
    <row r="6685">
      <c r="A6685" t="n">
        <v>103</v>
      </c>
      <c r="B6685" t="n">
        <v>1990</v>
      </c>
      <c r="C6685" t="n">
        <v>-0.0044</v>
      </c>
    </row>
    <row r="6686">
      <c r="A6686" t="n">
        <v>103</v>
      </c>
      <c r="B6686" t="n">
        <v>1991</v>
      </c>
      <c r="C6686" t="n">
        <v>-0.0049</v>
      </c>
    </row>
    <row r="6687">
      <c r="A6687" t="n">
        <v>103</v>
      </c>
      <c r="B6687" t="n">
        <v>1992</v>
      </c>
      <c r="C6687" t="n">
        <v>-0.0052</v>
      </c>
    </row>
    <row r="6688">
      <c r="A6688" t="n">
        <v>103</v>
      </c>
      <c r="B6688" t="n">
        <v>1993</v>
      </c>
      <c r="C6688" t="n">
        <v>-0.0054</v>
      </c>
    </row>
    <row r="6689">
      <c r="A6689" t="n">
        <v>103</v>
      </c>
      <c r="B6689" t="n">
        <v>1994</v>
      </c>
      <c r="C6689" t="n">
        <v>-0.0055</v>
      </c>
    </row>
    <row r="6690">
      <c r="A6690" t="n">
        <v>103</v>
      </c>
      <c r="B6690" t="n">
        <v>1995</v>
      </c>
      <c r="C6690" t="n">
        <v>-0.0053</v>
      </c>
    </row>
    <row r="6691">
      <c r="A6691" t="n">
        <v>103</v>
      </c>
      <c r="B6691" t="n">
        <v>1996</v>
      </c>
      <c r="C6691" t="n">
        <v>-0.0051</v>
      </c>
    </row>
    <row r="6692">
      <c r="A6692" t="n">
        <v>103</v>
      </c>
      <c r="B6692" t="n">
        <v>1997</v>
      </c>
      <c r="C6692" t="n">
        <v>-0.0046</v>
      </c>
    </row>
    <row r="6693">
      <c r="A6693" t="n">
        <v>103</v>
      </c>
      <c r="B6693" t="n">
        <v>1998</v>
      </c>
      <c r="C6693" t="n">
        <v>-0.004</v>
      </c>
    </row>
    <row r="6694">
      <c r="A6694" t="n">
        <v>103</v>
      </c>
      <c r="B6694" t="n">
        <v>1999</v>
      </c>
      <c r="C6694" t="n">
        <v>-0.0033</v>
      </c>
    </row>
    <row r="6695">
      <c r="A6695" t="n">
        <v>103</v>
      </c>
      <c r="B6695" t="n">
        <v>2000</v>
      </c>
      <c r="C6695" t="n">
        <v>-0.0025</v>
      </c>
    </row>
    <row r="6696">
      <c r="A6696" t="n">
        <v>103</v>
      </c>
      <c r="B6696" t="n">
        <v>2001</v>
      </c>
      <c r="C6696" t="n">
        <v>-0.0016</v>
      </c>
    </row>
    <row r="6697">
      <c r="A6697" t="n">
        <v>103</v>
      </c>
      <c r="B6697" t="n">
        <v>2002</v>
      </c>
      <c r="C6697" t="n">
        <v>-0.0007</v>
      </c>
    </row>
    <row r="6698">
      <c r="A6698" t="n">
        <v>103</v>
      </c>
      <c r="B6698" t="n">
        <v>2003</v>
      </c>
      <c r="C6698" t="n">
        <v>0.0003</v>
      </c>
    </row>
    <row r="6699">
      <c r="A6699" t="n">
        <v>103</v>
      </c>
      <c r="B6699" t="n">
        <v>2004</v>
      </c>
      <c r="C6699" t="n">
        <v>0.0013</v>
      </c>
    </row>
    <row r="6700">
      <c r="A6700" t="n">
        <v>103</v>
      </c>
      <c r="B6700" t="n">
        <v>2005</v>
      </c>
      <c r="C6700" t="n">
        <v>0.0022</v>
      </c>
    </row>
    <row r="6701">
      <c r="A6701" t="n">
        <v>103</v>
      </c>
      <c r="B6701" t="n">
        <v>2006</v>
      </c>
      <c r="C6701" t="n">
        <v>0.0031</v>
      </c>
    </row>
    <row r="6702">
      <c r="A6702" t="n">
        <v>103</v>
      </c>
      <c r="B6702" t="n">
        <v>2007</v>
      </c>
      <c r="C6702" t="n">
        <v>0.0039</v>
      </c>
    </row>
    <row r="6703">
      <c r="A6703" t="n">
        <v>103</v>
      </c>
      <c r="B6703" t="n">
        <v>2008</v>
      </c>
      <c r="C6703" t="n">
        <v>0.0046</v>
      </c>
    </row>
    <row r="6704">
      <c r="A6704" t="n">
        <v>103</v>
      </c>
      <c r="B6704" t="n">
        <v>2009</v>
      </c>
      <c r="C6704" t="n">
        <v>0.0053</v>
      </c>
    </row>
    <row r="6705">
      <c r="A6705" t="n">
        <v>103</v>
      </c>
      <c r="B6705" t="n">
        <v>2010</v>
      </c>
      <c r="C6705" t="n">
        <v>0.0059</v>
      </c>
    </row>
    <row r="6706">
      <c r="A6706" t="n">
        <v>103</v>
      </c>
      <c r="B6706" t="n">
        <v>2011</v>
      </c>
      <c r="C6706" t="n">
        <v>0.0065</v>
      </c>
    </row>
    <row r="6707">
      <c r="A6707" t="n">
        <v>103</v>
      </c>
      <c r="B6707" t="n">
        <v>2012</v>
      </c>
      <c r="C6707" t="n">
        <v>0.0071</v>
      </c>
    </row>
    <row r="6708">
      <c r="A6708" t="n">
        <v>103</v>
      </c>
      <c r="B6708" t="n">
        <v>2013</v>
      </c>
      <c r="C6708" t="n">
        <v>0.0069</v>
      </c>
    </row>
    <row r="6709">
      <c r="A6709" t="n">
        <v>103</v>
      </c>
      <c r="B6709" t="n">
        <v>2014</v>
      </c>
      <c r="C6709" t="n">
        <v>0.0066</v>
      </c>
    </row>
    <row r="6710">
      <c r="A6710" t="n">
        <v>103</v>
      </c>
      <c r="B6710" t="n">
        <v>2015</v>
      </c>
      <c r="C6710" t="n">
        <v>0.0063</v>
      </c>
    </row>
    <row r="6711">
      <c r="A6711" t="n">
        <v>103</v>
      </c>
      <c r="B6711" t="n">
        <v>2016</v>
      </c>
      <c r="C6711" t="n">
        <v>0.006</v>
      </c>
    </row>
    <row r="6712">
      <c r="A6712" t="n">
        <v>103</v>
      </c>
      <c r="B6712" t="n">
        <v>2017</v>
      </c>
      <c r="C6712" t="n">
        <v>0.0057</v>
      </c>
    </row>
    <row r="6713">
      <c r="A6713" t="n">
        <v>103</v>
      </c>
      <c r="B6713" t="n">
        <v>2018</v>
      </c>
      <c r="C6713" t="n">
        <v>0.0054</v>
      </c>
    </row>
    <row r="6714">
      <c r="A6714" t="n">
        <v>103</v>
      </c>
      <c r="B6714" t="n">
        <v>2019</v>
      </c>
      <c r="C6714" t="n">
        <v>0.0051</v>
      </c>
    </row>
    <row r="6715">
      <c r="A6715" t="n">
        <v>103</v>
      </c>
      <c r="B6715" t="n">
        <v>2020</v>
      </c>
      <c r="C6715" t="n">
        <v>0.005</v>
      </c>
    </row>
    <row r="6716">
      <c r="A6716" t="n">
        <v>103</v>
      </c>
      <c r="B6716" t="n">
        <v>2021</v>
      </c>
      <c r="C6716" t="n">
        <v>0.0048</v>
      </c>
    </row>
    <row r="6717">
      <c r="A6717" t="n">
        <v>103</v>
      </c>
      <c r="B6717" t="n">
        <v>2022</v>
      </c>
      <c r="C6717" t="n">
        <v>0.0048</v>
      </c>
    </row>
    <row r="6718">
      <c r="A6718" t="n">
        <v>103</v>
      </c>
      <c r="B6718" t="n">
        <v>2023</v>
      </c>
      <c r="C6718" t="n">
        <v>0.0047</v>
      </c>
    </row>
    <row r="6719">
      <c r="A6719" t="n">
        <v>103</v>
      </c>
      <c r="B6719" t="n">
        <v>2024</v>
      </c>
      <c r="C6719" t="n">
        <v>0.0047</v>
      </c>
    </row>
    <row r="6720">
      <c r="A6720" t="n">
        <v>103</v>
      </c>
      <c r="B6720" t="n">
        <v>2025</v>
      </c>
      <c r="C6720" t="n">
        <v>0.0047</v>
      </c>
    </row>
    <row r="6721">
      <c r="A6721" t="n">
        <v>103</v>
      </c>
      <c r="B6721" t="n">
        <v>2026</v>
      </c>
      <c r="C6721" t="n">
        <v>0.0047</v>
      </c>
    </row>
    <row r="6722">
      <c r="A6722" t="n">
        <v>103</v>
      </c>
      <c r="B6722" t="n">
        <v>2027</v>
      </c>
      <c r="C6722" t="n">
        <v>0.0047</v>
      </c>
    </row>
    <row r="6723">
      <c r="A6723" t="n">
        <v>103</v>
      </c>
      <c r="B6723" t="n">
        <v>2028</v>
      </c>
      <c r="C6723" t="n">
        <v>0.0048</v>
      </c>
    </row>
    <row r="6724">
      <c r="A6724" t="n">
        <v>103</v>
      </c>
      <c r="B6724" t="n">
        <v>2029</v>
      </c>
      <c r="C6724" t="n">
        <v>0.0048</v>
      </c>
    </row>
    <row r="6725">
      <c r="A6725" t="n">
        <v>103</v>
      </c>
      <c r="B6725" t="n">
        <v>2030</v>
      </c>
      <c r="C6725" t="n">
        <v>0.0049</v>
      </c>
    </row>
    <row r="6726">
      <c r="A6726" t="n">
        <v>103</v>
      </c>
      <c r="B6726" t="n">
        <v>2031</v>
      </c>
      <c r="C6726" t="n">
        <v>0.005</v>
      </c>
    </row>
    <row r="6727">
      <c r="A6727" t="n">
        <v>104</v>
      </c>
      <c r="B6727" t="n">
        <v>1951</v>
      </c>
      <c r="C6727" t="n">
        <v>-0.0105</v>
      </c>
    </row>
    <row r="6728">
      <c r="A6728" t="n">
        <v>104</v>
      </c>
      <c r="B6728" t="n">
        <v>1952</v>
      </c>
      <c r="C6728" t="n">
        <v>-0.0097</v>
      </c>
    </row>
    <row r="6729">
      <c r="A6729" t="n">
        <v>104</v>
      </c>
      <c r="B6729" t="n">
        <v>1953</v>
      </c>
      <c r="C6729" t="n">
        <v>-0.008999999999999999</v>
      </c>
    </row>
    <row r="6730">
      <c r="A6730" t="n">
        <v>104</v>
      </c>
      <c r="B6730" t="n">
        <v>1954</v>
      </c>
      <c r="C6730" t="n">
        <v>-0.008200000000000001</v>
      </c>
    </row>
    <row r="6731">
      <c r="A6731" t="n">
        <v>104</v>
      </c>
      <c r="B6731" t="n">
        <v>1955</v>
      </c>
      <c r="C6731" t="n">
        <v>-0.0074</v>
      </c>
    </row>
    <row r="6732">
      <c r="A6732" t="n">
        <v>104</v>
      </c>
      <c r="B6732" t="n">
        <v>1956</v>
      </c>
      <c r="C6732" t="n">
        <v>-0.0066</v>
      </c>
    </row>
    <row r="6733">
      <c r="A6733" t="n">
        <v>104</v>
      </c>
      <c r="B6733" t="n">
        <v>1957</v>
      </c>
      <c r="C6733" t="n">
        <v>-0.0058</v>
      </c>
    </row>
    <row r="6734">
      <c r="A6734" t="n">
        <v>104</v>
      </c>
      <c r="B6734" t="n">
        <v>1958</v>
      </c>
      <c r="C6734" t="n">
        <v>-0.0049</v>
      </c>
    </row>
    <row r="6735">
      <c r="A6735" t="n">
        <v>104</v>
      </c>
      <c r="B6735" t="n">
        <v>1959</v>
      </c>
      <c r="C6735" t="n">
        <v>-0.004</v>
      </c>
    </row>
    <row r="6736">
      <c r="A6736" t="n">
        <v>104</v>
      </c>
      <c r="B6736" t="n">
        <v>1960</v>
      </c>
      <c r="C6736" t="n">
        <v>-0.0031</v>
      </c>
    </row>
    <row r="6737">
      <c r="A6737" t="n">
        <v>104</v>
      </c>
      <c r="B6737" t="n">
        <v>1961</v>
      </c>
      <c r="C6737" t="n">
        <v>-0.0021</v>
      </c>
    </row>
    <row r="6738">
      <c r="A6738" t="n">
        <v>104</v>
      </c>
      <c r="B6738" t="n">
        <v>1962</v>
      </c>
      <c r="C6738" t="n">
        <v>-0.0011</v>
      </c>
    </row>
    <row r="6739">
      <c r="A6739" t="n">
        <v>104</v>
      </c>
      <c r="B6739" t="n">
        <v>1963</v>
      </c>
      <c r="C6739" t="n">
        <v>-0.0001</v>
      </c>
    </row>
    <row r="6740">
      <c r="A6740" t="n">
        <v>104</v>
      </c>
      <c r="B6740" t="n">
        <v>1964</v>
      </c>
      <c r="C6740" t="n">
        <v>0.001</v>
      </c>
    </row>
    <row r="6741">
      <c r="A6741" t="n">
        <v>104</v>
      </c>
      <c r="B6741" t="n">
        <v>1965</v>
      </c>
      <c r="C6741" t="n">
        <v>0.002</v>
      </c>
    </row>
    <row r="6742">
      <c r="A6742" t="n">
        <v>104</v>
      </c>
      <c r="B6742" t="n">
        <v>1966</v>
      </c>
      <c r="C6742" t="n">
        <v>0.0029</v>
      </c>
    </row>
    <row r="6743">
      <c r="A6743" t="n">
        <v>104</v>
      </c>
      <c r="B6743" t="n">
        <v>1967</v>
      </c>
      <c r="C6743" t="n">
        <v>0.0039</v>
      </c>
    </row>
    <row r="6744">
      <c r="A6744" t="n">
        <v>104</v>
      </c>
      <c r="B6744" t="n">
        <v>1968</v>
      </c>
      <c r="C6744" t="n">
        <v>0.0047</v>
      </c>
    </row>
    <row r="6745">
      <c r="A6745" t="n">
        <v>104</v>
      </c>
      <c r="B6745" t="n">
        <v>1969</v>
      </c>
      <c r="C6745" t="n">
        <v>0.0054</v>
      </c>
    </row>
    <row r="6746">
      <c r="A6746" t="n">
        <v>104</v>
      </c>
      <c r="B6746" t="n">
        <v>1970</v>
      </c>
      <c r="C6746" t="n">
        <v>0.0061</v>
      </c>
    </row>
    <row r="6747">
      <c r="A6747" t="n">
        <v>104</v>
      </c>
      <c r="B6747" t="n">
        <v>1971</v>
      </c>
      <c r="C6747" t="n">
        <v>0.0065</v>
      </c>
    </row>
    <row r="6748">
      <c r="A6748" t="n">
        <v>104</v>
      </c>
      <c r="B6748" t="n">
        <v>1972</v>
      </c>
      <c r="C6748" t="n">
        <v>0.0069</v>
      </c>
    </row>
    <row r="6749">
      <c r="A6749" t="n">
        <v>104</v>
      </c>
      <c r="B6749" t="n">
        <v>1973</v>
      </c>
      <c r="C6749" t="n">
        <v>0.0071</v>
      </c>
    </row>
    <row r="6750">
      <c r="A6750" t="n">
        <v>104</v>
      </c>
      <c r="B6750" t="n">
        <v>1974</v>
      </c>
      <c r="C6750" t="n">
        <v>0.0071</v>
      </c>
    </row>
    <row r="6751">
      <c r="A6751" t="n">
        <v>104</v>
      </c>
      <c r="B6751" t="n">
        <v>1975</v>
      </c>
      <c r="C6751" t="n">
        <v>0.007</v>
      </c>
    </row>
    <row r="6752">
      <c r="A6752" t="n">
        <v>104</v>
      </c>
      <c r="B6752" t="n">
        <v>1976</v>
      </c>
      <c r="C6752" t="n">
        <v>0.0068</v>
      </c>
    </row>
    <row r="6753">
      <c r="A6753" t="n">
        <v>104</v>
      </c>
      <c r="B6753" t="n">
        <v>1977</v>
      </c>
      <c r="C6753" t="n">
        <v>0.0064</v>
      </c>
    </row>
    <row r="6754">
      <c r="A6754" t="n">
        <v>104</v>
      </c>
      <c r="B6754" t="n">
        <v>1978</v>
      </c>
      <c r="C6754" t="n">
        <v>0.0058</v>
      </c>
    </row>
    <row r="6755">
      <c r="A6755" t="n">
        <v>104</v>
      </c>
      <c r="B6755" t="n">
        <v>1979</v>
      </c>
      <c r="C6755" t="n">
        <v>0.0051</v>
      </c>
    </row>
    <row r="6756">
      <c r="A6756" t="n">
        <v>104</v>
      </c>
      <c r="B6756" t="n">
        <v>1980</v>
      </c>
      <c r="C6756" t="n">
        <v>0.0044</v>
      </c>
    </row>
    <row r="6757">
      <c r="A6757" t="n">
        <v>104</v>
      </c>
      <c r="B6757" t="n">
        <v>1981</v>
      </c>
      <c r="C6757" t="n">
        <v>0.0035</v>
      </c>
    </row>
    <row r="6758">
      <c r="A6758" t="n">
        <v>104</v>
      </c>
      <c r="B6758" t="n">
        <v>1982</v>
      </c>
      <c r="C6758" t="n">
        <v>0.0026</v>
      </c>
    </row>
    <row r="6759">
      <c r="A6759" t="n">
        <v>104</v>
      </c>
      <c r="B6759" t="n">
        <v>1983</v>
      </c>
      <c r="C6759" t="n">
        <v>0.0016</v>
      </c>
    </row>
    <row r="6760">
      <c r="A6760" t="n">
        <v>104</v>
      </c>
      <c r="B6760" t="n">
        <v>1984</v>
      </c>
      <c r="C6760" t="n">
        <v>0.0005999999999999999</v>
      </c>
    </row>
    <row r="6761">
      <c r="A6761" t="n">
        <v>104</v>
      </c>
      <c r="B6761" t="n">
        <v>1985</v>
      </c>
      <c r="C6761" t="n">
        <v>-0.0003</v>
      </c>
    </row>
    <row r="6762">
      <c r="A6762" t="n">
        <v>104</v>
      </c>
      <c r="B6762" t="n">
        <v>1986</v>
      </c>
      <c r="C6762" t="n">
        <v>-0.0012</v>
      </c>
    </row>
    <row r="6763">
      <c r="A6763" t="n">
        <v>104</v>
      </c>
      <c r="B6763" t="n">
        <v>1987</v>
      </c>
      <c r="C6763" t="n">
        <v>-0.0021</v>
      </c>
    </row>
    <row r="6764">
      <c r="A6764" t="n">
        <v>104</v>
      </c>
      <c r="B6764" t="n">
        <v>1988</v>
      </c>
      <c r="C6764" t="n">
        <v>-0.0028</v>
      </c>
    </row>
    <row r="6765">
      <c r="A6765" t="n">
        <v>104</v>
      </c>
      <c r="B6765" t="n">
        <v>1989</v>
      </c>
      <c r="C6765" t="n">
        <v>-0.0035</v>
      </c>
    </row>
    <row r="6766">
      <c r="A6766" t="n">
        <v>104</v>
      </c>
      <c r="B6766" t="n">
        <v>1990</v>
      </c>
      <c r="C6766" t="n">
        <v>-0.0041</v>
      </c>
    </row>
    <row r="6767">
      <c r="A6767" t="n">
        <v>104</v>
      </c>
      <c r="B6767" t="n">
        <v>1991</v>
      </c>
      <c r="C6767" t="n">
        <v>-0.0045</v>
      </c>
    </row>
    <row r="6768">
      <c r="A6768" t="n">
        <v>104</v>
      </c>
      <c r="B6768" t="n">
        <v>1992</v>
      </c>
      <c r="C6768" t="n">
        <v>-0.0048</v>
      </c>
    </row>
    <row r="6769">
      <c r="A6769" t="n">
        <v>104</v>
      </c>
      <c r="B6769" t="n">
        <v>1993</v>
      </c>
      <c r="C6769" t="n">
        <v>-0.005</v>
      </c>
    </row>
    <row r="6770">
      <c r="A6770" t="n">
        <v>104</v>
      </c>
      <c r="B6770" t="n">
        <v>1994</v>
      </c>
      <c r="C6770" t="n">
        <v>-0.005</v>
      </c>
    </row>
    <row r="6771">
      <c r="A6771" t="n">
        <v>104</v>
      </c>
      <c r="B6771" t="n">
        <v>1995</v>
      </c>
      <c r="C6771" t="n">
        <v>-0.0049</v>
      </c>
    </row>
    <row r="6772">
      <c r="A6772" t="n">
        <v>104</v>
      </c>
      <c r="B6772" t="n">
        <v>1996</v>
      </c>
      <c r="C6772" t="n">
        <v>-0.0046</v>
      </c>
    </row>
    <row r="6773">
      <c r="A6773" t="n">
        <v>104</v>
      </c>
      <c r="B6773" t="n">
        <v>1997</v>
      </c>
      <c r="C6773" t="n">
        <v>-0.0042</v>
      </c>
    </row>
    <row r="6774">
      <c r="A6774" t="n">
        <v>104</v>
      </c>
      <c r="B6774" t="n">
        <v>1998</v>
      </c>
      <c r="C6774" t="n">
        <v>-0.0037</v>
      </c>
    </row>
    <row r="6775">
      <c r="A6775" t="n">
        <v>104</v>
      </c>
      <c r="B6775" t="n">
        <v>1999</v>
      </c>
      <c r="C6775" t="n">
        <v>-0.0031</v>
      </c>
    </row>
    <row r="6776">
      <c r="A6776" t="n">
        <v>104</v>
      </c>
      <c r="B6776" t="n">
        <v>2000</v>
      </c>
      <c r="C6776" t="n">
        <v>-0.0023</v>
      </c>
    </row>
    <row r="6777">
      <c r="A6777" t="n">
        <v>104</v>
      </c>
      <c r="B6777" t="n">
        <v>2001</v>
      </c>
      <c r="C6777" t="n">
        <v>-0.0015</v>
      </c>
    </row>
    <row r="6778">
      <c r="A6778" t="n">
        <v>104</v>
      </c>
      <c r="B6778" t="n">
        <v>2002</v>
      </c>
      <c r="C6778" t="n">
        <v>-0.0005999999999999999</v>
      </c>
    </row>
    <row r="6779">
      <c r="A6779" t="n">
        <v>104</v>
      </c>
      <c r="B6779" t="n">
        <v>2003</v>
      </c>
      <c r="C6779" t="n">
        <v>0.0003</v>
      </c>
    </row>
    <row r="6780">
      <c r="A6780" t="n">
        <v>104</v>
      </c>
      <c r="B6780" t="n">
        <v>2004</v>
      </c>
      <c r="C6780" t="n">
        <v>0.0012</v>
      </c>
    </row>
    <row r="6781">
      <c r="A6781" t="n">
        <v>104</v>
      </c>
      <c r="B6781" t="n">
        <v>2005</v>
      </c>
      <c r="C6781" t="n">
        <v>0.002</v>
      </c>
    </row>
    <row r="6782">
      <c r="A6782" t="n">
        <v>104</v>
      </c>
      <c r="B6782" t="n">
        <v>2006</v>
      </c>
      <c r="C6782" t="n">
        <v>0.0028</v>
      </c>
    </row>
    <row r="6783">
      <c r="A6783" t="n">
        <v>104</v>
      </c>
      <c r="B6783" t="n">
        <v>2007</v>
      </c>
      <c r="C6783" t="n">
        <v>0.0036</v>
      </c>
    </row>
    <row r="6784">
      <c r="A6784" t="n">
        <v>104</v>
      </c>
      <c r="B6784" t="n">
        <v>2008</v>
      </c>
      <c r="C6784" t="n">
        <v>0.0043</v>
      </c>
    </row>
    <row r="6785">
      <c r="A6785" t="n">
        <v>104</v>
      </c>
      <c r="B6785" t="n">
        <v>2009</v>
      </c>
      <c r="C6785" t="n">
        <v>0.0049</v>
      </c>
    </row>
    <row r="6786">
      <c r="A6786" t="n">
        <v>104</v>
      </c>
      <c r="B6786" t="n">
        <v>2010</v>
      </c>
      <c r="C6786" t="n">
        <v>0.0055</v>
      </c>
    </row>
    <row r="6787">
      <c r="A6787" t="n">
        <v>104</v>
      </c>
      <c r="B6787" t="n">
        <v>2011</v>
      </c>
      <c r="C6787" t="n">
        <v>0.006</v>
      </c>
    </row>
    <row r="6788">
      <c r="A6788" t="n">
        <v>104</v>
      </c>
      <c r="B6788" t="n">
        <v>2012</v>
      </c>
      <c r="C6788" t="n">
        <v>0.0065</v>
      </c>
    </row>
    <row r="6789">
      <c r="A6789" t="n">
        <v>104</v>
      </c>
      <c r="B6789" t="n">
        <v>2013</v>
      </c>
      <c r="C6789" t="n">
        <v>0.0063</v>
      </c>
    </row>
    <row r="6790">
      <c r="A6790" t="n">
        <v>104</v>
      </c>
      <c r="B6790" t="n">
        <v>2014</v>
      </c>
      <c r="C6790" t="n">
        <v>0.006</v>
      </c>
    </row>
    <row r="6791">
      <c r="A6791" t="n">
        <v>104</v>
      </c>
      <c r="B6791" t="n">
        <v>2015</v>
      </c>
      <c r="C6791" t="n">
        <v>0.0057</v>
      </c>
    </row>
    <row r="6792">
      <c r="A6792" t="n">
        <v>104</v>
      </c>
      <c r="B6792" t="n">
        <v>2016</v>
      </c>
      <c r="C6792" t="n">
        <v>0.0055</v>
      </c>
    </row>
    <row r="6793">
      <c r="A6793" t="n">
        <v>104</v>
      </c>
      <c r="B6793" t="n">
        <v>2017</v>
      </c>
      <c r="C6793" t="n">
        <v>0.0052</v>
      </c>
    </row>
    <row r="6794">
      <c r="A6794" t="n">
        <v>104</v>
      </c>
      <c r="B6794" t="n">
        <v>2018</v>
      </c>
      <c r="C6794" t="n">
        <v>0.0049</v>
      </c>
    </row>
    <row r="6795">
      <c r="A6795" t="n">
        <v>104</v>
      </c>
      <c r="B6795" t="n">
        <v>2019</v>
      </c>
      <c r="C6795" t="n">
        <v>0.0047</v>
      </c>
    </row>
    <row r="6796">
      <c r="A6796" t="n">
        <v>104</v>
      </c>
      <c r="B6796" t="n">
        <v>2020</v>
      </c>
      <c r="C6796" t="n">
        <v>0.0045</v>
      </c>
    </row>
    <row r="6797">
      <c r="A6797" t="n">
        <v>104</v>
      </c>
      <c r="B6797" t="n">
        <v>2021</v>
      </c>
      <c r="C6797" t="n">
        <v>0.0044</v>
      </c>
    </row>
    <row r="6798">
      <c r="A6798" t="n">
        <v>104</v>
      </c>
      <c r="B6798" t="n">
        <v>2022</v>
      </c>
      <c r="C6798" t="n">
        <v>0.0044</v>
      </c>
    </row>
    <row r="6799">
      <c r="A6799" t="n">
        <v>104</v>
      </c>
      <c r="B6799" t="n">
        <v>2023</v>
      </c>
      <c r="C6799" t="n">
        <v>0.0043</v>
      </c>
    </row>
    <row r="6800">
      <c r="A6800" t="n">
        <v>104</v>
      </c>
      <c r="B6800" t="n">
        <v>2024</v>
      </c>
      <c r="C6800" t="n">
        <v>0.0043</v>
      </c>
    </row>
    <row r="6801">
      <c r="A6801" t="n">
        <v>104</v>
      </c>
      <c r="B6801" t="n">
        <v>2025</v>
      </c>
      <c r="C6801" t="n">
        <v>0.0043</v>
      </c>
    </row>
    <row r="6802">
      <c r="A6802" t="n">
        <v>104</v>
      </c>
      <c r="B6802" t="n">
        <v>2026</v>
      </c>
      <c r="C6802" t="n">
        <v>0.0043</v>
      </c>
    </row>
    <row r="6803">
      <c r="A6803" t="n">
        <v>104</v>
      </c>
      <c r="B6803" t="n">
        <v>2027</v>
      </c>
      <c r="C6803" t="n">
        <v>0.0043</v>
      </c>
    </row>
    <row r="6804">
      <c r="A6804" t="n">
        <v>104</v>
      </c>
      <c r="B6804" t="n">
        <v>2028</v>
      </c>
      <c r="C6804" t="n">
        <v>0.0044</v>
      </c>
    </row>
    <row r="6805">
      <c r="A6805" t="n">
        <v>104</v>
      </c>
      <c r="B6805" t="n">
        <v>2029</v>
      </c>
      <c r="C6805" t="n">
        <v>0.0044</v>
      </c>
    </row>
    <row r="6806">
      <c r="A6806" t="n">
        <v>104</v>
      </c>
      <c r="B6806" t="n">
        <v>2030</v>
      </c>
      <c r="C6806" t="n">
        <v>0.0045</v>
      </c>
    </row>
    <row r="6807">
      <c r="A6807" t="n">
        <v>104</v>
      </c>
      <c r="B6807" t="n">
        <v>2031</v>
      </c>
      <c r="C6807" t="n">
        <v>0.0046</v>
      </c>
    </row>
    <row r="6808">
      <c r="A6808" t="n">
        <v>105</v>
      </c>
      <c r="B6808" t="n">
        <v>1951</v>
      </c>
      <c r="C6808" t="n">
        <v>-0.0095</v>
      </c>
    </row>
    <row r="6809">
      <c r="A6809" t="n">
        <v>105</v>
      </c>
      <c r="B6809" t="n">
        <v>1952</v>
      </c>
      <c r="C6809" t="n">
        <v>-0.008800000000000001</v>
      </c>
    </row>
    <row r="6810">
      <c r="A6810" t="n">
        <v>105</v>
      </c>
      <c r="B6810" t="n">
        <v>1953</v>
      </c>
      <c r="C6810" t="n">
        <v>-0.0081</v>
      </c>
    </row>
    <row r="6811">
      <c r="A6811" t="n">
        <v>105</v>
      </c>
      <c r="B6811" t="n">
        <v>1954</v>
      </c>
      <c r="C6811" t="n">
        <v>-0.0074</v>
      </c>
    </row>
    <row r="6812">
      <c r="A6812" t="n">
        <v>105</v>
      </c>
      <c r="B6812" t="n">
        <v>1955</v>
      </c>
      <c r="C6812" t="n">
        <v>-0.0067</v>
      </c>
    </row>
    <row r="6813">
      <c r="A6813" t="n">
        <v>105</v>
      </c>
      <c r="B6813" t="n">
        <v>1956</v>
      </c>
      <c r="C6813" t="n">
        <v>-0.006</v>
      </c>
    </row>
    <row r="6814">
      <c r="A6814" t="n">
        <v>105</v>
      </c>
      <c r="B6814" t="n">
        <v>1957</v>
      </c>
      <c r="C6814" t="n">
        <v>-0.0052</v>
      </c>
    </row>
    <row r="6815">
      <c r="A6815" t="n">
        <v>105</v>
      </c>
      <c r="B6815" t="n">
        <v>1958</v>
      </c>
      <c r="C6815" t="n">
        <v>-0.0045</v>
      </c>
    </row>
    <row r="6816">
      <c r="A6816" t="n">
        <v>105</v>
      </c>
      <c r="B6816" t="n">
        <v>1959</v>
      </c>
      <c r="C6816" t="n">
        <v>-0.0036</v>
      </c>
    </row>
    <row r="6817">
      <c r="A6817" t="n">
        <v>105</v>
      </c>
      <c r="B6817" t="n">
        <v>1960</v>
      </c>
      <c r="C6817" t="n">
        <v>-0.0028</v>
      </c>
    </row>
    <row r="6818">
      <c r="A6818" t="n">
        <v>105</v>
      </c>
      <c r="B6818" t="n">
        <v>1961</v>
      </c>
      <c r="C6818" t="n">
        <v>-0.0019</v>
      </c>
    </row>
    <row r="6819">
      <c r="A6819" t="n">
        <v>105</v>
      </c>
      <c r="B6819" t="n">
        <v>1962</v>
      </c>
      <c r="C6819" t="n">
        <v>-0.001</v>
      </c>
    </row>
    <row r="6820">
      <c r="A6820" t="n">
        <v>105</v>
      </c>
      <c r="B6820" t="n">
        <v>1963</v>
      </c>
      <c r="C6820" t="n">
        <v>-0.0001</v>
      </c>
    </row>
    <row r="6821">
      <c r="A6821" t="n">
        <v>105</v>
      </c>
      <c r="B6821" t="n">
        <v>1964</v>
      </c>
      <c r="C6821" t="n">
        <v>0.0009</v>
      </c>
    </row>
    <row r="6822">
      <c r="A6822" t="n">
        <v>105</v>
      </c>
      <c r="B6822" t="n">
        <v>1965</v>
      </c>
      <c r="C6822" t="n">
        <v>0.0018</v>
      </c>
    </row>
    <row r="6823">
      <c r="A6823" t="n">
        <v>105</v>
      </c>
      <c r="B6823" t="n">
        <v>1966</v>
      </c>
      <c r="C6823" t="n">
        <v>0.0027</v>
      </c>
    </row>
    <row r="6824">
      <c r="A6824" t="n">
        <v>105</v>
      </c>
      <c r="B6824" t="n">
        <v>1967</v>
      </c>
      <c r="C6824" t="n">
        <v>0.0035</v>
      </c>
    </row>
    <row r="6825">
      <c r="A6825" t="n">
        <v>105</v>
      </c>
      <c r="B6825" t="n">
        <v>1968</v>
      </c>
      <c r="C6825" t="n">
        <v>0.0043</v>
      </c>
    </row>
    <row r="6826">
      <c r="A6826" t="n">
        <v>105</v>
      </c>
      <c r="B6826" t="n">
        <v>1969</v>
      </c>
      <c r="C6826" t="n">
        <v>0.0049</v>
      </c>
    </row>
    <row r="6827">
      <c r="A6827" t="n">
        <v>105</v>
      </c>
      <c r="B6827" t="n">
        <v>1970</v>
      </c>
      <c r="C6827" t="n">
        <v>0.0055</v>
      </c>
    </row>
    <row r="6828">
      <c r="A6828" t="n">
        <v>105</v>
      </c>
      <c r="B6828" t="n">
        <v>1971</v>
      </c>
      <c r="C6828" t="n">
        <v>0.006</v>
      </c>
    </row>
    <row r="6829">
      <c r="A6829" t="n">
        <v>105</v>
      </c>
      <c r="B6829" t="n">
        <v>1972</v>
      </c>
      <c r="C6829" t="n">
        <v>0.0063</v>
      </c>
    </row>
    <row r="6830">
      <c r="A6830" t="n">
        <v>105</v>
      </c>
      <c r="B6830" t="n">
        <v>1973</v>
      </c>
      <c r="C6830" t="n">
        <v>0.0065</v>
      </c>
    </row>
    <row r="6831">
      <c r="A6831" t="n">
        <v>105</v>
      </c>
      <c r="B6831" t="n">
        <v>1974</v>
      </c>
      <c r="C6831" t="n">
        <v>0.0065</v>
      </c>
    </row>
    <row r="6832">
      <c r="A6832" t="n">
        <v>105</v>
      </c>
      <c r="B6832" t="n">
        <v>1975</v>
      </c>
      <c r="C6832" t="n">
        <v>0.0064</v>
      </c>
    </row>
    <row r="6833">
      <c r="A6833" t="n">
        <v>105</v>
      </c>
      <c r="B6833" t="n">
        <v>1976</v>
      </c>
      <c r="C6833" t="n">
        <v>0.0062</v>
      </c>
    </row>
    <row r="6834">
      <c r="A6834" t="n">
        <v>105</v>
      </c>
      <c r="B6834" t="n">
        <v>1977</v>
      </c>
      <c r="C6834" t="n">
        <v>0.0058</v>
      </c>
    </row>
    <row r="6835">
      <c r="A6835" t="n">
        <v>105</v>
      </c>
      <c r="B6835" t="n">
        <v>1978</v>
      </c>
      <c r="C6835" t="n">
        <v>0.0053</v>
      </c>
    </row>
    <row r="6836">
      <c r="A6836" t="n">
        <v>105</v>
      </c>
      <c r="B6836" t="n">
        <v>1979</v>
      </c>
      <c r="C6836" t="n">
        <v>0.0047</v>
      </c>
    </row>
    <row r="6837">
      <c r="A6837" t="n">
        <v>105</v>
      </c>
      <c r="B6837" t="n">
        <v>1980</v>
      </c>
      <c r="C6837" t="n">
        <v>0.004</v>
      </c>
    </row>
    <row r="6838">
      <c r="A6838" t="n">
        <v>105</v>
      </c>
      <c r="B6838" t="n">
        <v>1981</v>
      </c>
      <c r="C6838" t="n">
        <v>0.0032</v>
      </c>
    </row>
    <row r="6839">
      <c r="A6839" t="n">
        <v>105</v>
      </c>
      <c r="B6839" t="n">
        <v>1982</v>
      </c>
      <c r="C6839" t="n">
        <v>0.0023</v>
      </c>
    </row>
    <row r="6840">
      <c r="A6840" t="n">
        <v>105</v>
      </c>
      <c r="B6840" t="n">
        <v>1983</v>
      </c>
      <c r="C6840" t="n">
        <v>0.0015</v>
      </c>
    </row>
    <row r="6841">
      <c r="A6841" t="n">
        <v>105</v>
      </c>
      <c r="B6841" t="n">
        <v>1984</v>
      </c>
      <c r="C6841" t="n">
        <v>0.0005999999999999999</v>
      </c>
    </row>
    <row r="6842">
      <c r="A6842" t="n">
        <v>105</v>
      </c>
      <c r="B6842" t="n">
        <v>1985</v>
      </c>
      <c r="C6842" t="n">
        <v>-0.0003</v>
      </c>
    </row>
    <row r="6843">
      <c r="A6843" t="n">
        <v>105</v>
      </c>
      <c r="B6843" t="n">
        <v>1986</v>
      </c>
      <c r="C6843" t="n">
        <v>-0.0011</v>
      </c>
    </row>
    <row r="6844">
      <c r="A6844" t="n">
        <v>105</v>
      </c>
      <c r="B6844" t="n">
        <v>1987</v>
      </c>
      <c r="C6844" t="n">
        <v>-0.0019</v>
      </c>
    </row>
    <row r="6845">
      <c r="A6845" t="n">
        <v>105</v>
      </c>
      <c r="B6845" t="n">
        <v>1988</v>
      </c>
      <c r="C6845" t="n">
        <v>-0.0026</v>
      </c>
    </row>
    <row r="6846">
      <c r="A6846" t="n">
        <v>105</v>
      </c>
      <c r="B6846" t="n">
        <v>1989</v>
      </c>
      <c r="C6846" t="n">
        <v>-0.0032</v>
      </c>
    </row>
    <row r="6847">
      <c r="A6847" t="n">
        <v>105</v>
      </c>
      <c r="B6847" t="n">
        <v>1990</v>
      </c>
      <c r="C6847" t="n">
        <v>-0.0037</v>
      </c>
    </row>
    <row r="6848">
      <c r="A6848" t="n">
        <v>105</v>
      </c>
      <c r="B6848" t="n">
        <v>1991</v>
      </c>
      <c r="C6848" t="n">
        <v>-0.0041</v>
      </c>
    </row>
    <row r="6849">
      <c r="A6849" t="n">
        <v>105</v>
      </c>
      <c r="B6849" t="n">
        <v>1992</v>
      </c>
      <c r="C6849" t="n">
        <v>-0.0044</v>
      </c>
    </row>
    <row r="6850">
      <c r="A6850" t="n">
        <v>105</v>
      </c>
      <c r="B6850" t="n">
        <v>1993</v>
      </c>
      <c r="C6850" t="n">
        <v>-0.0045</v>
      </c>
    </row>
    <row r="6851">
      <c r="A6851" t="n">
        <v>105</v>
      </c>
      <c r="B6851" t="n">
        <v>1994</v>
      </c>
      <c r="C6851" t="n">
        <v>-0.0046</v>
      </c>
    </row>
    <row r="6852">
      <c r="A6852" t="n">
        <v>105</v>
      </c>
      <c r="B6852" t="n">
        <v>1995</v>
      </c>
      <c r="C6852" t="n">
        <v>-0.0045</v>
      </c>
    </row>
    <row r="6853">
      <c r="A6853" t="n">
        <v>105</v>
      </c>
      <c r="B6853" t="n">
        <v>1996</v>
      </c>
      <c r="C6853" t="n">
        <v>-0.0042</v>
      </c>
    </row>
    <row r="6854">
      <c r="A6854" t="n">
        <v>105</v>
      </c>
      <c r="B6854" t="n">
        <v>1997</v>
      </c>
      <c r="C6854" t="n">
        <v>-0.0039</v>
      </c>
    </row>
    <row r="6855">
      <c r="A6855" t="n">
        <v>105</v>
      </c>
      <c r="B6855" t="n">
        <v>1998</v>
      </c>
      <c r="C6855" t="n">
        <v>-0.0034</v>
      </c>
    </row>
    <row r="6856">
      <c r="A6856" t="n">
        <v>105</v>
      </c>
      <c r="B6856" t="n">
        <v>1999</v>
      </c>
      <c r="C6856" t="n">
        <v>-0.0028</v>
      </c>
    </row>
    <row r="6857">
      <c r="A6857" t="n">
        <v>105</v>
      </c>
      <c r="B6857" t="n">
        <v>2000</v>
      </c>
      <c r="C6857" t="n">
        <v>-0.0021</v>
      </c>
    </row>
    <row r="6858">
      <c r="A6858" t="n">
        <v>105</v>
      </c>
      <c r="B6858" t="n">
        <v>2001</v>
      </c>
      <c r="C6858" t="n">
        <v>-0.0014</v>
      </c>
    </row>
    <row r="6859">
      <c r="A6859" t="n">
        <v>105</v>
      </c>
      <c r="B6859" t="n">
        <v>2002</v>
      </c>
      <c r="C6859" t="n">
        <v>-0.0005999999999999999</v>
      </c>
    </row>
    <row r="6860">
      <c r="A6860" t="n">
        <v>105</v>
      </c>
      <c r="B6860" t="n">
        <v>2003</v>
      </c>
      <c r="C6860" t="n">
        <v>0.0002</v>
      </c>
    </row>
    <row r="6861">
      <c r="A6861" t="n">
        <v>105</v>
      </c>
      <c r="B6861" t="n">
        <v>2004</v>
      </c>
      <c r="C6861" t="n">
        <v>0.001</v>
      </c>
    </row>
    <row r="6862">
      <c r="A6862" t="n">
        <v>105</v>
      </c>
      <c r="B6862" t="n">
        <v>2005</v>
      </c>
      <c r="C6862" t="n">
        <v>0.0018</v>
      </c>
    </row>
    <row r="6863">
      <c r="A6863" t="n">
        <v>105</v>
      </c>
      <c r="B6863" t="n">
        <v>2006</v>
      </c>
      <c r="C6863" t="n">
        <v>0.0026</v>
      </c>
    </row>
    <row r="6864">
      <c r="A6864" t="n">
        <v>105</v>
      </c>
      <c r="B6864" t="n">
        <v>2007</v>
      </c>
      <c r="C6864" t="n">
        <v>0.0032</v>
      </c>
    </row>
    <row r="6865">
      <c r="A6865" t="n">
        <v>105</v>
      </c>
      <c r="B6865" t="n">
        <v>2008</v>
      </c>
      <c r="C6865" t="n">
        <v>0.0039</v>
      </c>
    </row>
    <row r="6866">
      <c r="A6866" t="n">
        <v>105</v>
      </c>
      <c r="B6866" t="n">
        <v>2009</v>
      </c>
      <c r="C6866" t="n">
        <v>0.0044</v>
      </c>
    </row>
    <row r="6867">
      <c r="A6867" t="n">
        <v>105</v>
      </c>
      <c r="B6867" t="n">
        <v>2010</v>
      </c>
      <c r="C6867" t="n">
        <v>0.005</v>
      </c>
    </row>
    <row r="6868">
      <c r="A6868" t="n">
        <v>105</v>
      </c>
      <c r="B6868" t="n">
        <v>2011</v>
      </c>
      <c r="C6868" t="n">
        <v>0.0054</v>
      </c>
    </row>
    <row r="6869">
      <c r="A6869" t="n">
        <v>105</v>
      </c>
      <c r="B6869" t="n">
        <v>2012</v>
      </c>
      <c r="C6869" t="n">
        <v>0.0059</v>
      </c>
    </row>
    <row r="6870">
      <c r="A6870" t="n">
        <v>105</v>
      </c>
      <c r="B6870" t="n">
        <v>2013</v>
      </c>
      <c r="C6870" t="n">
        <v>0.0057</v>
      </c>
    </row>
    <row r="6871">
      <c r="A6871" t="n">
        <v>105</v>
      </c>
      <c r="B6871" t="n">
        <v>2014</v>
      </c>
      <c r="C6871" t="n">
        <v>0.0055</v>
      </c>
    </row>
    <row r="6872">
      <c r="A6872" t="n">
        <v>105</v>
      </c>
      <c r="B6872" t="n">
        <v>2015</v>
      </c>
      <c r="C6872" t="n">
        <v>0.0052</v>
      </c>
    </row>
    <row r="6873">
      <c r="A6873" t="n">
        <v>105</v>
      </c>
      <c r="B6873" t="n">
        <v>2016</v>
      </c>
      <c r="C6873" t="n">
        <v>0.005</v>
      </c>
    </row>
    <row r="6874">
      <c r="A6874" t="n">
        <v>105</v>
      </c>
      <c r="B6874" t="n">
        <v>2017</v>
      </c>
      <c r="C6874" t="n">
        <v>0.0047</v>
      </c>
    </row>
    <row r="6875">
      <c r="A6875" t="n">
        <v>105</v>
      </c>
      <c r="B6875" t="n">
        <v>2018</v>
      </c>
      <c r="C6875" t="n">
        <v>0.0045</v>
      </c>
    </row>
    <row r="6876">
      <c r="A6876" t="n">
        <v>105</v>
      </c>
      <c r="B6876" t="n">
        <v>2019</v>
      </c>
      <c r="C6876" t="n">
        <v>0.0043</v>
      </c>
    </row>
    <row r="6877">
      <c r="A6877" t="n">
        <v>105</v>
      </c>
      <c r="B6877" t="n">
        <v>2020</v>
      </c>
      <c r="C6877" t="n">
        <v>0.0041</v>
      </c>
    </row>
    <row r="6878">
      <c r="A6878" t="n">
        <v>105</v>
      </c>
      <c r="B6878" t="n">
        <v>2021</v>
      </c>
      <c r="C6878" t="n">
        <v>0.004</v>
      </c>
    </row>
    <row r="6879">
      <c r="A6879" t="n">
        <v>105</v>
      </c>
      <c r="B6879" t="n">
        <v>2022</v>
      </c>
      <c r="C6879" t="n">
        <v>0.004</v>
      </c>
    </row>
    <row r="6880">
      <c r="A6880" t="n">
        <v>105</v>
      </c>
      <c r="B6880" t="n">
        <v>2023</v>
      </c>
      <c r="C6880" t="n">
        <v>0.0039</v>
      </c>
    </row>
    <row r="6881">
      <c r="A6881" t="n">
        <v>105</v>
      </c>
      <c r="B6881" t="n">
        <v>2024</v>
      </c>
      <c r="C6881" t="n">
        <v>0.0039</v>
      </c>
    </row>
    <row r="6882">
      <c r="A6882" t="n">
        <v>105</v>
      </c>
      <c r="B6882" t="n">
        <v>2025</v>
      </c>
      <c r="C6882" t="n">
        <v>0.0039</v>
      </c>
    </row>
    <row r="6883">
      <c r="A6883" t="n">
        <v>105</v>
      </c>
      <c r="B6883" t="n">
        <v>2026</v>
      </c>
      <c r="C6883" t="n">
        <v>0.0039</v>
      </c>
    </row>
    <row r="6884">
      <c r="A6884" t="n">
        <v>105</v>
      </c>
      <c r="B6884" t="n">
        <v>2027</v>
      </c>
      <c r="C6884" t="n">
        <v>0.0039</v>
      </c>
    </row>
    <row r="6885">
      <c r="A6885" t="n">
        <v>105</v>
      </c>
      <c r="B6885" t="n">
        <v>2028</v>
      </c>
      <c r="C6885" t="n">
        <v>0.004</v>
      </c>
    </row>
    <row r="6886">
      <c r="A6886" t="n">
        <v>105</v>
      </c>
      <c r="B6886" t="n">
        <v>2029</v>
      </c>
      <c r="C6886" t="n">
        <v>0.004</v>
      </c>
    </row>
    <row r="6887">
      <c r="A6887" t="n">
        <v>105</v>
      </c>
      <c r="B6887" t="n">
        <v>2030</v>
      </c>
      <c r="C6887" t="n">
        <v>0.0041</v>
      </c>
    </row>
    <row r="6888">
      <c r="A6888" t="n">
        <v>105</v>
      </c>
      <c r="B6888" t="n">
        <v>2031</v>
      </c>
      <c r="C6888" t="n">
        <v>0.0042</v>
      </c>
    </row>
    <row r="6889">
      <c r="A6889" t="n">
        <v>106</v>
      </c>
      <c r="B6889" t="n">
        <v>1951</v>
      </c>
      <c r="C6889" t="n">
        <v>-0.0086</v>
      </c>
    </row>
    <row r="6890">
      <c r="A6890" t="n">
        <v>106</v>
      </c>
      <c r="B6890" t="n">
        <v>1952</v>
      </c>
      <c r="C6890" t="n">
        <v>-0.008</v>
      </c>
    </row>
    <row r="6891">
      <c r="A6891" t="n">
        <v>106</v>
      </c>
      <c r="B6891" t="n">
        <v>1953</v>
      </c>
      <c r="C6891" t="n">
        <v>-0.0073</v>
      </c>
    </row>
    <row r="6892">
      <c r="A6892" t="n">
        <v>106</v>
      </c>
      <c r="B6892" t="n">
        <v>1954</v>
      </c>
      <c r="C6892" t="n">
        <v>-0.0067</v>
      </c>
    </row>
    <row r="6893">
      <c r="A6893" t="n">
        <v>106</v>
      </c>
      <c r="B6893" t="n">
        <v>1955</v>
      </c>
      <c r="C6893" t="n">
        <v>-0.0061</v>
      </c>
    </row>
    <row r="6894">
      <c r="A6894" t="n">
        <v>106</v>
      </c>
      <c r="B6894" t="n">
        <v>1956</v>
      </c>
      <c r="C6894" t="n">
        <v>-0.0054</v>
      </c>
    </row>
    <row r="6895">
      <c r="A6895" t="n">
        <v>106</v>
      </c>
      <c r="B6895" t="n">
        <v>1957</v>
      </c>
      <c r="C6895" t="n">
        <v>-0.0047</v>
      </c>
    </row>
    <row r="6896">
      <c r="A6896" t="n">
        <v>106</v>
      </c>
      <c r="B6896" t="n">
        <v>1958</v>
      </c>
      <c r="C6896" t="n">
        <v>-0.004</v>
      </c>
    </row>
    <row r="6897">
      <c r="A6897" t="n">
        <v>106</v>
      </c>
      <c r="B6897" t="n">
        <v>1959</v>
      </c>
      <c r="C6897" t="n">
        <v>-0.0033</v>
      </c>
    </row>
    <row r="6898">
      <c r="A6898" t="n">
        <v>106</v>
      </c>
      <c r="B6898" t="n">
        <v>1960</v>
      </c>
      <c r="C6898" t="n">
        <v>-0.0025</v>
      </c>
    </row>
    <row r="6899">
      <c r="A6899" t="n">
        <v>106</v>
      </c>
      <c r="B6899" t="n">
        <v>1961</v>
      </c>
      <c r="C6899" t="n">
        <v>-0.0017</v>
      </c>
    </row>
    <row r="6900">
      <c r="A6900" t="n">
        <v>106</v>
      </c>
      <c r="B6900" t="n">
        <v>1962</v>
      </c>
      <c r="C6900" t="n">
        <v>-0.0009</v>
      </c>
    </row>
    <row r="6901">
      <c r="A6901" t="n">
        <v>106</v>
      </c>
      <c r="B6901" t="n">
        <v>1963</v>
      </c>
      <c r="C6901" t="n">
        <v>-0.0001</v>
      </c>
    </row>
    <row r="6902">
      <c r="A6902" t="n">
        <v>106</v>
      </c>
      <c r="B6902" t="n">
        <v>1964</v>
      </c>
      <c r="C6902" t="n">
        <v>0.0008</v>
      </c>
    </row>
    <row r="6903">
      <c r="A6903" t="n">
        <v>106</v>
      </c>
      <c r="B6903" t="n">
        <v>1965</v>
      </c>
      <c r="C6903" t="n">
        <v>0.0016</v>
      </c>
    </row>
    <row r="6904">
      <c r="A6904" t="n">
        <v>106</v>
      </c>
      <c r="B6904" t="n">
        <v>1966</v>
      </c>
      <c r="C6904" t="n">
        <v>0.0024</v>
      </c>
    </row>
    <row r="6905">
      <c r="A6905" t="n">
        <v>106</v>
      </c>
      <c r="B6905" t="n">
        <v>1967</v>
      </c>
      <c r="C6905" t="n">
        <v>0.0032</v>
      </c>
    </row>
    <row r="6906">
      <c r="A6906" t="n">
        <v>106</v>
      </c>
      <c r="B6906" t="n">
        <v>1968</v>
      </c>
      <c r="C6906" t="n">
        <v>0.0038</v>
      </c>
    </row>
    <row r="6907">
      <c r="A6907" t="n">
        <v>106</v>
      </c>
      <c r="B6907" t="n">
        <v>1969</v>
      </c>
      <c r="C6907" t="n">
        <v>0.0044</v>
      </c>
    </row>
    <row r="6908">
      <c r="A6908" t="n">
        <v>106</v>
      </c>
      <c r="B6908" t="n">
        <v>1970</v>
      </c>
      <c r="C6908" t="n">
        <v>0.005</v>
      </c>
    </row>
    <row r="6909">
      <c r="A6909" t="n">
        <v>106</v>
      </c>
      <c r="B6909" t="n">
        <v>1971</v>
      </c>
      <c r="C6909" t="n">
        <v>0.0054</v>
      </c>
    </row>
    <row r="6910">
      <c r="A6910" t="n">
        <v>106</v>
      </c>
      <c r="B6910" t="n">
        <v>1972</v>
      </c>
      <c r="C6910" t="n">
        <v>0.0056</v>
      </c>
    </row>
    <row r="6911">
      <c r="A6911" t="n">
        <v>106</v>
      </c>
      <c r="B6911" t="n">
        <v>1973</v>
      </c>
      <c r="C6911" t="n">
        <v>0.0058</v>
      </c>
    </row>
    <row r="6912">
      <c r="A6912" t="n">
        <v>106</v>
      </c>
      <c r="B6912" t="n">
        <v>1974</v>
      </c>
      <c r="C6912" t="n">
        <v>0.0058</v>
      </c>
    </row>
    <row r="6913">
      <c r="A6913" t="n">
        <v>106</v>
      </c>
      <c r="B6913" t="n">
        <v>1975</v>
      </c>
      <c r="C6913" t="n">
        <v>0.0058</v>
      </c>
    </row>
    <row r="6914">
      <c r="A6914" t="n">
        <v>106</v>
      </c>
      <c r="B6914" t="n">
        <v>1976</v>
      </c>
      <c r="C6914" t="n">
        <v>0.0055</v>
      </c>
    </row>
    <row r="6915">
      <c r="A6915" t="n">
        <v>106</v>
      </c>
      <c r="B6915" t="n">
        <v>1977</v>
      </c>
      <c r="C6915" t="n">
        <v>0.0052</v>
      </c>
    </row>
    <row r="6916">
      <c r="A6916" t="n">
        <v>106</v>
      </c>
      <c r="B6916" t="n">
        <v>1978</v>
      </c>
      <c r="C6916" t="n">
        <v>0.0048</v>
      </c>
    </row>
    <row r="6917">
      <c r="A6917" t="n">
        <v>106</v>
      </c>
      <c r="B6917" t="n">
        <v>1979</v>
      </c>
      <c r="C6917" t="n">
        <v>0.0042</v>
      </c>
    </row>
    <row r="6918">
      <c r="A6918" t="n">
        <v>106</v>
      </c>
      <c r="B6918" t="n">
        <v>1980</v>
      </c>
      <c r="C6918" t="n">
        <v>0.0036</v>
      </c>
    </row>
    <row r="6919">
      <c r="A6919" t="n">
        <v>106</v>
      </c>
      <c r="B6919" t="n">
        <v>1981</v>
      </c>
      <c r="C6919" t="n">
        <v>0.0029</v>
      </c>
    </row>
    <row r="6920">
      <c r="A6920" t="n">
        <v>106</v>
      </c>
      <c r="B6920" t="n">
        <v>1982</v>
      </c>
      <c r="C6920" t="n">
        <v>0.0021</v>
      </c>
    </row>
    <row r="6921">
      <c r="A6921" t="n">
        <v>106</v>
      </c>
      <c r="B6921" t="n">
        <v>1983</v>
      </c>
      <c r="C6921" t="n">
        <v>0.0013</v>
      </c>
    </row>
    <row r="6922">
      <c r="A6922" t="n">
        <v>106</v>
      </c>
      <c r="B6922" t="n">
        <v>1984</v>
      </c>
      <c r="C6922" t="n">
        <v>0.0005</v>
      </c>
    </row>
    <row r="6923">
      <c r="A6923" t="n">
        <v>106</v>
      </c>
      <c r="B6923" t="n">
        <v>1985</v>
      </c>
      <c r="C6923" t="n">
        <v>-0.0003</v>
      </c>
    </row>
    <row r="6924">
      <c r="A6924" t="n">
        <v>106</v>
      </c>
      <c r="B6924" t="n">
        <v>1986</v>
      </c>
      <c r="C6924" t="n">
        <v>-0.001</v>
      </c>
    </row>
    <row r="6925">
      <c r="A6925" t="n">
        <v>106</v>
      </c>
      <c r="B6925" t="n">
        <v>1987</v>
      </c>
      <c r="C6925" t="n">
        <v>-0.0017</v>
      </c>
    </row>
    <row r="6926">
      <c r="A6926" t="n">
        <v>106</v>
      </c>
      <c r="B6926" t="n">
        <v>1988</v>
      </c>
      <c r="C6926" t="n">
        <v>-0.0023</v>
      </c>
    </row>
    <row r="6927">
      <c r="A6927" t="n">
        <v>106</v>
      </c>
      <c r="B6927" t="n">
        <v>1989</v>
      </c>
      <c r="C6927" t="n">
        <v>-0.0029</v>
      </c>
    </row>
    <row r="6928">
      <c r="A6928" t="n">
        <v>106</v>
      </c>
      <c r="B6928" t="n">
        <v>1990</v>
      </c>
      <c r="C6928" t="n">
        <v>-0.0033</v>
      </c>
    </row>
    <row r="6929">
      <c r="A6929" t="n">
        <v>106</v>
      </c>
      <c r="B6929" t="n">
        <v>1991</v>
      </c>
      <c r="C6929" t="n">
        <v>-0.0037</v>
      </c>
    </row>
    <row r="6930">
      <c r="A6930" t="n">
        <v>106</v>
      </c>
      <c r="B6930" t="n">
        <v>1992</v>
      </c>
      <c r="C6930" t="n">
        <v>-0.0039</v>
      </c>
    </row>
    <row r="6931">
      <c r="A6931" t="n">
        <v>106</v>
      </c>
      <c r="B6931" t="n">
        <v>1993</v>
      </c>
      <c r="C6931" t="n">
        <v>-0.0041</v>
      </c>
    </row>
    <row r="6932">
      <c r="A6932" t="n">
        <v>106</v>
      </c>
      <c r="B6932" t="n">
        <v>1994</v>
      </c>
      <c r="C6932" t="n">
        <v>-0.0041</v>
      </c>
    </row>
    <row r="6933">
      <c r="A6933" t="n">
        <v>106</v>
      </c>
      <c r="B6933" t="n">
        <v>1995</v>
      </c>
      <c r="C6933" t="n">
        <v>-0.004</v>
      </c>
    </row>
    <row r="6934">
      <c r="A6934" t="n">
        <v>106</v>
      </c>
      <c r="B6934" t="n">
        <v>1996</v>
      </c>
      <c r="C6934" t="n">
        <v>-0.0038</v>
      </c>
    </row>
    <row r="6935">
      <c r="A6935" t="n">
        <v>106</v>
      </c>
      <c r="B6935" t="n">
        <v>1997</v>
      </c>
      <c r="C6935" t="n">
        <v>-0.0035</v>
      </c>
    </row>
    <row r="6936">
      <c r="A6936" t="n">
        <v>106</v>
      </c>
      <c r="B6936" t="n">
        <v>1998</v>
      </c>
      <c r="C6936" t="n">
        <v>-0.003</v>
      </c>
    </row>
    <row r="6937">
      <c r="A6937" t="n">
        <v>106</v>
      </c>
      <c r="B6937" t="n">
        <v>1999</v>
      </c>
      <c r="C6937" t="n">
        <v>-0.0025</v>
      </c>
    </row>
    <row r="6938">
      <c r="A6938" t="n">
        <v>106</v>
      </c>
      <c r="B6938" t="n">
        <v>2000</v>
      </c>
      <c r="C6938" t="n">
        <v>-0.0019</v>
      </c>
    </row>
    <row r="6939">
      <c r="A6939" t="n">
        <v>106</v>
      </c>
      <c r="B6939" t="n">
        <v>2001</v>
      </c>
      <c r="C6939" t="n">
        <v>-0.0012</v>
      </c>
    </row>
    <row r="6940">
      <c r="A6940" t="n">
        <v>106</v>
      </c>
      <c r="B6940" t="n">
        <v>2002</v>
      </c>
      <c r="C6940" t="n">
        <v>-0.0005</v>
      </c>
    </row>
    <row r="6941">
      <c r="A6941" t="n">
        <v>106</v>
      </c>
      <c r="B6941" t="n">
        <v>2003</v>
      </c>
      <c r="C6941" t="n">
        <v>0.0002</v>
      </c>
    </row>
    <row r="6942">
      <c r="A6942" t="n">
        <v>106</v>
      </c>
      <c r="B6942" t="n">
        <v>2004</v>
      </c>
      <c r="C6942" t="n">
        <v>0.0009</v>
      </c>
    </row>
    <row r="6943">
      <c r="A6943" t="n">
        <v>106</v>
      </c>
      <c r="B6943" t="n">
        <v>2005</v>
      </c>
      <c r="C6943" t="n">
        <v>0.0016</v>
      </c>
    </row>
    <row r="6944">
      <c r="A6944" t="n">
        <v>106</v>
      </c>
      <c r="B6944" t="n">
        <v>2006</v>
      </c>
      <c r="C6944" t="n">
        <v>0.0023</v>
      </c>
    </row>
    <row r="6945">
      <c r="A6945" t="n">
        <v>106</v>
      </c>
      <c r="B6945" t="n">
        <v>2007</v>
      </c>
      <c r="C6945" t="n">
        <v>0.0029</v>
      </c>
    </row>
    <row r="6946">
      <c r="A6946" t="n">
        <v>106</v>
      </c>
      <c r="B6946" t="n">
        <v>2008</v>
      </c>
      <c r="C6946" t="n">
        <v>0.0035</v>
      </c>
    </row>
    <row r="6947">
      <c r="A6947" t="n">
        <v>106</v>
      </c>
      <c r="B6947" t="n">
        <v>2009</v>
      </c>
      <c r="C6947" t="n">
        <v>0.004</v>
      </c>
    </row>
    <row r="6948">
      <c r="A6948" t="n">
        <v>106</v>
      </c>
      <c r="B6948" t="n">
        <v>2010</v>
      </c>
      <c r="C6948" t="n">
        <v>0.0045</v>
      </c>
    </row>
    <row r="6949">
      <c r="A6949" t="n">
        <v>106</v>
      </c>
      <c r="B6949" t="n">
        <v>2011</v>
      </c>
      <c r="C6949" t="n">
        <v>0.0049</v>
      </c>
    </row>
    <row r="6950">
      <c r="A6950" t="n">
        <v>106</v>
      </c>
      <c r="B6950" t="n">
        <v>2012</v>
      </c>
      <c r="C6950" t="n">
        <v>0.0053</v>
      </c>
    </row>
    <row r="6951">
      <c r="A6951" t="n">
        <v>106</v>
      </c>
      <c r="B6951" t="n">
        <v>2013</v>
      </c>
      <c r="C6951" t="n">
        <v>0.0051</v>
      </c>
    </row>
    <row r="6952">
      <c r="A6952" t="n">
        <v>106</v>
      </c>
      <c r="B6952" t="n">
        <v>2014</v>
      </c>
      <c r="C6952" t="n">
        <v>0.0049</v>
      </c>
    </row>
    <row r="6953">
      <c r="A6953" t="n">
        <v>106</v>
      </c>
      <c r="B6953" t="n">
        <v>2015</v>
      </c>
      <c r="C6953" t="n">
        <v>0.0047</v>
      </c>
    </row>
    <row r="6954">
      <c r="A6954" t="n">
        <v>106</v>
      </c>
      <c r="B6954" t="n">
        <v>2016</v>
      </c>
      <c r="C6954" t="n">
        <v>0.0045</v>
      </c>
    </row>
    <row r="6955">
      <c r="A6955" t="n">
        <v>106</v>
      </c>
      <c r="B6955" t="n">
        <v>2017</v>
      </c>
      <c r="C6955" t="n">
        <v>0.0042</v>
      </c>
    </row>
    <row r="6956">
      <c r="A6956" t="n">
        <v>106</v>
      </c>
      <c r="B6956" t="n">
        <v>2018</v>
      </c>
      <c r="C6956" t="n">
        <v>0.004</v>
      </c>
    </row>
    <row r="6957">
      <c r="A6957" t="n">
        <v>106</v>
      </c>
      <c r="B6957" t="n">
        <v>2019</v>
      </c>
      <c r="C6957" t="n">
        <v>0.0039</v>
      </c>
    </row>
    <row r="6958">
      <c r="A6958" t="n">
        <v>106</v>
      </c>
      <c r="B6958" t="n">
        <v>2020</v>
      </c>
      <c r="C6958" t="n">
        <v>0.0037</v>
      </c>
    </row>
    <row r="6959">
      <c r="A6959" t="n">
        <v>106</v>
      </c>
      <c r="B6959" t="n">
        <v>2021</v>
      </c>
      <c r="C6959" t="n">
        <v>0.0036</v>
      </c>
    </row>
    <row r="6960">
      <c r="A6960" t="n">
        <v>106</v>
      </c>
      <c r="B6960" t="n">
        <v>2022</v>
      </c>
      <c r="C6960" t="n">
        <v>0.0036</v>
      </c>
    </row>
    <row r="6961">
      <c r="A6961" t="n">
        <v>106</v>
      </c>
      <c r="B6961" t="n">
        <v>2023</v>
      </c>
      <c r="C6961" t="n">
        <v>0.0036</v>
      </c>
    </row>
    <row r="6962">
      <c r="A6962" t="n">
        <v>106</v>
      </c>
      <c r="B6962" t="n">
        <v>2024</v>
      </c>
      <c r="C6962" t="n">
        <v>0.0035</v>
      </c>
    </row>
    <row r="6963">
      <c r="A6963" t="n">
        <v>106</v>
      </c>
      <c r="B6963" t="n">
        <v>2025</v>
      </c>
      <c r="C6963" t="n">
        <v>0.0035</v>
      </c>
    </row>
    <row r="6964">
      <c r="A6964" t="n">
        <v>106</v>
      </c>
      <c r="B6964" t="n">
        <v>2026</v>
      </c>
      <c r="C6964" t="n">
        <v>0.0035</v>
      </c>
    </row>
    <row r="6965">
      <c r="A6965" t="n">
        <v>106</v>
      </c>
      <c r="B6965" t="n">
        <v>2027</v>
      </c>
      <c r="C6965" t="n">
        <v>0.0036</v>
      </c>
    </row>
    <row r="6966">
      <c r="A6966" t="n">
        <v>106</v>
      </c>
      <c r="B6966" t="n">
        <v>2028</v>
      </c>
      <c r="C6966" t="n">
        <v>0.0036</v>
      </c>
    </row>
    <row r="6967">
      <c r="A6967" t="n">
        <v>106</v>
      </c>
      <c r="B6967" t="n">
        <v>2029</v>
      </c>
      <c r="C6967" t="n">
        <v>0.0036</v>
      </c>
    </row>
    <row r="6968">
      <c r="A6968" t="n">
        <v>106</v>
      </c>
      <c r="B6968" t="n">
        <v>2030</v>
      </c>
      <c r="C6968" t="n">
        <v>0.0037</v>
      </c>
    </row>
    <row r="6969">
      <c r="A6969" t="n">
        <v>106</v>
      </c>
      <c r="B6969" t="n">
        <v>2031</v>
      </c>
      <c r="C6969" t="n">
        <v>0.0037</v>
      </c>
    </row>
    <row r="6970">
      <c r="A6970" t="n">
        <v>107</v>
      </c>
      <c r="B6970" t="n">
        <v>1951</v>
      </c>
      <c r="C6970" t="n">
        <v>-0.0076</v>
      </c>
    </row>
    <row r="6971">
      <c r="A6971" t="n">
        <v>107</v>
      </c>
      <c r="B6971" t="n">
        <v>1952</v>
      </c>
      <c r="C6971" t="n">
        <v>-0.0071</v>
      </c>
    </row>
    <row r="6972">
      <c r="A6972" t="n">
        <v>107</v>
      </c>
      <c r="B6972" t="n">
        <v>1953</v>
      </c>
      <c r="C6972" t="n">
        <v>-0.0065</v>
      </c>
    </row>
    <row r="6973">
      <c r="A6973" t="n">
        <v>107</v>
      </c>
      <c r="B6973" t="n">
        <v>1954</v>
      </c>
      <c r="C6973" t="n">
        <v>-0.006</v>
      </c>
    </row>
    <row r="6974">
      <c r="A6974" t="n">
        <v>107</v>
      </c>
      <c r="B6974" t="n">
        <v>1955</v>
      </c>
      <c r="C6974" t="n">
        <v>-0.0054</v>
      </c>
    </row>
    <row r="6975">
      <c r="A6975" t="n">
        <v>107</v>
      </c>
      <c r="B6975" t="n">
        <v>1956</v>
      </c>
      <c r="C6975" t="n">
        <v>-0.0048</v>
      </c>
    </row>
    <row r="6976">
      <c r="A6976" t="n">
        <v>107</v>
      </c>
      <c r="B6976" t="n">
        <v>1957</v>
      </c>
      <c r="C6976" t="n">
        <v>-0.0042</v>
      </c>
    </row>
    <row r="6977">
      <c r="A6977" t="n">
        <v>107</v>
      </c>
      <c r="B6977" t="n">
        <v>1958</v>
      </c>
      <c r="C6977" t="n">
        <v>-0.0036</v>
      </c>
    </row>
    <row r="6978">
      <c r="A6978" t="n">
        <v>107</v>
      </c>
      <c r="B6978" t="n">
        <v>1959</v>
      </c>
      <c r="C6978" t="n">
        <v>-0.0029</v>
      </c>
    </row>
    <row r="6979">
      <c r="A6979" t="n">
        <v>107</v>
      </c>
      <c r="B6979" t="n">
        <v>1960</v>
      </c>
      <c r="C6979" t="n">
        <v>-0.0022</v>
      </c>
    </row>
    <row r="6980">
      <c r="A6980" t="n">
        <v>107</v>
      </c>
      <c r="B6980" t="n">
        <v>1961</v>
      </c>
      <c r="C6980" t="n">
        <v>-0.0015</v>
      </c>
    </row>
    <row r="6981">
      <c r="A6981" t="n">
        <v>107</v>
      </c>
      <c r="B6981" t="n">
        <v>1962</v>
      </c>
      <c r="C6981" t="n">
        <v>-0.0008</v>
      </c>
    </row>
    <row r="6982">
      <c r="A6982" t="n">
        <v>107</v>
      </c>
      <c r="B6982" t="n">
        <v>1963</v>
      </c>
      <c r="C6982" t="n">
        <v>-0.0001</v>
      </c>
    </row>
    <row r="6983">
      <c r="A6983" t="n">
        <v>107</v>
      </c>
      <c r="B6983" t="n">
        <v>1964</v>
      </c>
      <c r="C6983" t="n">
        <v>0.0007</v>
      </c>
    </row>
    <row r="6984">
      <c r="A6984" t="n">
        <v>107</v>
      </c>
      <c r="B6984" t="n">
        <v>1965</v>
      </c>
      <c r="C6984" t="n">
        <v>0.0014</v>
      </c>
    </row>
    <row r="6985">
      <c r="A6985" t="n">
        <v>107</v>
      </c>
      <c r="B6985" t="n">
        <v>1966</v>
      </c>
      <c r="C6985" t="n">
        <v>0.0021</v>
      </c>
    </row>
    <row r="6986">
      <c r="A6986" t="n">
        <v>107</v>
      </c>
      <c r="B6986" t="n">
        <v>1967</v>
      </c>
      <c r="C6986" t="n">
        <v>0.0028</v>
      </c>
    </row>
    <row r="6987">
      <c r="A6987" t="n">
        <v>107</v>
      </c>
      <c r="B6987" t="n">
        <v>1968</v>
      </c>
      <c r="C6987" t="n">
        <v>0.0034</v>
      </c>
    </row>
    <row r="6988">
      <c r="A6988" t="n">
        <v>107</v>
      </c>
      <c r="B6988" t="n">
        <v>1969</v>
      </c>
      <c r="C6988" t="n">
        <v>0.004</v>
      </c>
    </row>
    <row r="6989">
      <c r="A6989" t="n">
        <v>107</v>
      </c>
      <c r="B6989" t="n">
        <v>1970</v>
      </c>
      <c r="C6989" t="n">
        <v>0.0044</v>
      </c>
    </row>
    <row r="6990">
      <c r="A6990" t="n">
        <v>107</v>
      </c>
      <c r="B6990" t="n">
        <v>1971</v>
      </c>
      <c r="C6990" t="n">
        <v>0.0048</v>
      </c>
    </row>
    <row r="6991">
      <c r="A6991" t="n">
        <v>107</v>
      </c>
      <c r="B6991" t="n">
        <v>1972</v>
      </c>
      <c r="C6991" t="n">
        <v>0.005</v>
      </c>
    </row>
    <row r="6992">
      <c r="A6992" t="n">
        <v>107</v>
      </c>
      <c r="B6992" t="n">
        <v>1973</v>
      </c>
      <c r="C6992" t="n">
        <v>0.0052</v>
      </c>
    </row>
    <row r="6993">
      <c r="A6993" t="n">
        <v>107</v>
      </c>
      <c r="B6993" t="n">
        <v>1974</v>
      </c>
      <c r="C6993" t="n">
        <v>0.0052</v>
      </c>
    </row>
    <row r="6994">
      <c r="A6994" t="n">
        <v>107</v>
      </c>
      <c r="B6994" t="n">
        <v>1975</v>
      </c>
      <c r="C6994" t="n">
        <v>0.0051</v>
      </c>
    </row>
    <row r="6995">
      <c r="A6995" t="n">
        <v>107</v>
      </c>
      <c r="B6995" t="n">
        <v>1976</v>
      </c>
      <c r="C6995" t="n">
        <v>0.0049</v>
      </c>
    </row>
    <row r="6996">
      <c r="A6996" t="n">
        <v>107</v>
      </c>
      <c r="B6996" t="n">
        <v>1977</v>
      </c>
      <c r="C6996" t="n">
        <v>0.0046</v>
      </c>
    </row>
    <row r="6997">
      <c r="A6997" t="n">
        <v>107</v>
      </c>
      <c r="B6997" t="n">
        <v>1978</v>
      </c>
      <c r="C6997" t="n">
        <v>0.0042</v>
      </c>
    </row>
    <row r="6998">
      <c r="A6998" t="n">
        <v>107</v>
      </c>
      <c r="B6998" t="n">
        <v>1979</v>
      </c>
      <c r="C6998" t="n">
        <v>0.0037</v>
      </c>
    </row>
    <row r="6999">
      <c r="A6999" t="n">
        <v>107</v>
      </c>
      <c r="B6999" t="n">
        <v>1980</v>
      </c>
      <c r="C6999" t="n">
        <v>0.0032</v>
      </c>
    </row>
    <row r="7000">
      <c r="A7000" t="n">
        <v>107</v>
      </c>
      <c r="B7000" t="n">
        <v>1981</v>
      </c>
      <c r="C7000" t="n">
        <v>0.0025</v>
      </c>
    </row>
    <row r="7001">
      <c r="A7001" t="n">
        <v>107</v>
      </c>
      <c r="B7001" t="n">
        <v>1982</v>
      </c>
      <c r="C7001" t="n">
        <v>0.0019</v>
      </c>
    </row>
    <row r="7002">
      <c r="A7002" t="n">
        <v>107</v>
      </c>
      <c r="B7002" t="n">
        <v>1983</v>
      </c>
      <c r="C7002" t="n">
        <v>0.0012</v>
      </c>
    </row>
    <row r="7003">
      <c r="A7003" t="n">
        <v>107</v>
      </c>
      <c r="B7003" t="n">
        <v>1984</v>
      </c>
      <c r="C7003" t="n">
        <v>0.0005</v>
      </c>
    </row>
    <row r="7004">
      <c r="A7004" t="n">
        <v>107</v>
      </c>
      <c r="B7004" t="n">
        <v>1985</v>
      </c>
      <c r="C7004" t="n">
        <v>-0.0002</v>
      </c>
    </row>
    <row r="7005">
      <c r="A7005" t="n">
        <v>107</v>
      </c>
      <c r="B7005" t="n">
        <v>1986</v>
      </c>
      <c r="C7005" t="n">
        <v>-0.0009</v>
      </c>
    </row>
    <row r="7006">
      <c r="A7006" t="n">
        <v>107</v>
      </c>
      <c r="B7006" t="n">
        <v>1987</v>
      </c>
      <c r="C7006" t="n">
        <v>-0.0015</v>
      </c>
    </row>
    <row r="7007">
      <c r="A7007" t="n">
        <v>107</v>
      </c>
      <c r="B7007" t="n">
        <v>1988</v>
      </c>
      <c r="C7007" t="n">
        <v>-0.0021</v>
      </c>
    </row>
    <row r="7008">
      <c r="A7008" t="n">
        <v>107</v>
      </c>
      <c r="B7008" t="n">
        <v>1989</v>
      </c>
      <c r="C7008" t="n">
        <v>-0.0025</v>
      </c>
    </row>
    <row r="7009">
      <c r="A7009" t="n">
        <v>107</v>
      </c>
      <c r="B7009" t="n">
        <v>1990</v>
      </c>
      <c r="C7009" t="n">
        <v>-0.0029</v>
      </c>
    </row>
    <row r="7010">
      <c r="A7010" t="n">
        <v>107</v>
      </c>
      <c r="B7010" t="n">
        <v>1991</v>
      </c>
      <c r="C7010" t="n">
        <v>-0.0033</v>
      </c>
    </row>
    <row r="7011">
      <c r="A7011" t="n">
        <v>107</v>
      </c>
      <c r="B7011" t="n">
        <v>1992</v>
      </c>
      <c r="C7011" t="n">
        <v>-0.0035</v>
      </c>
    </row>
    <row r="7012">
      <c r="A7012" t="n">
        <v>107</v>
      </c>
      <c r="B7012" t="n">
        <v>1993</v>
      </c>
      <c r="C7012" t="n">
        <v>-0.0036</v>
      </c>
    </row>
    <row r="7013">
      <c r="A7013" t="n">
        <v>107</v>
      </c>
      <c r="B7013" t="n">
        <v>1994</v>
      </c>
      <c r="C7013" t="n">
        <v>-0.0036</v>
      </c>
    </row>
    <row r="7014">
      <c r="A7014" t="n">
        <v>107</v>
      </c>
      <c r="B7014" t="n">
        <v>1995</v>
      </c>
      <c r="C7014" t="n">
        <v>-0.0036</v>
      </c>
    </row>
    <row r="7015">
      <c r="A7015" t="n">
        <v>107</v>
      </c>
      <c r="B7015" t="n">
        <v>1996</v>
      </c>
      <c r="C7015" t="n">
        <v>-0.0034</v>
      </c>
    </row>
    <row r="7016">
      <c r="A7016" t="n">
        <v>107</v>
      </c>
      <c r="B7016" t="n">
        <v>1997</v>
      </c>
      <c r="C7016" t="n">
        <v>-0.0031</v>
      </c>
    </row>
    <row r="7017">
      <c r="A7017" t="n">
        <v>107</v>
      </c>
      <c r="B7017" t="n">
        <v>1998</v>
      </c>
      <c r="C7017" t="n">
        <v>-0.0027</v>
      </c>
    </row>
    <row r="7018">
      <c r="A7018" t="n">
        <v>107</v>
      </c>
      <c r="B7018" t="n">
        <v>1999</v>
      </c>
      <c r="C7018" t="n">
        <v>-0.0022</v>
      </c>
    </row>
    <row r="7019">
      <c r="A7019" t="n">
        <v>107</v>
      </c>
      <c r="B7019" t="n">
        <v>2000</v>
      </c>
      <c r="C7019" t="n">
        <v>-0.0017</v>
      </c>
    </row>
    <row r="7020">
      <c r="A7020" t="n">
        <v>107</v>
      </c>
      <c r="B7020" t="n">
        <v>2001</v>
      </c>
      <c r="C7020" t="n">
        <v>-0.0011</v>
      </c>
    </row>
    <row r="7021">
      <c r="A7021" t="n">
        <v>107</v>
      </c>
      <c r="B7021" t="n">
        <v>2002</v>
      </c>
      <c r="C7021" t="n">
        <v>-0.0005</v>
      </c>
    </row>
    <row r="7022">
      <c r="A7022" t="n">
        <v>107</v>
      </c>
      <c r="B7022" t="n">
        <v>2003</v>
      </c>
      <c r="C7022" t="n">
        <v>0.0002</v>
      </c>
    </row>
    <row r="7023">
      <c r="A7023" t="n">
        <v>107</v>
      </c>
      <c r="B7023" t="n">
        <v>2004</v>
      </c>
      <c r="C7023" t="n">
        <v>0.0008</v>
      </c>
    </row>
    <row r="7024">
      <c r="A7024" t="n">
        <v>107</v>
      </c>
      <c r="B7024" t="n">
        <v>2005</v>
      </c>
      <c r="C7024" t="n">
        <v>0.0015</v>
      </c>
    </row>
    <row r="7025">
      <c r="A7025" t="n">
        <v>107</v>
      </c>
      <c r="B7025" t="n">
        <v>2006</v>
      </c>
      <c r="C7025" t="n">
        <v>0.0021</v>
      </c>
    </row>
    <row r="7026">
      <c r="A7026" t="n">
        <v>107</v>
      </c>
      <c r="B7026" t="n">
        <v>2007</v>
      </c>
      <c r="C7026" t="n">
        <v>0.0026</v>
      </c>
    </row>
    <row r="7027">
      <c r="A7027" t="n">
        <v>107</v>
      </c>
      <c r="B7027" t="n">
        <v>2008</v>
      </c>
      <c r="C7027" t="n">
        <v>0.0031</v>
      </c>
    </row>
    <row r="7028">
      <c r="A7028" t="n">
        <v>107</v>
      </c>
      <c r="B7028" t="n">
        <v>2009</v>
      </c>
      <c r="C7028" t="n">
        <v>0.0035</v>
      </c>
    </row>
    <row r="7029">
      <c r="A7029" t="n">
        <v>107</v>
      </c>
      <c r="B7029" t="n">
        <v>2010</v>
      </c>
      <c r="C7029" t="n">
        <v>0.004</v>
      </c>
    </row>
    <row r="7030">
      <c r="A7030" t="n">
        <v>107</v>
      </c>
      <c r="B7030" t="n">
        <v>2011</v>
      </c>
      <c r="C7030" t="n">
        <v>0.0044</v>
      </c>
    </row>
    <row r="7031">
      <c r="A7031" t="n">
        <v>107</v>
      </c>
      <c r="B7031" t="n">
        <v>2012</v>
      </c>
      <c r="C7031" t="n">
        <v>0.0047</v>
      </c>
    </row>
    <row r="7032">
      <c r="A7032" t="n">
        <v>107</v>
      </c>
      <c r="B7032" t="n">
        <v>2013</v>
      </c>
      <c r="C7032" t="n">
        <v>0.0046</v>
      </c>
    </row>
    <row r="7033">
      <c r="A7033" t="n">
        <v>107</v>
      </c>
      <c r="B7033" t="n">
        <v>2014</v>
      </c>
      <c r="C7033" t="n">
        <v>0.0044</v>
      </c>
    </row>
    <row r="7034">
      <c r="A7034" t="n">
        <v>107</v>
      </c>
      <c r="B7034" t="n">
        <v>2015</v>
      </c>
      <c r="C7034" t="n">
        <v>0.0042</v>
      </c>
    </row>
    <row r="7035">
      <c r="A7035" t="n">
        <v>107</v>
      </c>
      <c r="B7035" t="n">
        <v>2016</v>
      </c>
      <c r="C7035" t="n">
        <v>0.004</v>
      </c>
    </row>
    <row r="7036">
      <c r="A7036" t="n">
        <v>107</v>
      </c>
      <c r="B7036" t="n">
        <v>2017</v>
      </c>
      <c r="C7036" t="n">
        <v>0.0038</v>
      </c>
    </row>
    <row r="7037">
      <c r="A7037" t="n">
        <v>107</v>
      </c>
      <c r="B7037" t="n">
        <v>2018</v>
      </c>
      <c r="C7037" t="n">
        <v>0.0036</v>
      </c>
    </row>
    <row r="7038">
      <c r="A7038" t="n">
        <v>107</v>
      </c>
      <c r="B7038" t="n">
        <v>2019</v>
      </c>
      <c r="C7038" t="n">
        <v>0.0034</v>
      </c>
    </row>
    <row r="7039">
      <c r="A7039" t="n">
        <v>107</v>
      </c>
      <c r="B7039" t="n">
        <v>2020</v>
      </c>
      <c r="C7039" t="n">
        <v>0.0033</v>
      </c>
    </row>
    <row r="7040">
      <c r="A7040" t="n">
        <v>107</v>
      </c>
      <c r="B7040" t="n">
        <v>2021</v>
      </c>
      <c r="C7040" t="n">
        <v>0.0032</v>
      </c>
    </row>
    <row r="7041">
      <c r="A7041" t="n">
        <v>107</v>
      </c>
      <c r="B7041" t="n">
        <v>2022</v>
      </c>
      <c r="C7041" t="n">
        <v>0.0032</v>
      </c>
    </row>
    <row r="7042">
      <c r="A7042" t="n">
        <v>107</v>
      </c>
      <c r="B7042" t="n">
        <v>2023</v>
      </c>
      <c r="C7042" t="n">
        <v>0.0032</v>
      </c>
    </row>
    <row r="7043">
      <c r="A7043" t="n">
        <v>107</v>
      </c>
      <c r="B7043" t="n">
        <v>2024</v>
      </c>
      <c r="C7043" t="n">
        <v>0.0031</v>
      </c>
    </row>
    <row r="7044">
      <c r="A7044" t="n">
        <v>107</v>
      </c>
      <c r="B7044" t="n">
        <v>2025</v>
      </c>
      <c r="C7044" t="n">
        <v>0.0031</v>
      </c>
    </row>
    <row r="7045">
      <c r="A7045" t="n">
        <v>107</v>
      </c>
      <c r="B7045" t="n">
        <v>2026</v>
      </c>
      <c r="C7045" t="n">
        <v>0.0031</v>
      </c>
    </row>
    <row r="7046">
      <c r="A7046" t="n">
        <v>107</v>
      </c>
      <c r="B7046" t="n">
        <v>2027</v>
      </c>
      <c r="C7046" t="n">
        <v>0.0032</v>
      </c>
    </row>
    <row r="7047">
      <c r="A7047" t="n">
        <v>107</v>
      </c>
      <c r="B7047" t="n">
        <v>2028</v>
      </c>
      <c r="C7047" t="n">
        <v>0.0032</v>
      </c>
    </row>
    <row r="7048">
      <c r="A7048" t="n">
        <v>107</v>
      </c>
      <c r="B7048" t="n">
        <v>2029</v>
      </c>
      <c r="C7048" t="n">
        <v>0.0032</v>
      </c>
    </row>
    <row r="7049">
      <c r="A7049" t="n">
        <v>107</v>
      </c>
      <c r="B7049" t="n">
        <v>2030</v>
      </c>
      <c r="C7049" t="n">
        <v>0.0033</v>
      </c>
    </row>
    <row r="7050">
      <c r="A7050" t="n">
        <v>107</v>
      </c>
      <c r="B7050" t="n">
        <v>2031</v>
      </c>
      <c r="C7050" t="n">
        <v>0.0033</v>
      </c>
    </row>
    <row r="7051">
      <c r="A7051" t="n">
        <v>108</v>
      </c>
      <c r="B7051" t="n">
        <v>1951</v>
      </c>
      <c r="C7051" t="n">
        <v>-0.0067</v>
      </c>
    </row>
    <row r="7052">
      <c r="A7052" t="n">
        <v>108</v>
      </c>
      <c r="B7052" t="n">
        <v>1952</v>
      </c>
      <c r="C7052" t="n">
        <v>-0.0062</v>
      </c>
    </row>
    <row r="7053">
      <c r="A7053" t="n">
        <v>108</v>
      </c>
      <c r="B7053" t="n">
        <v>1953</v>
      </c>
      <c r="C7053" t="n">
        <v>-0.0057</v>
      </c>
    </row>
    <row r="7054">
      <c r="A7054" t="n">
        <v>108</v>
      </c>
      <c r="B7054" t="n">
        <v>1954</v>
      </c>
      <c r="C7054" t="n">
        <v>-0.0052</v>
      </c>
    </row>
    <row r="7055">
      <c r="A7055" t="n">
        <v>108</v>
      </c>
      <c r="B7055" t="n">
        <v>1955</v>
      </c>
      <c r="C7055" t="n">
        <v>-0.0047</v>
      </c>
    </row>
    <row r="7056">
      <c r="A7056" t="n">
        <v>108</v>
      </c>
      <c r="B7056" t="n">
        <v>1956</v>
      </c>
      <c r="C7056" t="n">
        <v>-0.0042</v>
      </c>
    </row>
    <row r="7057">
      <c r="A7057" t="n">
        <v>108</v>
      </c>
      <c r="B7057" t="n">
        <v>1957</v>
      </c>
      <c r="C7057" t="n">
        <v>-0.0037</v>
      </c>
    </row>
    <row r="7058">
      <c r="A7058" t="n">
        <v>108</v>
      </c>
      <c r="B7058" t="n">
        <v>1958</v>
      </c>
      <c r="C7058" t="n">
        <v>-0.0031</v>
      </c>
    </row>
    <row r="7059">
      <c r="A7059" t="n">
        <v>108</v>
      </c>
      <c r="B7059" t="n">
        <v>1959</v>
      </c>
      <c r="C7059" t="n">
        <v>-0.0025</v>
      </c>
    </row>
    <row r="7060">
      <c r="A7060" t="n">
        <v>108</v>
      </c>
      <c r="B7060" t="n">
        <v>1960</v>
      </c>
      <c r="C7060" t="n">
        <v>-0.002</v>
      </c>
    </row>
    <row r="7061">
      <c r="A7061" t="n">
        <v>108</v>
      </c>
      <c r="B7061" t="n">
        <v>1961</v>
      </c>
      <c r="C7061" t="n">
        <v>-0.0013</v>
      </c>
    </row>
    <row r="7062">
      <c r="A7062" t="n">
        <v>108</v>
      </c>
      <c r="B7062" t="n">
        <v>1962</v>
      </c>
      <c r="C7062" t="n">
        <v>-0.0007</v>
      </c>
    </row>
    <row r="7063">
      <c r="A7063" t="n">
        <v>108</v>
      </c>
      <c r="B7063" t="n">
        <v>1963</v>
      </c>
      <c r="C7063" t="n">
        <v>0</v>
      </c>
    </row>
    <row r="7064">
      <c r="A7064" t="n">
        <v>108</v>
      </c>
      <c r="B7064" t="n">
        <v>1964</v>
      </c>
      <c r="C7064" t="n">
        <v>0.0005999999999999999</v>
      </c>
    </row>
    <row r="7065">
      <c r="A7065" t="n">
        <v>108</v>
      </c>
      <c r="B7065" t="n">
        <v>1965</v>
      </c>
      <c r="C7065" t="n">
        <v>0.0012</v>
      </c>
    </row>
    <row r="7066">
      <c r="A7066" t="n">
        <v>108</v>
      </c>
      <c r="B7066" t="n">
        <v>1966</v>
      </c>
      <c r="C7066" t="n">
        <v>0.0019</v>
      </c>
    </row>
    <row r="7067">
      <c r="A7067" t="n">
        <v>108</v>
      </c>
      <c r="B7067" t="n">
        <v>1967</v>
      </c>
      <c r="C7067" t="n">
        <v>0.0025</v>
      </c>
    </row>
    <row r="7068">
      <c r="A7068" t="n">
        <v>108</v>
      </c>
      <c r="B7068" t="n">
        <v>1968</v>
      </c>
      <c r="C7068" t="n">
        <v>0.003</v>
      </c>
    </row>
    <row r="7069">
      <c r="A7069" t="n">
        <v>108</v>
      </c>
      <c r="B7069" t="n">
        <v>1969</v>
      </c>
      <c r="C7069" t="n">
        <v>0.0035</v>
      </c>
    </row>
    <row r="7070">
      <c r="A7070" t="n">
        <v>108</v>
      </c>
      <c r="B7070" t="n">
        <v>1970</v>
      </c>
      <c r="C7070" t="n">
        <v>0.0039</v>
      </c>
    </row>
    <row r="7071">
      <c r="A7071" t="n">
        <v>108</v>
      </c>
      <c r="B7071" t="n">
        <v>1971</v>
      </c>
      <c r="C7071" t="n">
        <v>0.0042</v>
      </c>
    </row>
    <row r="7072">
      <c r="A7072" t="n">
        <v>108</v>
      </c>
      <c r="B7072" t="n">
        <v>1972</v>
      </c>
      <c r="C7072" t="n">
        <v>0.0044</v>
      </c>
    </row>
    <row r="7073">
      <c r="A7073" t="n">
        <v>108</v>
      </c>
      <c r="B7073" t="n">
        <v>1973</v>
      </c>
      <c r="C7073" t="n">
        <v>0.0045</v>
      </c>
    </row>
    <row r="7074">
      <c r="A7074" t="n">
        <v>108</v>
      </c>
      <c r="B7074" t="n">
        <v>1974</v>
      </c>
      <c r="C7074" t="n">
        <v>0.0045</v>
      </c>
    </row>
    <row r="7075">
      <c r="A7075" t="n">
        <v>108</v>
      </c>
      <c r="B7075" t="n">
        <v>1975</v>
      </c>
      <c r="C7075" t="n">
        <v>0.0045</v>
      </c>
    </row>
    <row r="7076">
      <c r="A7076" t="n">
        <v>108</v>
      </c>
      <c r="B7076" t="n">
        <v>1976</v>
      </c>
      <c r="C7076" t="n">
        <v>0.0043</v>
      </c>
    </row>
    <row r="7077">
      <c r="A7077" t="n">
        <v>108</v>
      </c>
      <c r="B7077" t="n">
        <v>1977</v>
      </c>
      <c r="C7077" t="n">
        <v>0.004</v>
      </c>
    </row>
    <row r="7078">
      <c r="A7078" t="n">
        <v>108</v>
      </c>
      <c r="B7078" t="n">
        <v>1978</v>
      </c>
      <c r="C7078" t="n">
        <v>0.0037</v>
      </c>
    </row>
    <row r="7079">
      <c r="A7079" t="n">
        <v>108</v>
      </c>
      <c r="B7079" t="n">
        <v>1979</v>
      </c>
      <c r="C7079" t="n">
        <v>0.0033</v>
      </c>
    </row>
    <row r="7080">
      <c r="A7080" t="n">
        <v>108</v>
      </c>
      <c r="B7080" t="n">
        <v>1980</v>
      </c>
      <c r="C7080" t="n">
        <v>0.0028</v>
      </c>
    </row>
    <row r="7081">
      <c r="A7081" t="n">
        <v>108</v>
      </c>
      <c r="B7081" t="n">
        <v>1981</v>
      </c>
      <c r="C7081" t="n">
        <v>0.0022</v>
      </c>
    </row>
    <row r="7082">
      <c r="A7082" t="n">
        <v>108</v>
      </c>
      <c r="B7082" t="n">
        <v>1982</v>
      </c>
      <c r="C7082" t="n">
        <v>0.0016</v>
      </c>
    </row>
    <row r="7083">
      <c r="A7083" t="n">
        <v>108</v>
      </c>
      <c r="B7083" t="n">
        <v>1983</v>
      </c>
      <c r="C7083" t="n">
        <v>0.001</v>
      </c>
    </row>
    <row r="7084">
      <c r="A7084" t="n">
        <v>108</v>
      </c>
      <c r="B7084" t="n">
        <v>1984</v>
      </c>
      <c r="C7084" t="n">
        <v>0.0004</v>
      </c>
    </row>
    <row r="7085">
      <c r="A7085" t="n">
        <v>108</v>
      </c>
      <c r="B7085" t="n">
        <v>1985</v>
      </c>
      <c r="C7085" t="n">
        <v>-0.0002</v>
      </c>
    </row>
    <row r="7086">
      <c r="A7086" t="n">
        <v>108</v>
      </c>
      <c r="B7086" t="n">
        <v>1986</v>
      </c>
      <c r="C7086" t="n">
        <v>-0.0008</v>
      </c>
    </row>
    <row r="7087">
      <c r="A7087" t="n">
        <v>108</v>
      </c>
      <c r="B7087" t="n">
        <v>1987</v>
      </c>
      <c r="C7087" t="n">
        <v>-0.0013</v>
      </c>
    </row>
    <row r="7088">
      <c r="A7088" t="n">
        <v>108</v>
      </c>
      <c r="B7088" t="n">
        <v>1988</v>
      </c>
      <c r="C7088" t="n">
        <v>-0.0018</v>
      </c>
    </row>
    <row r="7089">
      <c r="A7089" t="n">
        <v>108</v>
      </c>
      <c r="B7089" t="n">
        <v>1989</v>
      </c>
      <c r="C7089" t="n">
        <v>-0.0022</v>
      </c>
    </row>
    <row r="7090">
      <c r="A7090" t="n">
        <v>108</v>
      </c>
      <c r="B7090" t="n">
        <v>1990</v>
      </c>
      <c r="C7090" t="n">
        <v>-0.0026</v>
      </c>
    </row>
    <row r="7091">
      <c r="A7091" t="n">
        <v>108</v>
      </c>
      <c r="B7091" t="n">
        <v>1991</v>
      </c>
      <c r="C7091" t="n">
        <v>-0.0029</v>
      </c>
    </row>
    <row r="7092">
      <c r="A7092" t="n">
        <v>108</v>
      </c>
      <c r="B7092" t="n">
        <v>1992</v>
      </c>
      <c r="C7092" t="n">
        <v>-0.0031</v>
      </c>
    </row>
    <row r="7093">
      <c r="A7093" t="n">
        <v>108</v>
      </c>
      <c r="B7093" t="n">
        <v>1993</v>
      </c>
      <c r="C7093" t="n">
        <v>-0.0032</v>
      </c>
    </row>
    <row r="7094">
      <c r="A7094" t="n">
        <v>108</v>
      </c>
      <c r="B7094" t="n">
        <v>1994</v>
      </c>
      <c r="C7094" t="n">
        <v>-0.0032</v>
      </c>
    </row>
    <row r="7095">
      <c r="A7095" t="n">
        <v>108</v>
      </c>
      <c r="B7095" t="n">
        <v>1995</v>
      </c>
      <c r="C7095" t="n">
        <v>-0.0031</v>
      </c>
    </row>
    <row r="7096">
      <c r="A7096" t="n">
        <v>108</v>
      </c>
      <c r="B7096" t="n">
        <v>1996</v>
      </c>
      <c r="C7096" t="n">
        <v>-0.003</v>
      </c>
    </row>
    <row r="7097">
      <c r="A7097" t="n">
        <v>108</v>
      </c>
      <c r="B7097" t="n">
        <v>1997</v>
      </c>
      <c r="C7097" t="n">
        <v>-0.0027</v>
      </c>
    </row>
    <row r="7098">
      <c r="A7098" t="n">
        <v>108</v>
      </c>
      <c r="B7098" t="n">
        <v>1998</v>
      </c>
      <c r="C7098" t="n">
        <v>-0.0024</v>
      </c>
    </row>
    <row r="7099">
      <c r="A7099" t="n">
        <v>108</v>
      </c>
      <c r="B7099" t="n">
        <v>1999</v>
      </c>
      <c r="C7099" t="n">
        <v>-0.0019</v>
      </c>
    </row>
    <row r="7100">
      <c r="A7100" t="n">
        <v>108</v>
      </c>
      <c r="B7100" t="n">
        <v>2000</v>
      </c>
      <c r="C7100" t="n">
        <v>-0.0015</v>
      </c>
    </row>
    <row r="7101">
      <c r="A7101" t="n">
        <v>108</v>
      </c>
      <c r="B7101" t="n">
        <v>2001</v>
      </c>
      <c r="C7101" t="n">
        <v>-0.001</v>
      </c>
    </row>
    <row r="7102">
      <c r="A7102" t="n">
        <v>108</v>
      </c>
      <c r="B7102" t="n">
        <v>2002</v>
      </c>
      <c r="C7102" t="n">
        <v>-0.0004</v>
      </c>
    </row>
    <row r="7103">
      <c r="A7103" t="n">
        <v>108</v>
      </c>
      <c r="B7103" t="n">
        <v>2003</v>
      </c>
      <c r="C7103" t="n">
        <v>0.0002</v>
      </c>
    </row>
    <row r="7104">
      <c r="A7104" t="n">
        <v>108</v>
      </c>
      <c r="B7104" t="n">
        <v>2004</v>
      </c>
      <c r="C7104" t="n">
        <v>0.0007</v>
      </c>
    </row>
    <row r="7105">
      <c r="A7105" t="n">
        <v>108</v>
      </c>
      <c r="B7105" t="n">
        <v>2005</v>
      </c>
      <c r="C7105" t="n">
        <v>0.0013</v>
      </c>
    </row>
    <row r="7106">
      <c r="A7106" t="n">
        <v>108</v>
      </c>
      <c r="B7106" t="n">
        <v>2006</v>
      </c>
      <c r="C7106" t="n">
        <v>0.0018</v>
      </c>
    </row>
    <row r="7107">
      <c r="A7107" t="n">
        <v>108</v>
      </c>
      <c r="B7107" t="n">
        <v>2007</v>
      </c>
      <c r="C7107" t="n">
        <v>0.0023</v>
      </c>
    </row>
    <row r="7108">
      <c r="A7108" t="n">
        <v>108</v>
      </c>
      <c r="B7108" t="n">
        <v>2008</v>
      </c>
      <c r="C7108" t="n">
        <v>0.0027</v>
      </c>
    </row>
    <row r="7109">
      <c r="A7109" t="n">
        <v>108</v>
      </c>
      <c r="B7109" t="n">
        <v>2009</v>
      </c>
      <c r="C7109" t="n">
        <v>0.0031</v>
      </c>
    </row>
    <row r="7110">
      <c r="A7110" t="n">
        <v>108</v>
      </c>
      <c r="B7110" t="n">
        <v>2010</v>
      </c>
      <c r="C7110" t="n">
        <v>0.0035</v>
      </c>
    </row>
    <row r="7111">
      <c r="A7111" t="n">
        <v>108</v>
      </c>
      <c r="B7111" t="n">
        <v>2011</v>
      </c>
      <c r="C7111" t="n">
        <v>0.0038</v>
      </c>
    </row>
    <row r="7112">
      <c r="A7112" t="n">
        <v>108</v>
      </c>
      <c r="B7112" t="n">
        <v>2012</v>
      </c>
      <c r="C7112" t="n">
        <v>0.0041</v>
      </c>
    </row>
    <row r="7113">
      <c r="A7113" t="n">
        <v>108</v>
      </c>
      <c r="B7113" t="n">
        <v>2013</v>
      </c>
      <c r="C7113" t="n">
        <v>0.004</v>
      </c>
    </row>
    <row r="7114">
      <c r="A7114" t="n">
        <v>108</v>
      </c>
      <c r="B7114" t="n">
        <v>2014</v>
      </c>
      <c r="C7114" t="n">
        <v>0.0038</v>
      </c>
    </row>
    <row r="7115">
      <c r="A7115" t="n">
        <v>108</v>
      </c>
      <c r="B7115" t="n">
        <v>2015</v>
      </c>
      <c r="C7115" t="n">
        <v>0.0037</v>
      </c>
    </row>
    <row r="7116">
      <c r="A7116" t="n">
        <v>108</v>
      </c>
      <c r="B7116" t="n">
        <v>2016</v>
      </c>
      <c r="C7116" t="n">
        <v>0.0035</v>
      </c>
    </row>
    <row r="7117">
      <c r="A7117" t="n">
        <v>108</v>
      </c>
      <c r="B7117" t="n">
        <v>2017</v>
      </c>
      <c r="C7117" t="n">
        <v>0.0033</v>
      </c>
    </row>
    <row r="7118">
      <c r="A7118" t="n">
        <v>108</v>
      </c>
      <c r="B7118" t="n">
        <v>2018</v>
      </c>
      <c r="C7118" t="n">
        <v>0.0031</v>
      </c>
    </row>
    <row r="7119">
      <c r="A7119" t="n">
        <v>108</v>
      </c>
      <c r="B7119" t="n">
        <v>2019</v>
      </c>
      <c r="C7119" t="n">
        <v>0.003</v>
      </c>
    </row>
    <row r="7120">
      <c r="A7120" t="n">
        <v>108</v>
      </c>
      <c r="B7120" t="n">
        <v>2020</v>
      </c>
      <c r="C7120" t="n">
        <v>0.0029</v>
      </c>
    </row>
    <row r="7121">
      <c r="A7121" t="n">
        <v>108</v>
      </c>
      <c r="B7121" t="n">
        <v>2021</v>
      </c>
      <c r="C7121" t="n">
        <v>0.0028</v>
      </c>
    </row>
    <row r="7122">
      <c r="A7122" t="n">
        <v>108</v>
      </c>
      <c r="B7122" t="n">
        <v>2022</v>
      </c>
      <c r="C7122" t="n">
        <v>0.0028</v>
      </c>
    </row>
    <row r="7123">
      <c r="A7123" t="n">
        <v>108</v>
      </c>
      <c r="B7123" t="n">
        <v>2023</v>
      </c>
      <c r="C7123" t="n">
        <v>0.0028</v>
      </c>
    </row>
    <row r="7124">
      <c r="A7124" t="n">
        <v>108</v>
      </c>
      <c r="B7124" t="n">
        <v>2024</v>
      </c>
      <c r="C7124" t="n">
        <v>0.0028</v>
      </c>
    </row>
    <row r="7125">
      <c r="A7125" t="n">
        <v>108</v>
      </c>
      <c r="B7125" t="n">
        <v>2025</v>
      </c>
      <c r="C7125" t="n">
        <v>0.0028</v>
      </c>
    </row>
    <row r="7126">
      <c r="A7126" t="n">
        <v>108</v>
      </c>
      <c r="B7126" t="n">
        <v>2026</v>
      </c>
      <c r="C7126" t="n">
        <v>0.0028</v>
      </c>
    </row>
    <row r="7127">
      <c r="A7127" t="n">
        <v>108</v>
      </c>
      <c r="B7127" t="n">
        <v>2027</v>
      </c>
      <c r="C7127" t="n">
        <v>0.0028</v>
      </c>
    </row>
    <row r="7128">
      <c r="A7128" t="n">
        <v>108</v>
      </c>
      <c r="B7128" t="n">
        <v>2028</v>
      </c>
      <c r="C7128" t="n">
        <v>0.0028</v>
      </c>
    </row>
    <row r="7129">
      <c r="A7129" t="n">
        <v>108</v>
      </c>
      <c r="B7129" t="n">
        <v>2029</v>
      </c>
      <c r="C7129" t="n">
        <v>0.0028</v>
      </c>
    </row>
    <row r="7130">
      <c r="A7130" t="n">
        <v>108</v>
      </c>
      <c r="B7130" t="n">
        <v>2030</v>
      </c>
      <c r="C7130" t="n">
        <v>0.0029</v>
      </c>
    </row>
    <row r="7131">
      <c r="A7131" t="n">
        <v>108</v>
      </c>
      <c r="B7131" t="n">
        <v>2031</v>
      </c>
      <c r="C7131" t="n">
        <v>0.0029</v>
      </c>
    </row>
    <row r="7132">
      <c r="A7132" t="n">
        <v>109</v>
      </c>
      <c r="B7132" t="n">
        <v>1951</v>
      </c>
      <c r="C7132" t="n">
        <v>-0.0057</v>
      </c>
    </row>
    <row r="7133">
      <c r="A7133" t="n">
        <v>109</v>
      </c>
      <c r="B7133" t="n">
        <v>1952</v>
      </c>
      <c r="C7133" t="n">
        <v>-0.0053</v>
      </c>
    </row>
    <row r="7134">
      <c r="A7134" t="n">
        <v>109</v>
      </c>
      <c r="B7134" t="n">
        <v>1953</v>
      </c>
      <c r="C7134" t="n">
        <v>-0.0049</v>
      </c>
    </row>
    <row r="7135">
      <c r="A7135" t="n">
        <v>109</v>
      </c>
      <c r="B7135" t="n">
        <v>1954</v>
      </c>
      <c r="C7135" t="n">
        <v>-0.0045</v>
      </c>
    </row>
    <row r="7136">
      <c r="A7136" t="n">
        <v>109</v>
      </c>
      <c r="B7136" t="n">
        <v>1955</v>
      </c>
      <c r="C7136" t="n">
        <v>-0.004</v>
      </c>
    </row>
    <row r="7137">
      <c r="A7137" t="n">
        <v>109</v>
      </c>
      <c r="B7137" t="n">
        <v>1956</v>
      </c>
      <c r="C7137" t="n">
        <v>-0.0036</v>
      </c>
    </row>
    <row r="7138">
      <c r="A7138" t="n">
        <v>109</v>
      </c>
      <c r="B7138" t="n">
        <v>1957</v>
      </c>
      <c r="C7138" t="n">
        <v>-0.0031</v>
      </c>
    </row>
    <row r="7139">
      <c r="A7139" t="n">
        <v>109</v>
      </c>
      <c r="B7139" t="n">
        <v>1958</v>
      </c>
      <c r="C7139" t="n">
        <v>-0.0027</v>
      </c>
    </row>
    <row r="7140">
      <c r="A7140" t="n">
        <v>109</v>
      </c>
      <c r="B7140" t="n">
        <v>1959</v>
      </c>
      <c r="C7140" t="n">
        <v>-0.0022</v>
      </c>
    </row>
    <row r="7141">
      <c r="A7141" t="n">
        <v>109</v>
      </c>
      <c r="B7141" t="n">
        <v>1960</v>
      </c>
      <c r="C7141" t="n">
        <v>-0.0017</v>
      </c>
    </row>
    <row r="7142">
      <c r="A7142" t="n">
        <v>109</v>
      </c>
      <c r="B7142" t="n">
        <v>1961</v>
      </c>
      <c r="C7142" t="n">
        <v>-0.0011</v>
      </c>
    </row>
    <row r="7143">
      <c r="A7143" t="n">
        <v>109</v>
      </c>
      <c r="B7143" t="n">
        <v>1962</v>
      </c>
      <c r="C7143" t="n">
        <v>-0.0005999999999999999</v>
      </c>
    </row>
    <row r="7144">
      <c r="A7144" t="n">
        <v>109</v>
      </c>
      <c r="B7144" t="n">
        <v>1963</v>
      </c>
      <c r="C7144" t="n">
        <v>0</v>
      </c>
    </row>
    <row r="7145">
      <c r="A7145" t="n">
        <v>109</v>
      </c>
      <c r="B7145" t="n">
        <v>1964</v>
      </c>
      <c r="C7145" t="n">
        <v>0.0005</v>
      </c>
    </row>
    <row r="7146">
      <c r="A7146" t="n">
        <v>109</v>
      </c>
      <c r="B7146" t="n">
        <v>1965</v>
      </c>
      <c r="C7146" t="n">
        <v>0.0011</v>
      </c>
    </row>
    <row r="7147">
      <c r="A7147" t="n">
        <v>109</v>
      </c>
      <c r="B7147" t="n">
        <v>1966</v>
      </c>
      <c r="C7147" t="n">
        <v>0.0016</v>
      </c>
    </row>
    <row r="7148">
      <c r="A7148" t="n">
        <v>109</v>
      </c>
      <c r="B7148" t="n">
        <v>1967</v>
      </c>
      <c r="C7148" t="n">
        <v>0.0021</v>
      </c>
    </row>
    <row r="7149">
      <c r="A7149" t="n">
        <v>109</v>
      </c>
      <c r="B7149" t="n">
        <v>1968</v>
      </c>
      <c r="C7149" t="n">
        <v>0.0026</v>
      </c>
    </row>
    <row r="7150">
      <c r="A7150" t="n">
        <v>109</v>
      </c>
      <c r="B7150" t="n">
        <v>1969</v>
      </c>
      <c r="C7150" t="n">
        <v>0.003</v>
      </c>
    </row>
    <row r="7151">
      <c r="A7151" t="n">
        <v>109</v>
      </c>
      <c r="B7151" t="n">
        <v>1970</v>
      </c>
      <c r="C7151" t="n">
        <v>0.0033</v>
      </c>
    </row>
    <row r="7152">
      <c r="A7152" t="n">
        <v>109</v>
      </c>
      <c r="B7152" t="n">
        <v>1971</v>
      </c>
      <c r="C7152" t="n">
        <v>0.0036</v>
      </c>
    </row>
    <row r="7153">
      <c r="A7153" t="n">
        <v>109</v>
      </c>
      <c r="B7153" t="n">
        <v>1972</v>
      </c>
      <c r="C7153" t="n">
        <v>0.0038</v>
      </c>
    </row>
    <row r="7154">
      <c r="A7154" t="n">
        <v>109</v>
      </c>
      <c r="B7154" t="n">
        <v>1973</v>
      </c>
      <c r="C7154" t="n">
        <v>0.0039</v>
      </c>
    </row>
    <row r="7155">
      <c r="A7155" t="n">
        <v>109</v>
      </c>
      <c r="B7155" t="n">
        <v>1974</v>
      </c>
      <c r="C7155" t="n">
        <v>0.0039</v>
      </c>
    </row>
    <row r="7156">
      <c r="A7156" t="n">
        <v>109</v>
      </c>
      <c r="B7156" t="n">
        <v>1975</v>
      </c>
      <c r="C7156" t="n">
        <v>0.0038</v>
      </c>
    </row>
    <row r="7157">
      <c r="A7157" t="n">
        <v>109</v>
      </c>
      <c r="B7157" t="n">
        <v>1976</v>
      </c>
      <c r="C7157" t="n">
        <v>0.0037</v>
      </c>
    </row>
    <row r="7158">
      <c r="A7158" t="n">
        <v>109</v>
      </c>
      <c r="B7158" t="n">
        <v>1977</v>
      </c>
      <c r="C7158" t="n">
        <v>0.0035</v>
      </c>
    </row>
    <row r="7159">
      <c r="A7159" t="n">
        <v>109</v>
      </c>
      <c r="B7159" t="n">
        <v>1978</v>
      </c>
      <c r="C7159" t="n">
        <v>0.0032</v>
      </c>
    </row>
    <row r="7160">
      <c r="A7160" t="n">
        <v>109</v>
      </c>
      <c r="B7160" t="n">
        <v>1979</v>
      </c>
      <c r="C7160" t="n">
        <v>0.0028</v>
      </c>
    </row>
    <row r="7161">
      <c r="A7161" t="n">
        <v>109</v>
      </c>
      <c r="B7161" t="n">
        <v>1980</v>
      </c>
      <c r="C7161" t="n">
        <v>0.0024</v>
      </c>
    </row>
    <row r="7162">
      <c r="A7162" t="n">
        <v>109</v>
      </c>
      <c r="B7162" t="n">
        <v>1981</v>
      </c>
      <c r="C7162" t="n">
        <v>0.0019</v>
      </c>
    </row>
    <row r="7163">
      <c r="A7163" t="n">
        <v>109</v>
      </c>
      <c r="B7163" t="n">
        <v>1982</v>
      </c>
      <c r="C7163" t="n">
        <v>0.0014</v>
      </c>
    </row>
    <row r="7164">
      <c r="A7164" t="n">
        <v>109</v>
      </c>
      <c r="B7164" t="n">
        <v>1983</v>
      </c>
      <c r="C7164" t="n">
        <v>0.0009</v>
      </c>
    </row>
    <row r="7165">
      <c r="A7165" t="n">
        <v>109</v>
      </c>
      <c r="B7165" t="n">
        <v>1984</v>
      </c>
      <c r="C7165" t="n">
        <v>0.0003</v>
      </c>
    </row>
    <row r="7166">
      <c r="A7166" t="n">
        <v>109</v>
      </c>
      <c r="B7166" t="n">
        <v>1985</v>
      </c>
      <c r="C7166" t="n">
        <v>-0.0002</v>
      </c>
    </row>
    <row r="7167">
      <c r="A7167" t="n">
        <v>109</v>
      </c>
      <c r="B7167" t="n">
        <v>1986</v>
      </c>
      <c r="C7167" t="n">
        <v>-0.0007</v>
      </c>
    </row>
    <row r="7168">
      <c r="A7168" t="n">
        <v>109</v>
      </c>
      <c r="B7168" t="n">
        <v>1987</v>
      </c>
      <c r="C7168" t="n">
        <v>-0.0011</v>
      </c>
    </row>
    <row r="7169">
      <c r="A7169" t="n">
        <v>109</v>
      </c>
      <c r="B7169" t="n">
        <v>1988</v>
      </c>
      <c r="C7169" t="n">
        <v>-0.0015</v>
      </c>
    </row>
    <row r="7170">
      <c r="A7170" t="n">
        <v>109</v>
      </c>
      <c r="B7170" t="n">
        <v>1989</v>
      </c>
      <c r="C7170" t="n">
        <v>-0.0019</v>
      </c>
    </row>
    <row r="7171">
      <c r="A7171" t="n">
        <v>109</v>
      </c>
      <c r="B7171" t="n">
        <v>1990</v>
      </c>
      <c r="C7171" t="n">
        <v>-0.0022</v>
      </c>
    </row>
    <row r="7172">
      <c r="A7172" t="n">
        <v>109</v>
      </c>
      <c r="B7172" t="n">
        <v>1991</v>
      </c>
      <c r="C7172" t="n">
        <v>-0.0025</v>
      </c>
    </row>
    <row r="7173">
      <c r="A7173" t="n">
        <v>109</v>
      </c>
      <c r="B7173" t="n">
        <v>1992</v>
      </c>
      <c r="C7173" t="n">
        <v>-0.0026</v>
      </c>
    </row>
    <row r="7174">
      <c r="A7174" t="n">
        <v>109</v>
      </c>
      <c r="B7174" t="n">
        <v>1993</v>
      </c>
      <c r="C7174" t="n">
        <v>-0.0027</v>
      </c>
    </row>
    <row r="7175">
      <c r="A7175" t="n">
        <v>109</v>
      </c>
      <c r="B7175" t="n">
        <v>1994</v>
      </c>
      <c r="C7175" t="n">
        <v>-0.0027</v>
      </c>
    </row>
    <row r="7176">
      <c r="A7176" t="n">
        <v>109</v>
      </c>
      <c r="B7176" t="n">
        <v>1995</v>
      </c>
      <c r="C7176" t="n">
        <v>-0.0027</v>
      </c>
    </row>
    <row r="7177">
      <c r="A7177" t="n">
        <v>109</v>
      </c>
      <c r="B7177" t="n">
        <v>1996</v>
      </c>
      <c r="C7177" t="n">
        <v>-0.0025</v>
      </c>
    </row>
    <row r="7178">
      <c r="A7178" t="n">
        <v>109</v>
      </c>
      <c r="B7178" t="n">
        <v>1997</v>
      </c>
      <c r="C7178" t="n">
        <v>-0.0023</v>
      </c>
    </row>
    <row r="7179">
      <c r="A7179" t="n">
        <v>109</v>
      </c>
      <c r="B7179" t="n">
        <v>1998</v>
      </c>
      <c r="C7179" t="n">
        <v>-0.002</v>
      </c>
    </row>
    <row r="7180">
      <c r="A7180" t="n">
        <v>109</v>
      </c>
      <c r="B7180" t="n">
        <v>1999</v>
      </c>
      <c r="C7180" t="n">
        <v>-0.0017</v>
      </c>
    </row>
    <row r="7181">
      <c r="A7181" t="n">
        <v>109</v>
      </c>
      <c r="B7181" t="n">
        <v>2000</v>
      </c>
      <c r="C7181" t="n">
        <v>-0.0013</v>
      </c>
    </row>
    <row r="7182">
      <c r="A7182" t="n">
        <v>109</v>
      </c>
      <c r="B7182" t="n">
        <v>2001</v>
      </c>
      <c r="C7182" t="n">
        <v>-0.0008</v>
      </c>
    </row>
    <row r="7183">
      <c r="A7183" t="n">
        <v>109</v>
      </c>
      <c r="B7183" t="n">
        <v>2002</v>
      </c>
      <c r="C7183" t="n">
        <v>-0.0003</v>
      </c>
    </row>
    <row r="7184">
      <c r="A7184" t="n">
        <v>109</v>
      </c>
      <c r="B7184" t="n">
        <v>2003</v>
      </c>
      <c r="C7184" t="n">
        <v>0.0001</v>
      </c>
    </row>
    <row r="7185">
      <c r="A7185" t="n">
        <v>109</v>
      </c>
      <c r="B7185" t="n">
        <v>2004</v>
      </c>
      <c r="C7185" t="n">
        <v>0.0005999999999999999</v>
      </c>
    </row>
    <row r="7186">
      <c r="A7186" t="n">
        <v>109</v>
      </c>
      <c r="B7186" t="n">
        <v>2005</v>
      </c>
      <c r="C7186" t="n">
        <v>0.0011</v>
      </c>
    </row>
    <row r="7187">
      <c r="A7187" t="n">
        <v>109</v>
      </c>
      <c r="B7187" t="n">
        <v>2006</v>
      </c>
      <c r="C7187" t="n">
        <v>0.0015</v>
      </c>
    </row>
    <row r="7188">
      <c r="A7188" t="n">
        <v>109</v>
      </c>
      <c r="B7188" t="n">
        <v>2007</v>
      </c>
      <c r="C7188" t="n">
        <v>0.0019</v>
      </c>
    </row>
    <row r="7189">
      <c r="A7189" t="n">
        <v>109</v>
      </c>
      <c r="B7189" t="n">
        <v>2008</v>
      </c>
      <c r="C7189" t="n">
        <v>0.0023</v>
      </c>
    </row>
    <row r="7190">
      <c r="A7190" t="n">
        <v>109</v>
      </c>
      <c r="B7190" t="n">
        <v>2009</v>
      </c>
      <c r="C7190" t="n">
        <v>0.0027</v>
      </c>
    </row>
    <row r="7191">
      <c r="A7191" t="n">
        <v>109</v>
      </c>
      <c r="B7191" t="n">
        <v>2010</v>
      </c>
      <c r="C7191" t="n">
        <v>0.003</v>
      </c>
    </row>
    <row r="7192">
      <c r="A7192" t="n">
        <v>109</v>
      </c>
      <c r="B7192" t="n">
        <v>2011</v>
      </c>
      <c r="C7192" t="n">
        <v>0.0033</v>
      </c>
    </row>
    <row r="7193">
      <c r="A7193" t="n">
        <v>109</v>
      </c>
      <c r="B7193" t="n">
        <v>2012</v>
      </c>
      <c r="C7193" t="n">
        <v>0.0035</v>
      </c>
    </row>
    <row r="7194">
      <c r="A7194" t="n">
        <v>109</v>
      </c>
      <c r="B7194" t="n">
        <v>2013</v>
      </c>
      <c r="C7194" t="n">
        <v>0.0034</v>
      </c>
    </row>
    <row r="7195">
      <c r="A7195" t="n">
        <v>109</v>
      </c>
      <c r="B7195" t="n">
        <v>2014</v>
      </c>
      <c r="C7195" t="n">
        <v>0.0033</v>
      </c>
    </row>
    <row r="7196">
      <c r="A7196" t="n">
        <v>109</v>
      </c>
      <c r="B7196" t="n">
        <v>2015</v>
      </c>
      <c r="C7196" t="n">
        <v>0.0031</v>
      </c>
    </row>
    <row r="7197">
      <c r="A7197" t="n">
        <v>109</v>
      </c>
      <c r="B7197" t="n">
        <v>2016</v>
      </c>
      <c r="C7197" t="n">
        <v>0.003</v>
      </c>
    </row>
    <row r="7198">
      <c r="A7198" t="n">
        <v>109</v>
      </c>
      <c r="B7198" t="n">
        <v>2017</v>
      </c>
      <c r="C7198" t="n">
        <v>0.0028</v>
      </c>
    </row>
    <row r="7199">
      <c r="A7199" t="n">
        <v>109</v>
      </c>
      <c r="B7199" t="n">
        <v>2018</v>
      </c>
      <c r="C7199" t="n">
        <v>0.0027</v>
      </c>
    </row>
    <row r="7200">
      <c r="A7200" t="n">
        <v>109</v>
      </c>
      <c r="B7200" t="n">
        <v>2019</v>
      </c>
      <c r="C7200" t="n">
        <v>0.0026</v>
      </c>
    </row>
    <row r="7201">
      <c r="A7201" t="n">
        <v>109</v>
      </c>
      <c r="B7201" t="n">
        <v>2020</v>
      </c>
      <c r="C7201" t="n">
        <v>0.0025</v>
      </c>
    </row>
    <row r="7202">
      <c r="A7202" t="n">
        <v>109</v>
      </c>
      <c r="B7202" t="n">
        <v>2021</v>
      </c>
      <c r="C7202" t="n">
        <v>0.0024</v>
      </c>
    </row>
    <row r="7203">
      <c r="A7203" t="n">
        <v>109</v>
      </c>
      <c r="B7203" t="n">
        <v>2022</v>
      </c>
      <c r="C7203" t="n">
        <v>0.0024</v>
      </c>
    </row>
    <row r="7204">
      <c r="A7204" t="n">
        <v>109</v>
      </c>
      <c r="B7204" t="n">
        <v>2023</v>
      </c>
      <c r="C7204" t="n">
        <v>0.0024</v>
      </c>
    </row>
    <row r="7205">
      <c r="A7205" t="n">
        <v>109</v>
      </c>
      <c r="B7205" t="n">
        <v>2024</v>
      </c>
      <c r="C7205" t="n">
        <v>0.0024</v>
      </c>
    </row>
    <row r="7206">
      <c r="A7206" t="n">
        <v>109</v>
      </c>
      <c r="B7206" t="n">
        <v>2025</v>
      </c>
      <c r="C7206" t="n">
        <v>0.0024</v>
      </c>
    </row>
    <row r="7207">
      <c r="A7207" t="n">
        <v>109</v>
      </c>
      <c r="B7207" t="n">
        <v>2026</v>
      </c>
      <c r="C7207" t="n">
        <v>0.0024</v>
      </c>
    </row>
    <row r="7208">
      <c r="A7208" t="n">
        <v>109</v>
      </c>
      <c r="B7208" t="n">
        <v>2027</v>
      </c>
      <c r="C7208" t="n">
        <v>0.0024</v>
      </c>
    </row>
    <row r="7209">
      <c r="A7209" t="n">
        <v>109</v>
      </c>
      <c r="B7209" t="n">
        <v>2028</v>
      </c>
      <c r="C7209" t="n">
        <v>0.0024</v>
      </c>
    </row>
    <row r="7210">
      <c r="A7210" t="n">
        <v>109</v>
      </c>
      <c r="B7210" t="n">
        <v>2029</v>
      </c>
      <c r="C7210" t="n">
        <v>0.0024</v>
      </c>
    </row>
    <row r="7211">
      <c r="A7211" t="n">
        <v>109</v>
      </c>
      <c r="B7211" t="n">
        <v>2030</v>
      </c>
      <c r="C7211" t="n">
        <v>0.0024</v>
      </c>
    </row>
    <row r="7212">
      <c r="A7212" t="n">
        <v>109</v>
      </c>
      <c r="B7212" t="n">
        <v>2031</v>
      </c>
      <c r="C7212" t="n">
        <v>0.0025</v>
      </c>
    </row>
    <row r="7213">
      <c r="A7213" t="n">
        <v>110</v>
      </c>
      <c r="B7213" t="n">
        <v>1951</v>
      </c>
      <c r="C7213" t="n">
        <v>-0.0048</v>
      </c>
    </row>
    <row r="7214">
      <c r="A7214" t="n">
        <v>110</v>
      </c>
      <c r="B7214" t="n">
        <v>1952</v>
      </c>
      <c r="C7214" t="n">
        <v>-0.0044</v>
      </c>
    </row>
    <row r="7215">
      <c r="A7215" t="n">
        <v>110</v>
      </c>
      <c r="B7215" t="n">
        <v>1953</v>
      </c>
      <c r="C7215" t="n">
        <v>-0.0041</v>
      </c>
    </row>
    <row r="7216">
      <c r="A7216" t="n">
        <v>110</v>
      </c>
      <c r="B7216" t="n">
        <v>1954</v>
      </c>
      <c r="C7216" t="n">
        <v>-0.0037</v>
      </c>
    </row>
    <row r="7217">
      <c r="A7217" t="n">
        <v>110</v>
      </c>
      <c r="B7217" t="n">
        <v>1955</v>
      </c>
      <c r="C7217" t="n">
        <v>-0.0034</v>
      </c>
    </row>
    <row r="7218">
      <c r="A7218" t="n">
        <v>110</v>
      </c>
      <c r="B7218" t="n">
        <v>1956</v>
      </c>
      <c r="C7218" t="n">
        <v>-0.003</v>
      </c>
    </row>
    <row r="7219">
      <c r="A7219" t="n">
        <v>110</v>
      </c>
      <c r="B7219" t="n">
        <v>1957</v>
      </c>
      <c r="C7219" t="n">
        <v>-0.0026</v>
      </c>
    </row>
    <row r="7220">
      <c r="A7220" t="n">
        <v>110</v>
      </c>
      <c r="B7220" t="n">
        <v>1958</v>
      </c>
      <c r="C7220" t="n">
        <v>-0.0022</v>
      </c>
    </row>
    <row r="7221">
      <c r="A7221" t="n">
        <v>110</v>
      </c>
      <c r="B7221" t="n">
        <v>1959</v>
      </c>
      <c r="C7221" t="n">
        <v>-0.0018</v>
      </c>
    </row>
    <row r="7222">
      <c r="A7222" t="n">
        <v>110</v>
      </c>
      <c r="B7222" t="n">
        <v>1960</v>
      </c>
      <c r="C7222" t="n">
        <v>-0.0014</v>
      </c>
    </row>
    <row r="7223">
      <c r="A7223" t="n">
        <v>110</v>
      </c>
      <c r="B7223" t="n">
        <v>1961</v>
      </c>
      <c r="C7223" t="n">
        <v>-0.001</v>
      </c>
    </row>
    <row r="7224">
      <c r="A7224" t="n">
        <v>110</v>
      </c>
      <c r="B7224" t="n">
        <v>1962</v>
      </c>
      <c r="C7224" t="n">
        <v>-0.0005</v>
      </c>
    </row>
    <row r="7225">
      <c r="A7225" t="n">
        <v>110</v>
      </c>
      <c r="B7225" t="n">
        <v>1963</v>
      </c>
      <c r="C7225" t="n">
        <v>0</v>
      </c>
    </row>
    <row r="7226">
      <c r="A7226" t="n">
        <v>110</v>
      </c>
      <c r="B7226" t="n">
        <v>1964</v>
      </c>
      <c r="C7226" t="n">
        <v>0.0004</v>
      </c>
    </row>
    <row r="7227">
      <c r="A7227" t="n">
        <v>110</v>
      </c>
      <c r="B7227" t="n">
        <v>1965</v>
      </c>
      <c r="C7227" t="n">
        <v>0.0009</v>
      </c>
    </row>
    <row r="7228">
      <c r="A7228" t="n">
        <v>110</v>
      </c>
      <c r="B7228" t="n">
        <v>1966</v>
      </c>
      <c r="C7228" t="n">
        <v>0.0013</v>
      </c>
    </row>
    <row r="7229">
      <c r="A7229" t="n">
        <v>110</v>
      </c>
      <c r="B7229" t="n">
        <v>1967</v>
      </c>
      <c r="C7229" t="n">
        <v>0.0018</v>
      </c>
    </row>
    <row r="7230">
      <c r="A7230" t="n">
        <v>110</v>
      </c>
      <c r="B7230" t="n">
        <v>1968</v>
      </c>
      <c r="C7230" t="n">
        <v>0.0021</v>
      </c>
    </row>
    <row r="7231">
      <c r="A7231" t="n">
        <v>110</v>
      </c>
      <c r="B7231" t="n">
        <v>1969</v>
      </c>
      <c r="C7231" t="n">
        <v>0.0025</v>
      </c>
    </row>
    <row r="7232">
      <c r="A7232" t="n">
        <v>110</v>
      </c>
      <c r="B7232" t="n">
        <v>1970</v>
      </c>
      <c r="C7232" t="n">
        <v>0.0028</v>
      </c>
    </row>
    <row r="7233">
      <c r="A7233" t="n">
        <v>110</v>
      </c>
      <c r="B7233" t="n">
        <v>1971</v>
      </c>
      <c r="C7233" t="n">
        <v>0.003</v>
      </c>
    </row>
    <row r="7234">
      <c r="A7234" t="n">
        <v>110</v>
      </c>
      <c r="B7234" t="n">
        <v>1972</v>
      </c>
      <c r="C7234" t="n">
        <v>0.0031</v>
      </c>
    </row>
    <row r="7235">
      <c r="A7235" t="n">
        <v>110</v>
      </c>
      <c r="B7235" t="n">
        <v>1973</v>
      </c>
      <c r="C7235" t="n">
        <v>0.0032</v>
      </c>
    </row>
    <row r="7236">
      <c r="A7236" t="n">
        <v>110</v>
      </c>
      <c r="B7236" t="n">
        <v>1974</v>
      </c>
      <c r="C7236" t="n">
        <v>0.0032</v>
      </c>
    </row>
    <row r="7237">
      <c r="A7237" t="n">
        <v>110</v>
      </c>
      <c r="B7237" t="n">
        <v>1975</v>
      </c>
      <c r="C7237" t="n">
        <v>0.0032</v>
      </c>
    </row>
    <row r="7238">
      <c r="A7238" t="n">
        <v>110</v>
      </c>
      <c r="B7238" t="n">
        <v>1976</v>
      </c>
      <c r="C7238" t="n">
        <v>0.0031</v>
      </c>
    </row>
    <row r="7239">
      <c r="A7239" t="n">
        <v>110</v>
      </c>
      <c r="B7239" t="n">
        <v>1977</v>
      </c>
      <c r="C7239" t="n">
        <v>0.0029</v>
      </c>
    </row>
    <row r="7240">
      <c r="A7240" t="n">
        <v>110</v>
      </c>
      <c r="B7240" t="n">
        <v>1978</v>
      </c>
      <c r="C7240" t="n">
        <v>0.0026</v>
      </c>
    </row>
    <row r="7241">
      <c r="A7241" t="n">
        <v>110</v>
      </c>
      <c r="B7241" t="n">
        <v>1979</v>
      </c>
      <c r="C7241" t="n">
        <v>0.0023</v>
      </c>
    </row>
    <row r="7242">
      <c r="A7242" t="n">
        <v>110</v>
      </c>
      <c r="B7242" t="n">
        <v>1980</v>
      </c>
      <c r="C7242" t="n">
        <v>0.002</v>
      </c>
    </row>
    <row r="7243">
      <c r="A7243" t="n">
        <v>110</v>
      </c>
      <c r="B7243" t="n">
        <v>1981</v>
      </c>
      <c r="C7243" t="n">
        <v>0.0016</v>
      </c>
    </row>
    <row r="7244">
      <c r="A7244" t="n">
        <v>110</v>
      </c>
      <c r="B7244" t="n">
        <v>1982</v>
      </c>
      <c r="C7244" t="n">
        <v>0.0012</v>
      </c>
    </row>
    <row r="7245">
      <c r="A7245" t="n">
        <v>110</v>
      </c>
      <c r="B7245" t="n">
        <v>1983</v>
      </c>
      <c r="C7245" t="n">
        <v>0.0007</v>
      </c>
    </row>
    <row r="7246">
      <c r="A7246" t="n">
        <v>110</v>
      </c>
      <c r="B7246" t="n">
        <v>1984</v>
      </c>
      <c r="C7246" t="n">
        <v>0.0003</v>
      </c>
    </row>
    <row r="7247">
      <c r="A7247" t="n">
        <v>110</v>
      </c>
      <c r="B7247" t="n">
        <v>1985</v>
      </c>
      <c r="C7247" t="n">
        <v>-0.0001</v>
      </c>
    </row>
    <row r="7248">
      <c r="A7248" t="n">
        <v>110</v>
      </c>
      <c r="B7248" t="n">
        <v>1986</v>
      </c>
      <c r="C7248" t="n">
        <v>-0.0005999999999999999</v>
      </c>
    </row>
    <row r="7249">
      <c r="A7249" t="n">
        <v>110</v>
      </c>
      <c r="B7249" t="n">
        <v>1987</v>
      </c>
      <c r="C7249" t="n">
        <v>-0.0009</v>
      </c>
    </row>
    <row r="7250">
      <c r="A7250" t="n">
        <v>110</v>
      </c>
      <c r="B7250" t="n">
        <v>1988</v>
      </c>
      <c r="C7250" t="n">
        <v>-0.0013</v>
      </c>
    </row>
    <row r="7251">
      <c r="A7251" t="n">
        <v>110</v>
      </c>
      <c r="B7251" t="n">
        <v>1989</v>
      </c>
      <c r="C7251" t="n">
        <v>-0.0016</v>
      </c>
    </row>
    <row r="7252">
      <c r="A7252" t="n">
        <v>110</v>
      </c>
      <c r="B7252" t="n">
        <v>1990</v>
      </c>
      <c r="C7252" t="n">
        <v>-0.0018</v>
      </c>
    </row>
    <row r="7253">
      <c r="A7253" t="n">
        <v>110</v>
      </c>
      <c r="B7253" t="n">
        <v>1991</v>
      </c>
      <c r="C7253" t="n">
        <v>-0.002</v>
      </c>
    </row>
    <row r="7254">
      <c r="A7254" t="n">
        <v>110</v>
      </c>
      <c r="B7254" t="n">
        <v>1992</v>
      </c>
      <c r="C7254" t="n">
        <v>-0.0022</v>
      </c>
    </row>
    <row r="7255">
      <c r="A7255" t="n">
        <v>110</v>
      </c>
      <c r="B7255" t="n">
        <v>1993</v>
      </c>
      <c r="C7255" t="n">
        <v>-0.0023</v>
      </c>
    </row>
    <row r="7256">
      <c r="A7256" t="n">
        <v>110</v>
      </c>
      <c r="B7256" t="n">
        <v>1994</v>
      </c>
      <c r="C7256" t="n">
        <v>-0.0023</v>
      </c>
    </row>
    <row r="7257">
      <c r="A7257" t="n">
        <v>110</v>
      </c>
      <c r="B7257" t="n">
        <v>1995</v>
      </c>
      <c r="C7257" t="n">
        <v>-0.0022</v>
      </c>
    </row>
    <row r="7258">
      <c r="A7258" t="n">
        <v>110</v>
      </c>
      <c r="B7258" t="n">
        <v>1996</v>
      </c>
      <c r="C7258" t="n">
        <v>-0.0021</v>
      </c>
    </row>
    <row r="7259">
      <c r="A7259" t="n">
        <v>110</v>
      </c>
      <c r="B7259" t="n">
        <v>1997</v>
      </c>
      <c r="C7259" t="n">
        <v>-0.0019</v>
      </c>
    </row>
    <row r="7260">
      <c r="A7260" t="n">
        <v>110</v>
      </c>
      <c r="B7260" t="n">
        <v>1998</v>
      </c>
      <c r="C7260" t="n">
        <v>-0.0017</v>
      </c>
    </row>
    <row r="7261">
      <c r="A7261" t="n">
        <v>110</v>
      </c>
      <c r="B7261" t="n">
        <v>1999</v>
      </c>
      <c r="C7261" t="n">
        <v>-0.0014</v>
      </c>
    </row>
    <row r="7262">
      <c r="A7262" t="n">
        <v>110</v>
      </c>
      <c r="B7262" t="n">
        <v>2000</v>
      </c>
      <c r="C7262" t="n">
        <v>-0.0011</v>
      </c>
    </row>
    <row r="7263">
      <c r="A7263" t="n">
        <v>110</v>
      </c>
      <c r="B7263" t="n">
        <v>2001</v>
      </c>
      <c r="C7263" t="n">
        <v>-0.0007</v>
      </c>
    </row>
    <row r="7264">
      <c r="A7264" t="n">
        <v>110</v>
      </c>
      <c r="B7264" t="n">
        <v>2002</v>
      </c>
      <c r="C7264" t="n">
        <v>-0.0003</v>
      </c>
    </row>
    <row r="7265">
      <c r="A7265" t="n">
        <v>110</v>
      </c>
      <c r="B7265" t="n">
        <v>2003</v>
      </c>
      <c r="C7265" t="n">
        <v>0.0001</v>
      </c>
    </row>
    <row r="7266">
      <c r="A7266" t="n">
        <v>110</v>
      </c>
      <c r="B7266" t="n">
        <v>2004</v>
      </c>
      <c r="C7266" t="n">
        <v>0.0005</v>
      </c>
    </row>
    <row r="7267">
      <c r="A7267" t="n">
        <v>110</v>
      </c>
      <c r="B7267" t="n">
        <v>2005</v>
      </c>
      <c r="C7267" t="n">
        <v>0.0009</v>
      </c>
    </row>
    <row r="7268">
      <c r="A7268" t="n">
        <v>110</v>
      </c>
      <c r="B7268" t="n">
        <v>2006</v>
      </c>
      <c r="C7268" t="n">
        <v>0.0013</v>
      </c>
    </row>
    <row r="7269">
      <c r="A7269" t="n">
        <v>110</v>
      </c>
      <c r="B7269" t="n">
        <v>2007</v>
      </c>
      <c r="C7269" t="n">
        <v>0.0016</v>
      </c>
    </row>
    <row r="7270">
      <c r="A7270" t="n">
        <v>110</v>
      </c>
      <c r="B7270" t="n">
        <v>2008</v>
      </c>
      <c r="C7270" t="n">
        <v>0.0019</v>
      </c>
    </row>
    <row r="7271">
      <c r="A7271" t="n">
        <v>110</v>
      </c>
      <c r="B7271" t="n">
        <v>2009</v>
      </c>
      <c r="C7271" t="n">
        <v>0.0022</v>
      </c>
    </row>
    <row r="7272">
      <c r="A7272" t="n">
        <v>110</v>
      </c>
      <c r="B7272" t="n">
        <v>2010</v>
      </c>
      <c r="C7272" t="n">
        <v>0.0025</v>
      </c>
    </row>
    <row r="7273">
      <c r="A7273" t="n">
        <v>110</v>
      </c>
      <c r="B7273" t="n">
        <v>2011</v>
      </c>
      <c r="C7273" t="n">
        <v>0.0027</v>
      </c>
    </row>
    <row r="7274">
      <c r="A7274" t="n">
        <v>110</v>
      </c>
      <c r="B7274" t="n">
        <v>2012</v>
      </c>
      <c r="C7274" t="n">
        <v>0.003</v>
      </c>
    </row>
    <row r="7275">
      <c r="A7275" t="n">
        <v>110</v>
      </c>
      <c r="B7275" t="n">
        <v>2013</v>
      </c>
      <c r="C7275" t="n">
        <v>0.0029</v>
      </c>
    </row>
    <row r="7276">
      <c r="A7276" t="n">
        <v>110</v>
      </c>
      <c r="B7276" t="n">
        <v>2014</v>
      </c>
      <c r="C7276" t="n">
        <v>0.0027</v>
      </c>
    </row>
    <row r="7277">
      <c r="A7277" t="n">
        <v>110</v>
      </c>
      <c r="B7277" t="n">
        <v>2015</v>
      </c>
      <c r="C7277" t="n">
        <v>0.0026</v>
      </c>
    </row>
    <row r="7278">
      <c r="A7278" t="n">
        <v>110</v>
      </c>
      <c r="B7278" t="n">
        <v>2016</v>
      </c>
      <c r="C7278" t="n">
        <v>0.0025</v>
      </c>
    </row>
    <row r="7279">
      <c r="A7279" t="n">
        <v>110</v>
      </c>
      <c r="B7279" t="n">
        <v>2017</v>
      </c>
      <c r="C7279" t="n">
        <v>0.0024</v>
      </c>
    </row>
    <row r="7280">
      <c r="A7280" t="n">
        <v>110</v>
      </c>
      <c r="B7280" t="n">
        <v>2018</v>
      </c>
      <c r="C7280" t="n">
        <v>0.0022</v>
      </c>
    </row>
    <row r="7281">
      <c r="A7281" t="n">
        <v>110</v>
      </c>
      <c r="B7281" t="n">
        <v>2019</v>
      </c>
      <c r="C7281" t="n">
        <v>0.0021</v>
      </c>
    </row>
    <row r="7282">
      <c r="A7282" t="n">
        <v>110</v>
      </c>
      <c r="B7282" t="n">
        <v>2020</v>
      </c>
      <c r="C7282" t="n">
        <v>0.0021</v>
      </c>
    </row>
    <row r="7283">
      <c r="A7283" t="n">
        <v>110</v>
      </c>
      <c r="B7283" t="n">
        <v>2021</v>
      </c>
      <c r="C7283" t="n">
        <v>0.002</v>
      </c>
    </row>
    <row r="7284">
      <c r="A7284" t="n">
        <v>110</v>
      </c>
      <c r="B7284" t="n">
        <v>2022</v>
      </c>
      <c r="C7284" t="n">
        <v>0.002</v>
      </c>
    </row>
    <row r="7285">
      <c r="A7285" t="n">
        <v>110</v>
      </c>
      <c r="B7285" t="n">
        <v>2023</v>
      </c>
      <c r="C7285" t="n">
        <v>0.002</v>
      </c>
    </row>
    <row r="7286">
      <c r="A7286" t="n">
        <v>110</v>
      </c>
      <c r="B7286" t="n">
        <v>2024</v>
      </c>
      <c r="C7286" t="n">
        <v>0.002</v>
      </c>
    </row>
    <row r="7287">
      <c r="A7287" t="n">
        <v>110</v>
      </c>
      <c r="B7287" t="n">
        <v>2025</v>
      </c>
      <c r="C7287" t="n">
        <v>0.002</v>
      </c>
    </row>
    <row r="7288">
      <c r="A7288" t="n">
        <v>110</v>
      </c>
      <c r="B7288" t="n">
        <v>2026</v>
      </c>
      <c r="C7288" t="n">
        <v>0.002</v>
      </c>
    </row>
    <row r="7289">
      <c r="A7289" t="n">
        <v>110</v>
      </c>
      <c r="B7289" t="n">
        <v>2027</v>
      </c>
      <c r="C7289" t="n">
        <v>0.002</v>
      </c>
    </row>
    <row r="7290">
      <c r="A7290" t="n">
        <v>110</v>
      </c>
      <c r="B7290" t="n">
        <v>2028</v>
      </c>
      <c r="C7290" t="n">
        <v>0.002</v>
      </c>
    </row>
    <row r="7291">
      <c r="A7291" t="n">
        <v>110</v>
      </c>
      <c r="B7291" t="n">
        <v>2029</v>
      </c>
      <c r="C7291" t="n">
        <v>0.002</v>
      </c>
    </row>
    <row r="7292">
      <c r="A7292" t="n">
        <v>110</v>
      </c>
      <c r="B7292" t="n">
        <v>2030</v>
      </c>
      <c r="C7292" t="n">
        <v>0.002</v>
      </c>
    </row>
    <row r="7293">
      <c r="A7293" t="n">
        <v>110</v>
      </c>
      <c r="B7293" t="n">
        <v>2031</v>
      </c>
      <c r="C7293" t="n">
        <v>0.0021</v>
      </c>
    </row>
    <row r="7294">
      <c r="A7294" t="n">
        <v>111</v>
      </c>
      <c r="B7294" t="n">
        <v>1951</v>
      </c>
      <c r="C7294" t="n">
        <v>-0.0038</v>
      </c>
    </row>
    <row r="7295">
      <c r="A7295" t="n">
        <v>111</v>
      </c>
      <c r="B7295" t="n">
        <v>1952</v>
      </c>
      <c r="C7295" t="n">
        <v>-0.0035</v>
      </c>
    </row>
    <row r="7296">
      <c r="A7296" t="n">
        <v>111</v>
      </c>
      <c r="B7296" t="n">
        <v>1953</v>
      </c>
      <c r="C7296" t="n">
        <v>-0.0033</v>
      </c>
    </row>
    <row r="7297">
      <c r="A7297" t="n">
        <v>111</v>
      </c>
      <c r="B7297" t="n">
        <v>1954</v>
      </c>
      <c r="C7297" t="n">
        <v>-0.003</v>
      </c>
    </row>
    <row r="7298">
      <c r="A7298" t="n">
        <v>111</v>
      </c>
      <c r="B7298" t="n">
        <v>1955</v>
      </c>
      <c r="C7298" t="n">
        <v>-0.0027</v>
      </c>
    </row>
    <row r="7299">
      <c r="A7299" t="n">
        <v>111</v>
      </c>
      <c r="B7299" t="n">
        <v>1956</v>
      </c>
      <c r="C7299" t="n">
        <v>-0.0024</v>
      </c>
    </row>
    <row r="7300">
      <c r="A7300" t="n">
        <v>111</v>
      </c>
      <c r="B7300" t="n">
        <v>1957</v>
      </c>
      <c r="C7300" t="n">
        <v>-0.0021</v>
      </c>
    </row>
    <row r="7301">
      <c r="A7301" t="n">
        <v>111</v>
      </c>
      <c r="B7301" t="n">
        <v>1958</v>
      </c>
      <c r="C7301" t="n">
        <v>-0.0018</v>
      </c>
    </row>
    <row r="7302">
      <c r="A7302" t="n">
        <v>111</v>
      </c>
      <c r="B7302" t="n">
        <v>1959</v>
      </c>
      <c r="C7302" t="n">
        <v>-0.0015</v>
      </c>
    </row>
    <row r="7303">
      <c r="A7303" t="n">
        <v>111</v>
      </c>
      <c r="B7303" t="n">
        <v>1960</v>
      </c>
      <c r="C7303" t="n">
        <v>-0.0011</v>
      </c>
    </row>
    <row r="7304">
      <c r="A7304" t="n">
        <v>111</v>
      </c>
      <c r="B7304" t="n">
        <v>1961</v>
      </c>
      <c r="C7304" t="n">
        <v>-0.0008</v>
      </c>
    </row>
    <row r="7305">
      <c r="A7305" t="n">
        <v>111</v>
      </c>
      <c r="B7305" t="n">
        <v>1962</v>
      </c>
      <c r="C7305" t="n">
        <v>-0.0004</v>
      </c>
    </row>
    <row r="7306">
      <c r="A7306" t="n">
        <v>111</v>
      </c>
      <c r="B7306" t="n">
        <v>1963</v>
      </c>
      <c r="C7306" t="n">
        <v>0</v>
      </c>
    </row>
    <row r="7307">
      <c r="A7307" t="n">
        <v>111</v>
      </c>
      <c r="B7307" t="n">
        <v>1964</v>
      </c>
      <c r="C7307" t="n">
        <v>0.0003</v>
      </c>
    </row>
    <row r="7308">
      <c r="A7308" t="n">
        <v>111</v>
      </c>
      <c r="B7308" t="n">
        <v>1965</v>
      </c>
      <c r="C7308" t="n">
        <v>0.0007</v>
      </c>
    </row>
    <row r="7309">
      <c r="A7309" t="n">
        <v>111</v>
      </c>
      <c r="B7309" t="n">
        <v>1966</v>
      </c>
      <c r="C7309" t="n">
        <v>0.0011</v>
      </c>
    </row>
    <row r="7310">
      <c r="A7310" t="n">
        <v>111</v>
      </c>
      <c r="B7310" t="n">
        <v>1967</v>
      </c>
      <c r="C7310" t="n">
        <v>0.0014</v>
      </c>
    </row>
    <row r="7311">
      <c r="A7311" t="n">
        <v>111</v>
      </c>
      <c r="B7311" t="n">
        <v>1968</v>
      </c>
      <c r="C7311" t="n">
        <v>0.0017</v>
      </c>
    </row>
    <row r="7312">
      <c r="A7312" t="n">
        <v>111</v>
      </c>
      <c r="B7312" t="n">
        <v>1969</v>
      </c>
      <c r="C7312" t="n">
        <v>0.002</v>
      </c>
    </row>
    <row r="7313">
      <c r="A7313" t="n">
        <v>111</v>
      </c>
      <c r="B7313" t="n">
        <v>1970</v>
      </c>
      <c r="C7313" t="n">
        <v>0.0022</v>
      </c>
    </row>
    <row r="7314">
      <c r="A7314" t="n">
        <v>111</v>
      </c>
      <c r="B7314" t="n">
        <v>1971</v>
      </c>
      <c r="C7314" t="n">
        <v>0.0024</v>
      </c>
    </row>
    <row r="7315">
      <c r="A7315" t="n">
        <v>111</v>
      </c>
      <c r="B7315" t="n">
        <v>1972</v>
      </c>
      <c r="C7315" t="n">
        <v>0.0025</v>
      </c>
    </row>
    <row r="7316">
      <c r="A7316" t="n">
        <v>111</v>
      </c>
      <c r="B7316" t="n">
        <v>1973</v>
      </c>
      <c r="C7316" t="n">
        <v>0.0026</v>
      </c>
    </row>
    <row r="7317">
      <c r="A7317" t="n">
        <v>111</v>
      </c>
      <c r="B7317" t="n">
        <v>1974</v>
      </c>
      <c r="C7317" t="n">
        <v>0.0026</v>
      </c>
    </row>
    <row r="7318">
      <c r="A7318" t="n">
        <v>111</v>
      </c>
      <c r="B7318" t="n">
        <v>1975</v>
      </c>
      <c r="C7318" t="n">
        <v>0.0026</v>
      </c>
    </row>
    <row r="7319">
      <c r="A7319" t="n">
        <v>111</v>
      </c>
      <c r="B7319" t="n">
        <v>1976</v>
      </c>
      <c r="C7319" t="n">
        <v>0.0025</v>
      </c>
    </row>
    <row r="7320">
      <c r="A7320" t="n">
        <v>111</v>
      </c>
      <c r="B7320" t="n">
        <v>1977</v>
      </c>
      <c r="C7320" t="n">
        <v>0.0023</v>
      </c>
    </row>
    <row r="7321">
      <c r="A7321" t="n">
        <v>111</v>
      </c>
      <c r="B7321" t="n">
        <v>1978</v>
      </c>
      <c r="C7321" t="n">
        <v>0.0021</v>
      </c>
    </row>
    <row r="7322">
      <c r="A7322" t="n">
        <v>111</v>
      </c>
      <c r="B7322" t="n">
        <v>1979</v>
      </c>
      <c r="C7322" t="n">
        <v>0.0019</v>
      </c>
    </row>
    <row r="7323">
      <c r="A7323" t="n">
        <v>111</v>
      </c>
      <c r="B7323" t="n">
        <v>1980</v>
      </c>
      <c r="C7323" t="n">
        <v>0.0016</v>
      </c>
    </row>
    <row r="7324">
      <c r="A7324" t="n">
        <v>111</v>
      </c>
      <c r="B7324" t="n">
        <v>1981</v>
      </c>
      <c r="C7324" t="n">
        <v>0.0013</v>
      </c>
    </row>
    <row r="7325">
      <c r="A7325" t="n">
        <v>111</v>
      </c>
      <c r="B7325" t="n">
        <v>1982</v>
      </c>
      <c r="C7325" t="n">
        <v>0.0009</v>
      </c>
    </row>
    <row r="7326">
      <c r="A7326" t="n">
        <v>111</v>
      </c>
      <c r="B7326" t="n">
        <v>1983</v>
      </c>
      <c r="C7326" t="n">
        <v>0.0005999999999999999</v>
      </c>
    </row>
    <row r="7327">
      <c r="A7327" t="n">
        <v>111</v>
      </c>
      <c r="B7327" t="n">
        <v>1984</v>
      </c>
      <c r="C7327" t="n">
        <v>0.0002</v>
      </c>
    </row>
    <row r="7328">
      <c r="A7328" t="n">
        <v>111</v>
      </c>
      <c r="B7328" t="n">
        <v>1985</v>
      </c>
      <c r="C7328" t="n">
        <v>-0.0001</v>
      </c>
    </row>
    <row r="7329">
      <c r="A7329" t="n">
        <v>111</v>
      </c>
      <c r="B7329" t="n">
        <v>1986</v>
      </c>
      <c r="C7329" t="n">
        <v>-0.0004</v>
      </c>
    </row>
    <row r="7330">
      <c r="A7330" t="n">
        <v>111</v>
      </c>
      <c r="B7330" t="n">
        <v>1987</v>
      </c>
      <c r="C7330" t="n">
        <v>-0.0008</v>
      </c>
    </row>
    <row r="7331">
      <c r="A7331" t="n">
        <v>111</v>
      </c>
      <c r="B7331" t="n">
        <v>1988</v>
      </c>
      <c r="C7331" t="n">
        <v>-0.001</v>
      </c>
    </row>
    <row r="7332">
      <c r="A7332" t="n">
        <v>111</v>
      </c>
      <c r="B7332" t="n">
        <v>1989</v>
      </c>
      <c r="C7332" t="n">
        <v>-0.0013</v>
      </c>
    </row>
    <row r="7333">
      <c r="A7333" t="n">
        <v>111</v>
      </c>
      <c r="B7333" t="n">
        <v>1990</v>
      </c>
      <c r="C7333" t="n">
        <v>-0.0015</v>
      </c>
    </row>
    <row r="7334">
      <c r="A7334" t="n">
        <v>111</v>
      </c>
      <c r="B7334" t="n">
        <v>1991</v>
      </c>
      <c r="C7334" t="n">
        <v>-0.0016</v>
      </c>
    </row>
    <row r="7335">
      <c r="A7335" t="n">
        <v>111</v>
      </c>
      <c r="B7335" t="n">
        <v>1992</v>
      </c>
      <c r="C7335" t="n">
        <v>-0.0017</v>
      </c>
    </row>
    <row r="7336">
      <c r="A7336" t="n">
        <v>111</v>
      </c>
      <c r="B7336" t="n">
        <v>1993</v>
      </c>
      <c r="C7336" t="n">
        <v>-0.0018</v>
      </c>
    </row>
    <row r="7337">
      <c r="A7337" t="n">
        <v>111</v>
      </c>
      <c r="B7337" t="n">
        <v>1994</v>
      </c>
      <c r="C7337" t="n">
        <v>-0.0018</v>
      </c>
    </row>
    <row r="7338">
      <c r="A7338" t="n">
        <v>111</v>
      </c>
      <c r="B7338" t="n">
        <v>1995</v>
      </c>
      <c r="C7338" t="n">
        <v>-0.0018</v>
      </c>
    </row>
    <row r="7339">
      <c r="A7339" t="n">
        <v>111</v>
      </c>
      <c r="B7339" t="n">
        <v>1996</v>
      </c>
      <c r="C7339" t="n">
        <v>-0.0017</v>
      </c>
    </row>
    <row r="7340">
      <c r="A7340" t="n">
        <v>111</v>
      </c>
      <c r="B7340" t="n">
        <v>1997</v>
      </c>
      <c r="C7340" t="n">
        <v>-0.0015</v>
      </c>
    </row>
    <row r="7341">
      <c r="A7341" t="n">
        <v>111</v>
      </c>
      <c r="B7341" t="n">
        <v>1998</v>
      </c>
      <c r="C7341" t="n">
        <v>-0.0013</v>
      </c>
    </row>
    <row r="7342">
      <c r="A7342" t="n">
        <v>111</v>
      </c>
      <c r="B7342" t="n">
        <v>1999</v>
      </c>
      <c r="C7342" t="n">
        <v>-0.0011</v>
      </c>
    </row>
    <row r="7343">
      <c r="A7343" t="n">
        <v>111</v>
      </c>
      <c r="B7343" t="n">
        <v>2000</v>
      </c>
      <c r="C7343" t="n">
        <v>-0.0008</v>
      </c>
    </row>
    <row r="7344">
      <c r="A7344" t="n">
        <v>111</v>
      </c>
      <c r="B7344" t="n">
        <v>2001</v>
      </c>
      <c r="C7344" t="n">
        <v>-0.0005</v>
      </c>
    </row>
    <row r="7345">
      <c r="A7345" t="n">
        <v>111</v>
      </c>
      <c r="B7345" t="n">
        <v>2002</v>
      </c>
      <c r="C7345" t="n">
        <v>-0.0002</v>
      </c>
    </row>
    <row r="7346">
      <c r="A7346" t="n">
        <v>111</v>
      </c>
      <c r="B7346" t="n">
        <v>2003</v>
      </c>
      <c r="C7346" t="n">
        <v>0.0001</v>
      </c>
    </row>
    <row r="7347">
      <c r="A7347" t="n">
        <v>111</v>
      </c>
      <c r="B7347" t="n">
        <v>2004</v>
      </c>
      <c r="C7347" t="n">
        <v>0.0004</v>
      </c>
    </row>
    <row r="7348">
      <c r="A7348" t="n">
        <v>111</v>
      </c>
      <c r="B7348" t="n">
        <v>2005</v>
      </c>
      <c r="C7348" t="n">
        <v>0.0007</v>
      </c>
    </row>
    <row r="7349">
      <c r="A7349" t="n">
        <v>111</v>
      </c>
      <c r="B7349" t="n">
        <v>2006</v>
      </c>
      <c r="C7349" t="n">
        <v>0.001</v>
      </c>
    </row>
    <row r="7350">
      <c r="A7350" t="n">
        <v>111</v>
      </c>
      <c r="B7350" t="n">
        <v>2007</v>
      </c>
      <c r="C7350" t="n">
        <v>0.0013</v>
      </c>
    </row>
    <row r="7351">
      <c r="A7351" t="n">
        <v>111</v>
      </c>
      <c r="B7351" t="n">
        <v>2008</v>
      </c>
      <c r="C7351" t="n">
        <v>0.0015</v>
      </c>
    </row>
    <row r="7352">
      <c r="A7352" t="n">
        <v>111</v>
      </c>
      <c r="B7352" t="n">
        <v>2009</v>
      </c>
      <c r="C7352" t="n">
        <v>0.0018</v>
      </c>
    </row>
    <row r="7353">
      <c r="A7353" t="n">
        <v>111</v>
      </c>
      <c r="B7353" t="n">
        <v>2010</v>
      </c>
      <c r="C7353" t="n">
        <v>0.002</v>
      </c>
    </row>
    <row r="7354">
      <c r="A7354" t="n">
        <v>111</v>
      </c>
      <c r="B7354" t="n">
        <v>2011</v>
      </c>
      <c r="C7354" t="n">
        <v>0.0022</v>
      </c>
    </row>
    <row r="7355">
      <c r="A7355" t="n">
        <v>111</v>
      </c>
      <c r="B7355" t="n">
        <v>2012</v>
      </c>
      <c r="C7355" t="n">
        <v>0.0024</v>
      </c>
    </row>
    <row r="7356">
      <c r="A7356" t="n">
        <v>111</v>
      </c>
      <c r="B7356" t="n">
        <v>2013</v>
      </c>
      <c r="C7356" t="n">
        <v>0.0023</v>
      </c>
    </row>
    <row r="7357">
      <c r="A7357" t="n">
        <v>111</v>
      </c>
      <c r="B7357" t="n">
        <v>2014</v>
      </c>
      <c r="C7357" t="n">
        <v>0.0022</v>
      </c>
    </row>
    <row r="7358">
      <c r="A7358" t="n">
        <v>111</v>
      </c>
      <c r="B7358" t="n">
        <v>2015</v>
      </c>
      <c r="C7358" t="n">
        <v>0.0021</v>
      </c>
    </row>
    <row r="7359">
      <c r="A7359" t="n">
        <v>111</v>
      </c>
      <c r="B7359" t="n">
        <v>2016</v>
      </c>
      <c r="C7359" t="n">
        <v>0.002</v>
      </c>
    </row>
    <row r="7360">
      <c r="A7360" t="n">
        <v>111</v>
      </c>
      <c r="B7360" t="n">
        <v>2017</v>
      </c>
      <c r="C7360" t="n">
        <v>0.0019</v>
      </c>
    </row>
    <row r="7361">
      <c r="A7361" t="n">
        <v>111</v>
      </c>
      <c r="B7361" t="n">
        <v>2018</v>
      </c>
      <c r="C7361" t="n">
        <v>0.0018</v>
      </c>
    </row>
    <row r="7362">
      <c r="A7362" t="n">
        <v>111</v>
      </c>
      <c r="B7362" t="n">
        <v>2019</v>
      </c>
      <c r="C7362" t="n">
        <v>0.0017</v>
      </c>
    </row>
    <row r="7363">
      <c r="A7363" t="n">
        <v>111</v>
      </c>
      <c r="B7363" t="n">
        <v>2020</v>
      </c>
      <c r="C7363" t="n">
        <v>0.0017</v>
      </c>
    </row>
    <row r="7364">
      <c r="A7364" t="n">
        <v>111</v>
      </c>
      <c r="B7364" t="n">
        <v>2021</v>
      </c>
      <c r="C7364" t="n">
        <v>0.0016</v>
      </c>
    </row>
    <row r="7365">
      <c r="A7365" t="n">
        <v>111</v>
      </c>
      <c r="B7365" t="n">
        <v>2022</v>
      </c>
      <c r="C7365" t="n">
        <v>0.0016</v>
      </c>
    </row>
    <row r="7366">
      <c r="A7366" t="n">
        <v>111</v>
      </c>
      <c r="B7366" t="n">
        <v>2023</v>
      </c>
      <c r="C7366" t="n">
        <v>0.0016</v>
      </c>
    </row>
    <row r="7367">
      <c r="A7367" t="n">
        <v>111</v>
      </c>
      <c r="B7367" t="n">
        <v>2024</v>
      </c>
      <c r="C7367" t="n">
        <v>0.0016</v>
      </c>
    </row>
    <row r="7368">
      <c r="A7368" t="n">
        <v>111</v>
      </c>
      <c r="B7368" t="n">
        <v>2025</v>
      </c>
      <c r="C7368" t="n">
        <v>0.0016</v>
      </c>
    </row>
    <row r="7369">
      <c r="A7369" t="n">
        <v>111</v>
      </c>
      <c r="B7369" t="n">
        <v>2026</v>
      </c>
      <c r="C7369" t="n">
        <v>0.0016</v>
      </c>
    </row>
    <row r="7370">
      <c r="A7370" t="n">
        <v>111</v>
      </c>
      <c r="B7370" t="n">
        <v>2027</v>
      </c>
      <c r="C7370" t="n">
        <v>0.0016</v>
      </c>
    </row>
    <row r="7371">
      <c r="A7371" t="n">
        <v>111</v>
      </c>
      <c r="B7371" t="n">
        <v>2028</v>
      </c>
      <c r="C7371" t="n">
        <v>0.0016</v>
      </c>
    </row>
    <row r="7372">
      <c r="A7372" t="n">
        <v>111</v>
      </c>
      <c r="B7372" t="n">
        <v>2029</v>
      </c>
      <c r="C7372" t="n">
        <v>0.0016</v>
      </c>
    </row>
    <row r="7373">
      <c r="A7373" t="n">
        <v>111</v>
      </c>
      <c r="B7373" t="n">
        <v>2030</v>
      </c>
      <c r="C7373" t="n">
        <v>0.0016</v>
      </c>
    </row>
    <row r="7374">
      <c r="A7374" t="n">
        <v>111</v>
      </c>
      <c r="B7374" t="n">
        <v>2031</v>
      </c>
      <c r="C7374" t="n">
        <v>0.0017</v>
      </c>
    </row>
    <row r="7375">
      <c r="A7375" t="n">
        <v>112</v>
      </c>
      <c r="B7375" t="n">
        <v>1951</v>
      </c>
      <c r="C7375" t="n">
        <v>-0.0029</v>
      </c>
    </row>
    <row r="7376">
      <c r="A7376" t="n">
        <v>112</v>
      </c>
      <c r="B7376" t="n">
        <v>1952</v>
      </c>
      <c r="C7376" t="n">
        <v>-0.0027</v>
      </c>
    </row>
    <row r="7377">
      <c r="A7377" t="n">
        <v>112</v>
      </c>
      <c r="B7377" t="n">
        <v>1953</v>
      </c>
      <c r="C7377" t="n">
        <v>-0.0024</v>
      </c>
    </row>
    <row r="7378">
      <c r="A7378" t="n">
        <v>112</v>
      </c>
      <c r="B7378" t="n">
        <v>1954</v>
      </c>
      <c r="C7378" t="n">
        <v>-0.0022</v>
      </c>
    </row>
    <row r="7379">
      <c r="A7379" t="n">
        <v>112</v>
      </c>
      <c r="B7379" t="n">
        <v>1955</v>
      </c>
      <c r="C7379" t="n">
        <v>-0.002</v>
      </c>
    </row>
    <row r="7380">
      <c r="A7380" t="n">
        <v>112</v>
      </c>
      <c r="B7380" t="n">
        <v>1956</v>
      </c>
      <c r="C7380" t="n">
        <v>-0.0018</v>
      </c>
    </row>
    <row r="7381">
      <c r="A7381" t="n">
        <v>112</v>
      </c>
      <c r="B7381" t="n">
        <v>1957</v>
      </c>
      <c r="C7381" t="n">
        <v>-0.0016</v>
      </c>
    </row>
    <row r="7382">
      <c r="A7382" t="n">
        <v>112</v>
      </c>
      <c r="B7382" t="n">
        <v>1958</v>
      </c>
      <c r="C7382" t="n">
        <v>-0.0013</v>
      </c>
    </row>
    <row r="7383">
      <c r="A7383" t="n">
        <v>112</v>
      </c>
      <c r="B7383" t="n">
        <v>1959</v>
      </c>
      <c r="C7383" t="n">
        <v>-0.0011</v>
      </c>
    </row>
    <row r="7384">
      <c r="A7384" t="n">
        <v>112</v>
      </c>
      <c r="B7384" t="n">
        <v>1960</v>
      </c>
      <c r="C7384" t="n">
        <v>-0.0008</v>
      </c>
    </row>
    <row r="7385">
      <c r="A7385" t="n">
        <v>112</v>
      </c>
      <c r="B7385" t="n">
        <v>1961</v>
      </c>
      <c r="C7385" t="n">
        <v>-0.0005999999999999999</v>
      </c>
    </row>
    <row r="7386">
      <c r="A7386" t="n">
        <v>112</v>
      </c>
      <c r="B7386" t="n">
        <v>1962</v>
      </c>
      <c r="C7386" t="n">
        <v>-0.0003</v>
      </c>
    </row>
    <row r="7387">
      <c r="A7387" t="n">
        <v>112</v>
      </c>
      <c r="B7387" t="n">
        <v>1963</v>
      </c>
      <c r="C7387" t="n">
        <v>0</v>
      </c>
    </row>
    <row r="7388">
      <c r="A7388" t="n">
        <v>112</v>
      </c>
      <c r="B7388" t="n">
        <v>1964</v>
      </c>
      <c r="C7388" t="n">
        <v>0.0003</v>
      </c>
    </row>
    <row r="7389">
      <c r="A7389" t="n">
        <v>112</v>
      </c>
      <c r="B7389" t="n">
        <v>1965</v>
      </c>
      <c r="C7389" t="n">
        <v>0.0005</v>
      </c>
    </row>
    <row r="7390">
      <c r="A7390" t="n">
        <v>112</v>
      </c>
      <c r="B7390" t="n">
        <v>1966</v>
      </c>
      <c r="C7390" t="n">
        <v>0.0008</v>
      </c>
    </row>
    <row r="7391">
      <c r="A7391" t="n">
        <v>112</v>
      </c>
      <c r="B7391" t="n">
        <v>1967</v>
      </c>
      <c r="C7391" t="n">
        <v>0.0011</v>
      </c>
    </row>
    <row r="7392">
      <c r="A7392" t="n">
        <v>112</v>
      </c>
      <c r="B7392" t="n">
        <v>1968</v>
      </c>
      <c r="C7392" t="n">
        <v>0.0013</v>
      </c>
    </row>
    <row r="7393">
      <c r="A7393" t="n">
        <v>112</v>
      </c>
      <c r="B7393" t="n">
        <v>1969</v>
      </c>
      <c r="C7393" t="n">
        <v>0.0015</v>
      </c>
    </row>
    <row r="7394">
      <c r="A7394" t="n">
        <v>112</v>
      </c>
      <c r="B7394" t="n">
        <v>1970</v>
      </c>
      <c r="C7394" t="n">
        <v>0.0017</v>
      </c>
    </row>
    <row r="7395">
      <c r="A7395" t="n">
        <v>112</v>
      </c>
      <c r="B7395" t="n">
        <v>1971</v>
      </c>
      <c r="C7395" t="n">
        <v>0.0018</v>
      </c>
    </row>
    <row r="7396">
      <c r="A7396" t="n">
        <v>112</v>
      </c>
      <c r="B7396" t="n">
        <v>1972</v>
      </c>
      <c r="C7396" t="n">
        <v>0.0019</v>
      </c>
    </row>
    <row r="7397">
      <c r="A7397" t="n">
        <v>112</v>
      </c>
      <c r="B7397" t="n">
        <v>1973</v>
      </c>
      <c r="C7397" t="n">
        <v>0.0019</v>
      </c>
    </row>
    <row r="7398">
      <c r="A7398" t="n">
        <v>112</v>
      </c>
      <c r="B7398" t="n">
        <v>1974</v>
      </c>
      <c r="C7398" t="n">
        <v>0.0019</v>
      </c>
    </row>
    <row r="7399">
      <c r="A7399" t="n">
        <v>112</v>
      </c>
      <c r="B7399" t="n">
        <v>1975</v>
      </c>
      <c r="C7399" t="n">
        <v>0.0019</v>
      </c>
    </row>
    <row r="7400">
      <c r="A7400" t="n">
        <v>112</v>
      </c>
      <c r="B7400" t="n">
        <v>1976</v>
      </c>
      <c r="C7400" t="n">
        <v>0.0018</v>
      </c>
    </row>
    <row r="7401">
      <c r="A7401" t="n">
        <v>112</v>
      </c>
      <c r="B7401" t="n">
        <v>1977</v>
      </c>
      <c r="C7401" t="n">
        <v>0.0017</v>
      </c>
    </row>
    <row r="7402">
      <c r="A7402" t="n">
        <v>112</v>
      </c>
      <c r="B7402" t="n">
        <v>1978</v>
      </c>
      <c r="C7402" t="n">
        <v>0.0016</v>
      </c>
    </row>
    <row r="7403">
      <c r="A7403" t="n">
        <v>112</v>
      </c>
      <c r="B7403" t="n">
        <v>1979</v>
      </c>
      <c r="C7403" t="n">
        <v>0.0014</v>
      </c>
    </row>
    <row r="7404">
      <c r="A7404" t="n">
        <v>112</v>
      </c>
      <c r="B7404" t="n">
        <v>1980</v>
      </c>
      <c r="C7404" t="n">
        <v>0.0012</v>
      </c>
    </row>
    <row r="7405">
      <c r="A7405" t="n">
        <v>112</v>
      </c>
      <c r="B7405" t="n">
        <v>1981</v>
      </c>
      <c r="C7405" t="n">
        <v>0.001</v>
      </c>
    </row>
    <row r="7406">
      <c r="A7406" t="n">
        <v>112</v>
      </c>
      <c r="B7406" t="n">
        <v>1982</v>
      </c>
      <c r="C7406" t="n">
        <v>0.0007</v>
      </c>
    </row>
    <row r="7407">
      <c r="A7407" t="n">
        <v>112</v>
      </c>
      <c r="B7407" t="n">
        <v>1983</v>
      </c>
      <c r="C7407" t="n">
        <v>0.0004</v>
      </c>
    </row>
    <row r="7408">
      <c r="A7408" t="n">
        <v>112</v>
      </c>
      <c r="B7408" t="n">
        <v>1984</v>
      </c>
      <c r="C7408" t="n">
        <v>0.0002</v>
      </c>
    </row>
    <row r="7409">
      <c r="A7409" t="n">
        <v>112</v>
      </c>
      <c r="B7409" t="n">
        <v>1985</v>
      </c>
      <c r="C7409" t="n">
        <v>-0.0001</v>
      </c>
    </row>
    <row r="7410">
      <c r="A7410" t="n">
        <v>112</v>
      </c>
      <c r="B7410" t="n">
        <v>1986</v>
      </c>
      <c r="C7410" t="n">
        <v>-0.0003</v>
      </c>
    </row>
    <row r="7411">
      <c r="A7411" t="n">
        <v>112</v>
      </c>
      <c r="B7411" t="n">
        <v>1987</v>
      </c>
      <c r="C7411" t="n">
        <v>-0.0005999999999999999</v>
      </c>
    </row>
    <row r="7412">
      <c r="A7412" t="n">
        <v>112</v>
      </c>
      <c r="B7412" t="n">
        <v>1988</v>
      </c>
      <c r="C7412" t="n">
        <v>-0.0008</v>
      </c>
    </row>
    <row r="7413">
      <c r="A7413" t="n">
        <v>112</v>
      </c>
      <c r="B7413" t="n">
        <v>1989</v>
      </c>
      <c r="C7413" t="n">
        <v>-0.001</v>
      </c>
    </row>
    <row r="7414">
      <c r="A7414" t="n">
        <v>112</v>
      </c>
      <c r="B7414" t="n">
        <v>1990</v>
      </c>
      <c r="C7414" t="n">
        <v>-0.0011</v>
      </c>
    </row>
    <row r="7415">
      <c r="A7415" t="n">
        <v>112</v>
      </c>
      <c r="B7415" t="n">
        <v>1991</v>
      </c>
      <c r="C7415" t="n">
        <v>-0.0012</v>
      </c>
    </row>
    <row r="7416">
      <c r="A7416" t="n">
        <v>112</v>
      </c>
      <c r="B7416" t="n">
        <v>1992</v>
      </c>
      <c r="C7416" t="n">
        <v>-0.0013</v>
      </c>
    </row>
    <row r="7417">
      <c r="A7417" t="n">
        <v>112</v>
      </c>
      <c r="B7417" t="n">
        <v>1993</v>
      </c>
      <c r="C7417" t="n">
        <v>-0.0014</v>
      </c>
    </row>
    <row r="7418">
      <c r="A7418" t="n">
        <v>112</v>
      </c>
      <c r="B7418" t="n">
        <v>1994</v>
      </c>
      <c r="C7418" t="n">
        <v>-0.0014</v>
      </c>
    </row>
    <row r="7419">
      <c r="A7419" t="n">
        <v>112</v>
      </c>
      <c r="B7419" t="n">
        <v>1995</v>
      </c>
      <c r="C7419" t="n">
        <v>-0.0013</v>
      </c>
    </row>
    <row r="7420">
      <c r="A7420" t="n">
        <v>112</v>
      </c>
      <c r="B7420" t="n">
        <v>1996</v>
      </c>
      <c r="C7420" t="n">
        <v>-0.0013</v>
      </c>
    </row>
    <row r="7421">
      <c r="A7421" t="n">
        <v>112</v>
      </c>
      <c r="B7421" t="n">
        <v>1997</v>
      </c>
      <c r="C7421" t="n">
        <v>-0.0012</v>
      </c>
    </row>
    <row r="7422">
      <c r="A7422" t="n">
        <v>112</v>
      </c>
      <c r="B7422" t="n">
        <v>1998</v>
      </c>
      <c r="C7422" t="n">
        <v>-0.001</v>
      </c>
    </row>
    <row r="7423">
      <c r="A7423" t="n">
        <v>112</v>
      </c>
      <c r="B7423" t="n">
        <v>1999</v>
      </c>
      <c r="C7423" t="n">
        <v>-0.0008</v>
      </c>
    </row>
    <row r="7424">
      <c r="A7424" t="n">
        <v>112</v>
      </c>
      <c r="B7424" t="n">
        <v>2000</v>
      </c>
      <c r="C7424" t="n">
        <v>-0.0005999999999999999</v>
      </c>
    </row>
    <row r="7425">
      <c r="A7425" t="n">
        <v>112</v>
      </c>
      <c r="B7425" t="n">
        <v>2001</v>
      </c>
      <c r="C7425" t="n">
        <v>-0.0004</v>
      </c>
    </row>
    <row r="7426">
      <c r="A7426" t="n">
        <v>112</v>
      </c>
      <c r="B7426" t="n">
        <v>2002</v>
      </c>
      <c r="C7426" t="n">
        <v>-0.0002</v>
      </c>
    </row>
    <row r="7427">
      <c r="A7427" t="n">
        <v>112</v>
      </c>
      <c r="B7427" t="n">
        <v>2003</v>
      </c>
      <c r="C7427" t="n">
        <v>0.0001</v>
      </c>
    </row>
    <row r="7428">
      <c r="A7428" t="n">
        <v>112</v>
      </c>
      <c r="B7428" t="n">
        <v>2004</v>
      </c>
      <c r="C7428" t="n">
        <v>0.0003</v>
      </c>
    </row>
    <row r="7429">
      <c r="A7429" t="n">
        <v>112</v>
      </c>
      <c r="B7429" t="n">
        <v>2005</v>
      </c>
      <c r="C7429" t="n">
        <v>0.0005</v>
      </c>
    </row>
    <row r="7430">
      <c r="A7430" t="n">
        <v>112</v>
      </c>
      <c r="B7430" t="n">
        <v>2006</v>
      </c>
      <c r="C7430" t="n">
        <v>0.0008</v>
      </c>
    </row>
    <row r="7431">
      <c r="A7431" t="n">
        <v>112</v>
      </c>
      <c r="B7431" t="n">
        <v>2007</v>
      </c>
      <c r="C7431" t="n">
        <v>0.001</v>
      </c>
    </row>
    <row r="7432">
      <c r="A7432" t="n">
        <v>112</v>
      </c>
      <c r="B7432" t="n">
        <v>2008</v>
      </c>
      <c r="C7432" t="n">
        <v>0.0012</v>
      </c>
    </row>
    <row r="7433">
      <c r="A7433" t="n">
        <v>112</v>
      </c>
      <c r="B7433" t="n">
        <v>2009</v>
      </c>
      <c r="C7433" t="n">
        <v>0.0013</v>
      </c>
    </row>
    <row r="7434">
      <c r="A7434" t="n">
        <v>112</v>
      </c>
      <c r="B7434" t="n">
        <v>2010</v>
      </c>
      <c r="C7434" t="n">
        <v>0.0015</v>
      </c>
    </row>
    <row r="7435">
      <c r="A7435" t="n">
        <v>112</v>
      </c>
      <c r="B7435" t="n">
        <v>2011</v>
      </c>
      <c r="C7435" t="n">
        <v>0.0016</v>
      </c>
    </row>
    <row r="7436">
      <c r="A7436" t="n">
        <v>112</v>
      </c>
      <c r="B7436" t="n">
        <v>2012</v>
      </c>
      <c r="C7436" t="n">
        <v>0.0018</v>
      </c>
    </row>
    <row r="7437">
      <c r="A7437" t="n">
        <v>112</v>
      </c>
      <c r="B7437" t="n">
        <v>2013</v>
      </c>
      <c r="C7437" t="n">
        <v>0.0017</v>
      </c>
    </row>
    <row r="7438">
      <c r="A7438" t="n">
        <v>112</v>
      </c>
      <c r="B7438" t="n">
        <v>2014</v>
      </c>
      <c r="C7438" t="n">
        <v>0.0016</v>
      </c>
    </row>
    <row r="7439">
      <c r="A7439" t="n">
        <v>112</v>
      </c>
      <c r="B7439" t="n">
        <v>2015</v>
      </c>
      <c r="C7439" t="n">
        <v>0.0016</v>
      </c>
    </row>
    <row r="7440">
      <c r="A7440" t="n">
        <v>112</v>
      </c>
      <c r="B7440" t="n">
        <v>2016</v>
      </c>
      <c r="C7440" t="n">
        <v>0.0015</v>
      </c>
    </row>
    <row r="7441">
      <c r="A7441" t="n">
        <v>112</v>
      </c>
      <c r="B7441" t="n">
        <v>2017</v>
      </c>
      <c r="C7441" t="n">
        <v>0.0014</v>
      </c>
    </row>
    <row r="7442">
      <c r="A7442" t="n">
        <v>112</v>
      </c>
      <c r="B7442" t="n">
        <v>2018</v>
      </c>
      <c r="C7442" t="n">
        <v>0.0013</v>
      </c>
    </row>
    <row r="7443">
      <c r="A7443" t="n">
        <v>112</v>
      </c>
      <c r="B7443" t="n">
        <v>2019</v>
      </c>
      <c r="C7443" t="n">
        <v>0.0013</v>
      </c>
    </row>
    <row r="7444">
      <c r="A7444" t="n">
        <v>112</v>
      </c>
      <c r="B7444" t="n">
        <v>2020</v>
      </c>
      <c r="C7444" t="n">
        <v>0.0012</v>
      </c>
    </row>
    <row r="7445">
      <c r="A7445" t="n">
        <v>112</v>
      </c>
      <c r="B7445" t="n">
        <v>2021</v>
      </c>
      <c r="C7445" t="n">
        <v>0.0012</v>
      </c>
    </row>
    <row r="7446">
      <c r="A7446" t="n">
        <v>112</v>
      </c>
      <c r="B7446" t="n">
        <v>2022</v>
      </c>
      <c r="C7446" t="n">
        <v>0.0012</v>
      </c>
    </row>
    <row r="7447">
      <c r="A7447" t="n">
        <v>112</v>
      </c>
      <c r="B7447" t="n">
        <v>2023</v>
      </c>
      <c r="C7447" t="n">
        <v>0.0012</v>
      </c>
    </row>
    <row r="7448">
      <c r="A7448" t="n">
        <v>112</v>
      </c>
      <c r="B7448" t="n">
        <v>2024</v>
      </c>
      <c r="C7448" t="n">
        <v>0.0012</v>
      </c>
    </row>
    <row r="7449">
      <c r="A7449" t="n">
        <v>112</v>
      </c>
      <c r="B7449" t="n">
        <v>2025</v>
      </c>
      <c r="C7449" t="n">
        <v>0.0012</v>
      </c>
    </row>
    <row r="7450">
      <c r="A7450" t="n">
        <v>112</v>
      </c>
      <c r="B7450" t="n">
        <v>2026</v>
      </c>
      <c r="C7450" t="n">
        <v>0.0012</v>
      </c>
    </row>
    <row r="7451">
      <c r="A7451" t="n">
        <v>112</v>
      </c>
      <c r="B7451" t="n">
        <v>2027</v>
      </c>
      <c r="C7451" t="n">
        <v>0.0012</v>
      </c>
    </row>
    <row r="7452">
      <c r="A7452" t="n">
        <v>112</v>
      </c>
      <c r="B7452" t="n">
        <v>2028</v>
      </c>
      <c r="C7452" t="n">
        <v>0.0012</v>
      </c>
    </row>
    <row r="7453">
      <c r="A7453" t="n">
        <v>112</v>
      </c>
      <c r="B7453" t="n">
        <v>2029</v>
      </c>
      <c r="C7453" t="n">
        <v>0.0012</v>
      </c>
    </row>
    <row r="7454">
      <c r="A7454" t="n">
        <v>112</v>
      </c>
      <c r="B7454" t="n">
        <v>2030</v>
      </c>
      <c r="C7454" t="n">
        <v>0.0012</v>
      </c>
    </row>
    <row r="7455">
      <c r="A7455" t="n">
        <v>112</v>
      </c>
      <c r="B7455" t="n">
        <v>2031</v>
      </c>
      <c r="C7455" t="n">
        <v>0.0012</v>
      </c>
    </row>
    <row r="7456">
      <c r="A7456" t="n">
        <v>113</v>
      </c>
      <c r="B7456" t="n">
        <v>1951</v>
      </c>
      <c r="C7456" t="n">
        <v>-0.0019</v>
      </c>
    </row>
    <row r="7457">
      <c r="A7457" t="n">
        <v>113</v>
      </c>
      <c r="B7457" t="n">
        <v>1952</v>
      </c>
      <c r="C7457" t="n">
        <v>-0.0018</v>
      </c>
    </row>
    <row r="7458">
      <c r="A7458" t="n">
        <v>113</v>
      </c>
      <c r="B7458" t="n">
        <v>1953</v>
      </c>
      <c r="C7458" t="n">
        <v>-0.0016</v>
      </c>
    </row>
    <row r="7459">
      <c r="A7459" t="n">
        <v>113</v>
      </c>
      <c r="B7459" t="n">
        <v>1954</v>
      </c>
      <c r="C7459" t="n">
        <v>-0.0015</v>
      </c>
    </row>
    <row r="7460">
      <c r="A7460" t="n">
        <v>113</v>
      </c>
      <c r="B7460" t="n">
        <v>1955</v>
      </c>
      <c r="C7460" t="n">
        <v>-0.0013</v>
      </c>
    </row>
    <row r="7461">
      <c r="A7461" t="n">
        <v>113</v>
      </c>
      <c r="B7461" t="n">
        <v>1956</v>
      </c>
      <c r="C7461" t="n">
        <v>-0.0012</v>
      </c>
    </row>
    <row r="7462">
      <c r="A7462" t="n">
        <v>113</v>
      </c>
      <c r="B7462" t="n">
        <v>1957</v>
      </c>
      <c r="C7462" t="n">
        <v>-0.001</v>
      </c>
    </row>
    <row r="7463">
      <c r="A7463" t="n">
        <v>113</v>
      </c>
      <c r="B7463" t="n">
        <v>1958</v>
      </c>
      <c r="C7463" t="n">
        <v>-0.0009</v>
      </c>
    </row>
    <row r="7464">
      <c r="A7464" t="n">
        <v>113</v>
      </c>
      <c r="B7464" t="n">
        <v>1959</v>
      </c>
      <c r="C7464" t="n">
        <v>-0.0007</v>
      </c>
    </row>
    <row r="7465">
      <c r="A7465" t="n">
        <v>113</v>
      </c>
      <c r="B7465" t="n">
        <v>1960</v>
      </c>
      <c r="C7465" t="n">
        <v>-0.0005999999999999999</v>
      </c>
    </row>
    <row r="7466">
      <c r="A7466" t="n">
        <v>113</v>
      </c>
      <c r="B7466" t="n">
        <v>1961</v>
      </c>
      <c r="C7466" t="n">
        <v>-0.0004</v>
      </c>
    </row>
    <row r="7467">
      <c r="A7467" t="n">
        <v>113</v>
      </c>
      <c r="B7467" t="n">
        <v>1962</v>
      </c>
      <c r="C7467" t="n">
        <v>-0.0002</v>
      </c>
    </row>
    <row r="7468">
      <c r="A7468" t="n">
        <v>113</v>
      </c>
      <c r="B7468" t="n">
        <v>1963</v>
      </c>
      <c r="C7468" t="n">
        <v>0</v>
      </c>
    </row>
    <row r="7469">
      <c r="A7469" t="n">
        <v>113</v>
      </c>
      <c r="B7469" t="n">
        <v>1964</v>
      </c>
      <c r="C7469" t="n">
        <v>0.0002</v>
      </c>
    </row>
    <row r="7470">
      <c r="A7470" t="n">
        <v>113</v>
      </c>
      <c r="B7470" t="n">
        <v>1965</v>
      </c>
      <c r="C7470" t="n">
        <v>0.0004</v>
      </c>
    </row>
    <row r="7471">
      <c r="A7471" t="n">
        <v>113</v>
      </c>
      <c r="B7471" t="n">
        <v>1966</v>
      </c>
      <c r="C7471" t="n">
        <v>0.0005</v>
      </c>
    </row>
    <row r="7472">
      <c r="A7472" t="n">
        <v>113</v>
      </c>
      <c r="B7472" t="n">
        <v>1967</v>
      </c>
      <c r="C7472" t="n">
        <v>0.0007</v>
      </c>
    </row>
    <row r="7473">
      <c r="A7473" t="n">
        <v>113</v>
      </c>
      <c r="B7473" t="n">
        <v>1968</v>
      </c>
      <c r="C7473" t="n">
        <v>0.0009</v>
      </c>
    </row>
    <row r="7474">
      <c r="A7474" t="n">
        <v>113</v>
      </c>
      <c r="B7474" t="n">
        <v>1969</v>
      </c>
      <c r="C7474" t="n">
        <v>0.001</v>
      </c>
    </row>
    <row r="7475">
      <c r="A7475" t="n">
        <v>113</v>
      </c>
      <c r="B7475" t="n">
        <v>1970</v>
      </c>
      <c r="C7475" t="n">
        <v>0.0011</v>
      </c>
    </row>
    <row r="7476">
      <c r="A7476" t="n">
        <v>113</v>
      </c>
      <c r="B7476" t="n">
        <v>1971</v>
      </c>
      <c r="C7476" t="n">
        <v>0.0012</v>
      </c>
    </row>
    <row r="7477">
      <c r="A7477" t="n">
        <v>113</v>
      </c>
      <c r="B7477" t="n">
        <v>1972</v>
      </c>
      <c r="C7477" t="n">
        <v>0.0013</v>
      </c>
    </row>
    <row r="7478">
      <c r="A7478" t="n">
        <v>113</v>
      </c>
      <c r="B7478" t="n">
        <v>1973</v>
      </c>
      <c r="C7478" t="n">
        <v>0.0013</v>
      </c>
    </row>
    <row r="7479">
      <c r="A7479" t="n">
        <v>113</v>
      </c>
      <c r="B7479" t="n">
        <v>1974</v>
      </c>
      <c r="C7479" t="n">
        <v>0.0013</v>
      </c>
    </row>
    <row r="7480">
      <c r="A7480" t="n">
        <v>113</v>
      </c>
      <c r="B7480" t="n">
        <v>1975</v>
      </c>
      <c r="C7480" t="n">
        <v>0.0013</v>
      </c>
    </row>
    <row r="7481">
      <c r="A7481" t="n">
        <v>113</v>
      </c>
      <c r="B7481" t="n">
        <v>1976</v>
      </c>
      <c r="C7481" t="n">
        <v>0.0012</v>
      </c>
    </row>
    <row r="7482">
      <c r="A7482" t="n">
        <v>113</v>
      </c>
      <c r="B7482" t="n">
        <v>1977</v>
      </c>
      <c r="C7482" t="n">
        <v>0.0012</v>
      </c>
    </row>
    <row r="7483">
      <c r="A7483" t="n">
        <v>113</v>
      </c>
      <c r="B7483" t="n">
        <v>1978</v>
      </c>
      <c r="C7483" t="n">
        <v>0.0011</v>
      </c>
    </row>
    <row r="7484">
      <c r="A7484" t="n">
        <v>113</v>
      </c>
      <c r="B7484" t="n">
        <v>1979</v>
      </c>
      <c r="C7484" t="n">
        <v>0.0009</v>
      </c>
    </row>
    <row r="7485">
      <c r="A7485" t="n">
        <v>113</v>
      </c>
      <c r="B7485" t="n">
        <v>1980</v>
      </c>
      <c r="C7485" t="n">
        <v>0.0008</v>
      </c>
    </row>
    <row r="7486">
      <c r="A7486" t="n">
        <v>113</v>
      </c>
      <c r="B7486" t="n">
        <v>1981</v>
      </c>
      <c r="C7486" t="n">
        <v>0.0005999999999999999</v>
      </c>
    </row>
    <row r="7487">
      <c r="A7487" t="n">
        <v>113</v>
      </c>
      <c r="B7487" t="n">
        <v>1982</v>
      </c>
      <c r="C7487" t="n">
        <v>0.0005</v>
      </c>
    </row>
    <row r="7488">
      <c r="A7488" t="n">
        <v>113</v>
      </c>
      <c r="B7488" t="n">
        <v>1983</v>
      </c>
      <c r="C7488" t="n">
        <v>0.0003</v>
      </c>
    </row>
    <row r="7489">
      <c r="A7489" t="n">
        <v>113</v>
      </c>
      <c r="B7489" t="n">
        <v>1984</v>
      </c>
      <c r="C7489" t="n">
        <v>0.0001</v>
      </c>
    </row>
    <row r="7490">
      <c r="A7490" t="n">
        <v>113</v>
      </c>
      <c r="B7490" t="n">
        <v>1985</v>
      </c>
      <c r="C7490" t="n">
        <v>-0.0001</v>
      </c>
    </row>
    <row r="7491">
      <c r="A7491" t="n">
        <v>113</v>
      </c>
      <c r="B7491" t="n">
        <v>1986</v>
      </c>
      <c r="C7491" t="n">
        <v>-0.0002</v>
      </c>
    </row>
    <row r="7492">
      <c r="A7492" t="n">
        <v>113</v>
      </c>
      <c r="B7492" t="n">
        <v>1987</v>
      </c>
      <c r="C7492" t="n">
        <v>-0.0004</v>
      </c>
    </row>
    <row r="7493">
      <c r="A7493" t="n">
        <v>113</v>
      </c>
      <c r="B7493" t="n">
        <v>1988</v>
      </c>
      <c r="C7493" t="n">
        <v>-0.0005</v>
      </c>
    </row>
    <row r="7494">
      <c r="A7494" t="n">
        <v>113</v>
      </c>
      <c r="B7494" t="n">
        <v>1989</v>
      </c>
      <c r="C7494" t="n">
        <v>-0.0005999999999999999</v>
      </c>
    </row>
    <row r="7495">
      <c r="A7495" t="n">
        <v>113</v>
      </c>
      <c r="B7495" t="n">
        <v>1990</v>
      </c>
      <c r="C7495" t="n">
        <v>-0.0007</v>
      </c>
    </row>
    <row r="7496">
      <c r="A7496" t="n">
        <v>113</v>
      </c>
      <c r="B7496" t="n">
        <v>1991</v>
      </c>
      <c r="C7496" t="n">
        <v>-0.0008</v>
      </c>
    </row>
    <row r="7497">
      <c r="A7497" t="n">
        <v>113</v>
      </c>
      <c r="B7497" t="n">
        <v>1992</v>
      </c>
      <c r="C7497" t="n">
        <v>-0.0009</v>
      </c>
    </row>
    <row r="7498">
      <c r="A7498" t="n">
        <v>113</v>
      </c>
      <c r="B7498" t="n">
        <v>1993</v>
      </c>
      <c r="C7498" t="n">
        <v>-0.0009</v>
      </c>
    </row>
    <row r="7499">
      <c r="A7499" t="n">
        <v>113</v>
      </c>
      <c r="B7499" t="n">
        <v>1994</v>
      </c>
      <c r="C7499" t="n">
        <v>-0.0009</v>
      </c>
    </row>
    <row r="7500">
      <c r="A7500" t="n">
        <v>113</v>
      </c>
      <c r="B7500" t="n">
        <v>1995</v>
      </c>
      <c r="C7500" t="n">
        <v>-0.0009</v>
      </c>
    </row>
    <row r="7501">
      <c r="A7501" t="n">
        <v>113</v>
      </c>
      <c r="B7501" t="n">
        <v>1996</v>
      </c>
      <c r="C7501" t="n">
        <v>-0.0008</v>
      </c>
    </row>
    <row r="7502">
      <c r="A7502" t="n">
        <v>113</v>
      </c>
      <c r="B7502" t="n">
        <v>1997</v>
      </c>
      <c r="C7502" t="n">
        <v>-0.0008</v>
      </c>
    </row>
    <row r="7503">
      <c r="A7503" t="n">
        <v>113</v>
      </c>
      <c r="B7503" t="n">
        <v>1998</v>
      </c>
      <c r="C7503" t="n">
        <v>-0.0007</v>
      </c>
    </row>
    <row r="7504">
      <c r="A7504" t="n">
        <v>113</v>
      </c>
      <c r="B7504" t="n">
        <v>1999</v>
      </c>
      <c r="C7504" t="n">
        <v>-0.0005999999999999999</v>
      </c>
    </row>
    <row r="7505">
      <c r="A7505" t="n">
        <v>113</v>
      </c>
      <c r="B7505" t="n">
        <v>2000</v>
      </c>
      <c r="C7505" t="n">
        <v>-0.0004</v>
      </c>
    </row>
    <row r="7506">
      <c r="A7506" t="n">
        <v>113</v>
      </c>
      <c r="B7506" t="n">
        <v>2001</v>
      </c>
      <c r="C7506" t="n">
        <v>-0.0003</v>
      </c>
    </row>
    <row r="7507">
      <c r="A7507" t="n">
        <v>113</v>
      </c>
      <c r="B7507" t="n">
        <v>2002</v>
      </c>
      <c r="C7507" t="n">
        <v>-0.0001</v>
      </c>
    </row>
    <row r="7508">
      <c r="A7508" t="n">
        <v>113</v>
      </c>
      <c r="B7508" t="n">
        <v>2003</v>
      </c>
      <c r="C7508" t="n">
        <v>0</v>
      </c>
    </row>
    <row r="7509">
      <c r="A7509" t="n">
        <v>113</v>
      </c>
      <c r="B7509" t="n">
        <v>2004</v>
      </c>
      <c r="C7509" t="n">
        <v>0.0002</v>
      </c>
    </row>
    <row r="7510">
      <c r="A7510" t="n">
        <v>113</v>
      </c>
      <c r="B7510" t="n">
        <v>2005</v>
      </c>
      <c r="C7510" t="n">
        <v>0.0004</v>
      </c>
    </row>
    <row r="7511">
      <c r="A7511" t="n">
        <v>113</v>
      </c>
      <c r="B7511" t="n">
        <v>2006</v>
      </c>
      <c r="C7511" t="n">
        <v>0.0005</v>
      </c>
    </row>
    <row r="7512">
      <c r="A7512" t="n">
        <v>113</v>
      </c>
      <c r="B7512" t="n">
        <v>2007</v>
      </c>
      <c r="C7512" t="n">
        <v>0.0005999999999999999</v>
      </c>
    </row>
    <row r="7513">
      <c r="A7513" t="n">
        <v>113</v>
      </c>
      <c r="B7513" t="n">
        <v>2008</v>
      </c>
      <c r="C7513" t="n">
        <v>0.0008</v>
      </c>
    </row>
    <row r="7514">
      <c r="A7514" t="n">
        <v>113</v>
      </c>
      <c r="B7514" t="n">
        <v>2009</v>
      </c>
      <c r="C7514" t="n">
        <v>0.0009</v>
      </c>
    </row>
    <row r="7515">
      <c r="A7515" t="n">
        <v>113</v>
      </c>
      <c r="B7515" t="n">
        <v>2010</v>
      </c>
      <c r="C7515" t="n">
        <v>0.001</v>
      </c>
    </row>
    <row r="7516">
      <c r="A7516" t="n">
        <v>113</v>
      </c>
      <c r="B7516" t="n">
        <v>2011</v>
      </c>
      <c r="C7516" t="n">
        <v>0.0011</v>
      </c>
    </row>
    <row r="7517">
      <c r="A7517" t="n">
        <v>113</v>
      </c>
      <c r="B7517" t="n">
        <v>2012</v>
      </c>
      <c r="C7517" t="n">
        <v>0.0012</v>
      </c>
    </row>
    <row r="7518">
      <c r="A7518" t="n">
        <v>113</v>
      </c>
      <c r="B7518" t="n">
        <v>2013</v>
      </c>
      <c r="C7518" t="n">
        <v>0.0011</v>
      </c>
    </row>
    <row r="7519">
      <c r="A7519" t="n">
        <v>113</v>
      </c>
      <c r="B7519" t="n">
        <v>2014</v>
      </c>
      <c r="C7519" t="n">
        <v>0.0011</v>
      </c>
    </row>
    <row r="7520">
      <c r="A7520" t="n">
        <v>113</v>
      </c>
      <c r="B7520" t="n">
        <v>2015</v>
      </c>
      <c r="C7520" t="n">
        <v>0.001</v>
      </c>
    </row>
    <row r="7521">
      <c r="A7521" t="n">
        <v>113</v>
      </c>
      <c r="B7521" t="n">
        <v>2016</v>
      </c>
      <c r="C7521" t="n">
        <v>0.001</v>
      </c>
    </row>
    <row r="7522">
      <c r="A7522" t="n">
        <v>113</v>
      </c>
      <c r="B7522" t="n">
        <v>2017</v>
      </c>
      <c r="C7522" t="n">
        <v>0.0009</v>
      </c>
    </row>
    <row r="7523">
      <c r="A7523" t="n">
        <v>113</v>
      </c>
      <c r="B7523" t="n">
        <v>2018</v>
      </c>
      <c r="C7523" t="n">
        <v>0.0009</v>
      </c>
    </row>
    <row r="7524">
      <c r="A7524" t="n">
        <v>113</v>
      </c>
      <c r="B7524" t="n">
        <v>2019</v>
      </c>
      <c r="C7524" t="n">
        <v>0.0009</v>
      </c>
    </row>
    <row r="7525">
      <c r="A7525" t="n">
        <v>113</v>
      </c>
      <c r="B7525" t="n">
        <v>2020</v>
      </c>
      <c r="C7525" t="n">
        <v>0.0008</v>
      </c>
    </row>
    <row r="7526">
      <c r="A7526" t="n">
        <v>113</v>
      </c>
      <c r="B7526" t="n">
        <v>2021</v>
      </c>
      <c r="C7526" t="n">
        <v>0.0008</v>
      </c>
    </row>
    <row r="7527">
      <c r="A7527" t="n">
        <v>113</v>
      </c>
      <c r="B7527" t="n">
        <v>2022</v>
      </c>
      <c r="C7527" t="n">
        <v>0.0008</v>
      </c>
    </row>
    <row r="7528">
      <c r="A7528" t="n">
        <v>113</v>
      </c>
      <c r="B7528" t="n">
        <v>2023</v>
      </c>
      <c r="C7528" t="n">
        <v>0.0008</v>
      </c>
    </row>
    <row r="7529">
      <c r="A7529" t="n">
        <v>113</v>
      </c>
      <c r="B7529" t="n">
        <v>2024</v>
      </c>
      <c r="C7529" t="n">
        <v>0.0008</v>
      </c>
    </row>
    <row r="7530">
      <c r="A7530" t="n">
        <v>113</v>
      </c>
      <c r="B7530" t="n">
        <v>2025</v>
      </c>
      <c r="C7530" t="n">
        <v>0.0008</v>
      </c>
    </row>
    <row r="7531">
      <c r="A7531" t="n">
        <v>113</v>
      </c>
      <c r="B7531" t="n">
        <v>2026</v>
      </c>
      <c r="C7531" t="n">
        <v>0.0008</v>
      </c>
    </row>
    <row r="7532">
      <c r="A7532" t="n">
        <v>113</v>
      </c>
      <c r="B7532" t="n">
        <v>2027</v>
      </c>
      <c r="C7532" t="n">
        <v>0.0008</v>
      </c>
    </row>
    <row r="7533">
      <c r="A7533" t="n">
        <v>113</v>
      </c>
      <c r="B7533" t="n">
        <v>2028</v>
      </c>
      <c r="C7533" t="n">
        <v>0.0008</v>
      </c>
    </row>
    <row r="7534">
      <c r="A7534" t="n">
        <v>113</v>
      </c>
      <c r="B7534" t="n">
        <v>2029</v>
      </c>
      <c r="C7534" t="n">
        <v>0.0008</v>
      </c>
    </row>
    <row r="7535">
      <c r="A7535" t="n">
        <v>113</v>
      </c>
      <c r="B7535" t="n">
        <v>2030</v>
      </c>
      <c r="C7535" t="n">
        <v>0.0008</v>
      </c>
    </row>
    <row r="7536">
      <c r="A7536" t="n">
        <v>113</v>
      </c>
      <c r="B7536" t="n">
        <v>2031</v>
      </c>
      <c r="C7536" t="n">
        <v>0.0008</v>
      </c>
    </row>
    <row r="7537">
      <c r="A7537" t="n">
        <v>114</v>
      </c>
      <c r="B7537" t="n">
        <v>1951</v>
      </c>
      <c r="C7537" t="n">
        <v>-0.001</v>
      </c>
    </row>
    <row r="7538">
      <c r="A7538" t="n">
        <v>114</v>
      </c>
      <c r="B7538" t="n">
        <v>1952</v>
      </c>
      <c r="C7538" t="n">
        <v>-0.0009</v>
      </c>
    </row>
    <row r="7539">
      <c r="A7539" t="n">
        <v>114</v>
      </c>
      <c r="B7539" t="n">
        <v>1953</v>
      </c>
      <c r="C7539" t="n">
        <v>-0.0008</v>
      </c>
    </row>
    <row r="7540">
      <c r="A7540" t="n">
        <v>114</v>
      </c>
      <c r="B7540" t="n">
        <v>1954</v>
      </c>
      <c r="C7540" t="n">
        <v>-0.0007</v>
      </c>
    </row>
    <row r="7541">
      <c r="A7541" t="n">
        <v>114</v>
      </c>
      <c r="B7541" t="n">
        <v>1955</v>
      </c>
      <c r="C7541" t="n">
        <v>-0.0007</v>
      </c>
    </row>
    <row r="7542">
      <c r="A7542" t="n">
        <v>114</v>
      </c>
      <c r="B7542" t="n">
        <v>1956</v>
      </c>
      <c r="C7542" t="n">
        <v>-0.0005999999999999999</v>
      </c>
    </row>
    <row r="7543">
      <c r="A7543" t="n">
        <v>114</v>
      </c>
      <c r="B7543" t="n">
        <v>1957</v>
      </c>
      <c r="C7543" t="n">
        <v>-0.0005</v>
      </c>
    </row>
    <row r="7544">
      <c r="A7544" t="n">
        <v>114</v>
      </c>
      <c r="B7544" t="n">
        <v>1958</v>
      </c>
      <c r="C7544" t="n">
        <v>-0.0004</v>
      </c>
    </row>
    <row r="7545">
      <c r="A7545" t="n">
        <v>114</v>
      </c>
      <c r="B7545" t="n">
        <v>1959</v>
      </c>
      <c r="C7545" t="n">
        <v>-0.0004</v>
      </c>
    </row>
    <row r="7546">
      <c r="A7546" t="n">
        <v>114</v>
      </c>
      <c r="B7546" t="n">
        <v>1960</v>
      </c>
      <c r="C7546" t="n">
        <v>-0.0003</v>
      </c>
    </row>
    <row r="7547">
      <c r="A7547" t="n">
        <v>114</v>
      </c>
      <c r="B7547" t="n">
        <v>1961</v>
      </c>
      <c r="C7547" t="n">
        <v>-0.0002</v>
      </c>
    </row>
    <row r="7548">
      <c r="A7548" t="n">
        <v>114</v>
      </c>
      <c r="B7548" t="n">
        <v>1962</v>
      </c>
      <c r="C7548" t="n">
        <v>-0.0001</v>
      </c>
    </row>
    <row r="7549">
      <c r="A7549" t="n">
        <v>114</v>
      </c>
      <c r="B7549" t="n">
        <v>1963</v>
      </c>
      <c r="C7549" t="n">
        <v>0</v>
      </c>
    </row>
    <row r="7550">
      <c r="A7550" t="n">
        <v>114</v>
      </c>
      <c r="B7550" t="n">
        <v>1964</v>
      </c>
      <c r="C7550" t="n">
        <v>0.0001</v>
      </c>
    </row>
    <row r="7551">
      <c r="A7551" t="n">
        <v>114</v>
      </c>
      <c r="B7551" t="n">
        <v>1965</v>
      </c>
      <c r="C7551" t="n">
        <v>0.0002</v>
      </c>
    </row>
    <row r="7552">
      <c r="A7552" t="n">
        <v>114</v>
      </c>
      <c r="B7552" t="n">
        <v>1966</v>
      </c>
      <c r="C7552" t="n">
        <v>0.0003</v>
      </c>
    </row>
    <row r="7553">
      <c r="A7553" t="n">
        <v>114</v>
      </c>
      <c r="B7553" t="n">
        <v>1967</v>
      </c>
      <c r="C7553" t="n">
        <v>0.0004</v>
      </c>
    </row>
    <row r="7554">
      <c r="A7554" t="n">
        <v>114</v>
      </c>
      <c r="B7554" t="n">
        <v>1968</v>
      </c>
      <c r="C7554" t="n">
        <v>0.0004</v>
      </c>
    </row>
    <row r="7555">
      <c r="A7555" t="n">
        <v>114</v>
      </c>
      <c r="B7555" t="n">
        <v>1969</v>
      </c>
      <c r="C7555" t="n">
        <v>0.0005</v>
      </c>
    </row>
    <row r="7556">
      <c r="A7556" t="n">
        <v>114</v>
      </c>
      <c r="B7556" t="n">
        <v>1970</v>
      </c>
      <c r="C7556" t="n">
        <v>0.0005999999999999999</v>
      </c>
    </row>
    <row r="7557">
      <c r="A7557" t="n">
        <v>114</v>
      </c>
      <c r="B7557" t="n">
        <v>1971</v>
      </c>
      <c r="C7557" t="n">
        <v>0.0005999999999999999</v>
      </c>
    </row>
    <row r="7558">
      <c r="A7558" t="n">
        <v>114</v>
      </c>
      <c r="B7558" t="n">
        <v>1972</v>
      </c>
      <c r="C7558" t="n">
        <v>0.0005999999999999999</v>
      </c>
    </row>
    <row r="7559">
      <c r="A7559" t="n">
        <v>114</v>
      </c>
      <c r="B7559" t="n">
        <v>1973</v>
      </c>
      <c r="C7559" t="n">
        <v>0.0005999999999999999</v>
      </c>
    </row>
    <row r="7560">
      <c r="A7560" t="n">
        <v>114</v>
      </c>
      <c r="B7560" t="n">
        <v>1974</v>
      </c>
      <c r="C7560" t="n">
        <v>0.0005999999999999999</v>
      </c>
    </row>
    <row r="7561">
      <c r="A7561" t="n">
        <v>114</v>
      </c>
      <c r="B7561" t="n">
        <v>1975</v>
      </c>
      <c r="C7561" t="n">
        <v>0.0005999999999999999</v>
      </c>
    </row>
    <row r="7562">
      <c r="A7562" t="n">
        <v>114</v>
      </c>
      <c r="B7562" t="n">
        <v>1976</v>
      </c>
      <c r="C7562" t="n">
        <v>0.0005999999999999999</v>
      </c>
    </row>
    <row r="7563">
      <c r="A7563" t="n">
        <v>114</v>
      </c>
      <c r="B7563" t="n">
        <v>1977</v>
      </c>
      <c r="C7563" t="n">
        <v>0.0005999999999999999</v>
      </c>
    </row>
    <row r="7564">
      <c r="A7564" t="n">
        <v>114</v>
      </c>
      <c r="B7564" t="n">
        <v>1978</v>
      </c>
      <c r="C7564" t="n">
        <v>0.0005</v>
      </c>
    </row>
    <row r="7565">
      <c r="A7565" t="n">
        <v>114</v>
      </c>
      <c r="B7565" t="n">
        <v>1979</v>
      </c>
      <c r="C7565" t="n">
        <v>0.0005</v>
      </c>
    </row>
    <row r="7566">
      <c r="A7566" t="n">
        <v>114</v>
      </c>
      <c r="B7566" t="n">
        <v>1980</v>
      </c>
      <c r="C7566" t="n">
        <v>0.0004</v>
      </c>
    </row>
    <row r="7567">
      <c r="A7567" t="n">
        <v>114</v>
      </c>
      <c r="B7567" t="n">
        <v>1981</v>
      </c>
      <c r="C7567" t="n">
        <v>0.0003</v>
      </c>
    </row>
    <row r="7568">
      <c r="A7568" t="n">
        <v>114</v>
      </c>
      <c r="B7568" t="n">
        <v>1982</v>
      </c>
      <c r="C7568" t="n">
        <v>0.0002</v>
      </c>
    </row>
    <row r="7569">
      <c r="A7569" t="n">
        <v>114</v>
      </c>
      <c r="B7569" t="n">
        <v>1983</v>
      </c>
      <c r="C7569" t="n">
        <v>0.0001</v>
      </c>
    </row>
    <row r="7570">
      <c r="A7570" t="n">
        <v>114</v>
      </c>
      <c r="B7570" t="n">
        <v>1984</v>
      </c>
      <c r="C7570" t="n">
        <v>0.0001</v>
      </c>
    </row>
    <row r="7571">
      <c r="A7571" t="n">
        <v>114</v>
      </c>
      <c r="B7571" t="n">
        <v>1985</v>
      </c>
      <c r="C7571" t="n">
        <v>0</v>
      </c>
    </row>
    <row r="7572">
      <c r="A7572" t="n">
        <v>114</v>
      </c>
      <c r="B7572" t="n">
        <v>1986</v>
      </c>
      <c r="C7572" t="n">
        <v>-0.0001</v>
      </c>
    </row>
    <row r="7573">
      <c r="A7573" t="n">
        <v>114</v>
      </c>
      <c r="B7573" t="n">
        <v>1987</v>
      </c>
      <c r="C7573" t="n">
        <v>-0.0002</v>
      </c>
    </row>
    <row r="7574">
      <c r="A7574" t="n">
        <v>114</v>
      </c>
      <c r="B7574" t="n">
        <v>1988</v>
      </c>
      <c r="C7574" t="n">
        <v>-0.0003</v>
      </c>
    </row>
    <row r="7575">
      <c r="A7575" t="n">
        <v>114</v>
      </c>
      <c r="B7575" t="n">
        <v>1989</v>
      </c>
      <c r="C7575" t="n">
        <v>-0.0003</v>
      </c>
    </row>
    <row r="7576">
      <c r="A7576" t="n">
        <v>114</v>
      </c>
      <c r="B7576" t="n">
        <v>1990</v>
      </c>
      <c r="C7576" t="n">
        <v>-0.0004</v>
      </c>
    </row>
    <row r="7577">
      <c r="A7577" t="n">
        <v>114</v>
      </c>
      <c r="B7577" t="n">
        <v>1991</v>
      </c>
      <c r="C7577" t="n">
        <v>-0.0004</v>
      </c>
    </row>
    <row r="7578">
      <c r="A7578" t="n">
        <v>114</v>
      </c>
      <c r="B7578" t="n">
        <v>1992</v>
      </c>
      <c r="C7578" t="n">
        <v>-0.0004</v>
      </c>
    </row>
    <row r="7579">
      <c r="A7579" t="n">
        <v>114</v>
      </c>
      <c r="B7579" t="n">
        <v>1993</v>
      </c>
      <c r="C7579" t="n">
        <v>-0.0005</v>
      </c>
    </row>
    <row r="7580">
      <c r="A7580" t="n">
        <v>114</v>
      </c>
      <c r="B7580" t="n">
        <v>1994</v>
      </c>
      <c r="C7580" t="n">
        <v>-0.0005</v>
      </c>
    </row>
    <row r="7581">
      <c r="A7581" t="n">
        <v>114</v>
      </c>
      <c r="B7581" t="n">
        <v>1995</v>
      </c>
      <c r="C7581" t="n">
        <v>-0.0004</v>
      </c>
    </row>
    <row r="7582">
      <c r="A7582" t="n">
        <v>114</v>
      </c>
      <c r="B7582" t="n">
        <v>1996</v>
      </c>
      <c r="C7582" t="n">
        <v>-0.0004</v>
      </c>
    </row>
    <row r="7583">
      <c r="A7583" t="n">
        <v>114</v>
      </c>
      <c r="B7583" t="n">
        <v>1997</v>
      </c>
      <c r="C7583" t="n">
        <v>-0.0004</v>
      </c>
    </row>
    <row r="7584">
      <c r="A7584" t="n">
        <v>114</v>
      </c>
      <c r="B7584" t="n">
        <v>1998</v>
      </c>
      <c r="C7584" t="n">
        <v>-0.0003</v>
      </c>
    </row>
    <row r="7585">
      <c r="A7585" t="n">
        <v>114</v>
      </c>
      <c r="B7585" t="n">
        <v>1999</v>
      </c>
      <c r="C7585" t="n">
        <v>-0.0003</v>
      </c>
    </row>
    <row r="7586">
      <c r="A7586" t="n">
        <v>114</v>
      </c>
      <c r="B7586" t="n">
        <v>2000</v>
      </c>
      <c r="C7586" t="n">
        <v>-0.0002</v>
      </c>
    </row>
    <row r="7587">
      <c r="A7587" t="n">
        <v>114</v>
      </c>
      <c r="B7587" t="n">
        <v>2001</v>
      </c>
      <c r="C7587" t="n">
        <v>-0.0001</v>
      </c>
    </row>
    <row r="7588">
      <c r="A7588" t="n">
        <v>114</v>
      </c>
      <c r="B7588" t="n">
        <v>2002</v>
      </c>
      <c r="C7588" t="n">
        <v>-0.0001</v>
      </c>
    </row>
    <row r="7589">
      <c r="A7589" t="n">
        <v>114</v>
      </c>
      <c r="B7589" t="n">
        <v>2003</v>
      </c>
      <c r="C7589" t="n">
        <v>0</v>
      </c>
    </row>
    <row r="7590">
      <c r="A7590" t="n">
        <v>114</v>
      </c>
      <c r="B7590" t="n">
        <v>2004</v>
      </c>
      <c r="C7590" t="n">
        <v>0.0001</v>
      </c>
    </row>
    <row r="7591">
      <c r="A7591" t="n">
        <v>114</v>
      </c>
      <c r="B7591" t="n">
        <v>2005</v>
      </c>
      <c r="C7591" t="n">
        <v>0.0002</v>
      </c>
    </row>
    <row r="7592">
      <c r="A7592" t="n">
        <v>114</v>
      </c>
      <c r="B7592" t="n">
        <v>2006</v>
      </c>
      <c r="C7592" t="n">
        <v>0.0003</v>
      </c>
    </row>
    <row r="7593">
      <c r="A7593" t="n">
        <v>114</v>
      </c>
      <c r="B7593" t="n">
        <v>2007</v>
      </c>
      <c r="C7593" t="n">
        <v>0.0003</v>
      </c>
    </row>
    <row r="7594">
      <c r="A7594" t="n">
        <v>114</v>
      </c>
      <c r="B7594" t="n">
        <v>2008</v>
      </c>
      <c r="C7594" t="n">
        <v>0.0004</v>
      </c>
    </row>
    <row r="7595">
      <c r="A7595" t="n">
        <v>114</v>
      </c>
      <c r="B7595" t="n">
        <v>2009</v>
      </c>
      <c r="C7595" t="n">
        <v>0.0004</v>
      </c>
    </row>
    <row r="7596">
      <c r="A7596" t="n">
        <v>114</v>
      </c>
      <c r="B7596" t="n">
        <v>2010</v>
      </c>
      <c r="C7596" t="n">
        <v>0.0005</v>
      </c>
    </row>
    <row r="7597">
      <c r="A7597" t="n">
        <v>114</v>
      </c>
      <c r="B7597" t="n">
        <v>2011</v>
      </c>
      <c r="C7597" t="n">
        <v>0.0005</v>
      </c>
    </row>
    <row r="7598">
      <c r="A7598" t="n">
        <v>114</v>
      </c>
      <c r="B7598" t="n">
        <v>2012</v>
      </c>
      <c r="C7598" t="n">
        <v>0.0005999999999999999</v>
      </c>
    </row>
    <row r="7599">
      <c r="A7599" t="n">
        <v>114</v>
      </c>
      <c r="B7599" t="n">
        <v>2013</v>
      </c>
      <c r="C7599" t="n">
        <v>0.0005999999999999999</v>
      </c>
    </row>
    <row r="7600">
      <c r="A7600" t="n">
        <v>114</v>
      </c>
      <c r="B7600" t="n">
        <v>2014</v>
      </c>
      <c r="C7600" t="n">
        <v>0.0005</v>
      </c>
    </row>
    <row r="7601">
      <c r="A7601" t="n">
        <v>114</v>
      </c>
      <c r="B7601" t="n">
        <v>2015</v>
      </c>
      <c r="C7601" t="n">
        <v>0.0005</v>
      </c>
    </row>
    <row r="7602">
      <c r="A7602" t="n">
        <v>114</v>
      </c>
      <c r="B7602" t="n">
        <v>2016</v>
      </c>
      <c r="C7602" t="n">
        <v>0.0005</v>
      </c>
    </row>
    <row r="7603">
      <c r="A7603" t="n">
        <v>114</v>
      </c>
      <c r="B7603" t="n">
        <v>2017</v>
      </c>
      <c r="C7603" t="n">
        <v>0.0005</v>
      </c>
    </row>
    <row r="7604">
      <c r="A7604" t="n">
        <v>114</v>
      </c>
      <c r="B7604" t="n">
        <v>2018</v>
      </c>
      <c r="C7604" t="n">
        <v>0.0004</v>
      </c>
    </row>
    <row r="7605">
      <c r="A7605" t="n">
        <v>114</v>
      </c>
      <c r="B7605" t="n">
        <v>2019</v>
      </c>
      <c r="C7605" t="n">
        <v>0.0004</v>
      </c>
    </row>
    <row r="7606">
      <c r="A7606" t="n">
        <v>114</v>
      </c>
      <c r="B7606" t="n">
        <v>2020</v>
      </c>
      <c r="C7606" t="n">
        <v>0.0004</v>
      </c>
    </row>
    <row r="7607">
      <c r="A7607" t="n">
        <v>114</v>
      </c>
      <c r="B7607" t="n">
        <v>2021</v>
      </c>
      <c r="C7607" t="n">
        <v>0.0004</v>
      </c>
    </row>
    <row r="7608">
      <c r="A7608" t="n">
        <v>114</v>
      </c>
      <c r="B7608" t="n">
        <v>2022</v>
      </c>
      <c r="C7608" t="n">
        <v>0.0004</v>
      </c>
    </row>
    <row r="7609">
      <c r="A7609" t="n">
        <v>114</v>
      </c>
      <c r="B7609" t="n">
        <v>2023</v>
      </c>
      <c r="C7609" t="n">
        <v>0.0004</v>
      </c>
    </row>
    <row r="7610">
      <c r="A7610" t="n">
        <v>114</v>
      </c>
      <c r="B7610" t="n">
        <v>2024</v>
      </c>
      <c r="C7610" t="n">
        <v>0.0004</v>
      </c>
    </row>
    <row r="7611">
      <c r="A7611" t="n">
        <v>114</v>
      </c>
      <c r="B7611" t="n">
        <v>2025</v>
      </c>
      <c r="C7611" t="n">
        <v>0.0004</v>
      </c>
    </row>
    <row r="7612">
      <c r="A7612" t="n">
        <v>114</v>
      </c>
      <c r="B7612" t="n">
        <v>2026</v>
      </c>
      <c r="C7612" t="n">
        <v>0.0004</v>
      </c>
    </row>
    <row r="7613">
      <c r="A7613" t="n">
        <v>114</v>
      </c>
      <c r="B7613" t="n">
        <v>2027</v>
      </c>
      <c r="C7613" t="n">
        <v>0.0004</v>
      </c>
    </row>
    <row r="7614">
      <c r="A7614" t="n">
        <v>114</v>
      </c>
      <c r="B7614" t="n">
        <v>2028</v>
      </c>
      <c r="C7614" t="n">
        <v>0.0004</v>
      </c>
    </row>
    <row r="7615">
      <c r="A7615" t="n">
        <v>114</v>
      </c>
      <c r="B7615" t="n">
        <v>2029</v>
      </c>
      <c r="C7615" t="n">
        <v>0.0004</v>
      </c>
    </row>
    <row r="7616">
      <c r="A7616" t="n">
        <v>114</v>
      </c>
      <c r="B7616" t="n">
        <v>2030</v>
      </c>
      <c r="C7616" t="n">
        <v>0.0004</v>
      </c>
    </row>
    <row r="7617">
      <c r="A7617" t="n">
        <v>114</v>
      </c>
      <c r="B7617" t="n">
        <v>2031</v>
      </c>
      <c r="C7617" t="n">
        <v>0.0004</v>
      </c>
    </row>
    <row r="7618">
      <c r="A7618" t="n">
        <v>115</v>
      </c>
      <c r="B7618" t="n">
        <v>1951</v>
      </c>
      <c r="C7618" t="n">
        <v>0</v>
      </c>
    </row>
    <row r="7619">
      <c r="A7619" t="n">
        <v>115</v>
      </c>
      <c r="B7619" t="n">
        <v>1952</v>
      </c>
      <c r="C7619" t="n">
        <v>0</v>
      </c>
    </row>
    <row r="7620">
      <c r="A7620" t="n">
        <v>115</v>
      </c>
      <c r="B7620" t="n">
        <v>1953</v>
      </c>
      <c r="C7620" t="n">
        <v>0</v>
      </c>
    </row>
    <row r="7621">
      <c r="A7621" t="n">
        <v>115</v>
      </c>
      <c r="B7621" t="n">
        <v>1954</v>
      </c>
      <c r="C7621" t="n">
        <v>0</v>
      </c>
    </row>
    <row r="7622">
      <c r="A7622" t="n">
        <v>115</v>
      </c>
      <c r="B7622" t="n">
        <v>1955</v>
      </c>
      <c r="C7622" t="n">
        <v>0</v>
      </c>
    </row>
    <row r="7623">
      <c r="A7623" t="n">
        <v>115</v>
      </c>
      <c r="B7623" t="n">
        <v>1956</v>
      </c>
      <c r="C7623" t="n">
        <v>0</v>
      </c>
    </row>
    <row r="7624">
      <c r="A7624" t="n">
        <v>115</v>
      </c>
      <c r="B7624" t="n">
        <v>1957</v>
      </c>
      <c r="C7624" t="n">
        <v>0</v>
      </c>
    </row>
    <row r="7625">
      <c r="A7625" t="n">
        <v>115</v>
      </c>
      <c r="B7625" t="n">
        <v>1958</v>
      </c>
      <c r="C7625" t="n">
        <v>0</v>
      </c>
    </row>
    <row r="7626">
      <c r="A7626" t="n">
        <v>115</v>
      </c>
      <c r="B7626" t="n">
        <v>1959</v>
      </c>
      <c r="C7626" t="n">
        <v>0</v>
      </c>
    </row>
    <row r="7627">
      <c r="A7627" t="n">
        <v>115</v>
      </c>
      <c r="B7627" t="n">
        <v>1960</v>
      </c>
      <c r="C7627" t="n">
        <v>0</v>
      </c>
    </row>
    <row r="7628">
      <c r="A7628" t="n">
        <v>115</v>
      </c>
      <c r="B7628" t="n">
        <v>1961</v>
      </c>
      <c r="C7628" t="n">
        <v>0</v>
      </c>
    </row>
    <row r="7629">
      <c r="A7629" t="n">
        <v>115</v>
      </c>
      <c r="B7629" t="n">
        <v>1962</v>
      </c>
      <c r="C7629" t="n">
        <v>0</v>
      </c>
    </row>
    <row r="7630">
      <c r="A7630" t="n">
        <v>115</v>
      </c>
      <c r="B7630" t="n">
        <v>1963</v>
      </c>
      <c r="C7630" t="n">
        <v>0</v>
      </c>
    </row>
    <row r="7631">
      <c r="A7631" t="n">
        <v>115</v>
      </c>
      <c r="B7631" t="n">
        <v>1964</v>
      </c>
      <c r="C7631" t="n">
        <v>0</v>
      </c>
    </row>
    <row r="7632">
      <c r="A7632" t="n">
        <v>115</v>
      </c>
      <c r="B7632" t="n">
        <v>1965</v>
      </c>
      <c r="C7632" t="n">
        <v>0</v>
      </c>
    </row>
    <row r="7633">
      <c r="A7633" t="n">
        <v>115</v>
      </c>
      <c r="B7633" t="n">
        <v>1966</v>
      </c>
      <c r="C7633" t="n">
        <v>0</v>
      </c>
    </row>
    <row r="7634">
      <c r="A7634" t="n">
        <v>115</v>
      </c>
      <c r="B7634" t="n">
        <v>1967</v>
      </c>
      <c r="C7634" t="n">
        <v>0</v>
      </c>
    </row>
    <row r="7635">
      <c r="A7635" t="n">
        <v>115</v>
      </c>
      <c r="B7635" t="n">
        <v>1968</v>
      </c>
      <c r="C7635" t="n">
        <v>0</v>
      </c>
    </row>
    <row r="7636">
      <c r="A7636" t="n">
        <v>115</v>
      </c>
      <c r="B7636" t="n">
        <v>1969</v>
      </c>
      <c r="C7636" t="n">
        <v>0</v>
      </c>
    </row>
    <row r="7637">
      <c r="A7637" t="n">
        <v>115</v>
      </c>
      <c r="B7637" t="n">
        <v>1970</v>
      </c>
      <c r="C7637" t="n">
        <v>0</v>
      </c>
    </row>
    <row r="7638">
      <c r="A7638" t="n">
        <v>115</v>
      </c>
      <c r="B7638" t="n">
        <v>1971</v>
      </c>
      <c r="C7638" t="n">
        <v>0</v>
      </c>
    </row>
    <row r="7639">
      <c r="A7639" t="n">
        <v>115</v>
      </c>
      <c r="B7639" t="n">
        <v>1972</v>
      </c>
      <c r="C7639" t="n">
        <v>0</v>
      </c>
    </row>
    <row r="7640">
      <c r="A7640" t="n">
        <v>115</v>
      </c>
      <c r="B7640" t="n">
        <v>1973</v>
      </c>
      <c r="C7640" t="n">
        <v>0</v>
      </c>
    </row>
    <row r="7641">
      <c r="A7641" t="n">
        <v>115</v>
      </c>
      <c r="B7641" t="n">
        <v>1974</v>
      </c>
      <c r="C7641" t="n">
        <v>0</v>
      </c>
    </row>
    <row r="7642">
      <c r="A7642" t="n">
        <v>115</v>
      </c>
      <c r="B7642" t="n">
        <v>1975</v>
      </c>
      <c r="C7642" t="n">
        <v>0</v>
      </c>
    </row>
    <row r="7643">
      <c r="A7643" t="n">
        <v>115</v>
      </c>
      <c r="B7643" t="n">
        <v>1976</v>
      </c>
      <c r="C7643" t="n">
        <v>0</v>
      </c>
    </row>
    <row r="7644">
      <c r="A7644" t="n">
        <v>115</v>
      </c>
      <c r="B7644" t="n">
        <v>1977</v>
      </c>
      <c r="C7644" t="n">
        <v>0</v>
      </c>
    </row>
    <row r="7645">
      <c r="A7645" t="n">
        <v>115</v>
      </c>
      <c r="B7645" t="n">
        <v>1978</v>
      </c>
      <c r="C7645" t="n">
        <v>0</v>
      </c>
    </row>
    <row r="7646">
      <c r="A7646" t="n">
        <v>115</v>
      </c>
      <c r="B7646" t="n">
        <v>1979</v>
      </c>
      <c r="C7646" t="n">
        <v>0</v>
      </c>
    </row>
    <row r="7647">
      <c r="A7647" t="n">
        <v>115</v>
      </c>
      <c r="B7647" t="n">
        <v>1980</v>
      </c>
      <c r="C7647" t="n">
        <v>0</v>
      </c>
    </row>
    <row r="7648">
      <c r="A7648" t="n">
        <v>115</v>
      </c>
      <c r="B7648" t="n">
        <v>1981</v>
      </c>
      <c r="C7648" t="n">
        <v>0</v>
      </c>
    </row>
    <row r="7649">
      <c r="A7649" t="n">
        <v>115</v>
      </c>
      <c r="B7649" t="n">
        <v>1982</v>
      </c>
      <c r="C7649" t="n">
        <v>0</v>
      </c>
    </row>
    <row r="7650">
      <c r="A7650" t="n">
        <v>115</v>
      </c>
      <c r="B7650" t="n">
        <v>1983</v>
      </c>
      <c r="C7650" t="n">
        <v>0</v>
      </c>
    </row>
    <row r="7651">
      <c r="A7651" t="n">
        <v>115</v>
      </c>
      <c r="B7651" t="n">
        <v>1984</v>
      </c>
      <c r="C7651" t="n">
        <v>0</v>
      </c>
    </row>
    <row r="7652">
      <c r="A7652" t="n">
        <v>115</v>
      </c>
      <c r="B7652" t="n">
        <v>1985</v>
      </c>
      <c r="C7652" t="n">
        <v>0</v>
      </c>
    </row>
    <row r="7653">
      <c r="A7653" t="n">
        <v>115</v>
      </c>
      <c r="B7653" t="n">
        <v>1986</v>
      </c>
      <c r="C7653" t="n">
        <v>0</v>
      </c>
    </row>
    <row r="7654">
      <c r="A7654" t="n">
        <v>115</v>
      </c>
      <c r="B7654" t="n">
        <v>1987</v>
      </c>
      <c r="C7654" t="n">
        <v>0</v>
      </c>
    </row>
    <row r="7655">
      <c r="A7655" t="n">
        <v>115</v>
      </c>
      <c r="B7655" t="n">
        <v>1988</v>
      </c>
      <c r="C7655" t="n">
        <v>0</v>
      </c>
    </row>
    <row r="7656">
      <c r="A7656" t="n">
        <v>115</v>
      </c>
      <c r="B7656" t="n">
        <v>1989</v>
      </c>
      <c r="C7656" t="n">
        <v>0</v>
      </c>
    </row>
    <row r="7657">
      <c r="A7657" t="n">
        <v>115</v>
      </c>
      <c r="B7657" t="n">
        <v>1990</v>
      </c>
      <c r="C7657" t="n">
        <v>0</v>
      </c>
    </row>
    <row r="7658">
      <c r="A7658" t="n">
        <v>115</v>
      </c>
      <c r="B7658" t="n">
        <v>1991</v>
      </c>
      <c r="C7658" t="n">
        <v>0</v>
      </c>
    </row>
    <row r="7659">
      <c r="A7659" t="n">
        <v>115</v>
      </c>
      <c r="B7659" t="n">
        <v>1992</v>
      </c>
      <c r="C7659" t="n">
        <v>0</v>
      </c>
    </row>
    <row r="7660">
      <c r="A7660" t="n">
        <v>115</v>
      </c>
      <c r="B7660" t="n">
        <v>1993</v>
      </c>
      <c r="C7660" t="n">
        <v>0</v>
      </c>
    </row>
    <row r="7661">
      <c r="A7661" t="n">
        <v>115</v>
      </c>
      <c r="B7661" t="n">
        <v>1994</v>
      </c>
      <c r="C7661" t="n">
        <v>0</v>
      </c>
    </row>
    <row r="7662">
      <c r="A7662" t="n">
        <v>115</v>
      </c>
      <c r="B7662" t="n">
        <v>1995</v>
      </c>
      <c r="C7662" t="n">
        <v>0</v>
      </c>
    </row>
    <row r="7663">
      <c r="A7663" t="n">
        <v>115</v>
      </c>
      <c r="B7663" t="n">
        <v>1996</v>
      </c>
      <c r="C7663" t="n">
        <v>0</v>
      </c>
    </row>
    <row r="7664">
      <c r="A7664" t="n">
        <v>115</v>
      </c>
      <c r="B7664" t="n">
        <v>1997</v>
      </c>
      <c r="C7664" t="n">
        <v>0</v>
      </c>
    </row>
    <row r="7665">
      <c r="A7665" t="n">
        <v>115</v>
      </c>
      <c r="B7665" t="n">
        <v>1998</v>
      </c>
      <c r="C7665" t="n">
        <v>0</v>
      </c>
    </row>
    <row r="7666">
      <c r="A7666" t="n">
        <v>115</v>
      </c>
      <c r="B7666" t="n">
        <v>1999</v>
      </c>
      <c r="C7666" t="n">
        <v>0</v>
      </c>
    </row>
    <row r="7667">
      <c r="A7667" t="n">
        <v>115</v>
      </c>
      <c r="B7667" t="n">
        <v>2000</v>
      </c>
      <c r="C7667" t="n">
        <v>0</v>
      </c>
    </row>
    <row r="7668">
      <c r="A7668" t="n">
        <v>115</v>
      </c>
      <c r="B7668" t="n">
        <v>2001</v>
      </c>
      <c r="C7668" t="n">
        <v>0</v>
      </c>
    </row>
    <row r="7669">
      <c r="A7669" t="n">
        <v>115</v>
      </c>
      <c r="B7669" t="n">
        <v>2002</v>
      </c>
      <c r="C7669" t="n">
        <v>0</v>
      </c>
    </row>
    <row r="7670">
      <c r="A7670" t="n">
        <v>115</v>
      </c>
      <c r="B7670" t="n">
        <v>2003</v>
      </c>
      <c r="C7670" t="n">
        <v>0</v>
      </c>
    </row>
    <row r="7671">
      <c r="A7671" t="n">
        <v>115</v>
      </c>
      <c r="B7671" t="n">
        <v>2004</v>
      </c>
      <c r="C7671" t="n">
        <v>0</v>
      </c>
    </row>
    <row r="7672">
      <c r="A7672" t="n">
        <v>115</v>
      </c>
      <c r="B7672" t="n">
        <v>2005</v>
      </c>
      <c r="C7672" t="n">
        <v>0</v>
      </c>
    </row>
    <row r="7673">
      <c r="A7673" t="n">
        <v>115</v>
      </c>
      <c r="B7673" t="n">
        <v>2006</v>
      </c>
      <c r="C7673" t="n">
        <v>0</v>
      </c>
    </row>
    <row r="7674">
      <c r="A7674" t="n">
        <v>115</v>
      </c>
      <c r="B7674" t="n">
        <v>2007</v>
      </c>
      <c r="C7674" t="n">
        <v>0</v>
      </c>
    </row>
    <row r="7675">
      <c r="A7675" t="n">
        <v>115</v>
      </c>
      <c r="B7675" t="n">
        <v>2008</v>
      </c>
      <c r="C7675" t="n">
        <v>0</v>
      </c>
    </row>
    <row r="7676">
      <c r="A7676" t="n">
        <v>115</v>
      </c>
      <c r="B7676" t="n">
        <v>2009</v>
      </c>
      <c r="C7676" t="n">
        <v>0</v>
      </c>
    </row>
    <row r="7677">
      <c r="A7677" t="n">
        <v>115</v>
      </c>
      <c r="B7677" t="n">
        <v>2010</v>
      </c>
      <c r="C7677" t="n">
        <v>0</v>
      </c>
    </row>
    <row r="7678">
      <c r="A7678" t="n">
        <v>115</v>
      </c>
      <c r="B7678" t="n">
        <v>2011</v>
      </c>
      <c r="C7678" t="n">
        <v>0</v>
      </c>
    </row>
    <row r="7679">
      <c r="A7679" t="n">
        <v>115</v>
      </c>
      <c r="B7679" t="n">
        <v>2012</v>
      </c>
      <c r="C7679" t="n">
        <v>0</v>
      </c>
    </row>
    <row r="7680">
      <c r="A7680" t="n">
        <v>115</v>
      </c>
      <c r="B7680" t="n">
        <v>2013</v>
      </c>
      <c r="C7680" t="n">
        <v>0</v>
      </c>
    </row>
    <row r="7681">
      <c r="A7681" t="n">
        <v>115</v>
      </c>
      <c r="B7681" t="n">
        <v>2014</v>
      </c>
      <c r="C7681" t="n">
        <v>0</v>
      </c>
    </row>
    <row r="7682">
      <c r="A7682" t="n">
        <v>115</v>
      </c>
      <c r="B7682" t="n">
        <v>2015</v>
      </c>
      <c r="C7682" t="n">
        <v>0</v>
      </c>
    </row>
    <row r="7683">
      <c r="A7683" t="n">
        <v>115</v>
      </c>
      <c r="B7683" t="n">
        <v>2016</v>
      </c>
      <c r="C7683" t="n">
        <v>0</v>
      </c>
    </row>
    <row r="7684">
      <c r="A7684" t="n">
        <v>115</v>
      </c>
      <c r="B7684" t="n">
        <v>2017</v>
      </c>
      <c r="C7684" t="n">
        <v>0</v>
      </c>
    </row>
    <row r="7685">
      <c r="A7685" t="n">
        <v>115</v>
      </c>
      <c r="B7685" t="n">
        <v>2018</v>
      </c>
      <c r="C7685" t="n">
        <v>0</v>
      </c>
    </row>
    <row r="7686">
      <c r="A7686" t="n">
        <v>115</v>
      </c>
      <c r="B7686" t="n">
        <v>2019</v>
      </c>
      <c r="C7686" t="n">
        <v>0</v>
      </c>
    </row>
    <row r="7687">
      <c r="A7687" t="n">
        <v>115</v>
      </c>
      <c r="B7687" t="n">
        <v>2020</v>
      </c>
      <c r="C7687" t="n">
        <v>0</v>
      </c>
    </row>
    <row r="7688">
      <c r="A7688" t="n">
        <v>115</v>
      </c>
      <c r="B7688" t="n">
        <v>2021</v>
      </c>
      <c r="C7688" t="n">
        <v>0</v>
      </c>
    </row>
    <row r="7689">
      <c r="A7689" t="n">
        <v>115</v>
      </c>
      <c r="B7689" t="n">
        <v>2022</v>
      </c>
      <c r="C7689" t="n">
        <v>0</v>
      </c>
    </row>
    <row r="7690">
      <c r="A7690" t="n">
        <v>115</v>
      </c>
      <c r="B7690" t="n">
        <v>2023</v>
      </c>
      <c r="C7690" t="n">
        <v>0</v>
      </c>
    </row>
    <row r="7691">
      <c r="A7691" t="n">
        <v>115</v>
      </c>
      <c r="B7691" t="n">
        <v>2024</v>
      </c>
      <c r="C7691" t="n">
        <v>0</v>
      </c>
    </row>
    <row r="7692">
      <c r="A7692" t="n">
        <v>115</v>
      </c>
      <c r="B7692" t="n">
        <v>2025</v>
      </c>
      <c r="C7692" t="n">
        <v>0</v>
      </c>
    </row>
    <row r="7693">
      <c r="A7693" t="n">
        <v>115</v>
      </c>
      <c r="B7693" t="n">
        <v>2026</v>
      </c>
      <c r="C7693" t="n">
        <v>0</v>
      </c>
    </row>
    <row r="7694">
      <c r="A7694" t="n">
        <v>115</v>
      </c>
      <c r="B7694" t="n">
        <v>2027</v>
      </c>
      <c r="C7694" t="n">
        <v>0</v>
      </c>
    </row>
    <row r="7695">
      <c r="A7695" t="n">
        <v>115</v>
      </c>
      <c r="B7695" t="n">
        <v>2028</v>
      </c>
      <c r="C7695" t="n">
        <v>0</v>
      </c>
    </row>
    <row r="7696">
      <c r="A7696" t="n">
        <v>115</v>
      </c>
      <c r="B7696" t="n">
        <v>2029</v>
      </c>
      <c r="C7696" t="n">
        <v>0</v>
      </c>
    </row>
    <row r="7697">
      <c r="A7697" t="n">
        <v>115</v>
      </c>
      <c r="B7697" t="n">
        <v>2030</v>
      </c>
      <c r="C7697" t="n">
        <v>0</v>
      </c>
    </row>
    <row r="7698">
      <c r="A7698" t="n">
        <v>115</v>
      </c>
      <c r="B7698" t="n">
        <v>2031</v>
      </c>
      <c r="C7698" t="n">
        <v>0</v>
      </c>
    </row>
    <row r="7699">
      <c r="A7699" t="n">
        <v>116</v>
      </c>
      <c r="B7699" t="n">
        <v>1951</v>
      </c>
      <c r="C7699" t="n">
        <v>0</v>
      </c>
    </row>
    <row r="7700">
      <c r="A7700" t="n">
        <v>116</v>
      </c>
      <c r="B7700" t="n">
        <v>1952</v>
      </c>
      <c r="C7700" t="n">
        <v>0</v>
      </c>
    </row>
    <row r="7701">
      <c r="A7701" t="n">
        <v>116</v>
      </c>
      <c r="B7701" t="n">
        <v>1953</v>
      </c>
      <c r="C7701" t="n">
        <v>0</v>
      </c>
    </row>
    <row r="7702">
      <c r="A7702" t="n">
        <v>116</v>
      </c>
      <c r="B7702" t="n">
        <v>1954</v>
      </c>
      <c r="C7702" t="n">
        <v>0</v>
      </c>
    </row>
    <row r="7703">
      <c r="A7703" t="n">
        <v>116</v>
      </c>
      <c r="B7703" t="n">
        <v>1955</v>
      </c>
      <c r="C7703" t="n">
        <v>0</v>
      </c>
    </row>
    <row r="7704">
      <c r="A7704" t="n">
        <v>116</v>
      </c>
      <c r="B7704" t="n">
        <v>1956</v>
      </c>
      <c r="C7704" t="n">
        <v>0</v>
      </c>
    </row>
    <row r="7705">
      <c r="A7705" t="n">
        <v>116</v>
      </c>
      <c r="B7705" t="n">
        <v>1957</v>
      </c>
      <c r="C7705" t="n">
        <v>0</v>
      </c>
    </row>
    <row r="7706">
      <c r="A7706" t="n">
        <v>116</v>
      </c>
      <c r="B7706" t="n">
        <v>1958</v>
      </c>
      <c r="C7706" t="n">
        <v>0</v>
      </c>
    </row>
    <row r="7707">
      <c r="A7707" t="n">
        <v>116</v>
      </c>
      <c r="B7707" t="n">
        <v>1959</v>
      </c>
      <c r="C7707" t="n">
        <v>0</v>
      </c>
    </row>
    <row r="7708">
      <c r="A7708" t="n">
        <v>116</v>
      </c>
      <c r="B7708" t="n">
        <v>1960</v>
      </c>
      <c r="C7708" t="n">
        <v>0</v>
      </c>
    </row>
    <row r="7709">
      <c r="A7709" t="n">
        <v>116</v>
      </c>
      <c r="B7709" t="n">
        <v>1961</v>
      </c>
      <c r="C7709" t="n">
        <v>0</v>
      </c>
    </row>
    <row r="7710">
      <c r="A7710" t="n">
        <v>116</v>
      </c>
      <c r="B7710" t="n">
        <v>1962</v>
      </c>
      <c r="C7710" t="n">
        <v>0</v>
      </c>
    </row>
    <row r="7711">
      <c r="A7711" t="n">
        <v>116</v>
      </c>
      <c r="B7711" t="n">
        <v>1963</v>
      </c>
      <c r="C7711" t="n">
        <v>0</v>
      </c>
    </row>
    <row r="7712">
      <c r="A7712" t="n">
        <v>116</v>
      </c>
      <c r="B7712" t="n">
        <v>1964</v>
      </c>
      <c r="C7712" t="n">
        <v>0</v>
      </c>
    </row>
    <row r="7713">
      <c r="A7713" t="n">
        <v>116</v>
      </c>
      <c r="B7713" t="n">
        <v>1965</v>
      </c>
      <c r="C7713" t="n">
        <v>0</v>
      </c>
    </row>
    <row r="7714">
      <c r="A7714" t="n">
        <v>116</v>
      </c>
      <c r="B7714" t="n">
        <v>1966</v>
      </c>
      <c r="C7714" t="n">
        <v>0</v>
      </c>
    </row>
    <row r="7715">
      <c r="A7715" t="n">
        <v>116</v>
      </c>
      <c r="B7715" t="n">
        <v>1967</v>
      </c>
      <c r="C7715" t="n">
        <v>0</v>
      </c>
    </row>
    <row r="7716">
      <c r="A7716" t="n">
        <v>116</v>
      </c>
      <c r="B7716" t="n">
        <v>1968</v>
      </c>
      <c r="C7716" t="n">
        <v>0</v>
      </c>
    </row>
    <row r="7717">
      <c r="A7717" t="n">
        <v>116</v>
      </c>
      <c r="B7717" t="n">
        <v>1969</v>
      </c>
      <c r="C7717" t="n">
        <v>0</v>
      </c>
    </row>
    <row r="7718">
      <c r="A7718" t="n">
        <v>116</v>
      </c>
      <c r="B7718" t="n">
        <v>1970</v>
      </c>
      <c r="C7718" t="n">
        <v>0</v>
      </c>
    </row>
    <row r="7719">
      <c r="A7719" t="n">
        <v>116</v>
      </c>
      <c r="B7719" t="n">
        <v>1971</v>
      </c>
      <c r="C7719" t="n">
        <v>0</v>
      </c>
    </row>
    <row r="7720">
      <c r="A7720" t="n">
        <v>116</v>
      </c>
      <c r="B7720" t="n">
        <v>1972</v>
      </c>
      <c r="C7720" t="n">
        <v>0</v>
      </c>
    </row>
    <row r="7721">
      <c r="A7721" t="n">
        <v>116</v>
      </c>
      <c r="B7721" t="n">
        <v>1973</v>
      </c>
      <c r="C7721" t="n">
        <v>0</v>
      </c>
    </row>
    <row r="7722">
      <c r="A7722" t="n">
        <v>116</v>
      </c>
      <c r="B7722" t="n">
        <v>1974</v>
      </c>
      <c r="C7722" t="n">
        <v>0</v>
      </c>
    </row>
    <row r="7723">
      <c r="A7723" t="n">
        <v>116</v>
      </c>
      <c r="B7723" t="n">
        <v>1975</v>
      </c>
      <c r="C7723" t="n">
        <v>0</v>
      </c>
    </row>
    <row r="7724">
      <c r="A7724" t="n">
        <v>116</v>
      </c>
      <c r="B7724" t="n">
        <v>1976</v>
      </c>
      <c r="C7724" t="n">
        <v>0</v>
      </c>
    </row>
    <row r="7725">
      <c r="A7725" t="n">
        <v>116</v>
      </c>
      <c r="B7725" t="n">
        <v>1977</v>
      </c>
      <c r="C7725" t="n">
        <v>0</v>
      </c>
    </row>
    <row r="7726">
      <c r="A7726" t="n">
        <v>116</v>
      </c>
      <c r="B7726" t="n">
        <v>1978</v>
      </c>
      <c r="C7726" t="n">
        <v>0</v>
      </c>
    </row>
    <row r="7727">
      <c r="A7727" t="n">
        <v>116</v>
      </c>
      <c r="B7727" t="n">
        <v>1979</v>
      </c>
      <c r="C7727" t="n">
        <v>0</v>
      </c>
    </row>
    <row r="7728">
      <c r="A7728" t="n">
        <v>116</v>
      </c>
      <c r="B7728" t="n">
        <v>1980</v>
      </c>
      <c r="C7728" t="n">
        <v>0</v>
      </c>
    </row>
    <row r="7729">
      <c r="A7729" t="n">
        <v>116</v>
      </c>
      <c r="B7729" t="n">
        <v>1981</v>
      </c>
      <c r="C7729" t="n">
        <v>0</v>
      </c>
    </row>
    <row r="7730">
      <c r="A7730" t="n">
        <v>116</v>
      </c>
      <c r="B7730" t="n">
        <v>1982</v>
      </c>
      <c r="C7730" t="n">
        <v>0</v>
      </c>
    </row>
    <row r="7731">
      <c r="A7731" t="n">
        <v>116</v>
      </c>
      <c r="B7731" t="n">
        <v>1983</v>
      </c>
      <c r="C7731" t="n">
        <v>0</v>
      </c>
    </row>
    <row r="7732">
      <c r="A7732" t="n">
        <v>116</v>
      </c>
      <c r="B7732" t="n">
        <v>1984</v>
      </c>
      <c r="C7732" t="n">
        <v>0</v>
      </c>
    </row>
    <row r="7733">
      <c r="A7733" t="n">
        <v>116</v>
      </c>
      <c r="B7733" t="n">
        <v>1985</v>
      </c>
      <c r="C7733" t="n">
        <v>0</v>
      </c>
    </row>
    <row r="7734">
      <c r="A7734" t="n">
        <v>116</v>
      </c>
      <c r="B7734" t="n">
        <v>1986</v>
      </c>
      <c r="C7734" t="n">
        <v>0</v>
      </c>
    </row>
    <row r="7735">
      <c r="A7735" t="n">
        <v>116</v>
      </c>
      <c r="B7735" t="n">
        <v>1987</v>
      </c>
      <c r="C7735" t="n">
        <v>0</v>
      </c>
    </row>
    <row r="7736">
      <c r="A7736" t="n">
        <v>116</v>
      </c>
      <c r="B7736" t="n">
        <v>1988</v>
      </c>
      <c r="C7736" t="n">
        <v>0</v>
      </c>
    </row>
    <row r="7737">
      <c r="A7737" t="n">
        <v>116</v>
      </c>
      <c r="B7737" t="n">
        <v>1989</v>
      </c>
      <c r="C7737" t="n">
        <v>0</v>
      </c>
    </row>
    <row r="7738">
      <c r="A7738" t="n">
        <v>116</v>
      </c>
      <c r="B7738" t="n">
        <v>1990</v>
      </c>
      <c r="C7738" t="n">
        <v>0</v>
      </c>
    </row>
    <row r="7739">
      <c r="A7739" t="n">
        <v>116</v>
      </c>
      <c r="B7739" t="n">
        <v>1991</v>
      </c>
      <c r="C7739" t="n">
        <v>0</v>
      </c>
    </row>
    <row r="7740">
      <c r="A7740" t="n">
        <v>116</v>
      </c>
      <c r="B7740" t="n">
        <v>1992</v>
      </c>
      <c r="C7740" t="n">
        <v>0</v>
      </c>
    </row>
    <row r="7741">
      <c r="A7741" t="n">
        <v>116</v>
      </c>
      <c r="B7741" t="n">
        <v>1993</v>
      </c>
      <c r="C7741" t="n">
        <v>0</v>
      </c>
    </row>
    <row r="7742">
      <c r="A7742" t="n">
        <v>116</v>
      </c>
      <c r="B7742" t="n">
        <v>1994</v>
      </c>
      <c r="C7742" t="n">
        <v>0</v>
      </c>
    </row>
    <row r="7743">
      <c r="A7743" t="n">
        <v>116</v>
      </c>
      <c r="B7743" t="n">
        <v>1995</v>
      </c>
      <c r="C7743" t="n">
        <v>0</v>
      </c>
    </row>
    <row r="7744">
      <c r="A7744" t="n">
        <v>116</v>
      </c>
      <c r="B7744" t="n">
        <v>1996</v>
      </c>
      <c r="C7744" t="n">
        <v>0</v>
      </c>
    </row>
    <row r="7745">
      <c r="A7745" t="n">
        <v>116</v>
      </c>
      <c r="B7745" t="n">
        <v>1997</v>
      </c>
      <c r="C7745" t="n">
        <v>0</v>
      </c>
    </row>
    <row r="7746">
      <c r="A7746" t="n">
        <v>116</v>
      </c>
      <c r="B7746" t="n">
        <v>1998</v>
      </c>
      <c r="C7746" t="n">
        <v>0</v>
      </c>
    </row>
    <row r="7747">
      <c r="A7747" t="n">
        <v>116</v>
      </c>
      <c r="B7747" t="n">
        <v>1999</v>
      </c>
      <c r="C7747" t="n">
        <v>0</v>
      </c>
    </row>
    <row r="7748">
      <c r="A7748" t="n">
        <v>116</v>
      </c>
      <c r="B7748" t="n">
        <v>2000</v>
      </c>
      <c r="C7748" t="n">
        <v>0</v>
      </c>
    </row>
    <row r="7749">
      <c r="A7749" t="n">
        <v>116</v>
      </c>
      <c r="B7749" t="n">
        <v>2001</v>
      </c>
      <c r="C7749" t="n">
        <v>0</v>
      </c>
    </row>
    <row r="7750">
      <c r="A7750" t="n">
        <v>116</v>
      </c>
      <c r="B7750" t="n">
        <v>2002</v>
      </c>
      <c r="C7750" t="n">
        <v>0</v>
      </c>
    </row>
    <row r="7751">
      <c r="A7751" t="n">
        <v>116</v>
      </c>
      <c r="B7751" t="n">
        <v>2003</v>
      </c>
      <c r="C7751" t="n">
        <v>0</v>
      </c>
    </row>
    <row r="7752">
      <c r="A7752" t="n">
        <v>116</v>
      </c>
      <c r="B7752" t="n">
        <v>2004</v>
      </c>
      <c r="C7752" t="n">
        <v>0</v>
      </c>
    </row>
    <row r="7753">
      <c r="A7753" t="n">
        <v>116</v>
      </c>
      <c r="B7753" t="n">
        <v>2005</v>
      </c>
      <c r="C7753" t="n">
        <v>0</v>
      </c>
    </row>
    <row r="7754">
      <c r="A7754" t="n">
        <v>116</v>
      </c>
      <c r="B7754" t="n">
        <v>2006</v>
      </c>
      <c r="C7754" t="n">
        <v>0</v>
      </c>
    </row>
    <row r="7755">
      <c r="A7755" t="n">
        <v>116</v>
      </c>
      <c r="B7755" t="n">
        <v>2007</v>
      </c>
      <c r="C7755" t="n">
        <v>0</v>
      </c>
    </row>
    <row r="7756">
      <c r="A7756" t="n">
        <v>116</v>
      </c>
      <c r="B7756" t="n">
        <v>2008</v>
      </c>
      <c r="C7756" t="n">
        <v>0</v>
      </c>
    </row>
    <row r="7757">
      <c r="A7757" t="n">
        <v>116</v>
      </c>
      <c r="B7757" t="n">
        <v>2009</v>
      </c>
      <c r="C7757" t="n">
        <v>0</v>
      </c>
    </row>
    <row r="7758">
      <c r="A7758" t="n">
        <v>116</v>
      </c>
      <c r="B7758" t="n">
        <v>2010</v>
      </c>
      <c r="C7758" t="n">
        <v>0</v>
      </c>
    </row>
    <row r="7759">
      <c r="A7759" t="n">
        <v>116</v>
      </c>
      <c r="B7759" t="n">
        <v>2011</v>
      </c>
      <c r="C7759" t="n">
        <v>0</v>
      </c>
    </row>
    <row r="7760">
      <c r="A7760" t="n">
        <v>116</v>
      </c>
      <c r="B7760" t="n">
        <v>2012</v>
      </c>
      <c r="C7760" t="n">
        <v>0</v>
      </c>
    </row>
    <row r="7761">
      <c r="A7761" t="n">
        <v>116</v>
      </c>
      <c r="B7761" t="n">
        <v>2013</v>
      </c>
      <c r="C7761" t="n">
        <v>0</v>
      </c>
    </row>
    <row r="7762">
      <c r="A7762" t="n">
        <v>116</v>
      </c>
      <c r="B7762" t="n">
        <v>2014</v>
      </c>
      <c r="C7762" t="n">
        <v>0</v>
      </c>
    </row>
    <row r="7763">
      <c r="A7763" t="n">
        <v>116</v>
      </c>
      <c r="B7763" t="n">
        <v>2015</v>
      </c>
      <c r="C7763" t="n">
        <v>0</v>
      </c>
    </row>
    <row r="7764">
      <c r="A7764" t="n">
        <v>116</v>
      </c>
      <c r="B7764" t="n">
        <v>2016</v>
      </c>
      <c r="C7764" t="n">
        <v>0</v>
      </c>
    </row>
    <row r="7765">
      <c r="A7765" t="n">
        <v>116</v>
      </c>
      <c r="B7765" t="n">
        <v>2017</v>
      </c>
      <c r="C7765" t="n">
        <v>0</v>
      </c>
    </row>
    <row r="7766">
      <c r="A7766" t="n">
        <v>116</v>
      </c>
      <c r="B7766" t="n">
        <v>2018</v>
      </c>
      <c r="C7766" t="n">
        <v>0</v>
      </c>
    </row>
    <row r="7767">
      <c r="A7767" t="n">
        <v>116</v>
      </c>
      <c r="B7767" t="n">
        <v>2019</v>
      </c>
      <c r="C7767" t="n">
        <v>0</v>
      </c>
    </row>
    <row r="7768">
      <c r="A7768" t="n">
        <v>116</v>
      </c>
      <c r="B7768" t="n">
        <v>2020</v>
      </c>
      <c r="C7768" t="n">
        <v>0</v>
      </c>
    </row>
    <row r="7769">
      <c r="A7769" t="n">
        <v>116</v>
      </c>
      <c r="B7769" t="n">
        <v>2021</v>
      </c>
      <c r="C7769" t="n">
        <v>0</v>
      </c>
    </row>
    <row r="7770">
      <c r="A7770" t="n">
        <v>116</v>
      </c>
      <c r="B7770" t="n">
        <v>2022</v>
      </c>
      <c r="C7770" t="n">
        <v>0</v>
      </c>
    </row>
    <row r="7771">
      <c r="A7771" t="n">
        <v>116</v>
      </c>
      <c r="B7771" t="n">
        <v>2023</v>
      </c>
      <c r="C7771" t="n">
        <v>0</v>
      </c>
    </row>
    <row r="7772">
      <c r="A7772" t="n">
        <v>116</v>
      </c>
      <c r="B7772" t="n">
        <v>2024</v>
      </c>
      <c r="C7772" t="n">
        <v>0</v>
      </c>
    </row>
    <row r="7773">
      <c r="A7773" t="n">
        <v>116</v>
      </c>
      <c r="B7773" t="n">
        <v>2025</v>
      </c>
      <c r="C7773" t="n">
        <v>0</v>
      </c>
    </row>
    <row r="7774">
      <c r="A7774" t="n">
        <v>116</v>
      </c>
      <c r="B7774" t="n">
        <v>2026</v>
      </c>
      <c r="C7774" t="n">
        <v>0</v>
      </c>
    </row>
    <row r="7775">
      <c r="A7775" t="n">
        <v>116</v>
      </c>
      <c r="B7775" t="n">
        <v>2027</v>
      </c>
      <c r="C7775" t="n">
        <v>0</v>
      </c>
    </row>
    <row r="7776">
      <c r="A7776" t="n">
        <v>116</v>
      </c>
      <c r="B7776" t="n">
        <v>2028</v>
      </c>
      <c r="C7776" t="n">
        <v>0</v>
      </c>
    </row>
    <row r="7777">
      <c r="A7777" t="n">
        <v>116</v>
      </c>
      <c r="B7777" t="n">
        <v>2029</v>
      </c>
      <c r="C7777" t="n">
        <v>0</v>
      </c>
    </row>
    <row r="7778">
      <c r="A7778" t="n">
        <v>116</v>
      </c>
      <c r="B7778" t="n">
        <v>2030</v>
      </c>
      <c r="C7778" t="n">
        <v>0</v>
      </c>
    </row>
    <row r="7779">
      <c r="A7779" t="n">
        <v>116</v>
      </c>
      <c r="B7779" t="n">
        <v>2031</v>
      </c>
      <c r="C7779" t="n">
        <v>0</v>
      </c>
    </row>
    <row r="7780">
      <c r="A7780" t="n">
        <v>117</v>
      </c>
      <c r="B7780" t="n">
        <v>1951</v>
      </c>
      <c r="C7780" t="n">
        <v>0</v>
      </c>
    </row>
    <row r="7781">
      <c r="A7781" t="n">
        <v>117</v>
      </c>
      <c r="B7781" t="n">
        <v>1952</v>
      </c>
      <c r="C7781" t="n">
        <v>0</v>
      </c>
    </row>
    <row r="7782">
      <c r="A7782" t="n">
        <v>117</v>
      </c>
      <c r="B7782" t="n">
        <v>1953</v>
      </c>
      <c r="C7782" t="n">
        <v>0</v>
      </c>
    </row>
    <row r="7783">
      <c r="A7783" t="n">
        <v>117</v>
      </c>
      <c r="B7783" t="n">
        <v>1954</v>
      </c>
      <c r="C7783" t="n">
        <v>0</v>
      </c>
    </row>
    <row r="7784">
      <c r="A7784" t="n">
        <v>117</v>
      </c>
      <c r="B7784" t="n">
        <v>1955</v>
      </c>
      <c r="C7784" t="n">
        <v>0</v>
      </c>
    </row>
    <row r="7785">
      <c r="A7785" t="n">
        <v>117</v>
      </c>
      <c r="B7785" t="n">
        <v>1956</v>
      </c>
      <c r="C7785" t="n">
        <v>0</v>
      </c>
    </row>
    <row r="7786">
      <c r="A7786" t="n">
        <v>117</v>
      </c>
      <c r="B7786" t="n">
        <v>1957</v>
      </c>
      <c r="C7786" t="n">
        <v>0</v>
      </c>
    </row>
    <row r="7787">
      <c r="A7787" t="n">
        <v>117</v>
      </c>
      <c r="B7787" t="n">
        <v>1958</v>
      </c>
      <c r="C7787" t="n">
        <v>0</v>
      </c>
    </row>
    <row r="7788">
      <c r="A7788" t="n">
        <v>117</v>
      </c>
      <c r="B7788" t="n">
        <v>1959</v>
      </c>
      <c r="C7788" t="n">
        <v>0</v>
      </c>
    </row>
    <row r="7789">
      <c r="A7789" t="n">
        <v>117</v>
      </c>
      <c r="B7789" t="n">
        <v>1960</v>
      </c>
      <c r="C7789" t="n">
        <v>0</v>
      </c>
    </row>
    <row r="7790">
      <c r="A7790" t="n">
        <v>117</v>
      </c>
      <c r="B7790" t="n">
        <v>1961</v>
      </c>
      <c r="C7790" t="n">
        <v>0</v>
      </c>
    </row>
    <row r="7791">
      <c r="A7791" t="n">
        <v>117</v>
      </c>
      <c r="B7791" t="n">
        <v>1962</v>
      </c>
      <c r="C7791" t="n">
        <v>0</v>
      </c>
    </row>
    <row r="7792">
      <c r="A7792" t="n">
        <v>117</v>
      </c>
      <c r="B7792" t="n">
        <v>1963</v>
      </c>
      <c r="C7792" t="n">
        <v>0</v>
      </c>
    </row>
    <row r="7793">
      <c r="A7793" t="n">
        <v>117</v>
      </c>
      <c r="B7793" t="n">
        <v>1964</v>
      </c>
      <c r="C7793" t="n">
        <v>0</v>
      </c>
    </row>
    <row r="7794">
      <c r="A7794" t="n">
        <v>117</v>
      </c>
      <c r="B7794" t="n">
        <v>1965</v>
      </c>
      <c r="C7794" t="n">
        <v>0</v>
      </c>
    </row>
    <row r="7795">
      <c r="A7795" t="n">
        <v>117</v>
      </c>
      <c r="B7795" t="n">
        <v>1966</v>
      </c>
      <c r="C7795" t="n">
        <v>0</v>
      </c>
    </row>
    <row r="7796">
      <c r="A7796" t="n">
        <v>117</v>
      </c>
      <c r="B7796" t="n">
        <v>1967</v>
      </c>
      <c r="C7796" t="n">
        <v>0</v>
      </c>
    </row>
    <row r="7797">
      <c r="A7797" t="n">
        <v>117</v>
      </c>
      <c r="B7797" t="n">
        <v>1968</v>
      </c>
      <c r="C7797" t="n">
        <v>0</v>
      </c>
    </row>
    <row r="7798">
      <c r="A7798" t="n">
        <v>117</v>
      </c>
      <c r="B7798" t="n">
        <v>1969</v>
      </c>
      <c r="C7798" t="n">
        <v>0</v>
      </c>
    </row>
    <row r="7799">
      <c r="A7799" t="n">
        <v>117</v>
      </c>
      <c r="B7799" t="n">
        <v>1970</v>
      </c>
      <c r="C7799" t="n">
        <v>0</v>
      </c>
    </row>
    <row r="7800">
      <c r="A7800" t="n">
        <v>117</v>
      </c>
      <c r="B7800" t="n">
        <v>1971</v>
      </c>
      <c r="C7800" t="n">
        <v>0</v>
      </c>
    </row>
    <row r="7801">
      <c r="A7801" t="n">
        <v>117</v>
      </c>
      <c r="B7801" t="n">
        <v>1972</v>
      </c>
      <c r="C7801" t="n">
        <v>0</v>
      </c>
    </row>
    <row r="7802">
      <c r="A7802" t="n">
        <v>117</v>
      </c>
      <c r="B7802" t="n">
        <v>1973</v>
      </c>
      <c r="C7802" t="n">
        <v>0</v>
      </c>
    </row>
    <row r="7803">
      <c r="A7803" t="n">
        <v>117</v>
      </c>
      <c r="B7803" t="n">
        <v>1974</v>
      </c>
      <c r="C7803" t="n">
        <v>0</v>
      </c>
    </row>
    <row r="7804">
      <c r="A7804" t="n">
        <v>117</v>
      </c>
      <c r="B7804" t="n">
        <v>1975</v>
      </c>
      <c r="C7804" t="n">
        <v>0</v>
      </c>
    </row>
    <row r="7805">
      <c r="A7805" t="n">
        <v>117</v>
      </c>
      <c r="B7805" t="n">
        <v>1976</v>
      </c>
      <c r="C7805" t="n">
        <v>0</v>
      </c>
    </row>
    <row r="7806">
      <c r="A7806" t="n">
        <v>117</v>
      </c>
      <c r="B7806" t="n">
        <v>1977</v>
      </c>
      <c r="C7806" t="n">
        <v>0</v>
      </c>
    </row>
    <row r="7807">
      <c r="A7807" t="n">
        <v>117</v>
      </c>
      <c r="B7807" t="n">
        <v>1978</v>
      </c>
      <c r="C7807" t="n">
        <v>0</v>
      </c>
    </row>
    <row r="7808">
      <c r="A7808" t="n">
        <v>117</v>
      </c>
      <c r="B7808" t="n">
        <v>1979</v>
      </c>
      <c r="C7808" t="n">
        <v>0</v>
      </c>
    </row>
    <row r="7809">
      <c r="A7809" t="n">
        <v>117</v>
      </c>
      <c r="B7809" t="n">
        <v>1980</v>
      </c>
      <c r="C7809" t="n">
        <v>0</v>
      </c>
    </row>
    <row r="7810">
      <c r="A7810" t="n">
        <v>117</v>
      </c>
      <c r="B7810" t="n">
        <v>1981</v>
      </c>
      <c r="C7810" t="n">
        <v>0</v>
      </c>
    </row>
    <row r="7811">
      <c r="A7811" t="n">
        <v>117</v>
      </c>
      <c r="B7811" t="n">
        <v>1982</v>
      </c>
      <c r="C7811" t="n">
        <v>0</v>
      </c>
    </row>
    <row r="7812">
      <c r="A7812" t="n">
        <v>117</v>
      </c>
      <c r="B7812" t="n">
        <v>1983</v>
      </c>
      <c r="C7812" t="n">
        <v>0</v>
      </c>
    </row>
    <row r="7813">
      <c r="A7813" t="n">
        <v>117</v>
      </c>
      <c r="B7813" t="n">
        <v>1984</v>
      </c>
      <c r="C7813" t="n">
        <v>0</v>
      </c>
    </row>
    <row r="7814">
      <c r="A7814" t="n">
        <v>117</v>
      </c>
      <c r="B7814" t="n">
        <v>1985</v>
      </c>
      <c r="C7814" t="n">
        <v>0</v>
      </c>
    </row>
    <row r="7815">
      <c r="A7815" t="n">
        <v>117</v>
      </c>
      <c r="B7815" t="n">
        <v>1986</v>
      </c>
      <c r="C7815" t="n">
        <v>0</v>
      </c>
    </row>
    <row r="7816">
      <c r="A7816" t="n">
        <v>117</v>
      </c>
      <c r="B7816" t="n">
        <v>1987</v>
      </c>
      <c r="C7816" t="n">
        <v>0</v>
      </c>
    </row>
    <row r="7817">
      <c r="A7817" t="n">
        <v>117</v>
      </c>
      <c r="B7817" t="n">
        <v>1988</v>
      </c>
      <c r="C7817" t="n">
        <v>0</v>
      </c>
    </row>
    <row r="7818">
      <c r="A7818" t="n">
        <v>117</v>
      </c>
      <c r="B7818" t="n">
        <v>1989</v>
      </c>
      <c r="C7818" t="n">
        <v>0</v>
      </c>
    </row>
    <row r="7819">
      <c r="A7819" t="n">
        <v>117</v>
      </c>
      <c r="B7819" t="n">
        <v>1990</v>
      </c>
      <c r="C7819" t="n">
        <v>0</v>
      </c>
    </row>
    <row r="7820">
      <c r="A7820" t="n">
        <v>117</v>
      </c>
      <c r="B7820" t="n">
        <v>1991</v>
      </c>
      <c r="C7820" t="n">
        <v>0</v>
      </c>
    </row>
    <row r="7821">
      <c r="A7821" t="n">
        <v>117</v>
      </c>
      <c r="B7821" t="n">
        <v>1992</v>
      </c>
      <c r="C7821" t="n">
        <v>0</v>
      </c>
    </row>
    <row r="7822">
      <c r="A7822" t="n">
        <v>117</v>
      </c>
      <c r="B7822" t="n">
        <v>1993</v>
      </c>
      <c r="C7822" t="n">
        <v>0</v>
      </c>
    </row>
    <row r="7823">
      <c r="A7823" t="n">
        <v>117</v>
      </c>
      <c r="B7823" t="n">
        <v>1994</v>
      </c>
      <c r="C7823" t="n">
        <v>0</v>
      </c>
    </row>
    <row r="7824">
      <c r="A7824" t="n">
        <v>117</v>
      </c>
      <c r="B7824" t="n">
        <v>1995</v>
      </c>
      <c r="C7824" t="n">
        <v>0</v>
      </c>
    </row>
    <row r="7825">
      <c r="A7825" t="n">
        <v>117</v>
      </c>
      <c r="B7825" t="n">
        <v>1996</v>
      </c>
      <c r="C7825" t="n">
        <v>0</v>
      </c>
    </row>
    <row r="7826">
      <c r="A7826" t="n">
        <v>117</v>
      </c>
      <c r="B7826" t="n">
        <v>1997</v>
      </c>
      <c r="C7826" t="n">
        <v>0</v>
      </c>
    </row>
    <row r="7827">
      <c r="A7827" t="n">
        <v>117</v>
      </c>
      <c r="B7827" t="n">
        <v>1998</v>
      </c>
      <c r="C7827" t="n">
        <v>0</v>
      </c>
    </row>
    <row r="7828">
      <c r="A7828" t="n">
        <v>117</v>
      </c>
      <c r="B7828" t="n">
        <v>1999</v>
      </c>
      <c r="C7828" t="n">
        <v>0</v>
      </c>
    </row>
    <row r="7829">
      <c r="A7829" t="n">
        <v>117</v>
      </c>
      <c r="B7829" t="n">
        <v>2000</v>
      </c>
      <c r="C7829" t="n">
        <v>0</v>
      </c>
    </row>
    <row r="7830">
      <c r="A7830" t="n">
        <v>117</v>
      </c>
      <c r="B7830" t="n">
        <v>2001</v>
      </c>
      <c r="C7830" t="n">
        <v>0</v>
      </c>
    </row>
    <row r="7831">
      <c r="A7831" t="n">
        <v>117</v>
      </c>
      <c r="B7831" t="n">
        <v>2002</v>
      </c>
      <c r="C7831" t="n">
        <v>0</v>
      </c>
    </row>
    <row r="7832">
      <c r="A7832" t="n">
        <v>117</v>
      </c>
      <c r="B7832" t="n">
        <v>2003</v>
      </c>
      <c r="C7832" t="n">
        <v>0</v>
      </c>
    </row>
    <row r="7833">
      <c r="A7833" t="n">
        <v>117</v>
      </c>
      <c r="B7833" t="n">
        <v>2004</v>
      </c>
      <c r="C7833" t="n">
        <v>0</v>
      </c>
    </row>
    <row r="7834">
      <c r="A7834" t="n">
        <v>117</v>
      </c>
      <c r="B7834" t="n">
        <v>2005</v>
      </c>
      <c r="C7834" t="n">
        <v>0</v>
      </c>
    </row>
    <row r="7835">
      <c r="A7835" t="n">
        <v>117</v>
      </c>
      <c r="B7835" t="n">
        <v>2006</v>
      </c>
      <c r="C7835" t="n">
        <v>0</v>
      </c>
    </row>
    <row r="7836">
      <c r="A7836" t="n">
        <v>117</v>
      </c>
      <c r="B7836" t="n">
        <v>2007</v>
      </c>
      <c r="C7836" t="n">
        <v>0</v>
      </c>
    </row>
    <row r="7837">
      <c r="A7837" t="n">
        <v>117</v>
      </c>
      <c r="B7837" t="n">
        <v>2008</v>
      </c>
      <c r="C7837" t="n">
        <v>0</v>
      </c>
    </row>
    <row r="7838">
      <c r="A7838" t="n">
        <v>117</v>
      </c>
      <c r="B7838" t="n">
        <v>2009</v>
      </c>
      <c r="C7838" t="n">
        <v>0</v>
      </c>
    </row>
    <row r="7839">
      <c r="A7839" t="n">
        <v>117</v>
      </c>
      <c r="B7839" t="n">
        <v>2010</v>
      </c>
      <c r="C7839" t="n">
        <v>0</v>
      </c>
    </row>
    <row r="7840">
      <c r="A7840" t="n">
        <v>117</v>
      </c>
      <c r="B7840" t="n">
        <v>2011</v>
      </c>
      <c r="C7840" t="n">
        <v>0</v>
      </c>
    </row>
    <row r="7841">
      <c r="A7841" t="n">
        <v>117</v>
      </c>
      <c r="B7841" t="n">
        <v>2012</v>
      </c>
      <c r="C7841" t="n">
        <v>0</v>
      </c>
    </row>
    <row r="7842">
      <c r="A7842" t="n">
        <v>117</v>
      </c>
      <c r="B7842" t="n">
        <v>2013</v>
      </c>
      <c r="C7842" t="n">
        <v>0</v>
      </c>
    </row>
    <row r="7843">
      <c r="A7843" t="n">
        <v>117</v>
      </c>
      <c r="B7843" t="n">
        <v>2014</v>
      </c>
      <c r="C7843" t="n">
        <v>0</v>
      </c>
    </row>
    <row r="7844">
      <c r="A7844" t="n">
        <v>117</v>
      </c>
      <c r="B7844" t="n">
        <v>2015</v>
      </c>
      <c r="C7844" t="n">
        <v>0</v>
      </c>
    </row>
    <row r="7845">
      <c r="A7845" t="n">
        <v>117</v>
      </c>
      <c r="B7845" t="n">
        <v>2016</v>
      </c>
      <c r="C7845" t="n">
        <v>0</v>
      </c>
    </row>
    <row r="7846">
      <c r="A7846" t="n">
        <v>117</v>
      </c>
      <c r="B7846" t="n">
        <v>2017</v>
      </c>
      <c r="C7846" t="n">
        <v>0</v>
      </c>
    </row>
    <row r="7847">
      <c r="A7847" t="n">
        <v>117</v>
      </c>
      <c r="B7847" t="n">
        <v>2018</v>
      </c>
      <c r="C7847" t="n">
        <v>0</v>
      </c>
    </row>
    <row r="7848">
      <c r="A7848" t="n">
        <v>117</v>
      </c>
      <c r="B7848" t="n">
        <v>2019</v>
      </c>
      <c r="C7848" t="n">
        <v>0</v>
      </c>
    </row>
    <row r="7849">
      <c r="A7849" t="n">
        <v>117</v>
      </c>
      <c r="B7849" t="n">
        <v>2020</v>
      </c>
      <c r="C7849" t="n">
        <v>0</v>
      </c>
    </row>
    <row r="7850">
      <c r="A7850" t="n">
        <v>117</v>
      </c>
      <c r="B7850" t="n">
        <v>2021</v>
      </c>
      <c r="C7850" t="n">
        <v>0</v>
      </c>
    </row>
    <row r="7851">
      <c r="A7851" t="n">
        <v>117</v>
      </c>
      <c r="B7851" t="n">
        <v>2022</v>
      </c>
      <c r="C7851" t="n">
        <v>0</v>
      </c>
    </row>
    <row r="7852">
      <c r="A7852" t="n">
        <v>117</v>
      </c>
      <c r="B7852" t="n">
        <v>2023</v>
      </c>
      <c r="C7852" t="n">
        <v>0</v>
      </c>
    </row>
    <row r="7853">
      <c r="A7853" t="n">
        <v>117</v>
      </c>
      <c r="B7853" t="n">
        <v>2024</v>
      </c>
      <c r="C7853" t="n">
        <v>0</v>
      </c>
    </row>
    <row r="7854">
      <c r="A7854" t="n">
        <v>117</v>
      </c>
      <c r="B7854" t="n">
        <v>2025</v>
      </c>
      <c r="C7854" t="n">
        <v>0</v>
      </c>
    </row>
    <row r="7855">
      <c r="A7855" t="n">
        <v>117</v>
      </c>
      <c r="B7855" t="n">
        <v>2026</v>
      </c>
      <c r="C7855" t="n">
        <v>0</v>
      </c>
    </row>
    <row r="7856">
      <c r="A7856" t="n">
        <v>117</v>
      </c>
      <c r="B7856" t="n">
        <v>2027</v>
      </c>
      <c r="C7856" t="n">
        <v>0</v>
      </c>
    </row>
    <row r="7857">
      <c r="A7857" t="n">
        <v>117</v>
      </c>
      <c r="B7857" t="n">
        <v>2028</v>
      </c>
      <c r="C7857" t="n">
        <v>0</v>
      </c>
    </row>
    <row r="7858">
      <c r="A7858" t="n">
        <v>117</v>
      </c>
      <c r="B7858" t="n">
        <v>2029</v>
      </c>
      <c r="C7858" t="n">
        <v>0</v>
      </c>
    </row>
    <row r="7859">
      <c r="A7859" t="n">
        <v>117</v>
      </c>
      <c r="B7859" t="n">
        <v>2030</v>
      </c>
      <c r="C7859" t="n">
        <v>0</v>
      </c>
    </row>
    <row r="7860">
      <c r="A7860" t="n">
        <v>117</v>
      </c>
      <c r="B7860" t="n">
        <v>2031</v>
      </c>
      <c r="C7860" t="n">
        <v>0</v>
      </c>
    </row>
    <row r="7861">
      <c r="A7861" t="n">
        <v>118</v>
      </c>
      <c r="B7861" t="n">
        <v>1951</v>
      </c>
      <c r="C7861" t="n">
        <v>0</v>
      </c>
    </row>
    <row r="7862">
      <c r="A7862" t="n">
        <v>118</v>
      </c>
      <c r="B7862" t="n">
        <v>1952</v>
      </c>
      <c r="C7862" t="n">
        <v>0</v>
      </c>
    </row>
    <row r="7863">
      <c r="A7863" t="n">
        <v>118</v>
      </c>
      <c r="B7863" t="n">
        <v>1953</v>
      </c>
      <c r="C7863" t="n">
        <v>0</v>
      </c>
    </row>
    <row r="7864">
      <c r="A7864" t="n">
        <v>118</v>
      </c>
      <c r="B7864" t="n">
        <v>1954</v>
      </c>
      <c r="C7864" t="n">
        <v>0</v>
      </c>
    </row>
    <row r="7865">
      <c r="A7865" t="n">
        <v>118</v>
      </c>
      <c r="B7865" t="n">
        <v>1955</v>
      </c>
      <c r="C7865" t="n">
        <v>0</v>
      </c>
    </row>
    <row r="7866">
      <c r="A7866" t="n">
        <v>118</v>
      </c>
      <c r="B7866" t="n">
        <v>1956</v>
      </c>
      <c r="C7866" t="n">
        <v>0</v>
      </c>
    </row>
    <row r="7867">
      <c r="A7867" t="n">
        <v>118</v>
      </c>
      <c r="B7867" t="n">
        <v>1957</v>
      </c>
      <c r="C7867" t="n">
        <v>0</v>
      </c>
    </row>
    <row r="7868">
      <c r="A7868" t="n">
        <v>118</v>
      </c>
      <c r="B7868" t="n">
        <v>1958</v>
      </c>
      <c r="C7868" t="n">
        <v>0</v>
      </c>
    </row>
    <row r="7869">
      <c r="A7869" t="n">
        <v>118</v>
      </c>
      <c r="B7869" t="n">
        <v>1959</v>
      </c>
      <c r="C7869" t="n">
        <v>0</v>
      </c>
    </row>
    <row r="7870">
      <c r="A7870" t="n">
        <v>118</v>
      </c>
      <c r="B7870" t="n">
        <v>1960</v>
      </c>
      <c r="C7870" t="n">
        <v>0</v>
      </c>
    </row>
    <row r="7871">
      <c r="A7871" t="n">
        <v>118</v>
      </c>
      <c r="B7871" t="n">
        <v>1961</v>
      </c>
      <c r="C7871" t="n">
        <v>0</v>
      </c>
    </row>
    <row r="7872">
      <c r="A7872" t="n">
        <v>118</v>
      </c>
      <c r="B7872" t="n">
        <v>1962</v>
      </c>
      <c r="C7872" t="n">
        <v>0</v>
      </c>
    </row>
    <row r="7873">
      <c r="A7873" t="n">
        <v>118</v>
      </c>
      <c r="B7873" t="n">
        <v>1963</v>
      </c>
      <c r="C7873" t="n">
        <v>0</v>
      </c>
    </row>
    <row r="7874">
      <c r="A7874" t="n">
        <v>118</v>
      </c>
      <c r="B7874" t="n">
        <v>1964</v>
      </c>
      <c r="C7874" t="n">
        <v>0</v>
      </c>
    </row>
    <row r="7875">
      <c r="A7875" t="n">
        <v>118</v>
      </c>
      <c r="B7875" t="n">
        <v>1965</v>
      </c>
      <c r="C7875" t="n">
        <v>0</v>
      </c>
    </row>
    <row r="7876">
      <c r="A7876" t="n">
        <v>118</v>
      </c>
      <c r="B7876" t="n">
        <v>1966</v>
      </c>
      <c r="C7876" t="n">
        <v>0</v>
      </c>
    </row>
    <row r="7877">
      <c r="A7877" t="n">
        <v>118</v>
      </c>
      <c r="B7877" t="n">
        <v>1967</v>
      </c>
      <c r="C7877" t="n">
        <v>0</v>
      </c>
    </row>
    <row r="7878">
      <c r="A7878" t="n">
        <v>118</v>
      </c>
      <c r="B7878" t="n">
        <v>1968</v>
      </c>
      <c r="C7878" t="n">
        <v>0</v>
      </c>
    </row>
    <row r="7879">
      <c r="A7879" t="n">
        <v>118</v>
      </c>
      <c r="B7879" t="n">
        <v>1969</v>
      </c>
      <c r="C7879" t="n">
        <v>0</v>
      </c>
    </row>
    <row r="7880">
      <c r="A7880" t="n">
        <v>118</v>
      </c>
      <c r="B7880" t="n">
        <v>1970</v>
      </c>
      <c r="C7880" t="n">
        <v>0</v>
      </c>
    </row>
    <row r="7881">
      <c r="A7881" t="n">
        <v>118</v>
      </c>
      <c r="B7881" t="n">
        <v>1971</v>
      </c>
      <c r="C7881" t="n">
        <v>0</v>
      </c>
    </row>
    <row r="7882">
      <c r="A7882" t="n">
        <v>118</v>
      </c>
      <c r="B7882" t="n">
        <v>1972</v>
      </c>
      <c r="C7882" t="n">
        <v>0</v>
      </c>
    </row>
    <row r="7883">
      <c r="A7883" t="n">
        <v>118</v>
      </c>
      <c r="B7883" t="n">
        <v>1973</v>
      </c>
      <c r="C7883" t="n">
        <v>0</v>
      </c>
    </row>
    <row r="7884">
      <c r="A7884" t="n">
        <v>118</v>
      </c>
      <c r="B7884" t="n">
        <v>1974</v>
      </c>
      <c r="C7884" t="n">
        <v>0</v>
      </c>
    </row>
    <row r="7885">
      <c r="A7885" t="n">
        <v>118</v>
      </c>
      <c r="B7885" t="n">
        <v>1975</v>
      </c>
      <c r="C7885" t="n">
        <v>0</v>
      </c>
    </row>
    <row r="7886">
      <c r="A7886" t="n">
        <v>118</v>
      </c>
      <c r="B7886" t="n">
        <v>1976</v>
      </c>
      <c r="C7886" t="n">
        <v>0</v>
      </c>
    </row>
    <row r="7887">
      <c r="A7887" t="n">
        <v>118</v>
      </c>
      <c r="B7887" t="n">
        <v>1977</v>
      </c>
      <c r="C7887" t="n">
        <v>0</v>
      </c>
    </row>
    <row r="7888">
      <c r="A7888" t="n">
        <v>118</v>
      </c>
      <c r="B7888" t="n">
        <v>1978</v>
      </c>
      <c r="C7888" t="n">
        <v>0</v>
      </c>
    </row>
    <row r="7889">
      <c r="A7889" t="n">
        <v>118</v>
      </c>
      <c r="B7889" t="n">
        <v>1979</v>
      </c>
      <c r="C7889" t="n">
        <v>0</v>
      </c>
    </row>
    <row r="7890">
      <c r="A7890" t="n">
        <v>118</v>
      </c>
      <c r="B7890" t="n">
        <v>1980</v>
      </c>
      <c r="C7890" t="n">
        <v>0</v>
      </c>
    </row>
    <row r="7891">
      <c r="A7891" t="n">
        <v>118</v>
      </c>
      <c r="B7891" t="n">
        <v>1981</v>
      </c>
      <c r="C7891" t="n">
        <v>0</v>
      </c>
    </row>
    <row r="7892">
      <c r="A7892" t="n">
        <v>118</v>
      </c>
      <c r="B7892" t="n">
        <v>1982</v>
      </c>
      <c r="C7892" t="n">
        <v>0</v>
      </c>
    </row>
    <row r="7893">
      <c r="A7893" t="n">
        <v>118</v>
      </c>
      <c r="B7893" t="n">
        <v>1983</v>
      </c>
      <c r="C7893" t="n">
        <v>0</v>
      </c>
    </row>
    <row r="7894">
      <c r="A7894" t="n">
        <v>118</v>
      </c>
      <c r="B7894" t="n">
        <v>1984</v>
      </c>
      <c r="C7894" t="n">
        <v>0</v>
      </c>
    </row>
    <row r="7895">
      <c r="A7895" t="n">
        <v>118</v>
      </c>
      <c r="B7895" t="n">
        <v>1985</v>
      </c>
      <c r="C7895" t="n">
        <v>0</v>
      </c>
    </row>
    <row r="7896">
      <c r="A7896" t="n">
        <v>118</v>
      </c>
      <c r="B7896" t="n">
        <v>1986</v>
      </c>
      <c r="C7896" t="n">
        <v>0</v>
      </c>
    </row>
    <row r="7897">
      <c r="A7897" t="n">
        <v>118</v>
      </c>
      <c r="B7897" t="n">
        <v>1987</v>
      </c>
      <c r="C7897" t="n">
        <v>0</v>
      </c>
    </row>
    <row r="7898">
      <c r="A7898" t="n">
        <v>118</v>
      </c>
      <c r="B7898" t="n">
        <v>1988</v>
      </c>
      <c r="C7898" t="n">
        <v>0</v>
      </c>
    </row>
    <row r="7899">
      <c r="A7899" t="n">
        <v>118</v>
      </c>
      <c r="B7899" t="n">
        <v>1989</v>
      </c>
      <c r="C7899" t="n">
        <v>0</v>
      </c>
    </row>
    <row r="7900">
      <c r="A7900" t="n">
        <v>118</v>
      </c>
      <c r="B7900" t="n">
        <v>1990</v>
      </c>
      <c r="C7900" t="n">
        <v>0</v>
      </c>
    </row>
    <row r="7901">
      <c r="A7901" t="n">
        <v>118</v>
      </c>
      <c r="B7901" t="n">
        <v>1991</v>
      </c>
      <c r="C7901" t="n">
        <v>0</v>
      </c>
    </row>
    <row r="7902">
      <c r="A7902" t="n">
        <v>118</v>
      </c>
      <c r="B7902" t="n">
        <v>1992</v>
      </c>
      <c r="C7902" t="n">
        <v>0</v>
      </c>
    </row>
    <row r="7903">
      <c r="A7903" t="n">
        <v>118</v>
      </c>
      <c r="B7903" t="n">
        <v>1993</v>
      </c>
      <c r="C7903" t="n">
        <v>0</v>
      </c>
    </row>
    <row r="7904">
      <c r="A7904" t="n">
        <v>118</v>
      </c>
      <c r="B7904" t="n">
        <v>1994</v>
      </c>
      <c r="C7904" t="n">
        <v>0</v>
      </c>
    </row>
    <row r="7905">
      <c r="A7905" t="n">
        <v>118</v>
      </c>
      <c r="B7905" t="n">
        <v>1995</v>
      </c>
      <c r="C7905" t="n">
        <v>0</v>
      </c>
    </row>
    <row r="7906">
      <c r="A7906" t="n">
        <v>118</v>
      </c>
      <c r="B7906" t="n">
        <v>1996</v>
      </c>
      <c r="C7906" t="n">
        <v>0</v>
      </c>
    </row>
    <row r="7907">
      <c r="A7907" t="n">
        <v>118</v>
      </c>
      <c r="B7907" t="n">
        <v>1997</v>
      </c>
      <c r="C7907" t="n">
        <v>0</v>
      </c>
    </row>
    <row r="7908">
      <c r="A7908" t="n">
        <v>118</v>
      </c>
      <c r="B7908" t="n">
        <v>1998</v>
      </c>
      <c r="C7908" t="n">
        <v>0</v>
      </c>
    </row>
    <row r="7909">
      <c r="A7909" t="n">
        <v>118</v>
      </c>
      <c r="B7909" t="n">
        <v>1999</v>
      </c>
      <c r="C7909" t="n">
        <v>0</v>
      </c>
    </row>
    <row r="7910">
      <c r="A7910" t="n">
        <v>118</v>
      </c>
      <c r="B7910" t="n">
        <v>2000</v>
      </c>
      <c r="C7910" t="n">
        <v>0</v>
      </c>
    </row>
    <row r="7911">
      <c r="A7911" t="n">
        <v>118</v>
      </c>
      <c r="B7911" t="n">
        <v>2001</v>
      </c>
      <c r="C7911" t="n">
        <v>0</v>
      </c>
    </row>
    <row r="7912">
      <c r="A7912" t="n">
        <v>118</v>
      </c>
      <c r="B7912" t="n">
        <v>2002</v>
      </c>
      <c r="C7912" t="n">
        <v>0</v>
      </c>
    </row>
    <row r="7913">
      <c r="A7913" t="n">
        <v>118</v>
      </c>
      <c r="B7913" t="n">
        <v>2003</v>
      </c>
      <c r="C7913" t="n">
        <v>0</v>
      </c>
    </row>
    <row r="7914">
      <c r="A7914" t="n">
        <v>118</v>
      </c>
      <c r="B7914" t="n">
        <v>2004</v>
      </c>
      <c r="C7914" t="n">
        <v>0</v>
      </c>
    </row>
    <row r="7915">
      <c r="A7915" t="n">
        <v>118</v>
      </c>
      <c r="B7915" t="n">
        <v>2005</v>
      </c>
      <c r="C7915" t="n">
        <v>0</v>
      </c>
    </row>
    <row r="7916">
      <c r="A7916" t="n">
        <v>118</v>
      </c>
      <c r="B7916" t="n">
        <v>2006</v>
      </c>
      <c r="C7916" t="n">
        <v>0</v>
      </c>
    </row>
    <row r="7917">
      <c r="A7917" t="n">
        <v>118</v>
      </c>
      <c r="B7917" t="n">
        <v>2007</v>
      </c>
      <c r="C7917" t="n">
        <v>0</v>
      </c>
    </row>
    <row r="7918">
      <c r="A7918" t="n">
        <v>118</v>
      </c>
      <c r="B7918" t="n">
        <v>2008</v>
      </c>
      <c r="C7918" t="n">
        <v>0</v>
      </c>
    </row>
    <row r="7919">
      <c r="A7919" t="n">
        <v>118</v>
      </c>
      <c r="B7919" t="n">
        <v>2009</v>
      </c>
      <c r="C7919" t="n">
        <v>0</v>
      </c>
    </row>
    <row r="7920">
      <c r="A7920" t="n">
        <v>118</v>
      </c>
      <c r="B7920" t="n">
        <v>2010</v>
      </c>
      <c r="C7920" t="n">
        <v>0</v>
      </c>
    </row>
    <row r="7921">
      <c r="A7921" t="n">
        <v>118</v>
      </c>
      <c r="B7921" t="n">
        <v>2011</v>
      </c>
      <c r="C7921" t="n">
        <v>0</v>
      </c>
    </row>
    <row r="7922">
      <c r="A7922" t="n">
        <v>118</v>
      </c>
      <c r="B7922" t="n">
        <v>2012</v>
      </c>
      <c r="C7922" t="n">
        <v>0</v>
      </c>
    </row>
    <row r="7923">
      <c r="A7923" t="n">
        <v>118</v>
      </c>
      <c r="B7923" t="n">
        <v>2013</v>
      </c>
      <c r="C7923" t="n">
        <v>0</v>
      </c>
    </row>
    <row r="7924">
      <c r="A7924" t="n">
        <v>118</v>
      </c>
      <c r="B7924" t="n">
        <v>2014</v>
      </c>
      <c r="C7924" t="n">
        <v>0</v>
      </c>
    </row>
    <row r="7925">
      <c r="A7925" t="n">
        <v>118</v>
      </c>
      <c r="B7925" t="n">
        <v>2015</v>
      </c>
      <c r="C7925" t="n">
        <v>0</v>
      </c>
    </row>
    <row r="7926">
      <c r="A7926" t="n">
        <v>118</v>
      </c>
      <c r="B7926" t="n">
        <v>2016</v>
      </c>
      <c r="C7926" t="n">
        <v>0</v>
      </c>
    </row>
    <row r="7927">
      <c r="A7927" t="n">
        <v>118</v>
      </c>
      <c r="B7927" t="n">
        <v>2017</v>
      </c>
      <c r="C7927" t="n">
        <v>0</v>
      </c>
    </row>
    <row r="7928">
      <c r="A7928" t="n">
        <v>118</v>
      </c>
      <c r="B7928" t="n">
        <v>2018</v>
      </c>
      <c r="C7928" t="n">
        <v>0</v>
      </c>
    </row>
    <row r="7929">
      <c r="A7929" t="n">
        <v>118</v>
      </c>
      <c r="B7929" t="n">
        <v>2019</v>
      </c>
      <c r="C7929" t="n">
        <v>0</v>
      </c>
    </row>
    <row r="7930">
      <c r="A7930" t="n">
        <v>118</v>
      </c>
      <c r="B7930" t="n">
        <v>2020</v>
      </c>
      <c r="C7930" t="n">
        <v>0</v>
      </c>
    </row>
    <row r="7931">
      <c r="A7931" t="n">
        <v>118</v>
      </c>
      <c r="B7931" t="n">
        <v>2021</v>
      </c>
      <c r="C7931" t="n">
        <v>0</v>
      </c>
    </row>
    <row r="7932">
      <c r="A7932" t="n">
        <v>118</v>
      </c>
      <c r="B7932" t="n">
        <v>2022</v>
      </c>
      <c r="C7932" t="n">
        <v>0</v>
      </c>
    </row>
    <row r="7933">
      <c r="A7933" t="n">
        <v>118</v>
      </c>
      <c r="B7933" t="n">
        <v>2023</v>
      </c>
      <c r="C7933" t="n">
        <v>0</v>
      </c>
    </row>
    <row r="7934">
      <c r="A7934" t="n">
        <v>118</v>
      </c>
      <c r="B7934" t="n">
        <v>2024</v>
      </c>
      <c r="C7934" t="n">
        <v>0</v>
      </c>
    </row>
    <row r="7935">
      <c r="A7935" t="n">
        <v>118</v>
      </c>
      <c r="B7935" t="n">
        <v>2025</v>
      </c>
      <c r="C7935" t="n">
        <v>0</v>
      </c>
    </row>
    <row r="7936">
      <c r="A7936" t="n">
        <v>118</v>
      </c>
      <c r="B7936" t="n">
        <v>2026</v>
      </c>
      <c r="C7936" t="n">
        <v>0</v>
      </c>
    </row>
    <row r="7937">
      <c r="A7937" t="n">
        <v>118</v>
      </c>
      <c r="B7937" t="n">
        <v>2027</v>
      </c>
      <c r="C7937" t="n">
        <v>0</v>
      </c>
    </row>
    <row r="7938">
      <c r="A7938" t="n">
        <v>118</v>
      </c>
      <c r="B7938" t="n">
        <v>2028</v>
      </c>
      <c r="C7938" t="n">
        <v>0</v>
      </c>
    </row>
    <row r="7939">
      <c r="A7939" t="n">
        <v>118</v>
      </c>
      <c r="B7939" t="n">
        <v>2029</v>
      </c>
      <c r="C7939" t="n">
        <v>0</v>
      </c>
    </row>
    <row r="7940">
      <c r="A7940" t="n">
        <v>118</v>
      </c>
      <c r="B7940" t="n">
        <v>2030</v>
      </c>
      <c r="C7940" t="n">
        <v>0</v>
      </c>
    </row>
    <row r="7941">
      <c r="A7941" t="n">
        <v>118</v>
      </c>
      <c r="B7941" t="n">
        <v>2031</v>
      </c>
      <c r="C7941" t="n">
        <v>0</v>
      </c>
    </row>
    <row r="7942">
      <c r="A7942" t="n">
        <v>119</v>
      </c>
      <c r="B7942" t="n">
        <v>1951</v>
      </c>
      <c r="C7942" t="n">
        <v>0</v>
      </c>
    </row>
    <row r="7943">
      <c r="A7943" t="n">
        <v>119</v>
      </c>
      <c r="B7943" t="n">
        <v>1952</v>
      </c>
      <c r="C7943" t="n">
        <v>0</v>
      </c>
    </row>
    <row r="7944">
      <c r="A7944" t="n">
        <v>119</v>
      </c>
      <c r="B7944" t="n">
        <v>1953</v>
      </c>
      <c r="C7944" t="n">
        <v>0</v>
      </c>
    </row>
    <row r="7945">
      <c r="A7945" t="n">
        <v>119</v>
      </c>
      <c r="B7945" t="n">
        <v>1954</v>
      </c>
      <c r="C7945" t="n">
        <v>0</v>
      </c>
    </row>
    <row r="7946">
      <c r="A7946" t="n">
        <v>119</v>
      </c>
      <c r="B7946" t="n">
        <v>1955</v>
      </c>
      <c r="C7946" t="n">
        <v>0</v>
      </c>
    </row>
    <row r="7947">
      <c r="A7947" t="n">
        <v>119</v>
      </c>
      <c r="B7947" t="n">
        <v>1956</v>
      </c>
      <c r="C7947" t="n">
        <v>0</v>
      </c>
    </row>
    <row r="7948">
      <c r="A7948" t="n">
        <v>119</v>
      </c>
      <c r="B7948" t="n">
        <v>1957</v>
      </c>
      <c r="C7948" t="n">
        <v>0</v>
      </c>
    </row>
    <row r="7949">
      <c r="A7949" t="n">
        <v>119</v>
      </c>
      <c r="B7949" t="n">
        <v>1958</v>
      </c>
      <c r="C7949" t="n">
        <v>0</v>
      </c>
    </row>
    <row r="7950">
      <c r="A7950" t="n">
        <v>119</v>
      </c>
      <c r="B7950" t="n">
        <v>1959</v>
      </c>
      <c r="C7950" t="n">
        <v>0</v>
      </c>
    </row>
    <row r="7951">
      <c r="A7951" t="n">
        <v>119</v>
      </c>
      <c r="B7951" t="n">
        <v>1960</v>
      </c>
      <c r="C7951" t="n">
        <v>0</v>
      </c>
    </row>
    <row r="7952">
      <c r="A7952" t="n">
        <v>119</v>
      </c>
      <c r="B7952" t="n">
        <v>1961</v>
      </c>
      <c r="C7952" t="n">
        <v>0</v>
      </c>
    </row>
    <row r="7953">
      <c r="A7953" t="n">
        <v>119</v>
      </c>
      <c r="B7953" t="n">
        <v>1962</v>
      </c>
      <c r="C7953" t="n">
        <v>0</v>
      </c>
    </row>
    <row r="7954">
      <c r="A7954" t="n">
        <v>119</v>
      </c>
      <c r="B7954" t="n">
        <v>1963</v>
      </c>
      <c r="C7954" t="n">
        <v>0</v>
      </c>
    </row>
    <row r="7955">
      <c r="A7955" t="n">
        <v>119</v>
      </c>
      <c r="B7955" t="n">
        <v>1964</v>
      </c>
      <c r="C7955" t="n">
        <v>0</v>
      </c>
    </row>
    <row r="7956">
      <c r="A7956" t="n">
        <v>119</v>
      </c>
      <c r="B7956" t="n">
        <v>1965</v>
      </c>
      <c r="C7956" t="n">
        <v>0</v>
      </c>
    </row>
    <row r="7957">
      <c r="A7957" t="n">
        <v>119</v>
      </c>
      <c r="B7957" t="n">
        <v>1966</v>
      </c>
      <c r="C7957" t="n">
        <v>0</v>
      </c>
    </row>
    <row r="7958">
      <c r="A7958" t="n">
        <v>119</v>
      </c>
      <c r="B7958" t="n">
        <v>1967</v>
      </c>
      <c r="C7958" t="n">
        <v>0</v>
      </c>
    </row>
    <row r="7959">
      <c r="A7959" t="n">
        <v>119</v>
      </c>
      <c r="B7959" t="n">
        <v>1968</v>
      </c>
      <c r="C7959" t="n">
        <v>0</v>
      </c>
    </row>
    <row r="7960">
      <c r="A7960" t="n">
        <v>119</v>
      </c>
      <c r="B7960" t="n">
        <v>1969</v>
      </c>
      <c r="C7960" t="n">
        <v>0</v>
      </c>
    </row>
    <row r="7961">
      <c r="A7961" t="n">
        <v>119</v>
      </c>
      <c r="B7961" t="n">
        <v>1970</v>
      </c>
      <c r="C7961" t="n">
        <v>0</v>
      </c>
    </row>
    <row r="7962">
      <c r="A7962" t="n">
        <v>119</v>
      </c>
      <c r="B7962" t="n">
        <v>1971</v>
      </c>
      <c r="C7962" t="n">
        <v>0</v>
      </c>
    </row>
    <row r="7963">
      <c r="A7963" t="n">
        <v>119</v>
      </c>
      <c r="B7963" t="n">
        <v>1972</v>
      </c>
      <c r="C7963" t="n">
        <v>0</v>
      </c>
    </row>
    <row r="7964">
      <c r="A7964" t="n">
        <v>119</v>
      </c>
      <c r="B7964" t="n">
        <v>1973</v>
      </c>
      <c r="C7964" t="n">
        <v>0</v>
      </c>
    </row>
    <row r="7965">
      <c r="A7965" t="n">
        <v>119</v>
      </c>
      <c r="B7965" t="n">
        <v>1974</v>
      </c>
      <c r="C7965" t="n">
        <v>0</v>
      </c>
    </row>
    <row r="7966">
      <c r="A7966" t="n">
        <v>119</v>
      </c>
      <c r="B7966" t="n">
        <v>1975</v>
      </c>
      <c r="C7966" t="n">
        <v>0</v>
      </c>
    </row>
    <row r="7967">
      <c r="A7967" t="n">
        <v>119</v>
      </c>
      <c r="B7967" t="n">
        <v>1976</v>
      </c>
      <c r="C7967" t="n">
        <v>0</v>
      </c>
    </row>
    <row r="7968">
      <c r="A7968" t="n">
        <v>119</v>
      </c>
      <c r="B7968" t="n">
        <v>1977</v>
      </c>
      <c r="C7968" t="n">
        <v>0</v>
      </c>
    </row>
    <row r="7969">
      <c r="A7969" t="n">
        <v>119</v>
      </c>
      <c r="B7969" t="n">
        <v>1978</v>
      </c>
      <c r="C7969" t="n">
        <v>0</v>
      </c>
    </row>
    <row r="7970">
      <c r="A7970" t="n">
        <v>119</v>
      </c>
      <c r="B7970" t="n">
        <v>1979</v>
      </c>
      <c r="C7970" t="n">
        <v>0</v>
      </c>
    </row>
    <row r="7971">
      <c r="A7971" t="n">
        <v>119</v>
      </c>
      <c r="B7971" t="n">
        <v>1980</v>
      </c>
      <c r="C7971" t="n">
        <v>0</v>
      </c>
    </row>
    <row r="7972">
      <c r="A7972" t="n">
        <v>119</v>
      </c>
      <c r="B7972" t="n">
        <v>1981</v>
      </c>
      <c r="C7972" t="n">
        <v>0</v>
      </c>
    </row>
    <row r="7973">
      <c r="A7973" t="n">
        <v>119</v>
      </c>
      <c r="B7973" t="n">
        <v>1982</v>
      </c>
      <c r="C7973" t="n">
        <v>0</v>
      </c>
    </row>
    <row r="7974">
      <c r="A7974" t="n">
        <v>119</v>
      </c>
      <c r="B7974" t="n">
        <v>1983</v>
      </c>
      <c r="C7974" t="n">
        <v>0</v>
      </c>
    </row>
    <row r="7975">
      <c r="A7975" t="n">
        <v>119</v>
      </c>
      <c r="B7975" t="n">
        <v>1984</v>
      </c>
      <c r="C7975" t="n">
        <v>0</v>
      </c>
    </row>
    <row r="7976">
      <c r="A7976" t="n">
        <v>119</v>
      </c>
      <c r="B7976" t="n">
        <v>1985</v>
      </c>
      <c r="C7976" t="n">
        <v>0</v>
      </c>
    </row>
    <row r="7977">
      <c r="A7977" t="n">
        <v>119</v>
      </c>
      <c r="B7977" t="n">
        <v>1986</v>
      </c>
      <c r="C7977" t="n">
        <v>0</v>
      </c>
    </row>
    <row r="7978">
      <c r="A7978" t="n">
        <v>119</v>
      </c>
      <c r="B7978" t="n">
        <v>1987</v>
      </c>
      <c r="C7978" t="n">
        <v>0</v>
      </c>
    </row>
    <row r="7979">
      <c r="A7979" t="n">
        <v>119</v>
      </c>
      <c r="B7979" t="n">
        <v>1988</v>
      </c>
      <c r="C7979" t="n">
        <v>0</v>
      </c>
    </row>
    <row r="7980">
      <c r="A7980" t="n">
        <v>119</v>
      </c>
      <c r="B7980" t="n">
        <v>1989</v>
      </c>
      <c r="C7980" t="n">
        <v>0</v>
      </c>
    </row>
    <row r="7981">
      <c r="A7981" t="n">
        <v>119</v>
      </c>
      <c r="B7981" t="n">
        <v>1990</v>
      </c>
      <c r="C7981" t="n">
        <v>0</v>
      </c>
    </row>
    <row r="7982">
      <c r="A7982" t="n">
        <v>119</v>
      </c>
      <c r="B7982" t="n">
        <v>1991</v>
      </c>
      <c r="C7982" t="n">
        <v>0</v>
      </c>
    </row>
    <row r="7983">
      <c r="A7983" t="n">
        <v>119</v>
      </c>
      <c r="B7983" t="n">
        <v>1992</v>
      </c>
      <c r="C7983" t="n">
        <v>0</v>
      </c>
    </row>
    <row r="7984">
      <c r="A7984" t="n">
        <v>119</v>
      </c>
      <c r="B7984" t="n">
        <v>1993</v>
      </c>
      <c r="C7984" t="n">
        <v>0</v>
      </c>
    </row>
    <row r="7985">
      <c r="A7985" t="n">
        <v>119</v>
      </c>
      <c r="B7985" t="n">
        <v>1994</v>
      </c>
      <c r="C7985" t="n">
        <v>0</v>
      </c>
    </row>
    <row r="7986">
      <c r="A7986" t="n">
        <v>119</v>
      </c>
      <c r="B7986" t="n">
        <v>1995</v>
      </c>
      <c r="C7986" t="n">
        <v>0</v>
      </c>
    </row>
    <row r="7987">
      <c r="A7987" t="n">
        <v>119</v>
      </c>
      <c r="B7987" t="n">
        <v>1996</v>
      </c>
      <c r="C7987" t="n">
        <v>0</v>
      </c>
    </row>
    <row r="7988">
      <c r="A7988" t="n">
        <v>119</v>
      </c>
      <c r="B7988" t="n">
        <v>1997</v>
      </c>
      <c r="C7988" t="n">
        <v>0</v>
      </c>
    </row>
    <row r="7989">
      <c r="A7989" t="n">
        <v>119</v>
      </c>
      <c r="B7989" t="n">
        <v>1998</v>
      </c>
      <c r="C7989" t="n">
        <v>0</v>
      </c>
    </row>
    <row r="7990">
      <c r="A7990" t="n">
        <v>119</v>
      </c>
      <c r="B7990" t="n">
        <v>1999</v>
      </c>
      <c r="C7990" t="n">
        <v>0</v>
      </c>
    </row>
    <row r="7991">
      <c r="A7991" t="n">
        <v>119</v>
      </c>
      <c r="B7991" t="n">
        <v>2000</v>
      </c>
      <c r="C7991" t="n">
        <v>0</v>
      </c>
    </row>
    <row r="7992">
      <c r="A7992" t="n">
        <v>119</v>
      </c>
      <c r="B7992" t="n">
        <v>2001</v>
      </c>
      <c r="C7992" t="n">
        <v>0</v>
      </c>
    </row>
    <row r="7993">
      <c r="A7993" t="n">
        <v>119</v>
      </c>
      <c r="B7993" t="n">
        <v>2002</v>
      </c>
      <c r="C7993" t="n">
        <v>0</v>
      </c>
    </row>
    <row r="7994">
      <c r="A7994" t="n">
        <v>119</v>
      </c>
      <c r="B7994" t="n">
        <v>2003</v>
      </c>
      <c r="C7994" t="n">
        <v>0</v>
      </c>
    </row>
    <row r="7995">
      <c r="A7995" t="n">
        <v>119</v>
      </c>
      <c r="B7995" t="n">
        <v>2004</v>
      </c>
      <c r="C7995" t="n">
        <v>0</v>
      </c>
    </row>
    <row r="7996">
      <c r="A7996" t="n">
        <v>119</v>
      </c>
      <c r="B7996" t="n">
        <v>2005</v>
      </c>
      <c r="C7996" t="n">
        <v>0</v>
      </c>
    </row>
    <row r="7997">
      <c r="A7997" t="n">
        <v>119</v>
      </c>
      <c r="B7997" t="n">
        <v>2006</v>
      </c>
      <c r="C7997" t="n">
        <v>0</v>
      </c>
    </row>
    <row r="7998">
      <c r="A7998" t="n">
        <v>119</v>
      </c>
      <c r="B7998" t="n">
        <v>2007</v>
      </c>
      <c r="C7998" t="n">
        <v>0</v>
      </c>
    </row>
    <row r="7999">
      <c r="A7999" t="n">
        <v>119</v>
      </c>
      <c r="B7999" t="n">
        <v>2008</v>
      </c>
      <c r="C7999" t="n">
        <v>0</v>
      </c>
    </row>
    <row r="8000">
      <c r="A8000" t="n">
        <v>119</v>
      </c>
      <c r="B8000" t="n">
        <v>2009</v>
      </c>
      <c r="C8000" t="n">
        <v>0</v>
      </c>
    </row>
    <row r="8001">
      <c r="A8001" t="n">
        <v>119</v>
      </c>
      <c r="B8001" t="n">
        <v>2010</v>
      </c>
      <c r="C8001" t="n">
        <v>0</v>
      </c>
    </row>
    <row r="8002">
      <c r="A8002" t="n">
        <v>119</v>
      </c>
      <c r="B8002" t="n">
        <v>2011</v>
      </c>
      <c r="C8002" t="n">
        <v>0</v>
      </c>
    </row>
    <row r="8003">
      <c r="A8003" t="n">
        <v>119</v>
      </c>
      <c r="B8003" t="n">
        <v>2012</v>
      </c>
      <c r="C8003" t="n">
        <v>0</v>
      </c>
    </row>
    <row r="8004">
      <c r="A8004" t="n">
        <v>119</v>
      </c>
      <c r="B8004" t="n">
        <v>2013</v>
      </c>
      <c r="C8004" t="n">
        <v>0</v>
      </c>
    </row>
    <row r="8005">
      <c r="A8005" t="n">
        <v>119</v>
      </c>
      <c r="B8005" t="n">
        <v>2014</v>
      </c>
      <c r="C8005" t="n">
        <v>0</v>
      </c>
    </row>
    <row r="8006">
      <c r="A8006" t="n">
        <v>119</v>
      </c>
      <c r="B8006" t="n">
        <v>2015</v>
      </c>
      <c r="C8006" t="n">
        <v>0</v>
      </c>
    </row>
    <row r="8007">
      <c r="A8007" t="n">
        <v>119</v>
      </c>
      <c r="B8007" t="n">
        <v>2016</v>
      </c>
      <c r="C8007" t="n">
        <v>0</v>
      </c>
    </row>
    <row r="8008">
      <c r="A8008" t="n">
        <v>119</v>
      </c>
      <c r="B8008" t="n">
        <v>2017</v>
      </c>
      <c r="C8008" t="n">
        <v>0</v>
      </c>
    </row>
    <row r="8009">
      <c r="A8009" t="n">
        <v>119</v>
      </c>
      <c r="B8009" t="n">
        <v>2018</v>
      </c>
      <c r="C8009" t="n">
        <v>0</v>
      </c>
    </row>
    <row r="8010">
      <c r="A8010" t="n">
        <v>119</v>
      </c>
      <c r="B8010" t="n">
        <v>2019</v>
      </c>
      <c r="C8010" t="n">
        <v>0</v>
      </c>
    </row>
    <row r="8011">
      <c r="A8011" t="n">
        <v>119</v>
      </c>
      <c r="B8011" t="n">
        <v>2020</v>
      </c>
      <c r="C8011" t="n">
        <v>0</v>
      </c>
    </row>
    <row r="8012">
      <c r="A8012" t="n">
        <v>119</v>
      </c>
      <c r="B8012" t="n">
        <v>2021</v>
      </c>
      <c r="C8012" t="n">
        <v>0</v>
      </c>
    </row>
    <row r="8013">
      <c r="A8013" t="n">
        <v>119</v>
      </c>
      <c r="B8013" t="n">
        <v>2022</v>
      </c>
      <c r="C8013" t="n">
        <v>0</v>
      </c>
    </row>
    <row r="8014">
      <c r="A8014" t="n">
        <v>119</v>
      </c>
      <c r="B8014" t="n">
        <v>2023</v>
      </c>
      <c r="C8014" t="n">
        <v>0</v>
      </c>
    </row>
    <row r="8015">
      <c r="A8015" t="n">
        <v>119</v>
      </c>
      <c r="B8015" t="n">
        <v>2024</v>
      </c>
      <c r="C8015" t="n">
        <v>0</v>
      </c>
    </row>
    <row r="8016">
      <c r="A8016" t="n">
        <v>119</v>
      </c>
      <c r="B8016" t="n">
        <v>2025</v>
      </c>
      <c r="C8016" t="n">
        <v>0</v>
      </c>
    </row>
    <row r="8017">
      <c r="A8017" t="n">
        <v>119</v>
      </c>
      <c r="B8017" t="n">
        <v>2026</v>
      </c>
      <c r="C8017" t="n">
        <v>0</v>
      </c>
    </row>
    <row r="8018">
      <c r="A8018" t="n">
        <v>119</v>
      </c>
      <c r="B8018" t="n">
        <v>2027</v>
      </c>
      <c r="C8018" t="n">
        <v>0</v>
      </c>
    </row>
    <row r="8019">
      <c r="A8019" t="n">
        <v>119</v>
      </c>
      <c r="B8019" t="n">
        <v>2028</v>
      </c>
      <c r="C8019" t="n">
        <v>0</v>
      </c>
    </row>
    <row r="8020">
      <c r="A8020" t="n">
        <v>119</v>
      </c>
      <c r="B8020" t="n">
        <v>2029</v>
      </c>
      <c r="C8020" t="n">
        <v>0</v>
      </c>
    </row>
    <row r="8021">
      <c r="A8021" t="n">
        <v>119</v>
      </c>
      <c r="B8021" t="n">
        <v>2030</v>
      </c>
      <c r="C8021" t="n">
        <v>0</v>
      </c>
    </row>
    <row r="8022">
      <c r="A8022" t="n">
        <v>119</v>
      </c>
      <c r="B8022" t="n">
        <v>2031</v>
      </c>
      <c r="C8022" t="n">
        <v>0</v>
      </c>
    </row>
    <row r="8023">
      <c r="A8023" t="n">
        <v>120</v>
      </c>
      <c r="B8023" t="n">
        <v>1951</v>
      </c>
      <c r="C8023" t="n">
        <v>0</v>
      </c>
    </row>
    <row r="8024">
      <c r="A8024" t="n">
        <v>120</v>
      </c>
      <c r="B8024" t="n">
        <v>1952</v>
      </c>
      <c r="C8024" t="n">
        <v>0</v>
      </c>
    </row>
    <row r="8025">
      <c r="A8025" t="n">
        <v>120</v>
      </c>
      <c r="B8025" t="n">
        <v>1953</v>
      </c>
      <c r="C8025" t="n">
        <v>0</v>
      </c>
    </row>
    <row r="8026">
      <c r="A8026" t="n">
        <v>120</v>
      </c>
      <c r="B8026" t="n">
        <v>1954</v>
      </c>
      <c r="C8026" t="n">
        <v>0</v>
      </c>
    </row>
    <row r="8027">
      <c r="A8027" t="n">
        <v>120</v>
      </c>
      <c r="B8027" t="n">
        <v>1955</v>
      </c>
      <c r="C8027" t="n">
        <v>0</v>
      </c>
    </row>
    <row r="8028">
      <c r="A8028" t="n">
        <v>120</v>
      </c>
      <c r="B8028" t="n">
        <v>1956</v>
      </c>
      <c r="C8028" t="n">
        <v>0</v>
      </c>
    </row>
    <row r="8029">
      <c r="A8029" t="n">
        <v>120</v>
      </c>
      <c r="B8029" t="n">
        <v>1957</v>
      </c>
      <c r="C8029" t="n">
        <v>0</v>
      </c>
    </row>
    <row r="8030">
      <c r="A8030" t="n">
        <v>120</v>
      </c>
      <c r="B8030" t="n">
        <v>1958</v>
      </c>
      <c r="C8030" t="n">
        <v>0</v>
      </c>
    </row>
    <row r="8031">
      <c r="A8031" t="n">
        <v>120</v>
      </c>
      <c r="B8031" t="n">
        <v>1959</v>
      </c>
      <c r="C8031" t="n">
        <v>0</v>
      </c>
    </row>
    <row r="8032">
      <c r="A8032" t="n">
        <v>120</v>
      </c>
      <c r="B8032" t="n">
        <v>1960</v>
      </c>
      <c r="C8032" t="n">
        <v>0</v>
      </c>
    </row>
    <row r="8033">
      <c r="A8033" t="n">
        <v>120</v>
      </c>
      <c r="B8033" t="n">
        <v>1961</v>
      </c>
      <c r="C8033" t="n">
        <v>0</v>
      </c>
    </row>
    <row r="8034">
      <c r="A8034" t="n">
        <v>120</v>
      </c>
      <c r="B8034" t="n">
        <v>1962</v>
      </c>
      <c r="C8034" t="n">
        <v>0</v>
      </c>
    </row>
    <row r="8035">
      <c r="A8035" t="n">
        <v>120</v>
      </c>
      <c r="B8035" t="n">
        <v>1963</v>
      </c>
      <c r="C8035" t="n">
        <v>0</v>
      </c>
    </row>
    <row r="8036">
      <c r="A8036" t="n">
        <v>120</v>
      </c>
      <c r="B8036" t="n">
        <v>1964</v>
      </c>
      <c r="C8036" t="n">
        <v>0</v>
      </c>
    </row>
    <row r="8037">
      <c r="A8037" t="n">
        <v>120</v>
      </c>
      <c r="B8037" t="n">
        <v>1965</v>
      </c>
      <c r="C8037" t="n">
        <v>0</v>
      </c>
    </row>
    <row r="8038">
      <c r="A8038" t="n">
        <v>120</v>
      </c>
      <c r="B8038" t="n">
        <v>1966</v>
      </c>
      <c r="C8038" t="n">
        <v>0</v>
      </c>
    </row>
    <row r="8039">
      <c r="A8039" t="n">
        <v>120</v>
      </c>
      <c r="B8039" t="n">
        <v>1967</v>
      </c>
      <c r="C8039" t="n">
        <v>0</v>
      </c>
    </row>
    <row r="8040">
      <c r="A8040" t="n">
        <v>120</v>
      </c>
      <c r="B8040" t="n">
        <v>1968</v>
      </c>
      <c r="C8040" t="n">
        <v>0</v>
      </c>
    </row>
    <row r="8041">
      <c r="A8041" t="n">
        <v>120</v>
      </c>
      <c r="B8041" t="n">
        <v>1969</v>
      </c>
      <c r="C8041" t="n">
        <v>0</v>
      </c>
    </row>
    <row r="8042">
      <c r="A8042" t="n">
        <v>120</v>
      </c>
      <c r="B8042" t="n">
        <v>1970</v>
      </c>
      <c r="C8042" t="n">
        <v>0</v>
      </c>
    </row>
    <row r="8043">
      <c r="A8043" t="n">
        <v>120</v>
      </c>
      <c r="B8043" t="n">
        <v>1971</v>
      </c>
      <c r="C8043" t="n">
        <v>0</v>
      </c>
    </row>
    <row r="8044">
      <c r="A8044" t="n">
        <v>120</v>
      </c>
      <c r="B8044" t="n">
        <v>1972</v>
      </c>
      <c r="C8044" t="n">
        <v>0</v>
      </c>
    </row>
    <row r="8045">
      <c r="A8045" t="n">
        <v>120</v>
      </c>
      <c r="B8045" t="n">
        <v>1973</v>
      </c>
      <c r="C8045" t="n">
        <v>0</v>
      </c>
    </row>
    <row r="8046">
      <c r="A8046" t="n">
        <v>120</v>
      </c>
      <c r="B8046" t="n">
        <v>1974</v>
      </c>
      <c r="C8046" t="n">
        <v>0</v>
      </c>
    </row>
    <row r="8047">
      <c r="A8047" t="n">
        <v>120</v>
      </c>
      <c r="B8047" t="n">
        <v>1975</v>
      </c>
      <c r="C8047" t="n">
        <v>0</v>
      </c>
    </row>
    <row r="8048">
      <c r="A8048" t="n">
        <v>120</v>
      </c>
      <c r="B8048" t="n">
        <v>1976</v>
      </c>
      <c r="C8048" t="n">
        <v>0</v>
      </c>
    </row>
    <row r="8049">
      <c r="A8049" t="n">
        <v>120</v>
      </c>
      <c r="B8049" t="n">
        <v>1977</v>
      </c>
      <c r="C8049" t="n">
        <v>0</v>
      </c>
    </row>
    <row r="8050">
      <c r="A8050" t="n">
        <v>120</v>
      </c>
      <c r="B8050" t="n">
        <v>1978</v>
      </c>
      <c r="C8050" t="n">
        <v>0</v>
      </c>
    </row>
    <row r="8051">
      <c r="A8051" t="n">
        <v>120</v>
      </c>
      <c r="B8051" t="n">
        <v>1979</v>
      </c>
      <c r="C8051" t="n">
        <v>0</v>
      </c>
    </row>
    <row r="8052">
      <c r="A8052" t="n">
        <v>120</v>
      </c>
      <c r="B8052" t="n">
        <v>1980</v>
      </c>
      <c r="C8052" t="n">
        <v>0</v>
      </c>
    </row>
    <row r="8053">
      <c r="A8053" t="n">
        <v>120</v>
      </c>
      <c r="B8053" t="n">
        <v>1981</v>
      </c>
      <c r="C8053" t="n">
        <v>0</v>
      </c>
    </row>
    <row r="8054">
      <c r="A8054" t="n">
        <v>120</v>
      </c>
      <c r="B8054" t="n">
        <v>1982</v>
      </c>
      <c r="C8054" t="n">
        <v>0</v>
      </c>
    </row>
    <row r="8055">
      <c r="A8055" t="n">
        <v>120</v>
      </c>
      <c r="B8055" t="n">
        <v>1983</v>
      </c>
      <c r="C8055" t="n">
        <v>0</v>
      </c>
    </row>
    <row r="8056">
      <c r="A8056" t="n">
        <v>120</v>
      </c>
      <c r="B8056" t="n">
        <v>1984</v>
      </c>
      <c r="C8056" t="n">
        <v>0</v>
      </c>
    </row>
    <row r="8057">
      <c r="A8057" t="n">
        <v>120</v>
      </c>
      <c r="B8057" t="n">
        <v>1985</v>
      </c>
      <c r="C8057" t="n">
        <v>0</v>
      </c>
    </row>
    <row r="8058">
      <c r="A8058" t="n">
        <v>120</v>
      </c>
      <c r="B8058" t="n">
        <v>1986</v>
      </c>
      <c r="C8058" t="n">
        <v>0</v>
      </c>
    </row>
    <row r="8059">
      <c r="A8059" t="n">
        <v>120</v>
      </c>
      <c r="B8059" t="n">
        <v>1987</v>
      </c>
      <c r="C8059" t="n">
        <v>0</v>
      </c>
    </row>
    <row r="8060">
      <c r="A8060" t="n">
        <v>120</v>
      </c>
      <c r="B8060" t="n">
        <v>1988</v>
      </c>
      <c r="C8060" t="n">
        <v>0</v>
      </c>
    </row>
    <row r="8061">
      <c r="A8061" t="n">
        <v>120</v>
      </c>
      <c r="B8061" t="n">
        <v>1989</v>
      </c>
      <c r="C8061" t="n">
        <v>0</v>
      </c>
    </row>
    <row r="8062">
      <c r="A8062" t="n">
        <v>120</v>
      </c>
      <c r="B8062" t="n">
        <v>1990</v>
      </c>
      <c r="C8062" t="n">
        <v>0</v>
      </c>
    </row>
    <row r="8063">
      <c r="A8063" t="n">
        <v>120</v>
      </c>
      <c r="B8063" t="n">
        <v>1991</v>
      </c>
      <c r="C8063" t="n">
        <v>0</v>
      </c>
    </row>
    <row r="8064">
      <c r="A8064" t="n">
        <v>120</v>
      </c>
      <c r="B8064" t="n">
        <v>1992</v>
      </c>
      <c r="C8064" t="n">
        <v>0</v>
      </c>
    </row>
    <row r="8065">
      <c r="A8065" t="n">
        <v>120</v>
      </c>
      <c r="B8065" t="n">
        <v>1993</v>
      </c>
      <c r="C8065" t="n">
        <v>0</v>
      </c>
    </row>
    <row r="8066">
      <c r="A8066" t="n">
        <v>120</v>
      </c>
      <c r="B8066" t="n">
        <v>1994</v>
      </c>
      <c r="C8066" t="n">
        <v>0</v>
      </c>
    </row>
    <row r="8067">
      <c r="A8067" t="n">
        <v>120</v>
      </c>
      <c r="B8067" t="n">
        <v>1995</v>
      </c>
      <c r="C8067" t="n">
        <v>0</v>
      </c>
    </row>
    <row r="8068">
      <c r="A8068" t="n">
        <v>120</v>
      </c>
      <c r="B8068" t="n">
        <v>1996</v>
      </c>
      <c r="C8068" t="n">
        <v>0</v>
      </c>
    </row>
    <row r="8069">
      <c r="A8069" t="n">
        <v>120</v>
      </c>
      <c r="B8069" t="n">
        <v>1997</v>
      </c>
      <c r="C8069" t="n">
        <v>0</v>
      </c>
    </row>
    <row r="8070">
      <c r="A8070" t="n">
        <v>120</v>
      </c>
      <c r="B8070" t="n">
        <v>1998</v>
      </c>
      <c r="C8070" t="n">
        <v>0</v>
      </c>
    </row>
    <row r="8071">
      <c r="A8071" t="n">
        <v>120</v>
      </c>
      <c r="B8071" t="n">
        <v>1999</v>
      </c>
      <c r="C8071" t="n">
        <v>0</v>
      </c>
    </row>
    <row r="8072">
      <c r="A8072" t="n">
        <v>120</v>
      </c>
      <c r="B8072" t="n">
        <v>2000</v>
      </c>
      <c r="C8072" t="n">
        <v>0</v>
      </c>
    </row>
    <row r="8073">
      <c r="A8073" t="n">
        <v>120</v>
      </c>
      <c r="B8073" t="n">
        <v>2001</v>
      </c>
      <c r="C8073" t="n">
        <v>0</v>
      </c>
    </row>
    <row r="8074">
      <c r="A8074" t="n">
        <v>120</v>
      </c>
      <c r="B8074" t="n">
        <v>2002</v>
      </c>
      <c r="C8074" t="n">
        <v>0</v>
      </c>
    </row>
    <row r="8075">
      <c r="A8075" t="n">
        <v>120</v>
      </c>
      <c r="B8075" t="n">
        <v>2003</v>
      </c>
      <c r="C8075" t="n">
        <v>0</v>
      </c>
    </row>
    <row r="8076">
      <c r="A8076" t="n">
        <v>120</v>
      </c>
      <c r="B8076" t="n">
        <v>2004</v>
      </c>
      <c r="C8076" t="n">
        <v>0</v>
      </c>
    </row>
    <row r="8077">
      <c r="A8077" t="n">
        <v>120</v>
      </c>
      <c r="B8077" t="n">
        <v>2005</v>
      </c>
      <c r="C8077" t="n">
        <v>0</v>
      </c>
    </row>
    <row r="8078">
      <c r="A8078" t="n">
        <v>120</v>
      </c>
      <c r="B8078" t="n">
        <v>2006</v>
      </c>
      <c r="C8078" t="n">
        <v>0</v>
      </c>
    </row>
    <row r="8079">
      <c r="A8079" t="n">
        <v>120</v>
      </c>
      <c r="B8079" t="n">
        <v>2007</v>
      </c>
      <c r="C8079" t="n">
        <v>0</v>
      </c>
    </row>
    <row r="8080">
      <c r="A8080" t="n">
        <v>120</v>
      </c>
      <c r="B8080" t="n">
        <v>2008</v>
      </c>
      <c r="C8080" t="n">
        <v>0</v>
      </c>
    </row>
    <row r="8081">
      <c r="A8081" t="n">
        <v>120</v>
      </c>
      <c r="B8081" t="n">
        <v>2009</v>
      </c>
      <c r="C8081" t="n">
        <v>0</v>
      </c>
    </row>
    <row r="8082">
      <c r="A8082" t="n">
        <v>120</v>
      </c>
      <c r="B8082" t="n">
        <v>2010</v>
      </c>
      <c r="C8082" t="n">
        <v>0</v>
      </c>
    </row>
    <row r="8083">
      <c r="A8083" t="n">
        <v>120</v>
      </c>
      <c r="B8083" t="n">
        <v>2011</v>
      </c>
      <c r="C8083" t="n">
        <v>0</v>
      </c>
    </row>
    <row r="8084">
      <c r="A8084" t="n">
        <v>120</v>
      </c>
      <c r="B8084" t="n">
        <v>2012</v>
      </c>
      <c r="C8084" t="n">
        <v>0</v>
      </c>
    </row>
    <row r="8085">
      <c r="A8085" t="n">
        <v>120</v>
      </c>
      <c r="B8085" t="n">
        <v>2013</v>
      </c>
      <c r="C8085" t="n">
        <v>0</v>
      </c>
    </row>
    <row r="8086">
      <c r="A8086" t="n">
        <v>120</v>
      </c>
      <c r="B8086" t="n">
        <v>2014</v>
      </c>
      <c r="C8086" t="n">
        <v>0</v>
      </c>
    </row>
    <row r="8087">
      <c r="A8087" t="n">
        <v>120</v>
      </c>
      <c r="B8087" t="n">
        <v>2015</v>
      </c>
      <c r="C8087" t="n">
        <v>0</v>
      </c>
    </row>
    <row r="8088">
      <c r="A8088" t="n">
        <v>120</v>
      </c>
      <c r="B8088" t="n">
        <v>2016</v>
      </c>
      <c r="C8088" t="n">
        <v>0</v>
      </c>
    </row>
    <row r="8089">
      <c r="A8089" t="n">
        <v>120</v>
      </c>
      <c r="B8089" t="n">
        <v>2017</v>
      </c>
      <c r="C8089" t="n">
        <v>0</v>
      </c>
    </row>
    <row r="8090">
      <c r="A8090" t="n">
        <v>120</v>
      </c>
      <c r="B8090" t="n">
        <v>2018</v>
      </c>
      <c r="C8090" t="n">
        <v>0</v>
      </c>
    </row>
    <row r="8091">
      <c r="A8091" t="n">
        <v>120</v>
      </c>
      <c r="B8091" t="n">
        <v>2019</v>
      </c>
      <c r="C8091" t="n">
        <v>0</v>
      </c>
    </row>
    <row r="8092">
      <c r="A8092" t="n">
        <v>120</v>
      </c>
      <c r="B8092" t="n">
        <v>2020</v>
      </c>
      <c r="C8092" t="n">
        <v>0</v>
      </c>
    </row>
    <row r="8093">
      <c r="A8093" t="n">
        <v>120</v>
      </c>
      <c r="B8093" t="n">
        <v>2021</v>
      </c>
      <c r="C8093" t="n">
        <v>0</v>
      </c>
    </row>
    <row r="8094">
      <c r="A8094" t="n">
        <v>120</v>
      </c>
      <c r="B8094" t="n">
        <v>2022</v>
      </c>
      <c r="C8094" t="n">
        <v>0</v>
      </c>
    </row>
    <row r="8095">
      <c r="A8095" t="n">
        <v>120</v>
      </c>
      <c r="B8095" t="n">
        <v>2023</v>
      </c>
      <c r="C8095" t="n">
        <v>0</v>
      </c>
    </row>
    <row r="8096">
      <c r="A8096" t="n">
        <v>120</v>
      </c>
      <c r="B8096" t="n">
        <v>2024</v>
      </c>
      <c r="C8096" t="n">
        <v>0</v>
      </c>
    </row>
    <row r="8097">
      <c r="A8097" t="n">
        <v>120</v>
      </c>
      <c r="B8097" t="n">
        <v>2025</v>
      </c>
      <c r="C8097" t="n">
        <v>0</v>
      </c>
    </row>
    <row r="8098">
      <c r="A8098" t="n">
        <v>120</v>
      </c>
      <c r="B8098" t="n">
        <v>2026</v>
      </c>
      <c r="C8098" t="n">
        <v>0</v>
      </c>
    </row>
    <row r="8099">
      <c r="A8099" t="n">
        <v>120</v>
      </c>
      <c r="B8099" t="n">
        <v>2027</v>
      </c>
      <c r="C8099" t="n">
        <v>0</v>
      </c>
    </row>
    <row r="8100">
      <c r="A8100" t="n">
        <v>120</v>
      </c>
      <c r="B8100" t="n">
        <v>2028</v>
      </c>
      <c r="C8100" t="n">
        <v>0</v>
      </c>
    </row>
    <row r="8101">
      <c r="A8101" t="n">
        <v>120</v>
      </c>
      <c r="B8101" t="n">
        <v>2029</v>
      </c>
      <c r="C8101" t="n">
        <v>0</v>
      </c>
    </row>
    <row r="8102">
      <c r="A8102" t="n">
        <v>120</v>
      </c>
      <c r="B8102" t="n">
        <v>2030</v>
      </c>
      <c r="C8102" t="n">
        <v>0</v>
      </c>
    </row>
    <row r="8103">
      <c r="A8103" t="n">
        <v>120</v>
      </c>
      <c r="B8103" t="n">
        <v>2031</v>
      </c>
      <c r="C810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Monthly Discount Factors (log-linear on DF)</t>
        </is>
      </c>
    </row>
    <row r="3">
      <c r="A3" s="2" t="inlineStr">
        <is>
          <t>Month</t>
        </is>
      </c>
      <c r="B3" s="2" t="inlineStr">
        <is>
          <t>t_years</t>
        </is>
      </c>
      <c r="C3" s="2" t="inlineStr">
        <is>
          <t>BracketIndex</t>
        </is>
      </c>
      <c r="D3" s="2" t="inlineStr">
        <is>
          <t>LowerMat</t>
        </is>
      </c>
      <c r="E3" s="2" t="inlineStr">
        <is>
          <t>UpperMat</t>
        </is>
      </c>
      <c r="F3" s="2" t="inlineStr">
        <is>
          <t>LowerZero</t>
        </is>
      </c>
      <c r="G3" s="2" t="inlineStr">
        <is>
          <t>UpperZero</t>
        </is>
      </c>
      <c r="H3" s="2" t="inlineStr">
        <is>
          <t>InterpWeight</t>
        </is>
      </c>
      <c r="I3" s="2" t="inlineStr">
        <is>
          <t>LogDF_lower_node</t>
        </is>
      </c>
      <c r="J3" s="2" t="inlineStr">
        <is>
          <t>LogDF_upper_node</t>
        </is>
      </c>
      <c r="K3" s="2" t="inlineStr">
        <is>
          <t>LogDF_t</t>
        </is>
      </c>
      <c r="L3" s="2" t="inlineStr">
        <is>
          <t>DiscountFactor</t>
        </is>
      </c>
    </row>
    <row r="4">
      <c r="A4" t="n">
        <v>1</v>
      </c>
      <c r="B4">
        <f>A4/Inputs!$B$6</f>
        <v/>
      </c>
      <c r="C4">
        <f>IF(B4&lt;=INDEX(YieldCurve!$A$4:$A$63,1),1,IF(B4&gt;=INDEX(YieldCurve!$A$4:$A$63,ROWS(YieldCurve!$A$4:$A$63)),ROWS(YieldCurve!$A$4:$A$63)-1,MATCH(B4,YieldCurve!$A$4:$A$63,1)))</f>
        <v/>
      </c>
      <c r="D4">
        <f>INDEX(YieldCurve!$A$4:$A$63,C4)</f>
        <v/>
      </c>
      <c r="E4">
        <f>INDEX(YieldCurve!$A$4:$A$63,C4+1)</f>
        <v/>
      </c>
      <c r="F4">
        <f>INDEX(YieldCurve!$B$4:$B$63,C4)</f>
        <v/>
      </c>
      <c r="G4">
        <f>INDEX(YieldCurve!$B$4:$B$63,C4+1)</f>
        <v/>
      </c>
      <c r="H4">
        <f>IF(E4=D4,0,(B4-D4)/(E4-D4))</f>
        <v/>
      </c>
      <c r="I4">
        <f>-(F4+Inputs!$B$9)*D4</f>
        <v/>
      </c>
      <c r="J4">
        <f>-(G4+Inputs!$B$9)*E4</f>
        <v/>
      </c>
      <c r="K4">
        <f>IF(B4&lt;=INDEX(YieldCurve!$A$4:$A$63,1),-(INDEX(YieldCurve!$B$4:$B$63,1)+Inputs!$B$9)*B4,IF(B4&gt;=INDEX(YieldCurve!$A$4:$A$63,ROWS(YieldCurve!$A$4:$A$63)),-(INDEX(YieldCurve!$B$4:$B$63,ROWS(YieldCurve!$B$4:$B$63))+Inputs!$B$9)*B4,I4+H4*(J4-I4)))</f>
        <v/>
      </c>
      <c r="L4">
        <f>EXP(K4)</f>
        <v/>
      </c>
    </row>
    <row r="5">
      <c r="A5" t="n">
        <v>2</v>
      </c>
      <c r="B5">
        <f>A5/Inputs!$B$6</f>
        <v/>
      </c>
      <c r="C5">
        <f>IF(B5&lt;=INDEX(YieldCurve!$A$4:$A$63,1),1,IF(B5&gt;=INDEX(YieldCurve!$A$4:$A$63,ROWS(YieldCurve!$A$4:$A$63)),ROWS(YieldCurve!$A$4:$A$63)-1,MATCH(B5,YieldCurve!$A$4:$A$63,1)))</f>
        <v/>
      </c>
      <c r="D5">
        <f>INDEX(YieldCurve!$A$4:$A$63,C5)</f>
        <v/>
      </c>
      <c r="E5">
        <f>INDEX(YieldCurve!$A$4:$A$63,C5+1)</f>
        <v/>
      </c>
      <c r="F5">
        <f>INDEX(YieldCurve!$B$4:$B$63,C5)</f>
        <v/>
      </c>
      <c r="G5">
        <f>INDEX(YieldCurve!$B$4:$B$63,C5+1)</f>
        <v/>
      </c>
      <c r="H5">
        <f>IF(E5=D5,0,(B5-D5)/(E5-D5))</f>
        <v/>
      </c>
      <c r="I5">
        <f>-(F5+Inputs!$B$9)*D5</f>
        <v/>
      </c>
      <c r="J5">
        <f>-(G5+Inputs!$B$9)*E5</f>
        <v/>
      </c>
      <c r="K5">
        <f>IF(B5&lt;=INDEX(YieldCurve!$A$4:$A$63,1),-(INDEX(YieldCurve!$B$4:$B$63,1)+Inputs!$B$9)*B5,IF(B5&gt;=INDEX(YieldCurve!$A$4:$A$63,ROWS(YieldCurve!$A$4:$A$63)),-(INDEX(YieldCurve!$B$4:$B$63,ROWS(YieldCurve!$B$4:$B$63))+Inputs!$B$9)*B5,I5+H5*(J5-I5)))</f>
        <v/>
      </c>
      <c r="L5">
        <f>EXP(K5)</f>
        <v/>
      </c>
    </row>
    <row r="6">
      <c r="A6" t="n">
        <v>3</v>
      </c>
      <c r="B6">
        <f>A6/Inputs!$B$6</f>
        <v/>
      </c>
      <c r="C6">
        <f>IF(B6&lt;=INDEX(YieldCurve!$A$4:$A$63,1),1,IF(B6&gt;=INDEX(YieldCurve!$A$4:$A$63,ROWS(YieldCurve!$A$4:$A$63)),ROWS(YieldCurve!$A$4:$A$63)-1,MATCH(B6,YieldCurve!$A$4:$A$63,1)))</f>
        <v/>
      </c>
      <c r="D6">
        <f>INDEX(YieldCurve!$A$4:$A$63,C6)</f>
        <v/>
      </c>
      <c r="E6">
        <f>INDEX(YieldCurve!$A$4:$A$63,C6+1)</f>
        <v/>
      </c>
      <c r="F6">
        <f>INDEX(YieldCurve!$B$4:$B$63,C6)</f>
        <v/>
      </c>
      <c r="G6">
        <f>INDEX(YieldCurve!$B$4:$B$63,C6+1)</f>
        <v/>
      </c>
      <c r="H6">
        <f>IF(E6=D6,0,(B6-D6)/(E6-D6))</f>
        <v/>
      </c>
      <c r="I6">
        <f>-(F6+Inputs!$B$9)*D6</f>
        <v/>
      </c>
      <c r="J6">
        <f>-(G6+Inputs!$B$9)*E6</f>
        <v/>
      </c>
      <c r="K6">
        <f>IF(B6&lt;=INDEX(YieldCurve!$A$4:$A$63,1),-(INDEX(YieldCurve!$B$4:$B$63,1)+Inputs!$B$9)*B6,IF(B6&gt;=INDEX(YieldCurve!$A$4:$A$63,ROWS(YieldCurve!$A$4:$A$63)),-(INDEX(YieldCurve!$B$4:$B$63,ROWS(YieldCurve!$B$4:$B$63))+Inputs!$B$9)*B6,I6+H6*(J6-I6)))</f>
        <v/>
      </c>
      <c r="L6">
        <f>EXP(K6)</f>
        <v/>
      </c>
    </row>
    <row r="7">
      <c r="A7" t="n">
        <v>4</v>
      </c>
      <c r="B7">
        <f>A7/Inputs!$B$6</f>
        <v/>
      </c>
      <c r="C7">
        <f>IF(B7&lt;=INDEX(YieldCurve!$A$4:$A$63,1),1,IF(B7&gt;=INDEX(YieldCurve!$A$4:$A$63,ROWS(YieldCurve!$A$4:$A$63)),ROWS(YieldCurve!$A$4:$A$63)-1,MATCH(B7,YieldCurve!$A$4:$A$63,1)))</f>
        <v/>
      </c>
      <c r="D7">
        <f>INDEX(YieldCurve!$A$4:$A$63,C7)</f>
        <v/>
      </c>
      <c r="E7">
        <f>INDEX(YieldCurve!$A$4:$A$63,C7+1)</f>
        <v/>
      </c>
      <c r="F7">
        <f>INDEX(YieldCurve!$B$4:$B$63,C7)</f>
        <v/>
      </c>
      <c r="G7">
        <f>INDEX(YieldCurve!$B$4:$B$63,C7+1)</f>
        <v/>
      </c>
      <c r="H7">
        <f>IF(E7=D7,0,(B7-D7)/(E7-D7))</f>
        <v/>
      </c>
      <c r="I7">
        <f>-(F7+Inputs!$B$9)*D7</f>
        <v/>
      </c>
      <c r="J7">
        <f>-(G7+Inputs!$B$9)*E7</f>
        <v/>
      </c>
      <c r="K7">
        <f>IF(B7&lt;=INDEX(YieldCurve!$A$4:$A$63,1),-(INDEX(YieldCurve!$B$4:$B$63,1)+Inputs!$B$9)*B7,IF(B7&gt;=INDEX(YieldCurve!$A$4:$A$63,ROWS(YieldCurve!$A$4:$A$63)),-(INDEX(YieldCurve!$B$4:$B$63,ROWS(YieldCurve!$B$4:$B$63))+Inputs!$B$9)*B7,I7+H7*(J7-I7)))</f>
        <v/>
      </c>
      <c r="L7">
        <f>EXP(K7)</f>
        <v/>
      </c>
    </row>
    <row r="8">
      <c r="A8" t="n">
        <v>5</v>
      </c>
      <c r="B8">
        <f>A8/Inputs!$B$6</f>
        <v/>
      </c>
      <c r="C8">
        <f>IF(B8&lt;=INDEX(YieldCurve!$A$4:$A$63,1),1,IF(B8&gt;=INDEX(YieldCurve!$A$4:$A$63,ROWS(YieldCurve!$A$4:$A$63)),ROWS(YieldCurve!$A$4:$A$63)-1,MATCH(B8,YieldCurve!$A$4:$A$63,1)))</f>
        <v/>
      </c>
      <c r="D8">
        <f>INDEX(YieldCurve!$A$4:$A$63,C8)</f>
        <v/>
      </c>
      <c r="E8">
        <f>INDEX(YieldCurve!$A$4:$A$63,C8+1)</f>
        <v/>
      </c>
      <c r="F8">
        <f>INDEX(YieldCurve!$B$4:$B$63,C8)</f>
        <v/>
      </c>
      <c r="G8">
        <f>INDEX(YieldCurve!$B$4:$B$63,C8+1)</f>
        <v/>
      </c>
      <c r="H8">
        <f>IF(E8=D8,0,(B8-D8)/(E8-D8))</f>
        <v/>
      </c>
      <c r="I8">
        <f>-(F8+Inputs!$B$9)*D8</f>
        <v/>
      </c>
      <c r="J8">
        <f>-(G8+Inputs!$B$9)*E8</f>
        <v/>
      </c>
      <c r="K8">
        <f>IF(B8&lt;=INDEX(YieldCurve!$A$4:$A$63,1),-(INDEX(YieldCurve!$B$4:$B$63,1)+Inputs!$B$9)*B8,IF(B8&gt;=INDEX(YieldCurve!$A$4:$A$63,ROWS(YieldCurve!$A$4:$A$63)),-(INDEX(YieldCurve!$B$4:$B$63,ROWS(YieldCurve!$B$4:$B$63))+Inputs!$B$9)*B8,I8+H8*(J8-I8)))</f>
        <v/>
      </c>
      <c r="L8">
        <f>EXP(K8)</f>
        <v/>
      </c>
    </row>
    <row r="9">
      <c r="A9" t="n">
        <v>6</v>
      </c>
      <c r="B9">
        <f>A9/Inputs!$B$6</f>
        <v/>
      </c>
      <c r="C9">
        <f>IF(B9&lt;=INDEX(YieldCurve!$A$4:$A$63,1),1,IF(B9&gt;=INDEX(YieldCurve!$A$4:$A$63,ROWS(YieldCurve!$A$4:$A$63)),ROWS(YieldCurve!$A$4:$A$63)-1,MATCH(B9,YieldCurve!$A$4:$A$63,1)))</f>
        <v/>
      </c>
      <c r="D9">
        <f>INDEX(YieldCurve!$A$4:$A$63,C9)</f>
        <v/>
      </c>
      <c r="E9">
        <f>INDEX(YieldCurve!$A$4:$A$63,C9+1)</f>
        <v/>
      </c>
      <c r="F9">
        <f>INDEX(YieldCurve!$B$4:$B$63,C9)</f>
        <v/>
      </c>
      <c r="G9">
        <f>INDEX(YieldCurve!$B$4:$B$63,C9+1)</f>
        <v/>
      </c>
      <c r="H9">
        <f>IF(E9=D9,0,(B9-D9)/(E9-D9))</f>
        <v/>
      </c>
      <c r="I9">
        <f>-(F9+Inputs!$B$9)*D9</f>
        <v/>
      </c>
      <c r="J9">
        <f>-(G9+Inputs!$B$9)*E9</f>
        <v/>
      </c>
      <c r="K9">
        <f>IF(B9&lt;=INDEX(YieldCurve!$A$4:$A$63,1),-(INDEX(YieldCurve!$B$4:$B$63,1)+Inputs!$B$9)*B9,IF(B9&gt;=INDEX(YieldCurve!$A$4:$A$63,ROWS(YieldCurve!$A$4:$A$63)),-(INDEX(YieldCurve!$B$4:$B$63,ROWS(YieldCurve!$B$4:$B$63))+Inputs!$B$9)*B9,I9+H9*(J9-I9)))</f>
        <v/>
      </c>
      <c r="L9">
        <f>EXP(K9)</f>
        <v/>
      </c>
    </row>
    <row r="10">
      <c r="A10" t="n">
        <v>7</v>
      </c>
      <c r="B10">
        <f>A10/Inputs!$B$6</f>
        <v/>
      </c>
      <c r="C10">
        <f>IF(B10&lt;=INDEX(YieldCurve!$A$4:$A$63,1),1,IF(B10&gt;=INDEX(YieldCurve!$A$4:$A$63,ROWS(YieldCurve!$A$4:$A$63)),ROWS(YieldCurve!$A$4:$A$63)-1,MATCH(B10,YieldCurve!$A$4:$A$63,1)))</f>
        <v/>
      </c>
      <c r="D10">
        <f>INDEX(YieldCurve!$A$4:$A$63,C10)</f>
        <v/>
      </c>
      <c r="E10">
        <f>INDEX(YieldCurve!$A$4:$A$63,C10+1)</f>
        <v/>
      </c>
      <c r="F10">
        <f>INDEX(YieldCurve!$B$4:$B$63,C10)</f>
        <v/>
      </c>
      <c r="G10">
        <f>INDEX(YieldCurve!$B$4:$B$63,C10+1)</f>
        <v/>
      </c>
      <c r="H10">
        <f>IF(E10=D10,0,(B10-D10)/(E10-D10))</f>
        <v/>
      </c>
      <c r="I10">
        <f>-(F10+Inputs!$B$9)*D10</f>
        <v/>
      </c>
      <c r="J10">
        <f>-(G10+Inputs!$B$9)*E10</f>
        <v/>
      </c>
      <c r="K10">
        <f>IF(B10&lt;=INDEX(YieldCurve!$A$4:$A$63,1),-(INDEX(YieldCurve!$B$4:$B$63,1)+Inputs!$B$9)*B10,IF(B10&gt;=INDEX(YieldCurve!$A$4:$A$63,ROWS(YieldCurve!$A$4:$A$63)),-(INDEX(YieldCurve!$B$4:$B$63,ROWS(YieldCurve!$B$4:$B$63))+Inputs!$B$9)*B10,I10+H10*(J10-I10)))</f>
        <v/>
      </c>
      <c r="L10">
        <f>EXP(K10)</f>
        <v/>
      </c>
    </row>
    <row r="11">
      <c r="A11" t="n">
        <v>8</v>
      </c>
      <c r="B11">
        <f>A11/Inputs!$B$6</f>
        <v/>
      </c>
      <c r="C11">
        <f>IF(B11&lt;=INDEX(YieldCurve!$A$4:$A$63,1),1,IF(B11&gt;=INDEX(YieldCurve!$A$4:$A$63,ROWS(YieldCurve!$A$4:$A$63)),ROWS(YieldCurve!$A$4:$A$63)-1,MATCH(B11,YieldCurve!$A$4:$A$63,1)))</f>
        <v/>
      </c>
      <c r="D11">
        <f>INDEX(YieldCurve!$A$4:$A$63,C11)</f>
        <v/>
      </c>
      <c r="E11">
        <f>INDEX(YieldCurve!$A$4:$A$63,C11+1)</f>
        <v/>
      </c>
      <c r="F11">
        <f>INDEX(YieldCurve!$B$4:$B$63,C11)</f>
        <v/>
      </c>
      <c r="G11">
        <f>INDEX(YieldCurve!$B$4:$B$63,C11+1)</f>
        <v/>
      </c>
      <c r="H11">
        <f>IF(E11=D11,0,(B11-D11)/(E11-D11))</f>
        <v/>
      </c>
      <c r="I11">
        <f>-(F11+Inputs!$B$9)*D11</f>
        <v/>
      </c>
      <c r="J11">
        <f>-(G11+Inputs!$B$9)*E11</f>
        <v/>
      </c>
      <c r="K11">
        <f>IF(B11&lt;=INDEX(YieldCurve!$A$4:$A$63,1),-(INDEX(YieldCurve!$B$4:$B$63,1)+Inputs!$B$9)*B11,IF(B11&gt;=INDEX(YieldCurve!$A$4:$A$63,ROWS(YieldCurve!$A$4:$A$63)),-(INDEX(YieldCurve!$B$4:$B$63,ROWS(YieldCurve!$B$4:$B$63))+Inputs!$B$9)*B11,I11+H11*(J11-I11)))</f>
        <v/>
      </c>
      <c r="L11">
        <f>EXP(K11)</f>
        <v/>
      </c>
    </row>
    <row r="12">
      <c r="A12" t="n">
        <v>9</v>
      </c>
      <c r="B12">
        <f>A12/Inputs!$B$6</f>
        <v/>
      </c>
      <c r="C12">
        <f>IF(B12&lt;=INDEX(YieldCurve!$A$4:$A$63,1),1,IF(B12&gt;=INDEX(YieldCurve!$A$4:$A$63,ROWS(YieldCurve!$A$4:$A$63)),ROWS(YieldCurve!$A$4:$A$63)-1,MATCH(B12,YieldCurve!$A$4:$A$63,1)))</f>
        <v/>
      </c>
      <c r="D12">
        <f>INDEX(YieldCurve!$A$4:$A$63,C12)</f>
        <v/>
      </c>
      <c r="E12">
        <f>INDEX(YieldCurve!$A$4:$A$63,C12+1)</f>
        <v/>
      </c>
      <c r="F12">
        <f>INDEX(YieldCurve!$B$4:$B$63,C12)</f>
        <v/>
      </c>
      <c r="G12">
        <f>INDEX(YieldCurve!$B$4:$B$63,C12+1)</f>
        <v/>
      </c>
      <c r="H12">
        <f>IF(E12=D12,0,(B12-D12)/(E12-D12))</f>
        <v/>
      </c>
      <c r="I12">
        <f>-(F12+Inputs!$B$9)*D12</f>
        <v/>
      </c>
      <c r="J12">
        <f>-(G12+Inputs!$B$9)*E12</f>
        <v/>
      </c>
      <c r="K12">
        <f>IF(B12&lt;=INDEX(YieldCurve!$A$4:$A$63,1),-(INDEX(YieldCurve!$B$4:$B$63,1)+Inputs!$B$9)*B12,IF(B12&gt;=INDEX(YieldCurve!$A$4:$A$63,ROWS(YieldCurve!$A$4:$A$63)),-(INDEX(YieldCurve!$B$4:$B$63,ROWS(YieldCurve!$B$4:$B$63))+Inputs!$B$9)*B12,I12+H12*(J12-I12)))</f>
        <v/>
      </c>
      <c r="L12">
        <f>EXP(K12)</f>
        <v/>
      </c>
    </row>
    <row r="13">
      <c r="A13" t="n">
        <v>10</v>
      </c>
      <c r="B13">
        <f>A13/Inputs!$B$6</f>
        <v/>
      </c>
      <c r="C13">
        <f>IF(B13&lt;=INDEX(YieldCurve!$A$4:$A$63,1),1,IF(B13&gt;=INDEX(YieldCurve!$A$4:$A$63,ROWS(YieldCurve!$A$4:$A$63)),ROWS(YieldCurve!$A$4:$A$63)-1,MATCH(B13,YieldCurve!$A$4:$A$63,1)))</f>
        <v/>
      </c>
      <c r="D13">
        <f>INDEX(YieldCurve!$A$4:$A$63,C13)</f>
        <v/>
      </c>
      <c r="E13">
        <f>INDEX(YieldCurve!$A$4:$A$63,C13+1)</f>
        <v/>
      </c>
      <c r="F13">
        <f>INDEX(YieldCurve!$B$4:$B$63,C13)</f>
        <v/>
      </c>
      <c r="G13">
        <f>INDEX(YieldCurve!$B$4:$B$63,C13+1)</f>
        <v/>
      </c>
      <c r="H13">
        <f>IF(E13=D13,0,(B13-D13)/(E13-D13))</f>
        <v/>
      </c>
      <c r="I13">
        <f>-(F13+Inputs!$B$9)*D13</f>
        <v/>
      </c>
      <c r="J13">
        <f>-(G13+Inputs!$B$9)*E13</f>
        <v/>
      </c>
      <c r="K13">
        <f>IF(B13&lt;=INDEX(YieldCurve!$A$4:$A$63,1),-(INDEX(YieldCurve!$B$4:$B$63,1)+Inputs!$B$9)*B13,IF(B13&gt;=INDEX(YieldCurve!$A$4:$A$63,ROWS(YieldCurve!$A$4:$A$63)),-(INDEX(YieldCurve!$B$4:$B$63,ROWS(YieldCurve!$B$4:$B$63))+Inputs!$B$9)*B13,I13+H13*(J13-I13)))</f>
        <v/>
      </c>
      <c r="L13">
        <f>EXP(K13)</f>
        <v/>
      </c>
    </row>
    <row r="14">
      <c r="A14" t="n">
        <v>11</v>
      </c>
      <c r="B14">
        <f>A14/Inputs!$B$6</f>
        <v/>
      </c>
      <c r="C14">
        <f>IF(B14&lt;=INDEX(YieldCurve!$A$4:$A$63,1),1,IF(B14&gt;=INDEX(YieldCurve!$A$4:$A$63,ROWS(YieldCurve!$A$4:$A$63)),ROWS(YieldCurve!$A$4:$A$63)-1,MATCH(B14,YieldCurve!$A$4:$A$63,1)))</f>
        <v/>
      </c>
      <c r="D14">
        <f>INDEX(YieldCurve!$A$4:$A$63,C14)</f>
        <v/>
      </c>
      <c r="E14">
        <f>INDEX(YieldCurve!$A$4:$A$63,C14+1)</f>
        <v/>
      </c>
      <c r="F14">
        <f>INDEX(YieldCurve!$B$4:$B$63,C14)</f>
        <v/>
      </c>
      <c r="G14">
        <f>INDEX(YieldCurve!$B$4:$B$63,C14+1)</f>
        <v/>
      </c>
      <c r="H14">
        <f>IF(E14=D14,0,(B14-D14)/(E14-D14))</f>
        <v/>
      </c>
      <c r="I14">
        <f>-(F14+Inputs!$B$9)*D14</f>
        <v/>
      </c>
      <c r="J14">
        <f>-(G14+Inputs!$B$9)*E14</f>
        <v/>
      </c>
      <c r="K14">
        <f>IF(B14&lt;=INDEX(YieldCurve!$A$4:$A$63,1),-(INDEX(YieldCurve!$B$4:$B$63,1)+Inputs!$B$9)*B14,IF(B14&gt;=INDEX(YieldCurve!$A$4:$A$63,ROWS(YieldCurve!$A$4:$A$63)),-(INDEX(YieldCurve!$B$4:$B$63,ROWS(YieldCurve!$B$4:$B$63))+Inputs!$B$9)*B14,I14+H14*(J14-I14)))</f>
        <v/>
      </c>
      <c r="L14">
        <f>EXP(K14)</f>
        <v/>
      </c>
    </row>
    <row r="15">
      <c r="A15" t="n">
        <v>12</v>
      </c>
      <c r="B15">
        <f>A15/Inputs!$B$6</f>
        <v/>
      </c>
      <c r="C15">
        <f>IF(B15&lt;=INDEX(YieldCurve!$A$4:$A$63,1),1,IF(B15&gt;=INDEX(YieldCurve!$A$4:$A$63,ROWS(YieldCurve!$A$4:$A$63)),ROWS(YieldCurve!$A$4:$A$63)-1,MATCH(B15,YieldCurve!$A$4:$A$63,1)))</f>
        <v/>
      </c>
      <c r="D15">
        <f>INDEX(YieldCurve!$A$4:$A$63,C15)</f>
        <v/>
      </c>
      <c r="E15">
        <f>INDEX(YieldCurve!$A$4:$A$63,C15+1)</f>
        <v/>
      </c>
      <c r="F15">
        <f>INDEX(YieldCurve!$B$4:$B$63,C15)</f>
        <v/>
      </c>
      <c r="G15">
        <f>INDEX(YieldCurve!$B$4:$B$63,C15+1)</f>
        <v/>
      </c>
      <c r="H15">
        <f>IF(E15=D15,0,(B15-D15)/(E15-D15))</f>
        <v/>
      </c>
      <c r="I15">
        <f>-(F15+Inputs!$B$9)*D15</f>
        <v/>
      </c>
      <c r="J15">
        <f>-(G15+Inputs!$B$9)*E15</f>
        <v/>
      </c>
      <c r="K15">
        <f>IF(B15&lt;=INDEX(YieldCurve!$A$4:$A$63,1),-(INDEX(YieldCurve!$B$4:$B$63,1)+Inputs!$B$9)*B15,IF(B15&gt;=INDEX(YieldCurve!$A$4:$A$63,ROWS(YieldCurve!$A$4:$A$63)),-(INDEX(YieldCurve!$B$4:$B$63,ROWS(YieldCurve!$B$4:$B$63))+Inputs!$B$9)*B15,I15+H15*(J15-I15)))</f>
        <v/>
      </c>
      <c r="L15">
        <f>EXP(K15)</f>
        <v/>
      </c>
    </row>
    <row r="16">
      <c r="A16" t="n">
        <v>13</v>
      </c>
      <c r="B16">
        <f>A16/Inputs!$B$6</f>
        <v/>
      </c>
      <c r="C16">
        <f>IF(B16&lt;=INDEX(YieldCurve!$A$4:$A$63,1),1,IF(B16&gt;=INDEX(YieldCurve!$A$4:$A$63,ROWS(YieldCurve!$A$4:$A$63)),ROWS(YieldCurve!$A$4:$A$63)-1,MATCH(B16,YieldCurve!$A$4:$A$63,1)))</f>
        <v/>
      </c>
      <c r="D16">
        <f>INDEX(YieldCurve!$A$4:$A$63,C16)</f>
        <v/>
      </c>
      <c r="E16">
        <f>INDEX(YieldCurve!$A$4:$A$63,C16+1)</f>
        <v/>
      </c>
      <c r="F16">
        <f>INDEX(YieldCurve!$B$4:$B$63,C16)</f>
        <v/>
      </c>
      <c r="G16">
        <f>INDEX(YieldCurve!$B$4:$B$63,C16+1)</f>
        <v/>
      </c>
      <c r="H16">
        <f>IF(E16=D16,0,(B16-D16)/(E16-D16))</f>
        <v/>
      </c>
      <c r="I16">
        <f>-(F16+Inputs!$B$9)*D16</f>
        <v/>
      </c>
      <c r="J16">
        <f>-(G16+Inputs!$B$9)*E16</f>
        <v/>
      </c>
      <c r="K16">
        <f>IF(B16&lt;=INDEX(YieldCurve!$A$4:$A$63,1),-(INDEX(YieldCurve!$B$4:$B$63,1)+Inputs!$B$9)*B16,IF(B16&gt;=INDEX(YieldCurve!$A$4:$A$63,ROWS(YieldCurve!$A$4:$A$63)),-(INDEX(YieldCurve!$B$4:$B$63,ROWS(YieldCurve!$B$4:$B$63))+Inputs!$B$9)*B16,I16+H16*(J16-I16)))</f>
        <v/>
      </c>
      <c r="L16">
        <f>EXP(K16)</f>
        <v/>
      </c>
    </row>
    <row r="17">
      <c r="A17" t="n">
        <v>14</v>
      </c>
      <c r="B17">
        <f>A17/Inputs!$B$6</f>
        <v/>
      </c>
      <c r="C17">
        <f>IF(B17&lt;=INDEX(YieldCurve!$A$4:$A$63,1),1,IF(B17&gt;=INDEX(YieldCurve!$A$4:$A$63,ROWS(YieldCurve!$A$4:$A$63)),ROWS(YieldCurve!$A$4:$A$63)-1,MATCH(B17,YieldCurve!$A$4:$A$63,1)))</f>
        <v/>
      </c>
      <c r="D17">
        <f>INDEX(YieldCurve!$A$4:$A$63,C17)</f>
        <v/>
      </c>
      <c r="E17">
        <f>INDEX(YieldCurve!$A$4:$A$63,C17+1)</f>
        <v/>
      </c>
      <c r="F17">
        <f>INDEX(YieldCurve!$B$4:$B$63,C17)</f>
        <v/>
      </c>
      <c r="G17">
        <f>INDEX(YieldCurve!$B$4:$B$63,C17+1)</f>
        <v/>
      </c>
      <c r="H17">
        <f>IF(E17=D17,0,(B17-D17)/(E17-D17))</f>
        <v/>
      </c>
      <c r="I17">
        <f>-(F17+Inputs!$B$9)*D17</f>
        <v/>
      </c>
      <c r="J17">
        <f>-(G17+Inputs!$B$9)*E17</f>
        <v/>
      </c>
      <c r="K17">
        <f>IF(B17&lt;=INDEX(YieldCurve!$A$4:$A$63,1),-(INDEX(YieldCurve!$B$4:$B$63,1)+Inputs!$B$9)*B17,IF(B17&gt;=INDEX(YieldCurve!$A$4:$A$63,ROWS(YieldCurve!$A$4:$A$63)),-(INDEX(YieldCurve!$B$4:$B$63,ROWS(YieldCurve!$B$4:$B$63))+Inputs!$B$9)*B17,I17+H17*(J17-I17)))</f>
        <v/>
      </c>
      <c r="L17">
        <f>EXP(K17)</f>
        <v/>
      </c>
    </row>
    <row r="18">
      <c r="A18" t="n">
        <v>15</v>
      </c>
      <c r="B18">
        <f>A18/Inputs!$B$6</f>
        <v/>
      </c>
      <c r="C18">
        <f>IF(B18&lt;=INDEX(YieldCurve!$A$4:$A$63,1),1,IF(B18&gt;=INDEX(YieldCurve!$A$4:$A$63,ROWS(YieldCurve!$A$4:$A$63)),ROWS(YieldCurve!$A$4:$A$63)-1,MATCH(B18,YieldCurve!$A$4:$A$63,1)))</f>
        <v/>
      </c>
      <c r="D18">
        <f>INDEX(YieldCurve!$A$4:$A$63,C18)</f>
        <v/>
      </c>
      <c r="E18">
        <f>INDEX(YieldCurve!$A$4:$A$63,C18+1)</f>
        <v/>
      </c>
      <c r="F18">
        <f>INDEX(YieldCurve!$B$4:$B$63,C18)</f>
        <v/>
      </c>
      <c r="G18">
        <f>INDEX(YieldCurve!$B$4:$B$63,C18+1)</f>
        <v/>
      </c>
      <c r="H18">
        <f>IF(E18=D18,0,(B18-D18)/(E18-D18))</f>
        <v/>
      </c>
      <c r="I18">
        <f>-(F18+Inputs!$B$9)*D18</f>
        <v/>
      </c>
      <c r="J18">
        <f>-(G18+Inputs!$B$9)*E18</f>
        <v/>
      </c>
      <c r="K18">
        <f>IF(B18&lt;=INDEX(YieldCurve!$A$4:$A$63,1),-(INDEX(YieldCurve!$B$4:$B$63,1)+Inputs!$B$9)*B18,IF(B18&gt;=INDEX(YieldCurve!$A$4:$A$63,ROWS(YieldCurve!$A$4:$A$63)),-(INDEX(YieldCurve!$B$4:$B$63,ROWS(YieldCurve!$B$4:$B$63))+Inputs!$B$9)*B18,I18+H18*(J18-I18)))</f>
        <v/>
      </c>
      <c r="L18">
        <f>EXP(K18)</f>
        <v/>
      </c>
    </row>
    <row r="19">
      <c r="A19" t="n">
        <v>16</v>
      </c>
      <c r="B19">
        <f>A19/Inputs!$B$6</f>
        <v/>
      </c>
      <c r="C19">
        <f>IF(B19&lt;=INDEX(YieldCurve!$A$4:$A$63,1),1,IF(B19&gt;=INDEX(YieldCurve!$A$4:$A$63,ROWS(YieldCurve!$A$4:$A$63)),ROWS(YieldCurve!$A$4:$A$63)-1,MATCH(B19,YieldCurve!$A$4:$A$63,1)))</f>
        <v/>
      </c>
      <c r="D19">
        <f>INDEX(YieldCurve!$A$4:$A$63,C19)</f>
        <v/>
      </c>
      <c r="E19">
        <f>INDEX(YieldCurve!$A$4:$A$63,C19+1)</f>
        <v/>
      </c>
      <c r="F19">
        <f>INDEX(YieldCurve!$B$4:$B$63,C19)</f>
        <v/>
      </c>
      <c r="G19">
        <f>INDEX(YieldCurve!$B$4:$B$63,C19+1)</f>
        <v/>
      </c>
      <c r="H19">
        <f>IF(E19=D19,0,(B19-D19)/(E19-D19))</f>
        <v/>
      </c>
      <c r="I19">
        <f>-(F19+Inputs!$B$9)*D19</f>
        <v/>
      </c>
      <c r="J19">
        <f>-(G19+Inputs!$B$9)*E19</f>
        <v/>
      </c>
      <c r="K19">
        <f>IF(B19&lt;=INDEX(YieldCurve!$A$4:$A$63,1),-(INDEX(YieldCurve!$B$4:$B$63,1)+Inputs!$B$9)*B19,IF(B19&gt;=INDEX(YieldCurve!$A$4:$A$63,ROWS(YieldCurve!$A$4:$A$63)),-(INDEX(YieldCurve!$B$4:$B$63,ROWS(YieldCurve!$B$4:$B$63))+Inputs!$B$9)*B19,I19+H19*(J19-I19)))</f>
        <v/>
      </c>
      <c r="L19">
        <f>EXP(K19)</f>
        <v/>
      </c>
    </row>
    <row r="20">
      <c r="A20" t="n">
        <v>17</v>
      </c>
      <c r="B20">
        <f>A20/Inputs!$B$6</f>
        <v/>
      </c>
      <c r="C20">
        <f>IF(B20&lt;=INDEX(YieldCurve!$A$4:$A$63,1),1,IF(B20&gt;=INDEX(YieldCurve!$A$4:$A$63,ROWS(YieldCurve!$A$4:$A$63)),ROWS(YieldCurve!$A$4:$A$63)-1,MATCH(B20,YieldCurve!$A$4:$A$63,1)))</f>
        <v/>
      </c>
      <c r="D20">
        <f>INDEX(YieldCurve!$A$4:$A$63,C20)</f>
        <v/>
      </c>
      <c r="E20">
        <f>INDEX(YieldCurve!$A$4:$A$63,C20+1)</f>
        <v/>
      </c>
      <c r="F20">
        <f>INDEX(YieldCurve!$B$4:$B$63,C20)</f>
        <v/>
      </c>
      <c r="G20">
        <f>INDEX(YieldCurve!$B$4:$B$63,C20+1)</f>
        <v/>
      </c>
      <c r="H20">
        <f>IF(E20=D20,0,(B20-D20)/(E20-D20))</f>
        <v/>
      </c>
      <c r="I20">
        <f>-(F20+Inputs!$B$9)*D20</f>
        <v/>
      </c>
      <c r="J20">
        <f>-(G20+Inputs!$B$9)*E20</f>
        <v/>
      </c>
      <c r="K20">
        <f>IF(B20&lt;=INDEX(YieldCurve!$A$4:$A$63,1),-(INDEX(YieldCurve!$B$4:$B$63,1)+Inputs!$B$9)*B20,IF(B20&gt;=INDEX(YieldCurve!$A$4:$A$63,ROWS(YieldCurve!$A$4:$A$63)),-(INDEX(YieldCurve!$B$4:$B$63,ROWS(YieldCurve!$B$4:$B$63))+Inputs!$B$9)*B20,I20+H20*(J20-I20)))</f>
        <v/>
      </c>
      <c r="L20">
        <f>EXP(K20)</f>
        <v/>
      </c>
    </row>
    <row r="21">
      <c r="A21" t="n">
        <v>18</v>
      </c>
      <c r="B21">
        <f>A21/Inputs!$B$6</f>
        <v/>
      </c>
      <c r="C21">
        <f>IF(B21&lt;=INDEX(YieldCurve!$A$4:$A$63,1),1,IF(B21&gt;=INDEX(YieldCurve!$A$4:$A$63,ROWS(YieldCurve!$A$4:$A$63)),ROWS(YieldCurve!$A$4:$A$63)-1,MATCH(B21,YieldCurve!$A$4:$A$63,1)))</f>
        <v/>
      </c>
      <c r="D21">
        <f>INDEX(YieldCurve!$A$4:$A$63,C21)</f>
        <v/>
      </c>
      <c r="E21">
        <f>INDEX(YieldCurve!$A$4:$A$63,C21+1)</f>
        <v/>
      </c>
      <c r="F21">
        <f>INDEX(YieldCurve!$B$4:$B$63,C21)</f>
        <v/>
      </c>
      <c r="G21">
        <f>INDEX(YieldCurve!$B$4:$B$63,C21+1)</f>
        <v/>
      </c>
      <c r="H21">
        <f>IF(E21=D21,0,(B21-D21)/(E21-D21))</f>
        <v/>
      </c>
      <c r="I21">
        <f>-(F21+Inputs!$B$9)*D21</f>
        <v/>
      </c>
      <c r="J21">
        <f>-(G21+Inputs!$B$9)*E21</f>
        <v/>
      </c>
      <c r="K21">
        <f>IF(B21&lt;=INDEX(YieldCurve!$A$4:$A$63,1),-(INDEX(YieldCurve!$B$4:$B$63,1)+Inputs!$B$9)*B21,IF(B21&gt;=INDEX(YieldCurve!$A$4:$A$63,ROWS(YieldCurve!$A$4:$A$63)),-(INDEX(YieldCurve!$B$4:$B$63,ROWS(YieldCurve!$B$4:$B$63))+Inputs!$B$9)*B21,I21+H21*(J21-I21)))</f>
        <v/>
      </c>
      <c r="L21">
        <f>EXP(K21)</f>
        <v/>
      </c>
    </row>
    <row r="22">
      <c r="A22" t="n">
        <v>19</v>
      </c>
      <c r="B22">
        <f>A22/Inputs!$B$6</f>
        <v/>
      </c>
      <c r="C22">
        <f>IF(B22&lt;=INDEX(YieldCurve!$A$4:$A$63,1),1,IF(B22&gt;=INDEX(YieldCurve!$A$4:$A$63,ROWS(YieldCurve!$A$4:$A$63)),ROWS(YieldCurve!$A$4:$A$63)-1,MATCH(B22,YieldCurve!$A$4:$A$63,1)))</f>
        <v/>
      </c>
      <c r="D22">
        <f>INDEX(YieldCurve!$A$4:$A$63,C22)</f>
        <v/>
      </c>
      <c r="E22">
        <f>INDEX(YieldCurve!$A$4:$A$63,C22+1)</f>
        <v/>
      </c>
      <c r="F22">
        <f>INDEX(YieldCurve!$B$4:$B$63,C22)</f>
        <v/>
      </c>
      <c r="G22">
        <f>INDEX(YieldCurve!$B$4:$B$63,C22+1)</f>
        <v/>
      </c>
      <c r="H22">
        <f>IF(E22=D22,0,(B22-D22)/(E22-D22))</f>
        <v/>
      </c>
      <c r="I22">
        <f>-(F22+Inputs!$B$9)*D22</f>
        <v/>
      </c>
      <c r="J22">
        <f>-(G22+Inputs!$B$9)*E22</f>
        <v/>
      </c>
      <c r="K22">
        <f>IF(B22&lt;=INDEX(YieldCurve!$A$4:$A$63,1),-(INDEX(YieldCurve!$B$4:$B$63,1)+Inputs!$B$9)*B22,IF(B22&gt;=INDEX(YieldCurve!$A$4:$A$63,ROWS(YieldCurve!$A$4:$A$63)),-(INDEX(YieldCurve!$B$4:$B$63,ROWS(YieldCurve!$B$4:$B$63))+Inputs!$B$9)*B22,I22+H22*(J22-I22)))</f>
        <v/>
      </c>
      <c r="L22">
        <f>EXP(K22)</f>
        <v/>
      </c>
    </row>
    <row r="23">
      <c r="A23" t="n">
        <v>20</v>
      </c>
      <c r="B23">
        <f>A23/Inputs!$B$6</f>
        <v/>
      </c>
      <c r="C23">
        <f>IF(B23&lt;=INDEX(YieldCurve!$A$4:$A$63,1),1,IF(B23&gt;=INDEX(YieldCurve!$A$4:$A$63,ROWS(YieldCurve!$A$4:$A$63)),ROWS(YieldCurve!$A$4:$A$63)-1,MATCH(B23,YieldCurve!$A$4:$A$63,1)))</f>
        <v/>
      </c>
      <c r="D23">
        <f>INDEX(YieldCurve!$A$4:$A$63,C23)</f>
        <v/>
      </c>
      <c r="E23">
        <f>INDEX(YieldCurve!$A$4:$A$63,C23+1)</f>
        <v/>
      </c>
      <c r="F23">
        <f>INDEX(YieldCurve!$B$4:$B$63,C23)</f>
        <v/>
      </c>
      <c r="G23">
        <f>INDEX(YieldCurve!$B$4:$B$63,C23+1)</f>
        <v/>
      </c>
      <c r="H23">
        <f>IF(E23=D23,0,(B23-D23)/(E23-D23))</f>
        <v/>
      </c>
      <c r="I23">
        <f>-(F23+Inputs!$B$9)*D23</f>
        <v/>
      </c>
      <c r="J23">
        <f>-(G23+Inputs!$B$9)*E23</f>
        <v/>
      </c>
      <c r="K23">
        <f>IF(B23&lt;=INDEX(YieldCurve!$A$4:$A$63,1),-(INDEX(YieldCurve!$B$4:$B$63,1)+Inputs!$B$9)*B23,IF(B23&gt;=INDEX(YieldCurve!$A$4:$A$63,ROWS(YieldCurve!$A$4:$A$63)),-(INDEX(YieldCurve!$B$4:$B$63,ROWS(YieldCurve!$B$4:$B$63))+Inputs!$B$9)*B23,I23+H23*(J23-I23)))</f>
        <v/>
      </c>
      <c r="L23">
        <f>EXP(K23)</f>
        <v/>
      </c>
    </row>
    <row r="24">
      <c r="A24" t="n">
        <v>21</v>
      </c>
      <c r="B24">
        <f>A24/Inputs!$B$6</f>
        <v/>
      </c>
      <c r="C24">
        <f>IF(B24&lt;=INDEX(YieldCurve!$A$4:$A$63,1),1,IF(B24&gt;=INDEX(YieldCurve!$A$4:$A$63,ROWS(YieldCurve!$A$4:$A$63)),ROWS(YieldCurve!$A$4:$A$63)-1,MATCH(B24,YieldCurve!$A$4:$A$63,1)))</f>
        <v/>
      </c>
      <c r="D24">
        <f>INDEX(YieldCurve!$A$4:$A$63,C24)</f>
        <v/>
      </c>
      <c r="E24">
        <f>INDEX(YieldCurve!$A$4:$A$63,C24+1)</f>
        <v/>
      </c>
      <c r="F24">
        <f>INDEX(YieldCurve!$B$4:$B$63,C24)</f>
        <v/>
      </c>
      <c r="G24">
        <f>INDEX(YieldCurve!$B$4:$B$63,C24+1)</f>
        <v/>
      </c>
      <c r="H24">
        <f>IF(E24=D24,0,(B24-D24)/(E24-D24))</f>
        <v/>
      </c>
      <c r="I24">
        <f>-(F24+Inputs!$B$9)*D24</f>
        <v/>
      </c>
      <c r="J24">
        <f>-(G24+Inputs!$B$9)*E24</f>
        <v/>
      </c>
      <c r="K24">
        <f>IF(B24&lt;=INDEX(YieldCurve!$A$4:$A$63,1),-(INDEX(YieldCurve!$B$4:$B$63,1)+Inputs!$B$9)*B24,IF(B24&gt;=INDEX(YieldCurve!$A$4:$A$63,ROWS(YieldCurve!$A$4:$A$63)),-(INDEX(YieldCurve!$B$4:$B$63,ROWS(YieldCurve!$B$4:$B$63))+Inputs!$B$9)*B24,I24+H24*(J24-I24)))</f>
        <v/>
      </c>
      <c r="L24">
        <f>EXP(K24)</f>
        <v/>
      </c>
    </row>
    <row r="25">
      <c r="A25" t="n">
        <v>22</v>
      </c>
      <c r="B25">
        <f>A25/Inputs!$B$6</f>
        <v/>
      </c>
      <c r="C25">
        <f>IF(B25&lt;=INDEX(YieldCurve!$A$4:$A$63,1),1,IF(B25&gt;=INDEX(YieldCurve!$A$4:$A$63,ROWS(YieldCurve!$A$4:$A$63)),ROWS(YieldCurve!$A$4:$A$63)-1,MATCH(B25,YieldCurve!$A$4:$A$63,1)))</f>
        <v/>
      </c>
      <c r="D25">
        <f>INDEX(YieldCurve!$A$4:$A$63,C25)</f>
        <v/>
      </c>
      <c r="E25">
        <f>INDEX(YieldCurve!$A$4:$A$63,C25+1)</f>
        <v/>
      </c>
      <c r="F25">
        <f>INDEX(YieldCurve!$B$4:$B$63,C25)</f>
        <v/>
      </c>
      <c r="G25">
        <f>INDEX(YieldCurve!$B$4:$B$63,C25+1)</f>
        <v/>
      </c>
      <c r="H25">
        <f>IF(E25=D25,0,(B25-D25)/(E25-D25))</f>
        <v/>
      </c>
      <c r="I25">
        <f>-(F25+Inputs!$B$9)*D25</f>
        <v/>
      </c>
      <c r="J25">
        <f>-(G25+Inputs!$B$9)*E25</f>
        <v/>
      </c>
      <c r="K25">
        <f>IF(B25&lt;=INDEX(YieldCurve!$A$4:$A$63,1),-(INDEX(YieldCurve!$B$4:$B$63,1)+Inputs!$B$9)*B25,IF(B25&gt;=INDEX(YieldCurve!$A$4:$A$63,ROWS(YieldCurve!$A$4:$A$63)),-(INDEX(YieldCurve!$B$4:$B$63,ROWS(YieldCurve!$B$4:$B$63))+Inputs!$B$9)*B25,I25+H25*(J25-I25)))</f>
        <v/>
      </c>
      <c r="L25">
        <f>EXP(K25)</f>
        <v/>
      </c>
    </row>
    <row r="26">
      <c r="A26" t="n">
        <v>23</v>
      </c>
      <c r="B26">
        <f>A26/Inputs!$B$6</f>
        <v/>
      </c>
      <c r="C26">
        <f>IF(B26&lt;=INDEX(YieldCurve!$A$4:$A$63,1),1,IF(B26&gt;=INDEX(YieldCurve!$A$4:$A$63,ROWS(YieldCurve!$A$4:$A$63)),ROWS(YieldCurve!$A$4:$A$63)-1,MATCH(B26,YieldCurve!$A$4:$A$63,1)))</f>
        <v/>
      </c>
      <c r="D26">
        <f>INDEX(YieldCurve!$A$4:$A$63,C26)</f>
        <v/>
      </c>
      <c r="E26">
        <f>INDEX(YieldCurve!$A$4:$A$63,C26+1)</f>
        <v/>
      </c>
      <c r="F26">
        <f>INDEX(YieldCurve!$B$4:$B$63,C26)</f>
        <v/>
      </c>
      <c r="G26">
        <f>INDEX(YieldCurve!$B$4:$B$63,C26+1)</f>
        <v/>
      </c>
      <c r="H26">
        <f>IF(E26=D26,0,(B26-D26)/(E26-D26))</f>
        <v/>
      </c>
      <c r="I26">
        <f>-(F26+Inputs!$B$9)*D26</f>
        <v/>
      </c>
      <c r="J26">
        <f>-(G26+Inputs!$B$9)*E26</f>
        <v/>
      </c>
      <c r="K26">
        <f>IF(B26&lt;=INDEX(YieldCurve!$A$4:$A$63,1),-(INDEX(YieldCurve!$B$4:$B$63,1)+Inputs!$B$9)*B26,IF(B26&gt;=INDEX(YieldCurve!$A$4:$A$63,ROWS(YieldCurve!$A$4:$A$63)),-(INDEX(YieldCurve!$B$4:$B$63,ROWS(YieldCurve!$B$4:$B$63))+Inputs!$B$9)*B26,I26+H26*(J26-I26)))</f>
        <v/>
      </c>
      <c r="L26">
        <f>EXP(K26)</f>
        <v/>
      </c>
    </row>
    <row r="27">
      <c r="A27" t="n">
        <v>24</v>
      </c>
      <c r="B27">
        <f>A27/Inputs!$B$6</f>
        <v/>
      </c>
      <c r="C27">
        <f>IF(B27&lt;=INDEX(YieldCurve!$A$4:$A$63,1),1,IF(B27&gt;=INDEX(YieldCurve!$A$4:$A$63,ROWS(YieldCurve!$A$4:$A$63)),ROWS(YieldCurve!$A$4:$A$63)-1,MATCH(B27,YieldCurve!$A$4:$A$63,1)))</f>
        <v/>
      </c>
      <c r="D27">
        <f>INDEX(YieldCurve!$A$4:$A$63,C27)</f>
        <v/>
      </c>
      <c r="E27">
        <f>INDEX(YieldCurve!$A$4:$A$63,C27+1)</f>
        <v/>
      </c>
      <c r="F27">
        <f>INDEX(YieldCurve!$B$4:$B$63,C27)</f>
        <v/>
      </c>
      <c r="G27">
        <f>INDEX(YieldCurve!$B$4:$B$63,C27+1)</f>
        <v/>
      </c>
      <c r="H27">
        <f>IF(E27=D27,0,(B27-D27)/(E27-D27))</f>
        <v/>
      </c>
      <c r="I27">
        <f>-(F27+Inputs!$B$9)*D27</f>
        <v/>
      </c>
      <c r="J27">
        <f>-(G27+Inputs!$B$9)*E27</f>
        <v/>
      </c>
      <c r="K27">
        <f>IF(B27&lt;=INDEX(YieldCurve!$A$4:$A$63,1),-(INDEX(YieldCurve!$B$4:$B$63,1)+Inputs!$B$9)*B27,IF(B27&gt;=INDEX(YieldCurve!$A$4:$A$63,ROWS(YieldCurve!$A$4:$A$63)),-(INDEX(YieldCurve!$B$4:$B$63,ROWS(YieldCurve!$B$4:$B$63))+Inputs!$B$9)*B27,I27+H27*(J27-I27)))</f>
        <v/>
      </c>
      <c r="L27">
        <f>EXP(K27)</f>
        <v/>
      </c>
    </row>
    <row r="28">
      <c r="A28" t="n">
        <v>25</v>
      </c>
      <c r="B28">
        <f>A28/Inputs!$B$6</f>
        <v/>
      </c>
      <c r="C28">
        <f>IF(B28&lt;=INDEX(YieldCurve!$A$4:$A$63,1),1,IF(B28&gt;=INDEX(YieldCurve!$A$4:$A$63,ROWS(YieldCurve!$A$4:$A$63)),ROWS(YieldCurve!$A$4:$A$63)-1,MATCH(B28,YieldCurve!$A$4:$A$63,1)))</f>
        <v/>
      </c>
      <c r="D28">
        <f>INDEX(YieldCurve!$A$4:$A$63,C28)</f>
        <v/>
      </c>
      <c r="E28">
        <f>INDEX(YieldCurve!$A$4:$A$63,C28+1)</f>
        <v/>
      </c>
      <c r="F28">
        <f>INDEX(YieldCurve!$B$4:$B$63,C28)</f>
        <v/>
      </c>
      <c r="G28">
        <f>INDEX(YieldCurve!$B$4:$B$63,C28+1)</f>
        <v/>
      </c>
      <c r="H28">
        <f>IF(E28=D28,0,(B28-D28)/(E28-D28))</f>
        <v/>
      </c>
      <c r="I28">
        <f>-(F28+Inputs!$B$9)*D28</f>
        <v/>
      </c>
      <c r="J28">
        <f>-(G28+Inputs!$B$9)*E28</f>
        <v/>
      </c>
      <c r="K28">
        <f>IF(B28&lt;=INDEX(YieldCurve!$A$4:$A$63,1),-(INDEX(YieldCurve!$B$4:$B$63,1)+Inputs!$B$9)*B28,IF(B28&gt;=INDEX(YieldCurve!$A$4:$A$63,ROWS(YieldCurve!$A$4:$A$63)),-(INDEX(YieldCurve!$B$4:$B$63,ROWS(YieldCurve!$B$4:$B$63))+Inputs!$B$9)*B28,I28+H28*(J28-I28)))</f>
        <v/>
      </c>
      <c r="L28">
        <f>EXP(K28)</f>
        <v/>
      </c>
    </row>
    <row r="29">
      <c r="A29" t="n">
        <v>26</v>
      </c>
      <c r="B29">
        <f>A29/Inputs!$B$6</f>
        <v/>
      </c>
      <c r="C29">
        <f>IF(B29&lt;=INDEX(YieldCurve!$A$4:$A$63,1),1,IF(B29&gt;=INDEX(YieldCurve!$A$4:$A$63,ROWS(YieldCurve!$A$4:$A$63)),ROWS(YieldCurve!$A$4:$A$63)-1,MATCH(B29,YieldCurve!$A$4:$A$63,1)))</f>
        <v/>
      </c>
      <c r="D29">
        <f>INDEX(YieldCurve!$A$4:$A$63,C29)</f>
        <v/>
      </c>
      <c r="E29">
        <f>INDEX(YieldCurve!$A$4:$A$63,C29+1)</f>
        <v/>
      </c>
      <c r="F29">
        <f>INDEX(YieldCurve!$B$4:$B$63,C29)</f>
        <v/>
      </c>
      <c r="G29">
        <f>INDEX(YieldCurve!$B$4:$B$63,C29+1)</f>
        <v/>
      </c>
      <c r="H29">
        <f>IF(E29=D29,0,(B29-D29)/(E29-D29))</f>
        <v/>
      </c>
      <c r="I29">
        <f>-(F29+Inputs!$B$9)*D29</f>
        <v/>
      </c>
      <c r="J29">
        <f>-(G29+Inputs!$B$9)*E29</f>
        <v/>
      </c>
      <c r="K29">
        <f>IF(B29&lt;=INDEX(YieldCurve!$A$4:$A$63,1),-(INDEX(YieldCurve!$B$4:$B$63,1)+Inputs!$B$9)*B29,IF(B29&gt;=INDEX(YieldCurve!$A$4:$A$63,ROWS(YieldCurve!$A$4:$A$63)),-(INDEX(YieldCurve!$B$4:$B$63,ROWS(YieldCurve!$B$4:$B$63))+Inputs!$B$9)*B29,I29+H29*(J29-I29)))</f>
        <v/>
      </c>
      <c r="L29">
        <f>EXP(K29)</f>
        <v/>
      </c>
    </row>
    <row r="30">
      <c r="A30" t="n">
        <v>27</v>
      </c>
      <c r="B30">
        <f>A30/Inputs!$B$6</f>
        <v/>
      </c>
      <c r="C30">
        <f>IF(B30&lt;=INDEX(YieldCurve!$A$4:$A$63,1),1,IF(B30&gt;=INDEX(YieldCurve!$A$4:$A$63,ROWS(YieldCurve!$A$4:$A$63)),ROWS(YieldCurve!$A$4:$A$63)-1,MATCH(B30,YieldCurve!$A$4:$A$63,1)))</f>
        <v/>
      </c>
      <c r="D30">
        <f>INDEX(YieldCurve!$A$4:$A$63,C30)</f>
        <v/>
      </c>
      <c r="E30">
        <f>INDEX(YieldCurve!$A$4:$A$63,C30+1)</f>
        <v/>
      </c>
      <c r="F30">
        <f>INDEX(YieldCurve!$B$4:$B$63,C30)</f>
        <v/>
      </c>
      <c r="G30">
        <f>INDEX(YieldCurve!$B$4:$B$63,C30+1)</f>
        <v/>
      </c>
      <c r="H30">
        <f>IF(E30=D30,0,(B30-D30)/(E30-D30))</f>
        <v/>
      </c>
      <c r="I30">
        <f>-(F30+Inputs!$B$9)*D30</f>
        <v/>
      </c>
      <c r="J30">
        <f>-(G30+Inputs!$B$9)*E30</f>
        <v/>
      </c>
      <c r="K30">
        <f>IF(B30&lt;=INDEX(YieldCurve!$A$4:$A$63,1),-(INDEX(YieldCurve!$B$4:$B$63,1)+Inputs!$B$9)*B30,IF(B30&gt;=INDEX(YieldCurve!$A$4:$A$63,ROWS(YieldCurve!$A$4:$A$63)),-(INDEX(YieldCurve!$B$4:$B$63,ROWS(YieldCurve!$B$4:$B$63))+Inputs!$B$9)*B30,I30+H30*(J30-I30)))</f>
        <v/>
      </c>
      <c r="L30">
        <f>EXP(K30)</f>
        <v/>
      </c>
    </row>
    <row r="31">
      <c r="A31" t="n">
        <v>28</v>
      </c>
      <c r="B31">
        <f>A31/Inputs!$B$6</f>
        <v/>
      </c>
      <c r="C31">
        <f>IF(B31&lt;=INDEX(YieldCurve!$A$4:$A$63,1),1,IF(B31&gt;=INDEX(YieldCurve!$A$4:$A$63,ROWS(YieldCurve!$A$4:$A$63)),ROWS(YieldCurve!$A$4:$A$63)-1,MATCH(B31,YieldCurve!$A$4:$A$63,1)))</f>
        <v/>
      </c>
      <c r="D31">
        <f>INDEX(YieldCurve!$A$4:$A$63,C31)</f>
        <v/>
      </c>
      <c r="E31">
        <f>INDEX(YieldCurve!$A$4:$A$63,C31+1)</f>
        <v/>
      </c>
      <c r="F31">
        <f>INDEX(YieldCurve!$B$4:$B$63,C31)</f>
        <v/>
      </c>
      <c r="G31">
        <f>INDEX(YieldCurve!$B$4:$B$63,C31+1)</f>
        <v/>
      </c>
      <c r="H31">
        <f>IF(E31=D31,0,(B31-D31)/(E31-D31))</f>
        <v/>
      </c>
      <c r="I31">
        <f>-(F31+Inputs!$B$9)*D31</f>
        <v/>
      </c>
      <c r="J31">
        <f>-(G31+Inputs!$B$9)*E31</f>
        <v/>
      </c>
      <c r="K31">
        <f>IF(B31&lt;=INDEX(YieldCurve!$A$4:$A$63,1),-(INDEX(YieldCurve!$B$4:$B$63,1)+Inputs!$B$9)*B31,IF(B31&gt;=INDEX(YieldCurve!$A$4:$A$63,ROWS(YieldCurve!$A$4:$A$63)),-(INDEX(YieldCurve!$B$4:$B$63,ROWS(YieldCurve!$B$4:$B$63))+Inputs!$B$9)*B31,I31+H31*(J31-I31)))</f>
        <v/>
      </c>
      <c r="L31">
        <f>EXP(K31)</f>
        <v/>
      </c>
    </row>
    <row r="32">
      <c r="A32" t="n">
        <v>29</v>
      </c>
      <c r="B32">
        <f>A32/Inputs!$B$6</f>
        <v/>
      </c>
      <c r="C32">
        <f>IF(B32&lt;=INDEX(YieldCurve!$A$4:$A$63,1),1,IF(B32&gt;=INDEX(YieldCurve!$A$4:$A$63,ROWS(YieldCurve!$A$4:$A$63)),ROWS(YieldCurve!$A$4:$A$63)-1,MATCH(B32,YieldCurve!$A$4:$A$63,1)))</f>
        <v/>
      </c>
      <c r="D32">
        <f>INDEX(YieldCurve!$A$4:$A$63,C32)</f>
        <v/>
      </c>
      <c r="E32">
        <f>INDEX(YieldCurve!$A$4:$A$63,C32+1)</f>
        <v/>
      </c>
      <c r="F32">
        <f>INDEX(YieldCurve!$B$4:$B$63,C32)</f>
        <v/>
      </c>
      <c r="G32">
        <f>INDEX(YieldCurve!$B$4:$B$63,C32+1)</f>
        <v/>
      </c>
      <c r="H32">
        <f>IF(E32=D32,0,(B32-D32)/(E32-D32))</f>
        <v/>
      </c>
      <c r="I32">
        <f>-(F32+Inputs!$B$9)*D32</f>
        <v/>
      </c>
      <c r="J32">
        <f>-(G32+Inputs!$B$9)*E32</f>
        <v/>
      </c>
      <c r="K32">
        <f>IF(B32&lt;=INDEX(YieldCurve!$A$4:$A$63,1),-(INDEX(YieldCurve!$B$4:$B$63,1)+Inputs!$B$9)*B32,IF(B32&gt;=INDEX(YieldCurve!$A$4:$A$63,ROWS(YieldCurve!$A$4:$A$63)),-(INDEX(YieldCurve!$B$4:$B$63,ROWS(YieldCurve!$B$4:$B$63))+Inputs!$B$9)*B32,I32+H32*(J32-I32)))</f>
        <v/>
      </c>
      <c r="L32">
        <f>EXP(K32)</f>
        <v/>
      </c>
    </row>
    <row r="33">
      <c r="A33" t="n">
        <v>30</v>
      </c>
      <c r="B33">
        <f>A33/Inputs!$B$6</f>
        <v/>
      </c>
      <c r="C33">
        <f>IF(B33&lt;=INDEX(YieldCurve!$A$4:$A$63,1),1,IF(B33&gt;=INDEX(YieldCurve!$A$4:$A$63,ROWS(YieldCurve!$A$4:$A$63)),ROWS(YieldCurve!$A$4:$A$63)-1,MATCH(B33,YieldCurve!$A$4:$A$63,1)))</f>
        <v/>
      </c>
      <c r="D33">
        <f>INDEX(YieldCurve!$A$4:$A$63,C33)</f>
        <v/>
      </c>
      <c r="E33">
        <f>INDEX(YieldCurve!$A$4:$A$63,C33+1)</f>
        <v/>
      </c>
      <c r="F33">
        <f>INDEX(YieldCurve!$B$4:$B$63,C33)</f>
        <v/>
      </c>
      <c r="G33">
        <f>INDEX(YieldCurve!$B$4:$B$63,C33+1)</f>
        <v/>
      </c>
      <c r="H33">
        <f>IF(E33=D33,0,(B33-D33)/(E33-D33))</f>
        <v/>
      </c>
      <c r="I33">
        <f>-(F33+Inputs!$B$9)*D33</f>
        <v/>
      </c>
      <c r="J33">
        <f>-(G33+Inputs!$B$9)*E33</f>
        <v/>
      </c>
      <c r="K33">
        <f>IF(B33&lt;=INDEX(YieldCurve!$A$4:$A$63,1),-(INDEX(YieldCurve!$B$4:$B$63,1)+Inputs!$B$9)*B33,IF(B33&gt;=INDEX(YieldCurve!$A$4:$A$63,ROWS(YieldCurve!$A$4:$A$63)),-(INDEX(YieldCurve!$B$4:$B$63,ROWS(YieldCurve!$B$4:$B$63))+Inputs!$B$9)*B33,I33+H33*(J33-I33)))</f>
        <v/>
      </c>
      <c r="L33">
        <f>EXP(K33)</f>
        <v/>
      </c>
    </row>
    <row r="34">
      <c r="A34" t="n">
        <v>31</v>
      </c>
      <c r="B34">
        <f>A34/Inputs!$B$6</f>
        <v/>
      </c>
      <c r="C34">
        <f>IF(B34&lt;=INDEX(YieldCurve!$A$4:$A$63,1),1,IF(B34&gt;=INDEX(YieldCurve!$A$4:$A$63,ROWS(YieldCurve!$A$4:$A$63)),ROWS(YieldCurve!$A$4:$A$63)-1,MATCH(B34,YieldCurve!$A$4:$A$63,1)))</f>
        <v/>
      </c>
      <c r="D34">
        <f>INDEX(YieldCurve!$A$4:$A$63,C34)</f>
        <v/>
      </c>
      <c r="E34">
        <f>INDEX(YieldCurve!$A$4:$A$63,C34+1)</f>
        <v/>
      </c>
      <c r="F34">
        <f>INDEX(YieldCurve!$B$4:$B$63,C34)</f>
        <v/>
      </c>
      <c r="G34">
        <f>INDEX(YieldCurve!$B$4:$B$63,C34+1)</f>
        <v/>
      </c>
      <c r="H34">
        <f>IF(E34=D34,0,(B34-D34)/(E34-D34))</f>
        <v/>
      </c>
      <c r="I34">
        <f>-(F34+Inputs!$B$9)*D34</f>
        <v/>
      </c>
      <c r="J34">
        <f>-(G34+Inputs!$B$9)*E34</f>
        <v/>
      </c>
      <c r="K34">
        <f>IF(B34&lt;=INDEX(YieldCurve!$A$4:$A$63,1),-(INDEX(YieldCurve!$B$4:$B$63,1)+Inputs!$B$9)*B34,IF(B34&gt;=INDEX(YieldCurve!$A$4:$A$63,ROWS(YieldCurve!$A$4:$A$63)),-(INDEX(YieldCurve!$B$4:$B$63,ROWS(YieldCurve!$B$4:$B$63))+Inputs!$B$9)*B34,I34+H34*(J34-I34)))</f>
        <v/>
      </c>
      <c r="L34">
        <f>EXP(K34)</f>
        <v/>
      </c>
    </row>
    <row r="35">
      <c r="A35" t="n">
        <v>32</v>
      </c>
      <c r="B35">
        <f>A35/Inputs!$B$6</f>
        <v/>
      </c>
      <c r="C35">
        <f>IF(B35&lt;=INDEX(YieldCurve!$A$4:$A$63,1),1,IF(B35&gt;=INDEX(YieldCurve!$A$4:$A$63,ROWS(YieldCurve!$A$4:$A$63)),ROWS(YieldCurve!$A$4:$A$63)-1,MATCH(B35,YieldCurve!$A$4:$A$63,1)))</f>
        <v/>
      </c>
      <c r="D35">
        <f>INDEX(YieldCurve!$A$4:$A$63,C35)</f>
        <v/>
      </c>
      <c r="E35">
        <f>INDEX(YieldCurve!$A$4:$A$63,C35+1)</f>
        <v/>
      </c>
      <c r="F35">
        <f>INDEX(YieldCurve!$B$4:$B$63,C35)</f>
        <v/>
      </c>
      <c r="G35">
        <f>INDEX(YieldCurve!$B$4:$B$63,C35+1)</f>
        <v/>
      </c>
      <c r="H35">
        <f>IF(E35=D35,0,(B35-D35)/(E35-D35))</f>
        <v/>
      </c>
      <c r="I35">
        <f>-(F35+Inputs!$B$9)*D35</f>
        <v/>
      </c>
      <c r="J35">
        <f>-(G35+Inputs!$B$9)*E35</f>
        <v/>
      </c>
      <c r="K35">
        <f>IF(B35&lt;=INDEX(YieldCurve!$A$4:$A$63,1),-(INDEX(YieldCurve!$B$4:$B$63,1)+Inputs!$B$9)*B35,IF(B35&gt;=INDEX(YieldCurve!$A$4:$A$63,ROWS(YieldCurve!$A$4:$A$63)),-(INDEX(YieldCurve!$B$4:$B$63,ROWS(YieldCurve!$B$4:$B$63))+Inputs!$B$9)*B35,I35+H35*(J35-I35)))</f>
        <v/>
      </c>
      <c r="L35">
        <f>EXP(K35)</f>
        <v/>
      </c>
    </row>
    <row r="36">
      <c r="A36" t="n">
        <v>33</v>
      </c>
      <c r="B36">
        <f>A36/Inputs!$B$6</f>
        <v/>
      </c>
      <c r="C36">
        <f>IF(B36&lt;=INDEX(YieldCurve!$A$4:$A$63,1),1,IF(B36&gt;=INDEX(YieldCurve!$A$4:$A$63,ROWS(YieldCurve!$A$4:$A$63)),ROWS(YieldCurve!$A$4:$A$63)-1,MATCH(B36,YieldCurve!$A$4:$A$63,1)))</f>
        <v/>
      </c>
      <c r="D36">
        <f>INDEX(YieldCurve!$A$4:$A$63,C36)</f>
        <v/>
      </c>
      <c r="E36">
        <f>INDEX(YieldCurve!$A$4:$A$63,C36+1)</f>
        <v/>
      </c>
      <c r="F36">
        <f>INDEX(YieldCurve!$B$4:$B$63,C36)</f>
        <v/>
      </c>
      <c r="G36">
        <f>INDEX(YieldCurve!$B$4:$B$63,C36+1)</f>
        <v/>
      </c>
      <c r="H36">
        <f>IF(E36=D36,0,(B36-D36)/(E36-D36))</f>
        <v/>
      </c>
      <c r="I36">
        <f>-(F36+Inputs!$B$9)*D36</f>
        <v/>
      </c>
      <c r="J36">
        <f>-(G36+Inputs!$B$9)*E36</f>
        <v/>
      </c>
      <c r="K36">
        <f>IF(B36&lt;=INDEX(YieldCurve!$A$4:$A$63,1),-(INDEX(YieldCurve!$B$4:$B$63,1)+Inputs!$B$9)*B36,IF(B36&gt;=INDEX(YieldCurve!$A$4:$A$63,ROWS(YieldCurve!$A$4:$A$63)),-(INDEX(YieldCurve!$B$4:$B$63,ROWS(YieldCurve!$B$4:$B$63))+Inputs!$B$9)*B36,I36+H36*(J36-I36)))</f>
        <v/>
      </c>
      <c r="L36">
        <f>EXP(K36)</f>
        <v/>
      </c>
    </row>
    <row r="37">
      <c r="A37" t="n">
        <v>34</v>
      </c>
      <c r="B37">
        <f>A37/Inputs!$B$6</f>
        <v/>
      </c>
      <c r="C37">
        <f>IF(B37&lt;=INDEX(YieldCurve!$A$4:$A$63,1),1,IF(B37&gt;=INDEX(YieldCurve!$A$4:$A$63,ROWS(YieldCurve!$A$4:$A$63)),ROWS(YieldCurve!$A$4:$A$63)-1,MATCH(B37,YieldCurve!$A$4:$A$63,1)))</f>
        <v/>
      </c>
      <c r="D37">
        <f>INDEX(YieldCurve!$A$4:$A$63,C37)</f>
        <v/>
      </c>
      <c r="E37">
        <f>INDEX(YieldCurve!$A$4:$A$63,C37+1)</f>
        <v/>
      </c>
      <c r="F37">
        <f>INDEX(YieldCurve!$B$4:$B$63,C37)</f>
        <v/>
      </c>
      <c r="G37">
        <f>INDEX(YieldCurve!$B$4:$B$63,C37+1)</f>
        <v/>
      </c>
      <c r="H37">
        <f>IF(E37=D37,0,(B37-D37)/(E37-D37))</f>
        <v/>
      </c>
      <c r="I37">
        <f>-(F37+Inputs!$B$9)*D37</f>
        <v/>
      </c>
      <c r="J37">
        <f>-(G37+Inputs!$B$9)*E37</f>
        <v/>
      </c>
      <c r="K37">
        <f>IF(B37&lt;=INDEX(YieldCurve!$A$4:$A$63,1),-(INDEX(YieldCurve!$B$4:$B$63,1)+Inputs!$B$9)*B37,IF(B37&gt;=INDEX(YieldCurve!$A$4:$A$63,ROWS(YieldCurve!$A$4:$A$63)),-(INDEX(YieldCurve!$B$4:$B$63,ROWS(YieldCurve!$B$4:$B$63))+Inputs!$B$9)*B37,I37+H37*(J37-I37)))</f>
        <v/>
      </c>
      <c r="L37">
        <f>EXP(K37)</f>
        <v/>
      </c>
    </row>
    <row r="38">
      <c r="A38" t="n">
        <v>35</v>
      </c>
      <c r="B38">
        <f>A38/Inputs!$B$6</f>
        <v/>
      </c>
      <c r="C38">
        <f>IF(B38&lt;=INDEX(YieldCurve!$A$4:$A$63,1),1,IF(B38&gt;=INDEX(YieldCurve!$A$4:$A$63,ROWS(YieldCurve!$A$4:$A$63)),ROWS(YieldCurve!$A$4:$A$63)-1,MATCH(B38,YieldCurve!$A$4:$A$63,1)))</f>
        <v/>
      </c>
      <c r="D38">
        <f>INDEX(YieldCurve!$A$4:$A$63,C38)</f>
        <v/>
      </c>
      <c r="E38">
        <f>INDEX(YieldCurve!$A$4:$A$63,C38+1)</f>
        <v/>
      </c>
      <c r="F38">
        <f>INDEX(YieldCurve!$B$4:$B$63,C38)</f>
        <v/>
      </c>
      <c r="G38">
        <f>INDEX(YieldCurve!$B$4:$B$63,C38+1)</f>
        <v/>
      </c>
      <c r="H38">
        <f>IF(E38=D38,0,(B38-D38)/(E38-D38))</f>
        <v/>
      </c>
      <c r="I38">
        <f>-(F38+Inputs!$B$9)*D38</f>
        <v/>
      </c>
      <c r="J38">
        <f>-(G38+Inputs!$B$9)*E38</f>
        <v/>
      </c>
      <c r="K38">
        <f>IF(B38&lt;=INDEX(YieldCurve!$A$4:$A$63,1),-(INDEX(YieldCurve!$B$4:$B$63,1)+Inputs!$B$9)*B38,IF(B38&gt;=INDEX(YieldCurve!$A$4:$A$63,ROWS(YieldCurve!$A$4:$A$63)),-(INDEX(YieldCurve!$B$4:$B$63,ROWS(YieldCurve!$B$4:$B$63))+Inputs!$B$9)*B38,I38+H38*(J38-I38)))</f>
        <v/>
      </c>
      <c r="L38">
        <f>EXP(K38)</f>
        <v/>
      </c>
    </row>
    <row r="39">
      <c r="A39" t="n">
        <v>36</v>
      </c>
      <c r="B39">
        <f>A39/Inputs!$B$6</f>
        <v/>
      </c>
      <c r="C39">
        <f>IF(B39&lt;=INDEX(YieldCurve!$A$4:$A$63,1),1,IF(B39&gt;=INDEX(YieldCurve!$A$4:$A$63,ROWS(YieldCurve!$A$4:$A$63)),ROWS(YieldCurve!$A$4:$A$63)-1,MATCH(B39,YieldCurve!$A$4:$A$63,1)))</f>
        <v/>
      </c>
      <c r="D39">
        <f>INDEX(YieldCurve!$A$4:$A$63,C39)</f>
        <v/>
      </c>
      <c r="E39">
        <f>INDEX(YieldCurve!$A$4:$A$63,C39+1)</f>
        <v/>
      </c>
      <c r="F39">
        <f>INDEX(YieldCurve!$B$4:$B$63,C39)</f>
        <v/>
      </c>
      <c r="G39">
        <f>INDEX(YieldCurve!$B$4:$B$63,C39+1)</f>
        <v/>
      </c>
      <c r="H39">
        <f>IF(E39=D39,0,(B39-D39)/(E39-D39))</f>
        <v/>
      </c>
      <c r="I39">
        <f>-(F39+Inputs!$B$9)*D39</f>
        <v/>
      </c>
      <c r="J39">
        <f>-(G39+Inputs!$B$9)*E39</f>
        <v/>
      </c>
      <c r="K39">
        <f>IF(B39&lt;=INDEX(YieldCurve!$A$4:$A$63,1),-(INDEX(YieldCurve!$B$4:$B$63,1)+Inputs!$B$9)*B39,IF(B39&gt;=INDEX(YieldCurve!$A$4:$A$63,ROWS(YieldCurve!$A$4:$A$63)),-(INDEX(YieldCurve!$B$4:$B$63,ROWS(YieldCurve!$B$4:$B$63))+Inputs!$B$9)*B39,I39+H39*(J39-I39)))</f>
        <v/>
      </c>
      <c r="L39">
        <f>EXP(K39)</f>
        <v/>
      </c>
    </row>
    <row r="40">
      <c r="A40" t="n">
        <v>37</v>
      </c>
      <c r="B40">
        <f>A40/Inputs!$B$6</f>
        <v/>
      </c>
      <c r="C40">
        <f>IF(B40&lt;=INDEX(YieldCurve!$A$4:$A$63,1),1,IF(B40&gt;=INDEX(YieldCurve!$A$4:$A$63,ROWS(YieldCurve!$A$4:$A$63)),ROWS(YieldCurve!$A$4:$A$63)-1,MATCH(B40,YieldCurve!$A$4:$A$63,1)))</f>
        <v/>
      </c>
      <c r="D40">
        <f>INDEX(YieldCurve!$A$4:$A$63,C40)</f>
        <v/>
      </c>
      <c r="E40">
        <f>INDEX(YieldCurve!$A$4:$A$63,C40+1)</f>
        <v/>
      </c>
      <c r="F40">
        <f>INDEX(YieldCurve!$B$4:$B$63,C40)</f>
        <v/>
      </c>
      <c r="G40">
        <f>INDEX(YieldCurve!$B$4:$B$63,C40+1)</f>
        <v/>
      </c>
      <c r="H40">
        <f>IF(E40=D40,0,(B40-D40)/(E40-D40))</f>
        <v/>
      </c>
      <c r="I40">
        <f>-(F40+Inputs!$B$9)*D40</f>
        <v/>
      </c>
      <c r="J40">
        <f>-(G40+Inputs!$B$9)*E40</f>
        <v/>
      </c>
      <c r="K40">
        <f>IF(B40&lt;=INDEX(YieldCurve!$A$4:$A$63,1),-(INDEX(YieldCurve!$B$4:$B$63,1)+Inputs!$B$9)*B40,IF(B40&gt;=INDEX(YieldCurve!$A$4:$A$63,ROWS(YieldCurve!$A$4:$A$63)),-(INDEX(YieldCurve!$B$4:$B$63,ROWS(YieldCurve!$B$4:$B$63))+Inputs!$B$9)*B40,I40+H40*(J40-I40)))</f>
        <v/>
      </c>
      <c r="L40">
        <f>EXP(K40)</f>
        <v/>
      </c>
    </row>
    <row r="41">
      <c r="A41" t="n">
        <v>38</v>
      </c>
      <c r="B41">
        <f>A41/Inputs!$B$6</f>
        <v/>
      </c>
      <c r="C41">
        <f>IF(B41&lt;=INDEX(YieldCurve!$A$4:$A$63,1),1,IF(B41&gt;=INDEX(YieldCurve!$A$4:$A$63,ROWS(YieldCurve!$A$4:$A$63)),ROWS(YieldCurve!$A$4:$A$63)-1,MATCH(B41,YieldCurve!$A$4:$A$63,1)))</f>
        <v/>
      </c>
      <c r="D41">
        <f>INDEX(YieldCurve!$A$4:$A$63,C41)</f>
        <v/>
      </c>
      <c r="E41">
        <f>INDEX(YieldCurve!$A$4:$A$63,C41+1)</f>
        <v/>
      </c>
      <c r="F41">
        <f>INDEX(YieldCurve!$B$4:$B$63,C41)</f>
        <v/>
      </c>
      <c r="G41">
        <f>INDEX(YieldCurve!$B$4:$B$63,C41+1)</f>
        <v/>
      </c>
      <c r="H41">
        <f>IF(E41=D41,0,(B41-D41)/(E41-D41))</f>
        <v/>
      </c>
      <c r="I41">
        <f>-(F41+Inputs!$B$9)*D41</f>
        <v/>
      </c>
      <c r="J41">
        <f>-(G41+Inputs!$B$9)*E41</f>
        <v/>
      </c>
      <c r="K41">
        <f>IF(B41&lt;=INDEX(YieldCurve!$A$4:$A$63,1),-(INDEX(YieldCurve!$B$4:$B$63,1)+Inputs!$B$9)*B41,IF(B41&gt;=INDEX(YieldCurve!$A$4:$A$63,ROWS(YieldCurve!$A$4:$A$63)),-(INDEX(YieldCurve!$B$4:$B$63,ROWS(YieldCurve!$B$4:$B$63))+Inputs!$B$9)*B41,I41+H41*(J41-I41)))</f>
        <v/>
      </c>
      <c r="L41">
        <f>EXP(K41)</f>
        <v/>
      </c>
    </row>
    <row r="42">
      <c r="A42" t="n">
        <v>39</v>
      </c>
      <c r="B42">
        <f>A42/Inputs!$B$6</f>
        <v/>
      </c>
      <c r="C42">
        <f>IF(B42&lt;=INDEX(YieldCurve!$A$4:$A$63,1),1,IF(B42&gt;=INDEX(YieldCurve!$A$4:$A$63,ROWS(YieldCurve!$A$4:$A$63)),ROWS(YieldCurve!$A$4:$A$63)-1,MATCH(B42,YieldCurve!$A$4:$A$63,1)))</f>
        <v/>
      </c>
      <c r="D42">
        <f>INDEX(YieldCurve!$A$4:$A$63,C42)</f>
        <v/>
      </c>
      <c r="E42">
        <f>INDEX(YieldCurve!$A$4:$A$63,C42+1)</f>
        <v/>
      </c>
      <c r="F42">
        <f>INDEX(YieldCurve!$B$4:$B$63,C42)</f>
        <v/>
      </c>
      <c r="G42">
        <f>INDEX(YieldCurve!$B$4:$B$63,C42+1)</f>
        <v/>
      </c>
      <c r="H42">
        <f>IF(E42=D42,0,(B42-D42)/(E42-D42))</f>
        <v/>
      </c>
      <c r="I42">
        <f>-(F42+Inputs!$B$9)*D42</f>
        <v/>
      </c>
      <c r="J42">
        <f>-(G42+Inputs!$B$9)*E42</f>
        <v/>
      </c>
      <c r="K42">
        <f>IF(B42&lt;=INDEX(YieldCurve!$A$4:$A$63,1),-(INDEX(YieldCurve!$B$4:$B$63,1)+Inputs!$B$9)*B42,IF(B42&gt;=INDEX(YieldCurve!$A$4:$A$63,ROWS(YieldCurve!$A$4:$A$63)),-(INDEX(YieldCurve!$B$4:$B$63,ROWS(YieldCurve!$B$4:$B$63))+Inputs!$B$9)*B42,I42+H42*(J42-I42)))</f>
        <v/>
      </c>
      <c r="L42">
        <f>EXP(K42)</f>
        <v/>
      </c>
    </row>
    <row r="43">
      <c r="A43" t="n">
        <v>40</v>
      </c>
      <c r="B43">
        <f>A43/Inputs!$B$6</f>
        <v/>
      </c>
      <c r="C43">
        <f>IF(B43&lt;=INDEX(YieldCurve!$A$4:$A$63,1),1,IF(B43&gt;=INDEX(YieldCurve!$A$4:$A$63,ROWS(YieldCurve!$A$4:$A$63)),ROWS(YieldCurve!$A$4:$A$63)-1,MATCH(B43,YieldCurve!$A$4:$A$63,1)))</f>
        <v/>
      </c>
      <c r="D43">
        <f>INDEX(YieldCurve!$A$4:$A$63,C43)</f>
        <v/>
      </c>
      <c r="E43">
        <f>INDEX(YieldCurve!$A$4:$A$63,C43+1)</f>
        <v/>
      </c>
      <c r="F43">
        <f>INDEX(YieldCurve!$B$4:$B$63,C43)</f>
        <v/>
      </c>
      <c r="G43">
        <f>INDEX(YieldCurve!$B$4:$B$63,C43+1)</f>
        <v/>
      </c>
      <c r="H43">
        <f>IF(E43=D43,0,(B43-D43)/(E43-D43))</f>
        <v/>
      </c>
      <c r="I43">
        <f>-(F43+Inputs!$B$9)*D43</f>
        <v/>
      </c>
      <c r="J43">
        <f>-(G43+Inputs!$B$9)*E43</f>
        <v/>
      </c>
      <c r="K43">
        <f>IF(B43&lt;=INDEX(YieldCurve!$A$4:$A$63,1),-(INDEX(YieldCurve!$B$4:$B$63,1)+Inputs!$B$9)*B43,IF(B43&gt;=INDEX(YieldCurve!$A$4:$A$63,ROWS(YieldCurve!$A$4:$A$63)),-(INDEX(YieldCurve!$B$4:$B$63,ROWS(YieldCurve!$B$4:$B$63))+Inputs!$B$9)*B43,I43+H43*(J43-I43)))</f>
        <v/>
      </c>
      <c r="L43">
        <f>EXP(K43)</f>
        <v/>
      </c>
    </row>
    <row r="44">
      <c r="A44" t="n">
        <v>41</v>
      </c>
      <c r="B44">
        <f>A44/Inputs!$B$6</f>
        <v/>
      </c>
      <c r="C44">
        <f>IF(B44&lt;=INDEX(YieldCurve!$A$4:$A$63,1),1,IF(B44&gt;=INDEX(YieldCurve!$A$4:$A$63,ROWS(YieldCurve!$A$4:$A$63)),ROWS(YieldCurve!$A$4:$A$63)-1,MATCH(B44,YieldCurve!$A$4:$A$63,1)))</f>
        <v/>
      </c>
      <c r="D44">
        <f>INDEX(YieldCurve!$A$4:$A$63,C44)</f>
        <v/>
      </c>
      <c r="E44">
        <f>INDEX(YieldCurve!$A$4:$A$63,C44+1)</f>
        <v/>
      </c>
      <c r="F44">
        <f>INDEX(YieldCurve!$B$4:$B$63,C44)</f>
        <v/>
      </c>
      <c r="G44">
        <f>INDEX(YieldCurve!$B$4:$B$63,C44+1)</f>
        <v/>
      </c>
      <c r="H44">
        <f>IF(E44=D44,0,(B44-D44)/(E44-D44))</f>
        <v/>
      </c>
      <c r="I44">
        <f>-(F44+Inputs!$B$9)*D44</f>
        <v/>
      </c>
      <c r="J44">
        <f>-(G44+Inputs!$B$9)*E44</f>
        <v/>
      </c>
      <c r="K44">
        <f>IF(B44&lt;=INDEX(YieldCurve!$A$4:$A$63,1),-(INDEX(YieldCurve!$B$4:$B$63,1)+Inputs!$B$9)*B44,IF(B44&gt;=INDEX(YieldCurve!$A$4:$A$63,ROWS(YieldCurve!$A$4:$A$63)),-(INDEX(YieldCurve!$B$4:$B$63,ROWS(YieldCurve!$B$4:$B$63))+Inputs!$B$9)*B44,I44+H44*(J44-I44)))</f>
        <v/>
      </c>
      <c r="L44">
        <f>EXP(K44)</f>
        <v/>
      </c>
    </row>
    <row r="45">
      <c r="A45" t="n">
        <v>42</v>
      </c>
      <c r="B45">
        <f>A45/Inputs!$B$6</f>
        <v/>
      </c>
      <c r="C45">
        <f>IF(B45&lt;=INDEX(YieldCurve!$A$4:$A$63,1),1,IF(B45&gt;=INDEX(YieldCurve!$A$4:$A$63,ROWS(YieldCurve!$A$4:$A$63)),ROWS(YieldCurve!$A$4:$A$63)-1,MATCH(B45,YieldCurve!$A$4:$A$63,1)))</f>
        <v/>
      </c>
      <c r="D45">
        <f>INDEX(YieldCurve!$A$4:$A$63,C45)</f>
        <v/>
      </c>
      <c r="E45">
        <f>INDEX(YieldCurve!$A$4:$A$63,C45+1)</f>
        <v/>
      </c>
      <c r="F45">
        <f>INDEX(YieldCurve!$B$4:$B$63,C45)</f>
        <v/>
      </c>
      <c r="G45">
        <f>INDEX(YieldCurve!$B$4:$B$63,C45+1)</f>
        <v/>
      </c>
      <c r="H45">
        <f>IF(E45=D45,0,(B45-D45)/(E45-D45))</f>
        <v/>
      </c>
      <c r="I45">
        <f>-(F45+Inputs!$B$9)*D45</f>
        <v/>
      </c>
      <c r="J45">
        <f>-(G45+Inputs!$B$9)*E45</f>
        <v/>
      </c>
      <c r="K45">
        <f>IF(B45&lt;=INDEX(YieldCurve!$A$4:$A$63,1),-(INDEX(YieldCurve!$B$4:$B$63,1)+Inputs!$B$9)*B45,IF(B45&gt;=INDEX(YieldCurve!$A$4:$A$63,ROWS(YieldCurve!$A$4:$A$63)),-(INDEX(YieldCurve!$B$4:$B$63,ROWS(YieldCurve!$B$4:$B$63))+Inputs!$B$9)*B45,I45+H45*(J45-I45)))</f>
        <v/>
      </c>
      <c r="L45">
        <f>EXP(K45)</f>
        <v/>
      </c>
    </row>
    <row r="46">
      <c r="A46" t="n">
        <v>43</v>
      </c>
      <c r="B46">
        <f>A46/Inputs!$B$6</f>
        <v/>
      </c>
      <c r="C46">
        <f>IF(B46&lt;=INDEX(YieldCurve!$A$4:$A$63,1),1,IF(B46&gt;=INDEX(YieldCurve!$A$4:$A$63,ROWS(YieldCurve!$A$4:$A$63)),ROWS(YieldCurve!$A$4:$A$63)-1,MATCH(B46,YieldCurve!$A$4:$A$63,1)))</f>
        <v/>
      </c>
      <c r="D46">
        <f>INDEX(YieldCurve!$A$4:$A$63,C46)</f>
        <v/>
      </c>
      <c r="E46">
        <f>INDEX(YieldCurve!$A$4:$A$63,C46+1)</f>
        <v/>
      </c>
      <c r="F46">
        <f>INDEX(YieldCurve!$B$4:$B$63,C46)</f>
        <v/>
      </c>
      <c r="G46">
        <f>INDEX(YieldCurve!$B$4:$B$63,C46+1)</f>
        <v/>
      </c>
      <c r="H46">
        <f>IF(E46=D46,0,(B46-D46)/(E46-D46))</f>
        <v/>
      </c>
      <c r="I46">
        <f>-(F46+Inputs!$B$9)*D46</f>
        <v/>
      </c>
      <c r="J46">
        <f>-(G46+Inputs!$B$9)*E46</f>
        <v/>
      </c>
      <c r="K46">
        <f>IF(B46&lt;=INDEX(YieldCurve!$A$4:$A$63,1),-(INDEX(YieldCurve!$B$4:$B$63,1)+Inputs!$B$9)*B46,IF(B46&gt;=INDEX(YieldCurve!$A$4:$A$63,ROWS(YieldCurve!$A$4:$A$63)),-(INDEX(YieldCurve!$B$4:$B$63,ROWS(YieldCurve!$B$4:$B$63))+Inputs!$B$9)*B46,I46+H46*(J46-I46)))</f>
        <v/>
      </c>
      <c r="L46">
        <f>EXP(K46)</f>
        <v/>
      </c>
    </row>
    <row r="47">
      <c r="A47" t="n">
        <v>44</v>
      </c>
      <c r="B47">
        <f>A47/Inputs!$B$6</f>
        <v/>
      </c>
      <c r="C47">
        <f>IF(B47&lt;=INDEX(YieldCurve!$A$4:$A$63,1),1,IF(B47&gt;=INDEX(YieldCurve!$A$4:$A$63,ROWS(YieldCurve!$A$4:$A$63)),ROWS(YieldCurve!$A$4:$A$63)-1,MATCH(B47,YieldCurve!$A$4:$A$63,1)))</f>
        <v/>
      </c>
      <c r="D47">
        <f>INDEX(YieldCurve!$A$4:$A$63,C47)</f>
        <v/>
      </c>
      <c r="E47">
        <f>INDEX(YieldCurve!$A$4:$A$63,C47+1)</f>
        <v/>
      </c>
      <c r="F47">
        <f>INDEX(YieldCurve!$B$4:$B$63,C47)</f>
        <v/>
      </c>
      <c r="G47">
        <f>INDEX(YieldCurve!$B$4:$B$63,C47+1)</f>
        <v/>
      </c>
      <c r="H47">
        <f>IF(E47=D47,0,(B47-D47)/(E47-D47))</f>
        <v/>
      </c>
      <c r="I47">
        <f>-(F47+Inputs!$B$9)*D47</f>
        <v/>
      </c>
      <c r="J47">
        <f>-(G47+Inputs!$B$9)*E47</f>
        <v/>
      </c>
      <c r="K47">
        <f>IF(B47&lt;=INDEX(YieldCurve!$A$4:$A$63,1),-(INDEX(YieldCurve!$B$4:$B$63,1)+Inputs!$B$9)*B47,IF(B47&gt;=INDEX(YieldCurve!$A$4:$A$63,ROWS(YieldCurve!$A$4:$A$63)),-(INDEX(YieldCurve!$B$4:$B$63,ROWS(YieldCurve!$B$4:$B$63))+Inputs!$B$9)*B47,I47+H47*(J47-I47)))</f>
        <v/>
      </c>
      <c r="L47">
        <f>EXP(K47)</f>
        <v/>
      </c>
    </row>
    <row r="48">
      <c r="A48" t="n">
        <v>45</v>
      </c>
      <c r="B48">
        <f>A48/Inputs!$B$6</f>
        <v/>
      </c>
      <c r="C48">
        <f>IF(B48&lt;=INDEX(YieldCurve!$A$4:$A$63,1),1,IF(B48&gt;=INDEX(YieldCurve!$A$4:$A$63,ROWS(YieldCurve!$A$4:$A$63)),ROWS(YieldCurve!$A$4:$A$63)-1,MATCH(B48,YieldCurve!$A$4:$A$63,1)))</f>
        <v/>
      </c>
      <c r="D48">
        <f>INDEX(YieldCurve!$A$4:$A$63,C48)</f>
        <v/>
      </c>
      <c r="E48">
        <f>INDEX(YieldCurve!$A$4:$A$63,C48+1)</f>
        <v/>
      </c>
      <c r="F48">
        <f>INDEX(YieldCurve!$B$4:$B$63,C48)</f>
        <v/>
      </c>
      <c r="G48">
        <f>INDEX(YieldCurve!$B$4:$B$63,C48+1)</f>
        <v/>
      </c>
      <c r="H48">
        <f>IF(E48=D48,0,(B48-D48)/(E48-D48))</f>
        <v/>
      </c>
      <c r="I48">
        <f>-(F48+Inputs!$B$9)*D48</f>
        <v/>
      </c>
      <c r="J48">
        <f>-(G48+Inputs!$B$9)*E48</f>
        <v/>
      </c>
      <c r="K48">
        <f>IF(B48&lt;=INDEX(YieldCurve!$A$4:$A$63,1),-(INDEX(YieldCurve!$B$4:$B$63,1)+Inputs!$B$9)*B48,IF(B48&gt;=INDEX(YieldCurve!$A$4:$A$63,ROWS(YieldCurve!$A$4:$A$63)),-(INDEX(YieldCurve!$B$4:$B$63,ROWS(YieldCurve!$B$4:$B$63))+Inputs!$B$9)*B48,I48+H48*(J48-I48)))</f>
        <v/>
      </c>
      <c r="L48">
        <f>EXP(K48)</f>
        <v/>
      </c>
    </row>
    <row r="49">
      <c r="A49" t="n">
        <v>46</v>
      </c>
      <c r="B49">
        <f>A49/Inputs!$B$6</f>
        <v/>
      </c>
      <c r="C49">
        <f>IF(B49&lt;=INDEX(YieldCurve!$A$4:$A$63,1),1,IF(B49&gt;=INDEX(YieldCurve!$A$4:$A$63,ROWS(YieldCurve!$A$4:$A$63)),ROWS(YieldCurve!$A$4:$A$63)-1,MATCH(B49,YieldCurve!$A$4:$A$63,1)))</f>
        <v/>
      </c>
      <c r="D49">
        <f>INDEX(YieldCurve!$A$4:$A$63,C49)</f>
        <v/>
      </c>
      <c r="E49">
        <f>INDEX(YieldCurve!$A$4:$A$63,C49+1)</f>
        <v/>
      </c>
      <c r="F49">
        <f>INDEX(YieldCurve!$B$4:$B$63,C49)</f>
        <v/>
      </c>
      <c r="G49">
        <f>INDEX(YieldCurve!$B$4:$B$63,C49+1)</f>
        <v/>
      </c>
      <c r="H49">
        <f>IF(E49=D49,0,(B49-D49)/(E49-D49))</f>
        <v/>
      </c>
      <c r="I49">
        <f>-(F49+Inputs!$B$9)*D49</f>
        <v/>
      </c>
      <c r="J49">
        <f>-(G49+Inputs!$B$9)*E49</f>
        <v/>
      </c>
      <c r="K49">
        <f>IF(B49&lt;=INDEX(YieldCurve!$A$4:$A$63,1),-(INDEX(YieldCurve!$B$4:$B$63,1)+Inputs!$B$9)*B49,IF(B49&gt;=INDEX(YieldCurve!$A$4:$A$63,ROWS(YieldCurve!$A$4:$A$63)),-(INDEX(YieldCurve!$B$4:$B$63,ROWS(YieldCurve!$B$4:$B$63))+Inputs!$B$9)*B49,I49+H49*(J49-I49)))</f>
        <v/>
      </c>
      <c r="L49">
        <f>EXP(K49)</f>
        <v/>
      </c>
    </row>
    <row r="50">
      <c r="A50" t="n">
        <v>47</v>
      </c>
      <c r="B50">
        <f>A50/Inputs!$B$6</f>
        <v/>
      </c>
      <c r="C50">
        <f>IF(B50&lt;=INDEX(YieldCurve!$A$4:$A$63,1),1,IF(B50&gt;=INDEX(YieldCurve!$A$4:$A$63,ROWS(YieldCurve!$A$4:$A$63)),ROWS(YieldCurve!$A$4:$A$63)-1,MATCH(B50,YieldCurve!$A$4:$A$63,1)))</f>
        <v/>
      </c>
      <c r="D50">
        <f>INDEX(YieldCurve!$A$4:$A$63,C50)</f>
        <v/>
      </c>
      <c r="E50">
        <f>INDEX(YieldCurve!$A$4:$A$63,C50+1)</f>
        <v/>
      </c>
      <c r="F50">
        <f>INDEX(YieldCurve!$B$4:$B$63,C50)</f>
        <v/>
      </c>
      <c r="G50">
        <f>INDEX(YieldCurve!$B$4:$B$63,C50+1)</f>
        <v/>
      </c>
      <c r="H50">
        <f>IF(E50=D50,0,(B50-D50)/(E50-D50))</f>
        <v/>
      </c>
      <c r="I50">
        <f>-(F50+Inputs!$B$9)*D50</f>
        <v/>
      </c>
      <c r="J50">
        <f>-(G50+Inputs!$B$9)*E50</f>
        <v/>
      </c>
      <c r="K50">
        <f>IF(B50&lt;=INDEX(YieldCurve!$A$4:$A$63,1),-(INDEX(YieldCurve!$B$4:$B$63,1)+Inputs!$B$9)*B50,IF(B50&gt;=INDEX(YieldCurve!$A$4:$A$63,ROWS(YieldCurve!$A$4:$A$63)),-(INDEX(YieldCurve!$B$4:$B$63,ROWS(YieldCurve!$B$4:$B$63))+Inputs!$B$9)*B50,I50+H50*(J50-I50)))</f>
        <v/>
      </c>
      <c r="L50">
        <f>EXP(K50)</f>
        <v/>
      </c>
    </row>
    <row r="51">
      <c r="A51" t="n">
        <v>48</v>
      </c>
      <c r="B51">
        <f>A51/Inputs!$B$6</f>
        <v/>
      </c>
      <c r="C51">
        <f>IF(B51&lt;=INDEX(YieldCurve!$A$4:$A$63,1),1,IF(B51&gt;=INDEX(YieldCurve!$A$4:$A$63,ROWS(YieldCurve!$A$4:$A$63)),ROWS(YieldCurve!$A$4:$A$63)-1,MATCH(B51,YieldCurve!$A$4:$A$63,1)))</f>
        <v/>
      </c>
      <c r="D51">
        <f>INDEX(YieldCurve!$A$4:$A$63,C51)</f>
        <v/>
      </c>
      <c r="E51">
        <f>INDEX(YieldCurve!$A$4:$A$63,C51+1)</f>
        <v/>
      </c>
      <c r="F51">
        <f>INDEX(YieldCurve!$B$4:$B$63,C51)</f>
        <v/>
      </c>
      <c r="G51">
        <f>INDEX(YieldCurve!$B$4:$B$63,C51+1)</f>
        <v/>
      </c>
      <c r="H51">
        <f>IF(E51=D51,0,(B51-D51)/(E51-D51))</f>
        <v/>
      </c>
      <c r="I51">
        <f>-(F51+Inputs!$B$9)*D51</f>
        <v/>
      </c>
      <c r="J51">
        <f>-(G51+Inputs!$B$9)*E51</f>
        <v/>
      </c>
      <c r="K51">
        <f>IF(B51&lt;=INDEX(YieldCurve!$A$4:$A$63,1),-(INDEX(YieldCurve!$B$4:$B$63,1)+Inputs!$B$9)*B51,IF(B51&gt;=INDEX(YieldCurve!$A$4:$A$63,ROWS(YieldCurve!$A$4:$A$63)),-(INDEX(YieldCurve!$B$4:$B$63,ROWS(YieldCurve!$B$4:$B$63))+Inputs!$B$9)*B51,I51+H51*(J51-I51)))</f>
        <v/>
      </c>
      <c r="L51">
        <f>EXP(K51)</f>
        <v/>
      </c>
    </row>
    <row r="52">
      <c r="A52" t="n">
        <v>49</v>
      </c>
      <c r="B52">
        <f>A52/Inputs!$B$6</f>
        <v/>
      </c>
      <c r="C52">
        <f>IF(B52&lt;=INDEX(YieldCurve!$A$4:$A$63,1),1,IF(B52&gt;=INDEX(YieldCurve!$A$4:$A$63,ROWS(YieldCurve!$A$4:$A$63)),ROWS(YieldCurve!$A$4:$A$63)-1,MATCH(B52,YieldCurve!$A$4:$A$63,1)))</f>
        <v/>
      </c>
      <c r="D52">
        <f>INDEX(YieldCurve!$A$4:$A$63,C52)</f>
        <v/>
      </c>
      <c r="E52">
        <f>INDEX(YieldCurve!$A$4:$A$63,C52+1)</f>
        <v/>
      </c>
      <c r="F52">
        <f>INDEX(YieldCurve!$B$4:$B$63,C52)</f>
        <v/>
      </c>
      <c r="G52">
        <f>INDEX(YieldCurve!$B$4:$B$63,C52+1)</f>
        <v/>
      </c>
      <c r="H52">
        <f>IF(E52=D52,0,(B52-D52)/(E52-D52))</f>
        <v/>
      </c>
      <c r="I52">
        <f>-(F52+Inputs!$B$9)*D52</f>
        <v/>
      </c>
      <c r="J52">
        <f>-(G52+Inputs!$B$9)*E52</f>
        <v/>
      </c>
      <c r="K52">
        <f>IF(B52&lt;=INDEX(YieldCurve!$A$4:$A$63,1),-(INDEX(YieldCurve!$B$4:$B$63,1)+Inputs!$B$9)*B52,IF(B52&gt;=INDEX(YieldCurve!$A$4:$A$63,ROWS(YieldCurve!$A$4:$A$63)),-(INDEX(YieldCurve!$B$4:$B$63,ROWS(YieldCurve!$B$4:$B$63))+Inputs!$B$9)*B52,I52+H52*(J52-I52)))</f>
        <v/>
      </c>
      <c r="L52">
        <f>EXP(K52)</f>
        <v/>
      </c>
    </row>
    <row r="53">
      <c r="A53" t="n">
        <v>50</v>
      </c>
      <c r="B53">
        <f>A53/Inputs!$B$6</f>
        <v/>
      </c>
      <c r="C53">
        <f>IF(B53&lt;=INDEX(YieldCurve!$A$4:$A$63,1),1,IF(B53&gt;=INDEX(YieldCurve!$A$4:$A$63,ROWS(YieldCurve!$A$4:$A$63)),ROWS(YieldCurve!$A$4:$A$63)-1,MATCH(B53,YieldCurve!$A$4:$A$63,1)))</f>
        <v/>
      </c>
      <c r="D53">
        <f>INDEX(YieldCurve!$A$4:$A$63,C53)</f>
        <v/>
      </c>
      <c r="E53">
        <f>INDEX(YieldCurve!$A$4:$A$63,C53+1)</f>
        <v/>
      </c>
      <c r="F53">
        <f>INDEX(YieldCurve!$B$4:$B$63,C53)</f>
        <v/>
      </c>
      <c r="G53">
        <f>INDEX(YieldCurve!$B$4:$B$63,C53+1)</f>
        <v/>
      </c>
      <c r="H53">
        <f>IF(E53=D53,0,(B53-D53)/(E53-D53))</f>
        <v/>
      </c>
      <c r="I53">
        <f>-(F53+Inputs!$B$9)*D53</f>
        <v/>
      </c>
      <c r="J53">
        <f>-(G53+Inputs!$B$9)*E53</f>
        <v/>
      </c>
      <c r="K53">
        <f>IF(B53&lt;=INDEX(YieldCurve!$A$4:$A$63,1),-(INDEX(YieldCurve!$B$4:$B$63,1)+Inputs!$B$9)*B53,IF(B53&gt;=INDEX(YieldCurve!$A$4:$A$63,ROWS(YieldCurve!$A$4:$A$63)),-(INDEX(YieldCurve!$B$4:$B$63,ROWS(YieldCurve!$B$4:$B$63))+Inputs!$B$9)*B53,I53+H53*(J53-I53)))</f>
        <v/>
      </c>
      <c r="L53">
        <f>EXP(K53)</f>
        <v/>
      </c>
    </row>
    <row r="54">
      <c r="A54" t="n">
        <v>51</v>
      </c>
      <c r="B54">
        <f>A54/Inputs!$B$6</f>
        <v/>
      </c>
      <c r="C54">
        <f>IF(B54&lt;=INDEX(YieldCurve!$A$4:$A$63,1),1,IF(B54&gt;=INDEX(YieldCurve!$A$4:$A$63,ROWS(YieldCurve!$A$4:$A$63)),ROWS(YieldCurve!$A$4:$A$63)-1,MATCH(B54,YieldCurve!$A$4:$A$63,1)))</f>
        <v/>
      </c>
      <c r="D54">
        <f>INDEX(YieldCurve!$A$4:$A$63,C54)</f>
        <v/>
      </c>
      <c r="E54">
        <f>INDEX(YieldCurve!$A$4:$A$63,C54+1)</f>
        <v/>
      </c>
      <c r="F54">
        <f>INDEX(YieldCurve!$B$4:$B$63,C54)</f>
        <v/>
      </c>
      <c r="G54">
        <f>INDEX(YieldCurve!$B$4:$B$63,C54+1)</f>
        <v/>
      </c>
      <c r="H54">
        <f>IF(E54=D54,0,(B54-D54)/(E54-D54))</f>
        <v/>
      </c>
      <c r="I54">
        <f>-(F54+Inputs!$B$9)*D54</f>
        <v/>
      </c>
      <c r="J54">
        <f>-(G54+Inputs!$B$9)*E54</f>
        <v/>
      </c>
      <c r="K54">
        <f>IF(B54&lt;=INDEX(YieldCurve!$A$4:$A$63,1),-(INDEX(YieldCurve!$B$4:$B$63,1)+Inputs!$B$9)*B54,IF(B54&gt;=INDEX(YieldCurve!$A$4:$A$63,ROWS(YieldCurve!$A$4:$A$63)),-(INDEX(YieldCurve!$B$4:$B$63,ROWS(YieldCurve!$B$4:$B$63))+Inputs!$B$9)*B54,I54+H54*(J54-I54)))</f>
        <v/>
      </c>
      <c r="L54">
        <f>EXP(K54)</f>
        <v/>
      </c>
    </row>
    <row r="55">
      <c r="A55" t="n">
        <v>52</v>
      </c>
      <c r="B55">
        <f>A55/Inputs!$B$6</f>
        <v/>
      </c>
      <c r="C55">
        <f>IF(B55&lt;=INDEX(YieldCurve!$A$4:$A$63,1),1,IF(B55&gt;=INDEX(YieldCurve!$A$4:$A$63,ROWS(YieldCurve!$A$4:$A$63)),ROWS(YieldCurve!$A$4:$A$63)-1,MATCH(B55,YieldCurve!$A$4:$A$63,1)))</f>
        <v/>
      </c>
      <c r="D55">
        <f>INDEX(YieldCurve!$A$4:$A$63,C55)</f>
        <v/>
      </c>
      <c r="E55">
        <f>INDEX(YieldCurve!$A$4:$A$63,C55+1)</f>
        <v/>
      </c>
      <c r="F55">
        <f>INDEX(YieldCurve!$B$4:$B$63,C55)</f>
        <v/>
      </c>
      <c r="G55">
        <f>INDEX(YieldCurve!$B$4:$B$63,C55+1)</f>
        <v/>
      </c>
      <c r="H55">
        <f>IF(E55=D55,0,(B55-D55)/(E55-D55))</f>
        <v/>
      </c>
      <c r="I55">
        <f>-(F55+Inputs!$B$9)*D55</f>
        <v/>
      </c>
      <c r="J55">
        <f>-(G55+Inputs!$B$9)*E55</f>
        <v/>
      </c>
      <c r="K55">
        <f>IF(B55&lt;=INDEX(YieldCurve!$A$4:$A$63,1),-(INDEX(YieldCurve!$B$4:$B$63,1)+Inputs!$B$9)*B55,IF(B55&gt;=INDEX(YieldCurve!$A$4:$A$63,ROWS(YieldCurve!$A$4:$A$63)),-(INDEX(YieldCurve!$B$4:$B$63,ROWS(YieldCurve!$B$4:$B$63))+Inputs!$B$9)*B55,I55+H55*(J55-I55)))</f>
        <v/>
      </c>
      <c r="L55">
        <f>EXP(K55)</f>
        <v/>
      </c>
    </row>
    <row r="56">
      <c r="A56" t="n">
        <v>53</v>
      </c>
      <c r="B56">
        <f>A56/Inputs!$B$6</f>
        <v/>
      </c>
      <c r="C56">
        <f>IF(B56&lt;=INDEX(YieldCurve!$A$4:$A$63,1),1,IF(B56&gt;=INDEX(YieldCurve!$A$4:$A$63,ROWS(YieldCurve!$A$4:$A$63)),ROWS(YieldCurve!$A$4:$A$63)-1,MATCH(B56,YieldCurve!$A$4:$A$63,1)))</f>
        <v/>
      </c>
      <c r="D56">
        <f>INDEX(YieldCurve!$A$4:$A$63,C56)</f>
        <v/>
      </c>
      <c r="E56">
        <f>INDEX(YieldCurve!$A$4:$A$63,C56+1)</f>
        <v/>
      </c>
      <c r="F56">
        <f>INDEX(YieldCurve!$B$4:$B$63,C56)</f>
        <v/>
      </c>
      <c r="G56">
        <f>INDEX(YieldCurve!$B$4:$B$63,C56+1)</f>
        <v/>
      </c>
      <c r="H56">
        <f>IF(E56=D56,0,(B56-D56)/(E56-D56))</f>
        <v/>
      </c>
      <c r="I56">
        <f>-(F56+Inputs!$B$9)*D56</f>
        <v/>
      </c>
      <c r="J56">
        <f>-(G56+Inputs!$B$9)*E56</f>
        <v/>
      </c>
      <c r="K56">
        <f>IF(B56&lt;=INDEX(YieldCurve!$A$4:$A$63,1),-(INDEX(YieldCurve!$B$4:$B$63,1)+Inputs!$B$9)*B56,IF(B56&gt;=INDEX(YieldCurve!$A$4:$A$63,ROWS(YieldCurve!$A$4:$A$63)),-(INDEX(YieldCurve!$B$4:$B$63,ROWS(YieldCurve!$B$4:$B$63))+Inputs!$B$9)*B56,I56+H56*(J56-I56)))</f>
        <v/>
      </c>
      <c r="L56">
        <f>EXP(K56)</f>
        <v/>
      </c>
    </row>
    <row r="57">
      <c r="A57" t="n">
        <v>54</v>
      </c>
      <c r="B57">
        <f>A57/Inputs!$B$6</f>
        <v/>
      </c>
      <c r="C57">
        <f>IF(B57&lt;=INDEX(YieldCurve!$A$4:$A$63,1),1,IF(B57&gt;=INDEX(YieldCurve!$A$4:$A$63,ROWS(YieldCurve!$A$4:$A$63)),ROWS(YieldCurve!$A$4:$A$63)-1,MATCH(B57,YieldCurve!$A$4:$A$63,1)))</f>
        <v/>
      </c>
      <c r="D57">
        <f>INDEX(YieldCurve!$A$4:$A$63,C57)</f>
        <v/>
      </c>
      <c r="E57">
        <f>INDEX(YieldCurve!$A$4:$A$63,C57+1)</f>
        <v/>
      </c>
      <c r="F57">
        <f>INDEX(YieldCurve!$B$4:$B$63,C57)</f>
        <v/>
      </c>
      <c r="G57">
        <f>INDEX(YieldCurve!$B$4:$B$63,C57+1)</f>
        <v/>
      </c>
      <c r="H57">
        <f>IF(E57=D57,0,(B57-D57)/(E57-D57))</f>
        <v/>
      </c>
      <c r="I57">
        <f>-(F57+Inputs!$B$9)*D57</f>
        <v/>
      </c>
      <c r="J57">
        <f>-(G57+Inputs!$B$9)*E57</f>
        <v/>
      </c>
      <c r="K57">
        <f>IF(B57&lt;=INDEX(YieldCurve!$A$4:$A$63,1),-(INDEX(YieldCurve!$B$4:$B$63,1)+Inputs!$B$9)*B57,IF(B57&gt;=INDEX(YieldCurve!$A$4:$A$63,ROWS(YieldCurve!$A$4:$A$63)),-(INDEX(YieldCurve!$B$4:$B$63,ROWS(YieldCurve!$B$4:$B$63))+Inputs!$B$9)*B57,I57+H57*(J57-I57)))</f>
        <v/>
      </c>
      <c r="L57">
        <f>EXP(K57)</f>
        <v/>
      </c>
    </row>
    <row r="58">
      <c r="A58" t="n">
        <v>55</v>
      </c>
      <c r="B58">
        <f>A58/Inputs!$B$6</f>
        <v/>
      </c>
      <c r="C58">
        <f>IF(B58&lt;=INDEX(YieldCurve!$A$4:$A$63,1),1,IF(B58&gt;=INDEX(YieldCurve!$A$4:$A$63,ROWS(YieldCurve!$A$4:$A$63)),ROWS(YieldCurve!$A$4:$A$63)-1,MATCH(B58,YieldCurve!$A$4:$A$63,1)))</f>
        <v/>
      </c>
      <c r="D58">
        <f>INDEX(YieldCurve!$A$4:$A$63,C58)</f>
        <v/>
      </c>
      <c r="E58">
        <f>INDEX(YieldCurve!$A$4:$A$63,C58+1)</f>
        <v/>
      </c>
      <c r="F58">
        <f>INDEX(YieldCurve!$B$4:$B$63,C58)</f>
        <v/>
      </c>
      <c r="G58">
        <f>INDEX(YieldCurve!$B$4:$B$63,C58+1)</f>
        <v/>
      </c>
      <c r="H58">
        <f>IF(E58=D58,0,(B58-D58)/(E58-D58))</f>
        <v/>
      </c>
      <c r="I58">
        <f>-(F58+Inputs!$B$9)*D58</f>
        <v/>
      </c>
      <c r="J58">
        <f>-(G58+Inputs!$B$9)*E58</f>
        <v/>
      </c>
      <c r="K58">
        <f>IF(B58&lt;=INDEX(YieldCurve!$A$4:$A$63,1),-(INDEX(YieldCurve!$B$4:$B$63,1)+Inputs!$B$9)*B58,IF(B58&gt;=INDEX(YieldCurve!$A$4:$A$63,ROWS(YieldCurve!$A$4:$A$63)),-(INDEX(YieldCurve!$B$4:$B$63,ROWS(YieldCurve!$B$4:$B$63))+Inputs!$B$9)*B58,I58+H58*(J58-I58)))</f>
        <v/>
      </c>
      <c r="L58">
        <f>EXP(K58)</f>
        <v/>
      </c>
    </row>
    <row r="59">
      <c r="A59" t="n">
        <v>56</v>
      </c>
      <c r="B59">
        <f>A59/Inputs!$B$6</f>
        <v/>
      </c>
      <c r="C59">
        <f>IF(B59&lt;=INDEX(YieldCurve!$A$4:$A$63,1),1,IF(B59&gt;=INDEX(YieldCurve!$A$4:$A$63,ROWS(YieldCurve!$A$4:$A$63)),ROWS(YieldCurve!$A$4:$A$63)-1,MATCH(B59,YieldCurve!$A$4:$A$63,1)))</f>
        <v/>
      </c>
      <c r="D59">
        <f>INDEX(YieldCurve!$A$4:$A$63,C59)</f>
        <v/>
      </c>
      <c r="E59">
        <f>INDEX(YieldCurve!$A$4:$A$63,C59+1)</f>
        <v/>
      </c>
      <c r="F59">
        <f>INDEX(YieldCurve!$B$4:$B$63,C59)</f>
        <v/>
      </c>
      <c r="G59">
        <f>INDEX(YieldCurve!$B$4:$B$63,C59+1)</f>
        <v/>
      </c>
      <c r="H59">
        <f>IF(E59=D59,0,(B59-D59)/(E59-D59))</f>
        <v/>
      </c>
      <c r="I59">
        <f>-(F59+Inputs!$B$9)*D59</f>
        <v/>
      </c>
      <c r="J59">
        <f>-(G59+Inputs!$B$9)*E59</f>
        <v/>
      </c>
      <c r="K59">
        <f>IF(B59&lt;=INDEX(YieldCurve!$A$4:$A$63,1),-(INDEX(YieldCurve!$B$4:$B$63,1)+Inputs!$B$9)*B59,IF(B59&gt;=INDEX(YieldCurve!$A$4:$A$63,ROWS(YieldCurve!$A$4:$A$63)),-(INDEX(YieldCurve!$B$4:$B$63,ROWS(YieldCurve!$B$4:$B$63))+Inputs!$B$9)*B59,I59+H59*(J59-I59)))</f>
        <v/>
      </c>
      <c r="L59">
        <f>EXP(K59)</f>
        <v/>
      </c>
    </row>
    <row r="60">
      <c r="A60" t="n">
        <v>57</v>
      </c>
      <c r="B60">
        <f>A60/Inputs!$B$6</f>
        <v/>
      </c>
      <c r="C60">
        <f>IF(B60&lt;=INDEX(YieldCurve!$A$4:$A$63,1),1,IF(B60&gt;=INDEX(YieldCurve!$A$4:$A$63,ROWS(YieldCurve!$A$4:$A$63)),ROWS(YieldCurve!$A$4:$A$63)-1,MATCH(B60,YieldCurve!$A$4:$A$63,1)))</f>
        <v/>
      </c>
      <c r="D60">
        <f>INDEX(YieldCurve!$A$4:$A$63,C60)</f>
        <v/>
      </c>
      <c r="E60">
        <f>INDEX(YieldCurve!$A$4:$A$63,C60+1)</f>
        <v/>
      </c>
      <c r="F60">
        <f>INDEX(YieldCurve!$B$4:$B$63,C60)</f>
        <v/>
      </c>
      <c r="G60">
        <f>INDEX(YieldCurve!$B$4:$B$63,C60+1)</f>
        <v/>
      </c>
      <c r="H60">
        <f>IF(E60=D60,0,(B60-D60)/(E60-D60))</f>
        <v/>
      </c>
      <c r="I60">
        <f>-(F60+Inputs!$B$9)*D60</f>
        <v/>
      </c>
      <c r="J60">
        <f>-(G60+Inputs!$B$9)*E60</f>
        <v/>
      </c>
      <c r="K60">
        <f>IF(B60&lt;=INDEX(YieldCurve!$A$4:$A$63,1),-(INDEX(YieldCurve!$B$4:$B$63,1)+Inputs!$B$9)*B60,IF(B60&gt;=INDEX(YieldCurve!$A$4:$A$63,ROWS(YieldCurve!$A$4:$A$63)),-(INDEX(YieldCurve!$B$4:$B$63,ROWS(YieldCurve!$B$4:$B$63))+Inputs!$B$9)*B60,I60+H60*(J60-I60)))</f>
        <v/>
      </c>
      <c r="L60">
        <f>EXP(K60)</f>
        <v/>
      </c>
    </row>
    <row r="61">
      <c r="A61" t="n">
        <v>58</v>
      </c>
      <c r="B61">
        <f>A61/Inputs!$B$6</f>
        <v/>
      </c>
      <c r="C61">
        <f>IF(B61&lt;=INDEX(YieldCurve!$A$4:$A$63,1),1,IF(B61&gt;=INDEX(YieldCurve!$A$4:$A$63,ROWS(YieldCurve!$A$4:$A$63)),ROWS(YieldCurve!$A$4:$A$63)-1,MATCH(B61,YieldCurve!$A$4:$A$63,1)))</f>
        <v/>
      </c>
      <c r="D61">
        <f>INDEX(YieldCurve!$A$4:$A$63,C61)</f>
        <v/>
      </c>
      <c r="E61">
        <f>INDEX(YieldCurve!$A$4:$A$63,C61+1)</f>
        <v/>
      </c>
      <c r="F61">
        <f>INDEX(YieldCurve!$B$4:$B$63,C61)</f>
        <v/>
      </c>
      <c r="G61">
        <f>INDEX(YieldCurve!$B$4:$B$63,C61+1)</f>
        <v/>
      </c>
      <c r="H61">
        <f>IF(E61=D61,0,(B61-D61)/(E61-D61))</f>
        <v/>
      </c>
      <c r="I61">
        <f>-(F61+Inputs!$B$9)*D61</f>
        <v/>
      </c>
      <c r="J61">
        <f>-(G61+Inputs!$B$9)*E61</f>
        <v/>
      </c>
      <c r="K61">
        <f>IF(B61&lt;=INDEX(YieldCurve!$A$4:$A$63,1),-(INDEX(YieldCurve!$B$4:$B$63,1)+Inputs!$B$9)*B61,IF(B61&gt;=INDEX(YieldCurve!$A$4:$A$63,ROWS(YieldCurve!$A$4:$A$63)),-(INDEX(YieldCurve!$B$4:$B$63,ROWS(YieldCurve!$B$4:$B$63))+Inputs!$B$9)*B61,I61+H61*(J61-I61)))</f>
        <v/>
      </c>
      <c r="L61">
        <f>EXP(K61)</f>
        <v/>
      </c>
    </row>
    <row r="62">
      <c r="A62" t="n">
        <v>59</v>
      </c>
      <c r="B62">
        <f>A62/Inputs!$B$6</f>
        <v/>
      </c>
      <c r="C62">
        <f>IF(B62&lt;=INDEX(YieldCurve!$A$4:$A$63,1),1,IF(B62&gt;=INDEX(YieldCurve!$A$4:$A$63,ROWS(YieldCurve!$A$4:$A$63)),ROWS(YieldCurve!$A$4:$A$63)-1,MATCH(B62,YieldCurve!$A$4:$A$63,1)))</f>
        <v/>
      </c>
      <c r="D62">
        <f>INDEX(YieldCurve!$A$4:$A$63,C62)</f>
        <v/>
      </c>
      <c r="E62">
        <f>INDEX(YieldCurve!$A$4:$A$63,C62+1)</f>
        <v/>
      </c>
      <c r="F62">
        <f>INDEX(YieldCurve!$B$4:$B$63,C62)</f>
        <v/>
      </c>
      <c r="G62">
        <f>INDEX(YieldCurve!$B$4:$B$63,C62+1)</f>
        <v/>
      </c>
      <c r="H62">
        <f>IF(E62=D62,0,(B62-D62)/(E62-D62))</f>
        <v/>
      </c>
      <c r="I62">
        <f>-(F62+Inputs!$B$9)*D62</f>
        <v/>
      </c>
      <c r="J62">
        <f>-(G62+Inputs!$B$9)*E62</f>
        <v/>
      </c>
      <c r="K62">
        <f>IF(B62&lt;=INDEX(YieldCurve!$A$4:$A$63,1),-(INDEX(YieldCurve!$B$4:$B$63,1)+Inputs!$B$9)*B62,IF(B62&gt;=INDEX(YieldCurve!$A$4:$A$63,ROWS(YieldCurve!$A$4:$A$63)),-(INDEX(YieldCurve!$B$4:$B$63,ROWS(YieldCurve!$B$4:$B$63))+Inputs!$B$9)*B62,I62+H62*(J62-I62)))</f>
        <v/>
      </c>
      <c r="L62">
        <f>EXP(K62)</f>
        <v/>
      </c>
    </row>
    <row r="63">
      <c r="A63" t="n">
        <v>60</v>
      </c>
      <c r="B63">
        <f>A63/Inputs!$B$6</f>
        <v/>
      </c>
      <c r="C63">
        <f>IF(B63&lt;=INDEX(YieldCurve!$A$4:$A$63,1),1,IF(B63&gt;=INDEX(YieldCurve!$A$4:$A$63,ROWS(YieldCurve!$A$4:$A$63)),ROWS(YieldCurve!$A$4:$A$63)-1,MATCH(B63,YieldCurve!$A$4:$A$63,1)))</f>
        <v/>
      </c>
      <c r="D63">
        <f>INDEX(YieldCurve!$A$4:$A$63,C63)</f>
        <v/>
      </c>
      <c r="E63">
        <f>INDEX(YieldCurve!$A$4:$A$63,C63+1)</f>
        <v/>
      </c>
      <c r="F63">
        <f>INDEX(YieldCurve!$B$4:$B$63,C63)</f>
        <v/>
      </c>
      <c r="G63">
        <f>INDEX(YieldCurve!$B$4:$B$63,C63+1)</f>
        <v/>
      </c>
      <c r="H63">
        <f>IF(E63=D63,0,(B63-D63)/(E63-D63))</f>
        <v/>
      </c>
      <c r="I63">
        <f>-(F63+Inputs!$B$9)*D63</f>
        <v/>
      </c>
      <c r="J63">
        <f>-(G63+Inputs!$B$9)*E63</f>
        <v/>
      </c>
      <c r="K63">
        <f>IF(B63&lt;=INDEX(YieldCurve!$A$4:$A$63,1),-(INDEX(YieldCurve!$B$4:$B$63,1)+Inputs!$B$9)*B63,IF(B63&gt;=INDEX(YieldCurve!$A$4:$A$63,ROWS(YieldCurve!$A$4:$A$63)),-(INDEX(YieldCurve!$B$4:$B$63,ROWS(YieldCurve!$B$4:$B$63))+Inputs!$B$9)*B63,I63+H63*(J63-I63)))</f>
        <v/>
      </c>
      <c r="L63">
        <f>EXP(K63)</f>
        <v/>
      </c>
    </row>
    <row r="64">
      <c r="A64" t="n">
        <v>61</v>
      </c>
      <c r="B64">
        <f>A64/Inputs!$B$6</f>
        <v/>
      </c>
      <c r="C64">
        <f>IF(B64&lt;=INDEX(YieldCurve!$A$4:$A$63,1),1,IF(B64&gt;=INDEX(YieldCurve!$A$4:$A$63,ROWS(YieldCurve!$A$4:$A$63)),ROWS(YieldCurve!$A$4:$A$63)-1,MATCH(B64,YieldCurve!$A$4:$A$63,1)))</f>
        <v/>
      </c>
      <c r="D64">
        <f>INDEX(YieldCurve!$A$4:$A$63,C64)</f>
        <v/>
      </c>
      <c r="E64">
        <f>INDEX(YieldCurve!$A$4:$A$63,C64+1)</f>
        <v/>
      </c>
      <c r="F64">
        <f>INDEX(YieldCurve!$B$4:$B$63,C64)</f>
        <v/>
      </c>
      <c r="G64">
        <f>INDEX(YieldCurve!$B$4:$B$63,C64+1)</f>
        <v/>
      </c>
      <c r="H64">
        <f>IF(E64=D64,0,(B64-D64)/(E64-D64))</f>
        <v/>
      </c>
      <c r="I64">
        <f>-(F64+Inputs!$B$9)*D64</f>
        <v/>
      </c>
      <c r="J64">
        <f>-(G64+Inputs!$B$9)*E64</f>
        <v/>
      </c>
      <c r="K64">
        <f>IF(B64&lt;=INDEX(YieldCurve!$A$4:$A$63,1),-(INDEX(YieldCurve!$B$4:$B$63,1)+Inputs!$B$9)*B64,IF(B64&gt;=INDEX(YieldCurve!$A$4:$A$63,ROWS(YieldCurve!$A$4:$A$63)),-(INDEX(YieldCurve!$B$4:$B$63,ROWS(YieldCurve!$B$4:$B$63))+Inputs!$B$9)*B64,I64+H64*(J64-I64)))</f>
        <v/>
      </c>
      <c r="L64">
        <f>EXP(K64)</f>
        <v/>
      </c>
    </row>
    <row r="65">
      <c r="A65" t="n">
        <v>62</v>
      </c>
      <c r="B65">
        <f>A65/Inputs!$B$6</f>
        <v/>
      </c>
      <c r="C65">
        <f>IF(B65&lt;=INDEX(YieldCurve!$A$4:$A$63,1),1,IF(B65&gt;=INDEX(YieldCurve!$A$4:$A$63,ROWS(YieldCurve!$A$4:$A$63)),ROWS(YieldCurve!$A$4:$A$63)-1,MATCH(B65,YieldCurve!$A$4:$A$63,1)))</f>
        <v/>
      </c>
      <c r="D65">
        <f>INDEX(YieldCurve!$A$4:$A$63,C65)</f>
        <v/>
      </c>
      <c r="E65">
        <f>INDEX(YieldCurve!$A$4:$A$63,C65+1)</f>
        <v/>
      </c>
      <c r="F65">
        <f>INDEX(YieldCurve!$B$4:$B$63,C65)</f>
        <v/>
      </c>
      <c r="G65">
        <f>INDEX(YieldCurve!$B$4:$B$63,C65+1)</f>
        <v/>
      </c>
      <c r="H65">
        <f>IF(E65=D65,0,(B65-D65)/(E65-D65))</f>
        <v/>
      </c>
      <c r="I65">
        <f>-(F65+Inputs!$B$9)*D65</f>
        <v/>
      </c>
      <c r="J65">
        <f>-(G65+Inputs!$B$9)*E65</f>
        <v/>
      </c>
      <c r="K65">
        <f>IF(B65&lt;=INDEX(YieldCurve!$A$4:$A$63,1),-(INDEX(YieldCurve!$B$4:$B$63,1)+Inputs!$B$9)*B65,IF(B65&gt;=INDEX(YieldCurve!$A$4:$A$63,ROWS(YieldCurve!$A$4:$A$63)),-(INDEX(YieldCurve!$B$4:$B$63,ROWS(YieldCurve!$B$4:$B$63))+Inputs!$B$9)*B65,I65+H65*(J65-I65)))</f>
        <v/>
      </c>
      <c r="L65">
        <f>EXP(K65)</f>
        <v/>
      </c>
    </row>
    <row r="66">
      <c r="A66" t="n">
        <v>63</v>
      </c>
      <c r="B66">
        <f>A66/Inputs!$B$6</f>
        <v/>
      </c>
      <c r="C66">
        <f>IF(B66&lt;=INDEX(YieldCurve!$A$4:$A$63,1),1,IF(B66&gt;=INDEX(YieldCurve!$A$4:$A$63,ROWS(YieldCurve!$A$4:$A$63)),ROWS(YieldCurve!$A$4:$A$63)-1,MATCH(B66,YieldCurve!$A$4:$A$63,1)))</f>
        <v/>
      </c>
      <c r="D66">
        <f>INDEX(YieldCurve!$A$4:$A$63,C66)</f>
        <v/>
      </c>
      <c r="E66">
        <f>INDEX(YieldCurve!$A$4:$A$63,C66+1)</f>
        <v/>
      </c>
      <c r="F66">
        <f>INDEX(YieldCurve!$B$4:$B$63,C66)</f>
        <v/>
      </c>
      <c r="G66">
        <f>INDEX(YieldCurve!$B$4:$B$63,C66+1)</f>
        <v/>
      </c>
      <c r="H66">
        <f>IF(E66=D66,0,(B66-D66)/(E66-D66))</f>
        <v/>
      </c>
      <c r="I66">
        <f>-(F66+Inputs!$B$9)*D66</f>
        <v/>
      </c>
      <c r="J66">
        <f>-(G66+Inputs!$B$9)*E66</f>
        <v/>
      </c>
      <c r="K66">
        <f>IF(B66&lt;=INDEX(YieldCurve!$A$4:$A$63,1),-(INDEX(YieldCurve!$B$4:$B$63,1)+Inputs!$B$9)*B66,IF(B66&gt;=INDEX(YieldCurve!$A$4:$A$63,ROWS(YieldCurve!$A$4:$A$63)),-(INDEX(YieldCurve!$B$4:$B$63,ROWS(YieldCurve!$B$4:$B$63))+Inputs!$B$9)*B66,I66+H66*(J66-I66)))</f>
        <v/>
      </c>
      <c r="L66">
        <f>EXP(K66)</f>
        <v/>
      </c>
    </row>
    <row r="67">
      <c r="A67" t="n">
        <v>64</v>
      </c>
      <c r="B67">
        <f>A67/Inputs!$B$6</f>
        <v/>
      </c>
      <c r="C67">
        <f>IF(B67&lt;=INDEX(YieldCurve!$A$4:$A$63,1),1,IF(B67&gt;=INDEX(YieldCurve!$A$4:$A$63,ROWS(YieldCurve!$A$4:$A$63)),ROWS(YieldCurve!$A$4:$A$63)-1,MATCH(B67,YieldCurve!$A$4:$A$63,1)))</f>
        <v/>
      </c>
      <c r="D67">
        <f>INDEX(YieldCurve!$A$4:$A$63,C67)</f>
        <v/>
      </c>
      <c r="E67">
        <f>INDEX(YieldCurve!$A$4:$A$63,C67+1)</f>
        <v/>
      </c>
      <c r="F67">
        <f>INDEX(YieldCurve!$B$4:$B$63,C67)</f>
        <v/>
      </c>
      <c r="G67">
        <f>INDEX(YieldCurve!$B$4:$B$63,C67+1)</f>
        <v/>
      </c>
      <c r="H67">
        <f>IF(E67=D67,0,(B67-D67)/(E67-D67))</f>
        <v/>
      </c>
      <c r="I67">
        <f>-(F67+Inputs!$B$9)*D67</f>
        <v/>
      </c>
      <c r="J67">
        <f>-(G67+Inputs!$B$9)*E67</f>
        <v/>
      </c>
      <c r="K67">
        <f>IF(B67&lt;=INDEX(YieldCurve!$A$4:$A$63,1),-(INDEX(YieldCurve!$B$4:$B$63,1)+Inputs!$B$9)*B67,IF(B67&gt;=INDEX(YieldCurve!$A$4:$A$63,ROWS(YieldCurve!$A$4:$A$63)),-(INDEX(YieldCurve!$B$4:$B$63,ROWS(YieldCurve!$B$4:$B$63))+Inputs!$B$9)*B67,I67+H67*(J67-I67)))</f>
        <v/>
      </c>
      <c r="L67">
        <f>EXP(K67)</f>
        <v/>
      </c>
    </row>
    <row r="68">
      <c r="A68" t="n">
        <v>65</v>
      </c>
      <c r="B68">
        <f>A68/Inputs!$B$6</f>
        <v/>
      </c>
      <c r="C68">
        <f>IF(B68&lt;=INDEX(YieldCurve!$A$4:$A$63,1),1,IF(B68&gt;=INDEX(YieldCurve!$A$4:$A$63,ROWS(YieldCurve!$A$4:$A$63)),ROWS(YieldCurve!$A$4:$A$63)-1,MATCH(B68,YieldCurve!$A$4:$A$63,1)))</f>
        <v/>
      </c>
      <c r="D68">
        <f>INDEX(YieldCurve!$A$4:$A$63,C68)</f>
        <v/>
      </c>
      <c r="E68">
        <f>INDEX(YieldCurve!$A$4:$A$63,C68+1)</f>
        <v/>
      </c>
      <c r="F68">
        <f>INDEX(YieldCurve!$B$4:$B$63,C68)</f>
        <v/>
      </c>
      <c r="G68">
        <f>INDEX(YieldCurve!$B$4:$B$63,C68+1)</f>
        <v/>
      </c>
      <c r="H68">
        <f>IF(E68=D68,0,(B68-D68)/(E68-D68))</f>
        <v/>
      </c>
      <c r="I68">
        <f>-(F68+Inputs!$B$9)*D68</f>
        <v/>
      </c>
      <c r="J68">
        <f>-(G68+Inputs!$B$9)*E68</f>
        <v/>
      </c>
      <c r="K68">
        <f>IF(B68&lt;=INDEX(YieldCurve!$A$4:$A$63,1),-(INDEX(YieldCurve!$B$4:$B$63,1)+Inputs!$B$9)*B68,IF(B68&gt;=INDEX(YieldCurve!$A$4:$A$63,ROWS(YieldCurve!$A$4:$A$63)),-(INDEX(YieldCurve!$B$4:$B$63,ROWS(YieldCurve!$B$4:$B$63))+Inputs!$B$9)*B68,I68+H68*(J68-I68)))</f>
        <v/>
      </c>
      <c r="L68">
        <f>EXP(K68)</f>
        <v/>
      </c>
    </row>
    <row r="69">
      <c r="A69" t="n">
        <v>66</v>
      </c>
      <c r="B69">
        <f>A69/Inputs!$B$6</f>
        <v/>
      </c>
      <c r="C69">
        <f>IF(B69&lt;=INDEX(YieldCurve!$A$4:$A$63,1),1,IF(B69&gt;=INDEX(YieldCurve!$A$4:$A$63,ROWS(YieldCurve!$A$4:$A$63)),ROWS(YieldCurve!$A$4:$A$63)-1,MATCH(B69,YieldCurve!$A$4:$A$63,1)))</f>
        <v/>
      </c>
      <c r="D69">
        <f>INDEX(YieldCurve!$A$4:$A$63,C69)</f>
        <v/>
      </c>
      <c r="E69">
        <f>INDEX(YieldCurve!$A$4:$A$63,C69+1)</f>
        <v/>
      </c>
      <c r="F69">
        <f>INDEX(YieldCurve!$B$4:$B$63,C69)</f>
        <v/>
      </c>
      <c r="G69">
        <f>INDEX(YieldCurve!$B$4:$B$63,C69+1)</f>
        <v/>
      </c>
      <c r="H69">
        <f>IF(E69=D69,0,(B69-D69)/(E69-D69))</f>
        <v/>
      </c>
      <c r="I69">
        <f>-(F69+Inputs!$B$9)*D69</f>
        <v/>
      </c>
      <c r="J69">
        <f>-(G69+Inputs!$B$9)*E69</f>
        <v/>
      </c>
      <c r="K69">
        <f>IF(B69&lt;=INDEX(YieldCurve!$A$4:$A$63,1),-(INDEX(YieldCurve!$B$4:$B$63,1)+Inputs!$B$9)*B69,IF(B69&gt;=INDEX(YieldCurve!$A$4:$A$63,ROWS(YieldCurve!$A$4:$A$63)),-(INDEX(YieldCurve!$B$4:$B$63,ROWS(YieldCurve!$B$4:$B$63))+Inputs!$B$9)*B69,I69+H69*(J69-I69)))</f>
        <v/>
      </c>
      <c r="L69">
        <f>EXP(K69)</f>
        <v/>
      </c>
    </row>
    <row r="70">
      <c r="A70" t="n">
        <v>67</v>
      </c>
      <c r="B70">
        <f>A70/Inputs!$B$6</f>
        <v/>
      </c>
      <c r="C70">
        <f>IF(B70&lt;=INDEX(YieldCurve!$A$4:$A$63,1),1,IF(B70&gt;=INDEX(YieldCurve!$A$4:$A$63,ROWS(YieldCurve!$A$4:$A$63)),ROWS(YieldCurve!$A$4:$A$63)-1,MATCH(B70,YieldCurve!$A$4:$A$63,1)))</f>
        <v/>
      </c>
      <c r="D70">
        <f>INDEX(YieldCurve!$A$4:$A$63,C70)</f>
        <v/>
      </c>
      <c r="E70">
        <f>INDEX(YieldCurve!$A$4:$A$63,C70+1)</f>
        <v/>
      </c>
      <c r="F70">
        <f>INDEX(YieldCurve!$B$4:$B$63,C70)</f>
        <v/>
      </c>
      <c r="G70">
        <f>INDEX(YieldCurve!$B$4:$B$63,C70+1)</f>
        <v/>
      </c>
      <c r="H70">
        <f>IF(E70=D70,0,(B70-D70)/(E70-D70))</f>
        <v/>
      </c>
      <c r="I70">
        <f>-(F70+Inputs!$B$9)*D70</f>
        <v/>
      </c>
      <c r="J70">
        <f>-(G70+Inputs!$B$9)*E70</f>
        <v/>
      </c>
      <c r="K70">
        <f>IF(B70&lt;=INDEX(YieldCurve!$A$4:$A$63,1),-(INDEX(YieldCurve!$B$4:$B$63,1)+Inputs!$B$9)*B70,IF(B70&gt;=INDEX(YieldCurve!$A$4:$A$63,ROWS(YieldCurve!$A$4:$A$63)),-(INDEX(YieldCurve!$B$4:$B$63,ROWS(YieldCurve!$B$4:$B$63))+Inputs!$B$9)*B70,I70+H70*(J70-I70)))</f>
        <v/>
      </c>
      <c r="L70">
        <f>EXP(K70)</f>
        <v/>
      </c>
    </row>
    <row r="71">
      <c r="A71" t="n">
        <v>68</v>
      </c>
      <c r="B71">
        <f>A71/Inputs!$B$6</f>
        <v/>
      </c>
      <c r="C71">
        <f>IF(B71&lt;=INDEX(YieldCurve!$A$4:$A$63,1),1,IF(B71&gt;=INDEX(YieldCurve!$A$4:$A$63,ROWS(YieldCurve!$A$4:$A$63)),ROWS(YieldCurve!$A$4:$A$63)-1,MATCH(B71,YieldCurve!$A$4:$A$63,1)))</f>
        <v/>
      </c>
      <c r="D71">
        <f>INDEX(YieldCurve!$A$4:$A$63,C71)</f>
        <v/>
      </c>
      <c r="E71">
        <f>INDEX(YieldCurve!$A$4:$A$63,C71+1)</f>
        <v/>
      </c>
      <c r="F71">
        <f>INDEX(YieldCurve!$B$4:$B$63,C71)</f>
        <v/>
      </c>
      <c r="G71">
        <f>INDEX(YieldCurve!$B$4:$B$63,C71+1)</f>
        <v/>
      </c>
      <c r="H71">
        <f>IF(E71=D71,0,(B71-D71)/(E71-D71))</f>
        <v/>
      </c>
      <c r="I71">
        <f>-(F71+Inputs!$B$9)*D71</f>
        <v/>
      </c>
      <c r="J71">
        <f>-(G71+Inputs!$B$9)*E71</f>
        <v/>
      </c>
      <c r="K71">
        <f>IF(B71&lt;=INDEX(YieldCurve!$A$4:$A$63,1),-(INDEX(YieldCurve!$B$4:$B$63,1)+Inputs!$B$9)*B71,IF(B71&gt;=INDEX(YieldCurve!$A$4:$A$63,ROWS(YieldCurve!$A$4:$A$63)),-(INDEX(YieldCurve!$B$4:$B$63,ROWS(YieldCurve!$B$4:$B$63))+Inputs!$B$9)*B71,I71+H71*(J71-I71)))</f>
        <v/>
      </c>
      <c r="L71">
        <f>EXP(K71)</f>
        <v/>
      </c>
    </row>
    <row r="72">
      <c r="A72" t="n">
        <v>69</v>
      </c>
      <c r="B72">
        <f>A72/Inputs!$B$6</f>
        <v/>
      </c>
      <c r="C72">
        <f>IF(B72&lt;=INDEX(YieldCurve!$A$4:$A$63,1),1,IF(B72&gt;=INDEX(YieldCurve!$A$4:$A$63,ROWS(YieldCurve!$A$4:$A$63)),ROWS(YieldCurve!$A$4:$A$63)-1,MATCH(B72,YieldCurve!$A$4:$A$63,1)))</f>
        <v/>
      </c>
      <c r="D72">
        <f>INDEX(YieldCurve!$A$4:$A$63,C72)</f>
        <v/>
      </c>
      <c r="E72">
        <f>INDEX(YieldCurve!$A$4:$A$63,C72+1)</f>
        <v/>
      </c>
      <c r="F72">
        <f>INDEX(YieldCurve!$B$4:$B$63,C72)</f>
        <v/>
      </c>
      <c r="G72">
        <f>INDEX(YieldCurve!$B$4:$B$63,C72+1)</f>
        <v/>
      </c>
      <c r="H72">
        <f>IF(E72=D72,0,(B72-D72)/(E72-D72))</f>
        <v/>
      </c>
      <c r="I72">
        <f>-(F72+Inputs!$B$9)*D72</f>
        <v/>
      </c>
      <c r="J72">
        <f>-(G72+Inputs!$B$9)*E72</f>
        <v/>
      </c>
      <c r="K72">
        <f>IF(B72&lt;=INDEX(YieldCurve!$A$4:$A$63,1),-(INDEX(YieldCurve!$B$4:$B$63,1)+Inputs!$B$9)*B72,IF(B72&gt;=INDEX(YieldCurve!$A$4:$A$63,ROWS(YieldCurve!$A$4:$A$63)),-(INDEX(YieldCurve!$B$4:$B$63,ROWS(YieldCurve!$B$4:$B$63))+Inputs!$B$9)*B72,I72+H72*(J72-I72)))</f>
        <v/>
      </c>
      <c r="L72">
        <f>EXP(K72)</f>
        <v/>
      </c>
    </row>
    <row r="73">
      <c r="A73" t="n">
        <v>70</v>
      </c>
      <c r="B73">
        <f>A73/Inputs!$B$6</f>
        <v/>
      </c>
      <c r="C73">
        <f>IF(B73&lt;=INDEX(YieldCurve!$A$4:$A$63,1),1,IF(B73&gt;=INDEX(YieldCurve!$A$4:$A$63,ROWS(YieldCurve!$A$4:$A$63)),ROWS(YieldCurve!$A$4:$A$63)-1,MATCH(B73,YieldCurve!$A$4:$A$63,1)))</f>
        <v/>
      </c>
      <c r="D73">
        <f>INDEX(YieldCurve!$A$4:$A$63,C73)</f>
        <v/>
      </c>
      <c r="E73">
        <f>INDEX(YieldCurve!$A$4:$A$63,C73+1)</f>
        <v/>
      </c>
      <c r="F73">
        <f>INDEX(YieldCurve!$B$4:$B$63,C73)</f>
        <v/>
      </c>
      <c r="G73">
        <f>INDEX(YieldCurve!$B$4:$B$63,C73+1)</f>
        <v/>
      </c>
      <c r="H73">
        <f>IF(E73=D73,0,(B73-D73)/(E73-D73))</f>
        <v/>
      </c>
      <c r="I73">
        <f>-(F73+Inputs!$B$9)*D73</f>
        <v/>
      </c>
      <c r="J73">
        <f>-(G73+Inputs!$B$9)*E73</f>
        <v/>
      </c>
      <c r="K73">
        <f>IF(B73&lt;=INDEX(YieldCurve!$A$4:$A$63,1),-(INDEX(YieldCurve!$B$4:$B$63,1)+Inputs!$B$9)*B73,IF(B73&gt;=INDEX(YieldCurve!$A$4:$A$63,ROWS(YieldCurve!$A$4:$A$63)),-(INDEX(YieldCurve!$B$4:$B$63,ROWS(YieldCurve!$B$4:$B$63))+Inputs!$B$9)*B73,I73+H73*(J73-I73)))</f>
        <v/>
      </c>
      <c r="L73">
        <f>EXP(K73)</f>
        <v/>
      </c>
    </row>
    <row r="74">
      <c r="A74" t="n">
        <v>71</v>
      </c>
      <c r="B74">
        <f>A74/Inputs!$B$6</f>
        <v/>
      </c>
      <c r="C74">
        <f>IF(B74&lt;=INDEX(YieldCurve!$A$4:$A$63,1),1,IF(B74&gt;=INDEX(YieldCurve!$A$4:$A$63,ROWS(YieldCurve!$A$4:$A$63)),ROWS(YieldCurve!$A$4:$A$63)-1,MATCH(B74,YieldCurve!$A$4:$A$63,1)))</f>
        <v/>
      </c>
      <c r="D74">
        <f>INDEX(YieldCurve!$A$4:$A$63,C74)</f>
        <v/>
      </c>
      <c r="E74">
        <f>INDEX(YieldCurve!$A$4:$A$63,C74+1)</f>
        <v/>
      </c>
      <c r="F74">
        <f>INDEX(YieldCurve!$B$4:$B$63,C74)</f>
        <v/>
      </c>
      <c r="G74">
        <f>INDEX(YieldCurve!$B$4:$B$63,C74+1)</f>
        <v/>
      </c>
      <c r="H74">
        <f>IF(E74=D74,0,(B74-D74)/(E74-D74))</f>
        <v/>
      </c>
      <c r="I74">
        <f>-(F74+Inputs!$B$9)*D74</f>
        <v/>
      </c>
      <c r="J74">
        <f>-(G74+Inputs!$B$9)*E74</f>
        <v/>
      </c>
      <c r="K74">
        <f>IF(B74&lt;=INDEX(YieldCurve!$A$4:$A$63,1),-(INDEX(YieldCurve!$B$4:$B$63,1)+Inputs!$B$9)*B74,IF(B74&gt;=INDEX(YieldCurve!$A$4:$A$63,ROWS(YieldCurve!$A$4:$A$63)),-(INDEX(YieldCurve!$B$4:$B$63,ROWS(YieldCurve!$B$4:$B$63))+Inputs!$B$9)*B74,I74+H74*(J74-I74)))</f>
        <v/>
      </c>
      <c r="L74">
        <f>EXP(K74)</f>
        <v/>
      </c>
    </row>
    <row r="75">
      <c r="A75" t="n">
        <v>72</v>
      </c>
      <c r="B75">
        <f>A75/Inputs!$B$6</f>
        <v/>
      </c>
      <c r="C75">
        <f>IF(B75&lt;=INDEX(YieldCurve!$A$4:$A$63,1),1,IF(B75&gt;=INDEX(YieldCurve!$A$4:$A$63,ROWS(YieldCurve!$A$4:$A$63)),ROWS(YieldCurve!$A$4:$A$63)-1,MATCH(B75,YieldCurve!$A$4:$A$63,1)))</f>
        <v/>
      </c>
      <c r="D75">
        <f>INDEX(YieldCurve!$A$4:$A$63,C75)</f>
        <v/>
      </c>
      <c r="E75">
        <f>INDEX(YieldCurve!$A$4:$A$63,C75+1)</f>
        <v/>
      </c>
      <c r="F75">
        <f>INDEX(YieldCurve!$B$4:$B$63,C75)</f>
        <v/>
      </c>
      <c r="G75">
        <f>INDEX(YieldCurve!$B$4:$B$63,C75+1)</f>
        <v/>
      </c>
      <c r="H75">
        <f>IF(E75=D75,0,(B75-D75)/(E75-D75))</f>
        <v/>
      </c>
      <c r="I75">
        <f>-(F75+Inputs!$B$9)*D75</f>
        <v/>
      </c>
      <c r="J75">
        <f>-(G75+Inputs!$B$9)*E75</f>
        <v/>
      </c>
      <c r="K75">
        <f>IF(B75&lt;=INDEX(YieldCurve!$A$4:$A$63,1),-(INDEX(YieldCurve!$B$4:$B$63,1)+Inputs!$B$9)*B75,IF(B75&gt;=INDEX(YieldCurve!$A$4:$A$63,ROWS(YieldCurve!$A$4:$A$63)),-(INDEX(YieldCurve!$B$4:$B$63,ROWS(YieldCurve!$B$4:$B$63))+Inputs!$B$9)*B75,I75+H75*(J75-I75)))</f>
        <v/>
      </c>
      <c r="L75">
        <f>EXP(K75)</f>
        <v/>
      </c>
    </row>
    <row r="76">
      <c r="A76" t="n">
        <v>73</v>
      </c>
      <c r="B76">
        <f>A76/Inputs!$B$6</f>
        <v/>
      </c>
      <c r="C76">
        <f>IF(B76&lt;=INDEX(YieldCurve!$A$4:$A$63,1),1,IF(B76&gt;=INDEX(YieldCurve!$A$4:$A$63,ROWS(YieldCurve!$A$4:$A$63)),ROWS(YieldCurve!$A$4:$A$63)-1,MATCH(B76,YieldCurve!$A$4:$A$63,1)))</f>
        <v/>
      </c>
      <c r="D76">
        <f>INDEX(YieldCurve!$A$4:$A$63,C76)</f>
        <v/>
      </c>
      <c r="E76">
        <f>INDEX(YieldCurve!$A$4:$A$63,C76+1)</f>
        <v/>
      </c>
      <c r="F76">
        <f>INDEX(YieldCurve!$B$4:$B$63,C76)</f>
        <v/>
      </c>
      <c r="G76">
        <f>INDEX(YieldCurve!$B$4:$B$63,C76+1)</f>
        <v/>
      </c>
      <c r="H76">
        <f>IF(E76=D76,0,(B76-D76)/(E76-D76))</f>
        <v/>
      </c>
      <c r="I76">
        <f>-(F76+Inputs!$B$9)*D76</f>
        <v/>
      </c>
      <c r="J76">
        <f>-(G76+Inputs!$B$9)*E76</f>
        <v/>
      </c>
      <c r="K76">
        <f>IF(B76&lt;=INDEX(YieldCurve!$A$4:$A$63,1),-(INDEX(YieldCurve!$B$4:$B$63,1)+Inputs!$B$9)*B76,IF(B76&gt;=INDEX(YieldCurve!$A$4:$A$63,ROWS(YieldCurve!$A$4:$A$63)),-(INDEX(YieldCurve!$B$4:$B$63,ROWS(YieldCurve!$B$4:$B$63))+Inputs!$B$9)*B76,I76+H76*(J76-I76)))</f>
        <v/>
      </c>
      <c r="L76">
        <f>EXP(K76)</f>
        <v/>
      </c>
    </row>
    <row r="77">
      <c r="A77" t="n">
        <v>74</v>
      </c>
      <c r="B77">
        <f>A77/Inputs!$B$6</f>
        <v/>
      </c>
      <c r="C77">
        <f>IF(B77&lt;=INDEX(YieldCurve!$A$4:$A$63,1),1,IF(B77&gt;=INDEX(YieldCurve!$A$4:$A$63,ROWS(YieldCurve!$A$4:$A$63)),ROWS(YieldCurve!$A$4:$A$63)-1,MATCH(B77,YieldCurve!$A$4:$A$63,1)))</f>
        <v/>
      </c>
      <c r="D77">
        <f>INDEX(YieldCurve!$A$4:$A$63,C77)</f>
        <v/>
      </c>
      <c r="E77">
        <f>INDEX(YieldCurve!$A$4:$A$63,C77+1)</f>
        <v/>
      </c>
      <c r="F77">
        <f>INDEX(YieldCurve!$B$4:$B$63,C77)</f>
        <v/>
      </c>
      <c r="G77">
        <f>INDEX(YieldCurve!$B$4:$B$63,C77+1)</f>
        <v/>
      </c>
      <c r="H77">
        <f>IF(E77=D77,0,(B77-D77)/(E77-D77))</f>
        <v/>
      </c>
      <c r="I77">
        <f>-(F77+Inputs!$B$9)*D77</f>
        <v/>
      </c>
      <c r="J77">
        <f>-(G77+Inputs!$B$9)*E77</f>
        <v/>
      </c>
      <c r="K77">
        <f>IF(B77&lt;=INDEX(YieldCurve!$A$4:$A$63,1),-(INDEX(YieldCurve!$B$4:$B$63,1)+Inputs!$B$9)*B77,IF(B77&gt;=INDEX(YieldCurve!$A$4:$A$63,ROWS(YieldCurve!$A$4:$A$63)),-(INDEX(YieldCurve!$B$4:$B$63,ROWS(YieldCurve!$B$4:$B$63))+Inputs!$B$9)*B77,I77+H77*(J77-I77)))</f>
        <v/>
      </c>
      <c r="L77">
        <f>EXP(K77)</f>
        <v/>
      </c>
    </row>
    <row r="78">
      <c r="A78" t="n">
        <v>75</v>
      </c>
      <c r="B78">
        <f>A78/Inputs!$B$6</f>
        <v/>
      </c>
      <c r="C78">
        <f>IF(B78&lt;=INDEX(YieldCurve!$A$4:$A$63,1),1,IF(B78&gt;=INDEX(YieldCurve!$A$4:$A$63,ROWS(YieldCurve!$A$4:$A$63)),ROWS(YieldCurve!$A$4:$A$63)-1,MATCH(B78,YieldCurve!$A$4:$A$63,1)))</f>
        <v/>
      </c>
      <c r="D78">
        <f>INDEX(YieldCurve!$A$4:$A$63,C78)</f>
        <v/>
      </c>
      <c r="E78">
        <f>INDEX(YieldCurve!$A$4:$A$63,C78+1)</f>
        <v/>
      </c>
      <c r="F78">
        <f>INDEX(YieldCurve!$B$4:$B$63,C78)</f>
        <v/>
      </c>
      <c r="G78">
        <f>INDEX(YieldCurve!$B$4:$B$63,C78+1)</f>
        <v/>
      </c>
      <c r="H78">
        <f>IF(E78=D78,0,(B78-D78)/(E78-D78))</f>
        <v/>
      </c>
      <c r="I78">
        <f>-(F78+Inputs!$B$9)*D78</f>
        <v/>
      </c>
      <c r="J78">
        <f>-(G78+Inputs!$B$9)*E78</f>
        <v/>
      </c>
      <c r="K78">
        <f>IF(B78&lt;=INDEX(YieldCurve!$A$4:$A$63,1),-(INDEX(YieldCurve!$B$4:$B$63,1)+Inputs!$B$9)*B78,IF(B78&gt;=INDEX(YieldCurve!$A$4:$A$63,ROWS(YieldCurve!$A$4:$A$63)),-(INDEX(YieldCurve!$B$4:$B$63,ROWS(YieldCurve!$B$4:$B$63))+Inputs!$B$9)*B78,I78+H78*(J78-I78)))</f>
        <v/>
      </c>
      <c r="L78">
        <f>EXP(K78)</f>
        <v/>
      </c>
    </row>
    <row r="79">
      <c r="A79" t="n">
        <v>76</v>
      </c>
      <c r="B79">
        <f>A79/Inputs!$B$6</f>
        <v/>
      </c>
      <c r="C79">
        <f>IF(B79&lt;=INDEX(YieldCurve!$A$4:$A$63,1),1,IF(B79&gt;=INDEX(YieldCurve!$A$4:$A$63,ROWS(YieldCurve!$A$4:$A$63)),ROWS(YieldCurve!$A$4:$A$63)-1,MATCH(B79,YieldCurve!$A$4:$A$63,1)))</f>
        <v/>
      </c>
      <c r="D79">
        <f>INDEX(YieldCurve!$A$4:$A$63,C79)</f>
        <v/>
      </c>
      <c r="E79">
        <f>INDEX(YieldCurve!$A$4:$A$63,C79+1)</f>
        <v/>
      </c>
      <c r="F79">
        <f>INDEX(YieldCurve!$B$4:$B$63,C79)</f>
        <v/>
      </c>
      <c r="G79">
        <f>INDEX(YieldCurve!$B$4:$B$63,C79+1)</f>
        <v/>
      </c>
      <c r="H79">
        <f>IF(E79=D79,0,(B79-D79)/(E79-D79))</f>
        <v/>
      </c>
      <c r="I79">
        <f>-(F79+Inputs!$B$9)*D79</f>
        <v/>
      </c>
      <c r="J79">
        <f>-(G79+Inputs!$B$9)*E79</f>
        <v/>
      </c>
      <c r="K79">
        <f>IF(B79&lt;=INDEX(YieldCurve!$A$4:$A$63,1),-(INDEX(YieldCurve!$B$4:$B$63,1)+Inputs!$B$9)*B79,IF(B79&gt;=INDEX(YieldCurve!$A$4:$A$63,ROWS(YieldCurve!$A$4:$A$63)),-(INDEX(YieldCurve!$B$4:$B$63,ROWS(YieldCurve!$B$4:$B$63))+Inputs!$B$9)*B79,I79+H79*(J79-I79)))</f>
        <v/>
      </c>
      <c r="L79">
        <f>EXP(K79)</f>
        <v/>
      </c>
    </row>
    <row r="80">
      <c r="A80" t="n">
        <v>77</v>
      </c>
      <c r="B80">
        <f>A80/Inputs!$B$6</f>
        <v/>
      </c>
      <c r="C80">
        <f>IF(B80&lt;=INDEX(YieldCurve!$A$4:$A$63,1),1,IF(B80&gt;=INDEX(YieldCurve!$A$4:$A$63,ROWS(YieldCurve!$A$4:$A$63)),ROWS(YieldCurve!$A$4:$A$63)-1,MATCH(B80,YieldCurve!$A$4:$A$63,1)))</f>
        <v/>
      </c>
      <c r="D80">
        <f>INDEX(YieldCurve!$A$4:$A$63,C80)</f>
        <v/>
      </c>
      <c r="E80">
        <f>INDEX(YieldCurve!$A$4:$A$63,C80+1)</f>
        <v/>
      </c>
      <c r="F80">
        <f>INDEX(YieldCurve!$B$4:$B$63,C80)</f>
        <v/>
      </c>
      <c r="G80">
        <f>INDEX(YieldCurve!$B$4:$B$63,C80+1)</f>
        <v/>
      </c>
      <c r="H80">
        <f>IF(E80=D80,0,(B80-D80)/(E80-D80))</f>
        <v/>
      </c>
      <c r="I80">
        <f>-(F80+Inputs!$B$9)*D80</f>
        <v/>
      </c>
      <c r="J80">
        <f>-(G80+Inputs!$B$9)*E80</f>
        <v/>
      </c>
      <c r="K80">
        <f>IF(B80&lt;=INDEX(YieldCurve!$A$4:$A$63,1),-(INDEX(YieldCurve!$B$4:$B$63,1)+Inputs!$B$9)*B80,IF(B80&gt;=INDEX(YieldCurve!$A$4:$A$63,ROWS(YieldCurve!$A$4:$A$63)),-(INDEX(YieldCurve!$B$4:$B$63,ROWS(YieldCurve!$B$4:$B$63))+Inputs!$B$9)*B80,I80+H80*(J80-I80)))</f>
        <v/>
      </c>
      <c r="L80">
        <f>EXP(K80)</f>
        <v/>
      </c>
    </row>
    <row r="81">
      <c r="A81" t="n">
        <v>78</v>
      </c>
      <c r="B81">
        <f>A81/Inputs!$B$6</f>
        <v/>
      </c>
      <c r="C81">
        <f>IF(B81&lt;=INDEX(YieldCurve!$A$4:$A$63,1),1,IF(B81&gt;=INDEX(YieldCurve!$A$4:$A$63,ROWS(YieldCurve!$A$4:$A$63)),ROWS(YieldCurve!$A$4:$A$63)-1,MATCH(B81,YieldCurve!$A$4:$A$63,1)))</f>
        <v/>
      </c>
      <c r="D81">
        <f>INDEX(YieldCurve!$A$4:$A$63,C81)</f>
        <v/>
      </c>
      <c r="E81">
        <f>INDEX(YieldCurve!$A$4:$A$63,C81+1)</f>
        <v/>
      </c>
      <c r="F81">
        <f>INDEX(YieldCurve!$B$4:$B$63,C81)</f>
        <v/>
      </c>
      <c r="G81">
        <f>INDEX(YieldCurve!$B$4:$B$63,C81+1)</f>
        <v/>
      </c>
      <c r="H81">
        <f>IF(E81=D81,0,(B81-D81)/(E81-D81))</f>
        <v/>
      </c>
      <c r="I81">
        <f>-(F81+Inputs!$B$9)*D81</f>
        <v/>
      </c>
      <c r="J81">
        <f>-(G81+Inputs!$B$9)*E81</f>
        <v/>
      </c>
      <c r="K81">
        <f>IF(B81&lt;=INDEX(YieldCurve!$A$4:$A$63,1),-(INDEX(YieldCurve!$B$4:$B$63,1)+Inputs!$B$9)*B81,IF(B81&gt;=INDEX(YieldCurve!$A$4:$A$63,ROWS(YieldCurve!$A$4:$A$63)),-(INDEX(YieldCurve!$B$4:$B$63,ROWS(YieldCurve!$B$4:$B$63))+Inputs!$B$9)*B81,I81+H81*(J81-I81)))</f>
        <v/>
      </c>
      <c r="L81">
        <f>EXP(K81)</f>
        <v/>
      </c>
    </row>
    <row r="82">
      <c r="A82" t="n">
        <v>79</v>
      </c>
      <c r="B82">
        <f>A82/Inputs!$B$6</f>
        <v/>
      </c>
      <c r="C82">
        <f>IF(B82&lt;=INDEX(YieldCurve!$A$4:$A$63,1),1,IF(B82&gt;=INDEX(YieldCurve!$A$4:$A$63,ROWS(YieldCurve!$A$4:$A$63)),ROWS(YieldCurve!$A$4:$A$63)-1,MATCH(B82,YieldCurve!$A$4:$A$63,1)))</f>
        <v/>
      </c>
      <c r="D82">
        <f>INDEX(YieldCurve!$A$4:$A$63,C82)</f>
        <v/>
      </c>
      <c r="E82">
        <f>INDEX(YieldCurve!$A$4:$A$63,C82+1)</f>
        <v/>
      </c>
      <c r="F82">
        <f>INDEX(YieldCurve!$B$4:$B$63,C82)</f>
        <v/>
      </c>
      <c r="G82">
        <f>INDEX(YieldCurve!$B$4:$B$63,C82+1)</f>
        <v/>
      </c>
      <c r="H82">
        <f>IF(E82=D82,0,(B82-D82)/(E82-D82))</f>
        <v/>
      </c>
      <c r="I82">
        <f>-(F82+Inputs!$B$9)*D82</f>
        <v/>
      </c>
      <c r="J82">
        <f>-(G82+Inputs!$B$9)*E82</f>
        <v/>
      </c>
      <c r="K82">
        <f>IF(B82&lt;=INDEX(YieldCurve!$A$4:$A$63,1),-(INDEX(YieldCurve!$B$4:$B$63,1)+Inputs!$B$9)*B82,IF(B82&gt;=INDEX(YieldCurve!$A$4:$A$63,ROWS(YieldCurve!$A$4:$A$63)),-(INDEX(YieldCurve!$B$4:$B$63,ROWS(YieldCurve!$B$4:$B$63))+Inputs!$B$9)*B82,I82+H82*(J82-I82)))</f>
        <v/>
      </c>
      <c r="L82">
        <f>EXP(K82)</f>
        <v/>
      </c>
    </row>
    <row r="83">
      <c r="A83" t="n">
        <v>80</v>
      </c>
      <c r="B83">
        <f>A83/Inputs!$B$6</f>
        <v/>
      </c>
      <c r="C83">
        <f>IF(B83&lt;=INDEX(YieldCurve!$A$4:$A$63,1),1,IF(B83&gt;=INDEX(YieldCurve!$A$4:$A$63,ROWS(YieldCurve!$A$4:$A$63)),ROWS(YieldCurve!$A$4:$A$63)-1,MATCH(B83,YieldCurve!$A$4:$A$63,1)))</f>
        <v/>
      </c>
      <c r="D83">
        <f>INDEX(YieldCurve!$A$4:$A$63,C83)</f>
        <v/>
      </c>
      <c r="E83">
        <f>INDEX(YieldCurve!$A$4:$A$63,C83+1)</f>
        <v/>
      </c>
      <c r="F83">
        <f>INDEX(YieldCurve!$B$4:$B$63,C83)</f>
        <v/>
      </c>
      <c r="G83">
        <f>INDEX(YieldCurve!$B$4:$B$63,C83+1)</f>
        <v/>
      </c>
      <c r="H83">
        <f>IF(E83=D83,0,(B83-D83)/(E83-D83))</f>
        <v/>
      </c>
      <c r="I83">
        <f>-(F83+Inputs!$B$9)*D83</f>
        <v/>
      </c>
      <c r="J83">
        <f>-(G83+Inputs!$B$9)*E83</f>
        <v/>
      </c>
      <c r="K83">
        <f>IF(B83&lt;=INDEX(YieldCurve!$A$4:$A$63,1),-(INDEX(YieldCurve!$B$4:$B$63,1)+Inputs!$B$9)*B83,IF(B83&gt;=INDEX(YieldCurve!$A$4:$A$63,ROWS(YieldCurve!$A$4:$A$63)),-(INDEX(YieldCurve!$B$4:$B$63,ROWS(YieldCurve!$B$4:$B$63))+Inputs!$B$9)*B83,I83+H83*(J83-I83)))</f>
        <v/>
      </c>
      <c r="L83">
        <f>EXP(K83)</f>
        <v/>
      </c>
    </row>
    <row r="84">
      <c r="A84" t="n">
        <v>81</v>
      </c>
      <c r="B84">
        <f>A84/Inputs!$B$6</f>
        <v/>
      </c>
      <c r="C84">
        <f>IF(B84&lt;=INDEX(YieldCurve!$A$4:$A$63,1),1,IF(B84&gt;=INDEX(YieldCurve!$A$4:$A$63,ROWS(YieldCurve!$A$4:$A$63)),ROWS(YieldCurve!$A$4:$A$63)-1,MATCH(B84,YieldCurve!$A$4:$A$63,1)))</f>
        <v/>
      </c>
      <c r="D84">
        <f>INDEX(YieldCurve!$A$4:$A$63,C84)</f>
        <v/>
      </c>
      <c r="E84">
        <f>INDEX(YieldCurve!$A$4:$A$63,C84+1)</f>
        <v/>
      </c>
      <c r="F84">
        <f>INDEX(YieldCurve!$B$4:$B$63,C84)</f>
        <v/>
      </c>
      <c r="G84">
        <f>INDEX(YieldCurve!$B$4:$B$63,C84+1)</f>
        <v/>
      </c>
      <c r="H84">
        <f>IF(E84=D84,0,(B84-D84)/(E84-D84))</f>
        <v/>
      </c>
      <c r="I84">
        <f>-(F84+Inputs!$B$9)*D84</f>
        <v/>
      </c>
      <c r="J84">
        <f>-(G84+Inputs!$B$9)*E84</f>
        <v/>
      </c>
      <c r="K84">
        <f>IF(B84&lt;=INDEX(YieldCurve!$A$4:$A$63,1),-(INDEX(YieldCurve!$B$4:$B$63,1)+Inputs!$B$9)*B84,IF(B84&gt;=INDEX(YieldCurve!$A$4:$A$63,ROWS(YieldCurve!$A$4:$A$63)),-(INDEX(YieldCurve!$B$4:$B$63,ROWS(YieldCurve!$B$4:$B$63))+Inputs!$B$9)*B84,I84+H84*(J84-I84)))</f>
        <v/>
      </c>
      <c r="L84">
        <f>EXP(K84)</f>
        <v/>
      </c>
    </row>
    <row r="85">
      <c r="A85" t="n">
        <v>82</v>
      </c>
      <c r="B85">
        <f>A85/Inputs!$B$6</f>
        <v/>
      </c>
      <c r="C85">
        <f>IF(B85&lt;=INDEX(YieldCurve!$A$4:$A$63,1),1,IF(B85&gt;=INDEX(YieldCurve!$A$4:$A$63,ROWS(YieldCurve!$A$4:$A$63)),ROWS(YieldCurve!$A$4:$A$63)-1,MATCH(B85,YieldCurve!$A$4:$A$63,1)))</f>
        <v/>
      </c>
      <c r="D85">
        <f>INDEX(YieldCurve!$A$4:$A$63,C85)</f>
        <v/>
      </c>
      <c r="E85">
        <f>INDEX(YieldCurve!$A$4:$A$63,C85+1)</f>
        <v/>
      </c>
      <c r="F85">
        <f>INDEX(YieldCurve!$B$4:$B$63,C85)</f>
        <v/>
      </c>
      <c r="G85">
        <f>INDEX(YieldCurve!$B$4:$B$63,C85+1)</f>
        <v/>
      </c>
      <c r="H85">
        <f>IF(E85=D85,0,(B85-D85)/(E85-D85))</f>
        <v/>
      </c>
      <c r="I85">
        <f>-(F85+Inputs!$B$9)*D85</f>
        <v/>
      </c>
      <c r="J85">
        <f>-(G85+Inputs!$B$9)*E85</f>
        <v/>
      </c>
      <c r="K85">
        <f>IF(B85&lt;=INDEX(YieldCurve!$A$4:$A$63,1),-(INDEX(YieldCurve!$B$4:$B$63,1)+Inputs!$B$9)*B85,IF(B85&gt;=INDEX(YieldCurve!$A$4:$A$63,ROWS(YieldCurve!$A$4:$A$63)),-(INDEX(YieldCurve!$B$4:$B$63,ROWS(YieldCurve!$B$4:$B$63))+Inputs!$B$9)*B85,I85+H85*(J85-I85)))</f>
        <v/>
      </c>
      <c r="L85">
        <f>EXP(K85)</f>
        <v/>
      </c>
    </row>
    <row r="86">
      <c r="A86" t="n">
        <v>83</v>
      </c>
      <c r="B86">
        <f>A86/Inputs!$B$6</f>
        <v/>
      </c>
      <c r="C86">
        <f>IF(B86&lt;=INDEX(YieldCurve!$A$4:$A$63,1),1,IF(B86&gt;=INDEX(YieldCurve!$A$4:$A$63,ROWS(YieldCurve!$A$4:$A$63)),ROWS(YieldCurve!$A$4:$A$63)-1,MATCH(B86,YieldCurve!$A$4:$A$63,1)))</f>
        <v/>
      </c>
      <c r="D86">
        <f>INDEX(YieldCurve!$A$4:$A$63,C86)</f>
        <v/>
      </c>
      <c r="E86">
        <f>INDEX(YieldCurve!$A$4:$A$63,C86+1)</f>
        <v/>
      </c>
      <c r="F86">
        <f>INDEX(YieldCurve!$B$4:$B$63,C86)</f>
        <v/>
      </c>
      <c r="G86">
        <f>INDEX(YieldCurve!$B$4:$B$63,C86+1)</f>
        <v/>
      </c>
      <c r="H86">
        <f>IF(E86=D86,0,(B86-D86)/(E86-D86))</f>
        <v/>
      </c>
      <c r="I86">
        <f>-(F86+Inputs!$B$9)*D86</f>
        <v/>
      </c>
      <c r="J86">
        <f>-(G86+Inputs!$B$9)*E86</f>
        <v/>
      </c>
      <c r="K86">
        <f>IF(B86&lt;=INDEX(YieldCurve!$A$4:$A$63,1),-(INDEX(YieldCurve!$B$4:$B$63,1)+Inputs!$B$9)*B86,IF(B86&gt;=INDEX(YieldCurve!$A$4:$A$63,ROWS(YieldCurve!$A$4:$A$63)),-(INDEX(YieldCurve!$B$4:$B$63,ROWS(YieldCurve!$B$4:$B$63))+Inputs!$B$9)*B86,I86+H86*(J86-I86)))</f>
        <v/>
      </c>
      <c r="L86">
        <f>EXP(K86)</f>
        <v/>
      </c>
    </row>
    <row r="87">
      <c r="A87" t="n">
        <v>84</v>
      </c>
      <c r="B87">
        <f>A87/Inputs!$B$6</f>
        <v/>
      </c>
      <c r="C87">
        <f>IF(B87&lt;=INDEX(YieldCurve!$A$4:$A$63,1),1,IF(B87&gt;=INDEX(YieldCurve!$A$4:$A$63,ROWS(YieldCurve!$A$4:$A$63)),ROWS(YieldCurve!$A$4:$A$63)-1,MATCH(B87,YieldCurve!$A$4:$A$63,1)))</f>
        <v/>
      </c>
      <c r="D87">
        <f>INDEX(YieldCurve!$A$4:$A$63,C87)</f>
        <v/>
      </c>
      <c r="E87">
        <f>INDEX(YieldCurve!$A$4:$A$63,C87+1)</f>
        <v/>
      </c>
      <c r="F87">
        <f>INDEX(YieldCurve!$B$4:$B$63,C87)</f>
        <v/>
      </c>
      <c r="G87">
        <f>INDEX(YieldCurve!$B$4:$B$63,C87+1)</f>
        <v/>
      </c>
      <c r="H87">
        <f>IF(E87=D87,0,(B87-D87)/(E87-D87))</f>
        <v/>
      </c>
      <c r="I87">
        <f>-(F87+Inputs!$B$9)*D87</f>
        <v/>
      </c>
      <c r="J87">
        <f>-(G87+Inputs!$B$9)*E87</f>
        <v/>
      </c>
      <c r="K87">
        <f>IF(B87&lt;=INDEX(YieldCurve!$A$4:$A$63,1),-(INDEX(YieldCurve!$B$4:$B$63,1)+Inputs!$B$9)*B87,IF(B87&gt;=INDEX(YieldCurve!$A$4:$A$63,ROWS(YieldCurve!$A$4:$A$63)),-(INDEX(YieldCurve!$B$4:$B$63,ROWS(YieldCurve!$B$4:$B$63))+Inputs!$B$9)*B87,I87+H87*(J87-I87)))</f>
        <v/>
      </c>
      <c r="L87">
        <f>EXP(K87)</f>
        <v/>
      </c>
    </row>
    <row r="88">
      <c r="A88" t="n">
        <v>85</v>
      </c>
      <c r="B88">
        <f>A88/Inputs!$B$6</f>
        <v/>
      </c>
      <c r="C88">
        <f>IF(B88&lt;=INDEX(YieldCurve!$A$4:$A$63,1),1,IF(B88&gt;=INDEX(YieldCurve!$A$4:$A$63,ROWS(YieldCurve!$A$4:$A$63)),ROWS(YieldCurve!$A$4:$A$63)-1,MATCH(B88,YieldCurve!$A$4:$A$63,1)))</f>
        <v/>
      </c>
      <c r="D88">
        <f>INDEX(YieldCurve!$A$4:$A$63,C88)</f>
        <v/>
      </c>
      <c r="E88">
        <f>INDEX(YieldCurve!$A$4:$A$63,C88+1)</f>
        <v/>
      </c>
      <c r="F88">
        <f>INDEX(YieldCurve!$B$4:$B$63,C88)</f>
        <v/>
      </c>
      <c r="G88">
        <f>INDEX(YieldCurve!$B$4:$B$63,C88+1)</f>
        <v/>
      </c>
      <c r="H88">
        <f>IF(E88=D88,0,(B88-D88)/(E88-D88))</f>
        <v/>
      </c>
      <c r="I88">
        <f>-(F88+Inputs!$B$9)*D88</f>
        <v/>
      </c>
      <c r="J88">
        <f>-(G88+Inputs!$B$9)*E88</f>
        <v/>
      </c>
      <c r="K88">
        <f>IF(B88&lt;=INDEX(YieldCurve!$A$4:$A$63,1),-(INDEX(YieldCurve!$B$4:$B$63,1)+Inputs!$B$9)*B88,IF(B88&gt;=INDEX(YieldCurve!$A$4:$A$63,ROWS(YieldCurve!$A$4:$A$63)),-(INDEX(YieldCurve!$B$4:$B$63,ROWS(YieldCurve!$B$4:$B$63))+Inputs!$B$9)*B88,I88+H88*(J88-I88)))</f>
        <v/>
      </c>
      <c r="L88">
        <f>EXP(K88)</f>
        <v/>
      </c>
    </row>
    <row r="89">
      <c r="A89" t="n">
        <v>86</v>
      </c>
      <c r="B89">
        <f>A89/Inputs!$B$6</f>
        <v/>
      </c>
      <c r="C89">
        <f>IF(B89&lt;=INDEX(YieldCurve!$A$4:$A$63,1),1,IF(B89&gt;=INDEX(YieldCurve!$A$4:$A$63,ROWS(YieldCurve!$A$4:$A$63)),ROWS(YieldCurve!$A$4:$A$63)-1,MATCH(B89,YieldCurve!$A$4:$A$63,1)))</f>
        <v/>
      </c>
      <c r="D89">
        <f>INDEX(YieldCurve!$A$4:$A$63,C89)</f>
        <v/>
      </c>
      <c r="E89">
        <f>INDEX(YieldCurve!$A$4:$A$63,C89+1)</f>
        <v/>
      </c>
      <c r="F89">
        <f>INDEX(YieldCurve!$B$4:$B$63,C89)</f>
        <v/>
      </c>
      <c r="G89">
        <f>INDEX(YieldCurve!$B$4:$B$63,C89+1)</f>
        <v/>
      </c>
      <c r="H89">
        <f>IF(E89=D89,0,(B89-D89)/(E89-D89))</f>
        <v/>
      </c>
      <c r="I89">
        <f>-(F89+Inputs!$B$9)*D89</f>
        <v/>
      </c>
      <c r="J89">
        <f>-(G89+Inputs!$B$9)*E89</f>
        <v/>
      </c>
      <c r="K89">
        <f>IF(B89&lt;=INDEX(YieldCurve!$A$4:$A$63,1),-(INDEX(YieldCurve!$B$4:$B$63,1)+Inputs!$B$9)*B89,IF(B89&gt;=INDEX(YieldCurve!$A$4:$A$63,ROWS(YieldCurve!$A$4:$A$63)),-(INDEX(YieldCurve!$B$4:$B$63,ROWS(YieldCurve!$B$4:$B$63))+Inputs!$B$9)*B89,I89+H89*(J89-I89)))</f>
        <v/>
      </c>
      <c r="L89">
        <f>EXP(K89)</f>
        <v/>
      </c>
    </row>
    <row r="90">
      <c r="A90" t="n">
        <v>87</v>
      </c>
      <c r="B90">
        <f>A90/Inputs!$B$6</f>
        <v/>
      </c>
      <c r="C90">
        <f>IF(B90&lt;=INDEX(YieldCurve!$A$4:$A$63,1),1,IF(B90&gt;=INDEX(YieldCurve!$A$4:$A$63,ROWS(YieldCurve!$A$4:$A$63)),ROWS(YieldCurve!$A$4:$A$63)-1,MATCH(B90,YieldCurve!$A$4:$A$63,1)))</f>
        <v/>
      </c>
      <c r="D90">
        <f>INDEX(YieldCurve!$A$4:$A$63,C90)</f>
        <v/>
      </c>
      <c r="E90">
        <f>INDEX(YieldCurve!$A$4:$A$63,C90+1)</f>
        <v/>
      </c>
      <c r="F90">
        <f>INDEX(YieldCurve!$B$4:$B$63,C90)</f>
        <v/>
      </c>
      <c r="G90">
        <f>INDEX(YieldCurve!$B$4:$B$63,C90+1)</f>
        <v/>
      </c>
      <c r="H90">
        <f>IF(E90=D90,0,(B90-D90)/(E90-D90))</f>
        <v/>
      </c>
      <c r="I90">
        <f>-(F90+Inputs!$B$9)*D90</f>
        <v/>
      </c>
      <c r="J90">
        <f>-(G90+Inputs!$B$9)*E90</f>
        <v/>
      </c>
      <c r="K90">
        <f>IF(B90&lt;=INDEX(YieldCurve!$A$4:$A$63,1),-(INDEX(YieldCurve!$B$4:$B$63,1)+Inputs!$B$9)*B90,IF(B90&gt;=INDEX(YieldCurve!$A$4:$A$63,ROWS(YieldCurve!$A$4:$A$63)),-(INDEX(YieldCurve!$B$4:$B$63,ROWS(YieldCurve!$B$4:$B$63))+Inputs!$B$9)*B90,I90+H90*(J90-I90)))</f>
        <v/>
      </c>
      <c r="L90">
        <f>EXP(K90)</f>
        <v/>
      </c>
    </row>
    <row r="91">
      <c r="A91" t="n">
        <v>88</v>
      </c>
      <c r="B91">
        <f>A91/Inputs!$B$6</f>
        <v/>
      </c>
      <c r="C91">
        <f>IF(B91&lt;=INDEX(YieldCurve!$A$4:$A$63,1),1,IF(B91&gt;=INDEX(YieldCurve!$A$4:$A$63,ROWS(YieldCurve!$A$4:$A$63)),ROWS(YieldCurve!$A$4:$A$63)-1,MATCH(B91,YieldCurve!$A$4:$A$63,1)))</f>
        <v/>
      </c>
      <c r="D91">
        <f>INDEX(YieldCurve!$A$4:$A$63,C91)</f>
        <v/>
      </c>
      <c r="E91">
        <f>INDEX(YieldCurve!$A$4:$A$63,C91+1)</f>
        <v/>
      </c>
      <c r="F91">
        <f>INDEX(YieldCurve!$B$4:$B$63,C91)</f>
        <v/>
      </c>
      <c r="G91">
        <f>INDEX(YieldCurve!$B$4:$B$63,C91+1)</f>
        <v/>
      </c>
      <c r="H91">
        <f>IF(E91=D91,0,(B91-D91)/(E91-D91))</f>
        <v/>
      </c>
      <c r="I91">
        <f>-(F91+Inputs!$B$9)*D91</f>
        <v/>
      </c>
      <c r="J91">
        <f>-(G91+Inputs!$B$9)*E91</f>
        <v/>
      </c>
      <c r="K91">
        <f>IF(B91&lt;=INDEX(YieldCurve!$A$4:$A$63,1),-(INDEX(YieldCurve!$B$4:$B$63,1)+Inputs!$B$9)*B91,IF(B91&gt;=INDEX(YieldCurve!$A$4:$A$63,ROWS(YieldCurve!$A$4:$A$63)),-(INDEX(YieldCurve!$B$4:$B$63,ROWS(YieldCurve!$B$4:$B$63))+Inputs!$B$9)*B91,I91+H91*(J91-I91)))</f>
        <v/>
      </c>
      <c r="L91">
        <f>EXP(K91)</f>
        <v/>
      </c>
    </row>
    <row r="92">
      <c r="A92" t="n">
        <v>89</v>
      </c>
      <c r="B92">
        <f>A92/Inputs!$B$6</f>
        <v/>
      </c>
      <c r="C92">
        <f>IF(B92&lt;=INDEX(YieldCurve!$A$4:$A$63,1),1,IF(B92&gt;=INDEX(YieldCurve!$A$4:$A$63,ROWS(YieldCurve!$A$4:$A$63)),ROWS(YieldCurve!$A$4:$A$63)-1,MATCH(B92,YieldCurve!$A$4:$A$63,1)))</f>
        <v/>
      </c>
      <c r="D92">
        <f>INDEX(YieldCurve!$A$4:$A$63,C92)</f>
        <v/>
      </c>
      <c r="E92">
        <f>INDEX(YieldCurve!$A$4:$A$63,C92+1)</f>
        <v/>
      </c>
      <c r="F92">
        <f>INDEX(YieldCurve!$B$4:$B$63,C92)</f>
        <v/>
      </c>
      <c r="G92">
        <f>INDEX(YieldCurve!$B$4:$B$63,C92+1)</f>
        <v/>
      </c>
      <c r="H92">
        <f>IF(E92=D92,0,(B92-D92)/(E92-D92))</f>
        <v/>
      </c>
      <c r="I92">
        <f>-(F92+Inputs!$B$9)*D92</f>
        <v/>
      </c>
      <c r="J92">
        <f>-(G92+Inputs!$B$9)*E92</f>
        <v/>
      </c>
      <c r="K92">
        <f>IF(B92&lt;=INDEX(YieldCurve!$A$4:$A$63,1),-(INDEX(YieldCurve!$B$4:$B$63,1)+Inputs!$B$9)*B92,IF(B92&gt;=INDEX(YieldCurve!$A$4:$A$63,ROWS(YieldCurve!$A$4:$A$63)),-(INDEX(YieldCurve!$B$4:$B$63,ROWS(YieldCurve!$B$4:$B$63))+Inputs!$B$9)*B92,I92+H92*(J92-I92)))</f>
        <v/>
      </c>
      <c r="L92">
        <f>EXP(K92)</f>
        <v/>
      </c>
    </row>
    <row r="93">
      <c r="A93" t="n">
        <v>90</v>
      </c>
      <c r="B93">
        <f>A93/Inputs!$B$6</f>
        <v/>
      </c>
      <c r="C93">
        <f>IF(B93&lt;=INDEX(YieldCurve!$A$4:$A$63,1),1,IF(B93&gt;=INDEX(YieldCurve!$A$4:$A$63,ROWS(YieldCurve!$A$4:$A$63)),ROWS(YieldCurve!$A$4:$A$63)-1,MATCH(B93,YieldCurve!$A$4:$A$63,1)))</f>
        <v/>
      </c>
      <c r="D93">
        <f>INDEX(YieldCurve!$A$4:$A$63,C93)</f>
        <v/>
      </c>
      <c r="E93">
        <f>INDEX(YieldCurve!$A$4:$A$63,C93+1)</f>
        <v/>
      </c>
      <c r="F93">
        <f>INDEX(YieldCurve!$B$4:$B$63,C93)</f>
        <v/>
      </c>
      <c r="G93">
        <f>INDEX(YieldCurve!$B$4:$B$63,C93+1)</f>
        <v/>
      </c>
      <c r="H93">
        <f>IF(E93=D93,0,(B93-D93)/(E93-D93))</f>
        <v/>
      </c>
      <c r="I93">
        <f>-(F93+Inputs!$B$9)*D93</f>
        <v/>
      </c>
      <c r="J93">
        <f>-(G93+Inputs!$B$9)*E93</f>
        <v/>
      </c>
      <c r="K93">
        <f>IF(B93&lt;=INDEX(YieldCurve!$A$4:$A$63,1),-(INDEX(YieldCurve!$B$4:$B$63,1)+Inputs!$B$9)*B93,IF(B93&gt;=INDEX(YieldCurve!$A$4:$A$63,ROWS(YieldCurve!$A$4:$A$63)),-(INDEX(YieldCurve!$B$4:$B$63,ROWS(YieldCurve!$B$4:$B$63))+Inputs!$B$9)*B93,I93+H93*(J93-I93)))</f>
        <v/>
      </c>
      <c r="L93">
        <f>EXP(K93)</f>
        <v/>
      </c>
    </row>
    <row r="94">
      <c r="A94" t="n">
        <v>91</v>
      </c>
      <c r="B94">
        <f>A94/Inputs!$B$6</f>
        <v/>
      </c>
      <c r="C94">
        <f>IF(B94&lt;=INDEX(YieldCurve!$A$4:$A$63,1),1,IF(B94&gt;=INDEX(YieldCurve!$A$4:$A$63,ROWS(YieldCurve!$A$4:$A$63)),ROWS(YieldCurve!$A$4:$A$63)-1,MATCH(B94,YieldCurve!$A$4:$A$63,1)))</f>
        <v/>
      </c>
      <c r="D94">
        <f>INDEX(YieldCurve!$A$4:$A$63,C94)</f>
        <v/>
      </c>
      <c r="E94">
        <f>INDEX(YieldCurve!$A$4:$A$63,C94+1)</f>
        <v/>
      </c>
      <c r="F94">
        <f>INDEX(YieldCurve!$B$4:$B$63,C94)</f>
        <v/>
      </c>
      <c r="G94">
        <f>INDEX(YieldCurve!$B$4:$B$63,C94+1)</f>
        <v/>
      </c>
      <c r="H94">
        <f>IF(E94=D94,0,(B94-D94)/(E94-D94))</f>
        <v/>
      </c>
      <c r="I94">
        <f>-(F94+Inputs!$B$9)*D94</f>
        <v/>
      </c>
      <c r="J94">
        <f>-(G94+Inputs!$B$9)*E94</f>
        <v/>
      </c>
      <c r="K94">
        <f>IF(B94&lt;=INDEX(YieldCurve!$A$4:$A$63,1),-(INDEX(YieldCurve!$B$4:$B$63,1)+Inputs!$B$9)*B94,IF(B94&gt;=INDEX(YieldCurve!$A$4:$A$63,ROWS(YieldCurve!$A$4:$A$63)),-(INDEX(YieldCurve!$B$4:$B$63,ROWS(YieldCurve!$B$4:$B$63))+Inputs!$B$9)*B94,I94+H94*(J94-I94)))</f>
        <v/>
      </c>
      <c r="L94">
        <f>EXP(K94)</f>
        <v/>
      </c>
    </row>
    <row r="95">
      <c r="A95" t="n">
        <v>92</v>
      </c>
      <c r="B95">
        <f>A95/Inputs!$B$6</f>
        <v/>
      </c>
      <c r="C95">
        <f>IF(B95&lt;=INDEX(YieldCurve!$A$4:$A$63,1),1,IF(B95&gt;=INDEX(YieldCurve!$A$4:$A$63,ROWS(YieldCurve!$A$4:$A$63)),ROWS(YieldCurve!$A$4:$A$63)-1,MATCH(B95,YieldCurve!$A$4:$A$63,1)))</f>
        <v/>
      </c>
      <c r="D95">
        <f>INDEX(YieldCurve!$A$4:$A$63,C95)</f>
        <v/>
      </c>
      <c r="E95">
        <f>INDEX(YieldCurve!$A$4:$A$63,C95+1)</f>
        <v/>
      </c>
      <c r="F95">
        <f>INDEX(YieldCurve!$B$4:$B$63,C95)</f>
        <v/>
      </c>
      <c r="G95">
        <f>INDEX(YieldCurve!$B$4:$B$63,C95+1)</f>
        <v/>
      </c>
      <c r="H95">
        <f>IF(E95=D95,0,(B95-D95)/(E95-D95))</f>
        <v/>
      </c>
      <c r="I95">
        <f>-(F95+Inputs!$B$9)*D95</f>
        <v/>
      </c>
      <c r="J95">
        <f>-(G95+Inputs!$B$9)*E95</f>
        <v/>
      </c>
      <c r="K95">
        <f>IF(B95&lt;=INDEX(YieldCurve!$A$4:$A$63,1),-(INDEX(YieldCurve!$B$4:$B$63,1)+Inputs!$B$9)*B95,IF(B95&gt;=INDEX(YieldCurve!$A$4:$A$63,ROWS(YieldCurve!$A$4:$A$63)),-(INDEX(YieldCurve!$B$4:$B$63,ROWS(YieldCurve!$B$4:$B$63))+Inputs!$B$9)*B95,I95+H95*(J95-I95)))</f>
        <v/>
      </c>
      <c r="L95">
        <f>EXP(K95)</f>
        <v/>
      </c>
    </row>
    <row r="96">
      <c r="A96" t="n">
        <v>93</v>
      </c>
      <c r="B96">
        <f>A96/Inputs!$B$6</f>
        <v/>
      </c>
      <c r="C96">
        <f>IF(B96&lt;=INDEX(YieldCurve!$A$4:$A$63,1),1,IF(B96&gt;=INDEX(YieldCurve!$A$4:$A$63,ROWS(YieldCurve!$A$4:$A$63)),ROWS(YieldCurve!$A$4:$A$63)-1,MATCH(B96,YieldCurve!$A$4:$A$63,1)))</f>
        <v/>
      </c>
      <c r="D96">
        <f>INDEX(YieldCurve!$A$4:$A$63,C96)</f>
        <v/>
      </c>
      <c r="E96">
        <f>INDEX(YieldCurve!$A$4:$A$63,C96+1)</f>
        <v/>
      </c>
      <c r="F96">
        <f>INDEX(YieldCurve!$B$4:$B$63,C96)</f>
        <v/>
      </c>
      <c r="G96">
        <f>INDEX(YieldCurve!$B$4:$B$63,C96+1)</f>
        <v/>
      </c>
      <c r="H96">
        <f>IF(E96=D96,0,(B96-D96)/(E96-D96))</f>
        <v/>
      </c>
      <c r="I96">
        <f>-(F96+Inputs!$B$9)*D96</f>
        <v/>
      </c>
      <c r="J96">
        <f>-(G96+Inputs!$B$9)*E96</f>
        <v/>
      </c>
      <c r="K96">
        <f>IF(B96&lt;=INDEX(YieldCurve!$A$4:$A$63,1),-(INDEX(YieldCurve!$B$4:$B$63,1)+Inputs!$B$9)*B96,IF(B96&gt;=INDEX(YieldCurve!$A$4:$A$63,ROWS(YieldCurve!$A$4:$A$63)),-(INDEX(YieldCurve!$B$4:$B$63,ROWS(YieldCurve!$B$4:$B$63))+Inputs!$B$9)*B96,I96+H96*(J96-I96)))</f>
        <v/>
      </c>
      <c r="L96">
        <f>EXP(K96)</f>
        <v/>
      </c>
    </row>
    <row r="97">
      <c r="A97" t="n">
        <v>94</v>
      </c>
      <c r="B97">
        <f>A97/Inputs!$B$6</f>
        <v/>
      </c>
      <c r="C97">
        <f>IF(B97&lt;=INDEX(YieldCurve!$A$4:$A$63,1),1,IF(B97&gt;=INDEX(YieldCurve!$A$4:$A$63,ROWS(YieldCurve!$A$4:$A$63)),ROWS(YieldCurve!$A$4:$A$63)-1,MATCH(B97,YieldCurve!$A$4:$A$63,1)))</f>
        <v/>
      </c>
      <c r="D97">
        <f>INDEX(YieldCurve!$A$4:$A$63,C97)</f>
        <v/>
      </c>
      <c r="E97">
        <f>INDEX(YieldCurve!$A$4:$A$63,C97+1)</f>
        <v/>
      </c>
      <c r="F97">
        <f>INDEX(YieldCurve!$B$4:$B$63,C97)</f>
        <v/>
      </c>
      <c r="G97">
        <f>INDEX(YieldCurve!$B$4:$B$63,C97+1)</f>
        <v/>
      </c>
      <c r="H97">
        <f>IF(E97=D97,0,(B97-D97)/(E97-D97))</f>
        <v/>
      </c>
      <c r="I97">
        <f>-(F97+Inputs!$B$9)*D97</f>
        <v/>
      </c>
      <c r="J97">
        <f>-(G97+Inputs!$B$9)*E97</f>
        <v/>
      </c>
      <c r="K97">
        <f>IF(B97&lt;=INDEX(YieldCurve!$A$4:$A$63,1),-(INDEX(YieldCurve!$B$4:$B$63,1)+Inputs!$B$9)*B97,IF(B97&gt;=INDEX(YieldCurve!$A$4:$A$63,ROWS(YieldCurve!$A$4:$A$63)),-(INDEX(YieldCurve!$B$4:$B$63,ROWS(YieldCurve!$B$4:$B$63))+Inputs!$B$9)*B97,I97+H97*(J97-I97)))</f>
        <v/>
      </c>
      <c r="L97">
        <f>EXP(K97)</f>
        <v/>
      </c>
    </row>
    <row r="98">
      <c r="A98" t="n">
        <v>95</v>
      </c>
      <c r="B98">
        <f>A98/Inputs!$B$6</f>
        <v/>
      </c>
      <c r="C98">
        <f>IF(B98&lt;=INDEX(YieldCurve!$A$4:$A$63,1),1,IF(B98&gt;=INDEX(YieldCurve!$A$4:$A$63,ROWS(YieldCurve!$A$4:$A$63)),ROWS(YieldCurve!$A$4:$A$63)-1,MATCH(B98,YieldCurve!$A$4:$A$63,1)))</f>
        <v/>
      </c>
      <c r="D98">
        <f>INDEX(YieldCurve!$A$4:$A$63,C98)</f>
        <v/>
      </c>
      <c r="E98">
        <f>INDEX(YieldCurve!$A$4:$A$63,C98+1)</f>
        <v/>
      </c>
      <c r="F98">
        <f>INDEX(YieldCurve!$B$4:$B$63,C98)</f>
        <v/>
      </c>
      <c r="G98">
        <f>INDEX(YieldCurve!$B$4:$B$63,C98+1)</f>
        <v/>
      </c>
      <c r="H98">
        <f>IF(E98=D98,0,(B98-D98)/(E98-D98))</f>
        <v/>
      </c>
      <c r="I98">
        <f>-(F98+Inputs!$B$9)*D98</f>
        <v/>
      </c>
      <c r="J98">
        <f>-(G98+Inputs!$B$9)*E98</f>
        <v/>
      </c>
      <c r="K98">
        <f>IF(B98&lt;=INDEX(YieldCurve!$A$4:$A$63,1),-(INDEX(YieldCurve!$B$4:$B$63,1)+Inputs!$B$9)*B98,IF(B98&gt;=INDEX(YieldCurve!$A$4:$A$63,ROWS(YieldCurve!$A$4:$A$63)),-(INDEX(YieldCurve!$B$4:$B$63,ROWS(YieldCurve!$B$4:$B$63))+Inputs!$B$9)*B98,I98+H98*(J98-I98)))</f>
        <v/>
      </c>
      <c r="L98">
        <f>EXP(K98)</f>
        <v/>
      </c>
    </row>
    <row r="99">
      <c r="A99" t="n">
        <v>96</v>
      </c>
      <c r="B99">
        <f>A99/Inputs!$B$6</f>
        <v/>
      </c>
      <c r="C99">
        <f>IF(B99&lt;=INDEX(YieldCurve!$A$4:$A$63,1),1,IF(B99&gt;=INDEX(YieldCurve!$A$4:$A$63,ROWS(YieldCurve!$A$4:$A$63)),ROWS(YieldCurve!$A$4:$A$63)-1,MATCH(B99,YieldCurve!$A$4:$A$63,1)))</f>
        <v/>
      </c>
      <c r="D99">
        <f>INDEX(YieldCurve!$A$4:$A$63,C99)</f>
        <v/>
      </c>
      <c r="E99">
        <f>INDEX(YieldCurve!$A$4:$A$63,C99+1)</f>
        <v/>
      </c>
      <c r="F99">
        <f>INDEX(YieldCurve!$B$4:$B$63,C99)</f>
        <v/>
      </c>
      <c r="G99">
        <f>INDEX(YieldCurve!$B$4:$B$63,C99+1)</f>
        <v/>
      </c>
      <c r="H99">
        <f>IF(E99=D99,0,(B99-D99)/(E99-D99))</f>
        <v/>
      </c>
      <c r="I99">
        <f>-(F99+Inputs!$B$9)*D99</f>
        <v/>
      </c>
      <c r="J99">
        <f>-(G99+Inputs!$B$9)*E99</f>
        <v/>
      </c>
      <c r="K99">
        <f>IF(B99&lt;=INDEX(YieldCurve!$A$4:$A$63,1),-(INDEX(YieldCurve!$B$4:$B$63,1)+Inputs!$B$9)*B99,IF(B99&gt;=INDEX(YieldCurve!$A$4:$A$63,ROWS(YieldCurve!$A$4:$A$63)),-(INDEX(YieldCurve!$B$4:$B$63,ROWS(YieldCurve!$B$4:$B$63))+Inputs!$B$9)*B99,I99+H99*(J99-I99)))</f>
        <v/>
      </c>
      <c r="L99">
        <f>EXP(K99)</f>
        <v/>
      </c>
    </row>
    <row r="100">
      <c r="A100" t="n">
        <v>97</v>
      </c>
      <c r="B100">
        <f>A100/Inputs!$B$6</f>
        <v/>
      </c>
      <c r="C100">
        <f>IF(B100&lt;=INDEX(YieldCurve!$A$4:$A$63,1),1,IF(B100&gt;=INDEX(YieldCurve!$A$4:$A$63,ROWS(YieldCurve!$A$4:$A$63)),ROWS(YieldCurve!$A$4:$A$63)-1,MATCH(B100,YieldCurve!$A$4:$A$63,1)))</f>
        <v/>
      </c>
      <c r="D100">
        <f>INDEX(YieldCurve!$A$4:$A$63,C100)</f>
        <v/>
      </c>
      <c r="E100">
        <f>INDEX(YieldCurve!$A$4:$A$63,C100+1)</f>
        <v/>
      </c>
      <c r="F100">
        <f>INDEX(YieldCurve!$B$4:$B$63,C100)</f>
        <v/>
      </c>
      <c r="G100">
        <f>INDEX(YieldCurve!$B$4:$B$63,C100+1)</f>
        <v/>
      </c>
      <c r="H100">
        <f>IF(E100=D100,0,(B100-D100)/(E100-D100))</f>
        <v/>
      </c>
      <c r="I100">
        <f>-(F100+Inputs!$B$9)*D100</f>
        <v/>
      </c>
      <c r="J100">
        <f>-(G100+Inputs!$B$9)*E100</f>
        <v/>
      </c>
      <c r="K100">
        <f>IF(B100&lt;=INDEX(YieldCurve!$A$4:$A$63,1),-(INDEX(YieldCurve!$B$4:$B$63,1)+Inputs!$B$9)*B100,IF(B100&gt;=INDEX(YieldCurve!$A$4:$A$63,ROWS(YieldCurve!$A$4:$A$63)),-(INDEX(YieldCurve!$B$4:$B$63,ROWS(YieldCurve!$B$4:$B$63))+Inputs!$B$9)*B100,I100+H100*(J100-I100)))</f>
        <v/>
      </c>
      <c r="L100">
        <f>EXP(K100)</f>
        <v/>
      </c>
    </row>
    <row r="101">
      <c r="A101" t="n">
        <v>98</v>
      </c>
      <c r="B101">
        <f>A101/Inputs!$B$6</f>
        <v/>
      </c>
      <c r="C101">
        <f>IF(B101&lt;=INDEX(YieldCurve!$A$4:$A$63,1),1,IF(B101&gt;=INDEX(YieldCurve!$A$4:$A$63,ROWS(YieldCurve!$A$4:$A$63)),ROWS(YieldCurve!$A$4:$A$63)-1,MATCH(B101,YieldCurve!$A$4:$A$63,1)))</f>
        <v/>
      </c>
      <c r="D101">
        <f>INDEX(YieldCurve!$A$4:$A$63,C101)</f>
        <v/>
      </c>
      <c r="E101">
        <f>INDEX(YieldCurve!$A$4:$A$63,C101+1)</f>
        <v/>
      </c>
      <c r="F101">
        <f>INDEX(YieldCurve!$B$4:$B$63,C101)</f>
        <v/>
      </c>
      <c r="G101">
        <f>INDEX(YieldCurve!$B$4:$B$63,C101+1)</f>
        <v/>
      </c>
      <c r="H101">
        <f>IF(E101=D101,0,(B101-D101)/(E101-D101))</f>
        <v/>
      </c>
      <c r="I101">
        <f>-(F101+Inputs!$B$9)*D101</f>
        <v/>
      </c>
      <c r="J101">
        <f>-(G101+Inputs!$B$9)*E101</f>
        <v/>
      </c>
      <c r="K101">
        <f>IF(B101&lt;=INDEX(YieldCurve!$A$4:$A$63,1),-(INDEX(YieldCurve!$B$4:$B$63,1)+Inputs!$B$9)*B101,IF(B101&gt;=INDEX(YieldCurve!$A$4:$A$63,ROWS(YieldCurve!$A$4:$A$63)),-(INDEX(YieldCurve!$B$4:$B$63,ROWS(YieldCurve!$B$4:$B$63))+Inputs!$B$9)*B101,I101+H101*(J101-I101)))</f>
        <v/>
      </c>
      <c r="L101">
        <f>EXP(K101)</f>
        <v/>
      </c>
    </row>
    <row r="102">
      <c r="A102" t="n">
        <v>99</v>
      </c>
      <c r="B102">
        <f>A102/Inputs!$B$6</f>
        <v/>
      </c>
      <c r="C102">
        <f>IF(B102&lt;=INDEX(YieldCurve!$A$4:$A$63,1),1,IF(B102&gt;=INDEX(YieldCurve!$A$4:$A$63,ROWS(YieldCurve!$A$4:$A$63)),ROWS(YieldCurve!$A$4:$A$63)-1,MATCH(B102,YieldCurve!$A$4:$A$63,1)))</f>
        <v/>
      </c>
      <c r="D102">
        <f>INDEX(YieldCurve!$A$4:$A$63,C102)</f>
        <v/>
      </c>
      <c r="E102">
        <f>INDEX(YieldCurve!$A$4:$A$63,C102+1)</f>
        <v/>
      </c>
      <c r="F102">
        <f>INDEX(YieldCurve!$B$4:$B$63,C102)</f>
        <v/>
      </c>
      <c r="G102">
        <f>INDEX(YieldCurve!$B$4:$B$63,C102+1)</f>
        <v/>
      </c>
      <c r="H102">
        <f>IF(E102=D102,0,(B102-D102)/(E102-D102))</f>
        <v/>
      </c>
      <c r="I102">
        <f>-(F102+Inputs!$B$9)*D102</f>
        <v/>
      </c>
      <c r="J102">
        <f>-(G102+Inputs!$B$9)*E102</f>
        <v/>
      </c>
      <c r="K102">
        <f>IF(B102&lt;=INDEX(YieldCurve!$A$4:$A$63,1),-(INDEX(YieldCurve!$B$4:$B$63,1)+Inputs!$B$9)*B102,IF(B102&gt;=INDEX(YieldCurve!$A$4:$A$63,ROWS(YieldCurve!$A$4:$A$63)),-(INDEX(YieldCurve!$B$4:$B$63,ROWS(YieldCurve!$B$4:$B$63))+Inputs!$B$9)*B102,I102+H102*(J102-I102)))</f>
        <v/>
      </c>
      <c r="L102">
        <f>EXP(K102)</f>
        <v/>
      </c>
    </row>
    <row r="103">
      <c r="A103" t="n">
        <v>100</v>
      </c>
      <c r="B103">
        <f>A103/Inputs!$B$6</f>
        <v/>
      </c>
      <c r="C103">
        <f>IF(B103&lt;=INDEX(YieldCurve!$A$4:$A$63,1),1,IF(B103&gt;=INDEX(YieldCurve!$A$4:$A$63,ROWS(YieldCurve!$A$4:$A$63)),ROWS(YieldCurve!$A$4:$A$63)-1,MATCH(B103,YieldCurve!$A$4:$A$63,1)))</f>
        <v/>
      </c>
      <c r="D103">
        <f>INDEX(YieldCurve!$A$4:$A$63,C103)</f>
        <v/>
      </c>
      <c r="E103">
        <f>INDEX(YieldCurve!$A$4:$A$63,C103+1)</f>
        <v/>
      </c>
      <c r="F103">
        <f>INDEX(YieldCurve!$B$4:$B$63,C103)</f>
        <v/>
      </c>
      <c r="G103">
        <f>INDEX(YieldCurve!$B$4:$B$63,C103+1)</f>
        <v/>
      </c>
      <c r="H103">
        <f>IF(E103=D103,0,(B103-D103)/(E103-D103))</f>
        <v/>
      </c>
      <c r="I103">
        <f>-(F103+Inputs!$B$9)*D103</f>
        <v/>
      </c>
      <c r="J103">
        <f>-(G103+Inputs!$B$9)*E103</f>
        <v/>
      </c>
      <c r="K103">
        <f>IF(B103&lt;=INDEX(YieldCurve!$A$4:$A$63,1),-(INDEX(YieldCurve!$B$4:$B$63,1)+Inputs!$B$9)*B103,IF(B103&gt;=INDEX(YieldCurve!$A$4:$A$63,ROWS(YieldCurve!$A$4:$A$63)),-(INDEX(YieldCurve!$B$4:$B$63,ROWS(YieldCurve!$B$4:$B$63))+Inputs!$B$9)*B103,I103+H103*(J103-I103)))</f>
        <v/>
      </c>
      <c r="L103">
        <f>EXP(K103)</f>
        <v/>
      </c>
    </row>
    <row r="104">
      <c r="A104" t="n">
        <v>101</v>
      </c>
      <c r="B104">
        <f>A104/Inputs!$B$6</f>
        <v/>
      </c>
      <c r="C104">
        <f>IF(B104&lt;=INDEX(YieldCurve!$A$4:$A$63,1),1,IF(B104&gt;=INDEX(YieldCurve!$A$4:$A$63,ROWS(YieldCurve!$A$4:$A$63)),ROWS(YieldCurve!$A$4:$A$63)-1,MATCH(B104,YieldCurve!$A$4:$A$63,1)))</f>
        <v/>
      </c>
      <c r="D104">
        <f>INDEX(YieldCurve!$A$4:$A$63,C104)</f>
        <v/>
      </c>
      <c r="E104">
        <f>INDEX(YieldCurve!$A$4:$A$63,C104+1)</f>
        <v/>
      </c>
      <c r="F104">
        <f>INDEX(YieldCurve!$B$4:$B$63,C104)</f>
        <v/>
      </c>
      <c r="G104">
        <f>INDEX(YieldCurve!$B$4:$B$63,C104+1)</f>
        <v/>
      </c>
      <c r="H104">
        <f>IF(E104=D104,0,(B104-D104)/(E104-D104))</f>
        <v/>
      </c>
      <c r="I104">
        <f>-(F104+Inputs!$B$9)*D104</f>
        <v/>
      </c>
      <c r="J104">
        <f>-(G104+Inputs!$B$9)*E104</f>
        <v/>
      </c>
      <c r="K104">
        <f>IF(B104&lt;=INDEX(YieldCurve!$A$4:$A$63,1),-(INDEX(YieldCurve!$B$4:$B$63,1)+Inputs!$B$9)*B104,IF(B104&gt;=INDEX(YieldCurve!$A$4:$A$63,ROWS(YieldCurve!$A$4:$A$63)),-(INDEX(YieldCurve!$B$4:$B$63,ROWS(YieldCurve!$B$4:$B$63))+Inputs!$B$9)*B104,I104+H104*(J104-I104)))</f>
        <v/>
      </c>
      <c r="L104">
        <f>EXP(K104)</f>
        <v/>
      </c>
    </row>
    <row r="105">
      <c r="A105" t="n">
        <v>102</v>
      </c>
      <c r="B105">
        <f>A105/Inputs!$B$6</f>
        <v/>
      </c>
      <c r="C105">
        <f>IF(B105&lt;=INDEX(YieldCurve!$A$4:$A$63,1),1,IF(B105&gt;=INDEX(YieldCurve!$A$4:$A$63,ROWS(YieldCurve!$A$4:$A$63)),ROWS(YieldCurve!$A$4:$A$63)-1,MATCH(B105,YieldCurve!$A$4:$A$63,1)))</f>
        <v/>
      </c>
      <c r="D105">
        <f>INDEX(YieldCurve!$A$4:$A$63,C105)</f>
        <v/>
      </c>
      <c r="E105">
        <f>INDEX(YieldCurve!$A$4:$A$63,C105+1)</f>
        <v/>
      </c>
      <c r="F105">
        <f>INDEX(YieldCurve!$B$4:$B$63,C105)</f>
        <v/>
      </c>
      <c r="G105">
        <f>INDEX(YieldCurve!$B$4:$B$63,C105+1)</f>
        <v/>
      </c>
      <c r="H105">
        <f>IF(E105=D105,0,(B105-D105)/(E105-D105))</f>
        <v/>
      </c>
      <c r="I105">
        <f>-(F105+Inputs!$B$9)*D105</f>
        <v/>
      </c>
      <c r="J105">
        <f>-(G105+Inputs!$B$9)*E105</f>
        <v/>
      </c>
      <c r="K105">
        <f>IF(B105&lt;=INDEX(YieldCurve!$A$4:$A$63,1),-(INDEX(YieldCurve!$B$4:$B$63,1)+Inputs!$B$9)*B105,IF(B105&gt;=INDEX(YieldCurve!$A$4:$A$63,ROWS(YieldCurve!$A$4:$A$63)),-(INDEX(YieldCurve!$B$4:$B$63,ROWS(YieldCurve!$B$4:$B$63))+Inputs!$B$9)*B105,I105+H105*(J105-I105)))</f>
        <v/>
      </c>
      <c r="L105">
        <f>EXP(K105)</f>
        <v/>
      </c>
    </row>
    <row r="106">
      <c r="A106" t="n">
        <v>103</v>
      </c>
      <c r="B106">
        <f>A106/Inputs!$B$6</f>
        <v/>
      </c>
      <c r="C106">
        <f>IF(B106&lt;=INDEX(YieldCurve!$A$4:$A$63,1),1,IF(B106&gt;=INDEX(YieldCurve!$A$4:$A$63,ROWS(YieldCurve!$A$4:$A$63)),ROWS(YieldCurve!$A$4:$A$63)-1,MATCH(B106,YieldCurve!$A$4:$A$63,1)))</f>
        <v/>
      </c>
      <c r="D106">
        <f>INDEX(YieldCurve!$A$4:$A$63,C106)</f>
        <v/>
      </c>
      <c r="E106">
        <f>INDEX(YieldCurve!$A$4:$A$63,C106+1)</f>
        <v/>
      </c>
      <c r="F106">
        <f>INDEX(YieldCurve!$B$4:$B$63,C106)</f>
        <v/>
      </c>
      <c r="G106">
        <f>INDEX(YieldCurve!$B$4:$B$63,C106+1)</f>
        <v/>
      </c>
      <c r="H106">
        <f>IF(E106=D106,0,(B106-D106)/(E106-D106))</f>
        <v/>
      </c>
      <c r="I106">
        <f>-(F106+Inputs!$B$9)*D106</f>
        <v/>
      </c>
      <c r="J106">
        <f>-(G106+Inputs!$B$9)*E106</f>
        <v/>
      </c>
      <c r="K106">
        <f>IF(B106&lt;=INDEX(YieldCurve!$A$4:$A$63,1),-(INDEX(YieldCurve!$B$4:$B$63,1)+Inputs!$B$9)*B106,IF(B106&gt;=INDEX(YieldCurve!$A$4:$A$63,ROWS(YieldCurve!$A$4:$A$63)),-(INDEX(YieldCurve!$B$4:$B$63,ROWS(YieldCurve!$B$4:$B$63))+Inputs!$B$9)*B106,I106+H106*(J106-I106)))</f>
        <v/>
      </c>
      <c r="L106">
        <f>EXP(K106)</f>
        <v/>
      </c>
    </row>
    <row r="107">
      <c r="A107" t="n">
        <v>104</v>
      </c>
      <c r="B107">
        <f>A107/Inputs!$B$6</f>
        <v/>
      </c>
      <c r="C107">
        <f>IF(B107&lt;=INDEX(YieldCurve!$A$4:$A$63,1),1,IF(B107&gt;=INDEX(YieldCurve!$A$4:$A$63,ROWS(YieldCurve!$A$4:$A$63)),ROWS(YieldCurve!$A$4:$A$63)-1,MATCH(B107,YieldCurve!$A$4:$A$63,1)))</f>
        <v/>
      </c>
      <c r="D107">
        <f>INDEX(YieldCurve!$A$4:$A$63,C107)</f>
        <v/>
      </c>
      <c r="E107">
        <f>INDEX(YieldCurve!$A$4:$A$63,C107+1)</f>
        <v/>
      </c>
      <c r="F107">
        <f>INDEX(YieldCurve!$B$4:$B$63,C107)</f>
        <v/>
      </c>
      <c r="G107">
        <f>INDEX(YieldCurve!$B$4:$B$63,C107+1)</f>
        <v/>
      </c>
      <c r="H107">
        <f>IF(E107=D107,0,(B107-D107)/(E107-D107))</f>
        <v/>
      </c>
      <c r="I107">
        <f>-(F107+Inputs!$B$9)*D107</f>
        <v/>
      </c>
      <c r="J107">
        <f>-(G107+Inputs!$B$9)*E107</f>
        <v/>
      </c>
      <c r="K107">
        <f>IF(B107&lt;=INDEX(YieldCurve!$A$4:$A$63,1),-(INDEX(YieldCurve!$B$4:$B$63,1)+Inputs!$B$9)*B107,IF(B107&gt;=INDEX(YieldCurve!$A$4:$A$63,ROWS(YieldCurve!$A$4:$A$63)),-(INDEX(YieldCurve!$B$4:$B$63,ROWS(YieldCurve!$B$4:$B$63))+Inputs!$B$9)*B107,I107+H107*(J107-I107)))</f>
        <v/>
      </c>
      <c r="L107">
        <f>EXP(K107)</f>
        <v/>
      </c>
    </row>
    <row r="108">
      <c r="A108" t="n">
        <v>105</v>
      </c>
      <c r="B108">
        <f>A108/Inputs!$B$6</f>
        <v/>
      </c>
      <c r="C108">
        <f>IF(B108&lt;=INDEX(YieldCurve!$A$4:$A$63,1),1,IF(B108&gt;=INDEX(YieldCurve!$A$4:$A$63,ROWS(YieldCurve!$A$4:$A$63)),ROWS(YieldCurve!$A$4:$A$63)-1,MATCH(B108,YieldCurve!$A$4:$A$63,1)))</f>
        <v/>
      </c>
      <c r="D108">
        <f>INDEX(YieldCurve!$A$4:$A$63,C108)</f>
        <v/>
      </c>
      <c r="E108">
        <f>INDEX(YieldCurve!$A$4:$A$63,C108+1)</f>
        <v/>
      </c>
      <c r="F108">
        <f>INDEX(YieldCurve!$B$4:$B$63,C108)</f>
        <v/>
      </c>
      <c r="G108">
        <f>INDEX(YieldCurve!$B$4:$B$63,C108+1)</f>
        <v/>
      </c>
      <c r="H108">
        <f>IF(E108=D108,0,(B108-D108)/(E108-D108))</f>
        <v/>
      </c>
      <c r="I108">
        <f>-(F108+Inputs!$B$9)*D108</f>
        <v/>
      </c>
      <c r="J108">
        <f>-(G108+Inputs!$B$9)*E108</f>
        <v/>
      </c>
      <c r="K108">
        <f>IF(B108&lt;=INDEX(YieldCurve!$A$4:$A$63,1),-(INDEX(YieldCurve!$B$4:$B$63,1)+Inputs!$B$9)*B108,IF(B108&gt;=INDEX(YieldCurve!$A$4:$A$63,ROWS(YieldCurve!$A$4:$A$63)),-(INDEX(YieldCurve!$B$4:$B$63,ROWS(YieldCurve!$B$4:$B$63))+Inputs!$B$9)*B108,I108+H108*(J108-I108)))</f>
        <v/>
      </c>
      <c r="L108">
        <f>EXP(K108)</f>
        <v/>
      </c>
    </row>
    <row r="109">
      <c r="A109" t="n">
        <v>106</v>
      </c>
      <c r="B109">
        <f>A109/Inputs!$B$6</f>
        <v/>
      </c>
      <c r="C109">
        <f>IF(B109&lt;=INDEX(YieldCurve!$A$4:$A$63,1),1,IF(B109&gt;=INDEX(YieldCurve!$A$4:$A$63,ROWS(YieldCurve!$A$4:$A$63)),ROWS(YieldCurve!$A$4:$A$63)-1,MATCH(B109,YieldCurve!$A$4:$A$63,1)))</f>
        <v/>
      </c>
      <c r="D109">
        <f>INDEX(YieldCurve!$A$4:$A$63,C109)</f>
        <v/>
      </c>
      <c r="E109">
        <f>INDEX(YieldCurve!$A$4:$A$63,C109+1)</f>
        <v/>
      </c>
      <c r="F109">
        <f>INDEX(YieldCurve!$B$4:$B$63,C109)</f>
        <v/>
      </c>
      <c r="G109">
        <f>INDEX(YieldCurve!$B$4:$B$63,C109+1)</f>
        <v/>
      </c>
      <c r="H109">
        <f>IF(E109=D109,0,(B109-D109)/(E109-D109))</f>
        <v/>
      </c>
      <c r="I109">
        <f>-(F109+Inputs!$B$9)*D109</f>
        <v/>
      </c>
      <c r="J109">
        <f>-(G109+Inputs!$B$9)*E109</f>
        <v/>
      </c>
      <c r="K109">
        <f>IF(B109&lt;=INDEX(YieldCurve!$A$4:$A$63,1),-(INDEX(YieldCurve!$B$4:$B$63,1)+Inputs!$B$9)*B109,IF(B109&gt;=INDEX(YieldCurve!$A$4:$A$63,ROWS(YieldCurve!$A$4:$A$63)),-(INDEX(YieldCurve!$B$4:$B$63,ROWS(YieldCurve!$B$4:$B$63))+Inputs!$B$9)*B109,I109+H109*(J109-I109)))</f>
        <v/>
      </c>
      <c r="L109">
        <f>EXP(K109)</f>
        <v/>
      </c>
    </row>
    <row r="110">
      <c r="A110" t="n">
        <v>107</v>
      </c>
      <c r="B110">
        <f>A110/Inputs!$B$6</f>
        <v/>
      </c>
      <c r="C110">
        <f>IF(B110&lt;=INDEX(YieldCurve!$A$4:$A$63,1),1,IF(B110&gt;=INDEX(YieldCurve!$A$4:$A$63,ROWS(YieldCurve!$A$4:$A$63)),ROWS(YieldCurve!$A$4:$A$63)-1,MATCH(B110,YieldCurve!$A$4:$A$63,1)))</f>
        <v/>
      </c>
      <c r="D110">
        <f>INDEX(YieldCurve!$A$4:$A$63,C110)</f>
        <v/>
      </c>
      <c r="E110">
        <f>INDEX(YieldCurve!$A$4:$A$63,C110+1)</f>
        <v/>
      </c>
      <c r="F110">
        <f>INDEX(YieldCurve!$B$4:$B$63,C110)</f>
        <v/>
      </c>
      <c r="G110">
        <f>INDEX(YieldCurve!$B$4:$B$63,C110+1)</f>
        <v/>
      </c>
      <c r="H110">
        <f>IF(E110=D110,0,(B110-D110)/(E110-D110))</f>
        <v/>
      </c>
      <c r="I110">
        <f>-(F110+Inputs!$B$9)*D110</f>
        <v/>
      </c>
      <c r="J110">
        <f>-(G110+Inputs!$B$9)*E110</f>
        <v/>
      </c>
      <c r="K110">
        <f>IF(B110&lt;=INDEX(YieldCurve!$A$4:$A$63,1),-(INDEX(YieldCurve!$B$4:$B$63,1)+Inputs!$B$9)*B110,IF(B110&gt;=INDEX(YieldCurve!$A$4:$A$63,ROWS(YieldCurve!$A$4:$A$63)),-(INDEX(YieldCurve!$B$4:$B$63,ROWS(YieldCurve!$B$4:$B$63))+Inputs!$B$9)*B110,I110+H110*(J110-I110)))</f>
        <v/>
      </c>
      <c r="L110">
        <f>EXP(K110)</f>
        <v/>
      </c>
    </row>
    <row r="111">
      <c r="A111" t="n">
        <v>108</v>
      </c>
      <c r="B111">
        <f>A111/Inputs!$B$6</f>
        <v/>
      </c>
      <c r="C111">
        <f>IF(B111&lt;=INDEX(YieldCurve!$A$4:$A$63,1),1,IF(B111&gt;=INDEX(YieldCurve!$A$4:$A$63,ROWS(YieldCurve!$A$4:$A$63)),ROWS(YieldCurve!$A$4:$A$63)-1,MATCH(B111,YieldCurve!$A$4:$A$63,1)))</f>
        <v/>
      </c>
      <c r="D111">
        <f>INDEX(YieldCurve!$A$4:$A$63,C111)</f>
        <v/>
      </c>
      <c r="E111">
        <f>INDEX(YieldCurve!$A$4:$A$63,C111+1)</f>
        <v/>
      </c>
      <c r="F111">
        <f>INDEX(YieldCurve!$B$4:$B$63,C111)</f>
        <v/>
      </c>
      <c r="G111">
        <f>INDEX(YieldCurve!$B$4:$B$63,C111+1)</f>
        <v/>
      </c>
      <c r="H111">
        <f>IF(E111=D111,0,(B111-D111)/(E111-D111))</f>
        <v/>
      </c>
      <c r="I111">
        <f>-(F111+Inputs!$B$9)*D111</f>
        <v/>
      </c>
      <c r="J111">
        <f>-(G111+Inputs!$B$9)*E111</f>
        <v/>
      </c>
      <c r="K111">
        <f>IF(B111&lt;=INDEX(YieldCurve!$A$4:$A$63,1),-(INDEX(YieldCurve!$B$4:$B$63,1)+Inputs!$B$9)*B111,IF(B111&gt;=INDEX(YieldCurve!$A$4:$A$63,ROWS(YieldCurve!$A$4:$A$63)),-(INDEX(YieldCurve!$B$4:$B$63,ROWS(YieldCurve!$B$4:$B$63))+Inputs!$B$9)*B111,I111+H111*(J111-I111)))</f>
        <v/>
      </c>
      <c r="L111">
        <f>EXP(K111)</f>
        <v/>
      </c>
    </row>
    <row r="112">
      <c r="A112" t="n">
        <v>109</v>
      </c>
      <c r="B112">
        <f>A112/Inputs!$B$6</f>
        <v/>
      </c>
      <c r="C112">
        <f>IF(B112&lt;=INDEX(YieldCurve!$A$4:$A$63,1),1,IF(B112&gt;=INDEX(YieldCurve!$A$4:$A$63,ROWS(YieldCurve!$A$4:$A$63)),ROWS(YieldCurve!$A$4:$A$63)-1,MATCH(B112,YieldCurve!$A$4:$A$63,1)))</f>
        <v/>
      </c>
      <c r="D112">
        <f>INDEX(YieldCurve!$A$4:$A$63,C112)</f>
        <v/>
      </c>
      <c r="E112">
        <f>INDEX(YieldCurve!$A$4:$A$63,C112+1)</f>
        <v/>
      </c>
      <c r="F112">
        <f>INDEX(YieldCurve!$B$4:$B$63,C112)</f>
        <v/>
      </c>
      <c r="G112">
        <f>INDEX(YieldCurve!$B$4:$B$63,C112+1)</f>
        <v/>
      </c>
      <c r="H112">
        <f>IF(E112=D112,0,(B112-D112)/(E112-D112))</f>
        <v/>
      </c>
      <c r="I112">
        <f>-(F112+Inputs!$B$9)*D112</f>
        <v/>
      </c>
      <c r="J112">
        <f>-(G112+Inputs!$B$9)*E112</f>
        <v/>
      </c>
      <c r="K112">
        <f>IF(B112&lt;=INDEX(YieldCurve!$A$4:$A$63,1),-(INDEX(YieldCurve!$B$4:$B$63,1)+Inputs!$B$9)*B112,IF(B112&gt;=INDEX(YieldCurve!$A$4:$A$63,ROWS(YieldCurve!$A$4:$A$63)),-(INDEX(YieldCurve!$B$4:$B$63,ROWS(YieldCurve!$B$4:$B$63))+Inputs!$B$9)*B112,I112+H112*(J112-I112)))</f>
        <v/>
      </c>
      <c r="L112">
        <f>EXP(K112)</f>
        <v/>
      </c>
    </row>
    <row r="113">
      <c r="A113" t="n">
        <v>110</v>
      </c>
      <c r="B113">
        <f>A113/Inputs!$B$6</f>
        <v/>
      </c>
      <c r="C113">
        <f>IF(B113&lt;=INDEX(YieldCurve!$A$4:$A$63,1),1,IF(B113&gt;=INDEX(YieldCurve!$A$4:$A$63,ROWS(YieldCurve!$A$4:$A$63)),ROWS(YieldCurve!$A$4:$A$63)-1,MATCH(B113,YieldCurve!$A$4:$A$63,1)))</f>
        <v/>
      </c>
      <c r="D113">
        <f>INDEX(YieldCurve!$A$4:$A$63,C113)</f>
        <v/>
      </c>
      <c r="E113">
        <f>INDEX(YieldCurve!$A$4:$A$63,C113+1)</f>
        <v/>
      </c>
      <c r="F113">
        <f>INDEX(YieldCurve!$B$4:$B$63,C113)</f>
        <v/>
      </c>
      <c r="G113">
        <f>INDEX(YieldCurve!$B$4:$B$63,C113+1)</f>
        <v/>
      </c>
      <c r="H113">
        <f>IF(E113=D113,0,(B113-D113)/(E113-D113))</f>
        <v/>
      </c>
      <c r="I113">
        <f>-(F113+Inputs!$B$9)*D113</f>
        <v/>
      </c>
      <c r="J113">
        <f>-(G113+Inputs!$B$9)*E113</f>
        <v/>
      </c>
      <c r="K113">
        <f>IF(B113&lt;=INDEX(YieldCurve!$A$4:$A$63,1),-(INDEX(YieldCurve!$B$4:$B$63,1)+Inputs!$B$9)*B113,IF(B113&gt;=INDEX(YieldCurve!$A$4:$A$63,ROWS(YieldCurve!$A$4:$A$63)),-(INDEX(YieldCurve!$B$4:$B$63,ROWS(YieldCurve!$B$4:$B$63))+Inputs!$B$9)*B113,I113+H113*(J113-I113)))</f>
        <v/>
      </c>
      <c r="L113">
        <f>EXP(K113)</f>
        <v/>
      </c>
    </row>
    <row r="114">
      <c r="A114" t="n">
        <v>111</v>
      </c>
      <c r="B114">
        <f>A114/Inputs!$B$6</f>
        <v/>
      </c>
      <c r="C114">
        <f>IF(B114&lt;=INDEX(YieldCurve!$A$4:$A$63,1),1,IF(B114&gt;=INDEX(YieldCurve!$A$4:$A$63,ROWS(YieldCurve!$A$4:$A$63)),ROWS(YieldCurve!$A$4:$A$63)-1,MATCH(B114,YieldCurve!$A$4:$A$63,1)))</f>
        <v/>
      </c>
      <c r="D114">
        <f>INDEX(YieldCurve!$A$4:$A$63,C114)</f>
        <v/>
      </c>
      <c r="E114">
        <f>INDEX(YieldCurve!$A$4:$A$63,C114+1)</f>
        <v/>
      </c>
      <c r="F114">
        <f>INDEX(YieldCurve!$B$4:$B$63,C114)</f>
        <v/>
      </c>
      <c r="G114">
        <f>INDEX(YieldCurve!$B$4:$B$63,C114+1)</f>
        <v/>
      </c>
      <c r="H114">
        <f>IF(E114=D114,0,(B114-D114)/(E114-D114))</f>
        <v/>
      </c>
      <c r="I114">
        <f>-(F114+Inputs!$B$9)*D114</f>
        <v/>
      </c>
      <c r="J114">
        <f>-(G114+Inputs!$B$9)*E114</f>
        <v/>
      </c>
      <c r="K114">
        <f>IF(B114&lt;=INDEX(YieldCurve!$A$4:$A$63,1),-(INDEX(YieldCurve!$B$4:$B$63,1)+Inputs!$B$9)*B114,IF(B114&gt;=INDEX(YieldCurve!$A$4:$A$63,ROWS(YieldCurve!$A$4:$A$63)),-(INDEX(YieldCurve!$B$4:$B$63,ROWS(YieldCurve!$B$4:$B$63))+Inputs!$B$9)*B114,I114+H114*(J114-I114)))</f>
        <v/>
      </c>
      <c r="L114">
        <f>EXP(K114)</f>
        <v/>
      </c>
    </row>
    <row r="115">
      <c r="A115" t="n">
        <v>112</v>
      </c>
      <c r="B115">
        <f>A115/Inputs!$B$6</f>
        <v/>
      </c>
      <c r="C115">
        <f>IF(B115&lt;=INDEX(YieldCurve!$A$4:$A$63,1),1,IF(B115&gt;=INDEX(YieldCurve!$A$4:$A$63,ROWS(YieldCurve!$A$4:$A$63)),ROWS(YieldCurve!$A$4:$A$63)-1,MATCH(B115,YieldCurve!$A$4:$A$63,1)))</f>
        <v/>
      </c>
      <c r="D115">
        <f>INDEX(YieldCurve!$A$4:$A$63,C115)</f>
        <v/>
      </c>
      <c r="E115">
        <f>INDEX(YieldCurve!$A$4:$A$63,C115+1)</f>
        <v/>
      </c>
      <c r="F115">
        <f>INDEX(YieldCurve!$B$4:$B$63,C115)</f>
        <v/>
      </c>
      <c r="G115">
        <f>INDEX(YieldCurve!$B$4:$B$63,C115+1)</f>
        <v/>
      </c>
      <c r="H115">
        <f>IF(E115=D115,0,(B115-D115)/(E115-D115))</f>
        <v/>
      </c>
      <c r="I115">
        <f>-(F115+Inputs!$B$9)*D115</f>
        <v/>
      </c>
      <c r="J115">
        <f>-(G115+Inputs!$B$9)*E115</f>
        <v/>
      </c>
      <c r="K115">
        <f>IF(B115&lt;=INDEX(YieldCurve!$A$4:$A$63,1),-(INDEX(YieldCurve!$B$4:$B$63,1)+Inputs!$B$9)*B115,IF(B115&gt;=INDEX(YieldCurve!$A$4:$A$63,ROWS(YieldCurve!$A$4:$A$63)),-(INDEX(YieldCurve!$B$4:$B$63,ROWS(YieldCurve!$B$4:$B$63))+Inputs!$B$9)*B115,I115+H115*(J115-I115)))</f>
        <v/>
      </c>
      <c r="L115">
        <f>EXP(K115)</f>
        <v/>
      </c>
    </row>
    <row r="116">
      <c r="A116" t="n">
        <v>113</v>
      </c>
      <c r="B116">
        <f>A116/Inputs!$B$6</f>
        <v/>
      </c>
      <c r="C116">
        <f>IF(B116&lt;=INDEX(YieldCurve!$A$4:$A$63,1),1,IF(B116&gt;=INDEX(YieldCurve!$A$4:$A$63,ROWS(YieldCurve!$A$4:$A$63)),ROWS(YieldCurve!$A$4:$A$63)-1,MATCH(B116,YieldCurve!$A$4:$A$63,1)))</f>
        <v/>
      </c>
      <c r="D116">
        <f>INDEX(YieldCurve!$A$4:$A$63,C116)</f>
        <v/>
      </c>
      <c r="E116">
        <f>INDEX(YieldCurve!$A$4:$A$63,C116+1)</f>
        <v/>
      </c>
      <c r="F116">
        <f>INDEX(YieldCurve!$B$4:$B$63,C116)</f>
        <v/>
      </c>
      <c r="G116">
        <f>INDEX(YieldCurve!$B$4:$B$63,C116+1)</f>
        <v/>
      </c>
      <c r="H116">
        <f>IF(E116=D116,0,(B116-D116)/(E116-D116))</f>
        <v/>
      </c>
      <c r="I116">
        <f>-(F116+Inputs!$B$9)*D116</f>
        <v/>
      </c>
      <c r="J116">
        <f>-(G116+Inputs!$B$9)*E116</f>
        <v/>
      </c>
      <c r="K116">
        <f>IF(B116&lt;=INDEX(YieldCurve!$A$4:$A$63,1),-(INDEX(YieldCurve!$B$4:$B$63,1)+Inputs!$B$9)*B116,IF(B116&gt;=INDEX(YieldCurve!$A$4:$A$63,ROWS(YieldCurve!$A$4:$A$63)),-(INDEX(YieldCurve!$B$4:$B$63,ROWS(YieldCurve!$B$4:$B$63))+Inputs!$B$9)*B116,I116+H116*(J116-I116)))</f>
        <v/>
      </c>
      <c r="L116">
        <f>EXP(K116)</f>
        <v/>
      </c>
    </row>
    <row r="117">
      <c r="A117" t="n">
        <v>114</v>
      </c>
      <c r="B117">
        <f>A117/Inputs!$B$6</f>
        <v/>
      </c>
      <c r="C117">
        <f>IF(B117&lt;=INDEX(YieldCurve!$A$4:$A$63,1),1,IF(B117&gt;=INDEX(YieldCurve!$A$4:$A$63,ROWS(YieldCurve!$A$4:$A$63)),ROWS(YieldCurve!$A$4:$A$63)-1,MATCH(B117,YieldCurve!$A$4:$A$63,1)))</f>
        <v/>
      </c>
      <c r="D117">
        <f>INDEX(YieldCurve!$A$4:$A$63,C117)</f>
        <v/>
      </c>
      <c r="E117">
        <f>INDEX(YieldCurve!$A$4:$A$63,C117+1)</f>
        <v/>
      </c>
      <c r="F117">
        <f>INDEX(YieldCurve!$B$4:$B$63,C117)</f>
        <v/>
      </c>
      <c r="G117">
        <f>INDEX(YieldCurve!$B$4:$B$63,C117+1)</f>
        <v/>
      </c>
      <c r="H117">
        <f>IF(E117=D117,0,(B117-D117)/(E117-D117))</f>
        <v/>
      </c>
      <c r="I117">
        <f>-(F117+Inputs!$B$9)*D117</f>
        <v/>
      </c>
      <c r="J117">
        <f>-(G117+Inputs!$B$9)*E117</f>
        <v/>
      </c>
      <c r="K117">
        <f>IF(B117&lt;=INDEX(YieldCurve!$A$4:$A$63,1),-(INDEX(YieldCurve!$B$4:$B$63,1)+Inputs!$B$9)*B117,IF(B117&gt;=INDEX(YieldCurve!$A$4:$A$63,ROWS(YieldCurve!$A$4:$A$63)),-(INDEX(YieldCurve!$B$4:$B$63,ROWS(YieldCurve!$B$4:$B$63))+Inputs!$B$9)*B117,I117+H117*(J117-I117)))</f>
        <v/>
      </c>
      <c r="L117">
        <f>EXP(K117)</f>
        <v/>
      </c>
    </row>
    <row r="118">
      <c r="A118" t="n">
        <v>115</v>
      </c>
      <c r="B118">
        <f>A118/Inputs!$B$6</f>
        <v/>
      </c>
      <c r="C118">
        <f>IF(B118&lt;=INDEX(YieldCurve!$A$4:$A$63,1),1,IF(B118&gt;=INDEX(YieldCurve!$A$4:$A$63,ROWS(YieldCurve!$A$4:$A$63)),ROWS(YieldCurve!$A$4:$A$63)-1,MATCH(B118,YieldCurve!$A$4:$A$63,1)))</f>
        <v/>
      </c>
      <c r="D118">
        <f>INDEX(YieldCurve!$A$4:$A$63,C118)</f>
        <v/>
      </c>
      <c r="E118">
        <f>INDEX(YieldCurve!$A$4:$A$63,C118+1)</f>
        <v/>
      </c>
      <c r="F118">
        <f>INDEX(YieldCurve!$B$4:$B$63,C118)</f>
        <v/>
      </c>
      <c r="G118">
        <f>INDEX(YieldCurve!$B$4:$B$63,C118+1)</f>
        <v/>
      </c>
      <c r="H118">
        <f>IF(E118=D118,0,(B118-D118)/(E118-D118))</f>
        <v/>
      </c>
      <c r="I118">
        <f>-(F118+Inputs!$B$9)*D118</f>
        <v/>
      </c>
      <c r="J118">
        <f>-(G118+Inputs!$B$9)*E118</f>
        <v/>
      </c>
      <c r="K118">
        <f>IF(B118&lt;=INDEX(YieldCurve!$A$4:$A$63,1),-(INDEX(YieldCurve!$B$4:$B$63,1)+Inputs!$B$9)*B118,IF(B118&gt;=INDEX(YieldCurve!$A$4:$A$63,ROWS(YieldCurve!$A$4:$A$63)),-(INDEX(YieldCurve!$B$4:$B$63,ROWS(YieldCurve!$B$4:$B$63))+Inputs!$B$9)*B118,I118+H118*(J118-I118)))</f>
        <v/>
      </c>
      <c r="L118">
        <f>EXP(K118)</f>
        <v/>
      </c>
    </row>
    <row r="119">
      <c r="A119" t="n">
        <v>116</v>
      </c>
      <c r="B119">
        <f>A119/Inputs!$B$6</f>
        <v/>
      </c>
      <c r="C119">
        <f>IF(B119&lt;=INDEX(YieldCurve!$A$4:$A$63,1),1,IF(B119&gt;=INDEX(YieldCurve!$A$4:$A$63,ROWS(YieldCurve!$A$4:$A$63)),ROWS(YieldCurve!$A$4:$A$63)-1,MATCH(B119,YieldCurve!$A$4:$A$63,1)))</f>
        <v/>
      </c>
      <c r="D119">
        <f>INDEX(YieldCurve!$A$4:$A$63,C119)</f>
        <v/>
      </c>
      <c r="E119">
        <f>INDEX(YieldCurve!$A$4:$A$63,C119+1)</f>
        <v/>
      </c>
      <c r="F119">
        <f>INDEX(YieldCurve!$B$4:$B$63,C119)</f>
        <v/>
      </c>
      <c r="G119">
        <f>INDEX(YieldCurve!$B$4:$B$63,C119+1)</f>
        <v/>
      </c>
      <c r="H119">
        <f>IF(E119=D119,0,(B119-D119)/(E119-D119))</f>
        <v/>
      </c>
      <c r="I119">
        <f>-(F119+Inputs!$B$9)*D119</f>
        <v/>
      </c>
      <c r="J119">
        <f>-(G119+Inputs!$B$9)*E119</f>
        <v/>
      </c>
      <c r="K119">
        <f>IF(B119&lt;=INDEX(YieldCurve!$A$4:$A$63,1),-(INDEX(YieldCurve!$B$4:$B$63,1)+Inputs!$B$9)*B119,IF(B119&gt;=INDEX(YieldCurve!$A$4:$A$63,ROWS(YieldCurve!$A$4:$A$63)),-(INDEX(YieldCurve!$B$4:$B$63,ROWS(YieldCurve!$B$4:$B$63))+Inputs!$B$9)*B119,I119+H119*(J119-I119)))</f>
        <v/>
      </c>
      <c r="L119">
        <f>EXP(K119)</f>
        <v/>
      </c>
    </row>
    <row r="120">
      <c r="A120" t="n">
        <v>117</v>
      </c>
      <c r="B120">
        <f>A120/Inputs!$B$6</f>
        <v/>
      </c>
      <c r="C120">
        <f>IF(B120&lt;=INDEX(YieldCurve!$A$4:$A$63,1),1,IF(B120&gt;=INDEX(YieldCurve!$A$4:$A$63,ROWS(YieldCurve!$A$4:$A$63)),ROWS(YieldCurve!$A$4:$A$63)-1,MATCH(B120,YieldCurve!$A$4:$A$63,1)))</f>
        <v/>
      </c>
      <c r="D120">
        <f>INDEX(YieldCurve!$A$4:$A$63,C120)</f>
        <v/>
      </c>
      <c r="E120">
        <f>INDEX(YieldCurve!$A$4:$A$63,C120+1)</f>
        <v/>
      </c>
      <c r="F120">
        <f>INDEX(YieldCurve!$B$4:$B$63,C120)</f>
        <v/>
      </c>
      <c r="G120">
        <f>INDEX(YieldCurve!$B$4:$B$63,C120+1)</f>
        <v/>
      </c>
      <c r="H120">
        <f>IF(E120=D120,0,(B120-D120)/(E120-D120))</f>
        <v/>
      </c>
      <c r="I120">
        <f>-(F120+Inputs!$B$9)*D120</f>
        <v/>
      </c>
      <c r="J120">
        <f>-(G120+Inputs!$B$9)*E120</f>
        <v/>
      </c>
      <c r="K120">
        <f>IF(B120&lt;=INDEX(YieldCurve!$A$4:$A$63,1),-(INDEX(YieldCurve!$B$4:$B$63,1)+Inputs!$B$9)*B120,IF(B120&gt;=INDEX(YieldCurve!$A$4:$A$63,ROWS(YieldCurve!$A$4:$A$63)),-(INDEX(YieldCurve!$B$4:$B$63,ROWS(YieldCurve!$B$4:$B$63))+Inputs!$B$9)*B120,I120+H120*(J120-I120)))</f>
        <v/>
      </c>
      <c r="L120">
        <f>EXP(K120)</f>
        <v/>
      </c>
    </row>
    <row r="121">
      <c r="A121" t="n">
        <v>118</v>
      </c>
      <c r="B121">
        <f>A121/Inputs!$B$6</f>
        <v/>
      </c>
      <c r="C121">
        <f>IF(B121&lt;=INDEX(YieldCurve!$A$4:$A$63,1),1,IF(B121&gt;=INDEX(YieldCurve!$A$4:$A$63,ROWS(YieldCurve!$A$4:$A$63)),ROWS(YieldCurve!$A$4:$A$63)-1,MATCH(B121,YieldCurve!$A$4:$A$63,1)))</f>
        <v/>
      </c>
      <c r="D121">
        <f>INDEX(YieldCurve!$A$4:$A$63,C121)</f>
        <v/>
      </c>
      <c r="E121">
        <f>INDEX(YieldCurve!$A$4:$A$63,C121+1)</f>
        <v/>
      </c>
      <c r="F121">
        <f>INDEX(YieldCurve!$B$4:$B$63,C121)</f>
        <v/>
      </c>
      <c r="G121">
        <f>INDEX(YieldCurve!$B$4:$B$63,C121+1)</f>
        <v/>
      </c>
      <c r="H121">
        <f>IF(E121=D121,0,(B121-D121)/(E121-D121))</f>
        <v/>
      </c>
      <c r="I121">
        <f>-(F121+Inputs!$B$9)*D121</f>
        <v/>
      </c>
      <c r="J121">
        <f>-(G121+Inputs!$B$9)*E121</f>
        <v/>
      </c>
      <c r="K121">
        <f>IF(B121&lt;=INDEX(YieldCurve!$A$4:$A$63,1),-(INDEX(YieldCurve!$B$4:$B$63,1)+Inputs!$B$9)*B121,IF(B121&gt;=INDEX(YieldCurve!$A$4:$A$63,ROWS(YieldCurve!$A$4:$A$63)),-(INDEX(YieldCurve!$B$4:$B$63,ROWS(YieldCurve!$B$4:$B$63))+Inputs!$B$9)*B121,I121+H121*(J121-I121)))</f>
        <v/>
      </c>
      <c r="L121">
        <f>EXP(K121)</f>
        <v/>
      </c>
    </row>
    <row r="122">
      <c r="A122" t="n">
        <v>119</v>
      </c>
      <c r="B122">
        <f>A122/Inputs!$B$6</f>
        <v/>
      </c>
      <c r="C122">
        <f>IF(B122&lt;=INDEX(YieldCurve!$A$4:$A$63,1),1,IF(B122&gt;=INDEX(YieldCurve!$A$4:$A$63,ROWS(YieldCurve!$A$4:$A$63)),ROWS(YieldCurve!$A$4:$A$63)-1,MATCH(B122,YieldCurve!$A$4:$A$63,1)))</f>
        <v/>
      </c>
      <c r="D122">
        <f>INDEX(YieldCurve!$A$4:$A$63,C122)</f>
        <v/>
      </c>
      <c r="E122">
        <f>INDEX(YieldCurve!$A$4:$A$63,C122+1)</f>
        <v/>
      </c>
      <c r="F122">
        <f>INDEX(YieldCurve!$B$4:$B$63,C122)</f>
        <v/>
      </c>
      <c r="G122">
        <f>INDEX(YieldCurve!$B$4:$B$63,C122+1)</f>
        <v/>
      </c>
      <c r="H122">
        <f>IF(E122=D122,0,(B122-D122)/(E122-D122))</f>
        <v/>
      </c>
      <c r="I122">
        <f>-(F122+Inputs!$B$9)*D122</f>
        <v/>
      </c>
      <c r="J122">
        <f>-(G122+Inputs!$B$9)*E122</f>
        <v/>
      </c>
      <c r="K122">
        <f>IF(B122&lt;=INDEX(YieldCurve!$A$4:$A$63,1),-(INDEX(YieldCurve!$B$4:$B$63,1)+Inputs!$B$9)*B122,IF(B122&gt;=INDEX(YieldCurve!$A$4:$A$63,ROWS(YieldCurve!$A$4:$A$63)),-(INDEX(YieldCurve!$B$4:$B$63,ROWS(YieldCurve!$B$4:$B$63))+Inputs!$B$9)*B122,I122+H122*(J122-I122)))</f>
        <v/>
      </c>
      <c r="L122">
        <f>EXP(K122)</f>
        <v/>
      </c>
    </row>
    <row r="123">
      <c r="A123" t="n">
        <v>120</v>
      </c>
      <c r="B123">
        <f>A123/Inputs!$B$6</f>
        <v/>
      </c>
      <c r="C123">
        <f>IF(B123&lt;=INDEX(YieldCurve!$A$4:$A$63,1),1,IF(B123&gt;=INDEX(YieldCurve!$A$4:$A$63,ROWS(YieldCurve!$A$4:$A$63)),ROWS(YieldCurve!$A$4:$A$63)-1,MATCH(B123,YieldCurve!$A$4:$A$63,1)))</f>
        <v/>
      </c>
      <c r="D123">
        <f>INDEX(YieldCurve!$A$4:$A$63,C123)</f>
        <v/>
      </c>
      <c r="E123">
        <f>INDEX(YieldCurve!$A$4:$A$63,C123+1)</f>
        <v/>
      </c>
      <c r="F123">
        <f>INDEX(YieldCurve!$B$4:$B$63,C123)</f>
        <v/>
      </c>
      <c r="G123">
        <f>INDEX(YieldCurve!$B$4:$B$63,C123+1)</f>
        <v/>
      </c>
      <c r="H123">
        <f>IF(E123=D123,0,(B123-D123)/(E123-D123))</f>
        <v/>
      </c>
      <c r="I123">
        <f>-(F123+Inputs!$B$9)*D123</f>
        <v/>
      </c>
      <c r="J123">
        <f>-(G123+Inputs!$B$9)*E123</f>
        <v/>
      </c>
      <c r="K123">
        <f>IF(B123&lt;=INDEX(YieldCurve!$A$4:$A$63,1),-(INDEX(YieldCurve!$B$4:$B$63,1)+Inputs!$B$9)*B123,IF(B123&gt;=INDEX(YieldCurve!$A$4:$A$63,ROWS(YieldCurve!$A$4:$A$63)),-(INDEX(YieldCurve!$B$4:$B$63,ROWS(YieldCurve!$B$4:$B$63))+Inputs!$B$9)*B123,I123+H123*(J123-I123)))</f>
        <v/>
      </c>
      <c r="L123">
        <f>EXP(K123)</f>
        <v/>
      </c>
    </row>
    <row r="124">
      <c r="A124" t="n">
        <v>121</v>
      </c>
      <c r="B124">
        <f>A124/Inputs!$B$6</f>
        <v/>
      </c>
      <c r="C124">
        <f>IF(B124&lt;=INDEX(YieldCurve!$A$4:$A$63,1),1,IF(B124&gt;=INDEX(YieldCurve!$A$4:$A$63,ROWS(YieldCurve!$A$4:$A$63)),ROWS(YieldCurve!$A$4:$A$63)-1,MATCH(B124,YieldCurve!$A$4:$A$63,1)))</f>
        <v/>
      </c>
      <c r="D124">
        <f>INDEX(YieldCurve!$A$4:$A$63,C124)</f>
        <v/>
      </c>
      <c r="E124">
        <f>INDEX(YieldCurve!$A$4:$A$63,C124+1)</f>
        <v/>
      </c>
      <c r="F124">
        <f>INDEX(YieldCurve!$B$4:$B$63,C124)</f>
        <v/>
      </c>
      <c r="G124">
        <f>INDEX(YieldCurve!$B$4:$B$63,C124+1)</f>
        <v/>
      </c>
      <c r="H124">
        <f>IF(E124=D124,0,(B124-D124)/(E124-D124))</f>
        <v/>
      </c>
      <c r="I124">
        <f>-(F124+Inputs!$B$9)*D124</f>
        <v/>
      </c>
      <c r="J124">
        <f>-(G124+Inputs!$B$9)*E124</f>
        <v/>
      </c>
      <c r="K124">
        <f>IF(B124&lt;=INDEX(YieldCurve!$A$4:$A$63,1),-(INDEX(YieldCurve!$B$4:$B$63,1)+Inputs!$B$9)*B124,IF(B124&gt;=INDEX(YieldCurve!$A$4:$A$63,ROWS(YieldCurve!$A$4:$A$63)),-(INDEX(YieldCurve!$B$4:$B$63,ROWS(YieldCurve!$B$4:$B$63))+Inputs!$B$9)*B124,I124+H124*(J124-I124)))</f>
        <v/>
      </c>
      <c r="L124">
        <f>EXP(K124)</f>
        <v/>
      </c>
    </row>
    <row r="125">
      <c r="A125" t="n">
        <v>122</v>
      </c>
      <c r="B125">
        <f>A125/Inputs!$B$6</f>
        <v/>
      </c>
      <c r="C125">
        <f>IF(B125&lt;=INDEX(YieldCurve!$A$4:$A$63,1),1,IF(B125&gt;=INDEX(YieldCurve!$A$4:$A$63,ROWS(YieldCurve!$A$4:$A$63)),ROWS(YieldCurve!$A$4:$A$63)-1,MATCH(B125,YieldCurve!$A$4:$A$63,1)))</f>
        <v/>
      </c>
      <c r="D125">
        <f>INDEX(YieldCurve!$A$4:$A$63,C125)</f>
        <v/>
      </c>
      <c r="E125">
        <f>INDEX(YieldCurve!$A$4:$A$63,C125+1)</f>
        <v/>
      </c>
      <c r="F125">
        <f>INDEX(YieldCurve!$B$4:$B$63,C125)</f>
        <v/>
      </c>
      <c r="G125">
        <f>INDEX(YieldCurve!$B$4:$B$63,C125+1)</f>
        <v/>
      </c>
      <c r="H125">
        <f>IF(E125=D125,0,(B125-D125)/(E125-D125))</f>
        <v/>
      </c>
      <c r="I125">
        <f>-(F125+Inputs!$B$9)*D125</f>
        <v/>
      </c>
      <c r="J125">
        <f>-(G125+Inputs!$B$9)*E125</f>
        <v/>
      </c>
      <c r="K125">
        <f>IF(B125&lt;=INDEX(YieldCurve!$A$4:$A$63,1),-(INDEX(YieldCurve!$B$4:$B$63,1)+Inputs!$B$9)*B125,IF(B125&gt;=INDEX(YieldCurve!$A$4:$A$63,ROWS(YieldCurve!$A$4:$A$63)),-(INDEX(YieldCurve!$B$4:$B$63,ROWS(YieldCurve!$B$4:$B$63))+Inputs!$B$9)*B125,I125+H125*(J125-I125)))</f>
        <v/>
      </c>
      <c r="L125">
        <f>EXP(K125)</f>
        <v/>
      </c>
    </row>
    <row r="126">
      <c r="A126" t="n">
        <v>123</v>
      </c>
      <c r="B126">
        <f>A126/Inputs!$B$6</f>
        <v/>
      </c>
      <c r="C126">
        <f>IF(B126&lt;=INDEX(YieldCurve!$A$4:$A$63,1),1,IF(B126&gt;=INDEX(YieldCurve!$A$4:$A$63,ROWS(YieldCurve!$A$4:$A$63)),ROWS(YieldCurve!$A$4:$A$63)-1,MATCH(B126,YieldCurve!$A$4:$A$63,1)))</f>
        <v/>
      </c>
      <c r="D126">
        <f>INDEX(YieldCurve!$A$4:$A$63,C126)</f>
        <v/>
      </c>
      <c r="E126">
        <f>INDEX(YieldCurve!$A$4:$A$63,C126+1)</f>
        <v/>
      </c>
      <c r="F126">
        <f>INDEX(YieldCurve!$B$4:$B$63,C126)</f>
        <v/>
      </c>
      <c r="G126">
        <f>INDEX(YieldCurve!$B$4:$B$63,C126+1)</f>
        <v/>
      </c>
      <c r="H126">
        <f>IF(E126=D126,0,(B126-D126)/(E126-D126))</f>
        <v/>
      </c>
      <c r="I126">
        <f>-(F126+Inputs!$B$9)*D126</f>
        <v/>
      </c>
      <c r="J126">
        <f>-(G126+Inputs!$B$9)*E126</f>
        <v/>
      </c>
      <c r="K126">
        <f>IF(B126&lt;=INDEX(YieldCurve!$A$4:$A$63,1),-(INDEX(YieldCurve!$B$4:$B$63,1)+Inputs!$B$9)*B126,IF(B126&gt;=INDEX(YieldCurve!$A$4:$A$63,ROWS(YieldCurve!$A$4:$A$63)),-(INDEX(YieldCurve!$B$4:$B$63,ROWS(YieldCurve!$B$4:$B$63))+Inputs!$B$9)*B126,I126+H126*(J126-I126)))</f>
        <v/>
      </c>
      <c r="L126">
        <f>EXP(K126)</f>
        <v/>
      </c>
    </row>
    <row r="127">
      <c r="A127" t="n">
        <v>124</v>
      </c>
      <c r="B127">
        <f>A127/Inputs!$B$6</f>
        <v/>
      </c>
      <c r="C127">
        <f>IF(B127&lt;=INDEX(YieldCurve!$A$4:$A$63,1),1,IF(B127&gt;=INDEX(YieldCurve!$A$4:$A$63,ROWS(YieldCurve!$A$4:$A$63)),ROWS(YieldCurve!$A$4:$A$63)-1,MATCH(B127,YieldCurve!$A$4:$A$63,1)))</f>
        <v/>
      </c>
      <c r="D127">
        <f>INDEX(YieldCurve!$A$4:$A$63,C127)</f>
        <v/>
      </c>
      <c r="E127">
        <f>INDEX(YieldCurve!$A$4:$A$63,C127+1)</f>
        <v/>
      </c>
      <c r="F127">
        <f>INDEX(YieldCurve!$B$4:$B$63,C127)</f>
        <v/>
      </c>
      <c r="G127">
        <f>INDEX(YieldCurve!$B$4:$B$63,C127+1)</f>
        <v/>
      </c>
      <c r="H127">
        <f>IF(E127=D127,0,(B127-D127)/(E127-D127))</f>
        <v/>
      </c>
      <c r="I127">
        <f>-(F127+Inputs!$B$9)*D127</f>
        <v/>
      </c>
      <c r="J127">
        <f>-(G127+Inputs!$B$9)*E127</f>
        <v/>
      </c>
      <c r="K127">
        <f>IF(B127&lt;=INDEX(YieldCurve!$A$4:$A$63,1),-(INDEX(YieldCurve!$B$4:$B$63,1)+Inputs!$B$9)*B127,IF(B127&gt;=INDEX(YieldCurve!$A$4:$A$63,ROWS(YieldCurve!$A$4:$A$63)),-(INDEX(YieldCurve!$B$4:$B$63,ROWS(YieldCurve!$B$4:$B$63))+Inputs!$B$9)*B127,I127+H127*(J127-I127)))</f>
        <v/>
      </c>
      <c r="L127">
        <f>EXP(K127)</f>
        <v/>
      </c>
    </row>
    <row r="128">
      <c r="A128" t="n">
        <v>125</v>
      </c>
      <c r="B128">
        <f>A128/Inputs!$B$6</f>
        <v/>
      </c>
      <c r="C128">
        <f>IF(B128&lt;=INDEX(YieldCurve!$A$4:$A$63,1),1,IF(B128&gt;=INDEX(YieldCurve!$A$4:$A$63,ROWS(YieldCurve!$A$4:$A$63)),ROWS(YieldCurve!$A$4:$A$63)-1,MATCH(B128,YieldCurve!$A$4:$A$63,1)))</f>
        <v/>
      </c>
      <c r="D128">
        <f>INDEX(YieldCurve!$A$4:$A$63,C128)</f>
        <v/>
      </c>
      <c r="E128">
        <f>INDEX(YieldCurve!$A$4:$A$63,C128+1)</f>
        <v/>
      </c>
      <c r="F128">
        <f>INDEX(YieldCurve!$B$4:$B$63,C128)</f>
        <v/>
      </c>
      <c r="G128">
        <f>INDEX(YieldCurve!$B$4:$B$63,C128+1)</f>
        <v/>
      </c>
      <c r="H128">
        <f>IF(E128=D128,0,(B128-D128)/(E128-D128))</f>
        <v/>
      </c>
      <c r="I128">
        <f>-(F128+Inputs!$B$9)*D128</f>
        <v/>
      </c>
      <c r="J128">
        <f>-(G128+Inputs!$B$9)*E128</f>
        <v/>
      </c>
      <c r="K128">
        <f>IF(B128&lt;=INDEX(YieldCurve!$A$4:$A$63,1),-(INDEX(YieldCurve!$B$4:$B$63,1)+Inputs!$B$9)*B128,IF(B128&gt;=INDEX(YieldCurve!$A$4:$A$63,ROWS(YieldCurve!$A$4:$A$63)),-(INDEX(YieldCurve!$B$4:$B$63,ROWS(YieldCurve!$B$4:$B$63))+Inputs!$B$9)*B128,I128+H128*(J128-I128)))</f>
        <v/>
      </c>
      <c r="L128">
        <f>EXP(K128)</f>
        <v/>
      </c>
    </row>
    <row r="129">
      <c r="A129" t="n">
        <v>126</v>
      </c>
      <c r="B129">
        <f>A129/Inputs!$B$6</f>
        <v/>
      </c>
      <c r="C129">
        <f>IF(B129&lt;=INDEX(YieldCurve!$A$4:$A$63,1),1,IF(B129&gt;=INDEX(YieldCurve!$A$4:$A$63,ROWS(YieldCurve!$A$4:$A$63)),ROWS(YieldCurve!$A$4:$A$63)-1,MATCH(B129,YieldCurve!$A$4:$A$63,1)))</f>
        <v/>
      </c>
      <c r="D129">
        <f>INDEX(YieldCurve!$A$4:$A$63,C129)</f>
        <v/>
      </c>
      <c r="E129">
        <f>INDEX(YieldCurve!$A$4:$A$63,C129+1)</f>
        <v/>
      </c>
      <c r="F129">
        <f>INDEX(YieldCurve!$B$4:$B$63,C129)</f>
        <v/>
      </c>
      <c r="G129">
        <f>INDEX(YieldCurve!$B$4:$B$63,C129+1)</f>
        <v/>
      </c>
      <c r="H129">
        <f>IF(E129=D129,0,(B129-D129)/(E129-D129))</f>
        <v/>
      </c>
      <c r="I129">
        <f>-(F129+Inputs!$B$9)*D129</f>
        <v/>
      </c>
      <c r="J129">
        <f>-(G129+Inputs!$B$9)*E129</f>
        <v/>
      </c>
      <c r="K129">
        <f>IF(B129&lt;=INDEX(YieldCurve!$A$4:$A$63,1),-(INDEX(YieldCurve!$B$4:$B$63,1)+Inputs!$B$9)*B129,IF(B129&gt;=INDEX(YieldCurve!$A$4:$A$63,ROWS(YieldCurve!$A$4:$A$63)),-(INDEX(YieldCurve!$B$4:$B$63,ROWS(YieldCurve!$B$4:$B$63))+Inputs!$B$9)*B129,I129+H129*(J129-I129)))</f>
        <v/>
      </c>
      <c r="L129">
        <f>EXP(K129)</f>
        <v/>
      </c>
    </row>
    <row r="130">
      <c r="A130" t="n">
        <v>127</v>
      </c>
      <c r="B130">
        <f>A130/Inputs!$B$6</f>
        <v/>
      </c>
      <c r="C130">
        <f>IF(B130&lt;=INDEX(YieldCurve!$A$4:$A$63,1),1,IF(B130&gt;=INDEX(YieldCurve!$A$4:$A$63,ROWS(YieldCurve!$A$4:$A$63)),ROWS(YieldCurve!$A$4:$A$63)-1,MATCH(B130,YieldCurve!$A$4:$A$63,1)))</f>
        <v/>
      </c>
      <c r="D130">
        <f>INDEX(YieldCurve!$A$4:$A$63,C130)</f>
        <v/>
      </c>
      <c r="E130">
        <f>INDEX(YieldCurve!$A$4:$A$63,C130+1)</f>
        <v/>
      </c>
      <c r="F130">
        <f>INDEX(YieldCurve!$B$4:$B$63,C130)</f>
        <v/>
      </c>
      <c r="G130">
        <f>INDEX(YieldCurve!$B$4:$B$63,C130+1)</f>
        <v/>
      </c>
      <c r="H130">
        <f>IF(E130=D130,0,(B130-D130)/(E130-D130))</f>
        <v/>
      </c>
      <c r="I130">
        <f>-(F130+Inputs!$B$9)*D130</f>
        <v/>
      </c>
      <c r="J130">
        <f>-(G130+Inputs!$B$9)*E130</f>
        <v/>
      </c>
      <c r="K130">
        <f>IF(B130&lt;=INDEX(YieldCurve!$A$4:$A$63,1),-(INDEX(YieldCurve!$B$4:$B$63,1)+Inputs!$B$9)*B130,IF(B130&gt;=INDEX(YieldCurve!$A$4:$A$63,ROWS(YieldCurve!$A$4:$A$63)),-(INDEX(YieldCurve!$B$4:$B$63,ROWS(YieldCurve!$B$4:$B$63))+Inputs!$B$9)*B130,I130+H130*(J130-I130)))</f>
        <v/>
      </c>
      <c r="L130">
        <f>EXP(K130)</f>
        <v/>
      </c>
    </row>
    <row r="131">
      <c r="A131" t="n">
        <v>128</v>
      </c>
      <c r="B131">
        <f>A131/Inputs!$B$6</f>
        <v/>
      </c>
      <c r="C131">
        <f>IF(B131&lt;=INDEX(YieldCurve!$A$4:$A$63,1),1,IF(B131&gt;=INDEX(YieldCurve!$A$4:$A$63,ROWS(YieldCurve!$A$4:$A$63)),ROWS(YieldCurve!$A$4:$A$63)-1,MATCH(B131,YieldCurve!$A$4:$A$63,1)))</f>
        <v/>
      </c>
      <c r="D131">
        <f>INDEX(YieldCurve!$A$4:$A$63,C131)</f>
        <v/>
      </c>
      <c r="E131">
        <f>INDEX(YieldCurve!$A$4:$A$63,C131+1)</f>
        <v/>
      </c>
      <c r="F131">
        <f>INDEX(YieldCurve!$B$4:$B$63,C131)</f>
        <v/>
      </c>
      <c r="G131">
        <f>INDEX(YieldCurve!$B$4:$B$63,C131+1)</f>
        <v/>
      </c>
      <c r="H131">
        <f>IF(E131=D131,0,(B131-D131)/(E131-D131))</f>
        <v/>
      </c>
      <c r="I131">
        <f>-(F131+Inputs!$B$9)*D131</f>
        <v/>
      </c>
      <c r="J131">
        <f>-(G131+Inputs!$B$9)*E131</f>
        <v/>
      </c>
      <c r="K131">
        <f>IF(B131&lt;=INDEX(YieldCurve!$A$4:$A$63,1),-(INDEX(YieldCurve!$B$4:$B$63,1)+Inputs!$B$9)*B131,IF(B131&gt;=INDEX(YieldCurve!$A$4:$A$63,ROWS(YieldCurve!$A$4:$A$63)),-(INDEX(YieldCurve!$B$4:$B$63,ROWS(YieldCurve!$B$4:$B$63))+Inputs!$B$9)*B131,I131+H131*(J131-I131)))</f>
        <v/>
      </c>
      <c r="L131">
        <f>EXP(K131)</f>
        <v/>
      </c>
    </row>
    <row r="132">
      <c r="A132" t="n">
        <v>129</v>
      </c>
      <c r="B132">
        <f>A132/Inputs!$B$6</f>
        <v/>
      </c>
      <c r="C132">
        <f>IF(B132&lt;=INDEX(YieldCurve!$A$4:$A$63,1),1,IF(B132&gt;=INDEX(YieldCurve!$A$4:$A$63,ROWS(YieldCurve!$A$4:$A$63)),ROWS(YieldCurve!$A$4:$A$63)-1,MATCH(B132,YieldCurve!$A$4:$A$63,1)))</f>
        <v/>
      </c>
      <c r="D132">
        <f>INDEX(YieldCurve!$A$4:$A$63,C132)</f>
        <v/>
      </c>
      <c r="E132">
        <f>INDEX(YieldCurve!$A$4:$A$63,C132+1)</f>
        <v/>
      </c>
      <c r="F132">
        <f>INDEX(YieldCurve!$B$4:$B$63,C132)</f>
        <v/>
      </c>
      <c r="G132">
        <f>INDEX(YieldCurve!$B$4:$B$63,C132+1)</f>
        <v/>
      </c>
      <c r="H132">
        <f>IF(E132=D132,0,(B132-D132)/(E132-D132))</f>
        <v/>
      </c>
      <c r="I132">
        <f>-(F132+Inputs!$B$9)*D132</f>
        <v/>
      </c>
      <c r="J132">
        <f>-(G132+Inputs!$B$9)*E132</f>
        <v/>
      </c>
      <c r="K132">
        <f>IF(B132&lt;=INDEX(YieldCurve!$A$4:$A$63,1),-(INDEX(YieldCurve!$B$4:$B$63,1)+Inputs!$B$9)*B132,IF(B132&gt;=INDEX(YieldCurve!$A$4:$A$63,ROWS(YieldCurve!$A$4:$A$63)),-(INDEX(YieldCurve!$B$4:$B$63,ROWS(YieldCurve!$B$4:$B$63))+Inputs!$B$9)*B132,I132+H132*(J132-I132)))</f>
        <v/>
      </c>
      <c r="L132">
        <f>EXP(K132)</f>
        <v/>
      </c>
    </row>
    <row r="133">
      <c r="A133" t="n">
        <v>130</v>
      </c>
      <c r="B133">
        <f>A133/Inputs!$B$6</f>
        <v/>
      </c>
      <c r="C133">
        <f>IF(B133&lt;=INDEX(YieldCurve!$A$4:$A$63,1),1,IF(B133&gt;=INDEX(YieldCurve!$A$4:$A$63,ROWS(YieldCurve!$A$4:$A$63)),ROWS(YieldCurve!$A$4:$A$63)-1,MATCH(B133,YieldCurve!$A$4:$A$63,1)))</f>
        <v/>
      </c>
      <c r="D133">
        <f>INDEX(YieldCurve!$A$4:$A$63,C133)</f>
        <v/>
      </c>
      <c r="E133">
        <f>INDEX(YieldCurve!$A$4:$A$63,C133+1)</f>
        <v/>
      </c>
      <c r="F133">
        <f>INDEX(YieldCurve!$B$4:$B$63,C133)</f>
        <v/>
      </c>
      <c r="G133">
        <f>INDEX(YieldCurve!$B$4:$B$63,C133+1)</f>
        <v/>
      </c>
      <c r="H133">
        <f>IF(E133=D133,0,(B133-D133)/(E133-D133))</f>
        <v/>
      </c>
      <c r="I133">
        <f>-(F133+Inputs!$B$9)*D133</f>
        <v/>
      </c>
      <c r="J133">
        <f>-(G133+Inputs!$B$9)*E133</f>
        <v/>
      </c>
      <c r="K133">
        <f>IF(B133&lt;=INDEX(YieldCurve!$A$4:$A$63,1),-(INDEX(YieldCurve!$B$4:$B$63,1)+Inputs!$B$9)*B133,IF(B133&gt;=INDEX(YieldCurve!$A$4:$A$63,ROWS(YieldCurve!$A$4:$A$63)),-(INDEX(YieldCurve!$B$4:$B$63,ROWS(YieldCurve!$B$4:$B$63))+Inputs!$B$9)*B133,I133+H133*(J133-I133)))</f>
        <v/>
      </c>
      <c r="L133">
        <f>EXP(K133)</f>
        <v/>
      </c>
    </row>
    <row r="134">
      <c r="A134" t="n">
        <v>131</v>
      </c>
      <c r="B134">
        <f>A134/Inputs!$B$6</f>
        <v/>
      </c>
      <c r="C134">
        <f>IF(B134&lt;=INDEX(YieldCurve!$A$4:$A$63,1),1,IF(B134&gt;=INDEX(YieldCurve!$A$4:$A$63,ROWS(YieldCurve!$A$4:$A$63)),ROWS(YieldCurve!$A$4:$A$63)-1,MATCH(B134,YieldCurve!$A$4:$A$63,1)))</f>
        <v/>
      </c>
      <c r="D134">
        <f>INDEX(YieldCurve!$A$4:$A$63,C134)</f>
        <v/>
      </c>
      <c r="E134">
        <f>INDEX(YieldCurve!$A$4:$A$63,C134+1)</f>
        <v/>
      </c>
      <c r="F134">
        <f>INDEX(YieldCurve!$B$4:$B$63,C134)</f>
        <v/>
      </c>
      <c r="G134">
        <f>INDEX(YieldCurve!$B$4:$B$63,C134+1)</f>
        <v/>
      </c>
      <c r="H134">
        <f>IF(E134=D134,0,(B134-D134)/(E134-D134))</f>
        <v/>
      </c>
      <c r="I134">
        <f>-(F134+Inputs!$B$9)*D134</f>
        <v/>
      </c>
      <c r="J134">
        <f>-(G134+Inputs!$B$9)*E134</f>
        <v/>
      </c>
      <c r="K134">
        <f>IF(B134&lt;=INDEX(YieldCurve!$A$4:$A$63,1),-(INDEX(YieldCurve!$B$4:$B$63,1)+Inputs!$B$9)*B134,IF(B134&gt;=INDEX(YieldCurve!$A$4:$A$63,ROWS(YieldCurve!$A$4:$A$63)),-(INDEX(YieldCurve!$B$4:$B$63,ROWS(YieldCurve!$B$4:$B$63))+Inputs!$B$9)*B134,I134+H134*(J134-I134)))</f>
        <v/>
      </c>
      <c r="L134">
        <f>EXP(K134)</f>
        <v/>
      </c>
    </row>
    <row r="135">
      <c r="A135" t="n">
        <v>132</v>
      </c>
      <c r="B135">
        <f>A135/Inputs!$B$6</f>
        <v/>
      </c>
      <c r="C135">
        <f>IF(B135&lt;=INDEX(YieldCurve!$A$4:$A$63,1),1,IF(B135&gt;=INDEX(YieldCurve!$A$4:$A$63,ROWS(YieldCurve!$A$4:$A$63)),ROWS(YieldCurve!$A$4:$A$63)-1,MATCH(B135,YieldCurve!$A$4:$A$63,1)))</f>
        <v/>
      </c>
      <c r="D135">
        <f>INDEX(YieldCurve!$A$4:$A$63,C135)</f>
        <v/>
      </c>
      <c r="E135">
        <f>INDEX(YieldCurve!$A$4:$A$63,C135+1)</f>
        <v/>
      </c>
      <c r="F135">
        <f>INDEX(YieldCurve!$B$4:$B$63,C135)</f>
        <v/>
      </c>
      <c r="G135">
        <f>INDEX(YieldCurve!$B$4:$B$63,C135+1)</f>
        <v/>
      </c>
      <c r="H135">
        <f>IF(E135=D135,0,(B135-D135)/(E135-D135))</f>
        <v/>
      </c>
      <c r="I135">
        <f>-(F135+Inputs!$B$9)*D135</f>
        <v/>
      </c>
      <c r="J135">
        <f>-(G135+Inputs!$B$9)*E135</f>
        <v/>
      </c>
      <c r="K135">
        <f>IF(B135&lt;=INDEX(YieldCurve!$A$4:$A$63,1),-(INDEX(YieldCurve!$B$4:$B$63,1)+Inputs!$B$9)*B135,IF(B135&gt;=INDEX(YieldCurve!$A$4:$A$63,ROWS(YieldCurve!$A$4:$A$63)),-(INDEX(YieldCurve!$B$4:$B$63,ROWS(YieldCurve!$B$4:$B$63))+Inputs!$B$9)*B135,I135+H135*(J135-I135)))</f>
        <v/>
      </c>
      <c r="L135">
        <f>EXP(K135)</f>
        <v/>
      </c>
    </row>
    <row r="136">
      <c r="A136" t="n">
        <v>133</v>
      </c>
      <c r="B136">
        <f>A136/Inputs!$B$6</f>
        <v/>
      </c>
      <c r="C136">
        <f>IF(B136&lt;=INDEX(YieldCurve!$A$4:$A$63,1),1,IF(B136&gt;=INDEX(YieldCurve!$A$4:$A$63,ROWS(YieldCurve!$A$4:$A$63)),ROWS(YieldCurve!$A$4:$A$63)-1,MATCH(B136,YieldCurve!$A$4:$A$63,1)))</f>
        <v/>
      </c>
      <c r="D136">
        <f>INDEX(YieldCurve!$A$4:$A$63,C136)</f>
        <v/>
      </c>
      <c r="E136">
        <f>INDEX(YieldCurve!$A$4:$A$63,C136+1)</f>
        <v/>
      </c>
      <c r="F136">
        <f>INDEX(YieldCurve!$B$4:$B$63,C136)</f>
        <v/>
      </c>
      <c r="G136">
        <f>INDEX(YieldCurve!$B$4:$B$63,C136+1)</f>
        <v/>
      </c>
      <c r="H136">
        <f>IF(E136=D136,0,(B136-D136)/(E136-D136))</f>
        <v/>
      </c>
      <c r="I136">
        <f>-(F136+Inputs!$B$9)*D136</f>
        <v/>
      </c>
      <c r="J136">
        <f>-(G136+Inputs!$B$9)*E136</f>
        <v/>
      </c>
      <c r="K136">
        <f>IF(B136&lt;=INDEX(YieldCurve!$A$4:$A$63,1),-(INDEX(YieldCurve!$B$4:$B$63,1)+Inputs!$B$9)*B136,IF(B136&gt;=INDEX(YieldCurve!$A$4:$A$63,ROWS(YieldCurve!$A$4:$A$63)),-(INDEX(YieldCurve!$B$4:$B$63,ROWS(YieldCurve!$B$4:$B$63))+Inputs!$B$9)*B136,I136+H136*(J136-I136)))</f>
        <v/>
      </c>
      <c r="L136">
        <f>EXP(K136)</f>
        <v/>
      </c>
    </row>
    <row r="137">
      <c r="A137" t="n">
        <v>134</v>
      </c>
      <c r="B137">
        <f>A137/Inputs!$B$6</f>
        <v/>
      </c>
      <c r="C137">
        <f>IF(B137&lt;=INDEX(YieldCurve!$A$4:$A$63,1),1,IF(B137&gt;=INDEX(YieldCurve!$A$4:$A$63,ROWS(YieldCurve!$A$4:$A$63)),ROWS(YieldCurve!$A$4:$A$63)-1,MATCH(B137,YieldCurve!$A$4:$A$63,1)))</f>
        <v/>
      </c>
      <c r="D137">
        <f>INDEX(YieldCurve!$A$4:$A$63,C137)</f>
        <v/>
      </c>
      <c r="E137">
        <f>INDEX(YieldCurve!$A$4:$A$63,C137+1)</f>
        <v/>
      </c>
      <c r="F137">
        <f>INDEX(YieldCurve!$B$4:$B$63,C137)</f>
        <v/>
      </c>
      <c r="G137">
        <f>INDEX(YieldCurve!$B$4:$B$63,C137+1)</f>
        <v/>
      </c>
      <c r="H137">
        <f>IF(E137=D137,0,(B137-D137)/(E137-D137))</f>
        <v/>
      </c>
      <c r="I137">
        <f>-(F137+Inputs!$B$9)*D137</f>
        <v/>
      </c>
      <c r="J137">
        <f>-(G137+Inputs!$B$9)*E137</f>
        <v/>
      </c>
      <c r="K137">
        <f>IF(B137&lt;=INDEX(YieldCurve!$A$4:$A$63,1),-(INDEX(YieldCurve!$B$4:$B$63,1)+Inputs!$B$9)*B137,IF(B137&gt;=INDEX(YieldCurve!$A$4:$A$63,ROWS(YieldCurve!$A$4:$A$63)),-(INDEX(YieldCurve!$B$4:$B$63,ROWS(YieldCurve!$B$4:$B$63))+Inputs!$B$9)*B137,I137+H137*(J137-I137)))</f>
        <v/>
      </c>
      <c r="L137">
        <f>EXP(K137)</f>
        <v/>
      </c>
    </row>
    <row r="138">
      <c r="A138" t="n">
        <v>135</v>
      </c>
      <c r="B138">
        <f>A138/Inputs!$B$6</f>
        <v/>
      </c>
      <c r="C138">
        <f>IF(B138&lt;=INDEX(YieldCurve!$A$4:$A$63,1),1,IF(B138&gt;=INDEX(YieldCurve!$A$4:$A$63,ROWS(YieldCurve!$A$4:$A$63)),ROWS(YieldCurve!$A$4:$A$63)-1,MATCH(B138,YieldCurve!$A$4:$A$63,1)))</f>
        <v/>
      </c>
      <c r="D138">
        <f>INDEX(YieldCurve!$A$4:$A$63,C138)</f>
        <v/>
      </c>
      <c r="E138">
        <f>INDEX(YieldCurve!$A$4:$A$63,C138+1)</f>
        <v/>
      </c>
      <c r="F138">
        <f>INDEX(YieldCurve!$B$4:$B$63,C138)</f>
        <v/>
      </c>
      <c r="G138">
        <f>INDEX(YieldCurve!$B$4:$B$63,C138+1)</f>
        <v/>
      </c>
      <c r="H138">
        <f>IF(E138=D138,0,(B138-D138)/(E138-D138))</f>
        <v/>
      </c>
      <c r="I138">
        <f>-(F138+Inputs!$B$9)*D138</f>
        <v/>
      </c>
      <c r="J138">
        <f>-(G138+Inputs!$B$9)*E138</f>
        <v/>
      </c>
      <c r="K138">
        <f>IF(B138&lt;=INDEX(YieldCurve!$A$4:$A$63,1),-(INDEX(YieldCurve!$B$4:$B$63,1)+Inputs!$B$9)*B138,IF(B138&gt;=INDEX(YieldCurve!$A$4:$A$63,ROWS(YieldCurve!$A$4:$A$63)),-(INDEX(YieldCurve!$B$4:$B$63,ROWS(YieldCurve!$B$4:$B$63))+Inputs!$B$9)*B138,I138+H138*(J138-I138)))</f>
        <v/>
      </c>
      <c r="L138">
        <f>EXP(K138)</f>
        <v/>
      </c>
    </row>
    <row r="139">
      <c r="A139" t="n">
        <v>136</v>
      </c>
      <c r="B139">
        <f>A139/Inputs!$B$6</f>
        <v/>
      </c>
      <c r="C139">
        <f>IF(B139&lt;=INDEX(YieldCurve!$A$4:$A$63,1),1,IF(B139&gt;=INDEX(YieldCurve!$A$4:$A$63,ROWS(YieldCurve!$A$4:$A$63)),ROWS(YieldCurve!$A$4:$A$63)-1,MATCH(B139,YieldCurve!$A$4:$A$63,1)))</f>
        <v/>
      </c>
      <c r="D139">
        <f>INDEX(YieldCurve!$A$4:$A$63,C139)</f>
        <v/>
      </c>
      <c r="E139">
        <f>INDEX(YieldCurve!$A$4:$A$63,C139+1)</f>
        <v/>
      </c>
      <c r="F139">
        <f>INDEX(YieldCurve!$B$4:$B$63,C139)</f>
        <v/>
      </c>
      <c r="G139">
        <f>INDEX(YieldCurve!$B$4:$B$63,C139+1)</f>
        <v/>
      </c>
      <c r="H139">
        <f>IF(E139=D139,0,(B139-D139)/(E139-D139))</f>
        <v/>
      </c>
      <c r="I139">
        <f>-(F139+Inputs!$B$9)*D139</f>
        <v/>
      </c>
      <c r="J139">
        <f>-(G139+Inputs!$B$9)*E139</f>
        <v/>
      </c>
      <c r="K139">
        <f>IF(B139&lt;=INDEX(YieldCurve!$A$4:$A$63,1),-(INDEX(YieldCurve!$B$4:$B$63,1)+Inputs!$B$9)*B139,IF(B139&gt;=INDEX(YieldCurve!$A$4:$A$63,ROWS(YieldCurve!$A$4:$A$63)),-(INDEX(YieldCurve!$B$4:$B$63,ROWS(YieldCurve!$B$4:$B$63))+Inputs!$B$9)*B139,I139+H139*(J139-I139)))</f>
        <v/>
      </c>
      <c r="L139">
        <f>EXP(K139)</f>
        <v/>
      </c>
    </row>
    <row r="140">
      <c r="A140" t="n">
        <v>137</v>
      </c>
      <c r="B140">
        <f>A140/Inputs!$B$6</f>
        <v/>
      </c>
      <c r="C140">
        <f>IF(B140&lt;=INDEX(YieldCurve!$A$4:$A$63,1),1,IF(B140&gt;=INDEX(YieldCurve!$A$4:$A$63,ROWS(YieldCurve!$A$4:$A$63)),ROWS(YieldCurve!$A$4:$A$63)-1,MATCH(B140,YieldCurve!$A$4:$A$63,1)))</f>
        <v/>
      </c>
      <c r="D140">
        <f>INDEX(YieldCurve!$A$4:$A$63,C140)</f>
        <v/>
      </c>
      <c r="E140">
        <f>INDEX(YieldCurve!$A$4:$A$63,C140+1)</f>
        <v/>
      </c>
      <c r="F140">
        <f>INDEX(YieldCurve!$B$4:$B$63,C140)</f>
        <v/>
      </c>
      <c r="G140">
        <f>INDEX(YieldCurve!$B$4:$B$63,C140+1)</f>
        <v/>
      </c>
      <c r="H140">
        <f>IF(E140=D140,0,(B140-D140)/(E140-D140))</f>
        <v/>
      </c>
      <c r="I140">
        <f>-(F140+Inputs!$B$9)*D140</f>
        <v/>
      </c>
      <c r="J140">
        <f>-(G140+Inputs!$B$9)*E140</f>
        <v/>
      </c>
      <c r="K140">
        <f>IF(B140&lt;=INDEX(YieldCurve!$A$4:$A$63,1),-(INDEX(YieldCurve!$B$4:$B$63,1)+Inputs!$B$9)*B140,IF(B140&gt;=INDEX(YieldCurve!$A$4:$A$63,ROWS(YieldCurve!$A$4:$A$63)),-(INDEX(YieldCurve!$B$4:$B$63,ROWS(YieldCurve!$B$4:$B$63))+Inputs!$B$9)*B140,I140+H140*(J140-I140)))</f>
        <v/>
      </c>
      <c r="L140">
        <f>EXP(K140)</f>
        <v/>
      </c>
    </row>
    <row r="141">
      <c r="A141" t="n">
        <v>138</v>
      </c>
      <c r="B141">
        <f>A141/Inputs!$B$6</f>
        <v/>
      </c>
      <c r="C141">
        <f>IF(B141&lt;=INDEX(YieldCurve!$A$4:$A$63,1),1,IF(B141&gt;=INDEX(YieldCurve!$A$4:$A$63,ROWS(YieldCurve!$A$4:$A$63)),ROWS(YieldCurve!$A$4:$A$63)-1,MATCH(B141,YieldCurve!$A$4:$A$63,1)))</f>
        <v/>
      </c>
      <c r="D141">
        <f>INDEX(YieldCurve!$A$4:$A$63,C141)</f>
        <v/>
      </c>
      <c r="E141">
        <f>INDEX(YieldCurve!$A$4:$A$63,C141+1)</f>
        <v/>
      </c>
      <c r="F141">
        <f>INDEX(YieldCurve!$B$4:$B$63,C141)</f>
        <v/>
      </c>
      <c r="G141">
        <f>INDEX(YieldCurve!$B$4:$B$63,C141+1)</f>
        <v/>
      </c>
      <c r="H141">
        <f>IF(E141=D141,0,(B141-D141)/(E141-D141))</f>
        <v/>
      </c>
      <c r="I141">
        <f>-(F141+Inputs!$B$9)*D141</f>
        <v/>
      </c>
      <c r="J141">
        <f>-(G141+Inputs!$B$9)*E141</f>
        <v/>
      </c>
      <c r="K141">
        <f>IF(B141&lt;=INDEX(YieldCurve!$A$4:$A$63,1),-(INDEX(YieldCurve!$B$4:$B$63,1)+Inputs!$B$9)*B141,IF(B141&gt;=INDEX(YieldCurve!$A$4:$A$63,ROWS(YieldCurve!$A$4:$A$63)),-(INDEX(YieldCurve!$B$4:$B$63,ROWS(YieldCurve!$B$4:$B$63))+Inputs!$B$9)*B141,I141+H141*(J141-I141)))</f>
        <v/>
      </c>
      <c r="L141">
        <f>EXP(K141)</f>
        <v/>
      </c>
    </row>
    <row r="142">
      <c r="A142" t="n">
        <v>139</v>
      </c>
      <c r="B142">
        <f>A142/Inputs!$B$6</f>
        <v/>
      </c>
      <c r="C142">
        <f>IF(B142&lt;=INDEX(YieldCurve!$A$4:$A$63,1),1,IF(B142&gt;=INDEX(YieldCurve!$A$4:$A$63,ROWS(YieldCurve!$A$4:$A$63)),ROWS(YieldCurve!$A$4:$A$63)-1,MATCH(B142,YieldCurve!$A$4:$A$63,1)))</f>
        <v/>
      </c>
      <c r="D142">
        <f>INDEX(YieldCurve!$A$4:$A$63,C142)</f>
        <v/>
      </c>
      <c r="E142">
        <f>INDEX(YieldCurve!$A$4:$A$63,C142+1)</f>
        <v/>
      </c>
      <c r="F142">
        <f>INDEX(YieldCurve!$B$4:$B$63,C142)</f>
        <v/>
      </c>
      <c r="G142">
        <f>INDEX(YieldCurve!$B$4:$B$63,C142+1)</f>
        <v/>
      </c>
      <c r="H142">
        <f>IF(E142=D142,0,(B142-D142)/(E142-D142))</f>
        <v/>
      </c>
      <c r="I142">
        <f>-(F142+Inputs!$B$9)*D142</f>
        <v/>
      </c>
      <c r="J142">
        <f>-(G142+Inputs!$B$9)*E142</f>
        <v/>
      </c>
      <c r="K142">
        <f>IF(B142&lt;=INDEX(YieldCurve!$A$4:$A$63,1),-(INDEX(YieldCurve!$B$4:$B$63,1)+Inputs!$B$9)*B142,IF(B142&gt;=INDEX(YieldCurve!$A$4:$A$63,ROWS(YieldCurve!$A$4:$A$63)),-(INDEX(YieldCurve!$B$4:$B$63,ROWS(YieldCurve!$B$4:$B$63))+Inputs!$B$9)*B142,I142+H142*(J142-I142)))</f>
        <v/>
      </c>
      <c r="L142">
        <f>EXP(K142)</f>
        <v/>
      </c>
    </row>
    <row r="143">
      <c r="A143" t="n">
        <v>140</v>
      </c>
      <c r="B143">
        <f>A143/Inputs!$B$6</f>
        <v/>
      </c>
      <c r="C143">
        <f>IF(B143&lt;=INDEX(YieldCurve!$A$4:$A$63,1),1,IF(B143&gt;=INDEX(YieldCurve!$A$4:$A$63,ROWS(YieldCurve!$A$4:$A$63)),ROWS(YieldCurve!$A$4:$A$63)-1,MATCH(B143,YieldCurve!$A$4:$A$63,1)))</f>
        <v/>
      </c>
      <c r="D143">
        <f>INDEX(YieldCurve!$A$4:$A$63,C143)</f>
        <v/>
      </c>
      <c r="E143">
        <f>INDEX(YieldCurve!$A$4:$A$63,C143+1)</f>
        <v/>
      </c>
      <c r="F143">
        <f>INDEX(YieldCurve!$B$4:$B$63,C143)</f>
        <v/>
      </c>
      <c r="G143">
        <f>INDEX(YieldCurve!$B$4:$B$63,C143+1)</f>
        <v/>
      </c>
      <c r="H143">
        <f>IF(E143=D143,0,(B143-D143)/(E143-D143))</f>
        <v/>
      </c>
      <c r="I143">
        <f>-(F143+Inputs!$B$9)*D143</f>
        <v/>
      </c>
      <c r="J143">
        <f>-(G143+Inputs!$B$9)*E143</f>
        <v/>
      </c>
      <c r="K143">
        <f>IF(B143&lt;=INDEX(YieldCurve!$A$4:$A$63,1),-(INDEX(YieldCurve!$B$4:$B$63,1)+Inputs!$B$9)*B143,IF(B143&gt;=INDEX(YieldCurve!$A$4:$A$63,ROWS(YieldCurve!$A$4:$A$63)),-(INDEX(YieldCurve!$B$4:$B$63,ROWS(YieldCurve!$B$4:$B$63))+Inputs!$B$9)*B143,I143+H143*(J143-I143)))</f>
        <v/>
      </c>
      <c r="L143">
        <f>EXP(K143)</f>
        <v/>
      </c>
    </row>
    <row r="144">
      <c r="A144" t="n">
        <v>141</v>
      </c>
      <c r="B144">
        <f>A144/Inputs!$B$6</f>
        <v/>
      </c>
      <c r="C144">
        <f>IF(B144&lt;=INDEX(YieldCurve!$A$4:$A$63,1),1,IF(B144&gt;=INDEX(YieldCurve!$A$4:$A$63,ROWS(YieldCurve!$A$4:$A$63)),ROWS(YieldCurve!$A$4:$A$63)-1,MATCH(B144,YieldCurve!$A$4:$A$63,1)))</f>
        <v/>
      </c>
      <c r="D144">
        <f>INDEX(YieldCurve!$A$4:$A$63,C144)</f>
        <v/>
      </c>
      <c r="E144">
        <f>INDEX(YieldCurve!$A$4:$A$63,C144+1)</f>
        <v/>
      </c>
      <c r="F144">
        <f>INDEX(YieldCurve!$B$4:$B$63,C144)</f>
        <v/>
      </c>
      <c r="G144">
        <f>INDEX(YieldCurve!$B$4:$B$63,C144+1)</f>
        <v/>
      </c>
      <c r="H144">
        <f>IF(E144=D144,0,(B144-D144)/(E144-D144))</f>
        <v/>
      </c>
      <c r="I144">
        <f>-(F144+Inputs!$B$9)*D144</f>
        <v/>
      </c>
      <c r="J144">
        <f>-(G144+Inputs!$B$9)*E144</f>
        <v/>
      </c>
      <c r="K144">
        <f>IF(B144&lt;=INDEX(YieldCurve!$A$4:$A$63,1),-(INDEX(YieldCurve!$B$4:$B$63,1)+Inputs!$B$9)*B144,IF(B144&gt;=INDEX(YieldCurve!$A$4:$A$63,ROWS(YieldCurve!$A$4:$A$63)),-(INDEX(YieldCurve!$B$4:$B$63,ROWS(YieldCurve!$B$4:$B$63))+Inputs!$B$9)*B144,I144+H144*(J144-I144)))</f>
        <v/>
      </c>
      <c r="L144">
        <f>EXP(K144)</f>
        <v/>
      </c>
    </row>
    <row r="145">
      <c r="A145" t="n">
        <v>142</v>
      </c>
      <c r="B145">
        <f>A145/Inputs!$B$6</f>
        <v/>
      </c>
      <c r="C145">
        <f>IF(B145&lt;=INDEX(YieldCurve!$A$4:$A$63,1),1,IF(B145&gt;=INDEX(YieldCurve!$A$4:$A$63,ROWS(YieldCurve!$A$4:$A$63)),ROWS(YieldCurve!$A$4:$A$63)-1,MATCH(B145,YieldCurve!$A$4:$A$63,1)))</f>
        <v/>
      </c>
      <c r="D145">
        <f>INDEX(YieldCurve!$A$4:$A$63,C145)</f>
        <v/>
      </c>
      <c r="E145">
        <f>INDEX(YieldCurve!$A$4:$A$63,C145+1)</f>
        <v/>
      </c>
      <c r="F145">
        <f>INDEX(YieldCurve!$B$4:$B$63,C145)</f>
        <v/>
      </c>
      <c r="G145">
        <f>INDEX(YieldCurve!$B$4:$B$63,C145+1)</f>
        <v/>
      </c>
      <c r="H145">
        <f>IF(E145=D145,0,(B145-D145)/(E145-D145))</f>
        <v/>
      </c>
      <c r="I145">
        <f>-(F145+Inputs!$B$9)*D145</f>
        <v/>
      </c>
      <c r="J145">
        <f>-(G145+Inputs!$B$9)*E145</f>
        <v/>
      </c>
      <c r="K145">
        <f>IF(B145&lt;=INDEX(YieldCurve!$A$4:$A$63,1),-(INDEX(YieldCurve!$B$4:$B$63,1)+Inputs!$B$9)*B145,IF(B145&gt;=INDEX(YieldCurve!$A$4:$A$63,ROWS(YieldCurve!$A$4:$A$63)),-(INDEX(YieldCurve!$B$4:$B$63,ROWS(YieldCurve!$B$4:$B$63))+Inputs!$B$9)*B145,I145+H145*(J145-I145)))</f>
        <v/>
      </c>
      <c r="L145">
        <f>EXP(K145)</f>
        <v/>
      </c>
    </row>
    <row r="146">
      <c r="A146" t="n">
        <v>143</v>
      </c>
      <c r="B146">
        <f>A146/Inputs!$B$6</f>
        <v/>
      </c>
      <c r="C146">
        <f>IF(B146&lt;=INDEX(YieldCurve!$A$4:$A$63,1),1,IF(B146&gt;=INDEX(YieldCurve!$A$4:$A$63,ROWS(YieldCurve!$A$4:$A$63)),ROWS(YieldCurve!$A$4:$A$63)-1,MATCH(B146,YieldCurve!$A$4:$A$63,1)))</f>
        <v/>
      </c>
      <c r="D146">
        <f>INDEX(YieldCurve!$A$4:$A$63,C146)</f>
        <v/>
      </c>
      <c r="E146">
        <f>INDEX(YieldCurve!$A$4:$A$63,C146+1)</f>
        <v/>
      </c>
      <c r="F146">
        <f>INDEX(YieldCurve!$B$4:$B$63,C146)</f>
        <v/>
      </c>
      <c r="G146">
        <f>INDEX(YieldCurve!$B$4:$B$63,C146+1)</f>
        <v/>
      </c>
      <c r="H146">
        <f>IF(E146=D146,0,(B146-D146)/(E146-D146))</f>
        <v/>
      </c>
      <c r="I146">
        <f>-(F146+Inputs!$B$9)*D146</f>
        <v/>
      </c>
      <c r="J146">
        <f>-(G146+Inputs!$B$9)*E146</f>
        <v/>
      </c>
      <c r="K146">
        <f>IF(B146&lt;=INDEX(YieldCurve!$A$4:$A$63,1),-(INDEX(YieldCurve!$B$4:$B$63,1)+Inputs!$B$9)*B146,IF(B146&gt;=INDEX(YieldCurve!$A$4:$A$63,ROWS(YieldCurve!$A$4:$A$63)),-(INDEX(YieldCurve!$B$4:$B$63,ROWS(YieldCurve!$B$4:$B$63))+Inputs!$B$9)*B146,I146+H146*(J146-I146)))</f>
        <v/>
      </c>
      <c r="L146">
        <f>EXP(K146)</f>
        <v/>
      </c>
    </row>
    <row r="147">
      <c r="A147" t="n">
        <v>144</v>
      </c>
      <c r="B147">
        <f>A147/Inputs!$B$6</f>
        <v/>
      </c>
      <c r="C147">
        <f>IF(B147&lt;=INDEX(YieldCurve!$A$4:$A$63,1),1,IF(B147&gt;=INDEX(YieldCurve!$A$4:$A$63,ROWS(YieldCurve!$A$4:$A$63)),ROWS(YieldCurve!$A$4:$A$63)-1,MATCH(B147,YieldCurve!$A$4:$A$63,1)))</f>
        <v/>
      </c>
      <c r="D147">
        <f>INDEX(YieldCurve!$A$4:$A$63,C147)</f>
        <v/>
      </c>
      <c r="E147">
        <f>INDEX(YieldCurve!$A$4:$A$63,C147+1)</f>
        <v/>
      </c>
      <c r="F147">
        <f>INDEX(YieldCurve!$B$4:$B$63,C147)</f>
        <v/>
      </c>
      <c r="G147">
        <f>INDEX(YieldCurve!$B$4:$B$63,C147+1)</f>
        <v/>
      </c>
      <c r="H147">
        <f>IF(E147=D147,0,(B147-D147)/(E147-D147))</f>
        <v/>
      </c>
      <c r="I147">
        <f>-(F147+Inputs!$B$9)*D147</f>
        <v/>
      </c>
      <c r="J147">
        <f>-(G147+Inputs!$B$9)*E147</f>
        <v/>
      </c>
      <c r="K147">
        <f>IF(B147&lt;=INDEX(YieldCurve!$A$4:$A$63,1),-(INDEX(YieldCurve!$B$4:$B$63,1)+Inputs!$B$9)*B147,IF(B147&gt;=INDEX(YieldCurve!$A$4:$A$63,ROWS(YieldCurve!$A$4:$A$63)),-(INDEX(YieldCurve!$B$4:$B$63,ROWS(YieldCurve!$B$4:$B$63))+Inputs!$B$9)*B147,I147+H147*(J147-I147)))</f>
        <v/>
      </c>
      <c r="L147">
        <f>EXP(K147)</f>
        <v/>
      </c>
    </row>
    <row r="148">
      <c r="A148" t="n">
        <v>145</v>
      </c>
      <c r="B148">
        <f>A148/Inputs!$B$6</f>
        <v/>
      </c>
      <c r="C148">
        <f>IF(B148&lt;=INDEX(YieldCurve!$A$4:$A$63,1),1,IF(B148&gt;=INDEX(YieldCurve!$A$4:$A$63,ROWS(YieldCurve!$A$4:$A$63)),ROWS(YieldCurve!$A$4:$A$63)-1,MATCH(B148,YieldCurve!$A$4:$A$63,1)))</f>
        <v/>
      </c>
      <c r="D148">
        <f>INDEX(YieldCurve!$A$4:$A$63,C148)</f>
        <v/>
      </c>
      <c r="E148">
        <f>INDEX(YieldCurve!$A$4:$A$63,C148+1)</f>
        <v/>
      </c>
      <c r="F148">
        <f>INDEX(YieldCurve!$B$4:$B$63,C148)</f>
        <v/>
      </c>
      <c r="G148">
        <f>INDEX(YieldCurve!$B$4:$B$63,C148+1)</f>
        <v/>
      </c>
      <c r="H148">
        <f>IF(E148=D148,0,(B148-D148)/(E148-D148))</f>
        <v/>
      </c>
      <c r="I148">
        <f>-(F148+Inputs!$B$9)*D148</f>
        <v/>
      </c>
      <c r="J148">
        <f>-(G148+Inputs!$B$9)*E148</f>
        <v/>
      </c>
      <c r="K148">
        <f>IF(B148&lt;=INDEX(YieldCurve!$A$4:$A$63,1),-(INDEX(YieldCurve!$B$4:$B$63,1)+Inputs!$B$9)*B148,IF(B148&gt;=INDEX(YieldCurve!$A$4:$A$63,ROWS(YieldCurve!$A$4:$A$63)),-(INDEX(YieldCurve!$B$4:$B$63,ROWS(YieldCurve!$B$4:$B$63))+Inputs!$B$9)*B148,I148+H148*(J148-I148)))</f>
        <v/>
      </c>
      <c r="L148">
        <f>EXP(K148)</f>
        <v/>
      </c>
    </row>
    <row r="149">
      <c r="A149" t="n">
        <v>146</v>
      </c>
      <c r="B149">
        <f>A149/Inputs!$B$6</f>
        <v/>
      </c>
      <c r="C149">
        <f>IF(B149&lt;=INDEX(YieldCurve!$A$4:$A$63,1),1,IF(B149&gt;=INDEX(YieldCurve!$A$4:$A$63,ROWS(YieldCurve!$A$4:$A$63)),ROWS(YieldCurve!$A$4:$A$63)-1,MATCH(B149,YieldCurve!$A$4:$A$63,1)))</f>
        <v/>
      </c>
      <c r="D149">
        <f>INDEX(YieldCurve!$A$4:$A$63,C149)</f>
        <v/>
      </c>
      <c r="E149">
        <f>INDEX(YieldCurve!$A$4:$A$63,C149+1)</f>
        <v/>
      </c>
      <c r="F149">
        <f>INDEX(YieldCurve!$B$4:$B$63,C149)</f>
        <v/>
      </c>
      <c r="G149">
        <f>INDEX(YieldCurve!$B$4:$B$63,C149+1)</f>
        <v/>
      </c>
      <c r="H149">
        <f>IF(E149=D149,0,(B149-D149)/(E149-D149))</f>
        <v/>
      </c>
      <c r="I149">
        <f>-(F149+Inputs!$B$9)*D149</f>
        <v/>
      </c>
      <c r="J149">
        <f>-(G149+Inputs!$B$9)*E149</f>
        <v/>
      </c>
      <c r="K149">
        <f>IF(B149&lt;=INDEX(YieldCurve!$A$4:$A$63,1),-(INDEX(YieldCurve!$B$4:$B$63,1)+Inputs!$B$9)*B149,IF(B149&gt;=INDEX(YieldCurve!$A$4:$A$63,ROWS(YieldCurve!$A$4:$A$63)),-(INDEX(YieldCurve!$B$4:$B$63,ROWS(YieldCurve!$B$4:$B$63))+Inputs!$B$9)*B149,I149+H149*(J149-I149)))</f>
        <v/>
      </c>
      <c r="L149">
        <f>EXP(K149)</f>
        <v/>
      </c>
    </row>
    <row r="150">
      <c r="A150" t="n">
        <v>147</v>
      </c>
      <c r="B150">
        <f>A150/Inputs!$B$6</f>
        <v/>
      </c>
      <c r="C150">
        <f>IF(B150&lt;=INDEX(YieldCurve!$A$4:$A$63,1),1,IF(B150&gt;=INDEX(YieldCurve!$A$4:$A$63,ROWS(YieldCurve!$A$4:$A$63)),ROWS(YieldCurve!$A$4:$A$63)-1,MATCH(B150,YieldCurve!$A$4:$A$63,1)))</f>
        <v/>
      </c>
      <c r="D150">
        <f>INDEX(YieldCurve!$A$4:$A$63,C150)</f>
        <v/>
      </c>
      <c r="E150">
        <f>INDEX(YieldCurve!$A$4:$A$63,C150+1)</f>
        <v/>
      </c>
      <c r="F150">
        <f>INDEX(YieldCurve!$B$4:$B$63,C150)</f>
        <v/>
      </c>
      <c r="G150">
        <f>INDEX(YieldCurve!$B$4:$B$63,C150+1)</f>
        <v/>
      </c>
      <c r="H150">
        <f>IF(E150=D150,0,(B150-D150)/(E150-D150))</f>
        <v/>
      </c>
      <c r="I150">
        <f>-(F150+Inputs!$B$9)*D150</f>
        <v/>
      </c>
      <c r="J150">
        <f>-(G150+Inputs!$B$9)*E150</f>
        <v/>
      </c>
      <c r="K150">
        <f>IF(B150&lt;=INDEX(YieldCurve!$A$4:$A$63,1),-(INDEX(YieldCurve!$B$4:$B$63,1)+Inputs!$B$9)*B150,IF(B150&gt;=INDEX(YieldCurve!$A$4:$A$63,ROWS(YieldCurve!$A$4:$A$63)),-(INDEX(YieldCurve!$B$4:$B$63,ROWS(YieldCurve!$B$4:$B$63))+Inputs!$B$9)*B150,I150+H150*(J150-I150)))</f>
        <v/>
      </c>
      <c r="L150">
        <f>EXP(K150)</f>
        <v/>
      </c>
    </row>
    <row r="151">
      <c r="A151" t="n">
        <v>148</v>
      </c>
      <c r="B151">
        <f>A151/Inputs!$B$6</f>
        <v/>
      </c>
      <c r="C151">
        <f>IF(B151&lt;=INDEX(YieldCurve!$A$4:$A$63,1),1,IF(B151&gt;=INDEX(YieldCurve!$A$4:$A$63,ROWS(YieldCurve!$A$4:$A$63)),ROWS(YieldCurve!$A$4:$A$63)-1,MATCH(B151,YieldCurve!$A$4:$A$63,1)))</f>
        <v/>
      </c>
      <c r="D151">
        <f>INDEX(YieldCurve!$A$4:$A$63,C151)</f>
        <v/>
      </c>
      <c r="E151">
        <f>INDEX(YieldCurve!$A$4:$A$63,C151+1)</f>
        <v/>
      </c>
      <c r="F151">
        <f>INDEX(YieldCurve!$B$4:$B$63,C151)</f>
        <v/>
      </c>
      <c r="G151">
        <f>INDEX(YieldCurve!$B$4:$B$63,C151+1)</f>
        <v/>
      </c>
      <c r="H151">
        <f>IF(E151=D151,0,(B151-D151)/(E151-D151))</f>
        <v/>
      </c>
      <c r="I151">
        <f>-(F151+Inputs!$B$9)*D151</f>
        <v/>
      </c>
      <c r="J151">
        <f>-(G151+Inputs!$B$9)*E151</f>
        <v/>
      </c>
      <c r="K151">
        <f>IF(B151&lt;=INDEX(YieldCurve!$A$4:$A$63,1),-(INDEX(YieldCurve!$B$4:$B$63,1)+Inputs!$B$9)*B151,IF(B151&gt;=INDEX(YieldCurve!$A$4:$A$63,ROWS(YieldCurve!$A$4:$A$63)),-(INDEX(YieldCurve!$B$4:$B$63,ROWS(YieldCurve!$B$4:$B$63))+Inputs!$B$9)*B151,I151+H151*(J151-I151)))</f>
        <v/>
      </c>
      <c r="L151">
        <f>EXP(K151)</f>
        <v/>
      </c>
    </row>
    <row r="152">
      <c r="A152" t="n">
        <v>149</v>
      </c>
      <c r="B152">
        <f>A152/Inputs!$B$6</f>
        <v/>
      </c>
      <c r="C152">
        <f>IF(B152&lt;=INDEX(YieldCurve!$A$4:$A$63,1),1,IF(B152&gt;=INDEX(YieldCurve!$A$4:$A$63,ROWS(YieldCurve!$A$4:$A$63)),ROWS(YieldCurve!$A$4:$A$63)-1,MATCH(B152,YieldCurve!$A$4:$A$63,1)))</f>
        <v/>
      </c>
      <c r="D152">
        <f>INDEX(YieldCurve!$A$4:$A$63,C152)</f>
        <v/>
      </c>
      <c r="E152">
        <f>INDEX(YieldCurve!$A$4:$A$63,C152+1)</f>
        <v/>
      </c>
      <c r="F152">
        <f>INDEX(YieldCurve!$B$4:$B$63,C152)</f>
        <v/>
      </c>
      <c r="G152">
        <f>INDEX(YieldCurve!$B$4:$B$63,C152+1)</f>
        <v/>
      </c>
      <c r="H152">
        <f>IF(E152=D152,0,(B152-D152)/(E152-D152))</f>
        <v/>
      </c>
      <c r="I152">
        <f>-(F152+Inputs!$B$9)*D152</f>
        <v/>
      </c>
      <c r="J152">
        <f>-(G152+Inputs!$B$9)*E152</f>
        <v/>
      </c>
      <c r="K152">
        <f>IF(B152&lt;=INDEX(YieldCurve!$A$4:$A$63,1),-(INDEX(YieldCurve!$B$4:$B$63,1)+Inputs!$B$9)*B152,IF(B152&gt;=INDEX(YieldCurve!$A$4:$A$63,ROWS(YieldCurve!$A$4:$A$63)),-(INDEX(YieldCurve!$B$4:$B$63,ROWS(YieldCurve!$B$4:$B$63))+Inputs!$B$9)*B152,I152+H152*(J152-I152)))</f>
        <v/>
      </c>
      <c r="L152">
        <f>EXP(K152)</f>
        <v/>
      </c>
    </row>
    <row r="153">
      <c r="A153" t="n">
        <v>150</v>
      </c>
      <c r="B153">
        <f>A153/Inputs!$B$6</f>
        <v/>
      </c>
      <c r="C153">
        <f>IF(B153&lt;=INDEX(YieldCurve!$A$4:$A$63,1),1,IF(B153&gt;=INDEX(YieldCurve!$A$4:$A$63,ROWS(YieldCurve!$A$4:$A$63)),ROWS(YieldCurve!$A$4:$A$63)-1,MATCH(B153,YieldCurve!$A$4:$A$63,1)))</f>
        <v/>
      </c>
      <c r="D153">
        <f>INDEX(YieldCurve!$A$4:$A$63,C153)</f>
        <v/>
      </c>
      <c r="E153">
        <f>INDEX(YieldCurve!$A$4:$A$63,C153+1)</f>
        <v/>
      </c>
      <c r="F153">
        <f>INDEX(YieldCurve!$B$4:$B$63,C153)</f>
        <v/>
      </c>
      <c r="G153">
        <f>INDEX(YieldCurve!$B$4:$B$63,C153+1)</f>
        <v/>
      </c>
      <c r="H153">
        <f>IF(E153=D153,0,(B153-D153)/(E153-D153))</f>
        <v/>
      </c>
      <c r="I153">
        <f>-(F153+Inputs!$B$9)*D153</f>
        <v/>
      </c>
      <c r="J153">
        <f>-(G153+Inputs!$B$9)*E153</f>
        <v/>
      </c>
      <c r="K153">
        <f>IF(B153&lt;=INDEX(YieldCurve!$A$4:$A$63,1),-(INDEX(YieldCurve!$B$4:$B$63,1)+Inputs!$B$9)*B153,IF(B153&gt;=INDEX(YieldCurve!$A$4:$A$63,ROWS(YieldCurve!$A$4:$A$63)),-(INDEX(YieldCurve!$B$4:$B$63,ROWS(YieldCurve!$B$4:$B$63))+Inputs!$B$9)*B153,I153+H153*(J153-I153)))</f>
        <v/>
      </c>
      <c r="L153">
        <f>EXP(K153)</f>
        <v/>
      </c>
    </row>
    <row r="154">
      <c r="A154" t="n">
        <v>151</v>
      </c>
      <c r="B154">
        <f>A154/Inputs!$B$6</f>
        <v/>
      </c>
      <c r="C154">
        <f>IF(B154&lt;=INDEX(YieldCurve!$A$4:$A$63,1),1,IF(B154&gt;=INDEX(YieldCurve!$A$4:$A$63,ROWS(YieldCurve!$A$4:$A$63)),ROWS(YieldCurve!$A$4:$A$63)-1,MATCH(B154,YieldCurve!$A$4:$A$63,1)))</f>
        <v/>
      </c>
      <c r="D154">
        <f>INDEX(YieldCurve!$A$4:$A$63,C154)</f>
        <v/>
      </c>
      <c r="E154">
        <f>INDEX(YieldCurve!$A$4:$A$63,C154+1)</f>
        <v/>
      </c>
      <c r="F154">
        <f>INDEX(YieldCurve!$B$4:$B$63,C154)</f>
        <v/>
      </c>
      <c r="G154">
        <f>INDEX(YieldCurve!$B$4:$B$63,C154+1)</f>
        <v/>
      </c>
      <c r="H154">
        <f>IF(E154=D154,0,(B154-D154)/(E154-D154))</f>
        <v/>
      </c>
      <c r="I154">
        <f>-(F154+Inputs!$B$9)*D154</f>
        <v/>
      </c>
      <c r="J154">
        <f>-(G154+Inputs!$B$9)*E154</f>
        <v/>
      </c>
      <c r="K154">
        <f>IF(B154&lt;=INDEX(YieldCurve!$A$4:$A$63,1),-(INDEX(YieldCurve!$B$4:$B$63,1)+Inputs!$B$9)*B154,IF(B154&gt;=INDEX(YieldCurve!$A$4:$A$63,ROWS(YieldCurve!$A$4:$A$63)),-(INDEX(YieldCurve!$B$4:$B$63,ROWS(YieldCurve!$B$4:$B$63))+Inputs!$B$9)*B154,I154+H154*(J154-I154)))</f>
        <v/>
      </c>
      <c r="L154">
        <f>EXP(K154)</f>
        <v/>
      </c>
    </row>
    <row r="155">
      <c r="A155" t="n">
        <v>152</v>
      </c>
      <c r="B155">
        <f>A155/Inputs!$B$6</f>
        <v/>
      </c>
      <c r="C155">
        <f>IF(B155&lt;=INDEX(YieldCurve!$A$4:$A$63,1),1,IF(B155&gt;=INDEX(YieldCurve!$A$4:$A$63,ROWS(YieldCurve!$A$4:$A$63)),ROWS(YieldCurve!$A$4:$A$63)-1,MATCH(B155,YieldCurve!$A$4:$A$63,1)))</f>
        <v/>
      </c>
      <c r="D155">
        <f>INDEX(YieldCurve!$A$4:$A$63,C155)</f>
        <v/>
      </c>
      <c r="E155">
        <f>INDEX(YieldCurve!$A$4:$A$63,C155+1)</f>
        <v/>
      </c>
      <c r="F155">
        <f>INDEX(YieldCurve!$B$4:$B$63,C155)</f>
        <v/>
      </c>
      <c r="G155">
        <f>INDEX(YieldCurve!$B$4:$B$63,C155+1)</f>
        <v/>
      </c>
      <c r="H155">
        <f>IF(E155=D155,0,(B155-D155)/(E155-D155))</f>
        <v/>
      </c>
      <c r="I155">
        <f>-(F155+Inputs!$B$9)*D155</f>
        <v/>
      </c>
      <c r="J155">
        <f>-(G155+Inputs!$B$9)*E155</f>
        <v/>
      </c>
      <c r="K155">
        <f>IF(B155&lt;=INDEX(YieldCurve!$A$4:$A$63,1),-(INDEX(YieldCurve!$B$4:$B$63,1)+Inputs!$B$9)*B155,IF(B155&gt;=INDEX(YieldCurve!$A$4:$A$63,ROWS(YieldCurve!$A$4:$A$63)),-(INDEX(YieldCurve!$B$4:$B$63,ROWS(YieldCurve!$B$4:$B$63))+Inputs!$B$9)*B155,I155+H155*(J155-I155)))</f>
        <v/>
      </c>
      <c r="L155">
        <f>EXP(K155)</f>
        <v/>
      </c>
    </row>
    <row r="156">
      <c r="A156" t="n">
        <v>153</v>
      </c>
      <c r="B156">
        <f>A156/Inputs!$B$6</f>
        <v/>
      </c>
      <c r="C156">
        <f>IF(B156&lt;=INDEX(YieldCurve!$A$4:$A$63,1),1,IF(B156&gt;=INDEX(YieldCurve!$A$4:$A$63,ROWS(YieldCurve!$A$4:$A$63)),ROWS(YieldCurve!$A$4:$A$63)-1,MATCH(B156,YieldCurve!$A$4:$A$63,1)))</f>
        <v/>
      </c>
      <c r="D156">
        <f>INDEX(YieldCurve!$A$4:$A$63,C156)</f>
        <v/>
      </c>
      <c r="E156">
        <f>INDEX(YieldCurve!$A$4:$A$63,C156+1)</f>
        <v/>
      </c>
      <c r="F156">
        <f>INDEX(YieldCurve!$B$4:$B$63,C156)</f>
        <v/>
      </c>
      <c r="G156">
        <f>INDEX(YieldCurve!$B$4:$B$63,C156+1)</f>
        <v/>
      </c>
      <c r="H156">
        <f>IF(E156=D156,0,(B156-D156)/(E156-D156))</f>
        <v/>
      </c>
      <c r="I156">
        <f>-(F156+Inputs!$B$9)*D156</f>
        <v/>
      </c>
      <c r="J156">
        <f>-(G156+Inputs!$B$9)*E156</f>
        <v/>
      </c>
      <c r="K156">
        <f>IF(B156&lt;=INDEX(YieldCurve!$A$4:$A$63,1),-(INDEX(YieldCurve!$B$4:$B$63,1)+Inputs!$B$9)*B156,IF(B156&gt;=INDEX(YieldCurve!$A$4:$A$63,ROWS(YieldCurve!$A$4:$A$63)),-(INDEX(YieldCurve!$B$4:$B$63,ROWS(YieldCurve!$B$4:$B$63))+Inputs!$B$9)*B156,I156+H156*(J156-I156)))</f>
        <v/>
      </c>
      <c r="L156">
        <f>EXP(K156)</f>
        <v/>
      </c>
    </row>
    <row r="157">
      <c r="A157" t="n">
        <v>154</v>
      </c>
      <c r="B157">
        <f>A157/Inputs!$B$6</f>
        <v/>
      </c>
      <c r="C157">
        <f>IF(B157&lt;=INDEX(YieldCurve!$A$4:$A$63,1),1,IF(B157&gt;=INDEX(YieldCurve!$A$4:$A$63,ROWS(YieldCurve!$A$4:$A$63)),ROWS(YieldCurve!$A$4:$A$63)-1,MATCH(B157,YieldCurve!$A$4:$A$63,1)))</f>
        <v/>
      </c>
      <c r="D157">
        <f>INDEX(YieldCurve!$A$4:$A$63,C157)</f>
        <v/>
      </c>
      <c r="E157">
        <f>INDEX(YieldCurve!$A$4:$A$63,C157+1)</f>
        <v/>
      </c>
      <c r="F157">
        <f>INDEX(YieldCurve!$B$4:$B$63,C157)</f>
        <v/>
      </c>
      <c r="G157">
        <f>INDEX(YieldCurve!$B$4:$B$63,C157+1)</f>
        <v/>
      </c>
      <c r="H157">
        <f>IF(E157=D157,0,(B157-D157)/(E157-D157))</f>
        <v/>
      </c>
      <c r="I157">
        <f>-(F157+Inputs!$B$9)*D157</f>
        <v/>
      </c>
      <c r="J157">
        <f>-(G157+Inputs!$B$9)*E157</f>
        <v/>
      </c>
      <c r="K157">
        <f>IF(B157&lt;=INDEX(YieldCurve!$A$4:$A$63,1),-(INDEX(YieldCurve!$B$4:$B$63,1)+Inputs!$B$9)*B157,IF(B157&gt;=INDEX(YieldCurve!$A$4:$A$63,ROWS(YieldCurve!$A$4:$A$63)),-(INDEX(YieldCurve!$B$4:$B$63,ROWS(YieldCurve!$B$4:$B$63))+Inputs!$B$9)*B157,I157+H157*(J157-I157)))</f>
        <v/>
      </c>
      <c r="L157">
        <f>EXP(K157)</f>
        <v/>
      </c>
    </row>
    <row r="158">
      <c r="A158" t="n">
        <v>155</v>
      </c>
      <c r="B158">
        <f>A158/Inputs!$B$6</f>
        <v/>
      </c>
      <c r="C158">
        <f>IF(B158&lt;=INDEX(YieldCurve!$A$4:$A$63,1),1,IF(B158&gt;=INDEX(YieldCurve!$A$4:$A$63,ROWS(YieldCurve!$A$4:$A$63)),ROWS(YieldCurve!$A$4:$A$63)-1,MATCH(B158,YieldCurve!$A$4:$A$63,1)))</f>
        <v/>
      </c>
      <c r="D158">
        <f>INDEX(YieldCurve!$A$4:$A$63,C158)</f>
        <v/>
      </c>
      <c r="E158">
        <f>INDEX(YieldCurve!$A$4:$A$63,C158+1)</f>
        <v/>
      </c>
      <c r="F158">
        <f>INDEX(YieldCurve!$B$4:$B$63,C158)</f>
        <v/>
      </c>
      <c r="G158">
        <f>INDEX(YieldCurve!$B$4:$B$63,C158+1)</f>
        <v/>
      </c>
      <c r="H158">
        <f>IF(E158=D158,0,(B158-D158)/(E158-D158))</f>
        <v/>
      </c>
      <c r="I158">
        <f>-(F158+Inputs!$B$9)*D158</f>
        <v/>
      </c>
      <c r="J158">
        <f>-(G158+Inputs!$B$9)*E158</f>
        <v/>
      </c>
      <c r="K158">
        <f>IF(B158&lt;=INDEX(YieldCurve!$A$4:$A$63,1),-(INDEX(YieldCurve!$B$4:$B$63,1)+Inputs!$B$9)*B158,IF(B158&gt;=INDEX(YieldCurve!$A$4:$A$63,ROWS(YieldCurve!$A$4:$A$63)),-(INDEX(YieldCurve!$B$4:$B$63,ROWS(YieldCurve!$B$4:$B$63))+Inputs!$B$9)*B158,I158+H158*(J158-I158)))</f>
        <v/>
      </c>
      <c r="L158">
        <f>EXP(K158)</f>
        <v/>
      </c>
    </row>
    <row r="159">
      <c r="A159" t="n">
        <v>156</v>
      </c>
      <c r="B159">
        <f>A159/Inputs!$B$6</f>
        <v/>
      </c>
      <c r="C159">
        <f>IF(B159&lt;=INDEX(YieldCurve!$A$4:$A$63,1),1,IF(B159&gt;=INDEX(YieldCurve!$A$4:$A$63,ROWS(YieldCurve!$A$4:$A$63)),ROWS(YieldCurve!$A$4:$A$63)-1,MATCH(B159,YieldCurve!$A$4:$A$63,1)))</f>
        <v/>
      </c>
      <c r="D159">
        <f>INDEX(YieldCurve!$A$4:$A$63,C159)</f>
        <v/>
      </c>
      <c r="E159">
        <f>INDEX(YieldCurve!$A$4:$A$63,C159+1)</f>
        <v/>
      </c>
      <c r="F159">
        <f>INDEX(YieldCurve!$B$4:$B$63,C159)</f>
        <v/>
      </c>
      <c r="G159">
        <f>INDEX(YieldCurve!$B$4:$B$63,C159+1)</f>
        <v/>
      </c>
      <c r="H159">
        <f>IF(E159=D159,0,(B159-D159)/(E159-D159))</f>
        <v/>
      </c>
      <c r="I159">
        <f>-(F159+Inputs!$B$9)*D159</f>
        <v/>
      </c>
      <c r="J159">
        <f>-(G159+Inputs!$B$9)*E159</f>
        <v/>
      </c>
      <c r="K159">
        <f>IF(B159&lt;=INDEX(YieldCurve!$A$4:$A$63,1),-(INDEX(YieldCurve!$B$4:$B$63,1)+Inputs!$B$9)*B159,IF(B159&gt;=INDEX(YieldCurve!$A$4:$A$63,ROWS(YieldCurve!$A$4:$A$63)),-(INDEX(YieldCurve!$B$4:$B$63,ROWS(YieldCurve!$B$4:$B$63))+Inputs!$B$9)*B159,I159+H159*(J159-I159)))</f>
        <v/>
      </c>
      <c r="L159">
        <f>EXP(K159)</f>
        <v/>
      </c>
    </row>
    <row r="160">
      <c r="A160" t="n">
        <v>157</v>
      </c>
      <c r="B160">
        <f>A160/Inputs!$B$6</f>
        <v/>
      </c>
      <c r="C160">
        <f>IF(B160&lt;=INDEX(YieldCurve!$A$4:$A$63,1),1,IF(B160&gt;=INDEX(YieldCurve!$A$4:$A$63,ROWS(YieldCurve!$A$4:$A$63)),ROWS(YieldCurve!$A$4:$A$63)-1,MATCH(B160,YieldCurve!$A$4:$A$63,1)))</f>
        <v/>
      </c>
      <c r="D160">
        <f>INDEX(YieldCurve!$A$4:$A$63,C160)</f>
        <v/>
      </c>
      <c r="E160">
        <f>INDEX(YieldCurve!$A$4:$A$63,C160+1)</f>
        <v/>
      </c>
      <c r="F160">
        <f>INDEX(YieldCurve!$B$4:$B$63,C160)</f>
        <v/>
      </c>
      <c r="G160">
        <f>INDEX(YieldCurve!$B$4:$B$63,C160+1)</f>
        <v/>
      </c>
      <c r="H160">
        <f>IF(E160=D160,0,(B160-D160)/(E160-D160))</f>
        <v/>
      </c>
      <c r="I160">
        <f>-(F160+Inputs!$B$9)*D160</f>
        <v/>
      </c>
      <c r="J160">
        <f>-(G160+Inputs!$B$9)*E160</f>
        <v/>
      </c>
      <c r="K160">
        <f>IF(B160&lt;=INDEX(YieldCurve!$A$4:$A$63,1),-(INDEX(YieldCurve!$B$4:$B$63,1)+Inputs!$B$9)*B160,IF(B160&gt;=INDEX(YieldCurve!$A$4:$A$63,ROWS(YieldCurve!$A$4:$A$63)),-(INDEX(YieldCurve!$B$4:$B$63,ROWS(YieldCurve!$B$4:$B$63))+Inputs!$B$9)*B160,I160+H160*(J160-I160)))</f>
        <v/>
      </c>
      <c r="L160">
        <f>EXP(K160)</f>
        <v/>
      </c>
    </row>
    <row r="161">
      <c r="A161" t="n">
        <v>158</v>
      </c>
      <c r="B161">
        <f>A161/Inputs!$B$6</f>
        <v/>
      </c>
      <c r="C161">
        <f>IF(B161&lt;=INDEX(YieldCurve!$A$4:$A$63,1),1,IF(B161&gt;=INDEX(YieldCurve!$A$4:$A$63,ROWS(YieldCurve!$A$4:$A$63)),ROWS(YieldCurve!$A$4:$A$63)-1,MATCH(B161,YieldCurve!$A$4:$A$63,1)))</f>
        <v/>
      </c>
      <c r="D161">
        <f>INDEX(YieldCurve!$A$4:$A$63,C161)</f>
        <v/>
      </c>
      <c r="E161">
        <f>INDEX(YieldCurve!$A$4:$A$63,C161+1)</f>
        <v/>
      </c>
      <c r="F161">
        <f>INDEX(YieldCurve!$B$4:$B$63,C161)</f>
        <v/>
      </c>
      <c r="G161">
        <f>INDEX(YieldCurve!$B$4:$B$63,C161+1)</f>
        <v/>
      </c>
      <c r="H161">
        <f>IF(E161=D161,0,(B161-D161)/(E161-D161))</f>
        <v/>
      </c>
      <c r="I161">
        <f>-(F161+Inputs!$B$9)*D161</f>
        <v/>
      </c>
      <c r="J161">
        <f>-(G161+Inputs!$B$9)*E161</f>
        <v/>
      </c>
      <c r="K161">
        <f>IF(B161&lt;=INDEX(YieldCurve!$A$4:$A$63,1),-(INDEX(YieldCurve!$B$4:$B$63,1)+Inputs!$B$9)*B161,IF(B161&gt;=INDEX(YieldCurve!$A$4:$A$63,ROWS(YieldCurve!$A$4:$A$63)),-(INDEX(YieldCurve!$B$4:$B$63,ROWS(YieldCurve!$B$4:$B$63))+Inputs!$B$9)*B161,I161+H161*(J161-I161)))</f>
        <v/>
      </c>
      <c r="L161">
        <f>EXP(K161)</f>
        <v/>
      </c>
    </row>
    <row r="162">
      <c r="A162" t="n">
        <v>159</v>
      </c>
      <c r="B162">
        <f>A162/Inputs!$B$6</f>
        <v/>
      </c>
      <c r="C162">
        <f>IF(B162&lt;=INDEX(YieldCurve!$A$4:$A$63,1),1,IF(B162&gt;=INDEX(YieldCurve!$A$4:$A$63,ROWS(YieldCurve!$A$4:$A$63)),ROWS(YieldCurve!$A$4:$A$63)-1,MATCH(B162,YieldCurve!$A$4:$A$63,1)))</f>
        <v/>
      </c>
      <c r="D162">
        <f>INDEX(YieldCurve!$A$4:$A$63,C162)</f>
        <v/>
      </c>
      <c r="E162">
        <f>INDEX(YieldCurve!$A$4:$A$63,C162+1)</f>
        <v/>
      </c>
      <c r="F162">
        <f>INDEX(YieldCurve!$B$4:$B$63,C162)</f>
        <v/>
      </c>
      <c r="G162">
        <f>INDEX(YieldCurve!$B$4:$B$63,C162+1)</f>
        <v/>
      </c>
      <c r="H162">
        <f>IF(E162=D162,0,(B162-D162)/(E162-D162))</f>
        <v/>
      </c>
      <c r="I162">
        <f>-(F162+Inputs!$B$9)*D162</f>
        <v/>
      </c>
      <c r="J162">
        <f>-(G162+Inputs!$B$9)*E162</f>
        <v/>
      </c>
      <c r="K162">
        <f>IF(B162&lt;=INDEX(YieldCurve!$A$4:$A$63,1),-(INDEX(YieldCurve!$B$4:$B$63,1)+Inputs!$B$9)*B162,IF(B162&gt;=INDEX(YieldCurve!$A$4:$A$63,ROWS(YieldCurve!$A$4:$A$63)),-(INDEX(YieldCurve!$B$4:$B$63,ROWS(YieldCurve!$B$4:$B$63))+Inputs!$B$9)*B162,I162+H162*(J162-I162)))</f>
        <v/>
      </c>
      <c r="L162">
        <f>EXP(K162)</f>
        <v/>
      </c>
    </row>
    <row r="163">
      <c r="A163" t="n">
        <v>160</v>
      </c>
      <c r="B163">
        <f>A163/Inputs!$B$6</f>
        <v/>
      </c>
      <c r="C163">
        <f>IF(B163&lt;=INDEX(YieldCurve!$A$4:$A$63,1),1,IF(B163&gt;=INDEX(YieldCurve!$A$4:$A$63,ROWS(YieldCurve!$A$4:$A$63)),ROWS(YieldCurve!$A$4:$A$63)-1,MATCH(B163,YieldCurve!$A$4:$A$63,1)))</f>
        <v/>
      </c>
      <c r="D163">
        <f>INDEX(YieldCurve!$A$4:$A$63,C163)</f>
        <v/>
      </c>
      <c r="E163">
        <f>INDEX(YieldCurve!$A$4:$A$63,C163+1)</f>
        <v/>
      </c>
      <c r="F163">
        <f>INDEX(YieldCurve!$B$4:$B$63,C163)</f>
        <v/>
      </c>
      <c r="G163">
        <f>INDEX(YieldCurve!$B$4:$B$63,C163+1)</f>
        <v/>
      </c>
      <c r="H163">
        <f>IF(E163=D163,0,(B163-D163)/(E163-D163))</f>
        <v/>
      </c>
      <c r="I163">
        <f>-(F163+Inputs!$B$9)*D163</f>
        <v/>
      </c>
      <c r="J163">
        <f>-(G163+Inputs!$B$9)*E163</f>
        <v/>
      </c>
      <c r="K163">
        <f>IF(B163&lt;=INDEX(YieldCurve!$A$4:$A$63,1),-(INDEX(YieldCurve!$B$4:$B$63,1)+Inputs!$B$9)*B163,IF(B163&gt;=INDEX(YieldCurve!$A$4:$A$63,ROWS(YieldCurve!$A$4:$A$63)),-(INDEX(YieldCurve!$B$4:$B$63,ROWS(YieldCurve!$B$4:$B$63))+Inputs!$B$9)*B163,I163+H163*(J163-I163)))</f>
        <v/>
      </c>
      <c r="L163">
        <f>EXP(K163)</f>
        <v/>
      </c>
    </row>
    <row r="164">
      <c r="A164" t="n">
        <v>161</v>
      </c>
      <c r="B164">
        <f>A164/Inputs!$B$6</f>
        <v/>
      </c>
      <c r="C164">
        <f>IF(B164&lt;=INDEX(YieldCurve!$A$4:$A$63,1),1,IF(B164&gt;=INDEX(YieldCurve!$A$4:$A$63,ROWS(YieldCurve!$A$4:$A$63)),ROWS(YieldCurve!$A$4:$A$63)-1,MATCH(B164,YieldCurve!$A$4:$A$63,1)))</f>
        <v/>
      </c>
      <c r="D164">
        <f>INDEX(YieldCurve!$A$4:$A$63,C164)</f>
        <v/>
      </c>
      <c r="E164">
        <f>INDEX(YieldCurve!$A$4:$A$63,C164+1)</f>
        <v/>
      </c>
      <c r="F164">
        <f>INDEX(YieldCurve!$B$4:$B$63,C164)</f>
        <v/>
      </c>
      <c r="G164">
        <f>INDEX(YieldCurve!$B$4:$B$63,C164+1)</f>
        <v/>
      </c>
      <c r="H164">
        <f>IF(E164=D164,0,(B164-D164)/(E164-D164))</f>
        <v/>
      </c>
      <c r="I164">
        <f>-(F164+Inputs!$B$9)*D164</f>
        <v/>
      </c>
      <c r="J164">
        <f>-(G164+Inputs!$B$9)*E164</f>
        <v/>
      </c>
      <c r="K164">
        <f>IF(B164&lt;=INDEX(YieldCurve!$A$4:$A$63,1),-(INDEX(YieldCurve!$B$4:$B$63,1)+Inputs!$B$9)*B164,IF(B164&gt;=INDEX(YieldCurve!$A$4:$A$63,ROWS(YieldCurve!$A$4:$A$63)),-(INDEX(YieldCurve!$B$4:$B$63,ROWS(YieldCurve!$B$4:$B$63))+Inputs!$B$9)*B164,I164+H164*(J164-I164)))</f>
        <v/>
      </c>
      <c r="L164">
        <f>EXP(K164)</f>
        <v/>
      </c>
    </row>
    <row r="165">
      <c r="A165" t="n">
        <v>162</v>
      </c>
      <c r="B165">
        <f>A165/Inputs!$B$6</f>
        <v/>
      </c>
      <c r="C165">
        <f>IF(B165&lt;=INDEX(YieldCurve!$A$4:$A$63,1),1,IF(B165&gt;=INDEX(YieldCurve!$A$4:$A$63,ROWS(YieldCurve!$A$4:$A$63)),ROWS(YieldCurve!$A$4:$A$63)-1,MATCH(B165,YieldCurve!$A$4:$A$63,1)))</f>
        <v/>
      </c>
      <c r="D165">
        <f>INDEX(YieldCurve!$A$4:$A$63,C165)</f>
        <v/>
      </c>
      <c r="E165">
        <f>INDEX(YieldCurve!$A$4:$A$63,C165+1)</f>
        <v/>
      </c>
      <c r="F165">
        <f>INDEX(YieldCurve!$B$4:$B$63,C165)</f>
        <v/>
      </c>
      <c r="G165">
        <f>INDEX(YieldCurve!$B$4:$B$63,C165+1)</f>
        <v/>
      </c>
      <c r="H165">
        <f>IF(E165=D165,0,(B165-D165)/(E165-D165))</f>
        <v/>
      </c>
      <c r="I165">
        <f>-(F165+Inputs!$B$9)*D165</f>
        <v/>
      </c>
      <c r="J165">
        <f>-(G165+Inputs!$B$9)*E165</f>
        <v/>
      </c>
      <c r="K165">
        <f>IF(B165&lt;=INDEX(YieldCurve!$A$4:$A$63,1),-(INDEX(YieldCurve!$B$4:$B$63,1)+Inputs!$B$9)*B165,IF(B165&gt;=INDEX(YieldCurve!$A$4:$A$63,ROWS(YieldCurve!$A$4:$A$63)),-(INDEX(YieldCurve!$B$4:$B$63,ROWS(YieldCurve!$B$4:$B$63))+Inputs!$B$9)*B165,I165+H165*(J165-I165)))</f>
        <v/>
      </c>
      <c r="L165">
        <f>EXP(K165)</f>
        <v/>
      </c>
    </row>
    <row r="166">
      <c r="A166" t="n">
        <v>163</v>
      </c>
      <c r="B166">
        <f>A166/Inputs!$B$6</f>
        <v/>
      </c>
      <c r="C166">
        <f>IF(B166&lt;=INDEX(YieldCurve!$A$4:$A$63,1),1,IF(B166&gt;=INDEX(YieldCurve!$A$4:$A$63,ROWS(YieldCurve!$A$4:$A$63)),ROWS(YieldCurve!$A$4:$A$63)-1,MATCH(B166,YieldCurve!$A$4:$A$63,1)))</f>
        <v/>
      </c>
      <c r="D166">
        <f>INDEX(YieldCurve!$A$4:$A$63,C166)</f>
        <v/>
      </c>
      <c r="E166">
        <f>INDEX(YieldCurve!$A$4:$A$63,C166+1)</f>
        <v/>
      </c>
      <c r="F166">
        <f>INDEX(YieldCurve!$B$4:$B$63,C166)</f>
        <v/>
      </c>
      <c r="G166">
        <f>INDEX(YieldCurve!$B$4:$B$63,C166+1)</f>
        <v/>
      </c>
      <c r="H166">
        <f>IF(E166=D166,0,(B166-D166)/(E166-D166))</f>
        <v/>
      </c>
      <c r="I166">
        <f>-(F166+Inputs!$B$9)*D166</f>
        <v/>
      </c>
      <c r="J166">
        <f>-(G166+Inputs!$B$9)*E166</f>
        <v/>
      </c>
      <c r="K166">
        <f>IF(B166&lt;=INDEX(YieldCurve!$A$4:$A$63,1),-(INDEX(YieldCurve!$B$4:$B$63,1)+Inputs!$B$9)*B166,IF(B166&gt;=INDEX(YieldCurve!$A$4:$A$63,ROWS(YieldCurve!$A$4:$A$63)),-(INDEX(YieldCurve!$B$4:$B$63,ROWS(YieldCurve!$B$4:$B$63))+Inputs!$B$9)*B166,I166+H166*(J166-I166)))</f>
        <v/>
      </c>
      <c r="L166">
        <f>EXP(K166)</f>
        <v/>
      </c>
    </row>
    <row r="167">
      <c r="A167" t="n">
        <v>164</v>
      </c>
      <c r="B167">
        <f>A167/Inputs!$B$6</f>
        <v/>
      </c>
      <c r="C167">
        <f>IF(B167&lt;=INDEX(YieldCurve!$A$4:$A$63,1),1,IF(B167&gt;=INDEX(YieldCurve!$A$4:$A$63,ROWS(YieldCurve!$A$4:$A$63)),ROWS(YieldCurve!$A$4:$A$63)-1,MATCH(B167,YieldCurve!$A$4:$A$63,1)))</f>
        <v/>
      </c>
      <c r="D167">
        <f>INDEX(YieldCurve!$A$4:$A$63,C167)</f>
        <v/>
      </c>
      <c r="E167">
        <f>INDEX(YieldCurve!$A$4:$A$63,C167+1)</f>
        <v/>
      </c>
      <c r="F167">
        <f>INDEX(YieldCurve!$B$4:$B$63,C167)</f>
        <v/>
      </c>
      <c r="G167">
        <f>INDEX(YieldCurve!$B$4:$B$63,C167+1)</f>
        <v/>
      </c>
      <c r="H167">
        <f>IF(E167=D167,0,(B167-D167)/(E167-D167))</f>
        <v/>
      </c>
      <c r="I167">
        <f>-(F167+Inputs!$B$9)*D167</f>
        <v/>
      </c>
      <c r="J167">
        <f>-(G167+Inputs!$B$9)*E167</f>
        <v/>
      </c>
      <c r="K167">
        <f>IF(B167&lt;=INDEX(YieldCurve!$A$4:$A$63,1),-(INDEX(YieldCurve!$B$4:$B$63,1)+Inputs!$B$9)*B167,IF(B167&gt;=INDEX(YieldCurve!$A$4:$A$63,ROWS(YieldCurve!$A$4:$A$63)),-(INDEX(YieldCurve!$B$4:$B$63,ROWS(YieldCurve!$B$4:$B$63))+Inputs!$B$9)*B167,I167+H167*(J167-I167)))</f>
        <v/>
      </c>
      <c r="L167">
        <f>EXP(K167)</f>
        <v/>
      </c>
    </row>
    <row r="168">
      <c r="A168" t="n">
        <v>165</v>
      </c>
      <c r="B168">
        <f>A168/Inputs!$B$6</f>
        <v/>
      </c>
      <c r="C168">
        <f>IF(B168&lt;=INDEX(YieldCurve!$A$4:$A$63,1),1,IF(B168&gt;=INDEX(YieldCurve!$A$4:$A$63,ROWS(YieldCurve!$A$4:$A$63)),ROWS(YieldCurve!$A$4:$A$63)-1,MATCH(B168,YieldCurve!$A$4:$A$63,1)))</f>
        <v/>
      </c>
      <c r="D168">
        <f>INDEX(YieldCurve!$A$4:$A$63,C168)</f>
        <v/>
      </c>
      <c r="E168">
        <f>INDEX(YieldCurve!$A$4:$A$63,C168+1)</f>
        <v/>
      </c>
      <c r="F168">
        <f>INDEX(YieldCurve!$B$4:$B$63,C168)</f>
        <v/>
      </c>
      <c r="G168">
        <f>INDEX(YieldCurve!$B$4:$B$63,C168+1)</f>
        <v/>
      </c>
      <c r="H168">
        <f>IF(E168=D168,0,(B168-D168)/(E168-D168))</f>
        <v/>
      </c>
      <c r="I168">
        <f>-(F168+Inputs!$B$9)*D168</f>
        <v/>
      </c>
      <c r="J168">
        <f>-(G168+Inputs!$B$9)*E168</f>
        <v/>
      </c>
      <c r="K168">
        <f>IF(B168&lt;=INDEX(YieldCurve!$A$4:$A$63,1),-(INDEX(YieldCurve!$B$4:$B$63,1)+Inputs!$B$9)*B168,IF(B168&gt;=INDEX(YieldCurve!$A$4:$A$63,ROWS(YieldCurve!$A$4:$A$63)),-(INDEX(YieldCurve!$B$4:$B$63,ROWS(YieldCurve!$B$4:$B$63))+Inputs!$B$9)*B168,I168+H168*(J168-I168)))</f>
        <v/>
      </c>
      <c r="L168">
        <f>EXP(K168)</f>
        <v/>
      </c>
    </row>
    <row r="169">
      <c r="A169" t="n">
        <v>166</v>
      </c>
      <c r="B169">
        <f>A169/Inputs!$B$6</f>
        <v/>
      </c>
      <c r="C169">
        <f>IF(B169&lt;=INDEX(YieldCurve!$A$4:$A$63,1),1,IF(B169&gt;=INDEX(YieldCurve!$A$4:$A$63,ROWS(YieldCurve!$A$4:$A$63)),ROWS(YieldCurve!$A$4:$A$63)-1,MATCH(B169,YieldCurve!$A$4:$A$63,1)))</f>
        <v/>
      </c>
      <c r="D169">
        <f>INDEX(YieldCurve!$A$4:$A$63,C169)</f>
        <v/>
      </c>
      <c r="E169">
        <f>INDEX(YieldCurve!$A$4:$A$63,C169+1)</f>
        <v/>
      </c>
      <c r="F169">
        <f>INDEX(YieldCurve!$B$4:$B$63,C169)</f>
        <v/>
      </c>
      <c r="G169">
        <f>INDEX(YieldCurve!$B$4:$B$63,C169+1)</f>
        <v/>
      </c>
      <c r="H169">
        <f>IF(E169=D169,0,(B169-D169)/(E169-D169))</f>
        <v/>
      </c>
      <c r="I169">
        <f>-(F169+Inputs!$B$9)*D169</f>
        <v/>
      </c>
      <c r="J169">
        <f>-(G169+Inputs!$B$9)*E169</f>
        <v/>
      </c>
      <c r="K169">
        <f>IF(B169&lt;=INDEX(YieldCurve!$A$4:$A$63,1),-(INDEX(YieldCurve!$B$4:$B$63,1)+Inputs!$B$9)*B169,IF(B169&gt;=INDEX(YieldCurve!$A$4:$A$63,ROWS(YieldCurve!$A$4:$A$63)),-(INDEX(YieldCurve!$B$4:$B$63,ROWS(YieldCurve!$B$4:$B$63))+Inputs!$B$9)*B169,I169+H169*(J169-I169)))</f>
        <v/>
      </c>
      <c r="L169">
        <f>EXP(K169)</f>
        <v/>
      </c>
    </row>
    <row r="170">
      <c r="A170" t="n">
        <v>167</v>
      </c>
      <c r="B170">
        <f>A170/Inputs!$B$6</f>
        <v/>
      </c>
      <c r="C170">
        <f>IF(B170&lt;=INDEX(YieldCurve!$A$4:$A$63,1),1,IF(B170&gt;=INDEX(YieldCurve!$A$4:$A$63,ROWS(YieldCurve!$A$4:$A$63)),ROWS(YieldCurve!$A$4:$A$63)-1,MATCH(B170,YieldCurve!$A$4:$A$63,1)))</f>
        <v/>
      </c>
      <c r="D170">
        <f>INDEX(YieldCurve!$A$4:$A$63,C170)</f>
        <v/>
      </c>
      <c r="E170">
        <f>INDEX(YieldCurve!$A$4:$A$63,C170+1)</f>
        <v/>
      </c>
      <c r="F170">
        <f>INDEX(YieldCurve!$B$4:$B$63,C170)</f>
        <v/>
      </c>
      <c r="G170">
        <f>INDEX(YieldCurve!$B$4:$B$63,C170+1)</f>
        <v/>
      </c>
      <c r="H170">
        <f>IF(E170=D170,0,(B170-D170)/(E170-D170))</f>
        <v/>
      </c>
      <c r="I170">
        <f>-(F170+Inputs!$B$9)*D170</f>
        <v/>
      </c>
      <c r="J170">
        <f>-(G170+Inputs!$B$9)*E170</f>
        <v/>
      </c>
      <c r="K170">
        <f>IF(B170&lt;=INDEX(YieldCurve!$A$4:$A$63,1),-(INDEX(YieldCurve!$B$4:$B$63,1)+Inputs!$B$9)*B170,IF(B170&gt;=INDEX(YieldCurve!$A$4:$A$63,ROWS(YieldCurve!$A$4:$A$63)),-(INDEX(YieldCurve!$B$4:$B$63,ROWS(YieldCurve!$B$4:$B$63))+Inputs!$B$9)*B170,I170+H170*(J170-I170)))</f>
        <v/>
      </c>
      <c r="L170">
        <f>EXP(K170)</f>
        <v/>
      </c>
    </row>
    <row r="171">
      <c r="A171" t="n">
        <v>168</v>
      </c>
      <c r="B171">
        <f>A171/Inputs!$B$6</f>
        <v/>
      </c>
      <c r="C171">
        <f>IF(B171&lt;=INDEX(YieldCurve!$A$4:$A$63,1),1,IF(B171&gt;=INDEX(YieldCurve!$A$4:$A$63,ROWS(YieldCurve!$A$4:$A$63)),ROWS(YieldCurve!$A$4:$A$63)-1,MATCH(B171,YieldCurve!$A$4:$A$63,1)))</f>
        <v/>
      </c>
      <c r="D171">
        <f>INDEX(YieldCurve!$A$4:$A$63,C171)</f>
        <v/>
      </c>
      <c r="E171">
        <f>INDEX(YieldCurve!$A$4:$A$63,C171+1)</f>
        <v/>
      </c>
      <c r="F171">
        <f>INDEX(YieldCurve!$B$4:$B$63,C171)</f>
        <v/>
      </c>
      <c r="G171">
        <f>INDEX(YieldCurve!$B$4:$B$63,C171+1)</f>
        <v/>
      </c>
      <c r="H171">
        <f>IF(E171=D171,0,(B171-D171)/(E171-D171))</f>
        <v/>
      </c>
      <c r="I171">
        <f>-(F171+Inputs!$B$9)*D171</f>
        <v/>
      </c>
      <c r="J171">
        <f>-(G171+Inputs!$B$9)*E171</f>
        <v/>
      </c>
      <c r="K171">
        <f>IF(B171&lt;=INDEX(YieldCurve!$A$4:$A$63,1),-(INDEX(YieldCurve!$B$4:$B$63,1)+Inputs!$B$9)*B171,IF(B171&gt;=INDEX(YieldCurve!$A$4:$A$63,ROWS(YieldCurve!$A$4:$A$63)),-(INDEX(YieldCurve!$B$4:$B$63,ROWS(YieldCurve!$B$4:$B$63))+Inputs!$B$9)*B171,I171+H171*(J171-I171)))</f>
        <v/>
      </c>
      <c r="L171">
        <f>EXP(K171)</f>
        <v/>
      </c>
    </row>
    <row r="172">
      <c r="A172" t="n">
        <v>169</v>
      </c>
      <c r="B172">
        <f>A172/Inputs!$B$6</f>
        <v/>
      </c>
      <c r="C172">
        <f>IF(B172&lt;=INDEX(YieldCurve!$A$4:$A$63,1),1,IF(B172&gt;=INDEX(YieldCurve!$A$4:$A$63,ROWS(YieldCurve!$A$4:$A$63)),ROWS(YieldCurve!$A$4:$A$63)-1,MATCH(B172,YieldCurve!$A$4:$A$63,1)))</f>
        <v/>
      </c>
      <c r="D172">
        <f>INDEX(YieldCurve!$A$4:$A$63,C172)</f>
        <v/>
      </c>
      <c r="E172">
        <f>INDEX(YieldCurve!$A$4:$A$63,C172+1)</f>
        <v/>
      </c>
      <c r="F172">
        <f>INDEX(YieldCurve!$B$4:$B$63,C172)</f>
        <v/>
      </c>
      <c r="G172">
        <f>INDEX(YieldCurve!$B$4:$B$63,C172+1)</f>
        <v/>
      </c>
      <c r="H172">
        <f>IF(E172=D172,0,(B172-D172)/(E172-D172))</f>
        <v/>
      </c>
      <c r="I172">
        <f>-(F172+Inputs!$B$9)*D172</f>
        <v/>
      </c>
      <c r="J172">
        <f>-(G172+Inputs!$B$9)*E172</f>
        <v/>
      </c>
      <c r="K172">
        <f>IF(B172&lt;=INDEX(YieldCurve!$A$4:$A$63,1),-(INDEX(YieldCurve!$B$4:$B$63,1)+Inputs!$B$9)*B172,IF(B172&gt;=INDEX(YieldCurve!$A$4:$A$63,ROWS(YieldCurve!$A$4:$A$63)),-(INDEX(YieldCurve!$B$4:$B$63,ROWS(YieldCurve!$B$4:$B$63))+Inputs!$B$9)*B172,I172+H172*(J172-I172)))</f>
        <v/>
      </c>
      <c r="L172">
        <f>EXP(K172)</f>
        <v/>
      </c>
    </row>
    <row r="173">
      <c r="A173" t="n">
        <v>170</v>
      </c>
      <c r="B173">
        <f>A173/Inputs!$B$6</f>
        <v/>
      </c>
      <c r="C173">
        <f>IF(B173&lt;=INDEX(YieldCurve!$A$4:$A$63,1),1,IF(B173&gt;=INDEX(YieldCurve!$A$4:$A$63,ROWS(YieldCurve!$A$4:$A$63)),ROWS(YieldCurve!$A$4:$A$63)-1,MATCH(B173,YieldCurve!$A$4:$A$63,1)))</f>
        <v/>
      </c>
      <c r="D173">
        <f>INDEX(YieldCurve!$A$4:$A$63,C173)</f>
        <v/>
      </c>
      <c r="E173">
        <f>INDEX(YieldCurve!$A$4:$A$63,C173+1)</f>
        <v/>
      </c>
      <c r="F173">
        <f>INDEX(YieldCurve!$B$4:$B$63,C173)</f>
        <v/>
      </c>
      <c r="G173">
        <f>INDEX(YieldCurve!$B$4:$B$63,C173+1)</f>
        <v/>
      </c>
      <c r="H173">
        <f>IF(E173=D173,0,(B173-D173)/(E173-D173))</f>
        <v/>
      </c>
      <c r="I173">
        <f>-(F173+Inputs!$B$9)*D173</f>
        <v/>
      </c>
      <c r="J173">
        <f>-(G173+Inputs!$B$9)*E173</f>
        <v/>
      </c>
      <c r="K173">
        <f>IF(B173&lt;=INDEX(YieldCurve!$A$4:$A$63,1),-(INDEX(YieldCurve!$B$4:$B$63,1)+Inputs!$B$9)*B173,IF(B173&gt;=INDEX(YieldCurve!$A$4:$A$63,ROWS(YieldCurve!$A$4:$A$63)),-(INDEX(YieldCurve!$B$4:$B$63,ROWS(YieldCurve!$B$4:$B$63))+Inputs!$B$9)*B173,I173+H173*(J173-I173)))</f>
        <v/>
      </c>
      <c r="L173">
        <f>EXP(K173)</f>
        <v/>
      </c>
    </row>
    <row r="174">
      <c r="A174" t="n">
        <v>171</v>
      </c>
      <c r="B174">
        <f>A174/Inputs!$B$6</f>
        <v/>
      </c>
      <c r="C174">
        <f>IF(B174&lt;=INDEX(YieldCurve!$A$4:$A$63,1),1,IF(B174&gt;=INDEX(YieldCurve!$A$4:$A$63,ROWS(YieldCurve!$A$4:$A$63)),ROWS(YieldCurve!$A$4:$A$63)-1,MATCH(B174,YieldCurve!$A$4:$A$63,1)))</f>
        <v/>
      </c>
      <c r="D174">
        <f>INDEX(YieldCurve!$A$4:$A$63,C174)</f>
        <v/>
      </c>
      <c r="E174">
        <f>INDEX(YieldCurve!$A$4:$A$63,C174+1)</f>
        <v/>
      </c>
      <c r="F174">
        <f>INDEX(YieldCurve!$B$4:$B$63,C174)</f>
        <v/>
      </c>
      <c r="G174">
        <f>INDEX(YieldCurve!$B$4:$B$63,C174+1)</f>
        <v/>
      </c>
      <c r="H174">
        <f>IF(E174=D174,0,(B174-D174)/(E174-D174))</f>
        <v/>
      </c>
      <c r="I174">
        <f>-(F174+Inputs!$B$9)*D174</f>
        <v/>
      </c>
      <c r="J174">
        <f>-(G174+Inputs!$B$9)*E174</f>
        <v/>
      </c>
      <c r="K174">
        <f>IF(B174&lt;=INDEX(YieldCurve!$A$4:$A$63,1),-(INDEX(YieldCurve!$B$4:$B$63,1)+Inputs!$B$9)*B174,IF(B174&gt;=INDEX(YieldCurve!$A$4:$A$63,ROWS(YieldCurve!$A$4:$A$63)),-(INDEX(YieldCurve!$B$4:$B$63,ROWS(YieldCurve!$B$4:$B$63))+Inputs!$B$9)*B174,I174+H174*(J174-I174)))</f>
        <v/>
      </c>
      <c r="L174">
        <f>EXP(K174)</f>
        <v/>
      </c>
    </row>
    <row r="175">
      <c r="A175" t="n">
        <v>172</v>
      </c>
      <c r="B175">
        <f>A175/Inputs!$B$6</f>
        <v/>
      </c>
      <c r="C175">
        <f>IF(B175&lt;=INDEX(YieldCurve!$A$4:$A$63,1),1,IF(B175&gt;=INDEX(YieldCurve!$A$4:$A$63,ROWS(YieldCurve!$A$4:$A$63)),ROWS(YieldCurve!$A$4:$A$63)-1,MATCH(B175,YieldCurve!$A$4:$A$63,1)))</f>
        <v/>
      </c>
      <c r="D175">
        <f>INDEX(YieldCurve!$A$4:$A$63,C175)</f>
        <v/>
      </c>
      <c r="E175">
        <f>INDEX(YieldCurve!$A$4:$A$63,C175+1)</f>
        <v/>
      </c>
      <c r="F175">
        <f>INDEX(YieldCurve!$B$4:$B$63,C175)</f>
        <v/>
      </c>
      <c r="G175">
        <f>INDEX(YieldCurve!$B$4:$B$63,C175+1)</f>
        <v/>
      </c>
      <c r="H175">
        <f>IF(E175=D175,0,(B175-D175)/(E175-D175))</f>
        <v/>
      </c>
      <c r="I175">
        <f>-(F175+Inputs!$B$9)*D175</f>
        <v/>
      </c>
      <c r="J175">
        <f>-(G175+Inputs!$B$9)*E175</f>
        <v/>
      </c>
      <c r="K175">
        <f>IF(B175&lt;=INDEX(YieldCurve!$A$4:$A$63,1),-(INDEX(YieldCurve!$B$4:$B$63,1)+Inputs!$B$9)*B175,IF(B175&gt;=INDEX(YieldCurve!$A$4:$A$63,ROWS(YieldCurve!$A$4:$A$63)),-(INDEX(YieldCurve!$B$4:$B$63,ROWS(YieldCurve!$B$4:$B$63))+Inputs!$B$9)*B175,I175+H175*(J175-I175)))</f>
        <v/>
      </c>
      <c r="L175">
        <f>EXP(K175)</f>
        <v/>
      </c>
    </row>
    <row r="176">
      <c r="A176" t="n">
        <v>173</v>
      </c>
      <c r="B176">
        <f>A176/Inputs!$B$6</f>
        <v/>
      </c>
      <c r="C176">
        <f>IF(B176&lt;=INDEX(YieldCurve!$A$4:$A$63,1),1,IF(B176&gt;=INDEX(YieldCurve!$A$4:$A$63,ROWS(YieldCurve!$A$4:$A$63)),ROWS(YieldCurve!$A$4:$A$63)-1,MATCH(B176,YieldCurve!$A$4:$A$63,1)))</f>
        <v/>
      </c>
      <c r="D176">
        <f>INDEX(YieldCurve!$A$4:$A$63,C176)</f>
        <v/>
      </c>
      <c r="E176">
        <f>INDEX(YieldCurve!$A$4:$A$63,C176+1)</f>
        <v/>
      </c>
      <c r="F176">
        <f>INDEX(YieldCurve!$B$4:$B$63,C176)</f>
        <v/>
      </c>
      <c r="G176">
        <f>INDEX(YieldCurve!$B$4:$B$63,C176+1)</f>
        <v/>
      </c>
      <c r="H176">
        <f>IF(E176=D176,0,(B176-D176)/(E176-D176))</f>
        <v/>
      </c>
      <c r="I176">
        <f>-(F176+Inputs!$B$9)*D176</f>
        <v/>
      </c>
      <c r="J176">
        <f>-(G176+Inputs!$B$9)*E176</f>
        <v/>
      </c>
      <c r="K176">
        <f>IF(B176&lt;=INDEX(YieldCurve!$A$4:$A$63,1),-(INDEX(YieldCurve!$B$4:$B$63,1)+Inputs!$B$9)*B176,IF(B176&gt;=INDEX(YieldCurve!$A$4:$A$63,ROWS(YieldCurve!$A$4:$A$63)),-(INDEX(YieldCurve!$B$4:$B$63,ROWS(YieldCurve!$B$4:$B$63))+Inputs!$B$9)*B176,I176+H176*(J176-I176)))</f>
        <v/>
      </c>
      <c r="L176">
        <f>EXP(K176)</f>
        <v/>
      </c>
    </row>
    <row r="177">
      <c r="A177" t="n">
        <v>174</v>
      </c>
      <c r="B177">
        <f>A177/Inputs!$B$6</f>
        <v/>
      </c>
      <c r="C177">
        <f>IF(B177&lt;=INDEX(YieldCurve!$A$4:$A$63,1),1,IF(B177&gt;=INDEX(YieldCurve!$A$4:$A$63,ROWS(YieldCurve!$A$4:$A$63)),ROWS(YieldCurve!$A$4:$A$63)-1,MATCH(B177,YieldCurve!$A$4:$A$63,1)))</f>
        <v/>
      </c>
      <c r="D177">
        <f>INDEX(YieldCurve!$A$4:$A$63,C177)</f>
        <v/>
      </c>
      <c r="E177">
        <f>INDEX(YieldCurve!$A$4:$A$63,C177+1)</f>
        <v/>
      </c>
      <c r="F177">
        <f>INDEX(YieldCurve!$B$4:$B$63,C177)</f>
        <v/>
      </c>
      <c r="G177">
        <f>INDEX(YieldCurve!$B$4:$B$63,C177+1)</f>
        <v/>
      </c>
      <c r="H177">
        <f>IF(E177=D177,0,(B177-D177)/(E177-D177))</f>
        <v/>
      </c>
      <c r="I177">
        <f>-(F177+Inputs!$B$9)*D177</f>
        <v/>
      </c>
      <c r="J177">
        <f>-(G177+Inputs!$B$9)*E177</f>
        <v/>
      </c>
      <c r="K177">
        <f>IF(B177&lt;=INDEX(YieldCurve!$A$4:$A$63,1),-(INDEX(YieldCurve!$B$4:$B$63,1)+Inputs!$B$9)*B177,IF(B177&gt;=INDEX(YieldCurve!$A$4:$A$63,ROWS(YieldCurve!$A$4:$A$63)),-(INDEX(YieldCurve!$B$4:$B$63,ROWS(YieldCurve!$B$4:$B$63))+Inputs!$B$9)*B177,I177+H177*(J177-I177)))</f>
        <v/>
      </c>
      <c r="L177">
        <f>EXP(K177)</f>
        <v/>
      </c>
    </row>
    <row r="178">
      <c r="A178" t="n">
        <v>175</v>
      </c>
      <c r="B178">
        <f>A178/Inputs!$B$6</f>
        <v/>
      </c>
      <c r="C178">
        <f>IF(B178&lt;=INDEX(YieldCurve!$A$4:$A$63,1),1,IF(B178&gt;=INDEX(YieldCurve!$A$4:$A$63,ROWS(YieldCurve!$A$4:$A$63)),ROWS(YieldCurve!$A$4:$A$63)-1,MATCH(B178,YieldCurve!$A$4:$A$63,1)))</f>
        <v/>
      </c>
      <c r="D178">
        <f>INDEX(YieldCurve!$A$4:$A$63,C178)</f>
        <v/>
      </c>
      <c r="E178">
        <f>INDEX(YieldCurve!$A$4:$A$63,C178+1)</f>
        <v/>
      </c>
      <c r="F178">
        <f>INDEX(YieldCurve!$B$4:$B$63,C178)</f>
        <v/>
      </c>
      <c r="G178">
        <f>INDEX(YieldCurve!$B$4:$B$63,C178+1)</f>
        <v/>
      </c>
      <c r="H178">
        <f>IF(E178=D178,0,(B178-D178)/(E178-D178))</f>
        <v/>
      </c>
      <c r="I178">
        <f>-(F178+Inputs!$B$9)*D178</f>
        <v/>
      </c>
      <c r="J178">
        <f>-(G178+Inputs!$B$9)*E178</f>
        <v/>
      </c>
      <c r="K178">
        <f>IF(B178&lt;=INDEX(YieldCurve!$A$4:$A$63,1),-(INDEX(YieldCurve!$B$4:$B$63,1)+Inputs!$B$9)*B178,IF(B178&gt;=INDEX(YieldCurve!$A$4:$A$63,ROWS(YieldCurve!$A$4:$A$63)),-(INDEX(YieldCurve!$B$4:$B$63,ROWS(YieldCurve!$B$4:$B$63))+Inputs!$B$9)*B178,I178+H178*(J178-I178)))</f>
        <v/>
      </c>
      <c r="L178">
        <f>EXP(K178)</f>
        <v/>
      </c>
    </row>
    <row r="179">
      <c r="A179" t="n">
        <v>176</v>
      </c>
      <c r="B179">
        <f>A179/Inputs!$B$6</f>
        <v/>
      </c>
      <c r="C179">
        <f>IF(B179&lt;=INDEX(YieldCurve!$A$4:$A$63,1),1,IF(B179&gt;=INDEX(YieldCurve!$A$4:$A$63,ROWS(YieldCurve!$A$4:$A$63)),ROWS(YieldCurve!$A$4:$A$63)-1,MATCH(B179,YieldCurve!$A$4:$A$63,1)))</f>
        <v/>
      </c>
      <c r="D179">
        <f>INDEX(YieldCurve!$A$4:$A$63,C179)</f>
        <v/>
      </c>
      <c r="E179">
        <f>INDEX(YieldCurve!$A$4:$A$63,C179+1)</f>
        <v/>
      </c>
      <c r="F179">
        <f>INDEX(YieldCurve!$B$4:$B$63,C179)</f>
        <v/>
      </c>
      <c r="G179">
        <f>INDEX(YieldCurve!$B$4:$B$63,C179+1)</f>
        <v/>
      </c>
      <c r="H179">
        <f>IF(E179=D179,0,(B179-D179)/(E179-D179))</f>
        <v/>
      </c>
      <c r="I179">
        <f>-(F179+Inputs!$B$9)*D179</f>
        <v/>
      </c>
      <c r="J179">
        <f>-(G179+Inputs!$B$9)*E179</f>
        <v/>
      </c>
      <c r="K179">
        <f>IF(B179&lt;=INDEX(YieldCurve!$A$4:$A$63,1),-(INDEX(YieldCurve!$B$4:$B$63,1)+Inputs!$B$9)*B179,IF(B179&gt;=INDEX(YieldCurve!$A$4:$A$63,ROWS(YieldCurve!$A$4:$A$63)),-(INDEX(YieldCurve!$B$4:$B$63,ROWS(YieldCurve!$B$4:$B$63))+Inputs!$B$9)*B179,I179+H179*(J179-I179)))</f>
        <v/>
      </c>
      <c r="L179">
        <f>EXP(K179)</f>
        <v/>
      </c>
    </row>
    <row r="180">
      <c r="A180" t="n">
        <v>177</v>
      </c>
      <c r="B180">
        <f>A180/Inputs!$B$6</f>
        <v/>
      </c>
      <c r="C180">
        <f>IF(B180&lt;=INDEX(YieldCurve!$A$4:$A$63,1),1,IF(B180&gt;=INDEX(YieldCurve!$A$4:$A$63,ROWS(YieldCurve!$A$4:$A$63)),ROWS(YieldCurve!$A$4:$A$63)-1,MATCH(B180,YieldCurve!$A$4:$A$63,1)))</f>
        <v/>
      </c>
      <c r="D180">
        <f>INDEX(YieldCurve!$A$4:$A$63,C180)</f>
        <v/>
      </c>
      <c r="E180">
        <f>INDEX(YieldCurve!$A$4:$A$63,C180+1)</f>
        <v/>
      </c>
      <c r="F180">
        <f>INDEX(YieldCurve!$B$4:$B$63,C180)</f>
        <v/>
      </c>
      <c r="G180">
        <f>INDEX(YieldCurve!$B$4:$B$63,C180+1)</f>
        <v/>
      </c>
      <c r="H180">
        <f>IF(E180=D180,0,(B180-D180)/(E180-D180))</f>
        <v/>
      </c>
      <c r="I180">
        <f>-(F180+Inputs!$B$9)*D180</f>
        <v/>
      </c>
      <c r="J180">
        <f>-(G180+Inputs!$B$9)*E180</f>
        <v/>
      </c>
      <c r="K180">
        <f>IF(B180&lt;=INDEX(YieldCurve!$A$4:$A$63,1),-(INDEX(YieldCurve!$B$4:$B$63,1)+Inputs!$B$9)*B180,IF(B180&gt;=INDEX(YieldCurve!$A$4:$A$63,ROWS(YieldCurve!$A$4:$A$63)),-(INDEX(YieldCurve!$B$4:$B$63,ROWS(YieldCurve!$B$4:$B$63))+Inputs!$B$9)*B180,I180+H180*(J180-I180)))</f>
        <v/>
      </c>
      <c r="L180">
        <f>EXP(K180)</f>
        <v/>
      </c>
    </row>
    <row r="181">
      <c r="A181" t="n">
        <v>178</v>
      </c>
      <c r="B181">
        <f>A181/Inputs!$B$6</f>
        <v/>
      </c>
      <c r="C181">
        <f>IF(B181&lt;=INDEX(YieldCurve!$A$4:$A$63,1),1,IF(B181&gt;=INDEX(YieldCurve!$A$4:$A$63,ROWS(YieldCurve!$A$4:$A$63)),ROWS(YieldCurve!$A$4:$A$63)-1,MATCH(B181,YieldCurve!$A$4:$A$63,1)))</f>
        <v/>
      </c>
      <c r="D181">
        <f>INDEX(YieldCurve!$A$4:$A$63,C181)</f>
        <v/>
      </c>
      <c r="E181">
        <f>INDEX(YieldCurve!$A$4:$A$63,C181+1)</f>
        <v/>
      </c>
      <c r="F181">
        <f>INDEX(YieldCurve!$B$4:$B$63,C181)</f>
        <v/>
      </c>
      <c r="G181">
        <f>INDEX(YieldCurve!$B$4:$B$63,C181+1)</f>
        <v/>
      </c>
      <c r="H181">
        <f>IF(E181=D181,0,(B181-D181)/(E181-D181))</f>
        <v/>
      </c>
      <c r="I181">
        <f>-(F181+Inputs!$B$9)*D181</f>
        <v/>
      </c>
      <c r="J181">
        <f>-(G181+Inputs!$B$9)*E181</f>
        <v/>
      </c>
      <c r="K181">
        <f>IF(B181&lt;=INDEX(YieldCurve!$A$4:$A$63,1),-(INDEX(YieldCurve!$B$4:$B$63,1)+Inputs!$B$9)*B181,IF(B181&gt;=INDEX(YieldCurve!$A$4:$A$63,ROWS(YieldCurve!$A$4:$A$63)),-(INDEX(YieldCurve!$B$4:$B$63,ROWS(YieldCurve!$B$4:$B$63))+Inputs!$B$9)*B181,I181+H181*(J181-I181)))</f>
        <v/>
      </c>
      <c r="L181">
        <f>EXP(K181)</f>
        <v/>
      </c>
    </row>
    <row r="182">
      <c r="A182" t="n">
        <v>179</v>
      </c>
      <c r="B182">
        <f>A182/Inputs!$B$6</f>
        <v/>
      </c>
      <c r="C182">
        <f>IF(B182&lt;=INDEX(YieldCurve!$A$4:$A$63,1),1,IF(B182&gt;=INDEX(YieldCurve!$A$4:$A$63,ROWS(YieldCurve!$A$4:$A$63)),ROWS(YieldCurve!$A$4:$A$63)-1,MATCH(B182,YieldCurve!$A$4:$A$63,1)))</f>
        <v/>
      </c>
      <c r="D182">
        <f>INDEX(YieldCurve!$A$4:$A$63,C182)</f>
        <v/>
      </c>
      <c r="E182">
        <f>INDEX(YieldCurve!$A$4:$A$63,C182+1)</f>
        <v/>
      </c>
      <c r="F182">
        <f>INDEX(YieldCurve!$B$4:$B$63,C182)</f>
        <v/>
      </c>
      <c r="G182">
        <f>INDEX(YieldCurve!$B$4:$B$63,C182+1)</f>
        <v/>
      </c>
      <c r="H182">
        <f>IF(E182=D182,0,(B182-D182)/(E182-D182))</f>
        <v/>
      </c>
      <c r="I182">
        <f>-(F182+Inputs!$B$9)*D182</f>
        <v/>
      </c>
      <c r="J182">
        <f>-(G182+Inputs!$B$9)*E182</f>
        <v/>
      </c>
      <c r="K182">
        <f>IF(B182&lt;=INDEX(YieldCurve!$A$4:$A$63,1),-(INDEX(YieldCurve!$B$4:$B$63,1)+Inputs!$B$9)*B182,IF(B182&gt;=INDEX(YieldCurve!$A$4:$A$63,ROWS(YieldCurve!$A$4:$A$63)),-(INDEX(YieldCurve!$B$4:$B$63,ROWS(YieldCurve!$B$4:$B$63))+Inputs!$B$9)*B182,I182+H182*(J182-I182)))</f>
        <v/>
      </c>
      <c r="L182">
        <f>EXP(K182)</f>
        <v/>
      </c>
    </row>
    <row r="183">
      <c r="A183" t="n">
        <v>180</v>
      </c>
      <c r="B183">
        <f>A183/Inputs!$B$6</f>
        <v/>
      </c>
      <c r="C183">
        <f>IF(B183&lt;=INDEX(YieldCurve!$A$4:$A$63,1),1,IF(B183&gt;=INDEX(YieldCurve!$A$4:$A$63,ROWS(YieldCurve!$A$4:$A$63)),ROWS(YieldCurve!$A$4:$A$63)-1,MATCH(B183,YieldCurve!$A$4:$A$63,1)))</f>
        <v/>
      </c>
      <c r="D183">
        <f>INDEX(YieldCurve!$A$4:$A$63,C183)</f>
        <v/>
      </c>
      <c r="E183">
        <f>INDEX(YieldCurve!$A$4:$A$63,C183+1)</f>
        <v/>
      </c>
      <c r="F183">
        <f>INDEX(YieldCurve!$B$4:$B$63,C183)</f>
        <v/>
      </c>
      <c r="G183">
        <f>INDEX(YieldCurve!$B$4:$B$63,C183+1)</f>
        <v/>
      </c>
      <c r="H183">
        <f>IF(E183=D183,0,(B183-D183)/(E183-D183))</f>
        <v/>
      </c>
      <c r="I183">
        <f>-(F183+Inputs!$B$9)*D183</f>
        <v/>
      </c>
      <c r="J183">
        <f>-(G183+Inputs!$B$9)*E183</f>
        <v/>
      </c>
      <c r="K183">
        <f>IF(B183&lt;=INDEX(YieldCurve!$A$4:$A$63,1),-(INDEX(YieldCurve!$B$4:$B$63,1)+Inputs!$B$9)*B183,IF(B183&gt;=INDEX(YieldCurve!$A$4:$A$63,ROWS(YieldCurve!$A$4:$A$63)),-(INDEX(YieldCurve!$B$4:$B$63,ROWS(YieldCurve!$B$4:$B$63))+Inputs!$B$9)*B183,I183+H183*(J183-I183)))</f>
        <v/>
      </c>
      <c r="L183">
        <f>EXP(K183)</f>
        <v/>
      </c>
    </row>
    <row r="184">
      <c r="A184" t="n">
        <v>181</v>
      </c>
      <c r="B184">
        <f>A184/Inputs!$B$6</f>
        <v/>
      </c>
      <c r="C184">
        <f>IF(B184&lt;=INDEX(YieldCurve!$A$4:$A$63,1),1,IF(B184&gt;=INDEX(YieldCurve!$A$4:$A$63,ROWS(YieldCurve!$A$4:$A$63)),ROWS(YieldCurve!$A$4:$A$63)-1,MATCH(B184,YieldCurve!$A$4:$A$63,1)))</f>
        <v/>
      </c>
      <c r="D184">
        <f>INDEX(YieldCurve!$A$4:$A$63,C184)</f>
        <v/>
      </c>
      <c r="E184">
        <f>INDEX(YieldCurve!$A$4:$A$63,C184+1)</f>
        <v/>
      </c>
      <c r="F184">
        <f>INDEX(YieldCurve!$B$4:$B$63,C184)</f>
        <v/>
      </c>
      <c r="G184">
        <f>INDEX(YieldCurve!$B$4:$B$63,C184+1)</f>
        <v/>
      </c>
      <c r="H184">
        <f>IF(E184=D184,0,(B184-D184)/(E184-D184))</f>
        <v/>
      </c>
      <c r="I184">
        <f>-(F184+Inputs!$B$9)*D184</f>
        <v/>
      </c>
      <c r="J184">
        <f>-(G184+Inputs!$B$9)*E184</f>
        <v/>
      </c>
      <c r="K184">
        <f>IF(B184&lt;=INDEX(YieldCurve!$A$4:$A$63,1),-(INDEX(YieldCurve!$B$4:$B$63,1)+Inputs!$B$9)*B184,IF(B184&gt;=INDEX(YieldCurve!$A$4:$A$63,ROWS(YieldCurve!$A$4:$A$63)),-(INDEX(YieldCurve!$B$4:$B$63,ROWS(YieldCurve!$B$4:$B$63))+Inputs!$B$9)*B184,I184+H184*(J184-I184)))</f>
        <v/>
      </c>
      <c r="L184">
        <f>EXP(K184)</f>
        <v/>
      </c>
    </row>
    <row r="185">
      <c r="A185" t="n">
        <v>182</v>
      </c>
      <c r="B185">
        <f>A185/Inputs!$B$6</f>
        <v/>
      </c>
      <c r="C185">
        <f>IF(B185&lt;=INDEX(YieldCurve!$A$4:$A$63,1),1,IF(B185&gt;=INDEX(YieldCurve!$A$4:$A$63,ROWS(YieldCurve!$A$4:$A$63)),ROWS(YieldCurve!$A$4:$A$63)-1,MATCH(B185,YieldCurve!$A$4:$A$63,1)))</f>
        <v/>
      </c>
      <c r="D185">
        <f>INDEX(YieldCurve!$A$4:$A$63,C185)</f>
        <v/>
      </c>
      <c r="E185">
        <f>INDEX(YieldCurve!$A$4:$A$63,C185+1)</f>
        <v/>
      </c>
      <c r="F185">
        <f>INDEX(YieldCurve!$B$4:$B$63,C185)</f>
        <v/>
      </c>
      <c r="G185">
        <f>INDEX(YieldCurve!$B$4:$B$63,C185+1)</f>
        <v/>
      </c>
      <c r="H185">
        <f>IF(E185=D185,0,(B185-D185)/(E185-D185))</f>
        <v/>
      </c>
      <c r="I185">
        <f>-(F185+Inputs!$B$9)*D185</f>
        <v/>
      </c>
      <c r="J185">
        <f>-(G185+Inputs!$B$9)*E185</f>
        <v/>
      </c>
      <c r="K185">
        <f>IF(B185&lt;=INDEX(YieldCurve!$A$4:$A$63,1),-(INDEX(YieldCurve!$B$4:$B$63,1)+Inputs!$B$9)*B185,IF(B185&gt;=INDEX(YieldCurve!$A$4:$A$63,ROWS(YieldCurve!$A$4:$A$63)),-(INDEX(YieldCurve!$B$4:$B$63,ROWS(YieldCurve!$B$4:$B$63))+Inputs!$B$9)*B185,I185+H185*(J185-I185)))</f>
        <v/>
      </c>
      <c r="L185">
        <f>EXP(K185)</f>
        <v/>
      </c>
    </row>
    <row r="186">
      <c r="A186" t="n">
        <v>183</v>
      </c>
      <c r="B186">
        <f>A186/Inputs!$B$6</f>
        <v/>
      </c>
      <c r="C186">
        <f>IF(B186&lt;=INDEX(YieldCurve!$A$4:$A$63,1),1,IF(B186&gt;=INDEX(YieldCurve!$A$4:$A$63,ROWS(YieldCurve!$A$4:$A$63)),ROWS(YieldCurve!$A$4:$A$63)-1,MATCH(B186,YieldCurve!$A$4:$A$63,1)))</f>
        <v/>
      </c>
      <c r="D186">
        <f>INDEX(YieldCurve!$A$4:$A$63,C186)</f>
        <v/>
      </c>
      <c r="E186">
        <f>INDEX(YieldCurve!$A$4:$A$63,C186+1)</f>
        <v/>
      </c>
      <c r="F186">
        <f>INDEX(YieldCurve!$B$4:$B$63,C186)</f>
        <v/>
      </c>
      <c r="G186">
        <f>INDEX(YieldCurve!$B$4:$B$63,C186+1)</f>
        <v/>
      </c>
      <c r="H186">
        <f>IF(E186=D186,0,(B186-D186)/(E186-D186))</f>
        <v/>
      </c>
      <c r="I186">
        <f>-(F186+Inputs!$B$9)*D186</f>
        <v/>
      </c>
      <c r="J186">
        <f>-(G186+Inputs!$B$9)*E186</f>
        <v/>
      </c>
      <c r="K186">
        <f>IF(B186&lt;=INDEX(YieldCurve!$A$4:$A$63,1),-(INDEX(YieldCurve!$B$4:$B$63,1)+Inputs!$B$9)*B186,IF(B186&gt;=INDEX(YieldCurve!$A$4:$A$63,ROWS(YieldCurve!$A$4:$A$63)),-(INDEX(YieldCurve!$B$4:$B$63,ROWS(YieldCurve!$B$4:$B$63))+Inputs!$B$9)*B186,I186+H186*(J186-I186)))</f>
        <v/>
      </c>
      <c r="L186">
        <f>EXP(K186)</f>
        <v/>
      </c>
    </row>
    <row r="187">
      <c r="A187" t="n">
        <v>184</v>
      </c>
      <c r="B187">
        <f>A187/Inputs!$B$6</f>
        <v/>
      </c>
      <c r="C187">
        <f>IF(B187&lt;=INDEX(YieldCurve!$A$4:$A$63,1),1,IF(B187&gt;=INDEX(YieldCurve!$A$4:$A$63,ROWS(YieldCurve!$A$4:$A$63)),ROWS(YieldCurve!$A$4:$A$63)-1,MATCH(B187,YieldCurve!$A$4:$A$63,1)))</f>
        <v/>
      </c>
      <c r="D187">
        <f>INDEX(YieldCurve!$A$4:$A$63,C187)</f>
        <v/>
      </c>
      <c r="E187">
        <f>INDEX(YieldCurve!$A$4:$A$63,C187+1)</f>
        <v/>
      </c>
      <c r="F187">
        <f>INDEX(YieldCurve!$B$4:$B$63,C187)</f>
        <v/>
      </c>
      <c r="G187">
        <f>INDEX(YieldCurve!$B$4:$B$63,C187+1)</f>
        <v/>
      </c>
      <c r="H187">
        <f>IF(E187=D187,0,(B187-D187)/(E187-D187))</f>
        <v/>
      </c>
      <c r="I187">
        <f>-(F187+Inputs!$B$9)*D187</f>
        <v/>
      </c>
      <c r="J187">
        <f>-(G187+Inputs!$B$9)*E187</f>
        <v/>
      </c>
      <c r="K187">
        <f>IF(B187&lt;=INDEX(YieldCurve!$A$4:$A$63,1),-(INDEX(YieldCurve!$B$4:$B$63,1)+Inputs!$B$9)*B187,IF(B187&gt;=INDEX(YieldCurve!$A$4:$A$63,ROWS(YieldCurve!$A$4:$A$63)),-(INDEX(YieldCurve!$B$4:$B$63,ROWS(YieldCurve!$B$4:$B$63))+Inputs!$B$9)*B187,I187+H187*(J187-I187)))</f>
        <v/>
      </c>
      <c r="L187">
        <f>EXP(K187)</f>
        <v/>
      </c>
    </row>
    <row r="188">
      <c r="A188" t="n">
        <v>185</v>
      </c>
      <c r="B188">
        <f>A188/Inputs!$B$6</f>
        <v/>
      </c>
      <c r="C188">
        <f>IF(B188&lt;=INDEX(YieldCurve!$A$4:$A$63,1),1,IF(B188&gt;=INDEX(YieldCurve!$A$4:$A$63,ROWS(YieldCurve!$A$4:$A$63)),ROWS(YieldCurve!$A$4:$A$63)-1,MATCH(B188,YieldCurve!$A$4:$A$63,1)))</f>
        <v/>
      </c>
      <c r="D188">
        <f>INDEX(YieldCurve!$A$4:$A$63,C188)</f>
        <v/>
      </c>
      <c r="E188">
        <f>INDEX(YieldCurve!$A$4:$A$63,C188+1)</f>
        <v/>
      </c>
      <c r="F188">
        <f>INDEX(YieldCurve!$B$4:$B$63,C188)</f>
        <v/>
      </c>
      <c r="G188">
        <f>INDEX(YieldCurve!$B$4:$B$63,C188+1)</f>
        <v/>
      </c>
      <c r="H188">
        <f>IF(E188=D188,0,(B188-D188)/(E188-D188))</f>
        <v/>
      </c>
      <c r="I188">
        <f>-(F188+Inputs!$B$9)*D188</f>
        <v/>
      </c>
      <c r="J188">
        <f>-(G188+Inputs!$B$9)*E188</f>
        <v/>
      </c>
      <c r="K188">
        <f>IF(B188&lt;=INDEX(YieldCurve!$A$4:$A$63,1),-(INDEX(YieldCurve!$B$4:$B$63,1)+Inputs!$B$9)*B188,IF(B188&gt;=INDEX(YieldCurve!$A$4:$A$63,ROWS(YieldCurve!$A$4:$A$63)),-(INDEX(YieldCurve!$B$4:$B$63,ROWS(YieldCurve!$B$4:$B$63))+Inputs!$B$9)*B188,I188+H188*(J188-I188)))</f>
        <v/>
      </c>
      <c r="L188">
        <f>EXP(K188)</f>
        <v/>
      </c>
    </row>
    <row r="189">
      <c r="A189" t="n">
        <v>186</v>
      </c>
      <c r="B189">
        <f>A189/Inputs!$B$6</f>
        <v/>
      </c>
      <c r="C189">
        <f>IF(B189&lt;=INDEX(YieldCurve!$A$4:$A$63,1),1,IF(B189&gt;=INDEX(YieldCurve!$A$4:$A$63,ROWS(YieldCurve!$A$4:$A$63)),ROWS(YieldCurve!$A$4:$A$63)-1,MATCH(B189,YieldCurve!$A$4:$A$63,1)))</f>
        <v/>
      </c>
      <c r="D189">
        <f>INDEX(YieldCurve!$A$4:$A$63,C189)</f>
        <v/>
      </c>
      <c r="E189">
        <f>INDEX(YieldCurve!$A$4:$A$63,C189+1)</f>
        <v/>
      </c>
      <c r="F189">
        <f>INDEX(YieldCurve!$B$4:$B$63,C189)</f>
        <v/>
      </c>
      <c r="G189">
        <f>INDEX(YieldCurve!$B$4:$B$63,C189+1)</f>
        <v/>
      </c>
      <c r="H189">
        <f>IF(E189=D189,0,(B189-D189)/(E189-D189))</f>
        <v/>
      </c>
      <c r="I189">
        <f>-(F189+Inputs!$B$9)*D189</f>
        <v/>
      </c>
      <c r="J189">
        <f>-(G189+Inputs!$B$9)*E189</f>
        <v/>
      </c>
      <c r="K189">
        <f>IF(B189&lt;=INDEX(YieldCurve!$A$4:$A$63,1),-(INDEX(YieldCurve!$B$4:$B$63,1)+Inputs!$B$9)*B189,IF(B189&gt;=INDEX(YieldCurve!$A$4:$A$63,ROWS(YieldCurve!$A$4:$A$63)),-(INDEX(YieldCurve!$B$4:$B$63,ROWS(YieldCurve!$B$4:$B$63))+Inputs!$B$9)*B189,I189+H189*(J189-I189)))</f>
        <v/>
      </c>
      <c r="L189">
        <f>EXP(K189)</f>
        <v/>
      </c>
    </row>
    <row r="190">
      <c r="A190" t="n">
        <v>187</v>
      </c>
      <c r="B190">
        <f>A190/Inputs!$B$6</f>
        <v/>
      </c>
      <c r="C190">
        <f>IF(B190&lt;=INDEX(YieldCurve!$A$4:$A$63,1),1,IF(B190&gt;=INDEX(YieldCurve!$A$4:$A$63,ROWS(YieldCurve!$A$4:$A$63)),ROWS(YieldCurve!$A$4:$A$63)-1,MATCH(B190,YieldCurve!$A$4:$A$63,1)))</f>
        <v/>
      </c>
      <c r="D190">
        <f>INDEX(YieldCurve!$A$4:$A$63,C190)</f>
        <v/>
      </c>
      <c r="E190">
        <f>INDEX(YieldCurve!$A$4:$A$63,C190+1)</f>
        <v/>
      </c>
      <c r="F190">
        <f>INDEX(YieldCurve!$B$4:$B$63,C190)</f>
        <v/>
      </c>
      <c r="G190">
        <f>INDEX(YieldCurve!$B$4:$B$63,C190+1)</f>
        <v/>
      </c>
      <c r="H190">
        <f>IF(E190=D190,0,(B190-D190)/(E190-D190))</f>
        <v/>
      </c>
      <c r="I190">
        <f>-(F190+Inputs!$B$9)*D190</f>
        <v/>
      </c>
      <c r="J190">
        <f>-(G190+Inputs!$B$9)*E190</f>
        <v/>
      </c>
      <c r="K190">
        <f>IF(B190&lt;=INDEX(YieldCurve!$A$4:$A$63,1),-(INDEX(YieldCurve!$B$4:$B$63,1)+Inputs!$B$9)*B190,IF(B190&gt;=INDEX(YieldCurve!$A$4:$A$63,ROWS(YieldCurve!$A$4:$A$63)),-(INDEX(YieldCurve!$B$4:$B$63,ROWS(YieldCurve!$B$4:$B$63))+Inputs!$B$9)*B190,I190+H190*(J190-I190)))</f>
        <v/>
      </c>
      <c r="L190">
        <f>EXP(K190)</f>
        <v/>
      </c>
    </row>
    <row r="191">
      <c r="A191" t="n">
        <v>188</v>
      </c>
      <c r="B191">
        <f>A191/Inputs!$B$6</f>
        <v/>
      </c>
      <c r="C191">
        <f>IF(B191&lt;=INDEX(YieldCurve!$A$4:$A$63,1),1,IF(B191&gt;=INDEX(YieldCurve!$A$4:$A$63,ROWS(YieldCurve!$A$4:$A$63)),ROWS(YieldCurve!$A$4:$A$63)-1,MATCH(B191,YieldCurve!$A$4:$A$63,1)))</f>
        <v/>
      </c>
      <c r="D191">
        <f>INDEX(YieldCurve!$A$4:$A$63,C191)</f>
        <v/>
      </c>
      <c r="E191">
        <f>INDEX(YieldCurve!$A$4:$A$63,C191+1)</f>
        <v/>
      </c>
      <c r="F191">
        <f>INDEX(YieldCurve!$B$4:$B$63,C191)</f>
        <v/>
      </c>
      <c r="G191">
        <f>INDEX(YieldCurve!$B$4:$B$63,C191+1)</f>
        <v/>
      </c>
      <c r="H191">
        <f>IF(E191=D191,0,(B191-D191)/(E191-D191))</f>
        <v/>
      </c>
      <c r="I191">
        <f>-(F191+Inputs!$B$9)*D191</f>
        <v/>
      </c>
      <c r="J191">
        <f>-(G191+Inputs!$B$9)*E191</f>
        <v/>
      </c>
      <c r="K191">
        <f>IF(B191&lt;=INDEX(YieldCurve!$A$4:$A$63,1),-(INDEX(YieldCurve!$B$4:$B$63,1)+Inputs!$B$9)*B191,IF(B191&gt;=INDEX(YieldCurve!$A$4:$A$63,ROWS(YieldCurve!$A$4:$A$63)),-(INDEX(YieldCurve!$B$4:$B$63,ROWS(YieldCurve!$B$4:$B$63))+Inputs!$B$9)*B191,I191+H191*(J191-I191)))</f>
        <v/>
      </c>
      <c r="L191">
        <f>EXP(K191)</f>
        <v/>
      </c>
    </row>
    <row r="192">
      <c r="A192" t="n">
        <v>189</v>
      </c>
      <c r="B192">
        <f>A192/Inputs!$B$6</f>
        <v/>
      </c>
      <c r="C192">
        <f>IF(B192&lt;=INDEX(YieldCurve!$A$4:$A$63,1),1,IF(B192&gt;=INDEX(YieldCurve!$A$4:$A$63,ROWS(YieldCurve!$A$4:$A$63)),ROWS(YieldCurve!$A$4:$A$63)-1,MATCH(B192,YieldCurve!$A$4:$A$63,1)))</f>
        <v/>
      </c>
      <c r="D192">
        <f>INDEX(YieldCurve!$A$4:$A$63,C192)</f>
        <v/>
      </c>
      <c r="E192">
        <f>INDEX(YieldCurve!$A$4:$A$63,C192+1)</f>
        <v/>
      </c>
      <c r="F192">
        <f>INDEX(YieldCurve!$B$4:$B$63,C192)</f>
        <v/>
      </c>
      <c r="G192">
        <f>INDEX(YieldCurve!$B$4:$B$63,C192+1)</f>
        <v/>
      </c>
      <c r="H192">
        <f>IF(E192=D192,0,(B192-D192)/(E192-D192))</f>
        <v/>
      </c>
      <c r="I192">
        <f>-(F192+Inputs!$B$9)*D192</f>
        <v/>
      </c>
      <c r="J192">
        <f>-(G192+Inputs!$B$9)*E192</f>
        <v/>
      </c>
      <c r="K192">
        <f>IF(B192&lt;=INDEX(YieldCurve!$A$4:$A$63,1),-(INDEX(YieldCurve!$B$4:$B$63,1)+Inputs!$B$9)*B192,IF(B192&gt;=INDEX(YieldCurve!$A$4:$A$63,ROWS(YieldCurve!$A$4:$A$63)),-(INDEX(YieldCurve!$B$4:$B$63,ROWS(YieldCurve!$B$4:$B$63))+Inputs!$B$9)*B192,I192+H192*(J192-I192)))</f>
        <v/>
      </c>
      <c r="L192">
        <f>EXP(K192)</f>
        <v/>
      </c>
    </row>
    <row r="193">
      <c r="A193" t="n">
        <v>190</v>
      </c>
      <c r="B193">
        <f>A193/Inputs!$B$6</f>
        <v/>
      </c>
      <c r="C193">
        <f>IF(B193&lt;=INDEX(YieldCurve!$A$4:$A$63,1),1,IF(B193&gt;=INDEX(YieldCurve!$A$4:$A$63,ROWS(YieldCurve!$A$4:$A$63)),ROWS(YieldCurve!$A$4:$A$63)-1,MATCH(B193,YieldCurve!$A$4:$A$63,1)))</f>
        <v/>
      </c>
      <c r="D193">
        <f>INDEX(YieldCurve!$A$4:$A$63,C193)</f>
        <v/>
      </c>
      <c r="E193">
        <f>INDEX(YieldCurve!$A$4:$A$63,C193+1)</f>
        <v/>
      </c>
      <c r="F193">
        <f>INDEX(YieldCurve!$B$4:$B$63,C193)</f>
        <v/>
      </c>
      <c r="G193">
        <f>INDEX(YieldCurve!$B$4:$B$63,C193+1)</f>
        <v/>
      </c>
      <c r="H193">
        <f>IF(E193=D193,0,(B193-D193)/(E193-D193))</f>
        <v/>
      </c>
      <c r="I193">
        <f>-(F193+Inputs!$B$9)*D193</f>
        <v/>
      </c>
      <c r="J193">
        <f>-(G193+Inputs!$B$9)*E193</f>
        <v/>
      </c>
      <c r="K193">
        <f>IF(B193&lt;=INDEX(YieldCurve!$A$4:$A$63,1),-(INDEX(YieldCurve!$B$4:$B$63,1)+Inputs!$B$9)*B193,IF(B193&gt;=INDEX(YieldCurve!$A$4:$A$63,ROWS(YieldCurve!$A$4:$A$63)),-(INDEX(YieldCurve!$B$4:$B$63,ROWS(YieldCurve!$B$4:$B$63))+Inputs!$B$9)*B193,I193+H193*(J193-I193)))</f>
        <v/>
      </c>
      <c r="L193">
        <f>EXP(K193)</f>
        <v/>
      </c>
    </row>
    <row r="194">
      <c r="A194" t="n">
        <v>191</v>
      </c>
      <c r="B194">
        <f>A194/Inputs!$B$6</f>
        <v/>
      </c>
      <c r="C194">
        <f>IF(B194&lt;=INDEX(YieldCurve!$A$4:$A$63,1),1,IF(B194&gt;=INDEX(YieldCurve!$A$4:$A$63,ROWS(YieldCurve!$A$4:$A$63)),ROWS(YieldCurve!$A$4:$A$63)-1,MATCH(B194,YieldCurve!$A$4:$A$63,1)))</f>
        <v/>
      </c>
      <c r="D194">
        <f>INDEX(YieldCurve!$A$4:$A$63,C194)</f>
        <v/>
      </c>
      <c r="E194">
        <f>INDEX(YieldCurve!$A$4:$A$63,C194+1)</f>
        <v/>
      </c>
      <c r="F194">
        <f>INDEX(YieldCurve!$B$4:$B$63,C194)</f>
        <v/>
      </c>
      <c r="G194">
        <f>INDEX(YieldCurve!$B$4:$B$63,C194+1)</f>
        <v/>
      </c>
      <c r="H194">
        <f>IF(E194=D194,0,(B194-D194)/(E194-D194))</f>
        <v/>
      </c>
      <c r="I194">
        <f>-(F194+Inputs!$B$9)*D194</f>
        <v/>
      </c>
      <c r="J194">
        <f>-(G194+Inputs!$B$9)*E194</f>
        <v/>
      </c>
      <c r="K194">
        <f>IF(B194&lt;=INDEX(YieldCurve!$A$4:$A$63,1),-(INDEX(YieldCurve!$B$4:$B$63,1)+Inputs!$B$9)*B194,IF(B194&gt;=INDEX(YieldCurve!$A$4:$A$63,ROWS(YieldCurve!$A$4:$A$63)),-(INDEX(YieldCurve!$B$4:$B$63,ROWS(YieldCurve!$B$4:$B$63))+Inputs!$B$9)*B194,I194+H194*(J194-I194)))</f>
        <v/>
      </c>
      <c r="L194">
        <f>EXP(K194)</f>
        <v/>
      </c>
    </row>
    <row r="195">
      <c r="A195" t="n">
        <v>192</v>
      </c>
      <c r="B195">
        <f>A195/Inputs!$B$6</f>
        <v/>
      </c>
      <c r="C195">
        <f>IF(B195&lt;=INDEX(YieldCurve!$A$4:$A$63,1),1,IF(B195&gt;=INDEX(YieldCurve!$A$4:$A$63,ROWS(YieldCurve!$A$4:$A$63)),ROWS(YieldCurve!$A$4:$A$63)-1,MATCH(B195,YieldCurve!$A$4:$A$63,1)))</f>
        <v/>
      </c>
      <c r="D195">
        <f>INDEX(YieldCurve!$A$4:$A$63,C195)</f>
        <v/>
      </c>
      <c r="E195">
        <f>INDEX(YieldCurve!$A$4:$A$63,C195+1)</f>
        <v/>
      </c>
      <c r="F195">
        <f>INDEX(YieldCurve!$B$4:$B$63,C195)</f>
        <v/>
      </c>
      <c r="G195">
        <f>INDEX(YieldCurve!$B$4:$B$63,C195+1)</f>
        <v/>
      </c>
      <c r="H195">
        <f>IF(E195=D195,0,(B195-D195)/(E195-D195))</f>
        <v/>
      </c>
      <c r="I195">
        <f>-(F195+Inputs!$B$9)*D195</f>
        <v/>
      </c>
      <c r="J195">
        <f>-(G195+Inputs!$B$9)*E195</f>
        <v/>
      </c>
      <c r="K195">
        <f>IF(B195&lt;=INDEX(YieldCurve!$A$4:$A$63,1),-(INDEX(YieldCurve!$B$4:$B$63,1)+Inputs!$B$9)*B195,IF(B195&gt;=INDEX(YieldCurve!$A$4:$A$63,ROWS(YieldCurve!$A$4:$A$63)),-(INDEX(YieldCurve!$B$4:$B$63,ROWS(YieldCurve!$B$4:$B$63))+Inputs!$B$9)*B195,I195+H195*(J195-I195)))</f>
        <v/>
      </c>
      <c r="L195">
        <f>EXP(K195)</f>
        <v/>
      </c>
    </row>
    <row r="196">
      <c r="A196" t="n">
        <v>193</v>
      </c>
      <c r="B196">
        <f>A196/Inputs!$B$6</f>
        <v/>
      </c>
      <c r="C196">
        <f>IF(B196&lt;=INDEX(YieldCurve!$A$4:$A$63,1),1,IF(B196&gt;=INDEX(YieldCurve!$A$4:$A$63,ROWS(YieldCurve!$A$4:$A$63)),ROWS(YieldCurve!$A$4:$A$63)-1,MATCH(B196,YieldCurve!$A$4:$A$63,1)))</f>
        <v/>
      </c>
      <c r="D196">
        <f>INDEX(YieldCurve!$A$4:$A$63,C196)</f>
        <v/>
      </c>
      <c r="E196">
        <f>INDEX(YieldCurve!$A$4:$A$63,C196+1)</f>
        <v/>
      </c>
      <c r="F196">
        <f>INDEX(YieldCurve!$B$4:$B$63,C196)</f>
        <v/>
      </c>
      <c r="G196">
        <f>INDEX(YieldCurve!$B$4:$B$63,C196+1)</f>
        <v/>
      </c>
      <c r="H196">
        <f>IF(E196=D196,0,(B196-D196)/(E196-D196))</f>
        <v/>
      </c>
      <c r="I196">
        <f>-(F196+Inputs!$B$9)*D196</f>
        <v/>
      </c>
      <c r="J196">
        <f>-(G196+Inputs!$B$9)*E196</f>
        <v/>
      </c>
      <c r="K196">
        <f>IF(B196&lt;=INDEX(YieldCurve!$A$4:$A$63,1),-(INDEX(YieldCurve!$B$4:$B$63,1)+Inputs!$B$9)*B196,IF(B196&gt;=INDEX(YieldCurve!$A$4:$A$63,ROWS(YieldCurve!$A$4:$A$63)),-(INDEX(YieldCurve!$B$4:$B$63,ROWS(YieldCurve!$B$4:$B$63))+Inputs!$B$9)*B196,I196+H196*(J196-I196)))</f>
        <v/>
      </c>
      <c r="L196">
        <f>EXP(K196)</f>
        <v/>
      </c>
    </row>
    <row r="197">
      <c r="A197" t="n">
        <v>194</v>
      </c>
      <c r="B197">
        <f>A197/Inputs!$B$6</f>
        <v/>
      </c>
      <c r="C197">
        <f>IF(B197&lt;=INDEX(YieldCurve!$A$4:$A$63,1),1,IF(B197&gt;=INDEX(YieldCurve!$A$4:$A$63,ROWS(YieldCurve!$A$4:$A$63)),ROWS(YieldCurve!$A$4:$A$63)-1,MATCH(B197,YieldCurve!$A$4:$A$63,1)))</f>
        <v/>
      </c>
      <c r="D197">
        <f>INDEX(YieldCurve!$A$4:$A$63,C197)</f>
        <v/>
      </c>
      <c r="E197">
        <f>INDEX(YieldCurve!$A$4:$A$63,C197+1)</f>
        <v/>
      </c>
      <c r="F197">
        <f>INDEX(YieldCurve!$B$4:$B$63,C197)</f>
        <v/>
      </c>
      <c r="G197">
        <f>INDEX(YieldCurve!$B$4:$B$63,C197+1)</f>
        <v/>
      </c>
      <c r="H197">
        <f>IF(E197=D197,0,(B197-D197)/(E197-D197))</f>
        <v/>
      </c>
      <c r="I197">
        <f>-(F197+Inputs!$B$9)*D197</f>
        <v/>
      </c>
      <c r="J197">
        <f>-(G197+Inputs!$B$9)*E197</f>
        <v/>
      </c>
      <c r="K197">
        <f>IF(B197&lt;=INDEX(YieldCurve!$A$4:$A$63,1),-(INDEX(YieldCurve!$B$4:$B$63,1)+Inputs!$B$9)*B197,IF(B197&gt;=INDEX(YieldCurve!$A$4:$A$63,ROWS(YieldCurve!$A$4:$A$63)),-(INDEX(YieldCurve!$B$4:$B$63,ROWS(YieldCurve!$B$4:$B$63))+Inputs!$B$9)*B197,I197+H197*(J197-I197)))</f>
        <v/>
      </c>
      <c r="L197">
        <f>EXP(K197)</f>
        <v/>
      </c>
    </row>
    <row r="198">
      <c r="A198" t="n">
        <v>195</v>
      </c>
      <c r="B198">
        <f>A198/Inputs!$B$6</f>
        <v/>
      </c>
      <c r="C198">
        <f>IF(B198&lt;=INDEX(YieldCurve!$A$4:$A$63,1),1,IF(B198&gt;=INDEX(YieldCurve!$A$4:$A$63,ROWS(YieldCurve!$A$4:$A$63)),ROWS(YieldCurve!$A$4:$A$63)-1,MATCH(B198,YieldCurve!$A$4:$A$63,1)))</f>
        <v/>
      </c>
      <c r="D198">
        <f>INDEX(YieldCurve!$A$4:$A$63,C198)</f>
        <v/>
      </c>
      <c r="E198">
        <f>INDEX(YieldCurve!$A$4:$A$63,C198+1)</f>
        <v/>
      </c>
      <c r="F198">
        <f>INDEX(YieldCurve!$B$4:$B$63,C198)</f>
        <v/>
      </c>
      <c r="G198">
        <f>INDEX(YieldCurve!$B$4:$B$63,C198+1)</f>
        <v/>
      </c>
      <c r="H198">
        <f>IF(E198=D198,0,(B198-D198)/(E198-D198))</f>
        <v/>
      </c>
      <c r="I198">
        <f>-(F198+Inputs!$B$9)*D198</f>
        <v/>
      </c>
      <c r="J198">
        <f>-(G198+Inputs!$B$9)*E198</f>
        <v/>
      </c>
      <c r="K198">
        <f>IF(B198&lt;=INDEX(YieldCurve!$A$4:$A$63,1),-(INDEX(YieldCurve!$B$4:$B$63,1)+Inputs!$B$9)*B198,IF(B198&gt;=INDEX(YieldCurve!$A$4:$A$63,ROWS(YieldCurve!$A$4:$A$63)),-(INDEX(YieldCurve!$B$4:$B$63,ROWS(YieldCurve!$B$4:$B$63))+Inputs!$B$9)*B198,I198+H198*(J198-I198)))</f>
        <v/>
      </c>
      <c r="L198">
        <f>EXP(K198)</f>
        <v/>
      </c>
    </row>
    <row r="199">
      <c r="A199" t="n">
        <v>196</v>
      </c>
      <c r="B199">
        <f>A199/Inputs!$B$6</f>
        <v/>
      </c>
      <c r="C199">
        <f>IF(B199&lt;=INDEX(YieldCurve!$A$4:$A$63,1),1,IF(B199&gt;=INDEX(YieldCurve!$A$4:$A$63,ROWS(YieldCurve!$A$4:$A$63)),ROWS(YieldCurve!$A$4:$A$63)-1,MATCH(B199,YieldCurve!$A$4:$A$63,1)))</f>
        <v/>
      </c>
      <c r="D199">
        <f>INDEX(YieldCurve!$A$4:$A$63,C199)</f>
        <v/>
      </c>
      <c r="E199">
        <f>INDEX(YieldCurve!$A$4:$A$63,C199+1)</f>
        <v/>
      </c>
      <c r="F199">
        <f>INDEX(YieldCurve!$B$4:$B$63,C199)</f>
        <v/>
      </c>
      <c r="G199">
        <f>INDEX(YieldCurve!$B$4:$B$63,C199+1)</f>
        <v/>
      </c>
      <c r="H199">
        <f>IF(E199=D199,0,(B199-D199)/(E199-D199))</f>
        <v/>
      </c>
      <c r="I199">
        <f>-(F199+Inputs!$B$9)*D199</f>
        <v/>
      </c>
      <c r="J199">
        <f>-(G199+Inputs!$B$9)*E199</f>
        <v/>
      </c>
      <c r="K199">
        <f>IF(B199&lt;=INDEX(YieldCurve!$A$4:$A$63,1),-(INDEX(YieldCurve!$B$4:$B$63,1)+Inputs!$B$9)*B199,IF(B199&gt;=INDEX(YieldCurve!$A$4:$A$63,ROWS(YieldCurve!$A$4:$A$63)),-(INDEX(YieldCurve!$B$4:$B$63,ROWS(YieldCurve!$B$4:$B$63))+Inputs!$B$9)*B199,I199+H199*(J199-I199)))</f>
        <v/>
      </c>
      <c r="L199">
        <f>EXP(K199)</f>
        <v/>
      </c>
    </row>
    <row r="200">
      <c r="A200" t="n">
        <v>197</v>
      </c>
      <c r="B200">
        <f>A200/Inputs!$B$6</f>
        <v/>
      </c>
      <c r="C200">
        <f>IF(B200&lt;=INDEX(YieldCurve!$A$4:$A$63,1),1,IF(B200&gt;=INDEX(YieldCurve!$A$4:$A$63,ROWS(YieldCurve!$A$4:$A$63)),ROWS(YieldCurve!$A$4:$A$63)-1,MATCH(B200,YieldCurve!$A$4:$A$63,1)))</f>
        <v/>
      </c>
      <c r="D200">
        <f>INDEX(YieldCurve!$A$4:$A$63,C200)</f>
        <v/>
      </c>
      <c r="E200">
        <f>INDEX(YieldCurve!$A$4:$A$63,C200+1)</f>
        <v/>
      </c>
      <c r="F200">
        <f>INDEX(YieldCurve!$B$4:$B$63,C200)</f>
        <v/>
      </c>
      <c r="G200">
        <f>INDEX(YieldCurve!$B$4:$B$63,C200+1)</f>
        <v/>
      </c>
      <c r="H200">
        <f>IF(E200=D200,0,(B200-D200)/(E200-D200))</f>
        <v/>
      </c>
      <c r="I200">
        <f>-(F200+Inputs!$B$9)*D200</f>
        <v/>
      </c>
      <c r="J200">
        <f>-(G200+Inputs!$B$9)*E200</f>
        <v/>
      </c>
      <c r="K200">
        <f>IF(B200&lt;=INDEX(YieldCurve!$A$4:$A$63,1),-(INDEX(YieldCurve!$B$4:$B$63,1)+Inputs!$B$9)*B200,IF(B200&gt;=INDEX(YieldCurve!$A$4:$A$63,ROWS(YieldCurve!$A$4:$A$63)),-(INDEX(YieldCurve!$B$4:$B$63,ROWS(YieldCurve!$B$4:$B$63))+Inputs!$B$9)*B200,I200+H200*(J200-I200)))</f>
        <v/>
      </c>
      <c r="L200">
        <f>EXP(K200)</f>
        <v/>
      </c>
    </row>
    <row r="201">
      <c r="A201" t="n">
        <v>198</v>
      </c>
      <c r="B201">
        <f>A201/Inputs!$B$6</f>
        <v/>
      </c>
      <c r="C201">
        <f>IF(B201&lt;=INDEX(YieldCurve!$A$4:$A$63,1),1,IF(B201&gt;=INDEX(YieldCurve!$A$4:$A$63,ROWS(YieldCurve!$A$4:$A$63)),ROWS(YieldCurve!$A$4:$A$63)-1,MATCH(B201,YieldCurve!$A$4:$A$63,1)))</f>
        <v/>
      </c>
      <c r="D201">
        <f>INDEX(YieldCurve!$A$4:$A$63,C201)</f>
        <v/>
      </c>
      <c r="E201">
        <f>INDEX(YieldCurve!$A$4:$A$63,C201+1)</f>
        <v/>
      </c>
      <c r="F201">
        <f>INDEX(YieldCurve!$B$4:$B$63,C201)</f>
        <v/>
      </c>
      <c r="G201">
        <f>INDEX(YieldCurve!$B$4:$B$63,C201+1)</f>
        <v/>
      </c>
      <c r="H201">
        <f>IF(E201=D201,0,(B201-D201)/(E201-D201))</f>
        <v/>
      </c>
      <c r="I201">
        <f>-(F201+Inputs!$B$9)*D201</f>
        <v/>
      </c>
      <c r="J201">
        <f>-(G201+Inputs!$B$9)*E201</f>
        <v/>
      </c>
      <c r="K201">
        <f>IF(B201&lt;=INDEX(YieldCurve!$A$4:$A$63,1),-(INDEX(YieldCurve!$B$4:$B$63,1)+Inputs!$B$9)*B201,IF(B201&gt;=INDEX(YieldCurve!$A$4:$A$63,ROWS(YieldCurve!$A$4:$A$63)),-(INDEX(YieldCurve!$B$4:$B$63,ROWS(YieldCurve!$B$4:$B$63))+Inputs!$B$9)*B201,I201+H201*(J201-I201)))</f>
        <v/>
      </c>
      <c r="L201">
        <f>EXP(K201)</f>
        <v/>
      </c>
    </row>
    <row r="202">
      <c r="A202" t="n">
        <v>199</v>
      </c>
      <c r="B202">
        <f>A202/Inputs!$B$6</f>
        <v/>
      </c>
      <c r="C202">
        <f>IF(B202&lt;=INDEX(YieldCurve!$A$4:$A$63,1),1,IF(B202&gt;=INDEX(YieldCurve!$A$4:$A$63,ROWS(YieldCurve!$A$4:$A$63)),ROWS(YieldCurve!$A$4:$A$63)-1,MATCH(B202,YieldCurve!$A$4:$A$63,1)))</f>
        <v/>
      </c>
      <c r="D202">
        <f>INDEX(YieldCurve!$A$4:$A$63,C202)</f>
        <v/>
      </c>
      <c r="E202">
        <f>INDEX(YieldCurve!$A$4:$A$63,C202+1)</f>
        <v/>
      </c>
      <c r="F202">
        <f>INDEX(YieldCurve!$B$4:$B$63,C202)</f>
        <v/>
      </c>
      <c r="G202">
        <f>INDEX(YieldCurve!$B$4:$B$63,C202+1)</f>
        <v/>
      </c>
      <c r="H202">
        <f>IF(E202=D202,0,(B202-D202)/(E202-D202))</f>
        <v/>
      </c>
      <c r="I202">
        <f>-(F202+Inputs!$B$9)*D202</f>
        <v/>
      </c>
      <c r="J202">
        <f>-(G202+Inputs!$B$9)*E202</f>
        <v/>
      </c>
      <c r="K202">
        <f>IF(B202&lt;=INDEX(YieldCurve!$A$4:$A$63,1),-(INDEX(YieldCurve!$B$4:$B$63,1)+Inputs!$B$9)*B202,IF(B202&gt;=INDEX(YieldCurve!$A$4:$A$63,ROWS(YieldCurve!$A$4:$A$63)),-(INDEX(YieldCurve!$B$4:$B$63,ROWS(YieldCurve!$B$4:$B$63))+Inputs!$B$9)*B202,I202+H202*(J202-I202)))</f>
        <v/>
      </c>
      <c r="L202">
        <f>EXP(K202)</f>
        <v/>
      </c>
    </row>
    <row r="203">
      <c r="A203" t="n">
        <v>200</v>
      </c>
      <c r="B203">
        <f>A203/Inputs!$B$6</f>
        <v/>
      </c>
      <c r="C203">
        <f>IF(B203&lt;=INDEX(YieldCurve!$A$4:$A$63,1),1,IF(B203&gt;=INDEX(YieldCurve!$A$4:$A$63,ROWS(YieldCurve!$A$4:$A$63)),ROWS(YieldCurve!$A$4:$A$63)-1,MATCH(B203,YieldCurve!$A$4:$A$63,1)))</f>
        <v/>
      </c>
      <c r="D203">
        <f>INDEX(YieldCurve!$A$4:$A$63,C203)</f>
        <v/>
      </c>
      <c r="E203">
        <f>INDEX(YieldCurve!$A$4:$A$63,C203+1)</f>
        <v/>
      </c>
      <c r="F203">
        <f>INDEX(YieldCurve!$B$4:$B$63,C203)</f>
        <v/>
      </c>
      <c r="G203">
        <f>INDEX(YieldCurve!$B$4:$B$63,C203+1)</f>
        <v/>
      </c>
      <c r="H203">
        <f>IF(E203=D203,0,(B203-D203)/(E203-D203))</f>
        <v/>
      </c>
      <c r="I203">
        <f>-(F203+Inputs!$B$9)*D203</f>
        <v/>
      </c>
      <c r="J203">
        <f>-(G203+Inputs!$B$9)*E203</f>
        <v/>
      </c>
      <c r="K203">
        <f>IF(B203&lt;=INDEX(YieldCurve!$A$4:$A$63,1),-(INDEX(YieldCurve!$B$4:$B$63,1)+Inputs!$B$9)*B203,IF(B203&gt;=INDEX(YieldCurve!$A$4:$A$63,ROWS(YieldCurve!$A$4:$A$63)),-(INDEX(YieldCurve!$B$4:$B$63,ROWS(YieldCurve!$B$4:$B$63))+Inputs!$B$9)*B203,I203+H203*(J203-I203)))</f>
        <v/>
      </c>
      <c r="L203">
        <f>EXP(K203)</f>
        <v/>
      </c>
    </row>
    <row r="204">
      <c r="A204" t="n">
        <v>201</v>
      </c>
      <c r="B204">
        <f>A204/Inputs!$B$6</f>
        <v/>
      </c>
      <c r="C204">
        <f>IF(B204&lt;=INDEX(YieldCurve!$A$4:$A$63,1),1,IF(B204&gt;=INDEX(YieldCurve!$A$4:$A$63,ROWS(YieldCurve!$A$4:$A$63)),ROWS(YieldCurve!$A$4:$A$63)-1,MATCH(B204,YieldCurve!$A$4:$A$63,1)))</f>
        <v/>
      </c>
      <c r="D204">
        <f>INDEX(YieldCurve!$A$4:$A$63,C204)</f>
        <v/>
      </c>
      <c r="E204">
        <f>INDEX(YieldCurve!$A$4:$A$63,C204+1)</f>
        <v/>
      </c>
      <c r="F204">
        <f>INDEX(YieldCurve!$B$4:$B$63,C204)</f>
        <v/>
      </c>
      <c r="G204">
        <f>INDEX(YieldCurve!$B$4:$B$63,C204+1)</f>
        <v/>
      </c>
      <c r="H204">
        <f>IF(E204=D204,0,(B204-D204)/(E204-D204))</f>
        <v/>
      </c>
      <c r="I204">
        <f>-(F204+Inputs!$B$9)*D204</f>
        <v/>
      </c>
      <c r="J204">
        <f>-(G204+Inputs!$B$9)*E204</f>
        <v/>
      </c>
      <c r="K204">
        <f>IF(B204&lt;=INDEX(YieldCurve!$A$4:$A$63,1),-(INDEX(YieldCurve!$B$4:$B$63,1)+Inputs!$B$9)*B204,IF(B204&gt;=INDEX(YieldCurve!$A$4:$A$63,ROWS(YieldCurve!$A$4:$A$63)),-(INDEX(YieldCurve!$B$4:$B$63,ROWS(YieldCurve!$B$4:$B$63))+Inputs!$B$9)*B204,I204+H204*(J204-I204)))</f>
        <v/>
      </c>
      <c r="L204">
        <f>EXP(K204)</f>
        <v/>
      </c>
    </row>
    <row r="205">
      <c r="A205" t="n">
        <v>202</v>
      </c>
      <c r="B205">
        <f>A205/Inputs!$B$6</f>
        <v/>
      </c>
      <c r="C205">
        <f>IF(B205&lt;=INDEX(YieldCurve!$A$4:$A$63,1),1,IF(B205&gt;=INDEX(YieldCurve!$A$4:$A$63,ROWS(YieldCurve!$A$4:$A$63)),ROWS(YieldCurve!$A$4:$A$63)-1,MATCH(B205,YieldCurve!$A$4:$A$63,1)))</f>
        <v/>
      </c>
      <c r="D205">
        <f>INDEX(YieldCurve!$A$4:$A$63,C205)</f>
        <v/>
      </c>
      <c r="E205">
        <f>INDEX(YieldCurve!$A$4:$A$63,C205+1)</f>
        <v/>
      </c>
      <c r="F205">
        <f>INDEX(YieldCurve!$B$4:$B$63,C205)</f>
        <v/>
      </c>
      <c r="G205">
        <f>INDEX(YieldCurve!$B$4:$B$63,C205+1)</f>
        <v/>
      </c>
      <c r="H205">
        <f>IF(E205=D205,0,(B205-D205)/(E205-D205))</f>
        <v/>
      </c>
      <c r="I205">
        <f>-(F205+Inputs!$B$9)*D205</f>
        <v/>
      </c>
      <c r="J205">
        <f>-(G205+Inputs!$B$9)*E205</f>
        <v/>
      </c>
      <c r="K205">
        <f>IF(B205&lt;=INDEX(YieldCurve!$A$4:$A$63,1),-(INDEX(YieldCurve!$B$4:$B$63,1)+Inputs!$B$9)*B205,IF(B205&gt;=INDEX(YieldCurve!$A$4:$A$63,ROWS(YieldCurve!$A$4:$A$63)),-(INDEX(YieldCurve!$B$4:$B$63,ROWS(YieldCurve!$B$4:$B$63))+Inputs!$B$9)*B205,I205+H205*(J205-I205)))</f>
        <v/>
      </c>
      <c r="L205">
        <f>EXP(K205)</f>
        <v/>
      </c>
    </row>
    <row r="206">
      <c r="A206" t="n">
        <v>203</v>
      </c>
      <c r="B206">
        <f>A206/Inputs!$B$6</f>
        <v/>
      </c>
      <c r="C206">
        <f>IF(B206&lt;=INDEX(YieldCurve!$A$4:$A$63,1),1,IF(B206&gt;=INDEX(YieldCurve!$A$4:$A$63,ROWS(YieldCurve!$A$4:$A$63)),ROWS(YieldCurve!$A$4:$A$63)-1,MATCH(B206,YieldCurve!$A$4:$A$63,1)))</f>
        <v/>
      </c>
      <c r="D206">
        <f>INDEX(YieldCurve!$A$4:$A$63,C206)</f>
        <v/>
      </c>
      <c r="E206">
        <f>INDEX(YieldCurve!$A$4:$A$63,C206+1)</f>
        <v/>
      </c>
      <c r="F206">
        <f>INDEX(YieldCurve!$B$4:$B$63,C206)</f>
        <v/>
      </c>
      <c r="G206">
        <f>INDEX(YieldCurve!$B$4:$B$63,C206+1)</f>
        <v/>
      </c>
      <c r="H206">
        <f>IF(E206=D206,0,(B206-D206)/(E206-D206))</f>
        <v/>
      </c>
      <c r="I206">
        <f>-(F206+Inputs!$B$9)*D206</f>
        <v/>
      </c>
      <c r="J206">
        <f>-(G206+Inputs!$B$9)*E206</f>
        <v/>
      </c>
      <c r="K206">
        <f>IF(B206&lt;=INDEX(YieldCurve!$A$4:$A$63,1),-(INDEX(YieldCurve!$B$4:$B$63,1)+Inputs!$B$9)*B206,IF(B206&gt;=INDEX(YieldCurve!$A$4:$A$63,ROWS(YieldCurve!$A$4:$A$63)),-(INDEX(YieldCurve!$B$4:$B$63,ROWS(YieldCurve!$B$4:$B$63))+Inputs!$B$9)*B206,I206+H206*(J206-I206)))</f>
        <v/>
      </c>
      <c r="L206">
        <f>EXP(K206)</f>
        <v/>
      </c>
    </row>
    <row r="207">
      <c r="A207" t="n">
        <v>204</v>
      </c>
      <c r="B207">
        <f>A207/Inputs!$B$6</f>
        <v/>
      </c>
      <c r="C207">
        <f>IF(B207&lt;=INDEX(YieldCurve!$A$4:$A$63,1),1,IF(B207&gt;=INDEX(YieldCurve!$A$4:$A$63,ROWS(YieldCurve!$A$4:$A$63)),ROWS(YieldCurve!$A$4:$A$63)-1,MATCH(B207,YieldCurve!$A$4:$A$63,1)))</f>
        <v/>
      </c>
      <c r="D207">
        <f>INDEX(YieldCurve!$A$4:$A$63,C207)</f>
        <v/>
      </c>
      <c r="E207">
        <f>INDEX(YieldCurve!$A$4:$A$63,C207+1)</f>
        <v/>
      </c>
      <c r="F207">
        <f>INDEX(YieldCurve!$B$4:$B$63,C207)</f>
        <v/>
      </c>
      <c r="G207">
        <f>INDEX(YieldCurve!$B$4:$B$63,C207+1)</f>
        <v/>
      </c>
      <c r="H207">
        <f>IF(E207=D207,0,(B207-D207)/(E207-D207))</f>
        <v/>
      </c>
      <c r="I207">
        <f>-(F207+Inputs!$B$9)*D207</f>
        <v/>
      </c>
      <c r="J207">
        <f>-(G207+Inputs!$B$9)*E207</f>
        <v/>
      </c>
      <c r="K207">
        <f>IF(B207&lt;=INDEX(YieldCurve!$A$4:$A$63,1),-(INDEX(YieldCurve!$B$4:$B$63,1)+Inputs!$B$9)*B207,IF(B207&gt;=INDEX(YieldCurve!$A$4:$A$63,ROWS(YieldCurve!$A$4:$A$63)),-(INDEX(YieldCurve!$B$4:$B$63,ROWS(YieldCurve!$B$4:$B$63))+Inputs!$B$9)*B207,I207+H207*(J207-I207)))</f>
        <v/>
      </c>
      <c r="L207">
        <f>EXP(K207)</f>
        <v/>
      </c>
    </row>
    <row r="208">
      <c r="A208" t="n">
        <v>205</v>
      </c>
      <c r="B208">
        <f>A208/Inputs!$B$6</f>
        <v/>
      </c>
      <c r="C208">
        <f>IF(B208&lt;=INDEX(YieldCurve!$A$4:$A$63,1),1,IF(B208&gt;=INDEX(YieldCurve!$A$4:$A$63,ROWS(YieldCurve!$A$4:$A$63)),ROWS(YieldCurve!$A$4:$A$63)-1,MATCH(B208,YieldCurve!$A$4:$A$63,1)))</f>
        <v/>
      </c>
      <c r="D208">
        <f>INDEX(YieldCurve!$A$4:$A$63,C208)</f>
        <v/>
      </c>
      <c r="E208">
        <f>INDEX(YieldCurve!$A$4:$A$63,C208+1)</f>
        <v/>
      </c>
      <c r="F208">
        <f>INDEX(YieldCurve!$B$4:$B$63,C208)</f>
        <v/>
      </c>
      <c r="G208">
        <f>INDEX(YieldCurve!$B$4:$B$63,C208+1)</f>
        <v/>
      </c>
      <c r="H208">
        <f>IF(E208=D208,0,(B208-D208)/(E208-D208))</f>
        <v/>
      </c>
      <c r="I208">
        <f>-(F208+Inputs!$B$9)*D208</f>
        <v/>
      </c>
      <c r="J208">
        <f>-(G208+Inputs!$B$9)*E208</f>
        <v/>
      </c>
      <c r="K208">
        <f>IF(B208&lt;=INDEX(YieldCurve!$A$4:$A$63,1),-(INDEX(YieldCurve!$B$4:$B$63,1)+Inputs!$B$9)*B208,IF(B208&gt;=INDEX(YieldCurve!$A$4:$A$63,ROWS(YieldCurve!$A$4:$A$63)),-(INDEX(YieldCurve!$B$4:$B$63,ROWS(YieldCurve!$B$4:$B$63))+Inputs!$B$9)*B208,I208+H208*(J208-I208)))</f>
        <v/>
      </c>
      <c r="L208">
        <f>EXP(K208)</f>
        <v/>
      </c>
    </row>
    <row r="209">
      <c r="A209" t="n">
        <v>206</v>
      </c>
      <c r="B209">
        <f>A209/Inputs!$B$6</f>
        <v/>
      </c>
      <c r="C209">
        <f>IF(B209&lt;=INDEX(YieldCurve!$A$4:$A$63,1),1,IF(B209&gt;=INDEX(YieldCurve!$A$4:$A$63,ROWS(YieldCurve!$A$4:$A$63)),ROWS(YieldCurve!$A$4:$A$63)-1,MATCH(B209,YieldCurve!$A$4:$A$63,1)))</f>
        <v/>
      </c>
      <c r="D209">
        <f>INDEX(YieldCurve!$A$4:$A$63,C209)</f>
        <v/>
      </c>
      <c r="E209">
        <f>INDEX(YieldCurve!$A$4:$A$63,C209+1)</f>
        <v/>
      </c>
      <c r="F209">
        <f>INDEX(YieldCurve!$B$4:$B$63,C209)</f>
        <v/>
      </c>
      <c r="G209">
        <f>INDEX(YieldCurve!$B$4:$B$63,C209+1)</f>
        <v/>
      </c>
      <c r="H209">
        <f>IF(E209=D209,0,(B209-D209)/(E209-D209))</f>
        <v/>
      </c>
      <c r="I209">
        <f>-(F209+Inputs!$B$9)*D209</f>
        <v/>
      </c>
      <c r="J209">
        <f>-(G209+Inputs!$B$9)*E209</f>
        <v/>
      </c>
      <c r="K209">
        <f>IF(B209&lt;=INDEX(YieldCurve!$A$4:$A$63,1),-(INDEX(YieldCurve!$B$4:$B$63,1)+Inputs!$B$9)*B209,IF(B209&gt;=INDEX(YieldCurve!$A$4:$A$63,ROWS(YieldCurve!$A$4:$A$63)),-(INDEX(YieldCurve!$B$4:$B$63,ROWS(YieldCurve!$B$4:$B$63))+Inputs!$B$9)*B209,I209+H209*(J209-I209)))</f>
        <v/>
      </c>
      <c r="L209">
        <f>EXP(K209)</f>
        <v/>
      </c>
    </row>
    <row r="210">
      <c r="A210" t="n">
        <v>207</v>
      </c>
      <c r="B210">
        <f>A210/Inputs!$B$6</f>
        <v/>
      </c>
      <c r="C210">
        <f>IF(B210&lt;=INDEX(YieldCurve!$A$4:$A$63,1),1,IF(B210&gt;=INDEX(YieldCurve!$A$4:$A$63,ROWS(YieldCurve!$A$4:$A$63)),ROWS(YieldCurve!$A$4:$A$63)-1,MATCH(B210,YieldCurve!$A$4:$A$63,1)))</f>
        <v/>
      </c>
      <c r="D210">
        <f>INDEX(YieldCurve!$A$4:$A$63,C210)</f>
        <v/>
      </c>
      <c r="E210">
        <f>INDEX(YieldCurve!$A$4:$A$63,C210+1)</f>
        <v/>
      </c>
      <c r="F210">
        <f>INDEX(YieldCurve!$B$4:$B$63,C210)</f>
        <v/>
      </c>
      <c r="G210">
        <f>INDEX(YieldCurve!$B$4:$B$63,C210+1)</f>
        <v/>
      </c>
      <c r="H210">
        <f>IF(E210=D210,0,(B210-D210)/(E210-D210))</f>
        <v/>
      </c>
      <c r="I210">
        <f>-(F210+Inputs!$B$9)*D210</f>
        <v/>
      </c>
      <c r="J210">
        <f>-(G210+Inputs!$B$9)*E210</f>
        <v/>
      </c>
      <c r="K210">
        <f>IF(B210&lt;=INDEX(YieldCurve!$A$4:$A$63,1),-(INDEX(YieldCurve!$B$4:$B$63,1)+Inputs!$B$9)*B210,IF(B210&gt;=INDEX(YieldCurve!$A$4:$A$63,ROWS(YieldCurve!$A$4:$A$63)),-(INDEX(YieldCurve!$B$4:$B$63,ROWS(YieldCurve!$B$4:$B$63))+Inputs!$B$9)*B210,I210+H210*(J210-I210)))</f>
        <v/>
      </c>
      <c r="L210">
        <f>EXP(K210)</f>
        <v/>
      </c>
    </row>
    <row r="211">
      <c r="A211" t="n">
        <v>208</v>
      </c>
      <c r="B211">
        <f>A211/Inputs!$B$6</f>
        <v/>
      </c>
      <c r="C211">
        <f>IF(B211&lt;=INDEX(YieldCurve!$A$4:$A$63,1),1,IF(B211&gt;=INDEX(YieldCurve!$A$4:$A$63,ROWS(YieldCurve!$A$4:$A$63)),ROWS(YieldCurve!$A$4:$A$63)-1,MATCH(B211,YieldCurve!$A$4:$A$63,1)))</f>
        <v/>
      </c>
      <c r="D211">
        <f>INDEX(YieldCurve!$A$4:$A$63,C211)</f>
        <v/>
      </c>
      <c r="E211">
        <f>INDEX(YieldCurve!$A$4:$A$63,C211+1)</f>
        <v/>
      </c>
      <c r="F211">
        <f>INDEX(YieldCurve!$B$4:$B$63,C211)</f>
        <v/>
      </c>
      <c r="G211">
        <f>INDEX(YieldCurve!$B$4:$B$63,C211+1)</f>
        <v/>
      </c>
      <c r="H211">
        <f>IF(E211=D211,0,(B211-D211)/(E211-D211))</f>
        <v/>
      </c>
      <c r="I211">
        <f>-(F211+Inputs!$B$9)*D211</f>
        <v/>
      </c>
      <c r="J211">
        <f>-(G211+Inputs!$B$9)*E211</f>
        <v/>
      </c>
      <c r="K211">
        <f>IF(B211&lt;=INDEX(YieldCurve!$A$4:$A$63,1),-(INDEX(YieldCurve!$B$4:$B$63,1)+Inputs!$B$9)*B211,IF(B211&gt;=INDEX(YieldCurve!$A$4:$A$63,ROWS(YieldCurve!$A$4:$A$63)),-(INDEX(YieldCurve!$B$4:$B$63,ROWS(YieldCurve!$B$4:$B$63))+Inputs!$B$9)*B211,I211+H211*(J211-I211)))</f>
        <v/>
      </c>
      <c r="L211">
        <f>EXP(K211)</f>
        <v/>
      </c>
    </row>
    <row r="212">
      <c r="A212" t="n">
        <v>209</v>
      </c>
      <c r="B212">
        <f>A212/Inputs!$B$6</f>
        <v/>
      </c>
      <c r="C212">
        <f>IF(B212&lt;=INDEX(YieldCurve!$A$4:$A$63,1),1,IF(B212&gt;=INDEX(YieldCurve!$A$4:$A$63,ROWS(YieldCurve!$A$4:$A$63)),ROWS(YieldCurve!$A$4:$A$63)-1,MATCH(B212,YieldCurve!$A$4:$A$63,1)))</f>
        <v/>
      </c>
      <c r="D212">
        <f>INDEX(YieldCurve!$A$4:$A$63,C212)</f>
        <v/>
      </c>
      <c r="E212">
        <f>INDEX(YieldCurve!$A$4:$A$63,C212+1)</f>
        <v/>
      </c>
      <c r="F212">
        <f>INDEX(YieldCurve!$B$4:$B$63,C212)</f>
        <v/>
      </c>
      <c r="G212">
        <f>INDEX(YieldCurve!$B$4:$B$63,C212+1)</f>
        <v/>
      </c>
      <c r="H212">
        <f>IF(E212=D212,0,(B212-D212)/(E212-D212))</f>
        <v/>
      </c>
      <c r="I212">
        <f>-(F212+Inputs!$B$9)*D212</f>
        <v/>
      </c>
      <c r="J212">
        <f>-(G212+Inputs!$B$9)*E212</f>
        <v/>
      </c>
      <c r="K212">
        <f>IF(B212&lt;=INDEX(YieldCurve!$A$4:$A$63,1),-(INDEX(YieldCurve!$B$4:$B$63,1)+Inputs!$B$9)*B212,IF(B212&gt;=INDEX(YieldCurve!$A$4:$A$63,ROWS(YieldCurve!$A$4:$A$63)),-(INDEX(YieldCurve!$B$4:$B$63,ROWS(YieldCurve!$B$4:$B$63))+Inputs!$B$9)*B212,I212+H212*(J212-I212)))</f>
        <v/>
      </c>
      <c r="L212">
        <f>EXP(K212)</f>
        <v/>
      </c>
    </row>
    <row r="213">
      <c r="A213" t="n">
        <v>210</v>
      </c>
      <c r="B213">
        <f>A213/Inputs!$B$6</f>
        <v/>
      </c>
      <c r="C213">
        <f>IF(B213&lt;=INDEX(YieldCurve!$A$4:$A$63,1),1,IF(B213&gt;=INDEX(YieldCurve!$A$4:$A$63,ROWS(YieldCurve!$A$4:$A$63)),ROWS(YieldCurve!$A$4:$A$63)-1,MATCH(B213,YieldCurve!$A$4:$A$63,1)))</f>
        <v/>
      </c>
      <c r="D213">
        <f>INDEX(YieldCurve!$A$4:$A$63,C213)</f>
        <v/>
      </c>
      <c r="E213">
        <f>INDEX(YieldCurve!$A$4:$A$63,C213+1)</f>
        <v/>
      </c>
      <c r="F213">
        <f>INDEX(YieldCurve!$B$4:$B$63,C213)</f>
        <v/>
      </c>
      <c r="G213">
        <f>INDEX(YieldCurve!$B$4:$B$63,C213+1)</f>
        <v/>
      </c>
      <c r="H213">
        <f>IF(E213=D213,0,(B213-D213)/(E213-D213))</f>
        <v/>
      </c>
      <c r="I213">
        <f>-(F213+Inputs!$B$9)*D213</f>
        <v/>
      </c>
      <c r="J213">
        <f>-(G213+Inputs!$B$9)*E213</f>
        <v/>
      </c>
      <c r="K213">
        <f>IF(B213&lt;=INDEX(YieldCurve!$A$4:$A$63,1),-(INDEX(YieldCurve!$B$4:$B$63,1)+Inputs!$B$9)*B213,IF(B213&gt;=INDEX(YieldCurve!$A$4:$A$63,ROWS(YieldCurve!$A$4:$A$63)),-(INDEX(YieldCurve!$B$4:$B$63,ROWS(YieldCurve!$B$4:$B$63))+Inputs!$B$9)*B213,I213+H213*(J213-I213)))</f>
        <v/>
      </c>
      <c r="L213">
        <f>EXP(K213)</f>
        <v/>
      </c>
    </row>
    <row r="214">
      <c r="A214" t="n">
        <v>211</v>
      </c>
      <c r="B214">
        <f>A214/Inputs!$B$6</f>
        <v/>
      </c>
      <c r="C214">
        <f>IF(B214&lt;=INDEX(YieldCurve!$A$4:$A$63,1),1,IF(B214&gt;=INDEX(YieldCurve!$A$4:$A$63,ROWS(YieldCurve!$A$4:$A$63)),ROWS(YieldCurve!$A$4:$A$63)-1,MATCH(B214,YieldCurve!$A$4:$A$63,1)))</f>
        <v/>
      </c>
      <c r="D214">
        <f>INDEX(YieldCurve!$A$4:$A$63,C214)</f>
        <v/>
      </c>
      <c r="E214">
        <f>INDEX(YieldCurve!$A$4:$A$63,C214+1)</f>
        <v/>
      </c>
      <c r="F214">
        <f>INDEX(YieldCurve!$B$4:$B$63,C214)</f>
        <v/>
      </c>
      <c r="G214">
        <f>INDEX(YieldCurve!$B$4:$B$63,C214+1)</f>
        <v/>
      </c>
      <c r="H214">
        <f>IF(E214=D214,0,(B214-D214)/(E214-D214))</f>
        <v/>
      </c>
      <c r="I214">
        <f>-(F214+Inputs!$B$9)*D214</f>
        <v/>
      </c>
      <c r="J214">
        <f>-(G214+Inputs!$B$9)*E214</f>
        <v/>
      </c>
      <c r="K214">
        <f>IF(B214&lt;=INDEX(YieldCurve!$A$4:$A$63,1),-(INDEX(YieldCurve!$B$4:$B$63,1)+Inputs!$B$9)*B214,IF(B214&gt;=INDEX(YieldCurve!$A$4:$A$63,ROWS(YieldCurve!$A$4:$A$63)),-(INDEX(YieldCurve!$B$4:$B$63,ROWS(YieldCurve!$B$4:$B$63))+Inputs!$B$9)*B214,I214+H214*(J214-I214)))</f>
        <v/>
      </c>
      <c r="L214">
        <f>EXP(K214)</f>
        <v/>
      </c>
    </row>
    <row r="215">
      <c r="A215" t="n">
        <v>212</v>
      </c>
      <c r="B215">
        <f>A215/Inputs!$B$6</f>
        <v/>
      </c>
      <c r="C215">
        <f>IF(B215&lt;=INDEX(YieldCurve!$A$4:$A$63,1),1,IF(B215&gt;=INDEX(YieldCurve!$A$4:$A$63,ROWS(YieldCurve!$A$4:$A$63)),ROWS(YieldCurve!$A$4:$A$63)-1,MATCH(B215,YieldCurve!$A$4:$A$63,1)))</f>
        <v/>
      </c>
      <c r="D215">
        <f>INDEX(YieldCurve!$A$4:$A$63,C215)</f>
        <v/>
      </c>
      <c r="E215">
        <f>INDEX(YieldCurve!$A$4:$A$63,C215+1)</f>
        <v/>
      </c>
      <c r="F215">
        <f>INDEX(YieldCurve!$B$4:$B$63,C215)</f>
        <v/>
      </c>
      <c r="G215">
        <f>INDEX(YieldCurve!$B$4:$B$63,C215+1)</f>
        <v/>
      </c>
      <c r="H215">
        <f>IF(E215=D215,0,(B215-D215)/(E215-D215))</f>
        <v/>
      </c>
      <c r="I215">
        <f>-(F215+Inputs!$B$9)*D215</f>
        <v/>
      </c>
      <c r="J215">
        <f>-(G215+Inputs!$B$9)*E215</f>
        <v/>
      </c>
      <c r="K215">
        <f>IF(B215&lt;=INDEX(YieldCurve!$A$4:$A$63,1),-(INDEX(YieldCurve!$B$4:$B$63,1)+Inputs!$B$9)*B215,IF(B215&gt;=INDEX(YieldCurve!$A$4:$A$63,ROWS(YieldCurve!$A$4:$A$63)),-(INDEX(YieldCurve!$B$4:$B$63,ROWS(YieldCurve!$B$4:$B$63))+Inputs!$B$9)*B215,I215+H215*(J215-I215)))</f>
        <v/>
      </c>
      <c r="L215">
        <f>EXP(K215)</f>
        <v/>
      </c>
    </row>
    <row r="216">
      <c r="A216" t="n">
        <v>213</v>
      </c>
      <c r="B216">
        <f>A216/Inputs!$B$6</f>
        <v/>
      </c>
      <c r="C216">
        <f>IF(B216&lt;=INDEX(YieldCurve!$A$4:$A$63,1),1,IF(B216&gt;=INDEX(YieldCurve!$A$4:$A$63,ROWS(YieldCurve!$A$4:$A$63)),ROWS(YieldCurve!$A$4:$A$63)-1,MATCH(B216,YieldCurve!$A$4:$A$63,1)))</f>
        <v/>
      </c>
      <c r="D216">
        <f>INDEX(YieldCurve!$A$4:$A$63,C216)</f>
        <v/>
      </c>
      <c r="E216">
        <f>INDEX(YieldCurve!$A$4:$A$63,C216+1)</f>
        <v/>
      </c>
      <c r="F216">
        <f>INDEX(YieldCurve!$B$4:$B$63,C216)</f>
        <v/>
      </c>
      <c r="G216">
        <f>INDEX(YieldCurve!$B$4:$B$63,C216+1)</f>
        <v/>
      </c>
      <c r="H216">
        <f>IF(E216=D216,0,(B216-D216)/(E216-D216))</f>
        <v/>
      </c>
      <c r="I216">
        <f>-(F216+Inputs!$B$9)*D216</f>
        <v/>
      </c>
      <c r="J216">
        <f>-(G216+Inputs!$B$9)*E216</f>
        <v/>
      </c>
      <c r="K216">
        <f>IF(B216&lt;=INDEX(YieldCurve!$A$4:$A$63,1),-(INDEX(YieldCurve!$B$4:$B$63,1)+Inputs!$B$9)*B216,IF(B216&gt;=INDEX(YieldCurve!$A$4:$A$63,ROWS(YieldCurve!$A$4:$A$63)),-(INDEX(YieldCurve!$B$4:$B$63,ROWS(YieldCurve!$B$4:$B$63))+Inputs!$B$9)*B216,I216+H216*(J216-I216)))</f>
        <v/>
      </c>
      <c r="L216">
        <f>EXP(K216)</f>
        <v/>
      </c>
    </row>
    <row r="217">
      <c r="A217" t="n">
        <v>214</v>
      </c>
      <c r="B217">
        <f>A217/Inputs!$B$6</f>
        <v/>
      </c>
      <c r="C217">
        <f>IF(B217&lt;=INDEX(YieldCurve!$A$4:$A$63,1),1,IF(B217&gt;=INDEX(YieldCurve!$A$4:$A$63,ROWS(YieldCurve!$A$4:$A$63)),ROWS(YieldCurve!$A$4:$A$63)-1,MATCH(B217,YieldCurve!$A$4:$A$63,1)))</f>
        <v/>
      </c>
      <c r="D217">
        <f>INDEX(YieldCurve!$A$4:$A$63,C217)</f>
        <v/>
      </c>
      <c r="E217">
        <f>INDEX(YieldCurve!$A$4:$A$63,C217+1)</f>
        <v/>
      </c>
      <c r="F217">
        <f>INDEX(YieldCurve!$B$4:$B$63,C217)</f>
        <v/>
      </c>
      <c r="G217">
        <f>INDEX(YieldCurve!$B$4:$B$63,C217+1)</f>
        <v/>
      </c>
      <c r="H217">
        <f>IF(E217=D217,0,(B217-D217)/(E217-D217))</f>
        <v/>
      </c>
      <c r="I217">
        <f>-(F217+Inputs!$B$9)*D217</f>
        <v/>
      </c>
      <c r="J217">
        <f>-(G217+Inputs!$B$9)*E217</f>
        <v/>
      </c>
      <c r="K217">
        <f>IF(B217&lt;=INDEX(YieldCurve!$A$4:$A$63,1),-(INDEX(YieldCurve!$B$4:$B$63,1)+Inputs!$B$9)*B217,IF(B217&gt;=INDEX(YieldCurve!$A$4:$A$63,ROWS(YieldCurve!$A$4:$A$63)),-(INDEX(YieldCurve!$B$4:$B$63,ROWS(YieldCurve!$B$4:$B$63))+Inputs!$B$9)*B217,I217+H217*(J217-I217)))</f>
        <v/>
      </c>
      <c r="L217">
        <f>EXP(K217)</f>
        <v/>
      </c>
    </row>
    <row r="218">
      <c r="A218" t="n">
        <v>215</v>
      </c>
      <c r="B218">
        <f>A218/Inputs!$B$6</f>
        <v/>
      </c>
      <c r="C218">
        <f>IF(B218&lt;=INDEX(YieldCurve!$A$4:$A$63,1),1,IF(B218&gt;=INDEX(YieldCurve!$A$4:$A$63,ROWS(YieldCurve!$A$4:$A$63)),ROWS(YieldCurve!$A$4:$A$63)-1,MATCH(B218,YieldCurve!$A$4:$A$63,1)))</f>
        <v/>
      </c>
      <c r="D218">
        <f>INDEX(YieldCurve!$A$4:$A$63,C218)</f>
        <v/>
      </c>
      <c r="E218">
        <f>INDEX(YieldCurve!$A$4:$A$63,C218+1)</f>
        <v/>
      </c>
      <c r="F218">
        <f>INDEX(YieldCurve!$B$4:$B$63,C218)</f>
        <v/>
      </c>
      <c r="G218">
        <f>INDEX(YieldCurve!$B$4:$B$63,C218+1)</f>
        <v/>
      </c>
      <c r="H218">
        <f>IF(E218=D218,0,(B218-D218)/(E218-D218))</f>
        <v/>
      </c>
      <c r="I218">
        <f>-(F218+Inputs!$B$9)*D218</f>
        <v/>
      </c>
      <c r="J218">
        <f>-(G218+Inputs!$B$9)*E218</f>
        <v/>
      </c>
      <c r="K218">
        <f>IF(B218&lt;=INDEX(YieldCurve!$A$4:$A$63,1),-(INDEX(YieldCurve!$B$4:$B$63,1)+Inputs!$B$9)*B218,IF(B218&gt;=INDEX(YieldCurve!$A$4:$A$63,ROWS(YieldCurve!$A$4:$A$63)),-(INDEX(YieldCurve!$B$4:$B$63,ROWS(YieldCurve!$B$4:$B$63))+Inputs!$B$9)*B218,I218+H218*(J218-I218)))</f>
        <v/>
      </c>
      <c r="L218">
        <f>EXP(K218)</f>
        <v/>
      </c>
    </row>
    <row r="219">
      <c r="A219" t="n">
        <v>216</v>
      </c>
      <c r="B219">
        <f>A219/Inputs!$B$6</f>
        <v/>
      </c>
      <c r="C219">
        <f>IF(B219&lt;=INDEX(YieldCurve!$A$4:$A$63,1),1,IF(B219&gt;=INDEX(YieldCurve!$A$4:$A$63,ROWS(YieldCurve!$A$4:$A$63)),ROWS(YieldCurve!$A$4:$A$63)-1,MATCH(B219,YieldCurve!$A$4:$A$63,1)))</f>
        <v/>
      </c>
      <c r="D219">
        <f>INDEX(YieldCurve!$A$4:$A$63,C219)</f>
        <v/>
      </c>
      <c r="E219">
        <f>INDEX(YieldCurve!$A$4:$A$63,C219+1)</f>
        <v/>
      </c>
      <c r="F219">
        <f>INDEX(YieldCurve!$B$4:$B$63,C219)</f>
        <v/>
      </c>
      <c r="G219">
        <f>INDEX(YieldCurve!$B$4:$B$63,C219+1)</f>
        <v/>
      </c>
      <c r="H219">
        <f>IF(E219=D219,0,(B219-D219)/(E219-D219))</f>
        <v/>
      </c>
      <c r="I219">
        <f>-(F219+Inputs!$B$9)*D219</f>
        <v/>
      </c>
      <c r="J219">
        <f>-(G219+Inputs!$B$9)*E219</f>
        <v/>
      </c>
      <c r="K219">
        <f>IF(B219&lt;=INDEX(YieldCurve!$A$4:$A$63,1),-(INDEX(YieldCurve!$B$4:$B$63,1)+Inputs!$B$9)*B219,IF(B219&gt;=INDEX(YieldCurve!$A$4:$A$63,ROWS(YieldCurve!$A$4:$A$63)),-(INDEX(YieldCurve!$B$4:$B$63,ROWS(YieldCurve!$B$4:$B$63))+Inputs!$B$9)*B219,I219+H219*(J219-I219)))</f>
        <v/>
      </c>
      <c r="L219">
        <f>EXP(K219)</f>
        <v/>
      </c>
    </row>
    <row r="220">
      <c r="A220" t="n">
        <v>217</v>
      </c>
      <c r="B220">
        <f>A220/Inputs!$B$6</f>
        <v/>
      </c>
      <c r="C220">
        <f>IF(B220&lt;=INDEX(YieldCurve!$A$4:$A$63,1),1,IF(B220&gt;=INDEX(YieldCurve!$A$4:$A$63,ROWS(YieldCurve!$A$4:$A$63)),ROWS(YieldCurve!$A$4:$A$63)-1,MATCH(B220,YieldCurve!$A$4:$A$63,1)))</f>
        <v/>
      </c>
      <c r="D220">
        <f>INDEX(YieldCurve!$A$4:$A$63,C220)</f>
        <v/>
      </c>
      <c r="E220">
        <f>INDEX(YieldCurve!$A$4:$A$63,C220+1)</f>
        <v/>
      </c>
      <c r="F220">
        <f>INDEX(YieldCurve!$B$4:$B$63,C220)</f>
        <v/>
      </c>
      <c r="G220">
        <f>INDEX(YieldCurve!$B$4:$B$63,C220+1)</f>
        <v/>
      </c>
      <c r="H220">
        <f>IF(E220=D220,0,(B220-D220)/(E220-D220))</f>
        <v/>
      </c>
      <c r="I220">
        <f>-(F220+Inputs!$B$9)*D220</f>
        <v/>
      </c>
      <c r="J220">
        <f>-(G220+Inputs!$B$9)*E220</f>
        <v/>
      </c>
      <c r="K220">
        <f>IF(B220&lt;=INDEX(YieldCurve!$A$4:$A$63,1),-(INDEX(YieldCurve!$B$4:$B$63,1)+Inputs!$B$9)*B220,IF(B220&gt;=INDEX(YieldCurve!$A$4:$A$63,ROWS(YieldCurve!$A$4:$A$63)),-(INDEX(YieldCurve!$B$4:$B$63,ROWS(YieldCurve!$B$4:$B$63))+Inputs!$B$9)*B220,I220+H220*(J220-I220)))</f>
        <v/>
      </c>
      <c r="L220">
        <f>EXP(K220)</f>
        <v/>
      </c>
    </row>
    <row r="221">
      <c r="A221" t="n">
        <v>218</v>
      </c>
      <c r="B221">
        <f>A221/Inputs!$B$6</f>
        <v/>
      </c>
      <c r="C221">
        <f>IF(B221&lt;=INDEX(YieldCurve!$A$4:$A$63,1),1,IF(B221&gt;=INDEX(YieldCurve!$A$4:$A$63,ROWS(YieldCurve!$A$4:$A$63)),ROWS(YieldCurve!$A$4:$A$63)-1,MATCH(B221,YieldCurve!$A$4:$A$63,1)))</f>
        <v/>
      </c>
      <c r="D221">
        <f>INDEX(YieldCurve!$A$4:$A$63,C221)</f>
        <v/>
      </c>
      <c r="E221">
        <f>INDEX(YieldCurve!$A$4:$A$63,C221+1)</f>
        <v/>
      </c>
      <c r="F221">
        <f>INDEX(YieldCurve!$B$4:$B$63,C221)</f>
        <v/>
      </c>
      <c r="G221">
        <f>INDEX(YieldCurve!$B$4:$B$63,C221+1)</f>
        <v/>
      </c>
      <c r="H221">
        <f>IF(E221=D221,0,(B221-D221)/(E221-D221))</f>
        <v/>
      </c>
      <c r="I221">
        <f>-(F221+Inputs!$B$9)*D221</f>
        <v/>
      </c>
      <c r="J221">
        <f>-(G221+Inputs!$B$9)*E221</f>
        <v/>
      </c>
      <c r="K221">
        <f>IF(B221&lt;=INDEX(YieldCurve!$A$4:$A$63,1),-(INDEX(YieldCurve!$B$4:$B$63,1)+Inputs!$B$9)*B221,IF(B221&gt;=INDEX(YieldCurve!$A$4:$A$63,ROWS(YieldCurve!$A$4:$A$63)),-(INDEX(YieldCurve!$B$4:$B$63,ROWS(YieldCurve!$B$4:$B$63))+Inputs!$B$9)*B221,I221+H221*(J221-I221)))</f>
        <v/>
      </c>
      <c r="L221">
        <f>EXP(K221)</f>
        <v/>
      </c>
    </row>
    <row r="222">
      <c r="A222" t="n">
        <v>219</v>
      </c>
      <c r="B222">
        <f>A222/Inputs!$B$6</f>
        <v/>
      </c>
      <c r="C222">
        <f>IF(B222&lt;=INDEX(YieldCurve!$A$4:$A$63,1),1,IF(B222&gt;=INDEX(YieldCurve!$A$4:$A$63,ROWS(YieldCurve!$A$4:$A$63)),ROWS(YieldCurve!$A$4:$A$63)-1,MATCH(B222,YieldCurve!$A$4:$A$63,1)))</f>
        <v/>
      </c>
      <c r="D222">
        <f>INDEX(YieldCurve!$A$4:$A$63,C222)</f>
        <v/>
      </c>
      <c r="E222">
        <f>INDEX(YieldCurve!$A$4:$A$63,C222+1)</f>
        <v/>
      </c>
      <c r="F222">
        <f>INDEX(YieldCurve!$B$4:$B$63,C222)</f>
        <v/>
      </c>
      <c r="G222">
        <f>INDEX(YieldCurve!$B$4:$B$63,C222+1)</f>
        <v/>
      </c>
      <c r="H222">
        <f>IF(E222=D222,0,(B222-D222)/(E222-D222))</f>
        <v/>
      </c>
      <c r="I222">
        <f>-(F222+Inputs!$B$9)*D222</f>
        <v/>
      </c>
      <c r="J222">
        <f>-(G222+Inputs!$B$9)*E222</f>
        <v/>
      </c>
      <c r="K222">
        <f>IF(B222&lt;=INDEX(YieldCurve!$A$4:$A$63,1),-(INDEX(YieldCurve!$B$4:$B$63,1)+Inputs!$B$9)*B222,IF(B222&gt;=INDEX(YieldCurve!$A$4:$A$63,ROWS(YieldCurve!$A$4:$A$63)),-(INDEX(YieldCurve!$B$4:$B$63,ROWS(YieldCurve!$B$4:$B$63))+Inputs!$B$9)*B222,I222+H222*(J222-I222)))</f>
        <v/>
      </c>
      <c r="L222">
        <f>EXP(K222)</f>
        <v/>
      </c>
    </row>
    <row r="223">
      <c r="A223" t="n">
        <v>220</v>
      </c>
      <c r="B223">
        <f>A223/Inputs!$B$6</f>
        <v/>
      </c>
      <c r="C223">
        <f>IF(B223&lt;=INDEX(YieldCurve!$A$4:$A$63,1),1,IF(B223&gt;=INDEX(YieldCurve!$A$4:$A$63,ROWS(YieldCurve!$A$4:$A$63)),ROWS(YieldCurve!$A$4:$A$63)-1,MATCH(B223,YieldCurve!$A$4:$A$63,1)))</f>
        <v/>
      </c>
      <c r="D223">
        <f>INDEX(YieldCurve!$A$4:$A$63,C223)</f>
        <v/>
      </c>
      <c r="E223">
        <f>INDEX(YieldCurve!$A$4:$A$63,C223+1)</f>
        <v/>
      </c>
      <c r="F223">
        <f>INDEX(YieldCurve!$B$4:$B$63,C223)</f>
        <v/>
      </c>
      <c r="G223">
        <f>INDEX(YieldCurve!$B$4:$B$63,C223+1)</f>
        <v/>
      </c>
      <c r="H223">
        <f>IF(E223=D223,0,(B223-D223)/(E223-D223))</f>
        <v/>
      </c>
      <c r="I223">
        <f>-(F223+Inputs!$B$9)*D223</f>
        <v/>
      </c>
      <c r="J223">
        <f>-(G223+Inputs!$B$9)*E223</f>
        <v/>
      </c>
      <c r="K223">
        <f>IF(B223&lt;=INDEX(YieldCurve!$A$4:$A$63,1),-(INDEX(YieldCurve!$B$4:$B$63,1)+Inputs!$B$9)*B223,IF(B223&gt;=INDEX(YieldCurve!$A$4:$A$63,ROWS(YieldCurve!$A$4:$A$63)),-(INDEX(YieldCurve!$B$4:$B$63,ROWS(YieldCurve!$B$4:$B$63))+Inputs!$B$9)*B223,I223+H223*(J223-I223)))</f>
        <v/>
      </c>
      <c r="L223">
        <f>EXP(K223)</f>
        <v/>
      </c>
    </row>
    <row r="224">
      <c r="A224" t="n">
        <v>221</v>
      </c>
      <c r="B224">
        <f>A224/Inputs!$B$6</f>
        <v/>
      </c>
      <c r="C224">
        <f>IF(B224&lt;=INDEX(YieldCurve!$A$4:$A$63,1),1,IF(B224&gt;=INDEX(YieldCurve!$A$4:$A$63,ROWS(YieldCurve!$A$4:$A$63)),ROWS(YieldCurve!$A$4:$A$63)-1,MATCH(B224,YieldCurve!$A$4:$A$63,1)))</f>
        <v/>
      </c>
      <c r="D224">
        <f>INDEX(YieldCurve!$A$4:$A$63,C224)</f>
        <v/>
      </c>
      <c r="E224">
        <f>INDEX(YieldCurve!$A$4:$A$63,C224+1)</f>
        <v/>
      </c>
      <c r="F224">
        <f>INDEX(YieldCurve!$B$4:$B$63,C224)</f>
        <v/>
      </c>
      <c r="G224">
        <f>INDEX(YieldCurve!$B$4:$B$63,C224+1)</f>
        <v/>
      </c>
      <c r="H224">
        <f>IF(E224=D224,0,(B224-D224)/(E224-D224))</f>
        <v/>
      </c>
      <c r="I224">
        <f>-(F224+Inputs!$B$9)*D224</f>
        <v/>
      </c>
      <c r="J224">
        <f>-(G224+Inputs!$B$9)*E224</f>
        <v/>
      </c>
      <c r="K224">
        <f>IF(B224&lt;=INDEX(YieldCurve!$A$4:$A$63,1),-(INDEX(YieldCurve!$B$4:$B$63,1)+Inputs!$B$9)*B224,IF(B224&gt;=INDEX(YieldCurve!$A$4:$A$63,ROWS(YieldCurve!$A$4:$A$63)),-(INDEX(YieldCurve!$B$4:$B$63,ROWS(YieldCurve!$B$4:$B$63))+Inputs!$B$9)*B224,I224+H224*(J224-I224)))</f>
        <v/>
      </c>
      <c r="L224">
        <f>EXP(K224)</f>
        <v/>
      </c>
    </row>
    <row r="225">
      <c r="A225" t="n">
        <v>222</v>
      </c>
      <c r="B225">
        <f>A225/Inputs!$B$6</f>
        <v/>
      </c>
      <c r="C225">
        <f>IF(B225&lt;=INDEX(YieldCurve!$A$4:$A$63,1),1,IF(B225&gt;=INDEX(YieldCurve!$A$4:$A$63,ROWS(YieldCurve!$A$4:$A$63)),ROWS(YieldCurve!$A$4:$A$63)-1,MATCH(B225,YieldCurve!$A$4:$A$63,1)))</f>
        <v/>
      </c>
      <c r="D225">
        <f>INDEX(YieldCurve!$A$4:$A$63,C225)</f>
        <v/>
      </c>
      <c r="E225">
        <f>INDEX(YieldCurve!$A$4:$A$63,C225+1)</f>
        <v/>
      </c>
      <c r="F225">
        <f>INDEX(YieldCurve!$B$4:$B$63,C225)</f>
        <v/>
      </c>
      <c r="G225">
        <f>INDEX(YieldCurve!$B$4:$B$63,C225+1)</f>
        <v/>
      </c>
      <c r="H225">
        <f>IF(E225=D225,0,(B225-D225)/(E225-D225))</f>
        <v/>
      </c>
      <c r="I225">
        <f>-(F225+Inputs!$B$9)*D225</f>
        <v/>
      </c>
      <c r="J225">
        <f>-(G225+Inputs!$B$9)*E225</f>
        <v/>
      </c>
      <c r="K225">
        <f>IF(B225&lt;=INDEX(YieldCurve!$A$4:$A$63,1),-(INDEX(YieldCurve!$B$4:$B$63,1)+Inputs!$B$9)*B225,IF(B225&gt;=INDEX(YieldCurve!$A$4:$A$63,ROWS(YieldCurve!$A$4:$A$63)),-(INDEX(YieldCurve!$B$4:$B$63,ROWS(YieldCurve!$B$4:$B$63))+Inputs!$B$9)*B225,I225+H225*(J225-I225)))</f>
        <v/>
      </c>
      <c r="L225">
        <f>EXP(K225)</f>
        <v/>
      </c>
    </row>
    <row r="226">
      <c r="A226" t="n">
        <v>223</v>
      </c>
      <c r="B226">
        <f>A226/Inputs!$B$6</f>
        <v/>
      </c>
      <c r="C226">
        <f>IF(B226&lt;=INDEX(YieldCurve!$A$4:$A$63,1),1,IF(B226&gt;=INDEX(YieldCurve!$A$4:$A$63,ROWS(YieldCurve!$A$4:$A$63)),ROWS(YieldCurve!$A$4:$A$63)-1,MATCH(B226,YieldCurve!$A$4:$A$63,1)))</f>
        <v/>
      </c>
      <c r="D226">
        <f>INDEX(YieldCurve!$A$4:$A$63,C226)</f>
        <v/>
      </c>
      <c r="E226">
        <f>INDEX(YieldCurve!$A$4:$A$63,C226+1)</f>
        <v/>
      </c>
      <c r="F226">
        <f>INDEX(YieldCurve!$B$4:$B$63,C226)</f>
        <v/>
      </c>
      <c r="G226">
        <f>INDEX(YieldCurve!$B$4:$B$63,C226+1)</f>
        <v/>
      </c>
      <c r="H226">
        <f>IF(E226=D226,0,(B226-D226)/(E226-D226))</f>
        <v/>
      </c>
      <c r="I226">
        <f>-(F226+Inputs!$B$9)*D226</f>
        <v/>
      </c>
      <c r="J226">
        <f>-(G226+Inputs!$B$9)*E226</f>
        <v/>
      </c>
      <c r="K226">
        <f>IF(B226&lt;=INDEX(YieldCurve!$A$4:$A$63,1),-(INDEX(YieldCurve!$B$4:$B$63,1)+Inputs!$B$9)*B226,IF(B226&gt;=INDEX(YieldCurve!$A$4:$A$63,ROWS(YieldCurve!$A$4:$A$63)),-(INDEX(YieldCurve!$B$4:$B$63,ROWS(YieldCurve!$B$4:$B$63))+Inputs!$B$9)*B226,I226+H226*(J226-I226)))</f>
        <v/>
      </c>
      <c r="L226">
        <f>EXP(K226)</f>
        <v/>
      </c>
    </row>
    <row r="227">
      <c r="A227" t="n">
        <v>224</v>
      </c>
      <c r="B227">
        <f>A227/Inputs!$B$6</f>
        <v/>
      </c>
      <c r="C227">
        <f>IF(B227&lt;=INDEX(YieldCurve!$A$4:$A$63,1),1,IF(B227&gt;=INDEX(YieldCurve!$A$4:$A$63,ROWS(YieldCurve!$A$4:$A$63)),ROWS(YieldCurve!$A$4:$A$63)-1,MATCH(B227,YieldCurve!$A$4:$A$63,1)))</f>
        <v/>
      </c>
      <c r="D227">
        <f>INDEX(YieldCurve!$A$4:$A$63,C227)</f>
        <v/>
      </c>
      <c r="E227">
        <f>INDEX(YieldCurve!$A$4:$A$63,C227+1)</f>
        <v/>
      </c>
      <c r="F227">
        <f>INDEX(YieldCurve!$B$4:$B$63,C227)</f>
        <v/>
      </c>
      <c r="G227">
        <f>INDEX(YieldCurve!$B$4:$B$63,C227+1)</f>
        <v/>
      </c>
      <c r="H227">
        <f>IF(E227=D227,0,(B227-D227)/(E227-D227))</f>
        <v/>
      </c>
      <c r="I227">
        <f>-(F227+Inputs!$B$9)*D227</f>
        <v/>
      </c>
      <c r="J227">
        <f>-(G227+Inputs!$B$9)*E227</f>
        <v/>
      </c>
      <c r="K227">
        <f>IF(B227&lt;=INDEX(YieldCurve!$A$4:$A$63,1),-(INDEX(YieldCurve!$B$4:$B$63,1)+Inputs!$B$9)*B227,IF(B227&gt;=INDEX(YieldCurve!$A$4:$A$63,ROWS(YieldCurve!$A$4:$A$63)),-(INDEX(YieldCurve!$B$4:$B$63,ROWS(YieldCurve!$B$4:$B$63))+Inputs!$B$9)*B227,I227+H227*(J227-I227)))</f>
        <v/>
      </c>
      <c r="L227">
        <f>EXP(K227)</f>
        <v/>
      </c>
    </row>
    <row r="228">
      <c r="A228" t="n">
        <v>225</v>
      </c>
      <c r="B228">
        <f>A228/Inputs!$B$6</f>
        <v/>
      </c>
      <c r="C228">
        <f>IF(B228&lt;=INDEX(YieldCurve!$A$4:$A$63,1),1,IF(B228&gt;=INDEX(YieldCurve!$A$4:$A$63,ROWS(YieldCurve!$A$4:$A$63)),ROWS(YieldCurve!$A$4:$A$63)-1,MATCH(B228,YieldCurve!$A$4:$A$63,1)))</f>
        <v/>
      </c>
      <c r="D228">
        <f>INDEX(YieldCurve!$A$4:$A$63,C228)</f>
        <v/>
      </c>
      <c r="E228">
        <f>INDEX(YieldCurve!$A$4:$A$63,C228+1)</f>
        <v/>
      </c>
      <c r="F228">
        <f>INDEX(YieldCurve!$B$4:$B$63,C228)</f>
        <v/>
      </c>
      <c r="G228">
        <f>INDEX(YieldCurve!$B$4:$B$63,C228+1)</f>
        <v/>
      </c>
      <c r="H228">
        <f>IF(E228=D228,0,(B228-D228)/(E228-D228))</f>
        <v/>
      </c>
      <c r="I228">
        <f>-(F228+Inputs!$B$9)*D228</f>
        <v/>
      </c>
      <c r="J228">
        <f>-(G228+Inputs!$B$9)*E228</f>
        <v/>
      </c>
      <c r="K228">
        <f>IF(B228&lt;=INDEX(YieldCurve!$A$4:$A$63,1),-(INDEX(YieldCurve!$B$4:$B$63,1)+Inputs!$B$9)*B228,IF(B228&gt;=INDEX(YieldCurve!$A$4:$A$63,ROWS(YieldCurve!$A$4:$A$63)),-(INDEX(YieldCurve!$B$4:$B$63,ROWS(YieldCurve!$B$4:$B$63))+Inputs!$B$9)*B228,I228+H228*(J228-I228)))</f>
        <v/>
      </c>
      <c r="L228">
        <f>EXP(K228)</f>
        <v/>
      </c>
    </row>
    <row r="229">
      <c r="A229" t="n">
        <v>226</v>
      </c>
      <c r="B229">
        <f>A229/Inputs!$B$6</f>
        <v/>
      </c>
      <c r="C229">
        <f>IF(B229&lt;=INDEX(YieldCurve!$A$4:$A$63,1),1,IF(B229&gt;=INDEX(YieldCurve!$A$4:$A$63,ROWS(YieldCurve!$A$4:$A$63)),ROWS(YieldCurve!$A$4:$A$63)-1,MATCH(B229,YieldCurve!$A$4:$A$63,1)))</f>
        <v/>
      </c>
      <c r="D229">
        <f>INDEX(YieldCurve!$A$4:$A$63,C229)</f>
        <v/>
      </c>
      <c r="E229">
        <f>INDEX(YieldCurve!$A$4:$A$63,C229+1)</f>
        <v/>
      </c>
      <c r="F229">
        <f>INDEX(YieldCurve!$B$4:$B$63,C229)</f>
        <v/>
      </c>
      <c r="G229">
        <f>INDEX(YieldCurve!$B$4:$B$63,C229+1)</f>
        <v/>
      </c>
      <c r="H229">
        <f>IF(E229=D229,0,(B229-D229)/(E229-D229))</f>
        <v/>
      </c>
      <c r="I229">
        <f>-(F229+Inputs!$B$9)*D229</f>
        <v/>
      </c>
      <c r="J229">
        <f>-(G229+Inputs!$B$9)*E229</f>
        <v/>
      </c>
      <c r="K229">
        <f>IF(B229&lt;=INDEX(YieldCurve!$A$4:$A$63,1),-(INDEX(YieldCurve!$B$4:$B$63,1)+Inputs!$B$9)*B229,IF(B229&gt;=INDEX(YieldCurve!$A$4:$A$63,ROWS(YieldCurve!$A$4:$A$63)),-(INDEX(YieldCurve!$B$4:$B$63,ROWS(YieldCurve!$B$4:$B$63))+Inputs!$B$9)*B229,I229+H229*(J229-I229)))</f>
        <v/>
      </c>
      <c r="L229">
        <f>EXP(K229)</f>
        <v/>
      </c>
    </row>
    <row r="230">
      <c r="A230" t="n">
        <v>227</v>
      </c>
      <c r="B230">
        <f>A230/Inputs!$B$6</f>
        <v/>
      </c>
      <c r="C230">
        <f>IF(B230&lt;=INDEX(YieldCurve!$A$4:$A$63,1),1,IF(B230&gt;=INDEX(YieldCurve!$A$4:$A$63,ROWS(YieldCurve!$A$4:$A$63)),ROWS(YieldCurve!$A$4:$A$63)-1,MATCH(B230,YieldCurve!$A$4:$A$63,1)))</f>
        <v/>
      </c>
      <c r="D230">
        <f>INDEX(YieldCurve!$A$4:$A$63,C230)</f>
        <v/>
      </c>
      <c r="E230">
        <f>INDEX(YieldCurve!$A$4:$A$63,C230+1)</f>
        <v/>
      </c>
      <c r="F230">
        <f>INDEX(YieldCurve!$B$4:$B$63,C230)</f>
        <v/>
      </c>
      <c r="G230">
        <f>INDEX(YieldCurve!$B$4:$B$63,C230+1)</f>
        <v/>
      </c>
      <c r="H230">
        <f>IF(E230=D230,0,(B230-D230)/(E230-D230))</f>
        <v/>
      </c>
      <c r="I230">
        <f>-(F230+Inputs!$B$9)*D230</f>
        <v/>
      </c>
      <c r="J230">
        <f>-(G230+Inputs!$B$9)*E230</f>
        <v/>
      </c>
      <c r="K230">
        <f>IF(B230&lt;=INDEX(YieldCurve!$A$4:$A$63,1),-(INDEX(YieldCurve!$B$4:$B$63,1)+Inputs!$B$9)*B230,IF(B230&gt;=INDEX(YieldCurve!$A$4:$A$63,ROWS(YieldCurve!$A$4:$A$63)),-(INDEX(YieldCurve!$B$4:$B$63,ROWS(YieldCurve!$B$4:$B$63))+Inputs!$B$9)*B230,I230+H230*(J230-I230)))</f>
        <v/>
      </c>
      <c r="L230">
        <f>EXP(K230)</f>
        <v/>
      </c>
    </row>
    <row r="231">
      <c r="A231" t="n">
        <v>228</v>
      </c>
      <c r="B231">
        <f>A231/Inputs!$B$6</f>
        <v/>
      </c>
      <c r="C231">
        <f>IF(B231&lt;=INDEX(YieldCurve!$A$4:$A$63,1),1,IF(B231&gt;=INDEX(YieldCurve!$A$4:$A$63,ROWS(YieldCurve!$A$4:$A$63)),ROWS(YieldCurve!$A$4:$A$63)-1,MATCH(B231,YieldCurve!$A$4:$A$63,1)))</f>
        <v/>
      </c>
      <c r="D231">
        <f>INDEX(YieldCurve!$A$4:$A$63,C231)</f>
        <v/>
      </c>
      <c r="E231">
        <f>INDEX(YieldCurve!$A$4:$A$63,C231+1)</f>
        <v/>
      </c>
      <c r="F231">
        <f>INDEX(YieldCurve!$B$4:$B$63,C231)</f>
        <v/>
      </c>
      <c r="G231">
        <f>INDEX(YieldCurve!$B$4:$B$63,C231+1)</f>
        <v/>
      </c>
      <c r="H231">
        <f>IF(E231=D231,0,(B231-D231)/(E231-D231))</f>
        <v/>
      </c>
      <c r="I231">
        <f>-(F231+Inputs!$B$9)*D231</f>
        <v/>
      </c>
      <c r="J231">
        <f>-(G231+Inputs!$B$9)*E231</f>
        <v/>
      </c>
      <c r="K231">
        <f>IF(B231&lt;=INDEX(YieldCurve!$A$4:$A$63,1),-(INDEX(YieldCurve!$B$4:$B$63,1)+Inputs!$B$9)*B231,IF(B231&gt;=INDEX(YieldCurve!$A$4:$A$63,ROWS(YieldCurve!$A$4:$A$63)),-(INDEX(YieldCurve!$B$4:$B$63,ROWS(YieldCurve!$B$4:$B$63))+Inputs!$B$9)*B231,I231+H231*(J231-I231)))</f>
        <v/>
      </c>
      <c r="L231">
        <f>EXP(K231)</f>
        <v/>
      </c>
    </row>
    <row r="232">
      <c r="A232" t="n">
        <v>229</v>
      </c>
      <c r="B232">
        <f>A232/Inputs!$B$6</f>
        <v/>
      </c>
      <c r="C232">
        <f>IF(B232&lt;=INDEX(YieldCurve!$A$4:$A$63,1),1,IF(B232&gt;=INDEX(YieldCurve!$A$4:$A$63,ROWS(YieldCurve!$A$4:$A$63)),ROWS(YieldCurve!$A$4:$A$63)-1,MATCH(B232,YieldCurve!$A$4:$A$63,1)))</f>
        <v/>
      </c>
      <c r="D232">
        <f>INDEX(YieldCurve!$A$4:$A$63,C232)</f>
        <v/>
      </c>
      <c r="E232">
        <f>INDEX(YieldCurve!$A$4:$A$63,C232+1)</f>
        <v/>
      </c>
      <c r="F232">
        <f>INDEX(YieldCurve!$B$4:$B$63,C232)</f>
        <v/>
      </c>
      <c r="G232">
        <f>INDEX(YieldCurve!$B$4:$B$63,C232+1)</f>
        <v/>
      </c>
      <c r="H232">
        <f>IF(E232=D232,0,(B232-D232)/(E232-D232))</f>
        <v/>
      </c>
      <c r="I232">
        <f>-(F232+Inputs!$B$9)*D232</f>
        <v/>
      </c>
      <c r="J232">
        <f>-(G232+Inputs!$B$9)*E232</f>
        <v/>
      </c>
      <c r="K232">
        <f>IF(B232&lt;=INDEX(YieldCurve!$A$4:$A$63,1),-(INDEX(YieldCurve!$B$4:$B$63,1)+Inputs!$B$9)*B232,IF(B232&gt;=INDEX(YieldCurve!$A$4:$A$63,ROWS(YieldCurve!$A$4:$A$63)),-(INDEX(YieldCurve!$B$4:$B$63,ROWS(YieldCurve!$B$4:$B$63))+Inputs!$B$9)*B232,I232+H232*(J232-I232)))</f>
        <v/>
      </c>
      <c r="L232">
        <f>EXP(K232)</f>
        <v/>
      </c>
    </row>
    <row r="233">
      <c r="A233" t="n">
        <v>230</v>
      </c>
      <c r="B233">
        <f>A233/Inputs!$B$6</f>
        <v/>
      </c>
      <c r="C233">
        <f>IF(B233&lt;=INDEX(YieldCurve!$A$4:$A$63,1),1,IF(B233&gt;=INDEX(YieldCurve!$A$4:$A$63,ROWS(YieldCurve!$A$4:$A$63)),ROWS(YieldCurve!$A$4:$A$63)-1,MATCH(B233,YieldCurve!$A$4:$A$63,1)))</f>
        <v/>
      </c>
      <c r="D233">
        <f>INDEX(YieldCurve!$A$4:$A$63,C233)</f>
        <v/>
      </c>
      <c r="E233">
        <f>INDEX(YieldCurve!$A$4:$A$63,C233+1)</f>
        <v/>
      </c>
      <c r="F233">
        <f>INDEX(YieldCurve!$B$4:$B$63,C233)</f>
        <v/>
      </c>
      <c r="G233">
        <f>INDEX(YieldCurve!$B$4:$B$63,C233+1)</f>
        <v/>
      </c>
      <c r="H233">
        <f>IF(E233=D233,0,(B233-D233)/(E233-D233))</f>
        <v/>
      </c>
      <c r="I233">
        <f>-(F233+Inputs!$B$9)*D233</f>
        <v/>
      </c>
      <c r="J233">
        <f>-(G233+Inputs!$B$9)*E233</f>
        <v/>
      </c>
      <c r="K233">
        <f>IF(B233&lt;=INDEX(YieldCurve!$A$4:$A$63,1),-(INDEX(YieldCurve!$B$4:$B$63,1)+Inputs!$B$9)*B233,IF(B233&gt;=INDEX(YieldCurve!$A$4:$A$63,ROWS(YieldCurve!$A$4:$A$63)),-(INDEX(YieldCurve!$B$4:$B$63,ROWS(YieldCurve!$B$4:$B$63))+Inputs!$B$9)*B233,I233+H233*(J233-I233)))</f>
        <v/>
      </c>
      <c r="L233">
        <f>EXP(K233)</f>
        <v/>
      </c>
    </row>
    <row r="234">
      <c r="A234" t="n">
        <v>231</v>
      </c>
      <c r="B234">
        <f>A234/Inputs!$B$6</f>
        <v/>
      </c>
      <c r="C234">
        <f>IF(B234&lt;=INDEX(YieldCurve!$A$4:$A$63,1),1,IF(B234&gt;=INDEX(YieldCurve!$A$4:$A$63,ROWS(YieldCurve!$A$4:$A$63)),ROWS(YieldCurve!$A$4:$A$63)-1,MATCH(B234,YieldCurve!$A$4:$A$63,1)))</f>
        <v/>
      </c>
      <c r="D234">
        <f>INDEX(YieldCurve!$A$4:$A$63,C234)</f>
        <v/>
      </c>
      <c r="E234">
        <f>INDEX(YieldCurve!$A$4:$A$63,C234+1)</f>
        <v/>
      </c>
      <c r="F234">
        <f>INDEX(YieldCurve!$B$4:$B$63,C234)</f>
        <v/>
      </c>
      <c r="G234">
        <f>INDEX(YieldCurve!$B$4:$B$63,C234+1)</f>
        <v/>
      </c>
      <c r="H234">
        <f>IF(E234=D234,0,(B234-D234)/(E234-D234))</f>
        <v/>
      </c>
      <c r="I234">
        <f>-(F234+Inputs!$B$9)*D234</f>
        <v/>
      </c>
      <c r="J234">
        <f>-(G234+Inputs!$B$9)*E234</f>
        <v/>
      </c>
      <c r="K234">
        <f>IF(B234&lt;=INDEX(YieldCurve!$A$4:$A$63,1),-(INDEX(YieldCurve!$B$4:$B$63,1)+Inputs!$B$9)*B234,IF(B234&gt;=INDEX(YieldCurve!$A$4:$A$63,ROWS(YieldCurve!$A$4:$A$63)),-(INDEX(YieldCurve!$B$4:$B$63,ROWS(YieldCurve!$B$4:$B$63))+Inputs!$B$9)*B234,I234+H234*(J234-I234)))</f>
        <v/>
      </c>
      <c r="L234">
        <f>EXP(K234)</f>
        <v/>
      </c>
    </row>
    <row r="235">
      <c r="A235" t="n">
        <v>232</v>
      </c>
      <c r="B235">
        <f>A235/Inputs!$B$6</f>
        <v/>
      </c>
      <c r="C235">
        <f>IF(B235&lt;=INDEX(YieldCurve!$A$4:$A$63,1),1,IF(B235&gt;=INDEX(YieldCurve!$A$4:$A$63,ROWS(YieldCurve!$A$4:$A$63)),ROWS(YieldCurve!$A$4:$A$63)-1,MATCH(B235,YieldCurve!$A$4:$A$63,1)))</f>
        <v/>
      </c>
      <c r="D235">
        <f>INDEX(YieldCurve!$A$4:$A$63,C235)</f>
        <v/>
      </c>
      <c r="E235">
        <f>INDEX(YieldCurve!$A$4:$A$63,C235+1)</f>
        <v/>
      </c>
      <c r="F235">
        <f>INDEX(YieldCurve!$B$4:$B$63,C235)</f>
        <v/>
      </c>
      <c r="G235">
        <f>INDEX(YieldCurve!$B$4:$B$63,C235+1)</f>
        <v/>
      </c>
      <c r="H235">
        <f>IF(E235=D235,0,(B235-D235)/(E235-D235))</f>
        <v/>
      </c>
      <c r="I235">
        <f>-(F235+Inputs!$B$9)*D235</f>
        <v/>
      </c>
      <c r="J235">
        <f>-(G235+Inputs!$B$9)*E235</f>
        <v/>
      </c>
      <c r="K235">
        <f>IF(B235&lt;=INDEX(YieldCurve!$A$4:$A$63,1),-(INDEX(YieldCurve!$B$4:$B$63,1)+Inputs!$B$9)*B235,IF(B235&gt;=INDEX(YieldCurve!$A$4:$A$63,ROWS(YieldCurve!$A$4:$A$63)),-(INDEX(YieldCurve!$B$4:$B$63,ROWS(YieldCurve!$B$4:$B$63))+Inputs!$B$9)*B235,I235+H235*(J235-I235)))</f>
        <v/>
      </c>
      <c r="L235">
        <f>EXP(K235)</f>
        <v/>
      </c>
    </row>
    <row r="236">
      <c r="A236" t="n">
        <v>233</v>
      </c>
      <c r="B236">
        <f>A236/Inputs!$B$6</f>
        <v/>
      </c>
      <c r="C236">
        <f>IF(B236&lt;=INDEX(YieldCurve!$A$4:$A$63,1),1,IF(B236&gt;=INDEX(YieldCurve!$A$4:$A$63,ROWS(YieldCurve!$A$4:$A$63)),ROWS(YieldCurve!$A$4:$A$63)-1,MATCH(B236,YieldCurve!$A$4:$A$63,1)))</f>
        <v/>
      </c>
      <c r="D236">
        <f>INDEX(YieldCurve!$A$4:$A$63,C236)</f>
        <v/>
      </c>
      <c r="E236">
        <f>INDEX(YieldCurve!$A$4:$A$63,C236+1)</f>
        <v/>
      </c>
      <c r="F236">
        <f>INDEX(YieldCurve!$B$4:$B$63,C236)</f>
        <v/>
      </c>
      <c r="G236">
        <f>INDEX(YieldCurve!$B$4:$B$63,C236+1)</f>
        <v/>
      </c>
      <c r="H236">
        <f>IF(E236=D236,0,(B236-D236)/(E236-D236))</f>
        <v/>
      </c>
      <c r="I236">
        <f>-(F236+Inputs!$B$9)*D236</f>
        <v/>
      </c>
      <c r="J236">
        <f>-(G236+Inputs!$B$9)*E236</f>
        <v/>
      </c>
      <c r="K236">
        <f>IF(B236&lt;=INDEX(YieldCurve!$A$4:$A$63,1),-(INDEX(YieldCurve!$B$4:$B$63,1)+Inputs!$B$9)*B236,IF(B236&gt;=INDEX(YieldCurve!$A$4:$A$63,ROWS(YieldCurve!$A$4:$A$63)),-(INDEX(YieldCurve!$B$4:$B$63,ROWS(YieldCurve!$B$4:$B$63))+Inputs!$B$9)*B236,I236+H236*(J236-I236)))</f>
        <v/>
      </c>
      <c r="L236">
        <f>EXP(K236)</f>
        <v/>
      </c>
    </row>
    <row r="237">
      <c r="A237" t="n">
        <v>234</v>
      </c>
      <c r="B237">
        <f>A237/Inputs!$B$6</f>
        <v/>
      </c>
      <c r="C237">
        <f>IF(B237&lt;=INDEX(YieldCurve!$A$4:$A$63,1),1,IF(B237&gt;=INDEX(YieldCurve!$A$4:$A$63,ROWS(YieldCurve!$A$4:$A$63)),ROWS(YieldCurve!$A$4:$A$63)-1,MATCH(B237,YieldCurve!$A$4:$A$63,1)))</f>
        <v/>
      </c>
      <c r="D237">
        <f>INDEX(YieldCurve!$A$4:$A$63,C237)</f>
        <v/>
      </c>
      <c r="E237">
        <f>INDEX(YieldCurve!$A$4:$A$63,C237+1)</f>
        <v/>
      </c>
      <c r="F237">
        <f>INDEX(YieldCurve!$B$4:$B$63,C237)</f>
        <v/>
      </c>
      <c r="G237">
        <f>INDEX(YieldCurve!$B$4:$B$63,C237+1)</f>
        <v/>
      </c>
      <c r="H237">
        <f>IF(E237=D237,0,(B237-D237)/(E237-D237))</f>
        <v/>
      </c>
      <c r="I237">
        <f>-(F237+Inputs!$B$9)*D237</f>
        <v/>
      </c>
      <c r="J237">
        <f>-(G237+Inputs!$B$9)*E237</f>
        <v/>
      </c>
      <c r="K237">
        <f>IF(B237&lt;=INDEX(YieldCurve!$A$4:$A$63,1),-(INDEX(YieldCurve!$B$4:$B$63,1)+Inputs!$B$9)*B237,IF(B237&gt;=INDEX(YieldCurve!$A$4:$A$63,ROWS(YieldCurve!$A$4:$A$63)),-(INDEX(YieldCurve!$B$4:$B$63,ROWS(YieldCurve!$B$4:$B$63))+Inputs!$B$9)*B237,I237+H237*(J237-I237)))</f>
        <v/>
      </c>
      <c r="L237">
        <f>EXP(K237)</f>
        <v/>
      </c>
    </row>
    <row r="238">
      <c r="A238" t="n">
        <v>235</v>
      </c>
      <c r="B238">
        <f>A238/Inputs!$B$6</f>
        <v/>
      </c>
      <c r="C238">
        <f>IF(B238&lt;=INDEX(YieldCurve!$A$4:$A$63,1),1,IF(B238&gt;=INDEX(YieldCurve!$A$4:$A$63,ROWS(YieldCurve!$A$4:$A$63)),ROWS(YieldCurve!$A$4:$A$63)-1,MATCH(B238,YieldCurve!$A$4:$A$63,1)))</f>
        <v/>
      </c>
      <c r="D238">
        <f>INDEX(YieldCurve!$A$4:$A$63,C238)</f>
        <v/>
      </c>
      <c r="E238">
        <f>INDEX(YieldCurve!$A$4:$A$63,C238+1)</f>
        <v/>
      </c>
      <c r="F238">
        <f>INDEX(YieldCurve!$B$4:$B$63,C238)</f>
        <v/>
      </c>
      <c r="G238">
        <f>INDEX(YieldCurve!$B$4:$B$63,C238+1)</f>
        <v/>
      </c>
      <c r="H238">
        <f>IF(E238=D238,0,(B238-D238)/(E238-D238))</f>
        <v/>
      </c>
      <c r="I238">
        <f>-(F238+Inputs!$B$9)*D238</f>
        <v/>
      </c>
      <c r="J238">
        <f>-(G238+Inputs!$B$9)*E238</f>
        <v/>
      </c>
      <c r="K238">
        <f>IF(B238&lt;=INDEX(YieldCurve!$A$4:$A$63,1),-(INDEX(YieldCurve!$B$4:$B$63,1)+Inputs!$B$9)*B238,IF(B238&gt;=INDEX(YieldCurve!$A$4:$A$63,ROWS(YieldCurve!$A$4:$A$63)),-(INDEX(YieldCurve!$B$4:$B$63,ROWS(YieldCurve!$B$4:$B$63))+Inputs!$B$9)*B238,I238+H238*(J238-I238)))</f>
        <v/>
      </c>
      <c r="L238">
        <f>EXP(K238)</f>
        <v/>
      </c>
    </row>
    <row r="239">
      <c r="A239" t="n">
        <v>236</v>
      </c>
      <c r="B239">
        <f>A239/Inputs!$B$6</f>
        <v/>
      </c>
      <c r="C239">
        <f>IF(B239&lt;=INDEX(YieldCurve!$A$4:$A$63,1),1,IF(B239&gt;=INDEX(YieldCurve!$A$4:$A$63,ROWS(YieldCurve!$A$4:$A$63)),ROWS(YieldCurve!$A$4:$A$63)-1,MATCH(B239,YieldCurve!$A$4:$A$63,1)))</f>
        <v/>
      </c>
      <c r="D239">
        <f>INDEX(YieldCurve!$A$4:$A$63,C239)</f>
        <v/>
      </c>
      <c r="E239">
        <f>INDEX(YieldCurve!$A$4:$A$63,C239+1)</f>
        <v/>
      </c>
      <c r="F239">
        <f>INDEX(YieldCurve!$B$4:$B$63,C239)</f>
        <v/>
      </c>
      <c r="G239">
        <f>INDEX(YieldCurve!$B$4:$B$63,C239+1)</f>
        <v/>
      </c>
      <c r="H239">
        <f>IF(E239=D239,0,(B239-D239)/(E239-D239))</f>
        <v/>
      </c>
      <c r="I239">
        <f>-(F239+Inputs!$B$9)*D239</f>
        <v/>
      </c>
      <c r="J239">
        <f>-(G239+Inputs!$B$9)*E239</f>
        <v/>
      </c>
      <c r="K239">
        <f>IF(B239&lt;=INDEX(YieldCurve!$A$4:$A$63,1),-(INDEX(YieldCurve!$B$4:$B$63,1)+Inputs!$B$9)*B239,IF(B239&gt;=INDEX(YieldCurve!$A$4:$A$63,ROWS(YieldCurve!$A$4:$A$63)),-(INDEX(YieldCurve!$B$4:$B$63,ROWS(YieldCurve!$B$4:$B$63))+Inputs!$B$9)*B239,I239+H239*(J239-I239)))</f>
        <v/>
      </c>
      <c r="L239">
        <f>EXP(K239)</f>
        <v/>
      </c>
    </row>
    <row r="240">
      <c r="A240" t="n">
        <v>237</v>
      </c>
      <c r="B240">
        <f>A240/Inputs!$B$6</f>
        <v/>
      </c>
      <c r="C240">
        <f>IF(B240&lt;=INDEX(YieldCurve!$A$4:$A$63,1),1,IF(B240&gt;=INDEX(YieldCurve!$A$4:$A$63,ROWS(YieldCurve!$A$4:$A$63)),ROWS(YieldCurve!$A$4:$A$63)-1,MATCH(B240,YieldCurve!$A$4:$A$63,1)))</f>
        <v/>
      </c>
      <c r="D240">
        <f>INDEX(YieldCurve!$A$4:$A$63,C240)</f>
        <v/>
      </c>
      <c r="E240">
        <f>INDEX(YieldCurve!$A$4:$A$63,C240+1)</f>
        <v/>
      </c>
      <c r="F240">
        <f>INDEX(YieldCurve!$B$4:$B$63,C240)</f>
        <v/>
      </c>
      <c r="G240">
        <f>INDEX(YieldCurve!$B$4:$B$63,C240+1)</f>
        <v/>
      </c>
      <c r="H240">
        <f>IF(E240=D240,0,(B240-D240)/(E240-D240))</f>
        <v/>
      </c>
      <c r="I240">
        <f>-(F240+Inputs!$B$9)*D240</f>
        <v/>
      </c>
      <c r="J240">
        <f>-(G240+Inputs!$B$9)*E240</f>
        <v/>
      </c>
      <c r="K240">
        <f>IF(B240&lt;=INDEX(YieldCurve!$A$4:$A$63,1),-(INDEX(YieldCurve!$B$4:$B$63,1)+Inputs!$B$9)*B240,IF(B240&gt;=INDEX(YieldCurve!$A$4:$A$63,ROWS(YieldCurve!$A$4:$A$63)),-(INDEX(YieldCurve!$B$4:$B$63,ROWS(YieldCurve!$B$4:$B$63))+Inputs!$B$9)*B240,I240+H240*(J240-I240)))</f>
        <v/>
      </c>
      <c r="L240">
        <f>EXP(K240)</f>
        <v/>
      </c>
    </row>
    <row r="241">
      <c r="A241" t="n">
        <v>238</v>
      </c>
      <c r="B241">
        <f>A241/Inputs!$B$6</f>
        <v/>
      </c>
      <c r="C241">
        <f>IF(B241&lt;=INDEX(YieldCurve!$A$4:$A$63,1),1,IF(B241&gt;=INDEX(YieldCurve!$A$4:$A$63,ROWS(YieldCurve!$A$4:$A$63)),ROWS(YieldCurve!$A$4:$A$63)-1,MATCH(B241,YieldCurve!$A$4:$A$63,1)))</f>
        <v/>
      </c>
      <c r="D241">
        <f>INDEX(YieldCurve!$A$4:$A$63,C241)</f>
        <v/>
      </c>
      <c r="E241">
        <f>INDEX(YieldCurve!$A$4:$A$63,C241+1)</f>
        <v/>
      </c>
      <c r="F241">
        <f>INDEX(YieldCurve!$B$4:$B$63,C241)</f>
        <v/>
      </c>
      <c r="G241">
        <f>INDEX(YieldCurve!$B$4:$B$63,C241+1)</f>
        <v/>
      </c>
      <c r="H241">
        <f>IF(E241=D241,0,(B241-D241)/(E241-D241))</f>
        <v/>
      </c>
      <c r="I241">
        <f>-(F241+Inputs!$B$9)*D241</f>
        <v/>
      </c>
      <c r="J241">
        <f>-(G241+Inputs!$B$9)*E241</f>
        <v/>
      </c>
      <c r="K241">
        <f>IF(B241&lt;=INDEX(YieldCurve!$A$4:$A$63,1),-(INDEX(YieldCurve!$B$4:$B$63,1)+Inputs!$B$9)*B241,IF(B241&gt;=INDEX(YieldCurve!$A$4:$A$63,ROWS(YieldCurve!$A$4:$A$63)),-(INDEX(YieldCurve!$B$4:$B$63,ROWS(YieldCurve!$B$4:$B$63))+Inputs!$B$9)*B241,I241+H241*(J241-I241)))</f>
        <v/>
      </c>
      <c r="L241">
        <f>EXP(K241)</f>
        <v/>
      </c>
    </row>
    <row r="242">
      <c r="A242" t="n">
        <v>239</v>
      </c>
      <c r="B242">
        <f>A242/Inputs!$B$6</f>
        <v/>
      </c>
      <c r="C242">
        <f>IF(B242&lt;=INDEX(YieldCurve!$A$4:$A$63,1),1,IF(B242&gt;=INDEX(YieldCurve!$A$4:$A$63,ROWS(YieldCurve!$A$4:$A$63)),ROWS(YieldCurve!$A$4:$A$63)-1,MATCH(B242,YieldCurve!$A$4:$A$63,1)))</f>
        <v/>
      </c>
      <c r="D242">
        <f>INDEX(YieldCurve!$A$4:$A$63,C242)</f>
        <v/>
      </c>
      <c r="E242">
        <f>INDEX(YieldCurve!$A$4:$A$63,C242+1)</f>
        <v/>
      </c>
      <c r="F242">
        <f>INDEX(YieldCurve!$B$4:$B$63,C242)</f>
        <v/>
      </c>
      <c r="G242">
        <f>INDEX(YieldCurve!$B$4:$B$63,C242+1)</f>
        <v/>
      </c>
      <c r="H242">
        <f>IF(E242=D242,0,(B242-D242)/(E242-D242))</f>
        <v/>
      </c>
      <c r="I242">
        <f>-(F242+Inputs!$B$9)*D242</f>
        <v/>
      </c>
      <c r="J242">
        <f>-(G242+Inputs!$B$9)*E242</f>
        <v/>
      </c>
      <c r="K242">
        <f>IF(B242&lt;=INDEX(YieldCurve!$A$4:$A$63,1),-(INDEX(YieldCurve!$B$4:$B$63,1)+Inputs!$B$9)*B242,IF(B242&gt;=INDEX(YieldCurve!$A$4:$A$63,ROWS(YieldCurve!$A$4:$A$63)),-(INDEX(YieldCurve!$B$4:$B$63,ROWS(YieldCurve!$B$4:$B$63))+Inputs!$B$9)*B242,I242+H242*(J242-I242)))</f>
        <v/>
      </c>
      <c r="L242">
        <f>EXP(K242)</f>
        <v/>
      </c>
    </row>
    <row r="243">
      <c r="A243" t="n">
        <v>240</v>
      </c>
      <c r="B243">
        <f>A243/Inputs!$B$6</f>
        <v/>
      </c>
      <c r="C243">
        <f>IF(B243&lt;=INDEX(YieldCurve!$A$4:$A$63,1),1,IF(B243&gt;=INDEX(YieldCurve!$A$4:$A$63,ROWS(YieldCurve!$A$4:$A$63)),ROWS(YieldCurve!$A$4:$A$63)-1,MATCH(B243,YieldCurve!$A$4:$A$63,1)))</f>
        <v/>
      </c>
      <c r="D243">
        <f>INDEX(YieldCurve!$A$4:$A$63,C243)</f>
        <v/>
      </c>
      <c r="E243">
        <f>INDEX(YieldCurve!$A$4:$A$63,C243+1)</f>
        <v/>
      </c>
      <c r="F243">
        <f>INDEX(YieldCurve!$B$4:$B$63,C243)</f>
        <v/>
      </c>
      <c r="G243">
        <f>INDEX(YieldCurve!$B$4:$B$63,C243+1)</f>
        <v/>
      </c>
      <c r="H243">
        <f>IF(E243=D243,0,(B243-D243)/(E243-D243))</f>
        <v/>
      </c>
      <c r="I243">
        <f>-(F243+Inputs!$B$9)*D243</f>
        <v/>
      </c>
      <c r="J243">
        <f>-(G243+Inputs!$B$9)*E243</f>
        <v/>
      </c>
      <c r="K243">
        <f>IF(B243&lt;=INDEX(YieldCurve!$A$4:$A$63,1),-(INDEX(YieldCurve!$B$4:$B$63,1)+Inputs!$B$9)*B243,IF(B243&gt;=INDEX(YieldCurve!$A$4:$A$63,ROWS(YieldCurve!$A$4:$A$63)),-(INDEX(YieldCurve!$B$4:$B$63,ROWS(YieldCurve!$B$4:$B$63))+Inputs!$B$9)*B243,I243+H243*(J243-I243)))</f>
        <v/>
      </c>
      <c r="L243">
        <f>EXP(K243)</f>
        <v/>
      </c>
    </row>
    <row r="244">
      <c r="A244" t="n">
        <v>241</v>
      </c>
      <c r="B244">
        <f>A244/Inputs!$B$6</f>
        <v/>
      </c>
      <c r="C244">
        <f>IF(B244&lt;=INDEX(YieldCurve!$A$4:$A$63,1),1,IF(B244&gt;=INDEX(YieldCurve!$A$4:$A$63,ROWS(YieldCurve!$A$4:$A$63)),ROWS(YieldCurve!$A$4:$A$63)-1,MATCH(B244,YieldCurve!$A$4:$A$63,1)))</f>
        <v/>
      </c>
      <c r="D244">
        <f>INDEX(YieldCurve!$A$4:$A$63,C244)</f>
        <v/>
      </c>
      <c r="E244">
        <f>INDEX(YieldCurve!$A$4:$A$63,C244+1)</f>
        <v/>
      </c>
      <c r="F244">
        <f>INDEX(YieldCurve!$B$4:$B$63,C244)</f>
        <v/>
      </c>
      <c r="G244">
        <f>INDEX(YieldCurve!$B$4:$B$63,C244+1)</f>
        <v/>
      </c>
      <c r="H244">
        <f>IF(E244=D244,0,(B244-D244)/(E244-D244))</f>
        <v/>
      </c>
      <c r="I244">
        <f>-(F244+Inputs!$B$9)*D244</f>
        <v/>
      </c>
      <c r="J244">
        <f>-(G244+Inputs!$B$9)*E244</f>
        <v/>
      </c>
      <c r="K244">
        <f>IF(B244&lt;=INDEX(YieldCurve!$A$4:$A$63,1),-(INDEX(YieldCurve!$B$4:$B$63,1)+Inputs!$B$9)*B244,IF(B244&gt;=INDEX(YieldCurve!$A$4:$A$63,ROWS(YieldCurve!$A$4:$A$63)),-(INDEX(YieldCurve!$B$4:$B$63,ROWS(YieldCurve!$B$4:$B$63))+Inputs!$B$9)*B244,I244+H244*(J244-I244)))</f>
        <v/>
      </c>
      <c r="L244">
        <f>EXP(K244)</f>
        <v/>
      </c>
    </row>
    <row r="245">
      <c r="A245" t="n">
        <v>242</v>
      </c>
      <c r="B245">
        <f>A245/Inputs!$B$6</f>
        <v/>
      </c>
      <c r="C245">
        <f>IF(B245&lt;=INDEX(YieldCurve!$A$4:$A$63,1),1,IF(B245&gt;=INDEX(YieldCurve!$A$4:$A$63,ROWS(YieldCurve!$A$4:$A$63)),ROWS(YieldCurve!$A$4:$A$63)-1,MATCH(B245,YieldCurve!$A$4:$A$63,1)))</f>
        <v/>
      </c>
      <c r="D245">
        <f>INDEX(YieldCurve!$A$4:$A$63,C245)</f>
        <v/>
      </c>
      <c r="E245">
        <f>INDEX(YieldCurve!$A$4:$A$63,C245+1)</f>
        <v/>
      </c>
      <c r="F245">
        <f>INDEX(YieldCurve!$B$4:$B$63,C245)</f>
        <v/>
      </c>
      <c r="G245">
        <f>INDEX(YieldCurve!$B$4:$B$63,C245+1)</f>
        <v/>
      </c>
      <c r="H245">
        <f>IF(E245=D245,0,(B245-D245)/(E245-D245))</f>
        <v/>
      </c>
      <c r="I245">
        <f>-(F245+Inputs!$B$9)*D245</f>
        <v/>
      </c>
      <c r="J245">
        <f>-(G245+Inputs!$B$9)*E245</f>
        <v/>
      </c>
      <c r="K245">
        <f>IF(B245&lt;=INDEX(YieldCurve!$A$4:$A$63,1),-(INDEX(YieldCurve!$B$4:$B$63,1)+Inputs!$B$9)*B245,IF(B245&gt;=INDEX(YieldCurve!$A$4:$A$63,ROWS(YieldCurve!$A$4:$A$63)),-(INDEX(YieldCurve!$B$4:$B$63,ROWS(YieldCurve!$B$4:$B$63))+Inputs!$B$9)*B245,I245+H245*(J245-I245)))</f>
        <v/>
      </c>
      <c r="L245">
        <f>EXP(K245)</f>
        <v/>
      </c>
    </row>
    <row r="246">
      <c r="A246" t="n">
        <v>243</v>
      </c>
      <c r="B246">
        <f>A246/Inputs!$B$6</f>
        <v/>
      </c>
      <c r="C246">
        <f>IF(B246&lt;=INDEX(YieldCurve!$A$4:$A$63,1),1,IF(B246&gt;=INDEX(YieldCurve!$A$4:$A$63,ROWS(YieldCurve!$A$4:$A$63)),ROWS(YieldCurve!$A$4:$A$63)-1,MATCH(B246,YieldCurve!$A$4:$A$63,1)))</f>
        <v/>
      </c>
      <c r="D246">
        <f>INDEX(YieldCurve!$A$4:$A$63,C246)</f>
        <v/>
      </c>
      <c r="E246">
        <f>INDEX(YieldCurve!$A$4:$A$63,C246+1)</f>
        <v/>
      </c>
      <c r="F246">
        <f>INDEX(YieldCurve!$B$4:$B$63,C246)</f>
        <v/>
      </c>
      <c r="G246">
        <f>INDEX(YieldCurve!$B$4:$B$63,C246+1)</f>
        <v/>
      </c>
      <c r="H246">
        <f>IF(E246=D246,0,(B246-D246)/(E246-D246))</f>
        <v/>
      </c>
      <c r="I246">
        <f>-(F246+Inputs!$B$9)*D246</f>
        <v/>
      </c>
      <c r="J246">
        <f>-(G246+Inputs!$B$9)*E246</f>
        <v/>
      </c>
      <c r="K246">
        <f>IF(B246&lt;=INDEX(YieldCurve!$A$4:$A$63,1),-(INDEX(YieldCurve!$B$4:$B$63,1)+Inputs!$B$9)*B246,IF(B246&gt;=INDEX(YieldCurve!$A$4:$A$63,ROWS(YieldCurve!$A$4:$A$63)),-(INDEX(YieldCurve!$B$4:$B$63,ROWS(YieldCurve!$B$4:$B$63))+Inputs!$B$9)*B246,I246+H246*(J246-I246)))</f>
        <v/>
      </c>
      <c r="L246">
        <f>EXP(K246)</f>
        <v/>
      </c>
    </row>
    <row r="247">
      <c r="A247" t="n">
        <v>244</v>
      </c>
      <c r="B247">
        <f>A247/Inputs!$B$6</f>
        <v/>
      </c>
      <c r="C247">
        <f>IF(B247&lt;=INDEX(YieldCurve!$A$4:$A$63,1),1,IF(B247&gt;=INDEX(YieldCurve!$A$4:$A$63,ROWS(YieldCurve!$A$4:$A$63)),ROWS(YieldCurve!$A$4:$A$63)-1,MATCH(B247,YieldCurve!$A$4:$A$63,1)))</f>
        <v/>
      </c>
      <c r="D247">
        <f>INDEX(YieldCurve!$A$4:$A$63,C247)</f>
        <v/>
      </c>
      <c r="E247">
        <f>INDEX(YieldCurve!$A$4:$A$63,C247+1)</f>
        <v/>
      </c>
      <c r="F247">
        <f>INDEX(YieldCurve!$B$4:$B$63,C247)</f>
        <v/>
      </c>
      <c r="G247">
        <f>INDEX(YieldCurve!$B$4:$B$63,C247+1)</f>
        <v/>
      </c>
      <c r="H247">
        <f>IF(E247=D247,0,(B247-D247)/(E247-D247))</f>
        <v/>
      </c>
      <c r="I247">
        <f>-(F247+Inputs!$B$9)*D247</f>
        <v/>
      </c>
      <c r="J247">
        <f>-(G247+Inputs!$B$9)*E247</f>
        <v/>
      </c>
      <c r="K247">
        <f>IF(B247&lt;=INDEX(YieldCurve!$A$4:$A$63,1),-(INDEX(YieldCurve!$B$4:$B$63,1)+Inputs!$B$9)*B247,IF(B247&gt;=INDEX(YieldCurve!$A$4:$A$63,ROWS(YieldCurve!$A$4:$A$63)),-(INDEX(YieldCurve!$B$4:$B$63,ROWS(YieldCurve!$B$4:$B$63))+Inputs!$B$9)*B247,I247+H247*(J247-I247)))</f>
        <v/>
      </c>
      <c r="L247">
        <f>EXP(K247)</f>
        <v/>
      </c>
    </row>
    <row r="248">
      <c r="A248" t="n">
        <v>245</v>
      </c>
      <c r="B248">
        <f>A248/Inputs!$B$6</f>
        <v/>
      </c>
      <c r="C248">
        <f>IF(B248&lt;=INDEX(YieldCurve!$A$4:$A$63,1),1,IF(B248&gt;=INDEX(YieldCurve!$A$4:$A$63,ROWS(YieldCurve!$A$4:$A$63)),ROWS(YieldCurve!$A$4:$A$63)-1,MATCH(B248,YieldCurve!$A$4:$A$63,1)))</f>
        <v/>
      </c>
      <c r="D248">
        <f>INDEX(YieldCurve!$A$4:$A$63,C248)</f>
        <v/>
      </c>
      <c r="E248">
        <f>INDEX(YieldCurve!$A$4:$A$63,C248+1)</f>
        <v/>
      </c>
      <c r="F248">
        <f>INDEX(YieldCurve!$B$4:$B$63,C248)</f>
        <v/>
      </c>
      <c r="G248">
        <f>INDEX(YieldCurve!$B$4:$B$63,C248+1)</f>
        <v/>
      </c>
      <c r="H248">
        <f>IF(E248=D248,0,(B248-D248)/(E248-D248))</f>
        <v/>
      </c>
      <c r="I248">
        <f>-(F248+Inputs!$B$9)*D248</f>
        <v/>
      </c>
      <c r="J248">
        <f>-(G248+Inputs!$B$9)*E248</f>
        <v/>
      </c>
      <c r="K248">
        <f>IF(B248&lt;=INDEX(YieldCurve!$A$4:$A$63,1),-(INDEX(YieldCurve!$B$4:$B$63,1)+Inputs!$B$9)*B248,IF(B248&gt;=INDEX(YieldCurve!$A$4:$A$63,ROWS(YieldCurve!$A$4:$A$63)),-(INDEX(YieldCurve!$B$4:$B$63,ROWS(YieldCurve!$B$4:$B$63))+Inputs!$B$9)*B248,I248+H248*(J248-I248)))</f>
        <v/>
      </c>
      <c r="L248">
        <f>EXP(K248)</f>
        <v/>
      </c>
    </row>
    <row r="249">
      <c r="A249" t="n">
        <v>246</v>
      </c>
      <c r="B249">
        <f>A249/Inputs!$B$6</f>
        <v/>
      </c>
      <c r="C249">
        <f>IF(B249&lt;=INDEX(YieldCurve!$A$4:$A$63,1),1,IF(B249&gt;=INDEX(YieldCurve!$A$4:$A$63,ROWS(YieldCurve!$A$4:$A$63)),ROWS(YieldCurve!$A$4:$A$63)-1,MATCH(B249,YieldCurve!$A$4:$A$63,1)))</f>
        <v/>
      </c>
      <c r="D249">
        <f>INDEX(YieldCurve!$A$4:$A$63,C249)</f>
        <v/>
      </c>
      <c r="E249">
        <f>INDEX(YieldCurve!$A$4:$A$63,C249+1)</f>
        <v/>
      </c>
      <c r="F249">
        <f>INDEX(YieldCurve!$B$4:$B$63,C249)</f>
        <v/>
      </c>
      <c r="G249">
        <f>INDEX(YieldCurve!$B$4:$B$63,C249+1)</f>
        <v/>
      </c>
      <c r="H249">
        <f>IF(E249=D249,0,(B249-D249)/(E249-D249))</f>
        <v/>
      </c>
      <c r="I249">
        <f>-(F249+Inputs!$B$9)*D249</f>
        <v/>
      </c>
      <c r="J249">
        <f>-(G249+Inputs!$B$9)*E249</f>
        <v/>
      </c>
      <c r="K249">
        <f>IF(B249&lt;=INDEX(YieldCurve!$A$4:$A$63,1),-(INDEX(YieldCurve!$B$4:$B$63,1)+Inputs!$B$9)*B249,IF(B249&gt;=INDEX(YieldCurve!$A$4:$A$63,ROWS(YieldCurve!$A$4:$A$63)),-(INDEX(YieldCurve!$B$4:$B$63,ROWS(YieldCurve!$B$4:$B$63))+Inputs!$B$9)*B249,I249+H249*(J249-I249)))</f>
        <v/>
      </c>
      <c r="L249">
        <f>EXP(K249)</f>
        <v/>
      </c>
    </row>
    <row r="250">
      <c r="A250" t="n">
        <v>247</v>
      </c>
      <c r="B250">
        <f>A250/Inputs!$B$6</f>
        <v/>
      </c>
      <c r="C250">
        <f>IF(B250&lt;=INDEX(YieldCurve!$A$4:$A$63,1),1,IF(B250&gt;=INDEX(YieldCurve!$A$4:$A$63,ROWS(YieldCurve!$A$4:$A$63)),ROWS(YieldCurve!$A$4:$A$63)-1,MATCH(B250,YieldCurve!$A$4:$A$63,1)))</f>
        <v/>
      </c>
      <c r="D250">
        <f>INDEX(YieldCurve!$A$4:$A$63,C250)</f>
        <v/>
      </c>
      <c r="E250">
        <f>INDEX(YieldCurve!$A$4:$A$63,C250+1)</f>
        <v/>
      </c>
      <c r="F250">
        <f>INDEX(YieldCurve!$B$4:$B$63,C250)</f>
        <v/>
      </c>
      <c r="G250">
        <f>INDEX(YieldCurve!$B$4:$B$63,C250+1)</f>
        <v/>
      </c>
      <c r="H250">
        <f>IF(E250=D250,0,(B250-D250)/(E250-D250))</f>
        <v/>
      </c>
      <c r="I250">
        <f>-(F250+Inputs!$B$9)*D250</f>
        <v/>
      </c>
      <c r="J250">
        <f>-(G250+Inputs!$B$9)*E250</f>
        <v/>
      </c>
      <c r="K250">
        <f>IF(B250&lt;=INDEX(YieldCurve!$A$4:$A$63,1),-(INDEX(YieldCurve!$B$4:$B$63,1)+Inputs!$B$9)*B250,IF(B250&gt;=INDEX(YieldCurve!$A$4:$A$63,ROWS(YieldCurve!$A$4:$A$63)),-(INDEX(YieldCurve!$B$4:$B$63,ROWS(YieldCurve!$B$4:$B$63))+Inputs!$B$9)*B250,I250+H250*(J250-I250)))</f>
        <v/>
      </c>
      <c r="L250">
        <f>EXP(K250)</f>
        <v/>
      </c>
    </row>
    <row r="251">
      <c r="A251" t="n">
        <v>248</v>
      </c>
      <c r="B251">
        <f>A251/Inputs!$B$6</f>
        <v/>
      </c>
      <c r="C251">
        <f>IF(B251&lt;=INDEX(YieldCurve!$A$4:$A$63,1),1,IF(B251&gt;=INDEX(YieldCurve!$A$4:$A$63,ROWS(YieldCurve!$A$4:$A$63)),ROWS(YieldCurve!$A$4:$A$63)-1,MATCH(B251,YieldCurve!$A$4:$A$63,1)))</f>
        <v/>
      </c>
      <c r="D251">
        <f>INDEX(YieldCurve!$A$4:$A$63,C251)</f>
        <v/>
      </c>
      <c r="E251">
        <f>INDEX(YieldCurve!$A$4:$A$63,C251+1)</f>
        <v/>
      </c>
      <c r="F251">
        <f>INDEX(YieldCurve!$B$4:$B$63,C251)</f>
        <v/>
      </c>
      <c r="G251">
        <f>INDEX(YieldCurve!$B$4:$B$63,C251+1)</f>
        <v/>
      </c>
      <c r="H251">
        <f>IF(E251=D251,0,(B251-D251)/(E251-D251))</f>
        <v/>
      </c>
      <c r="I251">
        <f>-(F251+Inputs!$B$9)*D251</f>
        <v/>
      </c>
      <c r="J251">
        <f>-(G251+Inputs!$B$9)*E251</f>
        <v/>
      </c>
      <c r="K251">
        <f>IF(B251&lt;=INDEX(YieldCurve!$A$4:$A$63,1),-(INDEX(YieldCurve!$B$4:$B$63,1)+Inputs!$B$9)*B251,IF(B251&gt;=INDEX(YieldCurve!$A$4:$A$63,ROWS(YieldCurve!$A$4:$A$63)),-(INDEX(YieldCurve!$B$4:$B$63,ROWS(YieldCurve!$B$4:$B$63))+Inputs!$B$9)*B251,I251+H251*(J251-I251)))</f>
        <v/>
      </c>
      <c r="L251">
        <f>EXP(K251)</f>
        <v/>
      </c>
    </row>
    <row r="252">
      <c r="A252" t="n">
        <v>249</v>
      </c>
      <c r="B252">
        <f>A252/Inputs!$B$6</f>
        <v/>
      </c>
      <c r="C252">
        <f>IF(B252&lt;=INDEX(YieldCurve!$A$4:$A$63,1),1,IF(B252&gt;=INDEX(YieldCurve!$A$4:$A$63,ROWS(YieldCurve!$A$4:$A$63)),ROWS(YieldCurve!$A$4:$A$63)-1,MATCH(B252,YieldCurve!$A$4:$A$63,1)))</f>
        <v/>
      </c>
      <c r="D252">
        <f>INDEX(YieldCurve!$A$4:$A$63,C252)</f>
        <v/>
      </c>
      <c r="E252">
        <f>INDEX(YieldCurve!$A$4:$A$63,C252+1)</f>
        <v/>
      </c>
      <c r="F252">
        <f>INDEX(YieldCurve!$B$4:$B$63,C252)</f>
        <v/>
      </c>
      <c r="G252">
        <f>INDEX(YieldCurve!$B$4:$B$63,C252+1)</f>
        <v/>
      </c>
      <c r="H252">
        <f>IF(E252=D252,0,(B252-D252)/(E252-D252))</f>
        <v/>
      </c>
      <c r="I252">
        <f>-(F252+Inputs!$B$9)*D252</f>
        <v/>
      </c>
      <c r="J252">
        <f>-(G252+Inputs!$B$9)*E252</f>
        <v/>
      </c>
      <c r="K252">
        <f>IF(B252&lt;=INDEX(YieldCurve!$A$4:$A$63,1),-(INDEX(YieldCurve!$B$4:$B$63,1)+Inputs!$B$9)*B252,IF(B252&gt;=INDEX(YieldCurve!$A$4:$A$63,ROWS(YieldCurve!$A$4:$A$63)),-(INDEX(YieldCurve!$B$4:$B$63,ROWS(YieldCurve!$B$4:$B$63))+Inputs!$B$9)*B252,I252+H252*(J252-I252)))</f>
        <v/>
      </c>
      <c r="L252">
        <f>EXP(K252)</f>
        <v/>
      </c>
    </row>
    <row r="253">
      <c r="A253" t="n">
        <v>250</v>
      </c>
      <c r="B253">
        <f>A253/Inputs!$B$6</f>
        <v/>
      </c>
      <c r="C253">
        <f>IF(B253&lt;=INDEX(YieldCurve!$A$4:$A$63,1),1,IF(B253&gt;=INDEX(YieldCurve!$A$4:$A$63,ROWS(YieldCurve!$A$4:$A$63)),ROWS(YieldCurve!$A$4:$A$63)-1,MATCH(B253,YieldCurve!$A$4:$A$63,1)))</f>
        <v/>
      </c>
      <c r="D253">
        <f>INDEX(YieldCurve!$A$4:$A$63,C253)</f>
        <v/>
      </c>
      <c r="E253">
        <f>INDEX(YieldCurve!$A$4:$A$63,C253+1)</f>
        <v/>
      </c>
      <c r="F253">
        <f>INDEX(YieldCurve!$B$4:$B$63,C253)</f>
        <v/>
      </c>
      <c r="G253">
        <f>INDEX(YieldCurve!$B$4:$B$63,C253+1)</f>
        <v/>
      </c>
      <c r="H253">
        <f>IF(E253=D253,0,(B253-D253)/(E253-D253))</f>
        <v/>
      </c>
      <c r="I253">
        <f>-(F253+Inputs!$B$9)*D253</f>
        <v/>
      </c>
      <c r="J253">
        <f>-(G253+Inputs!$B$9)*E253</f>
        <v/>
      </c>
      <c r="K253">
        <f>IF(B253&lt;=INDEX(YieldCurve!$A$4:$A$63,1),-(INDEX(YieldCurve!$B$4:$B$63,1)+Inputs!$B$9)*B253,IF(B253&gt;=INDEX(YieldCurve!$A$4:$A$63,ROWS(YieldCurve!$A$4:$A$63)),-(INDEX(YieldCurve!$B$4:$B$63,ROWS(YieldCurve!$B$4:$B$63))+Inputs!$B$9)*B253,I253+H253*(J253-I253)))</f>
        <v/>
      </c>
      <c r="L253">
        <f>EXP(K253)</f>
        <v/>
      </c>
    </row>
    <row r="254">
      <c r="A254" t="n">
        <v>251</v>
      </c>
      <c r="B254">
        <f>A254/Inputs!$B$6</f>
        <v/>
      </c>
      <c r="C254">
        <f>IF(B254&lt;=INDEX(YieldCurve!$A$4:$A$63,1),1,IF(B254&gt;=INDEX(YieldCurve!$A$4:$A$63,ROWS(YieldCurve!$A$4:$A$63)),ROWS(YieldCurve!$A$4:$A$63)-1,MATCH(B254,YieldCurve!$A$4:$A$63,1)))</f>
        <v/>
      </c>
      <c r="D254">
        <f>INDEX(YieldCurve!$A$4:$A$63,C254)</f>
        <v/>
      </c>
      <c r="E254">
        <f>INDEX(YieldCurve!$A$4:$A$63,C254+1)</f>
        <v/>
      </c>
      <c r="F254">
        <f>INDEX(YieldCurve!$B$4:$B$63,C254)</f>
        <v/>
      </c>
      <c r="G254">
        <f>INDEX(YieldCurve!$B$4:$B$63,C254+1)</f>
        <v/>
      </c>
      <c r="H254">
        <f>IF(E254=D254,0,(B254-D254)/(E254-D254))</f>
        <v/>
      </c>
      <c r="I254">
        <f>-(F254+Inputs!$B$9)*D254</f>
        <v/>
      </c>
      <c r="J254">
        <f>-(G254+Inputs!$B$9)*E254</f>
        <v/>
      </c>
      <c r="K254">
        <f>IF(B254&lt;=INDEX(YieldCurve!$A$4:$A$63,1),-(INDEX(YieldCurve!$B$4:$B$63,1)+Inputs!$B$9)*B254,IF(B254&gt;=INDEX(YieldCurve!$A$4:$A$63,ROWS(YieldCurve!$A$4:$A$63)),-(INDEX(YieldCurve!$B$4:$B$63,ROWS(YieldCurve!$B$4:$B$63))+Inputs!$B$9)*B254,I254+H254*(J254-I254)))</f>
        <v/>
      </c>
      <c r="L254">
        <f>EXP(K254)</f>
        <v/>
      </c>
    </row>
    <row r="255">
      <c r="A255" t="n">
        <v>252</v>
      </c>
      <c r="B255">
        <f>A255/Inputs!$B$6</f>
        <v/>
      </c>
      <c r="C255">
        <f>IF(B255&lt;=INDEX(YieldCurve!$A$4:$A$63,1),1,IF(B255&gt;=INDEX(YieldCurve!$A$4:$A$63,ROWS(YieldCurve!$A$4:$A$63)),ROWS(YieldCurve!$A$4:$A$63)-1,MATCH(B255,YieldCurve!$A$4:$A$63,1)))</f>
        <v/>
      </c>
      <c r="D255">
        <f>INDEX(YieldCurve!$A$4:$A$63,C255)</f>
        <v/>
      </c>
      <c r="E255">
        <f>INDEX(YieldCurve!$A$4:$A$63,C255+1)</f>
        <v/>
      </c>
      <c r="F255">
        <f>INDEX(YieldCurve!$B$4:$B$63,C255)</f>
        <v/>
      </c>
      <c r="G255">
        <f>INDEX(YieldCurve!$B$4:$B$63,C255+1)</f>
        <v/>
      </c>
      <c r="H255">
        <f>IF(E255=D255,0,(B255-D255)/(E255-D255))</f>
        <v/>
      </c>
      <c r="I255">
        <f>-(F255+Inputs!$B$9)*D255</f>
        <v/>
      </c>
      <c r="J255">
        <f>-(G255+Inputs!$B$9)*E255</f>
        <v/>
      </c>
      <c r="K255">
        <f>IF(B255&lt;=INDEX(YieldCurve!$A$4:$A$63,1),-(INDEX(YieldCurve!$B$4:$B$63,1)+Inputs!$B$9)*B255,IF(B255&gt;=INDEX(YieldCurve!$A$4:$A$63,ROWS(YieldCurve!$A$4:$A$63)),-(INDEX(YieldCurve!$B$4:$B$63,ROWS(YieldCurve!$B$4:$B$63))+Inputs!$B$9)*B255,I255+H255*(J255-I255)))</f>
        <v/>
      </c>
      <c r="L255">
        <f>EXP(K255)</f>
        <v/>
      </c>
    </row>
    <row r="256">
      <c r="A256" t="n">
        <v>253</v>
      </c>
      <c r="B256">
        <f>A256/Inputs!$B$6</f>
        <v/>
      </c>
      <c r="C256">
        <f>IF(B256&lt;=INDEX(YieldCurve!$A$4:$A$63,1),1,IF(B256&gt;=INDEX(YieldCurve!$A$4:$A$63,ROWS(YieldCurve!$A$4:$A$63)),ROWS(YieldCurve!$A$4:$A$63)-1,MATCH(B256,YieldCurve!$A$4:$A$63,1)))</f>
        <v/>
      </c>
      <c r="D256">
        <f>INDEX(YieldCurve!$A$4:$A$63,C256)</f>
        <v/>
      </c>
      <c r="E256">
        <f>INDEX(YieldCurve!$A$4:$A$63,C256+1)</f>
        <v/>
      </c>
      <c r="F256">
        <f>INDEX(YieldCurve!$B$4:$B$63,C256)</f>
        <v/>
      </c>
      <c r="G256">
        <f>INDEX(YieldCurve!$B$4:$B$63,C256+1)</f>
        <v/>
      </c>
      <c r="H256">
        <f>IF(E256=D256,0,(B256-D256)/(E256-D256))</f>
        <v/>
      </c>
      <c r="I256">
        <f>-(F256+Inputs!$B$9)*D256</f>
        <v/>
      </c>
      <c r="J256">
        <f>-(G256+Inputs!$B$9)*E256</f>
        <v/>
      </c>
      <c r="K256">
        <f>IF(B256&lt;=INDEX(YieldCurve!$A$4:$A$63,1),-(INDEX(YieldCurve!$B$4:$B$63,1)+Inputs!$B$9)*B256,IF(B256&gt;=INDEX(YieldCurve!$A$4:$A$63,ROWS(YieldCurve!$A$4:$A$63)),-(INDEX(YieldCurve!$B$4:$B$63,ROWS(YieldCurve!$B$4:$B$63))+Inputs!$B$9)*B256,I256+H256*(J256-I256)))</f>
        <v/>
      </c>
      <c r="L256">
        <f>EXP(K256)</f>
        <v/>
      </c>
    </row>
    <row r="257">
      <c r="A257" t="n">
        <v>254</v>
      </c>
      <c r="B257">
        <f>A257/Inputs!$B$6</f>
        <v/>
      </c>
      <c r="C257">
        <f>IF(B257&lt;=INDEX(YieldCurve!$A$4:$A$63,1),1,IF(B257&gt;=INDEX(YieldCurve!$A$4:$A$63,ROWS(YieldCurve!$A$4:$A$63)),ROWS(YieldCurve!$A$4:$A$63)-1,MATCH(B257,YieldCurve!$A$4:$A$63,1)))</f>
        <v/>
      </c>
      <c r="D257">
        <f>INDEX(YieldCurve!$A$4:$A$63,C257)</f>
        <v/>
      </c>
      <c r="E257">
        <f>INDEX(YieldCurve!$A$4:$A$63,C257+1)</f>
        <v/>
      </c>
      <c r="F257">
        <f>INDEX(YieldCurve!$B$4:$B$63,C257)</f>
        <v/>
      </c>
      <c r="G257">
        <f>INDEX(YieldCurve!$B$4:$B$63,C257+1)</f>
        <v/>
      </c>
      <c r="H257">
        <f>IF(E257=D257,0,(B257-D257)/(E257-D257))</f>
        <v/>
      </c>
      <c r="I257">
        <f>-(F257+Inputs!$B$9)*D257</f>
        <v/>
      </c>
      <c r="J257">
        <f>-(G257+Inputs!$B$9)*E257</f>
        <v/>
      </c>
      <c r="K257">
        <f>IF(B257&lt;=INDEX(YieldCurve!$A$4:$A$63,1),-(INDEX(YieldCurve!$B$4:$B$63,1)+Inputs!$B$9)*B257,IF(B257&gt;=INDEX(YieldCurve!$A$4:$A$63,ROWS(YieldCurve!$A$4:$A$63)),-(INDEX(YieldCurve!$B$4:$B$63,ROWS(YieldCurve!$B$4:$B$63))+Inputs!$B$9)*B257,I257+H257*(J257-I257)))</f>
        <v/>
      </c>
      <c r="L257">
        <f>EXP(K257)</f>
        <v/>
      </c>
    </row>
    <row r="258">
      <c r="A258" t="n">
        <v>255</v>
      </c>
      <c r="B258">
        <f>A258/Inputs!$B$6</f>
        <v/>
      </c>
      <c r="C258">
        <f>IF(B258&lt;=INDEX(YieldCurve!$A$4:$A$63,1),1,IF(B258&gt;=INDEX(YieldCurve!$A$4:$A$63,ROWS(YieldCurve!$A$4:$A$63)),ROWS(YieldCurve!$A$4:$A$63)-1,MATCH(B258,YieldCurve!$A$4:$A$63,1)))</f>
        <v/>
      </c>
      <c r="D258">
        <f>INDEX(YieldCurve!$A$4:$A$63,C258)</f>
        <v/>
      </c>
      <c r="E258">
        <f>INDEX(YieldCurve!$A$4:$A$63,C258+1)</f>
        <v/>
      </c>
      <c r="F258">
        <f>INDEX(YieldCurve!$B$4:$B$63,C258)</f>
        <v/>
      </c>
      <c r="G258">
        <f>INDEX(YieldCurve!$B$4:$B$63,C258+1)</f>
        <v/>
      </c>
      <c r="H258">
        <f>IF(E258=D258,0,(B258-D258)/(E258-D258))</f>
        <v/>
      </c>
      <c r="I258">
        <f>-(F258+Inputs!$B$9)*D258</f>
        <v/>
      </c>
      <c r="J258">
        <f>-(G258+Inputs!$B$9)*E258</f>
        <v/>
      </c>
      <c r="K258">
        <f>IF(B258&lt;=INDEX(YieldCurve!$A$4:$A$63,1),-(INDEX(YieldCurve!$B$4:$B$63,1)+Inputs!$B$9)*B258,IF(B258&gt;=INDEX(YieldCurve!$A$4:$A$63,ROWS(YieldCurve!$A$4:$A$63)),-(INDEX(YieldCurve!$B$4:$B$63,ROWS(YieldCurve!$B$4:$B$63))+Inputs!$B$9)*B258,I258+H258*(J258-I258)))</f>
        <v/>
      </c>
      <c r="L258">
        <f>EXP(K258)</f>
        <v/>
      </c>
    </row>
    <row r="259">
      <c r="A259" t="n">
        <v>256</v>
      </c>
      <c r="B259">
        <f>A259/Inputs!$B$6</f>
        <v/>
      </c>
      <c r="C259">
        <f>IF(B259&lt;=INDEX(YieldCurve!$A$4:$A$63,1),1,IF(B259&gt;=INDEX(YieldCurve!$A$4:$A$63,ROWS(YieldCurve!$A$4:$A$63)),ROWS(YieldCurve!$A$4:$A$63)-1,MATCH(B259,YieldCurve!$A$4:$A$63,1)))</f>
        <v/>
      </c>
      <c r="D259">
        <f>INDEX(YieldCurve!$A$4:$A$63,C259)</f>
        <v/>
      </c>
      <c r="E259">
        <f>INDEX(YieldCurve!$A$4:$A$63,C259+1)</f>
        <v/>
      </c>
      <c r="F259">
        <f>INDEX(YieldCurve!$B$4:$B$63,C259)</f>
        <v/>
      </c>
      <c r="G259">
        <f>INDEX(YieldCurve!$B$4:$B$63,C259+1)</f>
        <v/>
      </c>
      <c r="H259">
        <f>IF(E259=D259,0,(B259-D259)/(E259-D259))</f>
        <v/>
      </c>
      <c r="I259">
        <f>-(F259+Inputs!$B$9)*D259</f>
        <v/>
      </c>
      <c r="J259">
        <f>-(G259+Inputs!$B$9)*E259</f>
        <v/>
      </c>
      <c r="K259">
        <f>IF(B259&lt;=INDEX(YieldCurve!$A$4:$A$63,1),-(INDEX(YieldCurve!$B$4:$B$63,1)+Inputs!$B$9)*B259,IF(B259&gt;=INDEX(YieldCurve!$A$4:$A$63,ROWS(YieldCurve!$A$4:$A$63)),-(INDEX(YieldCurve!$B$4:$B$63,ROWS(YieldCurve!$B$4:$B$63))+Inputs!$B$9)*B259,I259+H259*(J259-I259)))</f>
        <v/>
      </c>
      <c r="L259">
        <f>EXP(K259)</f>
        <v/>
      </c>
    </row>
    <row r="260">
      <c r="A260" t="n">
        <v>257</v>
      </c>
      <c r="B260">
        <f>A260/Inputs!$B$6</f>
        <v/>
      </c>
      <c r="C260">
        <f>IF(B260&lt;=INDEX(YieldCurve!$A$4:$A$63,1),1,IF(B260&gt;=INDEX(YieldCurve!$A$4:$A$63,ROWS(YieldCurve!$A$4:$A$63)),ROWS(YieldCurve!$A$4:$A$63)-1,MATCH(B260,YieldCurve!$A$4:$A$63,1)))</f>
        <v/>
      </c>
      <c r="D260">
        <f>INDEX(YieldCurve!$A$4:$A$63,C260)</f>
        <v/>
      </c>
      <c r="E260">
        <f>INDEX(YieldCurve!$A$4:$A$63,C260+1)</f>
        <v/>
      </c>
      <c r="F260">
        <f>INDEX(YieldCurve!$B$4:$B$63,C260)</f>
        <v/>
      </c>
      <c r="G260">
        <f>INDEX(YieldCurve!$B$4:$B$63,C260+1)</f>
        <v/>
      </c>
      <c r="H260">
        <f>IF(E260=D260,0,(B260-D260)/(E260-D260))</f>
        <v/>
      </c>
      <c r="I260">
        <f>-(F260+Inputs!$B$9)*D260</f>
        <v/>
      </c>
      <c r="J260">
        <f>-(G260+Inputs!$B$9)*E260</f>
        <v/>
      </c>
      <c r="K260">
        <f>IF(B260&lt;=INDEX(YieldCurve!$A$4:$A$63,1),-(INDEX(YieldCurve!$B$4:$B$63,1)+Inputs!$B$9)*B260,IF(B260&gt;=INDEX(YieldCurve!$A$4:$A$63,ROWS(YieldCurve!$A$4:$A$63)),-(INDEX(YieldCurve!$B$4:$B$63,ROWS(YieldCurve!$B$4:$B$63))+Inputs!$B$9)*B260,I260+H260*(J260-I260)))</f>
        <v/>
      </c>
      <c r="L260">
        <f>EXP(K260)</f>
        <v/>
      </c>
    </row>
    <row r="261">
      <c r="A261" t="n">
        <v>258</v>
      </c>
      <c r="B261">
        <f>A261/Inputs!$B$6</f>
        <v/>
      </c>
      <c r="C261">
        <f>IF(B261&lt;=INDEX(YieldCurve!$A$4:$A$63,1),1,IF(B261&gt;=INDEX(YieldCurve!$A$4:$A$63,ROWS(YieldCurve!$A$4:$A$63)),ROWS(YieldCurve!$A$4:$A$63)-1,MATCH(B261,YieldCurve!$A$4:$A$63,1)))</f>
        <v/>
      </c>
      <c r="D261">
        <f>INDEX(YieldCurve!$A$4:$A$63,C261)</f>
        <v/>
      </c>
      <c r="E261">
        <f>INDEX(YieldCurve!$A$4:$A$63,C261+1)</f>
        <v/>
      </c>
      <c r="F261">
        <f>INDEX(YieldCurve!$B$4:$B$63,C261)</f>
        <v/>
      </c>
      <c r="G261">
        <f>INDEX(YieldCurve!$B$4:$B$63,C261+1)</f>
        <v/>
      </c>
      <c r="H261">
        <f>IF(E261=D261,0,(B261-D261)/(E261-D261))</f>
        <v/>
      </c>
      <c r="I261">
        <f>-(F261+Inputs!$B$9)*D261</f>
        <v/>
      </c>
      <c r="J261">
        <f>-(G261+Inputs!$B$9)*E261</f>
        <v/>
      </c>
      <c r="K261">
        <f>IF(B261&lt;=INDEX(YieldCurve!$A$4:$A$63,1),-(INDEX(YieldCurve!$B$4:$B$63,1)+Inputs!$B$9)*B261,IF(B261&gt;=INDEX(YieldCurve!$A$4:$A$63,ROWS(YieldCurve!$A$4:$A$63)),-(INDEX(YieldCurve!$B$4:$B$63,ROWS(YieldCurve!$B$4:$B$63))+Inputs!$B$9)*B261,I261+H261*(J261-I261)))</f>
        <v/>
      </c>
      <c r="L261">
        <f>EXP(K261)</f>
        <v/>
      </c>
    </row>
    <row r="262">
      <c r="A262" t="n">
        <v>259</v>
      </c>
      <c r="B262">
        <f>A262/Inputs!$B$6</f>
        <v/>
      </c>
      <c r="C262">
        <f>IF(B262&lt;=INDEX(YieldCurve!$A$4:$A$63,1),1,IF(B262&gt;=INDEX(YieldCurve!$A$4:$A$63,ROWS(YieldCurve!$A$4:$A$63)),ROWS(YieldCurve!$A$4:$A$63)-1,MATCH(B262,YieldCurve!$A$4:$A$63,1)))</f>
        <v/>
      </c>
      <c r="D262">
        <f>INDEX(YieldCurve!$A$4:$A$63,C262)</f>
        <v/>
      </c>
      <c r="E262">
        <f>INDEX(YieldCurve!$A$4:$A$63,C262+1)</f>
        <v/>
      </c>
      <c r="F262">
        <f>INDEX(YieldCurve!$B$4:$B$63,C262)</f>
        <v/>
      </c>
      <c r="G262">
        <f>INDEX(YieldCurve!$B$4:$B$63,C262+1)</f>
        <v/>
      </c>
      <c r="H262">
        <f>IF(E262=D262,0,(B262-D262)/(E262-D262))</f>
        <v/>
      </c>
      <c r="I262">
        <f>-(F262+Inputs!$B$9)*D262</f>
        <v/>
      </c>
      <c r="J262">
        <f>-(G262+Inputs!$B$9)*E262</f>
        <v/>
      </c>
      <c r="K262">
        <f>IF(B262&lt;=INDEX(YieldCurve!$A$4:$A$63,1),-(INDEX(YieldCurve!$B$4:$B$63,1)+Inputs!$B$9)*B262,IF(B262&gt;=INDEX(YieldCurve!$A$4:$A$63,ROWS(YieldCurve!$A$4:$A$63)),-(INDEX(YieldCurve!$B$4:$B$63,ROWS(YieldCurve!$B$4:$B$63))+Inputs!$B$9)*B262,I262+H262*(J262-I262)))</f>
        <v/>
      </c>
      <c r="L262">
        <f>EXP(K262)</f>
        <v/>
      </c>
    </row>
    <row r="263">
      <c r="A263" t="n">
        <v>260</v>
      </c>
      <c r="B263">
        <f>A263/Inputs!$B$6</f>
        <v/>
      </c>
      <c r="C263">
        <f>IF(B263&lt;=INDEX(YieldCurve!$A$4:$A$63,1),1,IF(B263&gt;=INDEX(YieldCurve!$A$4:$A$63,ROWS(YieldCurve!$A$4:$A$63)),ROWS(YieldCurve!$A$4:$A$63)-1,MATCH(B263,YieldCurve!$A$4:$A$63,1)))</f>
        <v/>
      </c>
      <c r="D263">
        <f>INDEX(YieldCurve!$A$4:$A$63,C263)</f>
        <v/>
      </c>
      <c r="E263">
        <f>INDEX(YieldCurve!$A$4:$A$63,C263+1)</f>
        <v/>
      </c>
      <c r="F263">
        <f>INDEX(YieldCurve!$B$4:$B$63,C263)</f>
        <v/>
      </c>
      <c r="G263">
        <f>INDEX(YieldCurve!$B$4:$B$63,C263+1)</f>
        <v/>
      </c>
      <c r="H263">
        <f>IF(E263=D263,0,(B263-D263)/(E263-D263))</f>
        <v/>
      </c>
      <c r="I263">
        <f>-(F263+Inputs!$B$9)*D263</f>
        <v/>
      </c>
      <c r="J263">
        <f>-(G263+Inputs!$B$9)*E263</f>
        <v/>
      </c>
      <c r="K263">
        <f>IF(B263&lt;=INDEX(YieldCurve!$A$4:$A$63,1),-(INDEX(YieldCurve!$B$4:$B$63,1)+Inputs!$B$9)*B263,IF(B263&gt;=INDEX(YieldCurve!$A$4:$A$63,ROWS(YieldCurve!$A$4:$A$63)),-(INDEX(YieldCurve!$B$4:$B$63,ROWS(YieldCurve!$B$4:$B$63))+Inputs!$B$9)*B263,I263+H263*(J263-I263)))</f>
        <v/>
      </c>
      <c r="L263">
        <f>EXP(K263)</f>
        <v/>
      </c>
    </row>
    <row r="264">
      <c r="A264" t="n">
        <v>261</v>
      </c>
      <c r="B264">
        <f>A264/Inputs!$B$6</f>
        <v/>
      </c>
      <c r="C264">
        <f>IF(B264&lt;=INDEX(YieldCurve!$A$4:$A$63,1),1,IF(B264&gt;=INDEX(YieldCurve!$A$4:$A$63,ROWS(YieldCurve!$A$4:$A$63)),ROWS(YieldCurve!$A$4:$A$63)-1,MATCH(B264,YieldCurve!$A$4:$A$63,1)))</f>
        <v/>
      </c>
      <c r="D264">
        <f>INDEX(YieldCurve!$A$4:$A$63,C264)</f>
        <v/>
      </c>
      <c r="E264">
        <f>INDEX(YieldCurve!$A$4:$A$63,C264+1)</f>
        <v/>
      </c>
      <c r="F264">
        <f>INDEX(YieldCurve!$B$4:$B$63,C264)</f>
        <v/>
      </c>
      <c r="G264">
        <f>INDEX(YieldCurve!$B$4:$B$63,C264+1)</f>
        <v/>
      </c>
      <c r="H264">
        <f>IF(E264=D264,0,(B264-D264)/(E264-D264))</f>
        <v/>
      </c>
      <c r="I264">
        <f>-(F264+Inputs!$B$9)*D264</f>
        <v/>
      </c>
      <c r="J264">
        <f>-(G264+Inputs!$B$9)*E264</f>
        <v/>
      </c>
      <c r="K264">
        <f>IF(B264&lt;=INDEX(YieldCurve!$A$4:$A$63,1),-(INDEX(YieldCurve!$B$4:$B$63,1)+Inputs!$B$9)*B264,IF(B264&gt;=INDEX(YieldCurve!$A$4:$A$63,ROWS(YieldCurve!$A$4:$A$63)),-(INDEX(YieldCurve!$B$4:$B$63,ROWS(YieldCurve!$B$4:$B$63))+Inputs!$B$9)*B264,I264+H264*(J264-I264)))</f>
        <v/>
      </c>
      <c r="L264">
        <f>EXP(K264)</f>
        <v/>
      </c>
    </row>
    <row r="265">
      <c r="A265" t="n">
        <v>262</v>
      </c>
      <c r="B265">
        <f>A265/Inputs!$B$6</f>
        <v/>
      </c>
      <c r="C265">
        <f>IF(B265&lt;=INDEX(YieldCurve!$A$4:$A$63,1),1,IF(B265&gt;=INDEX(YieldCurve!$A$4:$A$63,ROWS(YieldCurve!$A$4:$A$63)),ROWS(YieldCurve!$A$4:$A$63)-1,MATCH(B265,YieldCurve!$A$4:$A$63,1)))</f>
        <v/>
      </c>
      <c r="D265">
        <f>INDEX(YieldCurve!$A$4:$A$63,C265)</f>
        <v/>
      </c>
      <c r="E265">
        <f>INDEX(YieldCurve!$A$4:$A$63,C265+1)</f>
        <v/>
      </c>
      <c r="F265">
        <f>INDEX(YieldCurve!$B$4:$B$63,C265)</f>
        <v/>
      </c>
      <c r="G265">
        <f>INDEX(YieldCurve!$B$4:$B$63,C265+1)</f>
        <v/>
      </c>
      <c r="H265">
        <f>IF(E265=D265,0,(B265-D265)/(E265-D265))</f>
        <v/>
      </c>
      <c r="I265">
        <f>-(F265+Inputs!$B$9)*D265</f>
        <v/>
      </c>
      <c r="J265">
        <f>-(G265+Inputs!$B$9)*E265</f>
        <v/>
      </c>
      <c r="K265">
        <f>IF(B265&lt;=INDEX(YieldCurve!$A$4:$A$63,1),-(INDEX(YieldCurve!$B$4:$B$63,1)+Inputs!$B$9)*B265,IF(B265&gt;=INDEX(YieldCurve!$A$4:$A$63,ROWS(YieldCurve!$A$4:$A$63)),-(INDEX(YieldCurve!$B$4:$B$63,ROWS(YieldCurve!$B$4:$B$63))+Inputs!$B$9)*B265,I265+H265*(J265-I265)))</f>
        <v/>
      </c>
      <c r="L265">
        <f>EXP(K265)</f>
        <v/>
      </c>
    </row>
    <row r="266">
      <c r="A266" t="n">
        <v>263</v>
      </c>
      <c r="B266">
        <f>A266/Inputs!$B$6</f>
        <v/>
      </c>
      <c r="C266">
        <f>IF(B266&lt;=INDEX(YieldCurve!$A$4:$A$63,1),1,IF(B266&gt;=INDEX(YieldCurve!$A$4:$A$63,ROWS(YieldCurve!$A$4:$A$63)),ROWS(YieldCurve!$A$4:$A$63)-1,MATCH(B266,YieldCurve!$A$4:$A$63,1)))</f>
        <v/>
      </c>
      <c r="D266">
        <f>INDEX(YieldCurve!$A$4:$A$63,C266)</f>
        <v/>
      </c>
      <c r="E266">
        <f>INDEX(YieldCurve!$A$4:$A$63,C266+1)</f>
        <v/>
      </c>
      <c r="F266">
        <f>INDEX(YieldCurve!$B$4:$B$63,C266)</f>
        <v/>
      </c>
      <c r="G266">
        <f>INDEX(YieldCurve!$B$4:$B$63,C266+1)</f>
        <v/>
      </c>
      <c r="H266">
        <f>IF(E266=D266,0,(B266-D266)/(E266-D266))</f>
        <v/>
      </c>
      <c r="I266">
        <f>-(F266+Inputs!$B$9)*D266</f>
        <v/>
      </c>
      <c r="J266">
        <f>-(G266+Inputs!$B$9)*E266</f>
        <v/>
      </c>
      <c r="K266">
        <f>IF(B266&lt;=INDEX(YieldCurve!$A$4:$A$63,1),-(INDEX(YieldCurve!$B$4:$B$63,1)+Inputs!$B$9)*B266,IF(B266&gt;=INDEX(YieldCurve!$A$4:$A$63,ROWS(YieldCurve!$A$4:$A$63)),-(INDEX(YieldCurve!$B$4:$B$63,ROWS(YieldCurve!$B$4:$B$63))+Inputs!$B$9)*B266,I266+H266*(J266-I266)))</f>
        <v/>
      </c>
      <c r="L266">
        <f>EXP(K266)</f>
        <v/>
      </c>
    </row>
    <row r="267">
      <c r="A267" t="n">
        <v>264</v>
      </c>
      <c r="B267">
        <f>A267/Inputs!$B$6</f>
        <v/>
      </c>
      <c r="C267">
        <f>IF(B267&lt;=INDEX(YieldCurve!$A$4:$A$63,1),1,IF(B267&gt;=INDEX(YieldCurve!$A$4:$A$63,ROWS(YieldCurve!$A$4:$A$63)),ROWS(YieldCurve!$A$4:$A$63)-1,MATCH(B267,YieldCurve!$A$4:$A$63,1)))</f>
        <v/>
      </c>
      <c r="D267">
        <f>INDEX(YieldCurve!$A$4:$A$63,C267)</f>
        <v/>
      </c>
      <c r="E267">
        <f>INDEX(YieldCurve!$A$4:$A$63,C267+1)</f>
        <v/>
      </c>
      <c r="F267">
        <f>INDEX(YieldCurve!$B$4:$B$63,C267)</f>
        <v/>
      </c>
      <c r="G267">
        <f>INDEX(YieldCurve!$B$4:$B$63,C267+1)</f>
        <v/>
      </c>
      <c r="H267">
        <f>IF(E267=D267,0,(B267-D267)/(E267-D267))</f>
        <v/>
      </c>
      <c r="I267">
        <f>-(F267+Inputs!$B$9)*D267</f>
        <v/>
      </c>
      <c r="J267">
        <f>-(G267+Inputs!$B$9)*E267</f>
        <v/>
      </c>
      <c r="K267">
        <f>IF(B267&lt;=INDEX(YieldCurve!$A$4:$A$63,1),-(INDEX(YieldCurve!$B$4:$B$63,1)+Inputs!$B$9)*B267,IF(B267&gt;=INDEX(YieldCurve!$A$4:$A$63,ROWS(YieldCurve!$A$4:$A$63)),-(INDEX(YieldCurve!$B$4:$B$63,ROWS(YieldCurve!$B$4:$B$63))+Inputs!$B$9)*B267,I267+H267*(J267-I267)))</f>
        <v/>
      </c>
      <c r="L267">
        <f>EXP(K267)</f>
        <v/>
      </c>
    </row>
    <row r="268">
      <c r="A268" t="n">
        <v>265</v>
      </c>
      <c r="B268">
        <f>A268/Inputs!$B$6</f>
        <v/>
      </c>
      <c r="C268">
        <f>IF(B268&lt;=INDEX(YieldCurve!$A$4:$A$63,1),1,IF(B268&gt;=INDEX(YieldCurve!$A$4:$A$63,ROWS(YieldCurve!$A$4:$A$63)),ROWS(YieldCurve!$A$4:$A$63)-1,MATCH(B268,YieldCurve!$A$4:$A$63,1)))</f>
        <v/>
      </c>
      <c r="D268">
        <f>INDEX(YieldCurve!$A$4:$A$63,C268)</f>
        <v/>
      </c>
      <c r="E268">
        <f>INDEX(YieldCurve!$A$4:$A$63,C268+1)</f>
        <v/>
      </c>
      <c r="F268">
        <f>INDEX(YieldCurve!$B$4:$B$63,C268)</f>
        <v/>
      </c>
      <c r="G268">
        <f>INDEX(YieldCurve!$B$4:$B$63,C268+1)</f>
        <v/>
      </c>
      <c r="H268">
        <f>IF(E268=D268,0,(B268-D268)/(E268-D268))</f>
        <v/>
      </c>
      <c r="I268">
        <f>-(F268+Inputs!$B$9)*D268</f>
        <v/>
      </c>
      <c r="J268">
        <f>-(G268+Inputs!$B$9)*E268</f>
        <v/>
      </c>
      <c r="K268">
        <f>IF(B268&lt;=INDEX(YieldCurve!$A$4:$A$63,1),-(INDEX(YieldCurve!$B$4:$B$63,1)+Inputs!$B$9)*B268,IF(B268&gt;=INDEX(YieldCurve!$A$4:$A$63,ROWS(YieldCurve!$A$4:$A$63)),-(INDEX(YieldCurve!$B$4:$B$63,ROWS(YieldCurve!$B$4:$B$63))+Inputs!$B$9)*B268,I268+H268*(J268-I268)))</f>
        <v/>
      </c>
      <c r="L268">
        <f>EXP(K268)</f>
        <v/>
      </c>
    </row>
    <row r="269">
      <c r="A269" t="n">
        <v>266</v>
      </c>
      <c r="B269">
        <f>A269/Inputs!$B$6</f>
        <v/>
      </c>
      <c r="C269">
        <f>IF(B269&lt;=INDEX(YieldCurve!$A$4:$A$63,1),1,IF(B269&gt;=INDEX(YieldCurve!$A$4:$A$63,ROWS(YieldCurve!$A$4:$A$63)),ROWS(YieldCurve!$A$4:$A$63)-1,MATCH(B269,YieldCurve!$A$4:$A$63,1)))</f>
        <v/>
      </c>
      <c r="D269">
        <f>INDEX(YieldCurve!$A$4:$A$63,C269)</f>
        <v/>
      </c>
      <c r="E269">
        <f>INDEX(YieldCurve!$A$4:$A$63,C269+1)</f>
        <v/>
      </c>
      <c r="F269">
        <f>INDEX(YieldCurve!$B$4:$B$63,C269)</f>
        <v/>
      </c>
      <c r="G269">
        <f>INDEX(YieldCurve!$B$4:$B$63,C269+1)</f>
        <v/>
      </c>
      <c r="H269">
        <f>IF(E269=D269,0,(B269-D269)/(E269-D269))</f>
        <v/>
      </c>
      <c r="I269">
        <f>-(F269+Inputs!$B$9)*D269</f>
        <v/>
      </c>
      <c r="J269">
        <f>-(G269+Inputs!$B$9)*E269</f>
        <v/>
      </c>
      <c r="K269">
        <f>IF(B269&lt;=INDEX(YieldCurve!$A$4:$A$63,1),-(INDEX(YieldCurve!$B$4:$B$63,1)+Inputs!$B$9)*B269,IF(B269&gt;=INDEX(YieldCurve!$A$4:$A$63,ROWS(YieldCurve!$A$4:$A$63)),-(INDEX(YieldCurve!$B$4:$B$63,ROWS(YieldCurve!$B$4:$B$63))+Inputs!$B$9)*B269,I269+H269*(J269-I269)))</f>
        <v/>
      </c>
      <c r="L269">
        <f>EXP(K269)</f>
        <v/>
      </c>
    </row>
    <row r="270">
      <c r="A270" t="n">
        <v>267</v>
      </c>
      <c r="B270">
        <f>A270/Inputs!$B$6</f>
        <v/>
      </c>
      <c r="C270">
        <f>IF(B270&lt;=INDEX(YieldCurve!$A$4:$A$63,1),1,IF(B270&gt;=INDEX(YieldCurve!$A$4:$A$63,ROWS(YieldCurve!$A$4:$A$63)),ROWS(YieldCurve!$A$4:$A$63)-1,MATCH(B270,YieldCurve!$A$4:$A$63,1)))</f>
        <v/>
      </c>
      <c r="D270">
        <f>INDEX(YieldCurve!$A$4:$A$63,C270)</f>
        <v/>
      </c>
      <c r="E270">
        <f>INDEX(YieldCurve!$A$4:$A$63,C270+1)</f>
        <v/>
      </c>
      <c r="F270">
        <f>INDEX(YieldCurve!$B$4:$B$63,C270)</f>
        <v/>
      </c>
      <c r="G270">
        <f>INDEX(YieldCurve!$B$4:$B$63,C270+1)</f>
        <v/>
      </c>
      <c r="H270">
        <f>IF(E270=D270,0,(B270-D270)/(E270-D270))</f>
        <v/>
      </c>
      <c r="I270">
        <f>-(F270+Inputs!$B$9)*D270</f>
        <v/>
      </c>
      <c r="J270">
        <f>-(G270+Inputs!$B$9)*E270</f>
        <v/>
      </c>
      <c r="K270">
        <f>IF(B270&lt;=INDEX(YieldCurve!$A$4:$A$63,1),-(INDEX(YieldCurve!$B$4:$B$63,1)+Inputs!$B$9)*B270,IF(B270&gt;=INDEX(YieldCurve!$A$4:$A$63,ROWS(YieldCurve!$A$4:$A$63)),-(INDEX(YieldCurve!$B$4:$B$63,ROWS(YieldCurve!$B$4:$B$63))+Inputs!$B$9)*B270,I270+H270*(J270-I270)))</f>
        <v/>
      </c>
      <c r="L270">
        <f>EXP(K270)</f>
        <v/>
      </c>
    </row>
    <row r="271">
      <c r="A271" t="n">
        <v>268</v>
      </c>
      <c r="B271">
        <f>A271/Inputs!$B$6</f>
        <v/>
      </c>
      <c r="C271">
        <f>IF(B271&lt;=INDEX(YieldCurve!$A$4:$A$63,1),1,IF(B271&gt;=INDEX(YieldCurve!$A$4:$A$63,ROWS(YieldCurve!$A$4:$A$63)),ROWS(YieldCurve!$A$4:$A$63)-1,MATCH(B271,YieldCurve!$A$4:$A$63,1)))</f>
        <v/>
      </c>
      <c r="D271">
        <f>INDEX(YieldCurve!$A$4:$A$63,C271)</f>
        <v/>
      </c>
      <c r="E271">
        <f>INDEX(YieldCurve!$A$4:$A$63,C271+1)</f>
        <v/>
      </c>
      <c r="F271">
        <f>INDEX(YieldCurve!$B$4:$B$63,C271)</f>
        <v/>
      </c>
      <c r="G271">
        <f>INDEX(YieldCurve!$B$4:$B$63,C271+1)</f>
        <v/>
      </c>
      <c r="H271">
        <f>IF(E271=D271,0,(B271-D271)/(E271-D271))</f>
        <v/>
      </c>
      <c r="I271">
        <f>-(F271+Inputs!$B$9)*D271</f>
        <v/>
      </c>
      <c r="J271">
        <f>-(G271+Inputs!$B$9)*E271</f>
        <v/>
      </c>
      <c r="K271">
        <f>IF(B271&lt;=INDEX(YieldCurve!$A$4:$A$63,1),-(INDEX(YieldCurve!$B$4:$B$63,1)+Inputs!$B$9)*B271,IF(B271&gt;=INDEX(YieldCurve!$A$4:$A$63,ROWS(YieldCurve!$A$4:$A$63)),-(INDEX(YieldCurve!$B$4:$B$63,ROWS(YieldCurve!$B$4:$B$63))+Inputs!$B$9)*B271,I271+H271*(J271-I271)))</f>
        <v/>
      </c>
      <c r="L271">
        <f>EXP(K271)</f>
        <v/>
      </c>
    </row>
    <row r="272">
      <c r="A272" t="n">
        <v>269</v>
      </c>
      <c r="B272">
        <f>A272/Inputs!$B$6</f>
        <v/>
      </c>
      <c r="C272">
        <f>IF(B272&lt;=INDEX(YieldCurve!$A$4:$A$63,1),1,IF(B272&gt;=INDEX(YieldCurve!$A$4:$A$63,ROWS(YieldCurve!$A$4:$A$63)),ROWS(YieldCurve!$A$4:$A$63)-1,MATCH(B272,YieldCurve!$A$4:$A$63,1)))</f>
        <v/>
      </c>
      <c r="D272">
        <f>INDEX(YieldCurve!$A$4:$A$63,C272)</f>
        <v/>
      </c>
      <c r="E272">
        <f>INDEX(YieldCurve!$A$4:$A$63,C272+1)</f>
        <v/>
      </c>
      <c r="F272">
        <f>INDEX(YieldCurve!$B$4:$B$63,C272)</f>
        <v/>
      </c>
      <c r="G272">
        <f>INDEX(YieldCurve!$B$4:$B$63,C272+1)</f>
        <v/>
      </c>
      <c r="H272">
        <f>IF(E272=D272,0,(B272-D272)/(E272-D272))</f>
        <v/>
      </c>
      <c r="I272">
        <f>-(F272+Inputs!$B$9)*D272</f>
        <v/>
      </c>
      <c r="J272">
        <f>-(G272+Inputs!$B$9)*E272</f>
        <v/>
      </c>
      <c r="K272">
        <f>IF(B272&lt;=INDEX(YieldCurve!$A$4:$A$63,1),-(INDEX(YieldCurve!$B$4:$B$63,1)+Inputs!$B$9)*B272,IF(B272&gt;=INDEX(YieldCurve!$A$4:$A$63,ROWS(YieldCurve!$A$4:$A$63)),-(INDEX(YieldCurve!$B$4:$B$63,ROWS(YieldCurve!$B$4:$B$63))+Inputs!$B$9)*B272,I272+H272*(J272-I272)))</f>
        <v/>
      </c>
      <c r="L272">
        <f>EXP(K272)</f>
        <v/>
      </c>
    </row>
    <row r="273">
      <c r="A273" t="n">
        <v>270</v>
      </c>
      <c r="B273">
        <f>A273/Inputs!$B$6</f>
        <v/>
      </c>
      <c r="C273">
        <f>IF(B273&lt;=INDEX(YieldCurve!$A$4:$A$63,1),1,IF(B273&gt;=INDEX(YieldCurve!$A$4:$A$63,ROWS(YieldCurve!$A$4:$A$63)),ROWS(YieldCurve!$A$4:$A$63)-1,MATCH(B273,YieldCurve!$A$4:$A$63,1)))</f>
        <v/>
      </c>
      <c r="D273">
        <f>INDEX(YieldCurve!$A$4:$A$63,C273)</f>
        <v/>
      </c>
      <c r="E273">
        <f>INDEX(YieldCurve!$A$4:$A$63,C273+1)</f>
        <v/>
      </c>
      <c r="F273">
        <f>INDEX(YieldCurve!$B$4:$B$63,C273)</f>
        <v/>
      </c>
      <c r="G273">
        <f>INDEX(YieldCurve!$B$4:$B$63,C273+1)</f>
        <v/>
      </c>
      <c r="H273">
        <f>IF(E273=D273,0,(B273-D273)/(E273-D273))</f>
        <v/>
      </c>
      <c r="I273">
        <f>-(F273+Inputs!$B$9)*D273</f>
        <v/>
      </c>
      <c r="J273">
        <f>-(G273+Inputs!$B$9)*E273</f>
        <v/>
      </c>
      <c r="K273">
        <f>IF(B273&lt;=INDEX(YieldCurve!$A$4:$A$63,1),-(INDEX(YieldCurve!$B$4:$B$63,1)+Inputs!$B$9)*B273,IF(B273&gt;=INDEX(YieldCurve!$A$4:$A$63,ROWS(YieldCurve!$A$4:$A$63)),-(INDEX(YieldCurve!$B$4:$B$63,ROWS(YieldCurve!$B$4:$B$63))+Inputs!$B$9)*B273,I273+H273*(J273-I273)))</f>
        <v/>
      </c>
      <c r="L273">
        <f>EXP(K273)</f>
        <v/>
      </c>
    </row>
    <row r="274">
      <c r="A274" t="n">
        <v>271</v>
      </c>
      <c r="B274">
        <f>A274/Inputs!$B$6</f>
        <v/>
      </c>
      <c r="C274">
        <f>IF(B274&lt;=INDEX(YieldCurve!$A$4:$A$63,1),1,IF(B274&gt;=INDEX(YieldCurve!$A$4:$A$63,ROWS(YieldCurve!$A$4:$A$63)),ROWS(YieldCurve!$A$4:$A$63)-1,MATCH(B274,YieldCurve!$A$4:$A$63,1)))</f>
        <v/>
      </c>
      <c r="D274">
        <f>INDEX(YieldCurve!$A$4:$A$63,C274)</f>
        <v/>
      </c>
      <c r="E274">
        <f>INDEX(YieldCurve!$A$4:$A$63,C274+1)</f>
        <v/>
      </c>
      <c r="F274">
        <f>INDEX(YieldCurve!$B$4:$B$63,C274)</f>
        <v/>
      </c>
      <c r="G274">
        <f>INDEX(YieldCurve!$B$4:$B$63,C274+1)</f>
        <v/>
      </c>
      <c r="H274">
        <f>IF(E274=D274,0,(B274-D274)/(E274-D274))</f>
        <v/>
      </c>
      <c r="I274">
        <f>-(F274+Inputs!$B$9)*D274</f>
        <v/>
      </c>
      <c r="J274">
        <f>-(G274+Inputs!$B$9)*E274</f>
        <v/>
      </c>
      <c r="K274">
        <f>IF(B274&lt;=INDEX(YieldCurve!$A$4:$A$63,1),-(INDEX(YieldCurve!$B$4:$B$63,1)+Inputs!$B$9)*B274,IF(B274&gt;=INDEX(YieldCurve!$A$4:$A$63,ROWS(YieldCurve!$A$4:$A$63)),-(INDEX(YieldCurve!$B$4:$B$63,ROWS(YieldCurve!$B$4:$B$63))+Inputs!$B$9)*B274,I274+H274*(J274-I274)))</f>
        <v/>
      </c>
      <c r="L274">
        <f>EXP(K274)</f>
        <v/>
      </c>
    </row>
    <row r="275">
      <c r="A275" t="n">
        <v>272</v>
      </c>
      <c r="B275">
        <f>A275/Inputs!$B$6</f>
        <v/>
      </c>
      <c r="C275">
        <f>IF(B275&lt;=INDEX(YieldCurve!$A$4:$A$63,1),1,IF(B275&gt;=INDEX(YieldCurve!$A$4:$A$63,ROWS(YieldCurve!$A$4:$A$63)),ROWS(YieldCurve!$A$4:$A$63)-1,MATCH(B275,YieldCurve!$A$4:$A$63,1)))</f>
        <v/>
      </c>
      <c r="D275">
        <f>INDEX(YieldCurve!$A$4:$A$63,C275)</f>
        <v/>
      </c>
      <c r="E275">
        <f>INDEX(YieldCurve!$A$4:$A$63,C275+1)</f>
        <v/>
      </c>
      <c r="F275">
        <f>INDEX(YieldCurve!$B$4:$B$63,C275)</f>
        <v/>
      </c>
      <c r="G275">
        <f>INDEX(YieldCurve!$B$4:$B$63,C275+1)</f>
        <v/>
      </c>
      <c r="H275">
        <f>IF(E275=D275,0,(B275-D275)/(E275-D275))</f>
        <v/>
      </c>
      <c r="I275">
        <f>-(F275+Inputs!$B$9)*D275</f>
        <v/>
      </c>
      <c r="J275">
        <f>-(G275+Inputs!$B$9)*E275</f>
        <v/>
      </c>
      <c r="K275">
        <f>IF(B275&lt;=INDEX(YieldCurve!$A$4:$A$63,1),-(INDEX(YieldCurve!$B$4:$B$63,1)+Inputs!$B$9)*B275,IF(B275&gt;=INDEX(YieldCurve!$A$4:$A$63,ROWS(YieldCurve!$A$4:$A$63)),-(INDEX(YieldCurve!$B$4:$B$63,ROWS(YieldCurve!$B$4:$B$63))+Inputs!$B$9)*B275,I275+H275*(J275-I275)))</f>
        <v/>
      </c>
      <c r="L275">
        <f>EXP(K275)</f>
        <v/>
      </c>
    </row>
    <row r="276">
      <c r="A276" t="n">
        <v>273</v>
      </c>
      <c r="B276">
        <f>A276/Inputs!$B$6</f>
        <v/>
      </c>
      <c r="C276">
        <f>IF(B276&lt;=INDEX(YieldCurve!$A$4:$A$63,1),1,IF(B276&gt;=INDEX(YieldCurve!$A$4:$A$63,ROWS(YieldCurve!$A$4:$A$63)),ROWS(YieldCurve!$A$4:$A$63)-1,MATCH(B276,YieldCurve!$A$4:$A$63,1)))</f>
        <v/>
      </c>
      <c r="D276">
        <f>INDEX(YieldCurve!$A$4:$A$63,C276)</f>
        <v/>
      </c>
      <c r="E276">
        <f>INDEX(YieldCurve!$A$4:$A$63,C276+1)</f>
        <v/>
      </c>
      <c r="F276">
        <f>INDEX(YieldCurve!$B$4:$B$63,C276)</f>
        <v/>
      </c>
      <c r="G276">
        <f>INDEX(YieldCurve!$B$4:$B$63,C276+1)</f>
        <v/>
      </c>
      <c r="H276">
        <f>IF(E276=D276,0,(B276-D276)/(E276-D276))</f>
        <v/>
      </c>
      <c r="I276">
        <f>-(F276+Inputs!$B$9)*D276</f>
        <v/>
      </c>
      <c r="J276">
        <f>-(G276+Inputs!$B$9)*E276</f>
        <v/>
      </c>
      <c r="K276">
        <f>IF(B276&lt;=INDEX(YieldCurve!$A$4:$A$63,1),-(INDEX(YieldCurve!$B$4:$B$63,1)+Inputs!$B$9)*B276,IF(B276&gt;=INDEX(YieldCurve!$A$4:$A$63,ROWS(YieldCurve!$A$4:$A$63)),-(INDEX(YieldCurve!$B$4:$B$63,ROWS(YieldCurve!$B$4:$B$63))+Inputs!$B$9)*B276,I276+H276*(J276-I276)))</f>
        <v/>
      </c>
      <c r="L276">
        <f>EXP(K276)</f>
        <v/>
      </c>
    </row>
    <row r="277">
      <c r="A277" t="n">
        <v>274</v>
      </c>
      <c r="B277">
        <f>A277/Inputs!$B$6</f>
        <v/>
      </c>
      <c r="C277">
        <f>IF(B277&lt;=INDEX(YieldCurve!$A$4:$A$63,1),1,IF(B277&gt;=INDEX(YieldCurve!$A$4:$A$63,ROWS(YieldCurve!$A$4:$A$63)),ROWS(YieldCurve!$A$4:$A$63)-1,MATCH(B277,YieldCurve!$A$4:$A$63,1)))</f>
        <v/>
      </c>
      <c r="D277">
        <f>INDEX(YieldCurve!$A$4:$A$63,C277)</f>
        <v/>
      </c>
      <c r="E277">
        <f>INDEX(YieldCurve!$A$4:$A$63,C277+1)</f>
        <v/>
      </c>
      <c r="F277">
        <f>INDEX(YieldCurve!$B$4:$B$63,C277)</f>
        <v/>
      </c>
      <c r="G277">
        <f>INDEX(YieldCurve!$B$4:$B$63,C277+1)</f>
        <v/>
      </c>
      <c r="H277">
        <f>IF(E277=D277,0,(B277-D277)/(E277-D277))</f>
        <v/>
      </c>
      <c r="I277">
        <f>-(F277+Inputs!$B$9)*D277</f>
        <v/>
      </c>
      <c r="J277">
        <f>-(G277+Inputs!$B$9)*E277</f>
        <v/>
      </c>
      <c r="K277">
        <f>IF(B277&lt;=INDEX(YieldCurve!$A$4:$A$63,1),-(INDEX(YieldCurve!$B$4:$B$63,1)+Inputs!$B$9)*B277,IF(B277&gt;=INDEX(YieldCurve!$A$4:$A$63,ROWS(YieldCurve!$A$4:$A$63)),-(INDEX(YieldCurve!$B$4:$B$63,ROWS(YieldCurve!$B$4:$B$63))+Inputs!$B$9)*B277,I277+H277*(J277-I277)))</f>
        <v/>
      </c>
      <c r="L277">
        <f>EXP(K277)</f>
        <v/>
      </c>
    </row>
    <row r="278">
      <c r="A278" t="n">
        <v>275</v>
      </c>
      <c r="B278">
        <f>A278/Inputs!$B$6</f>
        <v/>
      </c>
      <c r="C278">
        <f>IF(B278&lt;=INDEX(YieldCurve!$A$4:$A$63,1),1,IF(B278&gt;=INDEX(YieldCurve!$A$4:$A$63,ROWS(YieldCurve!$A$4:$A$63)),ROWS(YieldCurve!$A$4:$A$63)-1,MATCH(B278,YieldCurve!$A$4:$A$63,1)))</f>
        <v/>
      </c>
      <c r="D278">
        <f>INDEX(YieldCurve!$A$4:$A$63,C278)</f>
        <v/>
      </c>
      <c r="E278">
        <f>INDEX(YieldCurve!$A$4:$A$63,C278+1)</f>
        <v/>
      </c>
      <c r="F278">
        <f>INDEX(YieldCurve!$B$4:$B$63,C278)</f>
        <v/>
      </c>
      <c r="G278">
        <f>INDEX(YieldCurve!$B$4:$B$63,C278+1)</f>
        <v/>
      </c>
      <c r="H278">
        <f>IF(E278=D278,0,(B278-D278)/(E278-D278))</f>
        <v/>
      </c>
      <c r="I278">
        <f>-(F278+Inputs!$B$9)*D278</f>
        <v/>
      </c>
      <c r="J278">
        <f>-(G278+Inputs!$B$9)*E278</f>
        <v/>
      </c>
      <c r="K278">
        <f>IF(B278&lt;=INDEX(YieldCurve!$A$4:$A$63,1),-(INDEX(YieldCurve!$B$4:$B$63,1)+Inputs!$B$9)*B278,IF(B278&gt;=INDEX(YieldCurve!$A$4:$A$63,ROWS(YieldCurve!$A$4:$A$63)),-(INDEX(YieldCurve!$B$4:$B$63,ROWS(YieldCurve!$B$4:$B$63))+Inputs!$B$9)*B278,I278+H278*(J278-I278)))</f>
        <v/>
      </c>
      <c r="L278">
        <f>EXP(K278)</f>
        <v/>
      </c>
    </row>
    <row r="279">
      <c r="A279" t="n">
        <v>276</v>
      </c>
      <c r="B279">
        <f>A279/Inputs!$B$6</f>
        <v/>
      </c>
      <c r="C279">
        <f>IF(B279&lt;=INDEX(YieldCurve!$A$4:$A$63,1),1,IF(B279&gt;=INDEX(YieldCurve!$A$4:$A$63,ROWS(YieldCurve!$A$4:$A$63)),ROWS(YieldCurve!$A$4:$A$63)-1,MATCH(B279,YieldCurve!$A$4:$A$63,1)))</f>
        <v/>
      </c>
      <c r="D279">
        <f>INDEX(YieldCurve!$A$4:$A$63,C279)</f>
        <v/>
      </c>
      <c r="E279">
        <f>INDEX(YieldCurve!$A$4:$A$63,C279+1)</f>
        <v/>
      </c>
      <c r="F279">
        <f>INDEX(YieldCurve!$B$4:$B$63,C279)</f>
        <v/>
      </c>
      <c r="G279">
        <f>INDEX(YieldCurve!$B$4:$B$63,C279+1)</f>
        <v/>
      </c>
      <c r="H279">
        <f>IF(E279=D279,0,(B279-D279)/(E279-D279))</f>
        <v/>
      </c>
      <c r="I279">
        <f>-(F279+Inputs!$B$9)*D279</f>
        <v/>
      </c>
      <c r="J279">
        <f>-(G279+Inputs!$B$9)*E279</f>
        <v/>
      </c>
      <c r="K279">
        <f>IF(B279&lt;=INDEX(YieldCurve!$A$4:$A$63,1),-(INDEX(YieldCurve!$B$4:$B$63,1)+Inputs!$B$9)*B279,IF(B279&gt;=INDEX(YieldCurve!$A$4:$A$63,ROWS(YieldCurve!$A$4:$A$63)),-(INDEX(YieldCurve!$B$4:$B$63,ROWS(YieldCurve!$B$4:$B$63))+Inputs!$B$9)*B279,I279+H279*(J279-I279)))</f>
        <v/>
      </c>
      <c r="L279">
        <f>EXP(K279)</f>
        <v/>
      </c>
    </row>
    <row r="280">
      <c r="A280" t="n">
        <v>277</v>
      </c>
      <c r="B280">
        <f>A280/Inputs!$B$6</f>
        <v/>
      </c>
      <c r="C280">
        <f>IF(B280&lt;=INDEX(YieldCurve!$A$4:$A$63,1),1,IF(B280&gt;=INDEX(YieldCurve!$A$4:$A$63,ROWS(YieldCurve!$A$4:$A$63)),ROWS(YieldCurve!$A$4:$A$63)-1,MATCH(B280,YieldCurve!$A$4:$A$63,1)))</f>
        <v/>
      </c>
      <c r="D280">
        <f>INDEX(YieldCurve!$A$4:$A$63,C280)</f>
        <v/>
      </c>
      <c r="E280">
        <f>INDEX(YieldCurve!$A$4:$A$63,C280+1)</f>
        <v/>
      </c>
      <c r="F280">
        <f>INDEX(YieldCurve!$B$4:$B$63,C280)</f>
        <v/>
      </c>
      <c r="G280">
        <f>INDEX(YieldCurve!$B$4:$B$63,C280+1)</f>
        <v/>
      </c>
      <c r="H280">
        <f>IF(E280=D280,0,(B280-D280)/(E280-D280))</f>
        <v/>
      </c>
      <c r="I280">
        <f>-(F280+Inputs!$B$9)*D280</f>
        <v/>
      </c>
      <c r="J280">
        <f>-(G280+Inputs!$B$9)*E280</f>
        <v/>
      </c>
      <c r="K280">
        <f>IF(B280&lt;=INDEX(YieldCurve!$A$4:$A$63,1),-(INDEX(YieldCurve!$B$4:$B$63,1)+Inputs!$B$9)*B280,IF(B280&gt;=INDEX(YieldCurve!$A$4:$A$63,ROWS(YieldCurve!$A$4:$A$63)),-(INDEX(YieldCurve!$B$4:$B$63,ROWS(YieldCurve!$B$4:$B$63))+Inputs!$B$9)*B280,I280+H280*(J280-I280)))</f>
        <v/>
      </c>
      <c r="L280">
        <f>EXP(K280)</f>
        <v/>
      </c>
    </row>
    <row r="281">
      <c r="A281" t="n">
        <v>278</v>
      </c>
      <c r="B281">
        <f>A281/Inputs!$B$6</f>
        <v/>
      </c>
      <c r="C281">
        <f>IF(B281&lt;=INDEX(YieldCurve!$A$4:$A$63,1),1,IF(B281&gt;=INDEX(YieldCurve!$A$4:$A$63,ROWS(YieldCurve!$A$4:$A$63)),ROWS(YieldCurve!$A$4:$A$63)-1,MATCH(B281,YieldCurve!$A$4:$A$63,1)))</f>
        <v/>
      </c>
      <c r="D281">
        <f>INDEX(YieldCurve!$A$4:$A$63,C281)</f>
        <v/>
      </c>
      <c r="E281">
        <f>INDEX(YieldCurve!$A$4:$A$63,C281+1)</f>
        <v/>
      </c>
      <c r="F281">
        <f>INDEX(YieldCurve!$B$4:$B$63,C281)</f>
        <v/>
      </c>
      <c r="G281">
        <f>INDEX(YieldCurve!$B$4:$B$63,C281+1)</f>
        <v/>
      </c>
      <c r="H281">
        <f>IF(E281=D281,0,(B281-D281)/(E281-D281))</f>
        <v/>
      </c>
      <c r="I281">
        <f>-(F281+Inputs!$B$9)*D281</f>
        <v/>
      </c>
      <c r="J281">
        <f>-(G281+Inputs!$B$9)*E281</f>
        <v/>
      </c>
      <c r="K281">
        <f>IF(B281&lt;=INDEX(YieldCurve!$A$4:$A$63,1),-(INDEX(YieldCurve!$B$4:$B$63,1)+Inputs!$B$9)*B281,IF(B281&gt;=INDEX(YieldCurve!$A$4:$A$63,ROWS(YieldCurve!$A$4:$A$63)),-(INDEX(YieldCurve!$B$4:$B$63,ROWS(YieldCurve!$B$4:$B$63))+Inputs!$B$9)*B281,I281+H281*(J281-I281)))</f>
        <v/>
      </c>
      <c r="L281">
        <f>EXP(K281)</f>
        <v/>
      </c>
    </row>
    <row r="282">
      <c r="A282" t="n">
        <v>279</v>
      </c>
      <c r="B282">
        <f>A282/Inputs!$B$6</f>
        <v/>
      </c>
      <c r="C282">
        <f>IF(B282&lt;=INDEX(YieldCurve!$A$4:$A$63,1),1,IF(B282&gt;=INDEX(YieldCurve!$A$4:$A$63,ROWS(YieldCurve!$A$4:$A$63)),ROWS(YieldCurve!$A$4:$A$63)-1,MATCH(B282,YieldCurve!$A$4:$A$63,1)))</f>
        <v/>
      </c>
      <c r="D282">
        <f>INDEX(YieldCurve!$A$4:$A$63,C282)</f>
        <v/>
      </c>
      <c r="E282">
        <f>INDEX(YieldCurve!$A$4:$A$63,C282+1)</f>
        <v/>
      </c>
      <c r="F282">
        <f>INDEX(YieldCurve!$B$4:$B$63,C282)</f>
        <v/>
      </c>
      <c r="G282">
        <f>INDEX(YieldCurve!$B$4:$B$63,C282+1)</f>
        <v/>
      </c>
      <c r="H282">
        <f>IF(E282=D282,0,(B282-D282)/(E282-D282))</f>
        <v/>
      </c>
      <c r="I282">
        <f>-(F282+Inputs!$B$9)*D282</f>
        <v/>
      </c>
      <c r="J282">
        <f>-(G282+Inputs!$B$9)*E282</f>
        <v/>
      </c>
      <c r="K282">
        <f>IF(B282&lt;=INDEX(YieldCurve!$A$4:$A$63,1),-(INDEX(YieldCurve!$B$4:$B$63,1)+Inputs!$B$9)*B282,IF(B282&gt;=INDEX(YieldCurve!$A$4:$A$63,ROWS(YieldCurve!$A$4:$A$63)),-(INDEX(YieldCurve!$B$4:$B$63,ROWS(YieldCurve!$B$4:$B$63))+Inputs!$B$9)*B282,I282+H282*(J282-I282)))</f>
        <v/>
      </c>
      <c r="L282">
        <f>EXP(K282)</f>
        <v/>
      </c>
    </row>
    <row r="283">
      <c r="A283" t="n">
        <v>280</v>
      </c>
      <c r="B283">
        <f>A283/Inputs!$B$6</f>
        <v/>
      </c>
      <c r="C283">
        <f>IF(B283&lt;=INDEX(YieldCurve!$A$4:$A$63,1),1,IF(B283&gt;=INDEX(YieldCurve!$A$4:$A$63,ROWS(YieldCurve!$A$4:$A$63)),ROWS(YieldCurve!$A$4:$A$63)-1,MATCH(B283,YieldCurve!$A$4:$A$63,1)))</f>
        <v/>
      </c>
      <c r="D283">
        <f>INDEX(YieldCurve!$A$4:$A$63,C283)</f>
        <v/>
      </c>
      <c r="E283">
        <f>INDEX(YieldCurve!$A$4:$A$63,C283+1)</f>
        <v/>
      </c>
      <c r="F283">
        <f>INDEX(YieldCurve!$B$4:$B$63,C283)</f>
        <v/>
      </c>
      <c r="G283">
        <f>INDEX(YieldCurve!$B$4:$B$63,C283+1)</f>
        <v/>
      </c>
      <c r="H283">
        <f>IF(E283=D283,0,(B283-D283)/(E283-D283))</f>
        <v/>
      </c>
      <c r="I283">
        <f>-(F283+Inputs!$B$9)*D283</f>
        <v/>
      </c>
      <c r="J283">
        <f>-(G283+Inputs!$B$9)*E283</f>
        <v/>
      </c>
      <c r="K283">
        <f>IF(B283&lt;=INDEX(YieldCurve!$A$4:$A$63,1),-(INDEX(YieldCurve!$B$4:$B$63,1)+Inputs!$B$9)*B283,IF(B283&gt;=INDEX(YieldCurve!$A$4:$A$63,ROWS(YieldCurve!$A$4:$A$63)),-(INDEX(YieldCurve!$B$4:$B$63,ROWS(YieldCurve!$B$4:$B$63))+Inputs!$B$9)*B283,I283+H283*(J283-I283)))</f>
        <v/>
      </c>
      <c r="L283">
        <f>EXP(K283)</f>
        <v/>
      </c>
    </row>
    <row r="284">
      <c r="A284" t="n">
        <v>281</v>
      </c>
      <c r="B284">
        <f>A284/Inputs!$B$6</f>
        <v/>
      </c>
      <c r="C284">
        <f>IF(B284&lt;=INDEX(YieldCurve!$A$4:$A$63,1),1,IF(B284&gt;=INDEX(YieldCurve!$A$4:$A$63,ROWS(YieldCurve!$A$4:$A$63)),ROWS(YieldCurve!$A$4:$A$63)-1,MATCH(B284,YieldCurve!$A$4:$A$63,1)))</f>
        <v/>
      </c>
      <c r="D284">
        <f>INDEX(YieldCurve!$A$4:$A$63,C284)</f>
        <v/>
      </c>
      <c r="E284">
        <f>INDEX(YieldCurve!$A$4:$A$63,C284+1)</f>
        <v/>
      </c>
      <c r="F284">
        <f>INDEX(YieldCurve!$B$4:$B$63,C284)</f>
        <v/>
      </c>
      <c r="G284">
        <f>INDEX(YieldCurve!$B$4:$B$63,C284+1)</f>
        <v/>
      </c>
      <c r="H284">
        <f>IF(E284=D284,0,(B284-D284)/(E284-D284))</f>
        <v/>
      </c>
      <c r="I284">
        <f>-(F284+Inputs!$B$9)*D284</f>
        <v/>
      </c>
      <c r="J284">
        <f>-(G284+Inputs!$B$9)*E284</f>
        <v/>
      </c>
      <c r="K284">
        <f>IF(B284&lt;=INDEX(YieldCurve!$A$4:$A$63,1),-(INDEX(YieldCurve!$B$4:$B$63,1)+Inputs!$B$9)*B284,IF(B284&gt;=INDEX(YieldCurve!$A$4:$A$63,ROWS(YieldCurve!$A$4:$A$63)),-(INDEX(YieldCurve!$B$4:$B$63,ROWS(YieldCurve!$B$4:$B$63))+Inputs!$B$9)*B284,I284+H284*(J284-I284)))</f>
        <v/>
      </c>
      <c r="L284">
        <f>EXP(K284)</f>
        <v/>
      </c>
    </row>
    <row r="285">
      <c r="A285" t="n">
        <v>282</v>
      </c>
      <c r="B285">
        <f>A285/Inputs!$B$6</f>
        <v/>
      </c>
      <c r="C285">
        <f>IF(B285&lt;=INDEX(YieldCurve!$A$4:$A$63,1),1,IF(B285&gt;=INDEX(YieldCurve!$A$4:$A$63,ROWS(YieldCurve!$A$4:$A$63)),ROWS(YieldCurve!$A$4:$A$63)-1,MATCH(B285,YieldCurve!$A$4:$A$63,1)))</f>
        <v/>
      </c>
      <c r="D285">
        <f>INDEX(YieldCurve!$A$4:$A$63,C285)</f>
        <v/>
      </c>
      <c r="E285">
        <f>INDEX(YieldCurve!$A$4:$A$63,C285+1)</f>
        <v/>
      </c>
      <c r="F285">
        <f>INDEX(YieldCurve!$B$4:$B$63,C285)</f>
        <v/>
      </c>
      <c r="G285">
        <f>INDEX(YieldCurve!$B$4:$B$63,C285+1)</f>
        <v/>
      </c>
      <c r="H285">
        <f>IF(E285=D285,0,(B285-D285)/(E285-D285))</f>
        <v/>
      </c>
      <c r="I285">
        <f>-(F285+Inputs!$B$9)*D285</f>
        <v/>
      </c>
      <c r="J285">
        <f>-(G285+Inputs!$B$9)*E285</f>
        <v/>
      </c>
      <c r="K285">
        <f>IF(B285&lt;=INDEX(YieldCurve!$A$4:$A$63,1),-(INDEX(YieldCurve!$B$4:$B$63,1)+Inputs!$B$9)*B285,IF(B285&gt;=INDEX(YieldCurve!$A$4:$A$63,ROWS(YieldCurve!$A$4:$A$63)),-(INDEX(YieldCurve!$B$4:$B$63,ROWS(YieldCurve!$B$4:$B$63))+Inputs!$B$9)*B285,I285+H285*(J285-I285)))</f>
        <v/>
      </c>
      <c r="L285">
        <f>EXP(K285)</f>
        <v/>
      </c>
    </row>
    <row r="286">
      <c r="A286" t="n">
        <v>283</v>
      </c>
      <c r="B286">
        <f>A286/Inputs!$B$6</f>
        <v/>
      </c>
      <c r="C286">
        <f>IF(B286&lt;=INDEX(YieldCurve!$A$4:$A$63,1),1,IF(B286&gt;=INDEX(YieldCurve!$A$4:$A$63,ROWS(YieldCurve!$A$4:$A$63)),ROWS(YieldCurve!$A$4:$A$63)-1,MATCH(B286,YieldCurve!$A$4:$A$63,1)))</f>
        <v/>
      </c>
      <c r="D286">
        <f>INDEX(YieldCurve!$A$4:$A$63,C286)</f>
        <v/>
      </c>
      <c r="E286">
        <f>INDEX(YieldCurve!$A$4:$A$63,C286+1)</f>
        <v/>
      </c>
      <c r="F286">
        <f>INDEX(YieldCurve!$B$4:$B$63,C286)</f>
        <v/>
      </c>
      <c r="G286">
        <f>INDEX(YieldCurve!$B$4:$B$63,C286+1)</f>
        <v/>
      </c>
      <c r="H286">
        <f>IF(E286=D286,0,(B286-D286)/(E286-D286))</f>
        <v/>
      </c>
      <c r="I286">
        <f>-(F286+Inputs!$B$9)*D286</f>
        <v/>
      </c>
      <c r="J286">
        <f>-(G286+Inputs!$B$9)*E286</f>
        <v/>
      </c>
      <c r="K286">
        <f>IF(B286&lt;=INDEX(YieldCurve!$A$4:$A$63,1),-(INDEX(YieldCurve!$B$4:$B$63,1)+Inputs!$B$9)*B286,IF(B286&gt;=INDEX(YieldCurve!$A$4:$A$63,ROWS(YieldCurve!$A$4:$A$63)),-(INDEX(YieldCurve!$B$4:$B$63,ROWS(YieldCurve!$B$4:$B$63))+Inputs!$B$9)*B286,I286+H286*(J286-I286)))</f>
        <v/>
      </c>
      <c r="L286">
        <f>EXP(K286)</f>
        <v/>
      </c>
    </row>
    <row r="287">
      <c r="A287" t="n">
        <v>284</v>
      </c>
      <c r="B287">
        <f>A287/Inputs!$B$6</f>
        <v/>
      </c>
      <c r="C287">
        <f>IF(B287&lt;=INDEX(YieldCurve!$A$4:$A$63,1),1,IF(B287&gt;=INDEX(YieldCurve!$A$4:$A$63,ROWS(YieldCurve!$A$4:$A$63)),ROWS(YieldCurve!$A$4:$A$63)-1,MATCH(B287,YieldCurve!$A$4:$A$63,1)))</f>
        <v/>
      </c>
      <c r="D287">
        <f>INDEX(YieldCurve!$A$4:$A$63,C287)</f>
        <v/>
      </c>
      <c r="E287">
        <f>INDEX(YieldCurve!$A$4:$A$63,C287+1)</f>
        <v/>
      </c>
      <c r="F287">
        <f>INDEX(YieldCurve!$B$4:$B$63,C287)</f>
        <v/>
      </c>
      <c r="G287">
        <f>INDEX(YieldCurve!$B$4:$B$63,C287+1)</f>
        <v/>
      </c>
      <c r="H287">
        <f>IF(E287=D287,0,(B287-D287)/(E287-D287))</f>
        <v/>
      </c>
      <c r="I287">
        <f>-(F287+Inputs!$B$9)*D287</f>
        <v/>
      </c>
      <c r="J287">
        <f>-(G287+Inputs!$B$9)*E287</f>
        <v/>
      </c>
      <c r="K287">
        <f>IF(B287&lt;=INDEX(YieldCurve!$A$4:$A$63,1),-(INDEX(YieldCurve!$B$4:$B$63,1)+Inputs!$B$9)*B287,IF(B287&gt;=INDEX(YieldCurve!$A$4:$A$63,ROWS(YieldCurve!$A$4:$A$63)),-(INDEX(YieldCurve!$B$4:$B$63,ROWS(YieldCurve!$B$4:$B$63))+Inputs!$B$9)*B287,I287+H287*(J287-I287)))</f>
        <v/>
      </c>
      <c r="L287">
        <f>EXP(K287)</f>
        <v/>
      </c>
    </row>
    <row r="288">
      <c r="A288" t="n">
        <v>285</v>
      </c>
      <c r="B288">
        <f>A288/Inputs!$B$6</f>
        <v/>
      </c>
      <c r="C288">
        <f>IF(B288&lt;=INDEX(YieldCurve!$A$4:$A$63,1),1,IF(B288&gt;=INDEX(YieldCurve!$A$4:$A$63,ROWS(YieldCurve!$A$4:$A$63)),ROWS(YieldCurve!$A$4:$A$63)-1,MATCH(B288,YieldCurve!$A$4:$A$63,1)))</f>
        <v/>
      </c>
      <c r="D288">
        <f>INDEX(YieldCurve!$A$4:$A$63,C288)</f>
        <v/>
      </c>
      <c r="E288">
        <f>INDEX(YieldCurve!$A$4:$A$63,C288+1)</f>
        <v/>
      </c>
      <c r="F288">
        <f>INDEX(YieldCurve!$B$4:$B$63,C288)</f>
        <v/>
      </c>
      <c r="G288">
        <f>INDEX(YieldCurve!$B$4:$B$63,C288+1)</f>
        <v/>
      </c>
      <c r="H288">
        <f>IF(E288=D288,0,(B288-D288)/(E288-D288))</f>
        <v/>
      </c>
      <c r="I288">
        <f>-(F288+Inputs!$B$9)*D288</f>
        <v/>
      </c>
      <c r="J288">
        <f>-(G288+Inputs!$B$9)*E288</f>
        <v/>
      </c>
      <c r="K288">
        <f>IF(B288&lt;=INDEX(YieldCurve!$A$4:$A$63,1),-(INDEX(YieldCurve!$B$4:$B$63,1)+Inputs!$B$9)*B288,IF(B288&gt;=INDEX(YieldCurve!$A$4:$A$63,ROWS(YieldCurve!$A$4:$A$63)),-(INDEX(YieldCurve!$B$4:$B$63,ROWS(YieldCurve!$B$4:$B$63))+Inputs!$B$9)*B288,I288+H288*(J288-I288)))</f>
        <v/>
      </c>
      <c r="L288">
        <f>EXP(K288)</f>
        <v/>
      </c>
    </row>
    <row r="289">
      <c r="A289" t="n">
        <v>286</v>
      </c>
      <c r="B289">
        <f>A289/Inputs!$B$6</f>
        <v/>
      </c>
      <c r="C289">
        <f>IF(B289&lt;=INDEX(YieldCurve!$A$4:$A$63,1),1,IF(B289&gt;=INDEX(YieldCurve!$A$4:$A$63,ROWS(YieldCurve!$A$4:$A$63)),ROWS(YieldCurve!$A$4:$A$63)-1,MATCH(B289,YieldCurve!$A$4:$A$63,1)))</f>
        <v/>
      </c>
      <c r="D289">
        <f>INDEX(YieldCurve!$A$4:$A$63,C289)</f>
        <v/>
      </c>
      <c r="E289">
        <f>INDEX(YieldCurve!$A$4:$A$63,C289+1)</f>
        <v/>
      </c>
      <c r="F289">
        <f>INDEX(YieldCurve!$B$4:$B$63,C289)</f>
        <v/>
      </c>
      <c r="G289">
        <f>INDEX(YieldCurve!$B$4:$B$63,C289+1)</f>
        <v/>
      </c>
      <c r="H289">
        <f>IF(E289=D289,0,(B289-D289)/(E289-D289))</f>
        <v/>
      </c>
      <c r="I289">
        <f>-(F289+Inputs!$B$9)*D289</f>
        <v/>
      </c>
      <c r="J289">
        <f>-(G289+Inputs!$B$9)*E289</f>
        <v/>
      </c>
      <c r="K289">
        <f>IF(B289&lt;=INDEX(YieldCurve!$A$4:$A$63,1),-(INDEX(YieldCurve!$B$4:$B$63,1)+Inputs!$B$9)*B289,IF(B289&gt;=INDEX(YieldCurve!$A$4:$A$63,ROWS(YieldCurve!$A$4:$A$63)),-(INDEX(YieldCurve!$B$4:$B$63,ROWS(YieldCurve!$B$4:$B$63))+Inputs!$B$9)*B289,I289+H289*(J289-I289)))</f>
        <v/>
      </c>
      <c r="L289">
        <f>EXP(K289)</f>
        <v/>
      </c>
    </row>
    <row r="290">
      <c r="A290" t="n">
        <v>287</v>
      </c>
      <c r="B290">
        <f>A290/Inputs!$B$6</f>
        <v/>
      </c>
      <c r="C290">
        <f>IF(B290&lt;=INDEX(YieldCurve!$A$4:$A$63,1),1,IF(B290&gt;=INDEX(YieldCurve!$A$4:$A$63,ROWS(YieldCurve!$A$4:$A$63)),ROWS(YieldCurve!$A$4:$A$63)-1,MATCH(B290,YieldCurve!$A$4:$A$63,1)))</f>
        <v/>
      </c>
      <c r="D290">
        <f>INDEX(YieldCurve!$A$4:$A$63,C290)</f>
        <v/>
      </c>
      <c r="E290">
        <f>INDEX(YieldCurve!$A$4:$A$63,C290+1)</f>
        <v/>
      </c>
      <c r="F290">
        <f>INDEX(YieldCurve!$B$4:$B$63,C290)</f>
        <v/>
      </c>
      <c r="G290">
        <f>INDEX(YieldCurve!$B$4:$B$63,C290+1)</f>
        <v/>
      </c>
      <c r="H290">
        <f>IF(E290=D290,0,(B290-D290)/(E290-D290))</f>
        <v/>
      </c>
      <c r="I290">
        <f>-(F290+Inputs!$B$9)*D290</f>
        <v/>
      </c>
      <c r="J290">
        <f>-(G290+Inputs!$B$9)*E290</f>
        <v/>
      </c>
      <c r="K290">
        <f>IF(B290&lt;=INDEX(YieldCurve!$A$4:$A$63,1),-(INDEX(YieldCurve!$B$4:$B$63,1)+Inputs!$B$9)*B290,IF(B290&gt;=INDEX(YieldCurve!$A$4:$A$63,ROWS(YieldCurve!$A$4:$A$63)),-(INDEX(YieldCurve!$B$4:$B$63,ROWS(YieldCurve!$B$4:$B$63))+Inputs!$B$9)*B290,I290+H290*(J290-I290)))</f>
        <v/>
      </c>
      <c r="L290">
        <f>EXP(K290)</f>
        <v/>
      </c>
    </row>
    <row r="291">
      <c r="A291" t="n">
        <v>288</v>
      </c>
      <c r="B291">
        <f>A291/Inputs!$B$6</f>
        <v/>
      </c>
      <c r="C291">
        <f>IF(B291&lt;=INDEX(YieldCurve!$A$4:$A$63,1),1,IF(B291&gt;=INDEX(YieldCurve!$A$4:$A$63,ROWS(YieldCurve!$A$4:$A$63)),ROWS(YieldCurve!$A$4:$A$63)-1,MATCH(B291,YieldCurve!$A$4:$A$63,1)))</f>
        <v/>
      </c>
      <c r="D291">
        <f>INDEX(YieldCurve!$A$4:$A$63,C291)</f>
        <v/>
      </c>
      <c r="E291">
        <f>INDEX(YieldCurve!$A$4:$A$63,C291+1)</f>
        <v/>
      </c>
      <c r="F291">
        <f>INDEX(YieldCurve!$B$4:$B$63,C291)</f>
        <v/>
      </c>
      <c r="G291">
        <f>INDEX(YieldCurve!$B$4:$B$63,C291+1)</f>
        <v/>
      </c>
      <c r="H291">
        <f>IF(E291=D291,0,(B291-D291)/(E291-D291))</f>
        <v/>
      </c>
      <c r="I291">
        <f>-(F291+Inputs!$B$9)*D291</f>
        <v/>
      </c>
      <c r="J291">
        <f>-(G291+Inputs!$B$9)*E291</f>
        <v/>
      </c>
      <c r="K291">
        <f>IF(B291&lt;=INDEX(YieldCurve!$A$4:$A$63,1),-(INDEX(YieldCurve!$B$4:$B$63,1)+Inputs!$B$9)*B291,IF(B291&gt;=INDEX(YieldCurve!$A$4:$A$63,ROWS(YieldCurve!$A$4:$A$63)),-(INDEX(YieldCurve!$B$4:$B$63,ROWS(YieldCurve!$B$4:$B$63))+Inputs!$B$9)*B291,I291+H291*(J291-I291)))</f>
        <v/>
      </c>
      <c r="L291">
        <f>EXP(K291)</f>
        <v/>
      </c>
    </row>
    <row r="292">
      <c r="A292" t="n">
        <v>289</v>
      </c>
      <c r="B292">
        <f>A292/Inputs!$B$6</f>
        <v/>
      </c>
      <c r="C292">
        <f>IF(B292&lt;=INDEX(YieldCurve!$A$4:$A$63,1),1,IF(B292&gt;=INDEX(YieldCurve!$A$4:$A$63,ROWS(YieldCurve!$A$4:$A$63)),ROWS(YieldCurve!$A$4:$A$63)-1,MATCH(B292,YieldCurve!$A$4:$A$63,1)))</f>
        <v/>
      </c>
      <c r="D292">
        <f>INDEX(YieldCurve!$A$4:$A$63,C292)</f>
        <v/>
      </c>
      <c r="E292">
        <f>INDEX(YieldCurve!$A$4:$A$63,C292+1)</f>
        <v/>
      </c>
      <c r="F292">
        <f>INDEX(YieldCurve!$B$4:$B$63,C292)</f>
        <v/>
      </c>
      <c r="G292">
        <f>INDEX(YieldCurve!$B$4:$B$63,C292+1)</f>
        <v/>
      </c>
      <c r="H292">
        <f>IF(E292=D292,0,(B292-D292)/(E292-D292))</f>
        <v/>
      </c>
      <c r="I292">
        <f>-(F292+Inputs!$B$9)*D292</f>
        <v/>
      </c>
      <c r="J292">
        <f>-(G292+Inputs!$B$9)*E292</f>
        <v/>
      </c>
      <c r="K292">
        <f>IF(B292&lt;=INDEX(YieldCurve!$A$4:$A$63,1),-(INDEX(YieldCurve!$B$4:$B$63,1)+Inputs!$B$9)*B292,IF(B292&gt;=INDEX(YieldCurve!$A$4:$A$63,ROWS(YieldCurve!$A$4:$A$63)),-(INDEX(YieldCurve!$B$4:$B$63,ROWS(YieldCurve!$B$4:$B$63))+Inputs!$B$9)*B292,I292+H292*(J292-I292)))</f>
        <v/>
      </c>
      <c r="L292">
        <f>EXP(K292)</f>
        <v/>
      </c>
    </row>
    <row r="293">
      <c r="A293" t="n">
        <v>290</v>
      </c>
      <c r="B293">
        <f>A293/Inputs!$B$6</f>
        <v/>
      </c>
      <c r="C293">
        <f>IF(B293&lt;=INDEX(YieldCurve!$A$4:$A$63,1),1,IF(B293&gt;=INDEX(YieldCurve!$A$4:$A$63,ROWS(YieldCurve!$A$4:$A$63)),ROWS(YieldCurve!$A$4:$A$63)-1,MATCH(B293,YieldCurve!$A$4:$A$63,1)))</f>
        <v/>
      </c>
      <c r="D293">
        <f>INDEX(YieldCurve!$A$4:$A$63,C293)</f>
        <v/>
      </c>
      <c r="E293">
        <f>INDEX(YieldCurve!$A$4:$A$63,C293+1)</f>
        <v/>
      </c>
      <c r="F293">
        <f>INDEX(YieldCurve!$B$4:$B$63,C293)</f>
        <v/>
      </c>
      <c r="G293">
        <f>INDEX(YieldCurve!$B$4:$B$63,C293+1)</f>
        <v/>
      </c>
      <c r="H293">
        <f>IF(E293=D293,0,(B293-D293)/(E293-D293))</f>
        <v/>
      </c>
      <c r="I293">
        <f>-(F293+Inputs!$B$9)*D293</f>
        <v/>
      </c>
      <c r="J293">
        <f>-(G293+Inputs!$B$9)*E293</f>
        <v/>
      </c>
      <c r="K293">
        <f>IF(B293&lt;=INDEX(YieldCurve!$A$4:$A$63,1),-(INDEX(YieldCurve!$B$4:$B$63,1)+Inputs!$B$9)*B293,IF(B293&gt;=INDEX(YieldCurve!$A$4:$A$63,ROWS(YieldCurve!$A$4:$A$63)),-(INDEX(YieldCurve!$B$4:$B$63,ROWS(YieldCurve!$B$4:$B$63))+Inputs!$B$9)*B293,I293+H293*(J293-I293)))</f>
        <v/>
      </c>
      <c r="L293">
        <f>EXP(K293)</f>
        <v/>
      </c>
    </row>
    <row r="294">
      <c r="A294" t="n">
        <v>291</v>
      </c>
      <c r="B294">
        <f>A294/Inputs!$B$6</f>
        <v/>
      </c>
      <c r="C294">
        <f>IF(B294&lt;=INDEX(YieldCurve!$A$4:$A$63,1),1,IF(B294&gt;=INDEX(YieldCurve!$A$4:$A$63,ROWS(YieldCurve!$A$4:$A$63)),ROWS(YieldCurve!$A$4:$A$63)-1,MATCH(B294,YieldCurve!$A$4:$A$63,1)))</f>
        <v/>
      </c>
      <c r="D294">
        <f>INDEX(YieldCurve!$A$4:$A$63,C294)</f>
        <v/>
      </c>
      <c r="E294">
        <f>INDEX(YieldCurve!$A$4:$A$63,C294+1)</f>
        <v/>
      </c>
      <c r="F294">
        <f>INDEX(YieldCurve!$B$4:$B$63,C294)</f>
        <v/>
      </c>
      <c r="G294">
        <f>INDEX(YieldCurve!$B$4:$B$63,C294+1)</f>
        <v/>
      </c>
      <c r="H294">
        <f>IF(E294=D294,0,(B294-D294)/(E294-D294))</f>
        <v/>
      </c>
      <c r="I294">
        <f>-(F294+Inputs!$B$9)*D294</f>
        <v/>
      </c>
      <c r="J294">
        <f>-(G294+Inputs!$B$9)*E294</f>
        <v/>
      </c>
      <c r="K294">
        <f>IF(B294&lt;=INDEX(YieldCurve!$A$4:$A$63,1),-(INDEX(YieldCurve!$B$4:$B$63,1)+Inputs!$B$9)*B294,IF(B294&gt;=INDEX(YieldCurve!$A$4:$A$63,ROWS(YieldCurve!$A$4:$A$63)),-(INDEX(YieldCurve!$B$4:$B$63,ROWS(YieldCurve!$B$4:$B$63))+Inputs!$B$9)*B294,I294+H294*(J294-I294)))</f>
        <v/>
      </c>
      <c r="L294">
        <f>EXP(K294)</f>
        <v/>
      </c>
    </row>
    <row r="295">
      <c r="A295" t="n">
        <v>292</v>
      </c>
      <c r="B295">
        <f>A295/Inputs!$B$6</f>
        <v/>
      </c>
      <c r="C295">
        <f>IF(B295&lt;=INDEX(YieldCurve!$A$4:$A$63,1),1,IF(B295&gt;=INDEX(YieldCurve!$A$4:$A$63,ROWS(YieldCurve!$A$4:$A$63)),ROWS(YieldCurve!$A$4:$A$63)-1,MATCH(B295,YieldCurve!$A$4:$A$63,1)))</f>
        <v/>
      </c>
      <c r="D295">
        <f>INDEX(YieldCurve!$A$4:$A$63,C295)</f>
        <v/>
      </c>
      <c r="E295">
        <f>INDEX(YieldCurve!$A$4:$A$63,C295+1)</f>
        <v/>
      </c>
      <c r="F295">
        <f>INDEX(YieldCurve!$B$4:$B$63,C295)</f>
        <v/>
      </c>
      <c r="G295">
        <f>INDEX(YieldCurve!$B$4:$B$63,C295+1)</f>
        <v/>
      </c>
      <c r="H295">
        <f>IF(E295=D295,0,(B295-D295)/(E295-D295))</f>
        <v/>
      </c>
      <c r="I295">
        <f>-(F295+Inputs!$B$9)*D295</f>
        <v/>
      </c>
      <c r="J295">
        <f>-(G295+Inputs!$B$9)*E295</f>
        <v/>
      </c>
      <c r="K295">
        <f>IF(B295&lt;=INDEX(YieldCurve!$A$4:$A$63,1),-(INDEX(YieldCurve!$B$4:$B$63,1)+Inputs!$B$9)*B295,IF(B295&gt;=INDEX(YieldCurve!$A$4:$A$63,ROWS(YieldCurve!$A$4:$A$63)),-(INDEX(YieldCurve!$B$4:$B$63,ROWS(YieldCurve!$B$4:$B$63))+Inputs!$B$9)*B295,I295+H295*(J295-I295)))</f>
        <v/>
      </c>
      <c r="L295">
        <f>EXP(K295)</f>
        <v/>
      </c>
    </row>
    <row r="296">
      <c r="A296" t="n">
        <v>293</v>
      </c>
      <c r="B296">
        <f>A296/Inputs!$B$6</f>
        <v/>
      </c>
      <c r="C296">
        <f>IF(B296&lt;=INDEX(YieldCurve!$A$4:$A$63,1),1,IF(B296&gt;=INDEX(YieldCurve!$A$4:$A$63,ROWS(YieldCurve!$A$4:$A$63)),ROWS(YieldCurve!$A$4:$A$63)-1,MATCH(B296,YieldCurve!$A$4:$A$63,1)))</f>
        <v/>
      </c>
      <c r="D296">
        <f>INDEX(YieldCurve!$A$4:$A$63,C296)</f>
        <v/>
      </c>
      <c r="E296">
        <f>INDEX(YieldCurve!$A$4:$A$63,C296+1)</f>
        <v/>
      </c>
      <c r="F296">
        <f>INDEX(YieldCurve!$B$4:$B$63,C296)</f>
        <v/>
      </c>
      <c r="G296">
        <f>INDEX(YieldCurve!$B$4:$B$63,C296+1)</f>
        <v/>
      </c>
      <c r="H296">
        <f>IF(E296=D296,0,(B296-D296)/(E296-D296))</f>
        <v/>
      </c>
      <c r="I296">
        <f>-(F296+Inputs!$B$9)*D296</f>
        <v/>
      </c>
      <c r="J296">
        <f>-(G296+Inputs!$B$9)*E296</f>
        <v/>
      </c>
      <c r="K296">
        <f>IF(B296&lt;=INDEX(YieldCurve!$A$4:$A$63,1),-(INDEX(YieldCurve!$B$4:$B$63,1)+Inputs!$B$9)*B296,IF(B296&gt;=INDEX(YieldCurve!$A$4:$A$63,ROWS(YieldCurve!$A$4:$A$63)),-(INDEX(YieldCurve!$B$4:$B$63,ROWS(YieldCurve!$B$4:$B$63))+Inputs!$B$9)*B296,I296+H296*(J296-I296)))</f>
        <v/>
      </c>
      <c r="L296">
        <f>EXP(K296)</f>
        <v/>
      </c>
    </row>
    <row r="297">
      <c r="A297" t="n">
        <v>294</v>
      </c>
      <c r="B297">
        <f>A297/Inputs!$B$6</f>
        <v/>
      </c>
      <c r="C297">
        <f>IF(B297&lt;=INDEX(YieldCurve!$A$4:$A$63,1),1,IF(B297&gt;=INDEX(YieldCurve!$A$4:$A$63,ROWS(YieldCurve!$A$4:$A$63)),ROWS(YieldCurve!$A$4:$A$63)-1,MATCH(B297,YieldCurve!$A$4:$A$63,1)))</f>
        <v/>
      </c>
      <c r="D297">
        <f>INDEX(YieldCurve!$A$4:$A$63,C297)</f>
        <v/>
      </c>
      <c r="E297">
        <f>INDEX(YieldCurve!$A$4:$A$63,C297+1)</f>
        <v/>
      </c>
      <c r="F297">
        <f>INDEX(YieldCurve!$B$4:$B$63,C297)</f>
        <v/>
      </c>
      <c r="G297">
        <f>INDEX(YieldCurve!$B$4:$B$63,C297+1)</f>
        <v/>
      </c>
      <c r="H297">
        <f>IF(E297=D297,0,(B297-D297)/(E297-D297))</f>
        <v/>
      </c>
      <c r="I297">
        <f>-(F297+Inputs!$B$9)*D297</f>
        <v/>
      </c>
      <c r="J297">
        <f>-(G297+Inputs!$B$9)*E297</f>
        <v/>
      </c>
      <c r="K297">
        <f>IF(B297&lt;=INDEX(YieldCurve!$A$4:$A$63,1),-(INDEX(YieldCurve!$B$4:$B$63,1)+Inputs!$B$9)*B297,IF(B297&gt;=INDEX(YieldCurve!$A$4:$A$63,ROWS(YieldCurve!$A$4:$A$63)),-(INDEX(YieldCurve!$B$4:$B$63,ROWS(YieldCurve!$B$4:$B$63))+Inputs!$B$9)*B297,I297+H297*(J297-I297)))</f>
        <v/>
      </c>
      <c r="L297">
        <f>EXP(K297)</f>
        <v/>
      </c>
    </row>
    <row r="298">
      <c r="A298" t="n">
        <v>295</v>
      </c>
      <c r="B298">
        <f>A298/Inputs!$B$6</f>
        <v/>
      </c>
      <c r="C298">
        <f>IF(B298&lt;=INDEX(YieldCurve!$A$4:$A$63,1),1,IF(B298&gt;=INDEX(YieldCurve!$A$4:$A$63,ROWS(YieldCurve!$A$4:$A$63)),ROWS(YieldCurve!$A$4:$A$63)-1,MATCH(B298,YieldCurve!$A$4:$A$63,1)))</f>
        <v/>
      </c>
      <c r="D298">
        <f>INDEX(YieldCurve!$A$4:$A$63,C298)</f>
        <v/>
      </c>
      <c r="E298">
        <f>INDEX(YieldCurve!$A$4:$A$63,C298+1)</f>
        <v/>
      </c>
      <c r="F298">
        <f>INDEX(YieldCurve!$B$4:$B$63,C298)</f>
        <v/>
      </c>
      <c r="G298">
        <f>INDEX(YieldCurve!$B$4:$B$63,C298+1)</f>
        <v/>
      </c>
      <c r="H298">
        <f>IF(E298=D298,0,(B298-D298)/(E298-D298))</f>
        <v/>
      </c>
      <c r="I298">
        <f>-(F298+Inputs!$B$9)*D298</f>
        <v/>
      </c>
      <c r="J298">
        <f>-(G298+Inputs!$B$9)*E298</f>
        <v/>
      </c>
      <c r="K298">
        <f>IF(B298&lt;=INDEX(YieldCurve!$A$4:$A$63,1),-(INDEX(YieldCurve!$B$4:$B$63,1)+Inputs!$B$9)*B298,IF(B298&gt;=INDEX(YieldCurve!$A$4:$A$63,ROWS(YieldCurve!$A$4:$A$63)),-(INDEX(YieldCurve!$B$4:$B$63,ROWS(YieldCurve!$B$4:$B$63))+Inputs!$B$9)*B298,I298+H298*(J298-I298)))</f>
        <v/>
      </c>
      <c r="L298">
        <f>EXP(K298)</f>
        <v/>
      </c>
    </row>
    <row r="299">
      <c r="A299" t="n">
        <v>296</v>
      </c>
      <c r="B299">
        <f>A299/Inputs!$B$6</f>
        <v/>
      </c>
      <c r="C299">
        <f>IF(B299&lt;=INDEX(YieldCurve!$A$4:$A$63,1),1,IF(B299&gt;=INDEX(YieldCurve!$A$4:$A$63,ROWS(YieldCurve!$A$4:$A$63)),ROWS(YieldCurve!$A$4:$A$63)-1,MATCH(B299,YieldCurve!$A$4:$A$63,1)))</f>
        <v/>
      </c>
      <c r="D299">
        <f>INDEX(YieldCurve!$A$4:$A$63,C299)</f>
        <v/>
      </c>
      <c r="E299">
        <f>INDEX(YieldCurve!$A$4:$A$63,C299+1)</f>
        <v/>
      </c>
      <c r="F299">
        <f>INDEX(YieldCurve!$B$4:$B$63,C299)</f>
        <v/>
      </c>
      <c r="G299">
        <f>INDEX(YieldCurve!$B$4:$B$63,C299+1)</f>
        <v/>
      </c>
      <c r="H299">
        <f>IF(E299=D299,0,(B299-D299)/(E299-D299))</f>
        <v/>
      </c>
      <c r="I299">
        <f>-(F299+Inputs!$B$9)*D299</f>
        <v/>
      </c>
      <c r="J299">
        <f>-(G299+Inputs!$B$9)*E299</f>
        <v/>
      </c>
      <c r="K299">
        <f>IF(B299&lt;=INDEX(YieldCurve!$A$4:$A$63,1),-(INDEX(YieldCurve!$B$4:$B$63,1)+Inputs!$B$9)*B299,IF(B299&gt;=INDEX(YieldCurve!$A$4:$A$63,ROWS(YieldCurve!$A$4:$A$63)),-(INDEX(YieldCurve!$B$4:$B$63,ROWS(YieldCurve!$B$4:$B$63))+Inputs!$B$9)*B299,I299+H299*(J299-I299)))</f>
        <v/>
      </c>
      <c r="L299">
        <f>EXP(K299)</f>
        <v/>
      </c>
    </row>
    <row r="300">
      <c r="A300" t="n">
        <v>297</v>
      </c>
      <c r="B300">
        <f>A300/Inputs!$B$6</f>
        <v/>
      </c>
      <c r="C300">
        <f>IF(B300&lt;=INDEX(YieldCurve!$A$4:$A$63,1),1,IF(B300&gt;=INDEX(YieldCurve!$A$4:$A$63,ROWS(YieldCurve!$A$4:$A$63)),ROWS(YieldCurve!$A$4:$A$63)-1,MATCH(B300,YieldCurve!$A$4:$A$63,1)))</f>
        <v/>
      </c>
      <c r="D300">
        <f>INDEX(YieldCurve!$A$4:$A$63,C300)</f>
        <v/>
      </c>
      <c r="E300">
        <f>INDEX(YieldCurve!$A$4:$A$63,C300+1)</f>
        <v/>
      </c>
      <c r="F300">
        <f>INDEX(YieldCurve!$B$4:$B$63,C300)</f>
        <v/>
      </c>
      <c r="G300">
        <f>INDEX(YieldCurve!$B$4:$B$63,C300+1)</f>
        <v/>
      </c>
      <c r="H300">
        <f>IF(E300=D300,0,(B300-D300)/(E300-D300))</f>
        <v/>
      </c>
      <c r="I300">
        <f>-(F300+Inputs!$B$9)*D300</f>
        <v/>
      </c>
      <c r="J300">
        <f>-(G300+Inputs!$B$9)*E300</f>
        <v/>
      </c>
      <c r="K300">
        <f>IF(B300&lt;=INDEX(YieldCurve!$A$4:$A$63,1),-(INDEX(YieldCurve!$B$4:$B$63,1)+Inputs!$B$9)*B300,IF(B300&gt;=INDEX(YieldCurve!$A$4:$A$63,ROWS(YieldCurve!$A$4:$A$63)),-(INDEX(YieldCurve!$B$4:$B$63,ROWS(YieldCurve!$B$4:$B$63))+Inputs!$B$9)*B300,I300+H300*(J300-I300)))</f>
        <v/>
      </c>
      <c r="L300">
        <f>EXP(K300)</f>
        <v/>
      </c>
    </row>
    <row r="301">
      <c r="A301" t="n">
        <v>298</v>
      </c>
      <c r="B301">
        <f>A301/Inputs!$B$6</f>
        <v/>
      </c>
      <c r="C301">
        <f>IF(B301&lt;=INDEX(YieldCurve!$A$4:$A$63,1),1,IF(B301&gt;=INDEX(YieldCurve!$A$4:$A$63,ROWS(YieldCurve!$A$4:$A$63)),ROWS(YieldCurve!$A$4:$A$63)-1,MATCH(B301,YieldCurve!$A$4:$A$63,1)))</f>
        <v/>
      </c>
      <c r="D301">
        <f>INDEX(YieldCurve!$A$4:$A$63,C301)</f>
        <v/>
      </c>
      <c r="E301">
        <f>INDEX(YieldCurve!$A$4:$A$63,C301+1)</f>
        <v/>
      </c>
      <c r="F301">
        <f>INDEX(YieldCurve!$B$4:$B$63,C301)</f>
        <v/>
      </c>
      <c r="G301">
        <f>INDEX(YieldCurve!$B$4:$B$63,C301+1)</f>
        <v/>
      </c>
      <c r="H301">
        <f>IF(E301=D301,0,(B301-D301)/(E301-D301))</f>
        <v/>
      </c>
      <c r="I301">
        <f>-(F301+Inputs!$B$9)*D301</f>
        <v/>
      </c>
      <c r="J301">
        <f>-(G301+Inputs!$B$9)*E301</f>
        <v/>
      </c>
      <c r="K301">
        <f>IF(B301&lt;=INDEX(YieldCurve!$A$4:$A$63,1),-(INDEX(YieldCurve!$B$4:$B$63,1)+Inputs!$B$9)*B301,IF(B301&gt;=INDEX(YieldCurve!$A$4:$A$63,ROWS(YieldCurve!$A$4:$A$63)),-(INDEX(YieldCurve!$B$4:$B$63,ROWS(YieldCurve!$B$4:$B$63))+Inputs!$B$9)*B301,I301+H301*(J301-I301)))</f>
        <v/>
      </c>
      <c r="L301">
        <f>EXP(K301)</f>
        <v/>
      </c>
    </row>
    <row r="302">
      <c r="A302" t="n">
        <v>299</v>
      </c>
      <c r="B302">
        <f>A302/Inputs!$B$6</f>
        <v/>
      </c>
      <c r="C302">
        <f>IF(B302&lt;=INDEX(YieldCurve!$A$4:$A$63,1),1,IF(B302&gt;=INDEX(YieldCurve!$A$4:$A$63,ROWS(YieldCurve!$A$4:$A$63)),ROWS(YieldCurve!$A$4:$A$63)-1,MATCH(B302,YieldCurve!$A$4:$A$63,1)))</f>
        <v/>
      </c>
      <c r="D302">
        <f>INDEX(YieldCurve!$A$4:$A$63,C302)</f>
        <v/>
      </c>
      <c r="E302">
        <f>INDEX(YieldCurve!$A$4:$A$63,C302+1)</f>
        <v/>
      </c>
      <c r="F302">
        <f>INDEX(YieldCurve!$B$4:$B$63,C302)</f>
        <v/>
      </c>
      <c r="G302">
        <f>INDEX(YieldCurve!$B$4:$B$63,C302+1)</f>
        <v/>
      </c>
      <c r="H302">
        <f>IF(E302=D302,0,(B302-D302)/(E302-D302))</f>
        <v/>
      </c>
      <c r="I302">
        <f>-(F302+Inputs!$B$9)*D302</f>
        <v/>
      </c>
      <c r="J302">
        <f>-(G302+Inputs!$B$9)*E302</f>
        <v/>
      </c>
      <c r="K302">
        <f>IF(B302&lt;=INDEX(YieldCurve!$A$4:$A$63,1),-(INDEX(YieldCurve!$B$4:$B$63,1)+Inputs!$B$9)*B302,IF(B302&gt;=INDEX(YieldCurve!$A$4:$A$63,ROWS(YieldCurve!$A$4:$A$63)),-(INDEX(YieldCurve!$B$4:$B$63,ROWS(YieldCurve!$B$4:$B$63))+Inputs!$B$9)*B302,I302+H302*(J302-I302)))</f>
        <v/>
      </c>
      <c r="L302">
        <f>EXP(K302)</f>
        <v/>
      </c>
    </row>
    <row r="303">
      <c r="A303" t="n">
        <v>300</v>
      </c>
      <c r="B303">
        <f>A303/Inputs!$B$6</f>
        <v/>
      </c>
      <c r="C303">
        <f>IF(B303&lt;=INDEX(YieldCurve!$A$4:$A$63,1),1,IF(B303&gt;=INDEX(YieldCurve!$A$4:$A$63,ROWS(YieldCurve!$A$4:$A$63)),ROWS(YieldCurve!$A$4:$A$63)-1,MATCH(B303,YieldCurve!$A$4:$A$63,1)))</f>
        <v/>
      </c>
      <c r="D303">
        <f>INDEX(YieldCurve!$A$4:$A$63,C303)</f>
        <v/>
      </c>
      <c r="E303">
        <f>INDEX(YieldCurve!$A$4:$A$63,C303+1)</f>
        <v/>
      </c>
      <c r="F303">
        <f>INDEX(YieldCurve!$B$4:$B$63,C303)</f>
        <v/>
      </c>
      <c r="G303">
        <f>INDEX(YieldCurve!$B$4:$B$63,C303+1)</f>
        <v/>
      </c>
      <c r="H303">
        <f>IF(E303=D303,0,(B303-D303)/(E303-D303))</f>
        <v/>
      </c>
      <c r="I303">
        <f>-(F303+Inputs!$B$9)*D303</f>
        <v/>
      </c>
      <c r="J303">
        <f>-(G303+Inputs!$B$9)*E303</f>
        <v/>
      </c>
      <c r="K303">
        <f>IF(B303&lt;=INDEX(YieldCurve!$A$4:$A$63,1),-(INDEX(YieldCurve!$B$4:$B$63,1)+Inputs!$B$9)*B303,IF(B303&gt;=INDEX(YieldCurve!$A$4:$A$63,ROWS(YieldCurve!$A$4:$A$63)),-(INDEX(YieldCurve!$B$4:$B$63,ROWS(YieldCurve!$B$4:$B$63))+Inputs!$B$9)*B303,I303+H303*(J303-I303)))</f>
        <v/>
      </c>
      <c r="L303">
        <f>EXP(K303)</f>
        <v/>
      </c>
    </row>
    <row r="304">
      <c r="A304" t="n">
        <v>301</v>
      </c>
      <c r="B304">
        <f>A304/Inputs!$B$6</f>
        <v/>
      </c>
      <c r="C304">
        <f>IF(B304&lt;=INDEX(YieldCurve!$A$4:$A$63,1),1,IF(B304&gt;=INDEX(YieldCurve!$A$4:$A$63,ROWS(YieldCurve!$A$4:$A$63)),ROWS(YieldCurve!$A$4:$A$63)-1,MATCH(B304,YieldCurve!$A$4:$A$63,1)))</f>
        <v/>
      </c>
      <c r="D304">
        <f>INDEX(YieldCurve!$A$4:$A$63,C304)</f>
        <v/>
      </c>
      <c r="E304">
        <f>INDEX(YieldCurve!$A$4:$A$63,C304+1)</f>
        <v/>
      </c>
      <c r="F304">
        <f>INDEX(YieldCurve!$B$4:$B$63,C304)</f>
        <v/>
      </c>
      <c r="G304">
        <f>INDEX(YieldCurve!$B$4:$B$63,C304+1)</f>
        <v/>
      </c>
      <c r="H304">
        <f>IF(E304=D304,0,(B304-D304)/(E304-D304))</f>
        <v/>
      </c>
      <c r="I304">
        <f>-(F304+Inputs!$B$9)*D304</f>
        <v/>
      </c>
      <c r="J304">
        <f>-(G304+Inputs!$B$9)*E304</f>
        <v/>
      </c>
      <c r="K304">
        <f>IF(B304&lt;=INDEX(YieldCurve!$A$4:$A$63,1),-(INDEX(YieldCurve!$B$4:$B$63,1)+Inputs!$B$9)*B304,IF(B304&gt;=INDEX(YieldCurve!$A$4:$A$63,ROWS(YieldCurve!$A$4:$A$63)),-(INDEX(YieldCurve!$B$4:$B$63,ROWS(YieldCurve!$B$4:$B$63))+Inputs!$B$9)*B304,I304+H304*(J304-I304)))</f>
        <v/>
      </c>
      <c r="L304">
        <f>EXP(K304)</f>
        <v/>
      </c>
    </row>
    <row r="305">
      <c r="A305" t="n">
        <v>302</v>
      </c>
      <c r="B305">
        <f>A305/Inputs!$B$6</f>
        <v/>
      </c>
      <c r="C305">
        <f>IF(B305&lt;=INDEX(YieldCurve!$A$4:$A$63,1),1,IF(B305&gt;=INDEX(YieldCurve!$A$4:$A$63,ROWS(YieldCurve!$A$4:$A$63)),ROWS(YieldCurve!$A$4:$A$63)-1,MATCH(B305,YieldCurve!$A$4:$A$63,1)))</f>
        <v/>
      </c>
      <c r="D305">
        <f>INDEX(YieldCurve!$A$4:$A$63,C305)</f>
        <v/>
      </c>
      <c r="E305">
        <f>INDEX(YieldCurve!$A$4:$A$63,C305+1)</f>
        <v/>
      </c>
      <c r="F305">
        <f>INDEX(YieldCurve!$B$4:$B$63,C305)</f>
        <v/>
      </c>
      <c r="G305">
        <f>INDEX(YieldCurve!$B$4:$B$63,C305+1)</f>
        <v/>
      </c>
      <c r="H305">
        <f>IF(E305=D305,0,(B305-D305)/(E305-D305))</f>
        <v/>
      </c>
      <c r="I305">
        <f>-(F305+Inputs!$B$9)*D305</f>
        <v/>
      </c>
      <c r="J305">
        <f>-(G305+Inputs!$B$9)*E305</f>
        <v/>
      </c>
      <c r="K305">
        <f>IF(B305&lt;=INDEX(YieldCurve!$A$4:$A$63,1),-(INDEX(YieldCurve!$B$4:$B$63,1)+Inputs!$B$9)*B305,IF(B305&gt;=INDEX(YieldCurve!$A$4:$A$63,ROWS(YieldCurve!$A$4:$A$63)),-(INDEX(YieldCurve!$B$4:$B$63,ROWS(YieldCurve!$B$4:$B$63))+Inputs!$B$9)*B305,I305+H305*(J305-I305)))</f>
        <v/>
      </c>
      <c r="L305">
        <f>EXP(K305)</f>
        <v/>
      </c>
    </row>
    <row r="306">
      <c r="A306" t="n">
        <v>303</v>
      </c>
      <c r="B306">
        <f>A306/Inputs!$B$6</f>
        <v/>
      </c>
      <c r="C306">
        <f>IF(B306&lt;=INDEX(YieldCurve!$A$4:$A$63,1),1,IF(B306&gt;=INDEX(YieldCurve!$A$4:$A$63,ROWS(YieldCurve!$A$4:$A$63)),ROWS(YieldCurve!$A$4:$A$63)-1,MATCH(B306,YieldCurve!$A$4:$A$63,1)))</f>
        <v/>
      </c>
      <c r="D306">
        <f>INDEX(YieldCurve!$A$4:$A$63,C306)</f>
        <v/>
      </c>
      <c r="E306">
        <f>INDEX(YieldCurve!$A$4:$A$63,C306+1)</f>
        <v/>
      </c>
      <c r="F306">
        <f>INDEX(YieldCurve!$B$4:$B$63,C306)</f>
        <v/>
      </c>
      <c r="G306">
        <f>INDEX(YieldCurve!$B$4:$B$63,C306+1)</f>
        <v/>
      </c>
      <c r="H306">
        <f>IF(E306=D306,0,(B306-D306)/(E306-D306))</f>
        <v/>
      </c>
      <c r="I306">
        <f>-(F306+Inputs!$B$9)*D306</f>
        <v/>
      </c>
      <c r="J306">
        <f>-(G306+Inputs!$B$9)*E306</f>
        <v/>
      </c>
      <c r="K306">
        <f>IF(B306&lt;=INDEX(YieldCurve!$A$4:$A$63,1),-(INDEX(YieldCurve!$B$4:$B$63,1)+Inputs!$B$9)*B306,IF(B306&gt;=INDEX(YieldCurve!$A$4:$A$63,ROWS(YieldCurve!$A$4:$A$63)),-(INDEX(YieldCurve!$B$4:$B$63,ROWS(YieldCurve!$B$4:$B$63))+Inputs!$B$9)*B306,I306+H306*(J306-I306)))</f>
        <v/>
      </c>
      <c r="L306">
        <f>EXP(K306)</f>
        <v/>
      </c>
    </row>
    <row r="307">
      <c r="A307" t="n">
        <v>304</v>
      </c>
      <c r="B307">
        <f>A307/Inputs!$B$6</f>
        <v/>
      </c>
      <c r="C307">
        <f>IF(B307&lt;=INDEX(YieldCurve!$A$4:$A$63,1),1,IF(B307&gt;=INDEX(YieldCurve!$A$4:$A$63,ROWS(YieldCurve!$A$4:$A$63)),ROWS(YieldCurve!$A$4:$A$63)-1,MATCH(B307,YieldCurve!$A$4:$A$63,1)))</f>
        <v/>
      </c>
      <c r="D307">
        <f>INDEX(YieldCurve!$A$4:$A$63,C307)</f>
        <v/>
      </c>
      <c r="E307">
        <f>INDEX(YieldCurve!$A$4:$A$63,C307+1)</f>
        <v/>
      </c>
      <c r="F307">
        <f>INDEX(YieldCurve!$B$4:$B$63,C307)</f>
        <v/>
      </c>
      <c r="G307">
        <f>INDEX(YieldCurve!$B$4:$B$63,C307+1)</f>
        <v/>
      </c>
      <c r="H307">
        <f>IF(E307=D307,0,(B307-D307)/(E307-D307))</f>
        <v/>
      </c>
      <c r="I307">
        <f>-(F307+Inputs!$B$9)*D307</f>
        <v/>
      </c>
      <c r="J307">
        <f>-(G307+Inputs!$B$9)*E307</f>
        <v/>
      </c>
      <c r="K307">
        <f>IF(B307&lt;=INDEX(YieldCurve!$A$4:$A$63,1),-(INDEX(YieldCurve!$B$4:$B$63,1)+Inputs!$B$9)*B307,IF(B307&gt;=INDEX(YieldCurve!$A$4:$A$63,ROWS(YieldCurve!$A$4:$A$63)),-(INDEX(YieldCurve!$B$4:$B$63,ROWS(YieldCurve!$B$4:$B$63))+Inputs!$B$9)*B307,I307+H307*(J307-I307)))</f>
        <v/>
      </c>
      <c r="L307">
        <f>EXP(K307)</f>
        <v/>
      </c>
    </row>
    <row r="308">
      <c r="A308" t="n">
        <v>305</v>
      </c>
      <c r="B308">
        <f>A308/Inputs!$B$6</f>
        <v/>
      </c>
      <c r="C308">
        <f>IF(B308&lt;=INDEX(YieldCurve!$A$4:$A$63,1),1,IF(B308&gt;=INDEX(YieldCurve!$A$4:$A$63,ROWS(YieldCurve!$A$4:$A$63)),ROWS(YieldCurve!$A$4:$A$63)-1,MATCH(B308,YieldCurve!$A$4:$A$63,1)))</f>
        <v/>
      </c>
      <c r="D308">
        <f>INDEX(YieldCurve!$A$4:$A$63,C308)</f>
        <v/>
      </c>
      <c r="E308">
        <f>INDEX(YieldCurve!$A$4:$A$63,C308+1)</f>
        <v/>
      </c>
      <c r="F308">
        <f>INDEX(YieldCurve!$B$4:$B$63,C308)</f>
        <v/>
      </c>
      <c r="G308">
        <f>INDEX(YieldCurve!$B$4:$B$63,C308+1)</f>
        <v/>
      </c>
      <c r="H308">
        <f>IF(E308=D308,0,(B308-D308)/(E308-D308))</f>
        <v/>
      </c>
      <c r="I308">
        <f>-(F308+Inputs!$B$9)*D308</f>
        <v/>
      </c>
      <c r="J308">
        <f>-(G308+Inputs!$B$9)*E308</f>
        <v/>
      </c>
      <c r="K308">
        <f>IF(B308&lt;=INDEX(YieldCurve!$A$4:$A$63,1),-(INDEX(YieldCurve!$B$4:$B$63,1)+Inputs!$B$9)*B308,IF(B308&gt;=INDEX(YieldCurve!$A$4:$A$63,ROWS(YieldCurve!$A$4:$A$63)),-(INDEX(YieldCurve!$B$4:$B$63,ROWS(YieldCurve!$B$4:$B$63))+Inputs!$B$9)*B308,I308+H308*(J308-I308)))</f>
        <v/>
      </c>
      <c r="L308">
        <f>EXP(K308)</f>
        <v/>
      </c>
    </row>
    <row r="309">
      <c r="A309" t="n">
        <v>306</v>
      </c>
      <c r="B309">
        <f>A309/Inputs!$B$6</f>
        <v/>
      </c>
      <c r="C309">
        <f>IF(B309&lt;=INDEX(YieldCurve!$A$4:$A$63,1),1,IF(B309&gt;=INDEX(YieldCurve!$A$4:$A$63,ROWS(YieldCurve!$A$4:$A$63)),ROWS(YieldCurve!$A$4:$A$63)-1,MATCH(B309,YieldCurve!$A$4:$A$63,1)))</f>
        <v/>
      </c>
      <c r="D309">
        <f>INDEX(YieldCurve!$A$4:$A$63,C309)</f>
        <v/>
      </c>
      <c r="E309">
        <f>INDEX(YieldCurve!$A$4:$A$63,C309+1)</f>
        <v/>
      </c>
      <c r="F309">
        <f>INDEX(YieldCurve!$B$4:$B$63,C309)</f>
        <v/>
      </c>
      <c r="G309">
        <f>INDEX(YieldCurve!$B$4:$B$63,C309+1)</f>
        <v/>
      </c>
      <c r="H309">
        <f>IF(E309=D309,0,(B309-D309)/(E309-D309))</f>
        <v/>
      </c>
      <c r="I309">
        <f>-(F309+Inputs!$B$9)*D309</f>
        <v/>
      </c>
      <c r="J309">
        <f>-(G309+Inputs!$B$9)*E309</f>
        <v/>
      </c>
      <c r="K309">
        <f>IF(B309&lt;=INDEX(YieldCurve!$A$4:$A$63,1),-(INDEX(YieldCurve!$B$4:$B$63,1)+Inputs!$B$9)*B309,IF(B309&gt;=INDEX(YieldCurve!$A$4:$A$63,ROWS(YieldCurve!$A$4:$A$63)),-(INDEX(YieldCurve!$B$4:$B$63,ROWS(YieldCurve!$B$4:$B$63))+Inputs!$B$9)*B309,I309+H309*(J309-I309)))</f>
        <v/>
      </c>
      <c r="L309">
        <f>EXP(K309)</f>
        <v/>
      </c>
    </row>
    <row r="310">
      <c r="A310" t="n">
        <v>307</v>
      </c>
      <c r="B310">
        <f>A310/Inputs!$B$6</f>
        <v/>
      </c>
      <c r="C310">
        <f>IF(B310&lt;=INDEX(YieldCurve!$A$4:$A$63,1),1,IF(B310&gt;=INDEX(YieldCurve!$A$4:$A$63,ROWS(YieldCurve!$A$4:$A$63)),ROWS(YieldCurve!$A$4:$A$63)-1,MATCH(B310,YieldCurve!$A$4:$A$63,1)))</f>
        <v/>
      </c>
      <c r="D310">
        <f>INDEX(YieldCurve!$A$4:$A$63,C310)</f>
        <v/>
      </c>
      <c r="E310">
        <f>INDEX(YieldCurve!$A$4:$A$63,C310+1)</f>
        <v/>
      </c>
      <c r="F310">
        <f>INDEX(YieldCurve!$B$4:$B$63,C310)</f>
        <v/>
      </c>
      <c r="G310">
        <f>INDEX(YieldCurve!$B$4:$B$63,C310+1)</f>
        <v/>
      </c>
      <c r="H310">
        <f>IF(E310=D310,0,(B310-D310)/(E310-D310))</f>
        <v/>
      </c>
      <c r="I310">
        <f>-(F310+Inputs!$B$9)*D310</f>
        <v/>
      </c>
      <c r="J310">
        <f>-(G310+Inputs!$B$9)*E310</f>
        <v/>
      </c>
      <c r="K310">
        <f>IF(B310&lt;=INDEX(YieldCurve!$A$4:$A$63,1),-(INDEX(YieldCurve!$B$4:$B$63,1)+Inputs!$B$9)*B310,IF(B310&gt;=INDEX(YieldCurve!$A$4:$A$63,ROWS(YieldCurve!$A$4:$A$63)),-(INDEX(YieldCurve!$B$4:$B$63,ROWS(YieldCurve!$B$4:$B$63))+Inputs!$B$9)*B310,I310+H310*(J310-I310)))</f>
        <v/>
      </c>
      <c r="L310">
        <f>EXP(K310)</f>
        <v/>
      </c>
    </row>
    <row r="311">
      <c r="A311" t="n">
        <v>308</v>
      </c>
      <c r="B311">
        <f>A311/Inputs!$B$6</f>
        <v/>
      </c>
      <c r="C311">
        <f>IF(B311&lt;=INDEX(YieldCurve!$A$4:$A$63,1),1,IF(B311&gt;=INDEX(YieldCurve!$A$4:$A$63,ROWS(YieldCurve!$A$4:$A$63)),ROWS(YieldCurve!$A$4:$A$63)-1,MATCH(B311,YieldCurve!$A$4:$A$63,1)))</f>
        <v/>
      </c>
      <c r="D311">
        <f>INDEX(YieldCurve!$A$4:$A$63,C311)</f>
        <v/>
      </c>
      <c r="E311">
        <f>INDEX(YieldCurve!$A$4:$A$63,C311+1)</f>
        <v/>
      </c>
      <c r="F311">
        <f>INDEX(YieldCurve!$B$4:$B$63,C311)</f>
        <v/>
      </c>
      <c r="G311">
        <f>INDEX(YieldCurve!$B$4:$B$63,C311+1)</f>
        <v/>
      </c>
      <c r="H311">
        <f>IF(E311=D311,0,(B311-D311)/(E311-D311))</f>
        <v/>
      </c>
      <c r="I311">
        <f>-(F311+Inputs!$B$9)*D311</f>
        <v/>
      </c>
      <c r="J311">
        <f>-(G311+Inputs!$B$9)*E311</f>
        <v/>
      </c>
      <c r="K311">
        <f>IF(B311&lt;=INDEX(YieldCurve!$A$4:$A$63,1),-(INDEX(YieldCurve!$B$4:$B$63,1)+Inputs!$B$9)*B311,IF(B311&gt;=INDEX(YieldCurve!$A$4:$A$63,ROWS(YieldCurve!$A$4:$A$63)),-(INDEX(YieldCurve!$B$4:$B$63,ROWS(YieldCurve!$B$4:$B$63))+Inputs!$B$9)*B311,I311+H311*(J311-I311)))</f>
        <v/>
      </c>
      <c r="L311">
        <f>EXP(K311)</f>
        <v/>
      </c>
    </row>
    <row r="312">
      <c r="A312" t="n">
        <v>309</v>
      </c>
      <c r="B312">
        <f>A312/Inputs!$B$6</f>
        <v/>
      </c>
      <c r="C312">
        <f>IF(B312&lt;=INDEX(YieldCurve!$A$4:$A$63,1),1,IF(B312&gt;=INDEX(YieldCurve!$A$4:$A$63,ROWS(YieldCurve!$A$4:$A$63)),ROWS(YieldCurve!$A$4:$A$63)-1,MATCH(B312,YieldCurve!$A$4:$A$63,1)))</f>
        <v/>
      </c>
      <c r="D312">
        <f>INDEX(YieldCurve!$A$4:$A$63,C312)</f>
        <v/>
      </c>
      <c r="E312">
        <f>INDEX(YieldCurve!$A$4:$A$63,C312+1)</f>
        <v/>
      </c>
      <c r="F312">
        <f>INDEX(YieldCurve!$B$4:$B$63,C312)</f>
        <v/>
      </c>
      <c r="G312">
        <f>INDEX(YieldCurve!$B$4:$B$63,C312+1)</f>
        <v/>
      </c>
      <c r="H312">
        <f>IF(E312=D312,0,(B312-D312)/(E312-D312))</f>
        <v/>
      </c>
      <c r="I312">
        <f>-(F312+Inputs!$B$9)*D312</f>
        <v/>
      </c>
      <c r="J312">
        <f>-(G312+Inputs!$B$9)*E312</f>
        <v/>
      </c>
      <c r="K312">
        <f>IF(B312&lt;=INDEX(YieldCurve!$A$4:$A$63,1),-(INDEX(YieldCurve!$B$4:$B$63,1)+Inputs!$B$9)*B312,IF(B312&gt;=INDEX(YieldCurve!$A$4:$A$63,ROWS(YieldCurve!$A$4:$A$63)),-(INDEX(YieldCurve!$B$4:$B$63,ROWS(YieldCurve!$B$4:$B$63))+Inputs!$B$9)*B312,I312+H312*(J312-I312)))</f>
        <v/>
      </c>
      <c r="L312">
        <f>EXP(K312)</f>
        <v/>
      </c>
    </row>
    <row r="313">
      <c r="A313" t="n">
        <v>310</v>
      </c>
      <c r="B313">
        <f>A313/Inputs!$B$6</f>
        <v/>
      </c>
      <c r="C313">
        <f>IF(B313&lt;=INDEX(YieldCurve!$A$4:$A$63,1),1,IF(B313&gt;=INDEX(YieldCurve!$A$4:$A$63,ROWS(YieldCurve!$A$4:$A$63)),ROWS(YieldCurve!$A$4:$A$63)-1,MATCH(B313,YieldCurve!$A$4:$A$63,1)))</f>
        <v/>
      </c>
      <c r="D313">
        <f>INDEX(YieldCurve!$A$4:$A$63,C313)</f>
        <v/>
      </c>
      <c r="E313">
        <f>INDEX(YieldCurve!$A$4:$A$63,C313+1)</f>
        <v/>
      </c>
      <c r="F313">
        <f>INDEX(YieldCurve!$B$4:$B$63,C313)</f>
        <v/>
      </c>
      <c r="G313">
        <f>INDEX(YieldCurve!$B$4:$B$63,C313+1)</f>
        <v/>
      </c>
      <c r="H313">
        <f>IF(E313=D313,0,(B313-D313)/(E313-D313))</f>
        <v/>
      </c>
      <c r="I313">
        <f>-(F313+Inputs!$B$9)*D313</f>
        <v/>
      </c>
      <c r="J313">
        <f>-(G313+Inputs!$B$9)*E313</f>
        <v/>
      </c>
      <c r="K313">
        <f>IF(B313&lt;=INDEX(YieldCurve!$A$4:$A$63,1),-(INDEX(YieldCurve!$B$4:$B$63,1)+Inputs!$B$9)*B313,IF(B313&gt;=INDEX(YieldCurve!$A$4:$A$63,ROWS(YieldCurve!$A$4:$A$63)),-(INDEX(YieldCurve!$B$4:$B$63,ROWS(YieldCurve!$B$4:$B$63))+Inputs!$B$9)*B313,I313+H313*(J313-I313)))</f>
        <v/>
      </c>
      <c r="L313">
        <f>EXP(K313)</f>
        <v/>
      </c>
    </row>
    <row r="314">
      <c r="A314" t="n">
        <v>311</v>
      </c>
      <c r="B314">
        <f>A314/Inputs!$B$6</f>
        <v/>
      </c>
      <c r="C314">
        <f>IF(B314&lt;=INDEX(YieldCurve!$A$4:$A$63,1),1,IF(B314&gt;=INDEX(YieldCurve!$A$4:$A$63,ROWS(YieldCurve!$A$4:$A$63)),ROWS(YieldCurve!$A$4:$A$63)-1,MATCH(B314,YieldCurve!$A$4:$A$63,1)))</f>
        <v/>
      </c>
      <c r="D314">
        <f>INDEX(YieldCurve!$A$4:$A$63,C314)</f>
        <v/>
      </c>
      <c r="E314">
        <f>INDEX(YieldCurve!$A$4:$A$63,C314+1)</f>
        <v/>
      </c>
      <c r="F314">
        <f>INDEX(YieldCurve!$B$4:$B$63,C314)</f>
        <v/>
      </c>
      <c r="G314">
        <f>INDEX(YieldCurve!$B$4:$B$63,C314+1)</f>
        <v/>
      </c>
      <c r="H314">
        <f>IF(E314=D314,0,(B314-D314)/(E314-D314))</f>
        <v/>
      </c>
      <c r="I314">
        <f>-(F314+Inputs!$B$9)*D314</f>
        <v/>
      </c>
      <c r="J314">
        <f>-(G314+Inputs!$B$9)*E314</f>
        <v/>
      </c>
      <c r="K314">
        <f>IF(B314&lt;=INDEX(YieldCurve!$A$4:$A$63,1),-(INDEX(YieldCurve!$B$4:$B$63,1)+Inputs!$B$9)*B314,IF(B314&gt;=INDEX(YieldCurve!$A$4:$A$63,ROWS(YieldCurve!$A$4:$A$63)),-(INDEX(YieldCurve!$B$4:$B$63,ROWS(YieldCurve!$B$4:$B$63))+Inputs!$B$9)*B314,I314+H314*(J314-I314)))</f>
        <v/>
      </c>
      <c r="L314">
        <f>EXP(K314)</f>
        <v/>
      </c>
    </row>
    <row r="315">
      <c r="A315" t="n">
        <v>312</v>
      </c>
      <c r="B315">
        <f>A315/Inputs!$B$6</f>
        <v/>
      </c>
      <c r="C315">
        <f>IF(B315&lt;=INDEX(YieldCurve!$A$4:$A$63,1),1,IF(B315&gt;=INDEX(YieldCurve!$A$4:$A$63,ROWS(YieldCurve!$A$4:$A$63)),ROWS(YieldCurve!$A$4:$A$63)-1,MATCH(B315,YieldCurve!$A$4:$A$63,1)))</f>
        <v/>
      </c>
      <c r="D315">
        <f>INDEX(YieldCurve!$A$4:$A$63,C315)</f>
        <v/>
      </c>
      <c r="E315">
        <f>INDEX(YieldCurve!$A$4:$A$63,C315+1)</f>
        <v/>
      </c>
      <c r="F315">
        <f>INDEX(YieldCurve!$B$4:$B$63,C315)</f>
        <v/>
      </c>
      <c r="G315">
        <f>INDEX(YieldCurve!$B$4:$B$63,C315+1)</f>
        <v/>
      </c>
      <c r="H315">
        <f>IF(E315=D315,0,(B315-D315)/(E315-D315))</f>
        <v/>
      </c>
      <c r="I315">
        <f>-(F315+Inputs!$B$9)*D315</f>
        <v/>
      </c>
      <c r="J315">
        <f>-(G315+Inputs!$B$9)*E315</f>
        <v/>
      </c>
      <c r="K315">
        <f>IF(B315&lt;=INDEX(YieldCurve!$A$4:$A$63,1),-(INDEX(YieldCurve!$B$4:$B$63,1)+Inputs!$B$9)*B315,IF(B315&gt;=INDEX(YieldCurve!$A$4:$A$63,ROWS(YieldCurve!$A$4:$A$63)),-(INDEX(YieldCurve!$B$4:$B$63,ROWS(YieldCurve!$B$4:$B$63))+Inputs!$B$9)*B315,I315+H315*(J315-I315)))</f>
        <v/>
      </c>
      <c r="L315">
        <f>EXP(K315)</f>
        <v/>
      </c>
    </row>
    <row r="316">
      <c r="A316" t="n">
        <v>313</v>
      </c>
      <c r="B316">
        <f>A316/Inputs!$B$6</f>
        <v/>
      </c>
      <c r="C316">
        <f>IF(B316&lt;=INDEX(YieldCurve!$A$4:$A$63,1),1,IF(B316&gt;=INDEX(YieldCurve!$A$4:$A$63,ROWS(YieldCurve!$A$4:$A$63)),ROWS(YieldCurve!$A$4:$A$63)-1,MATCH(B316,YieldCurve!$A$4:$A$63,1)))</f>
        <v/>
      </c>
      <c r="D316">
        <f>INDEX(YieldCurve!$A$4:$A$63,C316)</f>
        <v/>
      </c>
      <c r="E316">
        <f>INDEX(YieldCurve!$A$4:$A$63,C316+1)</f>
        <v/>
      </c>
      <c r="F316">
        <f>INDEX(YieldCurve!$B$4:$B$63,C316)</f>
        <v/>
      </c>
      <c r="G316">
        <f>INDEX(YieldCurve!$B$4:$B$63,C316+1)</f>
        <v/>
      </c>
      <c r="H316">
        <f>IF(E316=D316,0,(B316-D316)/(E316-D316))</f>
        <v/>
      </c>
      <c r="I316">
        <f>-(F316+Inputs!$B$9)*D316</f>
        <v/>
      </c>
      <c r="J316">
        <f>-(G316+Inputs!$B$9)*E316</f>
        <v/>
      </c>
      <c r="K316">
        <f>IF(B316&lt;=INDEX(YieldCurve!$A$4:$A$63,1),-(INDEX(YieldCurve!$B$4:$B$63,1)+Inputs!$B$9)*B316,IF(B316&gt;=INDEX(YieldCurve!$A$4:$A$63,ROWS(YieldCurve!$A$4:$A$63)),-(INDEX(YieldCurve!$B$4:$B$63,ROWS(YieldCurve!$B$4:$B$63))+Inputs!$B$9)*B316,I316+H316*(J316-I316)))</f>
        <v/>
      </c>
      <c r="L316">
        <f>EXP(K316)</f>
        <v/>
      </c>
    </row>
    <row r="317">
      <c r="A317" t="n">
        <v>314</v>
      </c>
      <c r="B317">
        <f>A317/Inputs!$B$6</f>
        <v/>
      </c>
      <c r="C317">
        <f>IF(B317&lt;=INDEX(YieldCurve!$A$4:$A$63,1),1,IF(B317&gt;=INDEX(YieldCurve!$A$4:$A$63,ROWS(YieldCurve!$A$4:$A$63)),ROWS(YieldCurve!$A$4:$A$63)-1,MATCH(B317,YieldCurve!$A$4:$A$63,1)))</f>
        <v/>
      </c>
      <c r="D317">
        <f>INDEX(YieldCurve!$A$4:$A$63,C317)</f>
        <v/>
      </c>
      <c r="E317">
        <f>INDEX(YieldCurve!$A$4:$A$63,C317+1)</f>
        <v/>
      </c>
      <c r="F317">
        <f>INDEX(YieldCurve!$B$4:$B$63,C317)</f>
        <v/>
      </c>
      <c r="G317">
        <f>INDEX(YieldCurve!$B$4:$B$63,C317+1)</f>
        <v/>
      </c>
      <c r="H317">
        <f>IF(E317=D317,0,(B317-D317)/(E317-D317))</f>
        <v/>
      </c>
      <c r="I317">
        <f>-(F317+Inputs!$B$9)*D317</f>
        <v/>
      </c>
      <c r="J317">
        <f>-(G317+Inputs!$B$9)*E317</f>
        <v/>
      </c>
      <c r="K317">
        <f>IF(B317&lt;=INDEX(YieldCurve!$A$4:$A$63,1),-(INDEX(YieldCurve!$B$4:$B$63,1)+Inputs!$B$9)*B317,IF(B317&gt;=INDEX(YieldCurve!$A$4:$A$63,ROWS(YieldCurve!$A$4:$A$63)),-(INDEX(YieldCurve!$B$4:$B$63,ROWS(YieldCurve!$B$4:$B$63))+Inputs!$B$9)*B317,I317+H317*(J317-I317)))</f>
        <v/>
      </c>
      <c r="L317">
        <f>EXP(K317)</f>
        <v/>
      </c>
    </row>
    <row r="318">
      <c r="A318" t="n">
        <v>315</v>
      </c>
      <c r="B318">
        <f>A318/Inputs!$B$6</f>
        <v/>
      </c>
      <c r="C318">
        <f>IF(B318&lt;=INDEX(YieldCurve!$A$4:$A$63,1),1,IF(B318&gt;=INDEX(YieldCurve!$A$4:$A$63,ROWS(YieldCurve!$A$4:$A$63)),ROWS(YieldCurve!$A$4:$A$63)-1,MATCH(B318,YieldCurve!$A$4:$A$63,1)))</f>
        <v/>
      </c>
      <c r="D318">
        <f>INDEX(YieldCurve!$A$4:$A$63,C318)</f>
        <v/>
      </c>
      <c r="E318">
        <f>INDEX(YieldCurve!$A$4:$A$63,C318+1)</f>
        <v/>
      </c>
      <c r="F318">
        <f>INDEX(YieldCurve!$B$4:$B$63,C318)</f>
        <v/>
      </c>
      <c r="G318">
        <f>INDEX(YieldCurve!$B$4:$B$63,C318+1)</f>
        <v/>
      </c>
      <c r="H318">
        <f>IF(E318=D318,0,(B318-D318)/(E318-D318))</f>
        <v/>
      </c>
      <c r="I318">
        <f>-(F318+Inputs!$B$9)*D318</f>
        <v/>
      </c>
      <c r="J318">
        <f>-(G318+Inputs!$B$9)*E318</f>
        <v/>
      </c>
      <c r="K318">
        <f>IF(B318&lt;=INDEX(YieldCurve!$A$4:$A$63,1),-(INDEX(YieldCurve!$B$4:$B$63,1)+Inputs!$B$9)*B318,IF(B318&gt;=INDEX(YieldCurve!$A$4:$A$63,ROWS(YieldCurve!$A$4:$A$63)),-(INDEX(YieldCurve!$B$4:$B$63,ROWS(YieldCurve!$B$4:$B$63))+Inputs!$B$9)*B318,I318+H318*(J318-I318)))</f>
        <v/>
      </c>
      <c r="L318">
        <f>EXP(K318)</f>
        <v/>
      </c>
    </row>
    <row r="319">
      <c r="A319" t="n">
        <v>316</v>
      </c>
      <c r="B319">
        <f>A319/Inputs!$B$6</f>
        <v/>
      </c>
      <c r="C319">
        <f>IF(B319&lt;=INDEX(YieldCurve!$A$4:$A$63,1),1,IF(B319&gt;=INDEX(YieldCurve!$A$4:$A$63,ROWS(YieldCurve!$A$4:$A$63)),ROWS(YieldCurve!$A$4:$A$63)-1,MATCH(B319,YieldCurve!$A$4:$A$63,1)))</f>
        <v/>
      </c>
      <c r="D319">
        <f>INDEX(YieldCurve!$A$4:$A$63,C319)</f>
        <v/>
      </c>
      <c r="E319">
        <f>INDEX(YieldCurve!$A$4:$A$63,C319+1)</f>
        <v/>
      </c>
      <c r="F319">
        <f>INDEX(YieldCurve!$B$4:$B$63,C319)</f>
        <v/>
      </c>
      <c r="G319">
        <f>INDEX(YieldCurve!$B$4:$B$63,C319+1)</f>
        <v/>
      </c>
      <c r="H319">
        <f>IF(E319=D319,0,(B319-D319)/(E319-D319))</f>
        <v/>
      </c>
      <c r="I319">
        <f>-(F319+Inputs!$B$9)*D319</f>
        <v/>
      </c>
      <c r="J319">
        <f>-(G319+Inputs!$B$9)*E319</f>
        <v/>
      </c>
      <c r="K319">
        <f>IF(B319&lt;=INDEX(YieldCurve!$A$4:$A$63,1),-(INDEX(YieldCurve!$B$4:$B$63,1)+Inputs!$B$9)*B319,IF(B319&gt;=INDEX(YieldCurve!$A$4:$A$63,ROWS(YieldCurve!$A$4:$A$63)),-(INDEX(YieldCurve!$B$4:$B$63,ROWS(YieldCurve!$B$4:$B$63))+Inputs!$B$9)*B319,I319+H319*(J319-I319)))</f>
        <v/>
      </c>
      <c r="L319">
        <f>EXP(K319)</f>
        <v/>
      </c>
    </row>
    <row r="320">
      <c r="A320" t="n">
        <v>317</v>
      </c>
      <c r="B320">
        <f>A320/Inputs!$B$6</f>
        <v/>
      </c>
      <c r="C320">
        <f>IF(B320&lt;=INDEX(YieldCurve!$A$4:$A$63,1),1,IF(B320&gt;=INDEX(YieldCurve!$A$4:$A$63,ROWS(YieldCurve!$A$4:$A$63)),ROWS(YieldCurve!$A$4:$A$63)-1,MATCH(B320,YieldCurve!$A$4:$A$63,1)))</f>
        <v/>
      </c>
      <c r="D320">
        <f>INDEX(YieldCurve!$A$4:$A$63,C320)</f>
        <v/>
      </c>
      <c r="E320">
        <f>INDEX(YieldCurve!$A$4:$A$63,C320+1)</f>
        <v/>
      </c>
      <c r="F320">
        <f>INDEX(YieldCurve!$B$4:$B$63,C320)</f>
        <v/>
      </c>
      <c r="G320">
        <f>INDEX(YieldCurve!$B$4:$B$63,C320+1)</f>
        <v/>
      </c>
      <c r="H320">
        <f>IF(E320=D320,0,(B320-D320)/(E320-D320))</f>
        <v/>
      </c>
      <c r="I320">
        <f>-(F320+Inputs!$B$9)*D320</f>
        <v/>
      </c>
      <c r="J320">
        <f>-(G320+Inputs!$B$9)*E320</f>
        <v/>
      </c>
      <c r="K320">
        <f>IF(B320&lt;=INDEX(YieldCurve!$A$4:$A$63,1),-(INDEX(YieldCurve!$B$4:$B$63,1)+Inputs!$B$9)*B320,IF(B320&gt;=INDEX(YieldCurve!$A$4:$A$63,ROWS(YieldCurve!$A$4:$A$63)),-(INDEX(YieldCurve!$B$4:$B$63,ROWS(YieldCurve!$B$4:$B$63))+Inputs!$B$9)*B320,I320+H320*(J320-I320)))</f>
        <v/>
      </c>
      <c r="L320">
        <f>EXP(K320)</f>
        <v/>
      </c>
    </row>
    <row r="321">
      <c r="A321" t="n">
        <v>318</v>
      </c>
      <c r="B321">
        <f>A321/Inputs!$B$6</f>
        <v/>
      </c>
      <c r="C321">
        <f>IF(B321&lt;=INDEX(YieldCurve!$A$4:$A$63,1),1,IF(B321&gt;=INDEX(YieldCurve!$A$4:$A$63,ROWS(YieldCurve!$A$4:$A$63)),ROWS(YieldCurve!$A$4:$A$63)-1,MATCH(B321,YieldCurve!$A$4:$A$63,1)))</f>
        <v/>
      </c>
      <c r="D321">
        <f>INDEX(YieldCurve!$A$4:$A$63,C321)</f>
        <v/>
      </c>
      <c r="E321">
        <f>INDEX(YieldCurve!$A$4:$A$63,C321+1)</f>
        <v/>
      </c>
      <c r="F321">
        <f>INDEX(YieldCurve!$B$4:$B$63,C321)</f>
        <v/>
      </c>
      <c r="G321">
        <f>INDEX(YieldCurve!$B$4:$B$63,C321+1)</f>
        <v/>
      </c>
      <c r="H321">
        <f>IF(E321=D321,0,(B321-D321)/(E321-D321))</f>
        <v/>
      </c>
      <c r="I321">
        <f>-(F321+Inputs!$B$9)*D321</f>
        <v/>
      </c>
      <c r="J321">
        <f>-(G321+Inputs!$B$9)*E321</f>
        <v/>
      </c>
      <c r="K321">
        <f>IF(B321&lt;=INDEX(YieldCurve!$A$4:$A$63,1),-(INDEX(YieldCurve!$B$4:$B$63,1)+Inputs!$B$9)*B321,IF(B321&gt;=INDEX(YieldCurve!$A$4:$A$63,ROWS(YieldCurve!$A$4:$A$63)),-(INDEX(YieldCurve!$B$4:$B$63,ROWS(YieldCurve!$B$4:$B$63))+Inputs!$B$9)*B321,I321+H321*(J321-I321)))</f>
        <v/>
      </c>
      <c r="L321">
        <f>EXP(K321)</f>
        <v/>
      </c>
    </row>
    <row r="322">
      <c r="A322" t="n">
        <v>319</v>
      </c>
      <c r="B322">
        <f>A322/Inputs!$B$6</f>
        <v/>
      </c>
      <c r="C322">
        <f>IF(B322&lt;=INDEX(YieldCurve!$A$4:$A$63,1),1,IF(B322&gt;=INDEX(YieldCurve!$A$4:$A$63,ROWS(YieldCurve!$A$4:$A$63)),ROWS(YieldCurve!$A$4:$A$63)-1,MATCH(B322,YieldCurve!$A$4:$A$63,1)))</f>
        <v/>
      </c>
      <c r="D322">
        <f>INDEX(YieldCurve!$A$4:$A$63,C322)</f>
        <v/>
      </c>
      <c r="E322">
        <f>INDEX(YieldCurve!$A$4:$A$63,C322+1)</f>
        <v/>
      </c>
      <c r="F322">
        <f>INDEX(YieldCurve!$B$4:$B$63,C322)</f>
        <v/>
      </c>
      <c r="G322">
        <f>INDEX(YieldCurve!$B$4:$B$63,C322+1)</f>
        <v/>
      </c>
      <c r="H322">
        <f>IF(E322=D322,0,(B322-D322)/(E322-D322))</f>
        <v/>
      </c>
      <c r="I322">
        <f>-(F322+Inputs!$B$9)*D322</f>
        <v/>
      </c>
      <c r="J322">
        <f>-(G322+Inputs!$B$9)*E322</f>
        <v/>
      </c>
      <c r="K322">
        <f>IF(B322&lt;=INDEX(YieldCurve!$A$4:$A$63,1),-(INDEX(YieldCurve!$B$4:$B$63,1)+Inputs!$B$9)*B322,IF(B322&gt;=INDEX(YieldCurve!$A$4:$A$63,ROWS(YieldCurve!$A$4:$A$63)),-(INDEX(YieldCurve!$B$4:$B$63,ROWS(YieldCurve!$B$4:$B$63))+Inputs!$B$9)*B322,I322+H322*(J322-I322)))</f>
        <v/>
      </c>
      <c r="L322">
        <f>EXP(K322)</f>
        <v/>
      </c>
    </row>
    <row r="323">
      <c r="A323" t="n">
        <v>320</v>
      </c>
      <c r="B323">
        <f>A323/Inputs!$B$6</f>
        <v/>
      </c>
      <c r="C323">
        <f>IF(B323&lt;=INDEX(YieldCurve!$A$4:$A$63,1),1,IF(B323&gt;=INDEX(YieldCurve!$A$4:$A$63,ROWS(YieldCurve!$A$4:$A$63)),ROWS(YieldCurve!$A$4:$A$63)-1,MATCH(B323,YieldCurve!$A$4:$A$63,1)))</f>
        <v/>
      </c>
      <c r="D323">
        <f>INDEX(YieldCurve!$A$4:$A$63,C323)</f>
        <v/>
      </c>
      <c r="E323">
        <f>INDEX(YieldCurve!$A$4:$A$63,C323+1)</f>
        <v/>
      </c>
      <c r="F323">
        <f>INDEX(YieldCurve!$B$4:$B$63,C323)</f>
        <v/>
      </c>
      <c r="G323">
        <f>INDEX(YieldCurve!$B$4:$B$63,C323+1)</f>
        <v/>
      </c>
      <c r="H323">
        <f>IF(E323=D323,0,(B323-D323)/(E323-D323))</f>
        <v/>
      </c>
      <c r="I323">
        <f>-(F323+Inputs!$B$9)*D323</f>
        <v/>
      </c>
      <c r="J323">
        <f>-(G323+Inputs!$B$9)*E323</f>
        <v/>
      </c>
      <c r="K323">
        <f>IF(B323&lt;=INDEX(YieldCurve!$A$4:$A$63,1),-(INDEX(YieldCurve!$B$4:$B$63,1)+Inputs!$B$9)*B323,IF(B323&gt;=INDEX(YieldCurve!$A$4:$A$63,ROWS(YieldCurve!$A$4:$A$63)),-(INDEX(YieldCurve!$B$4:$B$63,ROWS(YieldCurve!$B$4:$B$63))+Inputs!$B$9)*B323,I323+H323*(J323-I323)))</f>
        <v/>
      </c>
      <c r="L323">
        <f>EXP(K323)</f>
        <v/>
      </c>
    </row>
    <row r="324">
      <c r="A324" t="n">
        <v>321</v>
      </c>
      <c r="B324">
        <f>A324/Inputs!$B$6</f>
        <v/>
      </c>
      <c r="C324">
        <f>IF(B324&lt;=INDEX(YieldCurve!$A$4:$A$63,1),1,IF(B324&gt;=INDEX(YieldCurve!$A$4:$A$63,ROWS(YieldCurve!$A$4:$A$63)),ROWS(YieldCurve!$A$4:$A$63)-1,MATCH(B324,YieldCurve!$A$4:$A$63,1)))</f>
        <v/>
      </c>
      <c r="D324">
        <f>INDEX(YieldCurve!$A$4:$A$63,C324)</f>
        <v/>
      </c>
      <c r="E324">
        <f>INDEX(YieldCurve!$A$4:$A$63,C324+1)</f>
        <v/>
      </c>
      <c r="F324">
        <f>INDEX(YieldCurve!$B$4:$B$63,C324)</f>
        <v/>
      </c>
      <c r="G324">
        <f>INDEX(YieldCurve!$B$4:$B$63,C324+1)</f>
        <v/>
      </c>
      <c r="H324">
        <f>IF(E324=D324,0,(B324-D324)/(E324-D324))</f>
        <v/>
      </c>
      <c r="I324">
        <f>-(F324+Inputs!$B$9)*D324</f>
        <v/>
      </c>
      <c r="J324">
        <f>-(G324+Inputs!$B$9)*E324</f>
        <v/>
      </c>
      <c r="K324">
        <f>IF(B324&lt;=INDEX(YieldCurve!$A$4:$A$63,1),-(INDEX(YieldCurve!$B$4:$B$63,1)+Inputs!$B$9)*B324,IF(B324&gt;=INDEX(YieldCurve!$A$4:$A$63,ROWS(YieldCurve!$A$4:$A$63)),-(INDEX(YieldCurve!$B$4:$B$63,ROWS(YieldCurve!$B$4:$B$63))+Inputs!$B$9)*B324,I324+H324*(J324-I324)))</f>
        <v/>
      </c>
      <c r="L324">
        <f>EXP(K324)</f>
        <v/>
      </c>
    </row>
    <row r="325">
      <c r="A325" t="n">
        <v>322</v>
      </c>
      <c r="B325">
        <f>A325/Inputs!$B$6</f>
        <v/>
      </c>
      <c r="C325">
        <f>IF(B325&lt;=INDEX(YieldCurve!$A$4:$A$63,1),1,IF(B325&gt;=INDEX(YieldCurve!$A$4:$A$63,ROWS(YieldCurve!$A$4:$A$63)),ROWS(YieldCurve!$A$4:$A$63)-1,MATCH(B325,YieldCurve!$A$4:$A$63,1)))</f>
        <v/>
      </c>
      <c r="D325">
        <f>INDEX(YieldCurve!$A$4:$A$63,C325)</f>
        <v/>
      </c>
      <c r="E325">
        <f>INDEX(YieldCurve!$A$4:$A$63,C325+1)</f>
        <v/>
      </c>
      <c r="F325">
        <f>INDEX(YieldCurve!$B$4:$B$63,C325)</f>
        <v/>
      </c>
      <c r="G325">
        <f>INDEX(YieldCurve!$B$4:$B$63,C325+1)</f>
        <v/>
      </c>
      <c r="H325">
        <f>IF(E325=D325,0,(B325-D325)/(E325-D325))</f>
        <v/>
      </c>
      <c r="I325">
        <f>-(F325+Inputs!$B$9)*D325</f>
        <v/>
      </c>
      <c r="J325">
        <f>-(G325+Inputs!$B$9)*E325</f>
        <v/>
      </c>
      <c r="K325">
        <f>IF(B325&lt;=INDEX(YieldCurve!$A$4:$A$63,1),-(INDEX(YieldCurve!$B$4:$B$63,1)+Inputs!$B$9)*B325,IF(B325&gt;=INDEX(YieldCurve!$A$4:$A$63,ROWS(YieldCurve!$A$4:$A$63)),-(INDEX(YieldCurve!$B$4:$B$63,ROWS(YieldCurve!$B$4:$B$63))+Inputs!$B$9)*B325,I325+H325*(J325-I325)))</f>
        <v/>
      </c>
      <c r="L325">
        <f>EXP(K325)</f>
        <v/>
      </c>
    </row>
    <row r="326">
      <c r="A326" t="n">
        <v>323</v>
      </c>
      <c r="B326">
        <f>A326/Inputs!$B$6</f>
        <v/>
      </c>
      <c r="C326">
        <f>IF(B326&lt;=INDEX(YieldCurve!$A$4:$A$63,1),1,IF(B326&gt;=INDEX(YieldCurve!$A$4:$A$63,ROWS(YieldCurve!$A$4:$A$63)),ROWS(YieldCurve!$A$4:$A$63)-1,MATCH(B326,YieldCurve!$A$4:$A$63,1)))</f>
        <v/>
      </c>
      <c r="D326">
        <f>INDEX(YieldCurve!$A$4:$A$63,C326)</f>
        <v/>
      </c>
      <c r="E326">
        <f>INDEX(YieldCurve!$A$4:$A$63,C326+1)</f>
        <v/>
      </c>
      <c r="F326">
        <f>INDEX(YieldCurve!$B$4:$B$63,C326)</f>
        <v/>
      </c>
      <c r="G326">
        <f>INDEX(YieldCurve!$B$4:$B$63,C326+1)</f>
        <v/>
      </c>
      <c r="H326">
        <f>IF(E326=D326,0,(B326-D326)/(E326-D326))</f>
        <v/>
      </c>
      <c r="I326">
        <f>-(F326+Inputs!$B$9)*D326</f>
        <v/>
      </c>
      <c r="J326">
        <f>-(G326+Inputs!$B$9)*E326</f>
        <v/>
      </c>
      <c r="K326">
        <f>IF(B326&lt;=INDEX(YieldCurve!$A$4:$A$63,1),-(INDEX(YieldCurve!$B$4:$B$63,1)+Inputs!$B$9)*B326,IF(B326&gt;=INDEX(YieldCurve!$A$4:$A$63,ROWS(YieldCurve!$A$4:$A$63)),-(INDEX(YieldCurve!$B$4:$B$63,ROWS(YieldCurve!$B$4:$B$63))+Inputs!$B$9)*B326,I326+H326*(J326-I326)))</f>
        <v/>
      </c>
      <c r="L326">
        <f>EXP(K326)</f>
        <v/>
      </c>
    </row>
    <row r="327">
      <c r="A327" t="n">
        <v>324</v>
      </c>
      <c r="B327">
        <f>A327/Inputs!$B$6</f>
        <v/>
      </c>
      <c r="C327">
        <f>IF(B327&lt;=INDEX(YieldCurve!$A$4:$A$63,1),1,IF(B327&gt;=INDEX(YieldCurve!$A$4:$A$63,ROWS(YieldCurve!$A$4:$A$63)),ROWS(YieldCurve!$A$4:$A$63)-1,MATCH(B327,YieldCurve!$A$4:$A$63,1)))</f>
        <v/>
      </c>
      <c r="D327">
        <f>INDEX(YieldCurve!$A$4:$A$63,C327)</f>
        <v/>
      </c>
      <c r="E327">
        <f>INDEX(YieldCurve!$A$4:$A$63,C327+1)</f>
        <v/>
      </c>
      <c r="F327">
        <f>INDEX(YieldCurve!$B$4:$B$63,C327)</f>
        <v/>
      </c>
      <c r="G327">
        <f>INDEX(YieldCurve!$B$4:$B$63,C327+1)</f>
        <v/>
      </c>
      <c r="H327">
        <f>IF(E327=D327,0,(B327-D327)/(E327-D327))</f>
        <v/>
      </c>
      <c r="I327">
        <f>-(F327+Inputs!$B$9)*D327</f>
        <v/>
      </c>
      <c r="J327">
        <f>-(G327+Inputs!$B$9)*E327</f>
        <v/>
      </c>
      <c r="K327">
        <f>IF(B327&lt;=INDEX(YieldCurve!$A$4:$A$63,1),-(INDEX(YieldCurve!$B$4:$B$63,1)+Inputs!$B$9)*B327,IF(B327&gt;=INDEX(YieldCurve!$A$4:$A$63,ROWS(YieldCurve!$A$4:$A$63)),-(INDEX(YieldCurve!$B$4:$B$63,ROWS(YieldCurve!$B$4:$B$63))+Inputs!$B$9)*B327,I327+H327*(J327-I327)))</f>
        <v/>
      </c>
      <c r="L327">
        <f>EXP(K327)</f>
        <v/>
      </c>
    </row>
    <row r="328">
      <c r="A328" t="n">
        <v>325</v>
      </c>
      <c r="B328">
        <f>A328/Inputs!$B$6</f>
        <v/>
      </c>
      <c r="C328">
        <f>IF(B328&lt;=INDEX(YieldCurve!$A$4:$A$63,1),1,IF(B328&gt;=INDEX(YieldCurve!$A$4:$A$63,ROWS(YieldCurve!$A$4:$A$63)),ROWS(YieldCurve!$A$4:$A$63)-1,MATCH(B328,YieldCurve!$A$4:$A$63,1)))</f>
        <v/>
      </c>
      <c r="D328">
        <f>INDEX(YieldCurve!$A$4:$A$63,C328)</f>
        <v/>
      </c>
      <c r="E328">
        <f>INDEX(YieldCurve!$A$4:$A$63,C328+1)</f>
        <v/>
      </c>
      <c r="F328">
        <f>INDEX(YieldCurve!$B$4:$B$63,C328)</f>
        <v/>
      </c>
      <c r="G328">
        <f>INDEX(YieldCurve!$B$4:$B$63,C328+1)</f>
        <v/>
      </c>
      <c r="H328">
        <f>IF(E328=D328,0,(B328-D328)/(E328-D328))</f>
        <v/>
      </c>
      <c r="I328">
        <f>-(F328+Inputs!$B$9)*D328</f>
        <v/>
      </c>
      <c r="J328">
        <f>-(G328+Inputs!$B$9)*E328</f>
        <v/>
      </c>
      <c r="K328">
        <f>IF(B328&lt;=INDEX(YieldCurve!$A$4:$A$63,1),-(INDEX(YieldCurve!$B$4:$B$63,1)+Inputs!$B$9)*B328,IF(B328&gt;=INDEX(YieldCurve!$A$4:$A$63,ROWS(YieldCurve!$A$4:$A$63)),-(INDEX(YieldCurve!$B$4:$B$63,ROWS(YieldCurve!$B$4:$B$63))+Inputs!$B$9)*B328,I328+H328*(J328-I328)))</f>
        <v/>
      </c>
      <c r="L328">
        <f>EXP(K328)</f>
        <v/>
      </c>
    </row>
    <row r="329">
      <c r="A329" t="n">
        <v>326</v>
      </c>
      <c r="B329">
        <f>A329/Inputs!$B$6</f>
        <v/>
      </c>
      <c r="C329">
        <f>IF(B329&lt;=INDEX(YieldCurve!$A$4:$A$63,1),1,IF(B329&gt;=INDEX(YieldCurve!$A$4:$A$63,ROWS(YieldCurve!$A$4:$A$63)),ROWS(YieldCurve!$A$4:$A$63)-1,MATCH(B329,YieldCurve!$A$4:$A$63,1)))</f>
        <v/>
      </c>
      <c r="D329">
        <f>INDEX(YieldCurve!$A$4:$A$63,C329)</f>
        <v/>
      </c>
      <c r="E329">
        <f>INDEX(YieldCurve!$A$4:$A$63,C329+1)</f>
        <v/>
      </c>
      <c r="F329">
        <f>INDEX(YieldCurve!$B$4:$B$63,C329)</f>
        <v/>
      </c>
      <c r="G329">
        <f>INDEX(YieldCurve!$B$4:$B$63,C329+1)</f>
        <v/>
      </c>
      <c r="H329">
        <f>IF(E329=D329,0,(B329-D329)/(E329-D329))</f>
        <v/>
      </c>
      <c r="I329">
        <f>-(F329+Inputs!$B$9)*D329</f>
        <v/>
      </c>
      <c r="J329">
        <f>-(G329+Inputs!$B$9)*E329</f>
        <v/>
      </c>
      <c r="K329">
        <f>IF(B329&lt;=INDEX(YieldCurve!$A$4:$A$63,1),-(INDEX(YieldCurve!$B$4:$B$63,1)+Inputs!$B$9)*B329,IF(B329&gt;=INDEX(YieldCurve!$A$4:$A$63,ROWS(YieldCurve!$A$4:$A$63)),-(INDEX(YieldCurve!$B$4:$B$63,ROWS(YieldCurve!$B$4:$B$63))+Inputs!$B$9)*B329,I329+H329*(J329-I329)))</f>
        <v/>
      </c>
      <c r="L329">
        <f>EXP(K329)</f>
        <v/>
      </c>
    </row>
    <row r="330">
      <c r="A330" t="n">
        <v>327</v>
      </c>
      <c r="B330">
        <f>A330/Inputs!$B$6</f>
        <v/>
      </c>
      <c r="C330">
        <f>IF(B330&lt;=INDEX(YieldCurve!$A$4:$A$63,1),1,IF(B330&gt;=INDEX(YieldCurve!$A$4:$A$63,ROWS(YieldCurve!$A$4:$A$63)),ROWS(YieldCurve!$A$4:$A$63)-1,MATCH(B330,YieldCurve!$A$4:$A$63,1)))</f>
        <v/>
      </c>
      <c r="D330">
        <f>INDEX(YieldCurve!$A$4:$A$63,C330)</f>
        <v/>
      </c>
      <c r="E330">
        <f>INDEX(YieldCurve!$A$4:$A$63,C330+1)</f>
        <v/>
      </c>
      <c r="F330">
        <f>INDEX(YieldCurve!$B$4:$B$63,C330)</f>
        <v/>
      </c>
      <c r="G330">
        <f>INDEX(YieldCurve!$B$4:$B$63,C330+1)</f>
        <v/>
      </c>
      <c r="H330">
        <f>IF(E330=D330,0,(B330-D330)/(E330-D330))</f>
        <v/>
      </c>
      <c r="I330">
        <f>-(F330+Inputs!$B$9)*D330</f>
        <v/>
      </c>
      <c r="J330">
        <f>-(G330+Inputs!$B$9)*E330</f>
        <v/>
      </c>
      <c r="K330">
        <f>IF(B330&lt;=INDEX(YieldCurve!$A$4:$A$63,1),-(INDEX(YieldCurve!$B$4:$B$63,1)+Inputs!$B$9)*B330,IF(B330&gt;=INDEX(YieldCurve!$A$4:$A$63,ROWS(YieldCurve!$A$4:$A$63)),-(INDEX(YieldCurve!$B$4:$B$63,ROWS(YieldCurve!$B$4:$B$63))+Inputs!$B$9)*B330,I330+H330*(J330-I330)))</f>
        <v/>
      </c>
      <c r="L330">
        <f>EXP(K330)</f>
        <v/>
      </c>
    </row>
    <row r="331">
      <c r="A331" t="n">
        <v>328</v>
      </c>
      <c r="B331">
        <f>A331/Inputs!$B$6</f>
        <v/>
      </c>
      <c r="C331">
        <f>IF(B331&lt;=INDEX(YieldCurve!$A$4:$A$63,1),1,IF(B331&gt;=INDEX(YieldCurve!$A$4:$A$63,ROWS(YieldCurve!$A$4:$A$63)),ROWS(YieldCurve!$A$4:$A$63)-1,MATCH(B331,YieldCurve!$A$4:$A$63,1)))</f>
        <v/>
      </c>
      <c r="D331">
        <f>INDEX(YieldCurve!$A$4:$A$63,C331)</f>
        <v/>
      </c>
      <c r="E331">
        <f>INDEX(YieldCurve!$A$4:$A$63,C331+1)</f>
        <v/>
      </c>
      <c r="F331">
        <f>INDEX(YieldCurve!$B$4:$B$63,C331)</f>
        <v/>
      </c>
      <c r="G331">
        <f>INDEX(YieldCurve!$B$4:$B$63,C331+1)</f>
        <v/>
      </c>
      <c r="H331">
        <f>IF(E331=D331,0,(B331-D331)/(E331-D331))</f>
        <v/>
      </c>
      <c r="I331">
        <f>-(F331+Inputs!$B$9)*D331</f>
        <v/>
      </c>
      <c r="J331">
        <f>-(G331+Inputs!$B$9)*E331</f>
        <v/>
      </c>
      <c r="K331">
        <f>IF(B331&lt;=INDEX(YieldCurve!$A$4:$A$63,1),-(INDEX(YieldCurve!$B$4:$B$63,1)+Inputs!$B$9)*B331,IF(B331&gt;=INDEX(YieldCurve!$A$4:$A$63,ROWS(YieldCurve!$A$4:$A$63)),-(INDEX(YieldCurve!$B$4:$B$63,ROWS(YieldCurve!$B$4:$B$63))+Inputs!$B$9)*B331,I331+H331*(J331-I331)))</f>
        <v/>
      </c>
      <c r="L331">
        <f>EXP(K331)</f>
        <v/>
      </c>
    </row>
    <row r="332">
      <c r="A332" t="n">
        <v>329</v>
      </c>
      <c r="B332">
        <f>A332/Inputs!$B$6</f>
        <v/>
      </c>
      <c r="C332">
        <f>IF(B332&lt;=INDEX(YieldCurve!$A$4:$A$63,1),1,IF(B332&gt;=INDEX(YieldCurve!$A$4:$A$63,ROWS(YieldCurve!$A$4:$A$63)),ROWS(YieldCurve!$A$4:$A$63)-1,MATCH(B332,YieldCurve!$A$4:$A$63,1)))</f>
        <v/>
      </c>
      <c r="D332">
        <f>INDEX(YieldCurve!$A$4:$A$63,C332)</f>
        <v/>
      </c>
      <c r="E332">
        <f>INDEX(YieldCurve!$A$4:$A$63,C332+1)</f>
        <v/>
      </c>
      <c r="F332">
        <f>INDEX(YieldCurve!$B$4:$B$63,C332)</f>
        <v/>
      </c>
      <c r="G332">
        <f>INDEX(YieldCurve!$B$4:$B$63,C332+1)</f>
        <v/>
      </c>
      <c r="H332">
        <f>IF(E332=D332,0,(B332-D332)/(E332-D332))</f>
        <v/>
      </c>
      <c r="I332">
        <f>-(F332+Inputs!$B$9)*D332</f>
        <v/>
      </c>
      <c r="J332">
        <f>-(G332+Inputs!$B$9)*E332</f>
        <v/>
      </c>
      <c r="K332">
        <f>IF(B332&lt;=INDEX(YieldCurve!$A$4:$A$63,1),-(INDEX(YieldCurve!$B$4:$B$63,1)+Inputs!$B$9)*B332,IF(B332&gt;=INDEX(YieldCurve!$A$4:$A$63,ROWS(YieldCurve!$A$4:$A$63)),-(INDEX(YieldCurve!$B$4:$B$63,ROWS(YieldCurve!$B$4:$B$63))+Inputs!$B$9)*B332,I332+H332*(J332-I332)))</f>
        <v/>
      </c>
      <c r="L332">
        <f>EXP(K332)</f>
        <v/>
      </c>
    </row>
    <row r="333">
      <c r="A333" t="n">
        <v>330</v>
      </c>
      <c r="B333">
        <f>A333/Inputs!$B$6</f>
        <v/>
      </c>
      <c r="C333">
        <f>IF(B333&lt;=INDEX(YieldCurve!$A$4:$A$63,1),1,IF(B333&gt;=INDEX(YieldCurve!$A$4:$A$63,ROWS(YieldCurve!$A$4:$A$63)),ROWS(YieldCurve!$A$4:$A$63)-1,MATCH(B333,YieldCurve!$A$4:$A$63,1)))</f>
        <v/>
      </c>
      <c r="D333">
        <f>INDEX(YieldCurve!$A$4:$A$63,C333)</f>
        <v/>
      </c>
      <c r="E333">
        <f>INDEX(YieldCurve!$A$4:$A$63,C333+1)</f>
        <v/>
      </c>
      <c r="F333">
        <f>INDEX(YieldCurve!$B$4:$B$63,C333)</f>
        <v/>
      </c>
      <c r="G333">
        <f>INDEX(YieldCurve!$B$4:$B$63,C333+1)</f>
        <v/>
      </c>
      <c r="H333">
        <f>IF(E333=D333,0,(B333-D333)/(E333-D333))</f>
        <v/>
      </c>
      <c r="I333">
        <f>-(F333+Inputs!$B$9)*D333</f>
        <v/>
      </c>
      <c r="J333">
        <f>-(G333+Inputs!$B$9)*E333</f>
        <v/>
      </c>
      <c r="K333">
        <f>IF(B333&lt;=INDEX(YieldCurve!$A$4:$A$63,1),-(INDEX(YieldCurve!$B$4:$B$63,1)+Inputs!$B$9)*B333,IF(B333&gt;=INDEX(YieldCurve!$A$4:$A$63,ROWS(YieldCurve!$A$4:$A$63)),-(INDEX(YieldCurve!$B$4:$B$63,ROWS(YieldCurve!$B$4:$B$63))+Inputs!$B$9)*B333,I333+H333*(J333-I333)))</f>
        <v/>
      </c>
      <c r="L333">
        <f>EXP(K333)</f>
        <v/>
      </c>
    </row>
    <row r="334">
      <c r="A334" t="n">
        <v>331</v>
      </c>
      <c r="B334">
        <f>A334/Inputs!$B$6</f>
        <v/>
      </c>
      <c r="C334">
        <f>IF(B334&lt;=INDEX(YieldCurve!$A$4:$A$63,1),1,IF(B334&gt;=INDEX(YieldCurve!$A$4:$A$63,ROWS(YieldCurve!$A$4:$A$63)),ROWS(YieldCurve!$A$4:$A$63)-1,MATCH(B334,YieldCurve!$A$4:$A$63,1)))</f>
        <v/>
      </c>
      <c r="D334">
        <f>INDEX(YieldCurve!$A$4:$A$63,C334)</f>
        <v/>
      </c>
      <c r="E334">
        <f>INDEX(YieldCurve!$A$4:$A$63,C334+1)</f>
        <v/>
      </c>
      <c r="F334">
        <f>INDEX(YieldCurve!$B$4:$B$63,C334)</f>
        <v/>
      </c>
      <c r="G334">
        <f>INDEX(YieldCurve!$B$4:$B$63,C334+1)</f>
        <v/>
      </c>
      <c r="H334">
        <f>IF(E334=D334,0,(B334-D334)/(E334-D334))</f>
        <v/>
      </c>
      <c r="I334">
        <f>-(F334+Inputs!$B$9)*D334</f>
        <v/>
      </c>
      <c r="J334">
        <f>-(G334+Inputs!$B$9)*E334</f>
        <v/>
      </c>
      <c r="K334">
        <f>IF(B334&lt;=INDEX(YieldCurve!$A$4:$A$63,1),-(INDEX(YieldCurve!$B$4:$B$63,1)+Inputs!$B$9)*B334,IF(B334&gt;=INDEX(YieldCurve!$A$4:$A$63,ROWS(YieldCurve!$A$4:$A$63)),-(INDEX(YieldCurve!$B$4:$B$63,ROWS(YieldCurve!$B$4:$B$63))+Inputs!$B$9)*B334,I334+H334*(J334-I334)))</f>
        <v/>
      </c>
      <c r="L334">
        <f>EXP(K334)</f>
        <v/>
      </c>
    </row>
    <row r="335">
      <c r="A335" t="n">
        <v>332</v>
      </c>
      <c r="B335">
        <f>A335/Inputs!$B$6</f>
        <v/>
      </c>
      <c r="C335">
        <f>IF(B335&lt;=INDEX(YieldCurve!$A$4:$A$63,1),1,IF(B335&gt;=INDEX(YieldCurve!$A$4:$A$63,ROWS(YieldCurve!$A$4:$A$63)),ROWS(YieldCurve!$A$4:$A$63)-1,MATCH(B335,YieldCurve!$A$4:$A$63,1)))</f>
        <v/>
      </c>
      <c r="D335">
        <f>INDEX(YieldCurve!$A$4:$A$63,C335)</f>
        <v/>
      </c>
      <c r="E335">
        <f>INDEX(YieldCurve!$A$4:$A$63,C335+1)</f>
        <v/>
      </c>
      <c r="F335">
        <f>INDEX(YieldCurve!$B$4:$B$63,C335)</f>
        <v/>
      </c>
      <c r="G335">
        <f>INDEX(YieldCurve!$B$4:$B$63,C335+1)</f>
        <v/>
      </c>
      <c r="H335">
        <f>IF(E335=D335,0,(B335-D335)/(E335-D335))</f>
        <v/>
      </c>
      <c r="I335">
        <f>-(F335+Inputs!$B$9)*D335</f>
        <v/>
      </c>
      <c r="J335">
        <f>-(G335+Inputs!$B$9)*E335</f>
        <v/>
      </c>
      <c r="K335">
        <f>IF(B335&lt;=INDEX(YieldCurve!$A$4:$A$63,1),-(INDEX(YieldCurve!$B$4:$B$63,1)+Inputs!$B$9)*B335,IF(B335&gt;=INDEX(YieldCurve!$A$4:$A$63,ROWS(YieldCurve!$A$4:$A$63)),-(INDEX(YieldCurve!$B$4:$B$63,ROWS(YieldCurve!$B$4:$B$63))+Inputs!$B$9)*B335,I335+H335*(J335-I335)))</f>
        <v/>
      </c>
      <c r="L335">
        <f>EXP(K335)</f>
        <v/>
      </c>
    </row>
    <row r="336">
      <c r="A336" t="n">
        <v>333</v>
      </c>
      <c r="B336">
        <f>A336/Inputs!$B$6</f>
        <v/>
      </c>
      <c r="C336">
        <f>IF(B336&lt;=INDEX(YieldCurve!$A$4:$A$63,1),1,IF(B336&gt;=INDEX(YieldCurve!$A$4:$A$63,ROWS(YieldCurve!$A$4:$A$63)),ROWS(YieldCurve!$A$4:$A$63)-1,MATCH(B336,YieldCurve!$A$4:$A$63,1)))</f>
        <v/>
      </c>
      <c r="D336">
        <f>INDEX(YieldCurve!$A$4:$A$63,C336)</f>
        <v/>
      </c>
      <c r="E336">
        <f>INDEX(YieldCurve!$A$4:$A$63,C336+1)</f>
        <v/>
      </c>
      <c r="F336">
        <f>INDEX(YieldCurve!$B$4:$B$63,C336)</f>
        <v/>
      </c>
      <c r="G336">
        <f>INDEX(YieldCurve!$B$4:$B$63,C336+1)</f>
        <v/>
      </c>
      <c r="H336">
        <f>IF(E336=D336,0,(B336-D336)/(E336-D336))</f>
        <v/>
      </c>
      <c r="I336">
        <f>-(F336+Inputs!$B$9)*D336</f>
        <v/>
      </c>
      <c r="J336">
        <f>-(G336+Inputs!$B$9)*E336</f>
        <v/>
      </c>
      <c r="K336">
        <f>IF(B336&lt;=INDEX(YieldCurve!$A$4:$A$63,1),-(INDEX(YieldCurve!$B$4:$B$63,1)+Inputs!$B$9)*B336,IF(B336&gt;=INDEX(YieldCurve!$A$4:$A$63,ROWS(YieldCurve!$A$4:$A$63)),-(INDEX(YieldCurve!$B$4:$B$63,ROWS(YieldCurve!$B$4:$B$63))+Inputs!$B$9)*B336,I336+H336*(J336-I336)))</f>
        <v/>
      </c>
      <c r="L336">
        <f>EXP(K336)</f>
        <v/>
      </c>
    </row>
    <row r="337">
      <c r="A337" t="n">
        <v>334</v>
      </c>
      <c r="B337">
        <f>A337/Inputs!$B$6</f>
        <v/>
      </c>
      <c r="C337">
        <f>IF(B337&lt;=INDEX(YieldCurve!$A$4:$A$63,1),1,IF(B337&gt;=INDEX(YieldCurve!$A$4:$A$63,ROWS(YieldCurve!$A$4:$A$63)),ROWS(YieldCurve!$A$4:$A$63)-1,MATCH(B337,YieldCurve!$A$4:$A$63,1)))</f>
        <v/>
      </c>
      <c r="D337">
        <f>INDEX(YieldCurve!$A$4:$A$63,C337)</f>
        <v/>
      </c>
      <c r="E337">
        <f>INDEX(YieldCurve!$A$4:$A$63,C337+1)</f>
        <v/>
      </c>
      <c r="F337">
        <f>INDEX(YieldCurve!$B$4:$B$63,C337)</f>
        <v/>
      </c>
      <c r="G337">
        <f>INDEX(YieldCurve!$B$4:$B$63,C337+1)</f>
        <v/>
      </c>
      <c r="H337">
        <f>IF(E337=D337,0,(B337-D337)/(E337-D337))</f>
        <v/>
      </c>
      <c r="I337">
        <f>-(F337+Inputs!$B$9)*D337</f>
        <v/>
      </c>
      <c r="J337">
        <f>-(G337+Inputs!$B$9)*E337</f>
        <v/>
      </c>
      <c r="K337">
        <f>IF(B337&lt;=INDEX(YieldCurve!$A$4:$A$63,1),-(INDEX(YieldCurve!$B$4:$B$63,1)+Inputs!$B$9)*B337,IF(B337&gt;=INDEX(YieldCurve!$A$4:$A$63,ROWS(YieldCurve!$A$4:$A$63)),-(INDEX(YieldCurve!$B$4:$B$63,ROWS(YieldCurve!$B$4:$B$63))+Inputs!$B$9)*B337,I337+H337*(J337-I337)))</f>
        <v/>
      </c>
      <c r="L337">
        <f>EXP(K337)</f>
        <v/>
      </c>
    </row>
    <row r="338">
      <c r="A338" t="n">
        <v>335</v>
      </c>
      <c r="B338">
        <f>A338/Inputs!$B$6</f>
        <v/>
      </c>
      <c r="C338">
        <f>IF(B338&lt;=INDEX(YieldCurve!$A$4:$A$63,1),1,IF(B338&gt;=INDEX(YieldCurve!$A$4:$A$63,ROWS(YieldCurve!$A$4:$A$63)),ROWS(YieldCurve!$A$4:$A$63)-1,MATCH(B338,YieldCurve!$A$4:$A$63,1)))</f>
        <v/>
      </c>
      <c r="D338">
        <f>INDEX(YieldCurve!$A$4:$A$63,C338)</f>
        <v/>
      </c>
      <c r="E338">
        <f>INDEX(YieldCurve!$A$4:$A$63,C338+1)</f>
        <v/>
      </c>
      <c r="F338">
        <f>INDEX(YieldCurve!$B$4:$B$63,C338)</f>
        <v/>
      </c>
      <c r="G338">
        <f>INDEX(YieldCurve!$B$4:$B$63,C338+1)</f>
        <v/>
      </c>
      <c r="H338">
        <f>IF(E338=D338,0,(B338-D338)/(E338-D338))</f>
        <v/>
      </c>
      <c r="I338">
        <f>-(F338+Inputs!$B$9)*D338</f>
        <v/>
      </c>
      <c r="J338">
        <f>-(G338+Inputs!$B$9)*E338</f>
        <v/>
      </c>
      <c r="K338">
        <f>IF(B338&lt;=INDEX(YieldCurve!$A$4:$A$63,1),-(INDEX(YieldCurve!$B$4:$B$63,1)+Inputs!$B$9)*B338,IF(B338&gt;=INDEX(YieldCurve!$A$4:$A$63,ROWS(YieldCurve!$A$4:$A$63)),-(INDEX(YieldCurve!$B$4:$B$63,ROWS(YieldCurve!$B$4:$B$63))+Inputs!$B$9)*B338,I338+H338*(J338-I338)))</f>
        <v/>
      </c>
      <c r="L338">
        <f>EXP(K338)</f>
        <v/>
      </c>
    </row>
    <row r="339">
      <c r="A339" t="n">
        <v>336</v>
      </c>
      <c r="B339">
        <f>A339/Inputs!$B$6</f>
        <v/>
      </c>
      <c r="C339">
        <f>IF(B339&lt;=INDEX(YieldCurve!$A$4:$A$63,1),1,IF(B339&gt;=INDEX(YieldCurve!$A$4:$A$63,ROWS(YieldCurve!$A$4:$A$63)),ROWS(YieldCurve!$A$4:$A$63)-1,MATCH(B339,YieldCurve!$A$4:$A$63,1)))</f>
        <v/>
      </c>
      <c r="D339">
        <f>INDEX(YieldCurve!$A$4:$A$63,C339)</f>
        <v/>
      </c>
      <c r="E339">
        <f>INDEX(YieldCurve!$A$4:$A$63,C339+1)</f>
        <v/>
      </c>
      <c r="F339">
        <f>INDEX(YieldCurve!$B$4:$B$63,C339)</f>
        <v/>
      </c>
      <c r="G339">
        <f>INDEX(YieldCurve!$B$4:$B$63,C339+1)</f>
        <v/>
      </c>
      <c r="H339">
        <f>IF(E339=D339,0,(B339-D339)/(E339-D339))</f>
        <v/>
      </c>
      <c r="I339">
        <f>-(F339+Inputs!$B$9)*D339</f>
        <v/>
      </c>
      <c r="J339">
        <f>-(G339+Inputs!$B$9)*E339</f>
        <v/>
      </c>
      <c r="K339">
        <f>IF(B339&lt;=INDEX(YieldCurve!$A$4:$A$63,1),-(INDEX(YieldCurve!$B$4:$B$63,1)+Inputs!$B$9)*B339,IF(B339&gt;=INDEX(YieldCurve!$A$4:$A$63,ROWS(YieldCurve!$A$4:$A$63)),-(INDEX(YieldCurve!$B$4:$B$63,ROWS(YieldCurve!$B$4:$B$63))+Inputs!$B$9)*B339,I339+H339*(J339-I339)))</f>
        <v/>
      </c>
      <c r="L339">
        <f>EXP(K339)</f>
        <v/>
      </c>
    </row>
    <row r="340">
      <c r="A340" t="n">
        <v>337</v>
      </c>
      <c r="B340">
        <f>A340/Inputs!$B$6</f>
        <v/>
      </c>
      <c r="C340">
        <f>IF(B340&lt;=INDEX(YieldCurve!$A$4:$A$63,1),1,IF(B340&gt;=INDEX(YieldCurve!$A$4:$A$63,ROWS(YieldCurve!$A$4:$A$63)),ROWS(YieldCurve!$A$4:$A$63)-1,MATCH(B340,YieldCurve!$A$4:$A$63,1)))</f>
        <v/>
      </c>
      <c r="D340">
        <f>INDEX(YieldCurve!$A$4:$A$63,C340)</f>
        <v/>
      </c>
      <c r="E340">
        <f>INDEX(YieldCurve!$A$4:$A$63,C340+1)</f>
        <v/>
      </c>
      <c r="F340">
        <f>INDEX(YieldCurve!$B$4:$B$63,C340)</f>
        <v/>
      </c>
      <c r="G340">
        <f>INDEX(YieldCurve!$B$4:$B$63,C340+1)</f>
        <v/>
      </c>
      <c r="H340">
        <f>IF(E340=D340,0,(B340-D340)/(E340-D340))</f>
        <v/>
      </c>
      <c r="I340">
        <f>-(F340+Inputs!$B$9)*D340</f>
        <v/>
      </c>
      <c r="J340">
        <f>-(G340+Inputs!$B$9)*E340</f>
        <v/>
      </c>
      <c r="K340">
        <f>IF(B340&lt;=INDEX(YieldCurve!$A$4:$A$63,1),-(INDEX(YieldCurve!$B$4:$B$63,1)+Inputs!$B$9)*B340,IF(B340&gt;=INDEX(YieldCurve!$A$4:$A$63,ROWS(YieldCurve!$A$4:$A$63)),-(INDEX(YieldCurve!$B$4:$B$63,ROWS(YieldCurve!$B$4:$B$63))+Inputs!$B$9)*B340,I340+H340*(J340-I340)))</f>
        <v/>
      </c>
      <c r="L340">
        <f>EXP(K340)</f>
        <v/>
      </c>
    </row>
    <row r="341">
      <c r="A341" t="n">
        <v>338</v>
      </c>
      <c r="B341">
        <f>A341/Inputs!$B$6</f>
        <v/>
      </c>
      <c r="C341">
        <f>IF(B341&lt;=INDEX(YieldCurve!$A$4:$A$63,1),1,IF(B341&gt;=INDEX(YieldCurve!$A$4:$A$63,ROWS(YieldCurve!$A$4:$A$63)),ROWS(YieldCurve!$A$4:$A$63)-1,MATCH(B341,YieldCurve!$A$4:$A$63,1)))</f>
        <v/>
      </c>
      <c r="D341">
        <f>INDEX(YieldCurve!$A$4:$A$63,C341)</f>
        <v/>
      </c>
      <c r="E341">
        <f>INDEX(YieldCurve!$A$4:$A$63,C341+1)</f>
        <v/>
      </c>
      <c r="F341">
        <f>INDEX(YieldCurve!$B$4:$B$63,C341)</f>
        <v/>
      </c>
      <c r="G341">
        <f>INDEX(YieldCurve!$B$4:$B$63,C341+1)</f>
        <v/>
      </c>
      <c r="H341">
        <f>IF(E341=D341,0,(B341-D341)/(E341-D341))</f>
        <v/>
      </c>
      <c r="I341">
        <f>-(F341+Inputs!$B$9)*D341</f>
        <v/>
      </c>
      <c r="J341">
        <f>-(G341+Inputs!$B$9)*E341</f>
        <v/>
      </c>
      <c r="K341">
        <f>IF(B341&lt;=INDEX(YieldCurve!$A$4:$A$63,1),-(INDEX(YieldCurve!$B$4:$B$63,1)+Inputs!$B$9)*B341,IF(B341&gt;=INDEX(YieldCurve!$A$4:$A$63,ROWS(YieldCurve!$A$4:$A$63)),-(INDEX(YieldCurve!$B$4:$B$63,ROWS(YieldCurve!$B$4:$B$63))+Inputs!$B$9)*B341,I341+H341*(J341-I341)))</f>
        <v/>
      </c>
      <c r="L341">
        <f>EXP(K341)</f>
        <v/>
      </c>
    </row>
    <row r="342">
      <c r="A342" t="n">
        <v>339</v>
      </c>
      <c r="B342">
        <f>A342/Inputs!$B$6</f>
        <v/>
      </c>
      <c r="C342">
        <f>IF(B342&lt;=INDEX(YieldCurve!$A$4:$A$63,1),1,IF(B342&gt;=INDEX(YieldCurve!$A$4:$A$63,ROWS(YieldCurve!$A$4:$A$63)),ROWS(YieldCurve!$A$4:$A$63)-1,MATCH(B342,YieldCurve!$A$4:$A$63,1)))</f>
        <v/>
      </c>
      <c r="D342">
        <f>INDEX(YieldCurve!$A$4:$A$63,C342)</f>
        <v/>
      </c>
      <c r="E342">
        <f>INDEX(YieldCurve!$A$4:$A$63,C342+1)</f>
        <v/>
      </c>
      <c r="F342">
        <f>INDEX(YieldCurve!$B$4:$B$63,C342)</f>
        <v/>
      </c>
      <c r="G342">
        <f>INDEX(YieldCurve!$B$4:$B$63,C342+1)</f>
        <v/>
      </c>
      <c r="H342">
        <f>IF(E342=D342,0,(B342-D342)/(E342-D342))</f>
        <v/>
      </c>
      <c r="I342">
        <f>-(F342+Inputs!$B$9)*D342</f>
        <v/>
      </c>
      <c r="J342">
        <f>-(G342+Inputs!$B$9)*E342</f>
        <v/>
      </c>
      <c r="K342">
        <f>IF(B342&lt;=INDEX(YieldCurve!$A$4:$A$63,1),-(INDEX(YieldCurve!$B$4:$B$63,1)+Inputs!$B$9)*B342,IF(B342&gt;=INDEX(YieldCurve!$A$4:$A$63,ROWS(YieldCurve!$A$4:$A$63)),-(INDEX(YieldCurve!$B$4:$B$63,ROWS(YieldCurve!$B$4:$B$63))+Inputs!$B$9)*B342,I342+H342*(J342-I342)))</f>
        <v/>
      </c>
      <c r="L342">
        <f>EXP(K342)</f>
        <v/>
      </c>
    </row>
    <row r="343">
      <c r="A343" t="n">
        <v>340</v>
      </c>
      <c r="B343">
        <f>A343/Inputs!$B$6</f>
        <v/>
      </c>
      <c r="C343">
        <f>IF(B343&lt;=INDEX(YieldCurve!$A$4:$A$63,1),1,IF(B343&gt;=INDEX(YieldCurve!$A$4:$A$63,ROWS(YieldCurve!$A$4:$A$63)),ROWS(YieldCurve!$A$4:$A$63)-1,MATCH(B343,YieldCurve!$A$4:$A$63,1)))</f>
        <v/>
      </c>
      <c r="D343">
        <f>INDEX(YieldCurve!$A$4:$A$63,C343)</f>
        <v/>
      </c>
      <c r="E343">
        <f>INDEX(YieldCurve!$A$4:$A$63,C343+1)</f>
        <v/>
      </c>
      <c r="F343">
        <f>INDEX(YieldCurve!$B$4:$B$63,C343)</f>
        <v/>
      </c>
      <c r="G343">
        <f>INDEX(YieldCurve!$B$4:$B$63,C343+1)</f>
        <v/>
      </c>
      <c r="H343">
        <f>IF(E343=D343,0,(B343-D343)/(E343-D343))</f>
        <v/>
      </c>
      <c r="I343">
        <f>-(F343+Inputs!$B$9)*D343</f>
        <v/>
      </c>
      <c r="J343">
        <f>-(G343+Inputs!$B$9)*E343</f>
        <v/>
      </c>
      <c r="K343">
        <f>IF(B343&lt;=INDEX(YieldCurve!$A$4:$A$63,1),-(INDEX(YieldCurve!$B$4:$B$63,1)+Inputs!$B$9)*B343,IF(B343&gt;=INDEX(YieldCurve!$A$4:$A$63,ROWS(YieldCurve!$A$4:$A$63)),-(INDEX(YieldCurve!$B$4:$B$63,ROWS(YieldCurve!$B$4:$B$63))+Inputs!$B$9)*B343,I343+H343*(J343-I343)))</f>
        <v/>
      </c>
      <c r="L343">
        <f>EXP(K343)</f>
        <v/>
      </c>
    </row>
    <row r="344">
      <c r="A344" t="n">
        <v>341</v>
      </c>
      <c r="B344">
        <f>A344/Inputs!$B$6</f>
        <v/>
      </c>
      <c r="C344">
        <f>IF(B344&lt;=INDEX(YieldCurve!$A$4:$A$63,1),1,IF(B344&gt;=INDEX(YieldCurve!$A$4:$A$63,ROWS(YieldCurve!$A$4:$A$63)),ROWS(YieldCurve!$A$4:$A$63)-1,MATCH(B344,YieldCurve!$A$4:$A$63,1)))</f>
        <v/>
      </c>
      <c r="D344">
        <f>INDEX(YieldCurve!$A$4:$A$63,C344)</f>
        <v/>
      </c>
      <c r="E344">
        <f>INDEX(YieldCurve!$A$4:$A$63,C344+1)</f>
        <v/>
      </c>
      <c r="F344">
        <f>INDEX(YieldCurve!$B$4:$B$63,C344)</f>
        <v/>
      </c>
      <c r="G344">
        <f>INDEX(YieldCurve!$B$4:$B$63,C344+1)</f>
        <v/>
      </c>
      <c r="H344">
        <f>IF(E344=D344,0,(B344-D344)/(E344-D344))</f>
        <v/>
      </c>
      <c r="I344">
        <f>-(F344+Inputs!$B$9)*D344</f>
        <v/>
      </c>
      <c r="J344">
        <f>-(G344+Inputs!$B$9)*E344</f>
        <v/>
      </c>
      <c r="K344">
        <f>IF(B344&lt;=INDEX(YieldCurve!$A$4:$A$63,1),-(INDEX(YieldCurve!$B$4:$B$63,1)+Inputs!$B$9)*B344,IF(B344&gt;=INDEX(YieldCurve!$A$4:$A$63,ROWS(YieldCurve!$A$4:$A$63)),-(INDEX(YieldCurve!$B$4:$B$63,ROWS(YieldCurve!$B$4:$B$63))+Inputs!$B$9)*B344,I344+H344*(J344-I344)))</f>
        <v/>
      </c>
      <c r="L344">
        <f>EXP(K344)</f>
        <v/>
      </c>
    </row>
    <row r="345">
      <c r="A345" t="n">
        <v>342</v>
      </c>
      <c r="B345">
        <f>A345/Inputs!$B$6</f>
        <v/>
      </c>
      <c r="C345">
        <f>IF(B345&lt;=INDEX(YieldCurve!$A$4:$A$63,1),1,IF(B345&gt;=INDEX(YieldCurve!$A$4:$A$63,ROWS(YieldCurve!$A$4:$A$63)),ROWS(YieldCurve!$A$4:$A$63)-1,MATCH(B345,YieldCurve!$A$4:$A$63,1)))</f>
        <v/>
      </c>
      <c r="D345">
        <f>INDEX(YieldCurve!$A$4:$A$63,C345)</f>
        <v/>
      </c>
      <c r="E345">
        <f>INDEX(YieldCurve!$A$4:$A$63,C345+1)</f>
        <v/>
      </c>
      <c r="F345">
        <f>INDEX(YieldCurve!$B$4:$B$63,C345)</f>
        <v/>
      </c>
      <c r="G345">
        <f>INDEX(YieldCurve!$B$4:$B$63,C345+1)</f>
        <v/>
      </c>
      <c r="H345">
        <f>IF(E345=D345,0,(B345-D345)/(E345-D345))</f>
        <v/>
      </c>
      <c r="I345">
        <f>-(F345+Inputs!$B$9)*D345</f>
        <v/>
      </c>
      <c r="J345">
        <f>-(G345+Inputs!$B$9)*E345</f>
        <v/>
      </c>
      <c r="K345">
        <f>IF(B345&lt;=INDEX(YieldCurve!$A$4:$A$63,1),-(INDEX(YieldCurve!$B$4:$B$63,1)+Inputs!$B$9)*B345,IF(B345&gt;=INDEX(YieldCurve!$A$4:$A$63,ROWS(YieldCurve!$A$4:$A$63)),-(INDEX(YieldCurve!$B$4:$B$63,ROWS(YieldCurve!$B$4:$B$63))+Inputs!$B$9)*B345,I345+H345*(J345-I345)))</f>
        <v/>
      </c>
      <c r="L345">
        <f>EXP(K345)</f>
        <v/>
      </c>
    </row>
    <row r="346">
      <c r="A346" t="n">
        <v>343</v>
      </c>
      <c r="B346">
        <f>A346/Inputs!$B$6</f>
        <v/>
      </c>
      <c r="C346">
        <f>IF(B346&lt;=INDEX(YieldCurve!$A$4:$A$63,1),1,IF(B346&gt;=INDEX(YieldCurve!$A$4:$A$63,ROWS(YieldCurve!$A$4:$A$63)),ROWS(YieldCurve!$A$4:$A$63)-1,MATCH(B346,YieldCurve!$A$4:$A$63,1)))</f>
        <v/>
      </c>
      <c r="D346">
        <f>INDEX(YieldCurve!$A$4:$A$63,C346)</f>
        <v/>
      </c>
      <c r="E346">
        <f>INDEX(YieldCurve!$A$4:$A$63,C346+1)</f>
        <v/>
      </c>
      <c r="F346">
        <f>INDEX(YieldCurve!$B$4:$B$63,C346)</f>
        <v/>
      </c>
      <c r="G346">
        <f>INDEX(YieldCurve!$B$4:$B$63,C346+1)</f>
        <v/>
      </c>
      <c r="H346">
        <f>IF(E346=D346,0,(B346-D346)/(E346-D346))</f>
        <v/>
      </c>
      <c r="I346">
        <f>-(F346+Inputs!$B$9)*D346</f>
        <v/>
      </c>
      <c r="J346">
        <f>-(G346+Inputs!$B$9)*E346</f>
        <v/>
      </c>
      <c r="K346">
        <f>IF(B346&lt;=INDEX(YieldCurve!$A$4:$A$63,1),-(INDEX(YieldCurve!$B$4:$B$63,1)+Inputs!$B$9)*B346,IF(B346&gt;=INDEX(YieldCurve!$A$4:$A$63,ROWS(YieldCurve!$A$4:$A$63)),-(INDEX(YieldCurve!$B$4:$B$63,ROWS(YieldCurve!$B$4:$B$63))+Inputs!$B$9)*B346,I346+H346*(J346-I346)))</f>
        <v/>
      </c>
      <c r="L346">
        <f>EXP(K346)</f>
        <v/>
      </c>
    </row>
    <row r="347">
      <c r="A347" t="n">
        <v>344</v>
      </c>
      <c r="B347">
        <f>A347/Inputs!$B$6</f>
        <v/>
      </c>
      <c r="C347">
        <f>IF(B347&lt;=INDEX(YieldCurve!$A$4:$A$63,1),1,IF(B347&gt;=INDEX(YieldCurve!$A$4:$A$63,ROWS(YieldCurve!$A$4:$A$63)),ROWS(YieldCurve!$A$4:$A$63)-1,MATCH(B347,YieldCurve!$A$4:$A$63,1)))</f>
        <v/>
      </c>
      <c r="D347">
        <f>INDEX(YieldCurve!$A$4:$A$63,C347)</f>
        <v/>
      </c>
      <c r="E347">
        <f>INDEX(YieldCurve!$A$4:$A$63,C347+1)</f>
        <v/>
      </c>
      <c r="F347">
        <f>INDEX(YieldCurve!$B$4:$B$63,C347)</f>
        <v/>
      </c>
      <c r="G347">
        <f>INDEX(YieldCurve!$B$4:$B$63,C347+1)</f>
        <v/>
      </c>
      <c r="H347">
        <f>IF(E347=D347,0,(B347-D347)/(E347-D347))</f>
        <v/>
      </c>
      <c r="I347">
        <f>-(F347+Inputs!$B$9)*D347</f>
        <v/>
      </c>
      <c r="J347">
        <f>-(G347+Inputs!$B$9)*E347</f>
        <v/>
      </c>
      <c r="K347">
        <f>IF(B347&lt;=INDEX(YieldCurve!$A$4:$A$63,1),-(INDEX(YieldCurve!$B$4:$B$63,1)+Inputs!$B$9)*B347,IF(B347&gt;=INDEX(YieldCurve!$A$4:$A$63,ROWS(YieldCurve!$A$4:$A$63)),-(INDEX(YieldCurve!$B$4:$B$63,ROWS(YieldCurve!$B$4:$B$63))+Inputs!$B$9)*B347,I347+H347*(J347-I347)))</f>
        <v/>
      </c>
      <c r="L347">
        <f>EXP(K347)</f>
        <v/>
      </c>
    </row>
    <row r="348">
      <c r="A348" t="n">
        <v>345</v>
      </c>
      <c r="B348">
        <f>A348/Inputs!$B$6</f>
        <v/>
      </c>
      <c r="C348">
        <f>IF(B348&lt;=INDEX(YieldCurve!$A$4:$A$63,1),1,IF(B348&gt;=INDEX(YieldCurve!$A$4:$A$63,ROWS(YieldCurve!$A$4:$A$63)),ROWS(YieldCurve!$A$4:$A$63)-1,MATCH(B348,YieldCurve!$A$4:$A$63,1)))</f>
        <v/>
      </c>
      <c r="D348">
        <f>INDEX(YieldCurve!$A$4:$A$63,C348)</f>
        <v/>
      </c>
      <c r="E348">
        <f>INDEX(YieldCurve!$A$4:$A$63,C348+1)</f>
        <v/>
      </c>
      <c r="F348">
        <f>INDEX(YieldCurve!$B$4:$B$63,C348)</f>
        <v/>
      </c>
      <c r="G348">
        <f>INDEX(YieldCurve!$B$4:$B$63,C348+1)</f>
        <v/>
      </c>
      <c r="H348">
        <f>IF(E348=D348,0,(B348-D348)/(E348-D348))</f>
        <v/>
      </c>
      <c r="I348">
        <f>-(F348+Inputs!$B$9)*D348</f>
        <v/>
      </c>
      <c r="J348">
        <f>-(G348+Inputs!$B$9)*E348</f>
        <v/>
      </c>
      <c r="K348">
        <f>IF(B348&lt;=INDEX(YieldCurve!$A$4:$A$63,1),-(INDEX(YieldCurve!$B$4:$B$63,1)+Inputs!$B$9)*B348,IF(B348&gt;=INDEX(YieldCurve!$A$4:$A$63,ROWS(YieldCurve!$A$4:$A$63)),-(INDEX(YieldCurve!$B$4:$B$63,ROWS(YieldCurve!$B$4:$B$63))+Inputs!$B$9)*B348,I348+H348*(J348-I348)))</f>
        <v/>
      </c>
      <c r="L348">
        <f>EXP(K348)</f>
        <v/>
      </c>
    </row>
    <row r="349">
      <c r="A349" t="n">
        <v>346</v>
      </c>
      <c r="B349">
        <f>A349/Inputs!$B$6</f>
        <v/>
      </c>
      <c r="C349">
        <f>IF(B349&lt;=INDEX(YieldCurve!$A$4:$A$63,1),1,IF(B349&gt;=INDEX(YieldCurve!$A$4:$A$63,ROWS(YieldCurve!$A$4:$A$63)),ROWS(YieldCurve!$A$4:$A$63)-1,MATCH(B349,YieldCurve!$A$4:$A$63,1)))</f>
        <v/>
      </c>
      <c r="D349">
        <f>INDEX(YieldCurve!$A$4:$A$63,C349)</f>
        <v/>
      </c>
      <c r="E349">
        <f>INDEX(YieldCurve!$A$4:$A$63,C349+1)</f>
        <v/>
      </c>
      <c r="F349">
        <f>INDEX(YieldCurve!$B$4:$B$63,C349)</f>
        <v/>
      </c>
      <c r="G349">
        <f>INDEX(YieldCurve!$B$4:$B$63,C349+1)</f>
        <v/>
      </c>
      <c r="H349">
        <f>IF(E349=D349,0,(B349-D349)/(E349-D349))</f>
        <v/>
      </c>
      <c r="I349">
        <f>-(F349+Inputs!$B$9)*D349</f>
        <v/>
      </c>
      <c r="J349">
        <f>-(G349+Inputs!$B$9)*E349</f>
        <v/>
      </c>
      <c r="K349">
        <f>IF(B349&lt;=INDEX(YieldCurve!$A$4:$A$63,1),-(INDEX(YieldCurve!$B$4:$B$63,1)+Inputs!$B$9)*B349,IF(B349&gt;=INDEX(YieldCurve!$A$4:$A$63,ROWS(YieldCurve!$A$4:$A$63)),-(INDEX(YieldCurve!$B$4:$B$63,ROWS(YieldCurve!$B$4:$B$63))+Inputs!$B$9)*B349,I349+H349*(J349-I349)))</f>
        <v/>
      </c>
      <c r="L349">
        <f>EXP(K349)</f>
        <v/>
      </c>
    </row>
    <row r="350">
      <c r="A350" t="n">
        <v>347</v>
      </c>
      <c r="B350">
        <f>A350/Inputs!$B$6</f>
        <v/>
      </c>
      <c r="C350">
        <f>IF(B350&lt;=INDEX(YieldCurve!$A$4:$A$63,1),1,IF(B350&gt;=INDEX(YieldCurve!$A$4:$A$63,ROWS(YieldCurve!$A$4:$A$63)),ROWS(YieldCurve!$A$4:$A$63)-1,MATCH(B350,YieldCurve!$A$4:$A$63,1)))</f>
        <v/>
      </c>
      <c r="D350">
        <f>INDEX(YieldCurve!$A$4:$A$63,C350)</f>
        <v/>
      </c>
      <c r="E350">
        <f>INDEX(YieldCurve!$A$4:$A$63,C350+1)</f>
        <v/>
      </c>
      <c r="F350">
        <f>INDEX(YieldCurve!$B$4:$B$63,C350)</f>
        <v/>
      </c>
      <c r="G350">
        <f>INDEX(YieldCurve!$B$4:$B$63,C350+1)</f>
        <v/>
      </c>
      <c r="H350">
        <f>IF(E350=D350,0,(B350-D350)/(E350-D350))</f>
        <v/>
      </c>
      <c r="I350">
        <f>-(F350+Inputs!$B$9)*D350</f>
        <v/>
      </c>
      <c r="J350">
        <f>-(G350+Inputs!$B$9)*E350</f>
        <v/>
      </c>
      <c r="K350">
        <f>IF(B350&lt;=INDEX(YieldCurve!$A$4:$A$63,1),-(INDEX(YieldCurve!$B$4:$B$63,1)+Inputs!$B$9)*B350,IF(B350&gt;=INDEX(YieldCurve!$A$4:$A$63,ROWS(YieldCurve!$A$4:$A$63)),-(INDEX(YieldCurve!$B$4:$B$63,ROWS(YieldCurve!$B$4:$B$63))+Inputs!$B$9)*B350,I350+H350*(J350-I350)))</f>
        <v/>
      </c>
      <c r="L350">
        <f>EXP(K350)</f>
        <v/>
      </c>
    </row>
    <row r="351">
      <c r="A351" t="n">
        <v>348</v>
      </c>
      <c r="B351">
        <f>A351/Inputs!$B$6</f>
        <v/>
      </c>
      <c r="C351">
        <f>IF(B351&lt;=INDEX(YieldCurve!$A$4:$A$63,1),1,IF(B351&gt;=INDEX(YieldCurve!$A$4:$A$63,ROWS(YieldCurve!$A$4:$A$63)),ROWS(YieldCurve!$A$4:$A$63)-1,MATCH(B351,YieldCurve!$A$4:$A$63,1)))</f>
        <v/>
      </c>
      <c r="D351">
        <f>INDEX(YieldCurve!$A$4:$A$63,C351)</f>
        <v/>
      </c>
      <c r="E351">
        <f>INDEX(YieldCurve!$A$4:$A$63,C351+1)</f>
        <v/>
      </c>
      <c r="F351">
        <f>INDEX(YieldCurve!$B$4:$B$63,C351)</f>
        <v/>
      </c>
      <c r="G351">
        <f>INDEX(YieldCurve!$B$4:$B$63,C351+1)</f>
        <v/>
      </c>
      <c r="H351">
        <f>IF(E351=D351,0,(B351-D351)/(E351-D351))</f>
        <v/>
      </c>
      <c r="I351">
        <f>-(F351+Inputs!$B$9)*D351</f>
        <v/>
      </c>
      <c r="J351">
        <f>-(G351+Inputs!$B$9)*E351</f>
        <v/>
      </c>
      <c r="K351">
        <f>IF(B351&lt;=INDEX(YieldCurve!$A$4:$A$63,1),-(INDEX(YieldCurve!$B$4:$B$63,1)+Inputs!$B$9)*B351,IF(B351&gt;=INDEX(YieldCurve!$A$4:$A$63,ROWS(YieldCurve!$A$4:$A$63)),-(INDEX(YieldCurve!$B$4:$B$63,ROWS(YieldCurve!$B$4:$B$63))+Inputs!$B$9)*B351,I351+H351*(J351-I351)))</f>
        <v/>
      </c>
      <c r="L351">
        <f>EXP(K351)</f>
        <v/>
      </c>
    </row>
    <row r="352">
      <c r="A352" t="n">
        <v>349</v>
      </c>
      <c r="B352">
        <f>A352/Inputs!$B$6</f>
        <v/>
      </c>
      <c r="C352">
        <f>IF(B352&lt;=INDEX(YieldCurve!$A$4:$A$63,1),1,IF(B352&gt;=INDEX(YieldCurve!$A$4:$A$63,ROWS(YieldCurve!$A$4:$A$63)),ROWS(YieldCurve!$A$4:$A$63)-1,MATCH(B352,YieldCurve!$A$4:$A$63,1)))</f>
        <v/>
      </c>
      <c r="D352">
        <f>INDEX(YieldCurve!$A$4:$A$63,C352)</f>
        <v/>
      </c>
      <c r="E352">
        <f>INDEX(YieldCurve!$A$4:$A$63,C352+1)</f>
        <v/>
      </c>
      <c r="F352">
        <f>INDEX(YieldCurve!$B$4:$B$63,C352)</f>
        <v/>
      </c>
      <c r="G352">
        <f>INDEX(YieldCurve!$B$4:$B$63,C352+1)</f>
        <v/>
      </c>
      <c r="H352">
        <f>IF(E352=D352,0,(B352-D352)/(E352-D352))</f>
        <v/>
      </c>
      <c r="I352">
        <f>-(F352+Inputs!$B$9)*D352</f>
        <v/>
      </c>
      <c r="J352">
        <f>-(G352+Inputs!$B$9)*E352</f>
        <v/>
      </c>
      <c r="K352">
        <f>IF(B352&lt;=INDEX(YieldCurve!$A$4:$A$63,1),-(INDEX(YieldCurve!$B$4:$B$63,1)+Inputs!$B$9)*B352,IF(B352&gt;=INDEX(YieldCurve!$A$4:$A$63,ROWS(YieldCurve!$A$4:$A$63)),-(INDEX(YieldCurve!$B$4:$B$63,ROWS(YieldCurve!$B$4:$B$63))+Inputs!$B$9)*B352,I352+H352*(J352-I352)))</f>
        <v/>
      </c>
      <c r="L352">
        <f>EXP(K352)</f>
        <v/>
      </c>
    </row>
    <row r="353">
      <c r="A353" t="n">
        <v>350</v>
      </c>
      <c r="B353">
        <f>A353/Inputs!$B$6</f>
        <v/>
      </c>
      <c r="C353">
        <f>IF(B353&lt;=INDEX(YieldCurve!$A$4:$A$63,1),1,IF(B353&gt;=INDEX(YieldCurve!$A$4:$A$63,ROWS(YieldCurve!$A$4:$A$63)),ROWS(YieldCurve!$A$4:$A$63)-1,MATCH(B353,YieldCurve!$A$4:$A$63,1)))</f>
        <v/>
      </c>
      <c r="D353">
        <f>INDEX(YieldCurve!$A$4:$A$63,C353)</f>
        <v/>
      </c>
      <c r="E353">
        <f>INDEX(YieldCurve!$A$4:$A$63,C353+1)</f>
        <v/>
      </c>
      <c r="F353">
        <f>INDEX(YieldCurve!$B$4:$B$63,C353)</f>
        <v/>
      </c>
      <c r="G353">
        <f>INDEX(YieldCurve!$B$4:$B$63,C353+1)</f>
        <v/>
      </c>
      <c r="H353">
        <f>IF(E353=D353,0,(B353-D353)/(E353-D353))</f>
        <v/>
      </c>
      <c r="I353">
        <f>-(F353+Inputs!$B$9)*D353</f>
        <v/>
      </c>
      <c r="J353">
        <f>-(G353+Inputs!$B$9)*E353</f>
        <v/>
      </c>
      <c r="K353">
        <f>IF(B353&lt;=INDEX(YieldCurve!$A$4:$A$63,1),-(INDEX(YieldCurve!$B$4:$B$63,1)+Inputs!$B$9)*B353,IF(B353&gt;=INDEX(YieldCurve!$A$4:$A$63,ROWS(YieldCurve!$A$4:$A$63)),-(INDEX(YieldCurve!$B$4:$B$63,ROWS(YieldCurve!$B$4:$B$63))+Inputs!$B$9)*B353,I353+H353*(J353-I353)))</f>
        <v/>
      </c>
      <c r="L353">
        <f>EXP(K353)</f>
        <v/>
      </c>
    </row>
    <row r="354">
      <c r="A354" t="n">
        <v>351</v>
      </c>
      <c r="B354">
        <f>A354/Inputs!$B$6</f>
        <v/>
      </c>
      <c r="C354">
        <f>IF(B354&lt;=INDEX(YieldCurve!$A$4:$A$63,1),1,IF(B354&gt;=INDEX(YieldCurve!$A$4:$A$63,ROWS(YieldCurve!$A$4:$A$63)),ROWS(YieldCurve!$A$4:$A$63)-1,MATCH(B354,YieldCurve!$A$4:$A$63,1)))</f>
        <v/>
      </c>
      <c r="D354">
        <f>INDEX(YieldCurve!$A$4:$A$63,C354)</f>
        <v/>
      </c>
      <c r="E354">
        <f>INDEX(YieldCurve!$A$4:$A$63,C354+1)</f>
        <v/>
      </c>
      <c r="F354">
        <f>INDEX(YieldCurve!$B$4:$B$63,C354)</f>
        <v/>
      </c>
      <c r="G354">
        <f>INDEX(YieldCurve!$B$4:$B$63,C354+1)</f>
        <v/>
      </c>
      <c r="H354">
        <f>IF(E354=D354,0,(B354-D354)/(E354-D354))</f>
        <v/>
      </c>
      <c r="I354">
        <f>-(F354+Inputs!$B$9)*D354</f>
        <v/>
      </c>
      <c r="J354">
        <f>-(G354+Inputs!$B$9)*E354</f>
        <v/>
      </c>
      <c r="K354">
        <f>IF(B354&lt;=INDEX(YieldCurve!$A$4:$A$63,1),-(INDEX(YieldCurve!$B$4:$B$63,1)+Inputs!$B$9)*B354,IF(B354&gt;=INDEX(YieldCurve!$A$4:$A$63,ROWS(YieldCurve!$A$4:$A$63)),-(INDEX(YieldCurve!$B$4:$B$63,ROWS(YieldCurve!$B$4:$B$63))+Inputs!$B$9)*B354,I354+H354*(J354-I354)))</f>
        <v/>
      </c>
      <c r="L354">
        <f>EXP(K354)</f>
        <v/>
      </c>
    </row>
    <row r="355">
      <c r="A355" t="n">
        <v>352</v>
      </c>
      <c r="B355">
        <f>A355/Inputs!$B$6</f>
        <v/>
      </c>
      <c r="C355">
        <f>IF(B355&lt;=INDEX(YieldCurve!$A$4:$A$63,1),1,IF(B355&gt;=INDEX(YieldCurve!$A$4:$A$63,ROWS(YieldCurve!$A$4:$A$63)),ROWS(YieldCurve!$A$4:$A$63)-1,MATCH(B355,YieldCurve!$A$4:$A$63,1)))</f>
        <v/>
      </c>
      <c r="D355">
        <f>INDEX(YieldCurve!$A$4:$A$63,C355)</f>
        <v/>
      </c>
      <c r="E355">
        <f>INDEX(YieldCurve!$A$4:$A$63,C355+1)</f>
        <v/>
      </c>
      <c r="F355">
        <f>INDEX(YieldCurve!$B$4:$B$63,C355)</f>
        <v/>
      </c>
      <c r="G355">
        <f>INDEX(YieldCurve!$B$4:$B$63,C355+1)</f>
        <v/>
      </c>
      <c r="H355">
        <f>IF(E355=D355,0,(B355-D355)/(E355-D355))</f>
        <v/>
      </c>
      <c r="I355">
        <f>-(F355+Inputs!$B$9)*D355</f>
        <v/>
      </c>
      <c r="J355">
        <f>-(G355+Inputs!$B$9)*E355</f>
        <v/>
      </c>
      <c r="K355">
        <f>IF(B355&lt;=INDEX(YieldCurve!$A$4:$A$63,1),-(INDEX(YieldCurve!$B$4:$B$63,1)+Inputs!$B$9)*B355,IF(B355&gt;=INDEX(YieldCurve!$A$4:$A$63,ROWS(YieldCurve!$A$4:$A$63)),-(INDEX(YieldCurve!$B$4:$B$63,ROWS(YieldCurve!$B$4:$B$63))+Inputs!$B$9)*B355,I355+H355*(J355-I355)))</f>
        <v/>
      </c>
      <c r="L355">
        <f>EXP(K355)</f>
        <v/>
      </c>
    </row>
    <row r="356">
      <c r="A356" t="n">
        <v>353</v>
      </c>
      <c r="B356">
        <f>A356/Inputs!$B$6</f>
        <v/>
      </c>
      <c r="C356">
        <f>IF(B356&lt;=INDEX(YieldCurve!$A$4:$A$63,1),1,IF(B356&gt;=INDEX(YieldCurve!$A$4:$A$63,ROWS(YieldCurve!$A$4:$A$63)),ROWS(YieldCurve!$A$4:$A$63)-1,MATCH(B356,YieldCurve!$A$4:$A$63,1)))</f>
        <v/>
      </c>
      <c r="D356">
        <f>INDEX(YieldCurve!$A$4:$A$63,C356)</f>
        <v/>
      </c>
      <c r="E356">
        <f>INDEX(YieldCurve!$A$4:$A$63,C356+1)</f>
        <v/>
      </c>
      <c r="F356">
        <f>INDEX(YieldCurve!$B$4:$B$63,C356)</f>
        <v/>
      </c>
      <c r="G356">
        <f>INDEX(YieldCurve!$B$4:$B$63,C356+1)</f>
        <v/>
      </c>
      <c r="H356">
        <f>IF(E356=D356,0,(B356-D356)/(E356-D356))</f>
        <v/>
      </c>
      <c r="I356">
        <f>-(F356+Inputs!$B$9)*D356</f>
        <v/>
      </c>
      <c r="J356">
        <f>-(G356+Inputs!$B$9)*E356</f>
        <v/>
      </c>
      <c r="K356">
        <f>IF(B356&lt;=INDEX(YieldCurve!$A$4:$A$63,1),-(INDEX(YieldCurve!$B$4:$B$63,1)+Inputs!$B$9)*B356,IF(B356&gt;=INDEX(YieldCurve!$A$4:$A$63,ROWS(YieldCurve!$A$4:$A$63)),-(INDEX(YieldCurve!$B$4:$B$63,ROWS(YieldCurve!$B$4:$B$63))+Inputs!$B$9)*B356,I356+H356*(J356-I356)))</f>
        <v/>
      </c>
      <c r="L356">
        <f>EXP(K356)</f>
        <v/>
      </c>
    </row>
    <row r="357">
      <c r="A357" t="n">
        <v>354</v>
      </c>
      <c r="B357">
        <f>A357/Inputs!$B$6</f>
        <v/>
      </c>
      <c r="C357">
        <f>IF(B357&lt;=INDEX(YieldCurve!$A$4:$A$63,1),1,IF(B357&gt;=INDEX(YieldCurve!$A$4:$A$63,ROWS(YieldCurve!$A$4:$A$63)),ROWS(YieldCurve!$A$4:$A$63)-1,MATCH(B357,YieldCurve!$A$4:$A$63,1)))</f>
        <v/>
      </c>
      <c r="D357">
        <f>INDEX(YieldCurve!$A$4:$A$63,C357)</f>
        <v/>
      </c>
      <c r="E357">
        <f>INDEX(YieldCurve!$A$4:$A$63,C357+1)</f>
        <v/>
      </c>
      <c r="F357">
        <f>INDEX(YieldCurve!$B$4:$B$63,C357)</f>
        <v/>
      </c>
      <c r="G357">
        <f>INDEX(YieldCurve!$B$4:$B$63,C357+1)</f>
        <v/>
      </c>
      <c r="H357">
        <f>IF(E357=D357,0,(B357-D357)/(E357-D357))</f>
        <v/>
      </c>
      <c r="I357">
        <f>-(F357+Inputs!$B$9)*D357</f>
        <v/>
      </c>
      <c r="J357">
        <f>-(G357+Inputs!$B$9)*E357</f>
        <v/>
      </c>
      <c r="K357">
        <f>IF(B357&lt;=INDEX(YieldCurve!$A$4:$A$63,1),-(INDEX(YieldCurve!$B$4:$B$63,1)+Inputs!$B$9)*B357,IF(B357&gt;=INDEX(YieldCurve!$A$4:$A$63,ROWS(YieldCurve!$A$4:$A$63)),-(INDEX(YieldCurve!$B$4:$B$63,ROWS(YieldCurve!$B$4:$B$63))+Inputs!$B$9)*B357,I357+H357*(J357-I357)))</f>
        <v/>
      </c>
      <c r="L357">
        <f>EXP(K357)</f>
        <v/>
      </c>
    </row>
    <row r="358">
      <c r="A358" t="n">
        <v>355</v>
      </c>
      <c r="B358">
        <f>A358/Inputs!$B$6</f>
        <v/>
      </c>
      <c r="C358">
        <f>IF(B358&lt;=INDEX(YieldCurve!$A$4:$A$63,1),1,IF(B358&gt;=INDEX(YieldCurve!$A$4:$A$63,ROWS(YieldCurve!$A$4:$A$63)),ROWS(YieldCurve!$A$4:$A$63)-1,MATCH(B358,YieldCurve!$A$4:$A$63,1)))</f>
        <v/>
      </c>
      <c r="D358">
        <f>INDEX(YieldCurve!$A$4:$A$63,C358)</f>
        <v/>
      </c>
      <c r="E358">
        <f>INDEX(YieldCurve!$A$4:$A$63,C358+1)</f>
        <v/>
      </c>
      <c r="F358">
        <f>INDEX(YieldCurve!$B$4:$B$63,C358)</f>
        <v/>
      </c>
      <c r="G358">
        <f>INDEX(YieldCurve!$B$4:$B$63,C358+1)</f>
        <v/>
      </c>
      <c r="H358">
        <f>IF(E358=D358,0,(B358-D358)/(E358-D358))</f>
        <v/>
      </c>
      <c r="I358">
        <f>-(F358+Inputs!$B$9)*D358</f>
        <v/>
      </c>
      <c r="J358">
        <f>-(G358+Inputs!$B$9)*E358</f>
        <v/>
      </c>
      <c r="K358">
        <f>IF(B358&lt;=INDEX(YieldCurve!$A$4:$A$63,1),-(INDEX(YieldCurve!$B$4:$B$63,1)+Inputs!$B$9)*B358,IF(B358&gt;=INDEX(YieldCurve!$A$4:$A$63,ROWS(YieldCurve!$A$4:$A$63)),-(INDEX(YieldCurve!$B$4:$B$63,ROWS(YieldCurve!$B$4:$B$63))+Inputs!$B$9)*B358,I358+H358*(J358-I358)))</f>
        <v/>
      </c>
      <c r="L358">
        <f>EXP(K358)</f>
        <v/>
      </c>
    </row>
    <row r="359">
      <c r="A359" t="n">
        <v>356</v>
      </c>
      <c r="B359">
        <f>A359/Inputs!$B$6</f>
        <v/>
      </c>
      <c r="C359">
        <f>IF(B359&lt;=INDEX(YieldCurve!$A$4:$A$63,1),1,IF(B359&gt;=INDEX(YieldCurve!$A$4:$A$63,ROWS(YieldCurve!$A$4:$A$63)),ROWS(YieldCurve!$A$4:$A$63)-1,MATCH(B359,YieldCurve!$A$4:$A$63,1)))</f>
        <v/>
      </c>
      <c r="D359">
        <f>INDEX(YieldCurve!$A$4:$A$63,C359)</f>
        <v/>
      </c>
      <c r="E359">
        <f>INDEX(YieldCurve!$A$4:$A$63,C359+1)</f>
        <v/>
      </c>
      <c r="F359">
        <f>INDEX(YieldCurve!$B$4:$B$63,C359)</f>
        <v/>
      </c>
      <c r="G359">
        <f>INDEX(YieldCurve!$B$4:$B$63,C359+1)</f>
        <v/>
      </c>
      <c r="H359">
        <f>IF(E359=D359,0,(B359-D359)/(E359-D359))</f>
        <v/>
      </c>
      <c r="I359">
        <f>-(F359+Inputs!$B$9)*D359</f>
        <v/>
      </c>
      <c r="J359">
        <f>-(G359+Inputs!$B$9)*E359</f>
        <v/>
      </c>
      <c r="K359">
        <f>IF(B359&lt;=INDEX(YieldCurve!$A$4:$A$63,1),-(INDEX(YieldCurve!$B$4:$B$63,1)+Inputs!$B$9)*B359,IF(B359&gt;=INDEX(YieldCurve!$A$4:$A$63,ROWS(YieldCurve!$A$4:$A$63)),-(INDEX(YieldCurve!$B$4:$B$63,ROWS(YieldCurve!$B$4:$B$63))+Inputs!$B$9)*B359,I359+H359*(J359-I359)))</f>
        <v/>
      </c>
      <c r="L359">
        <f>EXP(K359)</f>
        <v/>
      </c>
    </row>
    <row r="360">
      <c r="A360" t="n">
        <v>357</v>
      </c>
      <c r="B360">
        <f>A360/Inputs!$B$6</f>
        <v/>
      </c>
      <c r="C360">
        <f>IF(B360&lt;=INDEX(YieldCurve!$A$4:$A$63,1),1,IF(B360&gt;=INDEX(YieldCurve!$A$4:$A$63,ROWS(YieldCurve!$A$4:$A$63)),ROWS(YieldCurve!$A$4:$A$63)-1,MATCH(B360,YieldCurve!$A$4:$A$63,1)))</f>
        <v/>
      </c>
      <c r="D360">
        <f>INDEX(YieldCurve!$A$4:$A$63,C360)</f>
        <v/>
      </c>
      <c r="E360">
        <f>INDEX(YieldCurve!$A$4:$A$63,C360+1)</f>
        <v/>
      </c>
      <c r="F360">
        <f>INDEX(YieldCurve!$B$4:$B$63,C360)</f>
        <v/>
      </c>
      <c r="G360">
        <f>INDEX(YieldCurve!$B$4:$B$63,C360+1)</f>
        <v/>
      </c>
      <c r="H360">
        <f>IF(E360=D360,0,(B360-D360)/(E360-D360))</f>
        <v/>
      </c>
      <c r="I360">
        <f>-(F360+Inputs!$B$9)*D360</f>
        <v/>
      </c>
      <c r="J360">
        <f>-(G360+Inputs!$B$9)*E360</f>
        <v/>
      </c>
      <c r="K360">
        <f>IF(B360&lt;=INDEX(YieldCurve!$A$4:$A$63,1),-(INDEX(YieldCurve!$B$4:$B$63,1)+Inputs!$B$9)*B360,IF(B360&gt;=INDEX(YieldCurve!$A$4:$A$63,ROWS(YieldCurve!$A$4:$A$63)),-(INDEX(YieldCurve!$B$4:$B$63,ROWS(YieldCurve!$B$4:$B$63))+Inputs!$B$9)*B360,I360+H360*(J360-I360)))</f>
        <v/>
      </c>
      <c r="L360">
        <f>EXP(K360)</f>
        <v/>
      </c>
    </row>
    <row r="361">
      <c r="A361" t="n">
        <v>358</v>
      </c>
      <c r="B361">
        <f>A361/Inputs!$B$6</f>
        <v/>
      </c>
      <c r="C361">
        <f>IF(B361&lt;=INDEX(YieldCurve!$A$4:$A$63,1),1,IF(B361&gt;=INDEX(YieldCurve!$A$4:$A$63,ROWS(YieldCurve!$A$4:$A$63)),ROWS(YieldCurve!$A$4:$A$63)-1,MATCH(B361,YieldCurve!$A$4:$A$63,1)))</f>
        <v/>
      </c>
      <c r="D361">
        <f>INDEX(YieldCurve!$A$4:$A$63,C361)</f>
        <v/>
      </c>
      <c r="E361">
        <f>INDEX(YieldCurve!$A$4:$A$63,C361+1)</f>
        <v/>
      </c>
      <c r="F361">
        <f>INDEX(YieldCurve!$B$4:$B$63,C361)</f>
        <v/>
      </c>
      <c r="G361">
        <f>INDEX(YieldCurve!$B$4:$B$63,C361+1)</f>
        <v/>
      </c>
      <c r="H361">
        <f>IF(E361=D361,0,(B361-D361)/(E361-D361))</f>
        <v/>
      </c>
      <c r="I361">
        <f>-(F361+Inputs!$B$9)*D361</f>
        <v/>
      </c>
      <c r="J361">
        <f>-(G361+Inputs!$B$9)*E361</f>
        <v/>
      </c>
      <c r="K361">
        <f>IF(B361&lt;=INDEX(YieldCurve!$A$4:$A$63,1),-(INDEX(YieldCurve!$B$4:$B$63,1)+Inputs!$B$9)*B361,IF(B361&gt;=INDEX(YieldCurve!$A$4:$A$63,ROWS(YieldCurve!$A$4:$A$63)),-(INDEX(YieldCurve!$B$4:$B$63,ROWS(YieldCurve!$B$4:$B$63))+Inputs!$B$9)*B361,I361+H361*(J361-I361)))</f>
        <v/>
      </c>
      <c r="L361">
        <f>EXP(K361)</f>
        <v/>
      </c>
    </row>
    <row r="362">
      <c r="A362" t="n">
        <v>359</v>
      </c>
      <c r="B362">
        <f>A362/Inputs!$B$6</f>
        <v/>
      </c>
      <c r="C362">
        <f>IF(B362&lt;=INDEX(YieldCurve!$A$4:$A$63,1),1,IF(B362&gt;=INDEX(YieldCurve!$A$4:$A$63,ROWS(YieldCurve!$A$4:$A$63)),ROWS(YieldCurve!$A$4:$A$63)-1,MATCH(B362,YieldCurve!$A$4:$A$63,1)))</f>
        <v/>
      </c>
      <c r="D362">
        <f>INDEX(YieldCurve!$A$4:$A$63,C362)</f>
        <v/>
      </c>
      <c r="E362">
        <f>INDEX(YieldCurve!$A$4:$A$63,C362+1)</f>
        <v/>
      </c>
      <c r="F362">
        <f>INDEX(YieldCurve!$B$4:$B$63,C362)</f>
        <v/>
      </c>
      <c r="G362">
        <f>INDEX(YieldCurve!$B$4:$B$63,C362+1)</f>
        <v/>
      </c>
      <c r="H362">
        <f>IF(E362=D362,0,(B362-D362)/(E362-D362))</f>
        <v/>
      </c>
      <c r="I362">
        <f>-(F362+Inputs!$B$9)*D362</f>
        <v/>
      </c>
      <c r="J362">
        <f>-(G362+Inputs!$B$9)*E362</f>
        <v/>
      </c>
      <c r="K362">
        <f>IF(B362&lt;=INDEX(YieldCurve!$A$4:$A$63,1),-(INDEX(YieldCurve!$B$4:$B$63,1)+Inputs!$B$9)*B362,IF(B362&gt;=INDEX(YieldCurve!$A$4:$A$63,ROWS(YieldCurve!$A$4:$A$63)),-(INDEX(YieldCurve!$B$4:$B$63,ROWS(YieldCurve!$B$4:$B$63))+Inputs!$B$9)*B362,I362+H362*(J362-I362)))</f>
        <v/>
      </c>
      <c r="L362">
        <f>EXP(K362)</f>
        <v/>
      </c>
    </row>
    <row r="363">
      <c r="A363" t="n">
        <v>360</v>
      </c>
      <c r="B363">
        <f>A363/Inputs!$B$6</f>
        <v/>
      </c>
      <c r="C363">
        <f>IF(B363&lt;=INDEX(YieldCurve!$A$4:$A$63,1),1,IF(B363&gt;=INDEX(YieldCurve!$A$4:$A$63,ROWS(YieldCurve!$A$4:$A$63)),ROWS(YieldCurve!$A$4:$A$63)-1,MATCH(B363,YieldCurve!$A$4:$A$63,1)))</f>
        <v/>
      </c>
      <c r="D363">
        <f>INDEX(YieldCurve!$A$4:$A$63,C363)</f>
        <v/>
      </c>
      <c r="E363">
        <f>INDEX(YieldCurve!$A$4:$A$63,C363+1)</f>
        <v/>
      </c>
      <c r="F363">
        <f>INDEX(YieldCurve!$B$4:$B$63,C363)</f>
        <v/>
      </c>
      <c r="G363">
        <f>INDEX(YieldCurve!$B$4:$B$63,C363+1)</f>
        <v/>
      </c>
      <c r="H363">
        <f>IF(E363=D363,0,(B363-D363)/(E363-D363))</f>
        <v/>
      </c>
      <c r="I363">
        <f>-(F363+Inputs!$B$9)*D363</f>
        <v/>
      </c>
      <c r="J363">
        <f>-(G363+Inputs!$B$9)*E363</f>
        <v/>
      </c>
      <c r="K363">
        <f>IF(B363&lt;=INDEX(YieldCurve!$A$4:$A$63,1),-(INDEX(YieldCurve!$B$4:$B$63,1)+Inputs!$B$9)*B363,IF(B363&gt;=INDEX(YieldCurve!$A$4:$A$63,ROWS(YieldCurve!$A$4:$A$63)),-(INDEX(YieldCurve!$B$4:$B$63,ROWS(YieldCurve!$B$4:$B$63))+Inputs!$B$9)*B363,I363+H363*(J363-I363)))</f>
        <v/>
      </c>
      <c r="L363">
        <f>EXP(K363)</f>
        <v/>
      </c>
    </row>
    <row r="364">
      <c r="A364" t="n">
        <v>361</v>
      </c>
      <c r="B364">
        <f>A364/Inputs!$B$6</f>
        <v/>
      </c>
      <c r="C364">
        <f>IF(B364&lt;=INDEX(YieldCurve!$A$4:$A$63,1),1,IF(B364&gt;=INDEX(YieldCurve!$A$4:$A$63,ROWS(YieldCurve!$A$4:$A$63)),ROWS(YieldCurve!$A$4:$A$63)-1,MATCH(B364,YieldCurve!$A$4:$A$63,1)))</f>
        <v/>
      </c>
      <c r="D364">
        <f>INDEX(YieldCurve!$A$4:$A$63,C364)</f>
        <v/>
      </c>
      <c r="E364">
        <f>INDEX(YieldCurve!$A$4:$A$63,C364+1)</f>
        <v/>
      </c>
      <c r="F364">
        <f>INDEX(YieldCurve!$B$4:$B$63,C364)</f>
        <v/>
      </c>
      <c r="G364">
        <f>INDEX(YieldCurve!$B$4:$B$63,C364+1)</f>
        <v/>
      </c>
      <c r="H364">
        <f>IF(E364=D364,0,(B364-D364)/(E364-D364))</f>
        <v/>
      </c>
      <c r="I364">
        <f>-(F364+Inputs!$B$9)*D364</f>
        <v/>
      </c>
      <c r="J364">
        <f>-(G364+Inputs!$B$9)*E364</f>
        <v/>
      </c>
      <c r="K364">
        <f>IF(B364&lt;=INDEX(YieldCurve!$A$4:$A$63,1),-(INDEX(YieldCurve!$B$4:$B$63,1)+Inputs!$B$9)*B364,IF(B364&gt;=INDEX(YieldCurve!$A$4:$A$63,ROWS(YieldCurve!$A$4:$A$63)),-(INDEX(YieldCurve!$B$4:$B$63,ROWS(YieldCurve!$B$4:$B$63))+Inputs!$B$9)*B364,I364+H364*(J364-I364)))</f>
        <v/>
      </c>
      <c r="L364">
        <f>EXP(K364)</f>
        <v/>
      </c>
    </row>
    <row r="365">
      <c r="A365" t="n">
        <v>362</v>
      </c>
      <c r="B365">
        <f>A365/Inputs!$B$6</f>
        <v/>
      </c>
      <c r="C365">
        <f>IF(B365&lt;=INDEX(YieldCurve!$A$4:$A$63,1),1,IF(B365&gt;=INDEX(YieldCurve!$A$4:$A$63,ROWS(YieldCurve!$A$4:$A$63)),ROWS(YieldCurve!$A$4:$A$63)-1,MATCH(B365,YieldCurve!$A$4:$A$63,1)))</f>
        <v/>
      </c>
      <c r="D365">
        <f>INDEX(YieldCurve!$A$4:$A$63,C365)</f>
        <v/>
      </c>
      <c r="E365">
        <f>INDEX(YieldCurve!$A$4:$A$63,C365+1)</f>
        <v/>
      </c>
      <c r="F365">
        <f>INDEX(YieldCurve!$B$4:$B$63,C365)</f>
        <v/>
      </c>
      <c r="G365">
        <f>INDEX(YieldCurve!$B$4:$B$63,C365+1)</f>
        <v/>
      </c>
      <c r="H365">
        <f>IF(E365=D365,0,(B365-D365)/(E365-D365))</f>
        <v/>
      </c>
      <c r="I365">
        <f>-(F365+Inputs!$B$9)*D365</f>
        <v/>
      </c>
      <c r="J365">
        <f>-(G365+Inputs!$B$9)*E365</f>
        <v/>
      </c>
      <c r="K365">
        <f>IF(B365&lt;=INDEX(YieldCurve!$A$4:$A$63,1),-(INDEX(YieldCurve!$B$4:$B$63,1)+Inputs!$B$9)*B365,IF(B365&gt;=INDEX(YieldCurve!$A$4:$A$63,ROWS(YieldCurve!$A$4:$A$63)),-(INDEX(YieldCurve!$B$4:$B$63,ROWS(YieldCurve!$B$4:$B$63))+Inputs!$B$9)*B365,I365+H365*(J365-I365)))</f>
        <v/>
      </c>
      <c r="L365">
        <f>EXP(K365)</f>
        <v/>
      </c>
    </row>
    <row r="366">
      <c r="A366" t="n">
        <v>363</v>
      </c>
      <c r="B366">
        <f>A366/Inputs!$B$6</f>
        <v/>
      </c>
      <c r="C366">
        <f>IF(B366&lt;=INDEX(YieldCurve!$A$4:$A$63,1),1,IF(B366&gt;=INDEX(YieldCurve!$A$4:$A$63,ROWS(YieldCurve!$A$4:$A$63)),ROWS(YieldCurve!$A$4:$A$63)-1,MATCH(B366,YieldCurve!$A$4:$A$63,1)))</f>
        <v/>
      </c>
      <c r="D366">
        <f>INDEX(YieldCurve!$A$4:$A$63,C366)</f>
        <v/>
      </c>
      <c r="E366">
        <f>INDEX(YieldCurve!$A$4:$A$63,C366+1)</f>
        <v/>
      </c>
      <c r="F366">
        <f>INDEX(YieldCurve!$B$4:$B$63,C366)</f>
        <v/>
      </c>
      <c r="G366">
        <f>INDEX(YieldCurve!$B$4:$B$63,C366+1)</f>
        <v/>
      </c>
      <c r="H366">
        <f>IF(E366=D366,0,(B366-D366)/(E366-D366))</f>
        <v/>
      </c>
      <c r="I366">
        <f>-(F366+Inputs!$B$9)*D366</f>
        <v/>
      </c>
      <c r="J366">
        <f>-(G366+Inputs!$B$9)*E366</f>
        <v/>
      </c>
      <c r="K366">
        <f>IF(B366&lt;=INDEX(YieldCurve!$A$4:$A$63,1),-(INDEX(YieldCurve!$B$4:$B$63,1)+Inputs!$B$9)*B366,IF(B366&gt;=INDEX(YieldCurve!$A$4:$A$63,ROWS(YieldCurve!$A$4:$A$63)),-(INDEX(YieldCurve!$B$4:$B$63,ROWS(YieldCurve!$B$4:$B$63))+Inputs!$B$9)*B366,I366+H366*(J366-I366)))</f>
        <v/>
      </c>
      <c r="L366">
        <f>EXP(K366)</f>
        <v/>
      </c>
    </row>
    <row r="367">
      <c r="A367" t="n">
        <v>364</v>
      </c>
      <c r="B367">
        <f>A367/Inputs!$B$6</f>
        <v/>
      </c>
      <c r="C367">
        <f>IF(B367&lt;=INDEX(YieldCurve!$A$4:$A$63,1),1,IF(B367&gt;=INDEX(YieldCurve!$A$4:$A$63,ROWS(YieldCurve!$A$4:$A$63)),ROWS(YieldCurve!$A$4:$A$63)-1,MATCH(B367,YieldCurve!$A$4:$A$63,1)))</f>
        <v/>
      </c>
      <c r="D367">
        <f>INDEX(YieldCurve!$A$4:$A$63,C367)</f>
        <v/>
      </c>
      <c r="E367">
        <f>INDEX(YieldCurve!$A$4:$A$63,C367+1)</f>
        <v/>
      </c>
      <c r="F367">
        <f>INDEX(YieldCurve!$B$4:$B$63,C367)</f>
        <v/>
      </c>
      <c r="G367">
        <f>INDEX(YieldCurve!$B$4:$B$63,C367+1)</f>
        <v/>
      </c>
      <c r="H367">
        <f>IF(E367=D367,0,(B367-D367)/(E367-D367))</f>
        <v/>
      </c>
      <c r="I367">
        <f>-(F367+Inputs!$B$9)*D367</f>
        <v/>
      </c>
      <c r="J367">
        <f>-(G367+Inputs!$B$9)*E367</f>
        <v/>
      </c>
      <c r="K367">
        <f>IF(B367&lt;=INDEX(YieldCurve!$A$4:$A$63,1),-(INDEX(YieldCurve!$B$4:$B$63,1)+Inputs!$B$9)*B367,IF(B367&gt;=INDEX(YieldCurve!$A$4:$A$63,ROWS(YieldCurve!$A$4:$A$63)),-(INDEX(YieldCurve!$B$4:$B$63,ROWS(YieldCurve!$B$4:$B$63))+Inputs!$B$9)*B367,I367+H367*(J367-I367)))</f>
        <v/>
      </c>
      <c r="L367">
        <f>EXP(K367)</f>
        <v/>
      </c>
    </row>
    <row r="368">
      <c r="A368" t="n">
        <v>365</v>
      </c>
      <c r="B368">
        <f>A368/Inputs!$B$6</f>
        <v/>
      </c>
      <c r="C368">
        <f>IF(B368&lt;=INDEX(YieldCurve!$A$4:$A$63,1),1,IF(B368&gt;=INDEX(YieldCurve!$A$4:$A$63,ROWS(YieldCurve!$A$4:$A$63)),ROWS(YieldCurve!$A$4:$A$63)-1,MATCH(B368,YieldCurve!$A$4:$A$63,1)))</f>
        <v/>
      </c>
      <c r="D368">
        <f>INDEX(YieldCurve!$A$4:$A$63,C368)</f>
        <v/>
      </c>
      <c r="E368">
        <f>INDEX(YieldCurve!$A$4:$A$63,C368+1)</f>
        <v/>
      </c>
      <c r="F368">
        <f>INDEX(YieldCurve!$B$4:$B$63,C368)</f>
        <v/>
      </c>
      <c r="G368">
        <f>INDEX(YieldCurve!$B$4:$B$63,C368+1)</f>
        <v/>
      </c>
      <c r="H368">
        <f>IF(E368=D368,0,(B368-D368)/(E368-D368))</f>
        <v/>
      </c>
      <c r="I368">
        <f>-(F368+Inputs!$B$9)*D368</f>
        <v/>
      </c>
      <c r="J368">
        <f>-(G368+Inputs!$B$9)*E368</f>
        <v/>
      </c>
      <c r="K368">
        <f>IF(B368&lt;=INDEX(YieldCurve!$A$4:$A$63,1),-(INDEX(YieldCurve!$B$4:$B$63,1)+Inputs!$B$9)*B368,IF(B368&gt;=INDEX(YieldCurve!$A$4:$A$63,ROWS(YieldCurve!$A$4:$A$63)),-(INDEX(YieldCurve!$B$4:$B$63,ROWS(YieldCurve!$B$4:$B$63))+Inputs!$B$9)*B368,I368+H368*(J368-I368)))</f>
        <v/>
      </c>
      <c r="L368">
        <f>EXP(K368)</f>
        <v/>
      </c>
    </row>
    <row r="369">
      <c r="A369" t="n">
        <v>366</v>
      </c>
      <c r="B369">
        <f>A369/Inputs!$B$6</f>
        <v/>
      </c>
      <c r="C369">
        <f>IF(B369&lt;=INDEX(YieldCurve!$A$4:$A$63,1),1,IF(B369&gt;=INDEX(YieldCurve!$A$4:$A$63,ROWS(YieldCurve!$A$4:$A$63)),ROWS(YieldCurve!$A$4:$A$63)-1,MATCH(B369,YieldCurve!$A$4:$A$63,1)))</f>
        <v/>
      </c>
      <c r="D369">
        <f>INDEX(YieldCurve!$A$4:$A$63,C369)</f>
        <v/>
      </c>
      <c r="E369">
        <f>INDEX(YieldCurve!$A$4:$A$63,C369+1)</f>
        <v/>
      </c>
      <c r="F369">
        <f>INDEX(YieldCurve!$B$4:$B$63,C369)</f>
        <v/>
      </c>
      <c r="G369">
        <f>INDEX(YieldCurve!$B$4:$B$63,C369+1)</f>
        <v/>
      </c>
      <c r="H369">
        <f>IF(E369=D369,0,(B369-D369)/(E369-D369))</f>
        <v/>
      </c>
      <c r="I369">
        <f>-(F369+Inputs!$B$9)*D369</f>
        <v/>
      </c>
      <c r="J369">
        <f>-(G369+Inputs!$B$9)*E369</f>
        <v/>
      </c>
      <c r="K369">
        <f>IF(B369&lt;=INDEX(YieldCurve!$A$4:$A$63,1),-(INDEX(YieldCurve!$B$4:$B$63,1)+Inputs!$B$9)*B369,IF(B369&gt;=INDEX(YieldCurve!$A$4:$A$63,ROWS(YieldCurve!$A$4:$A$63)),-(INDEX(YieldCurve!$B$4:$B$63,ROWS(YieldCurve!$B$4:$B$63))+Inputs!$B$9)*B369,I369+H369*(J369-I369)))</f>
        <v/>
      </c>
      <c r="L369">
        <f>EXP(K369)</f>
        <v/>
      </c>
    </row>
    <row r="370">
      <c r="A370" t="n">
        <v>367</v>
      </c>
      <c r="B370">
        <f>A370/Inputs!$B$6</f>
        <v/>
      </c>
      <c r="C370">
        <f>IF(B370&lt;=INDEX(YieldCurve!$A$4:$A$63,1),1,IF(B370&gt;=INDEX(YieldCurve!$A$4:$A$63,ROWS(YieldCurve!$A$4:$A$63)),ROWS(YieldCurve!$A$4:$A$63)-1,MATCH(B370,YieldCurve!$A$4:$A$63,1)))</f>
        <v/>
      </c>
      <c r="D370">
        <f>INDEX(YieldCurve!$A$4:$A$63,C370)</f>
        <v/>
      </c>
      <c r="E370">
        <f>INDEX(YieldCurve!$A$4:$A$63,C370+1)</f>
        <v/>
      </c>
      <c r="F370">
        <f>INDEX(YieldCurve!$B$4:$B$63,C370)</f>
        <v/>
      </c>
      <c r="G370">
        <f>INDEX(YieldCurve!$B$4:$B$63,C370+1)</f>
        <v/>
      </c>
      <c r="H370">
        <f>IF(E370=D370,0,(B370-D370)/(E370-D370))</f>
        <v/>
      </c>
      <c r="I370">
        <f>-(F370+Inputs!$B$9)*D370</f>
        <v/>
      </c>
      <c r="J370">
        <f>-(G370+Inputs!$B$9)*E370</f>
        <v/>
      </c>
      <c r="K370">
        <f>IF(B370&lt;=INDEX(YieldCurve!$A$4:$A$63,1),-(INDEX(YieldCurve!$B$4:$B$63,1)+Inputs!$B$9)*B370,IF(B370&gt;=INDEX(YieldCurve!$A$4:$A$63,ROWS(YieldCurve!$A$4:$A$63)),-(INDEX(YieldCurve!$B$4:$B$63,ROWS(YieldCurve!$B$4:$B$63))+Inputs!$B$9)*B370,I370+H370*(J370-I370)))</f>
        <v/>
      </c>
      <c r="L370">
        <f>EXP(K370)</f>
        <v/>
      </c>
    </row>
    <row r="371">
      <c r="A371" t="n">
        <v>368</v>
      </c>
      <c r="B371">
        <f>A371/Inputs!$B$6</f>
        <v/>
      </c>
      <c r="C371">
        <f>IF(B371&lt;=INDEX(YieldCurve!$A$4:$A$63,1),1,IF(B371&gt;=INDEX(YieldCurve!$A$4:$A$63,ROWS(YieldCurve!$A$4:$A$63)),ROWS(YieldCurve!$A$4:$A$63)-1,MATCH(B371,YieldCurve!$A$4:$A$63,1)))</f>
        <v/>
      </c>
      <c r="D371">
        <f>INDEX(YieldCurve!$A$4:$A$63,C371)</f>
        <v/>
      </c>
      <c r="E371">
        <f>INDEX(YieldCurve!$A$4:$A$63,C371+1)</f>
        <v/>
      </c>
      <c r="F371">
        <f>INDEX(YieldCurve!$B$4:$B$63,C371)</f>
        <v/>
      </c>
      <c r="G371">
        <f>INDEX(YieldCurve!$B$4:$B$63,C371+1)</f>
        <v/>
      </c>
      <c r="H371">
        <f>IF(E371=D371,0,(B371-D371)/(E371-D371))</f>
        <v/>
      </c>
      <c r="I371">
        <f>-(F371+Inputs!$B$9)*D371</f>
        <v/>
      </c>
      <c r="J371">
        <f>-(G371+Inputs!$B$9)*E371</f>
        <v/>
      </c>
      <c r="K371">
        <f>IF(B371&lt;=INDEX(YieldCurve!$A$4:$A$63,1),-(INDEX(YieldCurve!$B$4:$B$63,1)+Inputs!$B$9)*B371,IF(B371&gt;=INDEX(YieldCurve!$A$4:$A$63,ROWS(YieldCurve!$A$4:$A$63)),-(INDEX(YieldCurve!$B$4:$B$63,ROWS(YieldCurve!$B$4:$B$63))+Inputs!$B$9)*B371,I371+H371*(J371-I371)))</f>
        <v/>
      </c>
      <c r="L371">
        <f>EXP(K371)</f>
        <v/>
      </c>
    </row>
    <row r="372">
      <c r="A372" t="n">
        <v>369</v>
      </c>
      <c r="B372">
        <f>A372/Inputs!$B$6</f>
        <v/>
      </c>
      <c r="C372">
        <f>IF(B372&lt;=INDEX(YieldCurve!$A$4:$A$63,1),1,IF(B372&gt;=INDEX(YieldCurve!$A$4:$A$63,ROWS(YieldCurve!$A$4:$A$63)),ROWS(YieldCurve!$A$4:$A$63)-1,MATCH(B372,YieldCurve!$A$4:$A$63,1)))</f>
        <v/>
      </c>
      <c r="D372">
        <f>INDEX(YieldCurve!$A$4:$A$63,C372)</f>
        <v/>
      </c>
      <c r="E372">
        <f>INDEX(YieldCurve!$A$4:$A$63,C372+1)</f>
        <v/>
      </c>
      <c r="F372">
        <f>INDEX(YieldCurve!$B$4:$B$63,C372)</f>
        <v/>
      </c>
      <c r="G372">
        <f>INDEX(YieldCurve!$B$4:$B$63,C372+1)</f>
        <v/>
      </c>
      <c r="H372">
        <f>IF(E372=D372,0,(B372-D372)/(E372-D372))</f>
        <v/>
      </c>
      <c r="I372">
        <f>-(F372+Inputs!$B$9)*D372</f>
        <v/>
      </c>
      <c r="J372">
        <f>-(G372+Inputs!$B$9)*E372</f>
        <v/>
      </c>
      <c r="K372">
        <f>IF(B372&lt;=INDEX(YieldCurve!$A$4:$A$63,1),-(INDEX(YieldCurve!$B$4:$B$63,1)+Inputs!$B$9)*B372,IF(B372&gt;=INDEX(YieldCurve!$A$4:$A$63,ROWS(YieldCurve!$A$4:$A$63)),-(INDEX(YieldCurve!$B$4:$B$63,ROWS(YieldCurve!$B$4:$B$63))+Inputs!$B$9)*B372,I372+H372*(J372-I372)))</f>
        <v/>
      </c>
      <c r="L372">
        <f>EXP(K372)</f>
        <v/>
      </c>
    </row>
    <row r="373">
      <c r="A373" t="n">
        <v>370</v>
      </c>
      <c r="B373">
        <f>A373/Inputs!$B$6</f>
        <v/>
      </c>
      <c r="C373">
        <f>IF(B373&lt;=INDEX(YieldCurve!$A$4:$A$63,1),1,IF(B373&gt;=INDEX(YieldCurve!$A$4:$A$63,ROWS(YieldCurve!$A$4:$A$63)),ROWS(YieldCurve!$A$4:$A$63)-1,MATCH(B373,YieldCurve!$A$4:$A$63,1)))</f>
        <v/>
      </c>
      <c r="D373">
        <f>INDEX(YieldCurve!$A$4:$A$63,C373)</f>
        <v/>
      </c>
      <c r="E373">
        <f>INDEX(YieldCurve!$A$4:$A$63,C373+1)</f>
        <v/>
      </c>
      <c r="F373">
        <f>INDEX(YieldCurve!$B$4:$B$63,C373)</f>
        <v/>
      </c>
      <c r="G373">
        <f>INDEX(YieldCurve!$B$4:$B$63,C373+1)</f>
        <v/>
      </c>
      <c r="H373">
        <f>IF(E373=D373,0,(B373-D373)/(E373-D373))</f>
        <v/>
      </c>
      <c r="I373">
        <f>-(F373+Inputs!$B$9)*D373</f>
        <v/>
      </c>
      <c r="J373">
        <f>-(G373+Inputs!$B$9)*E373</f>
        <v/>
      </c>
      <c r="K373">
        <f>IF(B373&lt;=INDEX(YieldCurve!$A$4:$A$63,1),-(INDEX(YieldCurve!$B$4:$B$63,1)+Inputs!$B$9)*B373,IF(B373&gt;=INDEX(YieldCurve!$A$4:$A$63,ROWS(YieldCurve!$A$4:$A$63)),-(INDEX(YieldCurve!$B$4:$B$63,ROWS(YieldCurve!$B$4:$B$63))+Inputs!$B$9)*B373,I373+H373*(J373-I373)))</f>
        <v/>
      </c>
      <c r="L373">
        <f>EXP(K373)</f>
        <v/>
      </c>
    </row>
    <row r="374">
      <c r="A374" t="n">
        <v>371</v>
      </c>
      <c r="B374">
        <f>A374/Inputs!$B$6</f>
        <v/>
      </c>
      <c r="C374">
        <f>IF(B374&lt;=INDEX(YieldCurve!$A$4:$A$63,1),1,IF(B374&gt;=INDEX(YieldCurve!$A$4:$A$63,ROWS(YieldCurve!$A$4:$A$63)),ROWS(YieldCurve!$A$4:$A$63)-1,MATCH(B374,YieldCurve!$A$4:$A$63,1)))</f>
        <v/>
      </c>
      <c r="D374">
        <f>INDEX(YieldCurve!$A$4:$A$63,C374)</f>
        <v/>
      </c>
      <c r="E374">
        <f>INDEX(YieldCurve!$A$4:$A$63,C374+1)</f>
        <v/>
      </c>
      <c r="F374">
        <f>INDEX(YieldCurve!$B$4:$B$63,C374)</f>
        <v/>
      </c>
      <c r="G374">
        <f>INDEX(YieldCurve!$B$4:$B$63,C374+1)</f>
        <v/>
      </c>
      <c r="H374">
        <f>IF(E374=D374,0,(B374-D374)/(E374-D374))</f>
        <v/>
      </c>
      <c r="I374">
        <f>-(F374+Inputs!$B$9)*D374</f>
        <v/>
      </c>
      <c r="J374">
        <f>-(G374+Inputs!$B$9)*E374</f>
        <v/>
      </c>
      <c r="K374">
        <f>IF(B374&lt;=INDEX(YieldCurve!$A$4:$A$63,1),-(INDEX(YieldCurve!$B$4:$B$63,1)+Inputs!$B$9)*B374,IF(B374&gt;=INDEX(YieldCurve!$A$4:$A$63,ROWS(YieldCurve!$A$4:$A$63)),-(INDEX(YieldCurve!$B$4:$B$63,ROWS(YieldCurve!$B$4:$B$63))+Inputs!$B$9)*B374,I374+H374*(J374-I374)))</f>
        <v/>
      </c>
      <c r="L374">
        <f>EXP(K374)</f>
        <v/>
      </c>
    </row>
    <row r="375">
      <c r="A375" t="n">
        <v>372</v>
      </c>
      <c r="B375">
        <f>A375/Inputs!$B$6</f>
        <v/>
      </c>
      <c r="C375">
        <f>IF(B375&lt;=INDEX(YieldCurve!$A$4:$A$63,1),1,IF(B375&gt;=INDEX(YieldCurve!$A$4:$A$63,ROWS(YieldCurve!$A$4:$A$63)),ROWS(YieldCurve!$A$4:$A$63)-1,MATCH(B375,YieldCurve!$A$4:$A$63,1)))</f>
        <v/>
      </c>
      <c r="D375">
        <f>INDEX(YieldCurve!$A$4:$A$63,C375)</f>
        <v/>
      </c>
      <c r="E375">
        <f>INDEX(YieldCurve!$A$4:$A$63,C375+1)</f>
        <v/>
      </c>
      <c r="F375">
        <f>INDEX(YieldCurve!$B$4:$B$63,C375)</f>
        <v/>
      </c>
      <c r="G375">
        <f>INDEX(YieldCurve!$B$4:$B$63,C375+1)</f>
        <v/>
      </c>
      <c r="H375">
        <f>IF(E375=D375,0,(B375-D375)/(E375-D375))</f>
        <v/>
      </c>
      <c r="I375">
        <f>-(F375+Inputs!$B$9)*D375</f>
        <v/>
      </c>
      <c r="J375">
        <f>-(G375+Inputs!$B$9)*E375</f>
        <v/>
      </c>
      <c r="K375">
        <f>IF(B375&lt;=INDEX(YieldCurve!$A$4:$A$63,1),-(INDEX(YieldCurve!$B$4:$B$63,1)+Inputs!$B$9)*B375,IF(B375&gt;=INDEX(YieldCurve!$A$4:$A$63,ROWS(YieldCurve!$A$4:$A$63)),-(INDEX(YieldCurve!$B$4:$B$63,ROWS(YieldCurve!$B$4:$B$63))+Inputs!$B$9)*B375,I375+H375*(J375-I375)))</f>
        <v/>
      </c>
      <c r="L375">
        <f>EXP(K375)</f>
        <v/>
      </c>
    </row>
    <row r="376">
      <c r="A376" t="n">
        <v>373</v>
      </c>
      <c r="B376">
        <f>A376/Inputs!$B$6</f>
        <v/>
      </c>
      <c r="C376">
        <f>IF(B376&lt;=INDEX(YieldCurve!$A$4:$A$63,1),1,IF(B376&gt;=INDEX(YieldCurve!$A$4:$A$63,ROWS(YieldCurve!$A$4:$A$63)),ROWS(YieldCurve!$A$4:$A$63)-1,MATCH(B376,YieldCurve!$A$4:$A$63,1)))</f>
        <v/>
      </c>
      <c r="D376">
        <f>INDEX(YieldCurve!$A$4:$A$63,C376)</f>
        <v/>
      </c>
      <c r="E376">
        <f>INDEX(YieldCurve!$A$4:$A$63,C376+1)</f>
        <v/>
      </c>
      <c r="F376">
        <f>INDEX(YieldCurve!$B$4:$B$63,C376)</f>
        <v/>
      </c>
      <c r="G376">
        <f>INDEX(YieldCurve!$B$4:$B$63,C376+1)</f>
        <v/>
      </c>
      <c r="H376">
        <f>IF(E376=D376,0,(B376-D376)/(E376-D376))</f>
        <v/>
      </c>
      <c r="I376">
        <f>-(F376+Inputs!$B$9)*D376</f>
        <v/>
      </c>
      <c r="J376">
        <f>-(G376+Inputs!$B$9)*E376</f>
        <v/>
      </c>
      <c r="K376">
        <f>IF(B376&lt;=INDEX(YieldCurve!$A$4:$A$63,1),-(INDEX(YieldCurve!$B$4:$B$63,1)+Inputs!$B$9)*B376,IF(B376&gt;=INDEX(YieldCurve!$A$4:$A$63,ROWS(YieldCurve!$A$4:$A$63)),-(INDEX(YieldCurve!$B$4:$B$63,ROWS(YieldCurve!$B$4:$B$63))+Inputs!$B$9)*B376,I376+H376*(J376-I376)))</f>
        <v/>
      </c>
      <c r="L376">
        <f>EXP(K376)</f>
        <v/>
      </c>
    </row>
    <row r="377">
      <c r="A377" t="n">
        <v>374</v>
      </c>
      <c r="B377">
        <f>A377/Inputs!$B$6</f>
        <v/>
      </c>
      <c r="C377">
        <f>IF(B377&lt;=INDEX(YieldCurve!$A$4:$A$63,1),1,IF(B377&gt;=INDEX(YieldCurve!$A$4:$A$63,ROWS(YieldCurve!$A$4:$A$63)),ROWS(YieldCurve!$A$4:$A$63)-1,MATCH(B377,YieldCurve!$A$4:$A$63,1)))</f>
        <v/>
      </c>
      <c r="D377">
        <f>INDEX(YieldCurve!$A$4:$A$63,C377)</f>
        <v/>
      </c>
      <c r="E377">
        <f>INDEX(YieldCurve!$A$4:$A$63,C377+1)</f>
        <v/>
      </c>
      <c r="F377">
        <f>INDEX(YieldCurve!$B$4:$B$63,C377)</f>
        <v/>
      </c>
      <c r="G377">
        <f>INDEX(YieldCurve!$B$4:$B$63,C377+1)</f>
        <v/>
      </c>
      <c r="H377">
        <f>IF(E377=D377,0,(B377-D377)/(E377-D377))</f>
        <v/>
      </c>
      <c r="I377">
        <f>-(F377+Inputs!$B$9)*D377</f>
        <v/>
      </c>
      <c r="J377">
        <f>-(G377+Inputs!$B$9)*E377</f>
        <v/>
      </c>
      <c r="K377">
        <f>IF(B377&lt;=INDEX(YieldCurve!$A$4:$A$63,1),-(INDEX(YieldCurve!$B$4:$B$63,1)+Inputs!$B$9)*B377,IF(B377&gt;=INDEX(YieldCurve!$A$4:$A$63,ROWS(YieldCurve!$A$4:$A$63)),-(INDEX(YieldCurve!$B$4:$B$63,ROWS(YieldCurve!$B$4:$B$63))+Inputs!$B$9)*B377,I377+H377*(J377-I377)))</f>
        <v/>
      </c>
      <c r="L377">
        <f>EXP(K377)</f>
        <v/>
      </c>
    </row>
    <row r="378">
      <c r="A378" t="n">
        <v>375</v>
      </c>
      <c r="B378">
        <f>A378/Inputs!$B$6</f>
        <v/>
      </c>
      <c r="C378">
        <f>IF(B378&lt;=INDEX(YieldCurve!$A$4:$A$63,1),1,IF(B378&gt;=INDEX(YieldCurve!$A$4:$A$63,ROWS(YieldCurve!$A$4:$A$63)),ROWS(YieldCurve!$A$4:$A$63)-1,MATCH(B378,YieldCurve!$A$4:$A$63,1)))</f>
        <v/>
      </c>
      <c r="D378">
        <f>INDEX(YieldCurve!$A$4:$A$63,C378)</f>
        <v/>
      </c>
      <c r="E378">
        <f>INDEX(YieldCurve!$A$4:$A$63,C378+1)</f>
        <v/>
      </c>
      <c r="F378">
        <f>INDEX(YieldCurve!$B$4:$B$63,C378)</f>
        <v/>
      </c>
      <c r="G378">
        <f>INDEX(YieldCurve!$B$4:$B$63,C378+1)</f>
        <v/>
      </c>
      <c r="H378">
        <f>IF(E378=D378,0,(B378-D378)/(E378-D378))</f>
        <v/>
      </c>
      <c r="I378">
        <f>-(F378+Inputs!$B$9)*D378</f>
        <v/>
      </c>
      <c r="J378">
        <f>-(G378+Inputs!$B$9)*E378</f>
        <v/>
      </c>
      <c r="K378">
        <f>IF(B378&lt;=INDEX(YieldCurve!$A$4:$A$63,1),-(INDEX(YieldCurve!$B$4:$B$63,1)+Inputs!$B$9)*B378,IF(B378&gt;=INDEX(YieldCurve!$A$4:$A$63,ROWS(YieldCurve!$A$4:$A$63)),-(INDEX(YieldCurve!$B$4:$B$63,ROWS(YieldCurve!$B$4:$B$63))+Inputs!$B$9)*B378,I378+H378*(J378-I378)))</f>
        <v/>
      </c>
      <c r="L378">
        <f>EXP(K378)</f>
        <v/>
      </c>
    </row>
    <row r="379">
      <c r="A379" t="n">
        <v>376</v>
      </c>
      <c r="B379">
        <f>A379/Inputs!$B$6</f>
        <v/>
      </c>
      <c r="C379">
        <f>IF(B379&lt;=INDEX(YieldCurve!$A$4:$A$63,1),1,IF(B379&gt;=INDEX(YieldCurve!$A$4:$A$63,ROWS(YieldCurve!$A$4:$A$63)),ROWS(YieldCurve!$A$4:$A$63)-1,MATCH(B379,YieldCurve!$A$4:$A$63,1)))</f>
        <v/>
      </c>
      <c r="D379">
        <f>INDEX(YieldCurve!$A$4:$A$63,C379)</f>
        <v/>
      </c>
      <c r="E379">
        <f>INDEX(YieldCurve!$A$4:$A$63,C379+1)</f>
        <v/>
      </c>
      <c r="F379">
        <f>INDEX(YieldCurve!$B$4:$B$63,C379)</f>
        <v/>
      </c>
      <c r="G379">
        <f>INDEX(YieldCurve!$B$4:$B$63,C379+1)</f>
        <v/>
      </c>
      <c r="H379">
        <f>IF(E379=D379,0,(B379-D379)/(E379-D379))</f>
        <v/>
      </c>
      <c r="I379">
        <f>-(F379+Inputs!$B$9)*D379</f>
        <v/>
      </c>
      <c r="J379">
        <f>-(G379+Inputs!$B$9)*E379</f>
        <v/>
      </c>
      <c r="K379">
        <f>IF(B379&lt;=INDEX(YieldCurve!$A$4:$A$63,1),-(INDEX(YieldCurve!$B$4:$B$63,1)+Inputs!$B$9)*B379,IF(B379&gt;=INDEX(YieldCurve!$A$4:$A$63,ROWS(YieldCurve!$A$4:$A$63)),-(INDEX(YieldCurve!$B$4:$B$63,ROWS(YieldCurve!$B$4:$B$63))+Inputs!$B$9)*B379,I379+H379*(J379-I379)))</f>
        <v/>
      </c>
      <c r="L379">
        <f>EXP(K379)</f>
        <v/>
      </c>
    </row>
    <row r="380">
      <c r="A380" t="n">
        <v>377</v>
      </c>
      <c r="B380">
        <f>A380/Inputs!$B$6</f>
        <v/>
      </c>
      <c r="C380">
        <f>IF(B380&lt;=INDEX(YieldCurve!$A$4:$A$63,1),1,IF(B380&gt;=INDEX(YieldCurve!$A$4:$A$63,ROWS(YieldCurve!$A$4:$A$63)),ROWS(YieldCurve!$A$4:$A$63)-1,MATCH(B380,YieldCurve!$A$4:$A$63,1)))</f>
        <v/>
      </c>
      <c r="D380">
        <f>INDEX(YieldCurve!$A$4:$A$63,C380)</f>
        <v/>
      </c>
      <c r="E380">
        <f>INDEX(YieldCurve!$A$4:$A$63,C380+1)</f>
        <v/>
      </c>
      <c r="F380">
        <f>INDEX(YieldCurve!$B$4:$B$63,C380)</f>
        <v/>
      </c>
      <c r="G380">
        <f>INDEX(YieldCurve!$B$4:$B$63,C380+1)</f>
        <v/>
      </c>
      <c r="H380">
        <f>IF(E380=D380,0,(B380-D380)/(E380-D380))</f>
        <v/>
      </c>
      <c r="I380">
        <f>-(F380+Inputs!$B$9)*D380</f>
        <v/>
      </c>
      <c r="J380">
        <f>-(G380+Inputs!$B$9)*E380</f>
        <v/>
      </c>
      <c r="K380">
        <f>IF(B380&lt;=INDEX(YieldCurve!$A$4:$A$63,1),-(INDEX(YieldCurve!$B$4:$B$63,1)+Inputs!$B$9)*B380,IF(B380&gt;=INDEX(YieldCurve!$A$4:$A$63,ROWS(YieldCurve!$A$4:$A$63)),-(INDEX(YieldCurve!$B$4:$B$63,ROWS(YieldCurve!$B$4:$B$63))+Inputs!$B$9)*B380,I380+H380*(J380-I380)))</f>
        <v/>
      </c>
      <c r="L380">
        <f>EXP(K380)</f>
        <v/>
      </c>
    </row>
    <row r="381">
      <c r="A381" t="n">
        <v>378</v>
      </c>
      <c r="B381">
        <f>A381/Inputs!$B$6</f>
        <v/>
      </c>
      <c r="C381">
        <f>IF(B381&lt;=INDEX(YieldCurve!$A$4:$A$63,1),1,IF(B381&gt;=INDEX(YieldCurve!$A$4:$A$63,ROWS(YieldCurve!$A$4:$A$63)),ROWS(YieldCurve!$A$4:$A$63)-1,MATCH(B381,YieldCurve!$A$4:$A$63,1)))</f>
        <v/>
      </c>
      <c r="D381">
        <f>INDEX(YieldCurve!$A$4:$A$63,C381)</f>
        <v/>
      </c>
      <c r="E381">
        <f>INDEX(YieldCurve!$A$4:$A$63,C381+1)</f>
        <v/>
      </c>
      <c r="F381">
        <f>INDEX(YieldCurve!$B$4:$B$63,C381)</f>
        <v/>
      </c>
      <c r="G381">
        <f>INDEX(YieldCurve!$B$4:$B$63,C381+1)</f>
        <v/>
      </c>
      <c r="H381">
        <f>IF(E381=D381,0,(B381-D381)/(E381-D381))</f>
        <v/>
      </c>
      <c r="I381">
        <f>-(F381+Inputs!$B$9)*D381</f>
        <v/>
      </c>
      <c r="J381">
        <f>-(G381+Inputs!$B$9)*E381</f>
        <v/>
      </c>
      <c r="K381">
        <f>IF(B381&lt;=INDEX(YieldCurve!$A$4:$A$63,1),-(INDEX(YieldCurve!$B$4:$B$63,1)+Inputs!$B$9)*B381,IF(B381&gt;=INDEX(YieldCurve!$A$4:$A$63,ROWS(YieldCurve!$A$4:$A$63)),-(INDEX(YieldCurve!$B$4:$B$63,ROWS(YieldCurve!$B$4:$B$63))+Inputs!$B$9)*B381,I381+H381*(J381-I381)))</f>
        <v/>
      </c>
      <c r="L381">
        <f>EXP(K381)</f>
        <v/>
      </c>
    </row>
    <row r="382">
      <c r="A382" t="n">
        <v>379</v>
      </c>
      <c r="B382">
        <f>A382/Inputs!$B$6</f>
        <v/>
      </c>
      <c r="C382">
        <f>IF(B382&lt;=INDEX(YieldCurve!$A$4:$A$63,1),1,IF(B382&gt;=INDEX(YieldCurve!$A$4:$A$63,ROWS(YieldCurve!$A$4:$A$63)),ROWS(YieldCurve!$A$4:$A$63)-1,MATCH(B382,YieldCurve!$A$4:$A$63,1)))</f>
        <v/>
      </c>
      <c r="D382">
        <f>INDEX(YieldCurve!$A$4:$A$63,C382)</f>
        <v/>
      </c>
      <c r="E382">
        <f>INDEX(YieldCurve!$A$4:$A$63,C382+1)</f>
        <v/>
      </c>
      <c r="F382">
        <f>INDEX(YieldCurve!$B$4:$B$63,C382)</f>
        <v/>
      </c>
      <c r="G382">
        <f>INDEX(YieldCurve!$B$4:$B$63,C382+1)</f>
        <v/>
      </c>
      <c r="H382">
        <f>IF(E382=D382,0,(B382-D382)/(E382-D382))</f>
        <v/>
      </c>
      <c r="I382">
        <f>-(F382+Inputs!$B$9)*D382</f>
        <v/>
      </c>
      <c r="J382">
        <f>-(G382+Inputs!$B$9)*E382</f>
        <v/>
      </c>
      <c r="K382">
        <f>IF(B382&lt;=INDEX(YieldCurve!$A$4:$A$63,1),-(INDEX(YieldCurve!$B$4:$B$63,1)+Inputs!$B$9)*B382,IF(B382&gt;=INDEX(YieldCurve!$A$4:$A$63,ROWS(YieldCurve!$A$4:$A$63)),-(INDEX(YieldCurve!$B$4:$B$63,ROWS(YieldCurve!$B$4:$B$63))+Inputs!$B$9)*B382,I382+H382*(J382-I382)))</f>
        <v/>
      </c>
      <c r="L382">
        <f>EXP(K382)</f>
        <v/>
      </c>
    </row>
    <row r="383">
      <c r="A383" t="n">
        <v>380</v>
      </c>
      <c r="B383">
        <f>A383/Inputs!$B$6</f>
        <v/>
      </c>
      <c r="C383">
        <f>IF(B383&lt;=INDEX(YieldCurve!$A$4:$A$63,1),1,IF(B383&gt;=INDEX(YieldCurve!$A$4:$A$63,ROWS(YieldCurve!$A$4:$A$63)),ROWS(YieldCurve!$A$4:$A$63)-1,MATCH(B383,YieldCurve!$A$4:$A$63,1)))</f>
        <v/>
      </c>
      <c r="D383">
        <f>INDEX(YieldCurve!$A$4:$A$63,C383)</f>
        <v/>
      </c>
      <c r="E383">
        <f>INDEX(YieldCurve!$A$4:$A$63,C383+1)</f>
        <v/>
      </c>
      <c r="F383">
        <f>INDEX(YieldCurve!$B$4:$B$63,C383)</f>
        <v/>
      </c>
      <c r="G383">
        <f>INDEX(YieldCurve!$B$4:$B$63,C383+1)</f>
        <v/>
      </c>
      <c r="H383">
        <f>IF(E383=D383,0,(B383-D383)/(E383-D383))</f>
        <v/>
      </c>
      <c r="I383">
        <f>-(F383+Inputs!$B$9)*D383</f>
        <v/>
      </c>
      <c r="J383">
        <f>-(G383+Inputs!$B$9)*E383</f>
        <v/>
      </c>
      <c r="K383">
        <f>IF(B383&lt;=INDEX(YieldCurve!$A$4:$A$63,1),-(INDEX(YieldCurve!$B$4:$B$63,1)+Inputs!$B$9)*B383,IF(B383&gt;=INDEX(YieldCurve!$A$4:$A$63,ROWS(YieldCurve!$A$4:$A$63)),-(INDEX(YieldCurve!$B$4:$B$63,ROWS(YieldCurve!$B$4:$B$63))+Inputs!$B$9)*B383,I383+H383*(J383-I383)))</f>
        <v/>
      </c>
      <c r="L383">
        <f>EXP(K383)</f>
        <v/>
      </c>
    </row>
    <row r="384">
      <c r="A384" t="n">
        <v>381</v>
      </c>
      <c r="B384">
        <f>A384/Inputs!$B$6</f>
        <v/>
      </c>
      <c r="C384">
        <f>IF(B384&lt;=INDEX(YieldCurve!$A$4:$A$63,1),1,IF(B384&gt;=INDEX(YieldCurve!$A$4:$A$63,ROWS(YieldCurve!$A$4:$A$63)),ROWS(YieldCurve!$A$4:$A$63)-1,MATCH(B384,YieldCurve!$A$4:$A$63,1)))</f>
        <v/>
      </c>
      <c r="D384">
        <f>INDEX(YieldCurve!$A$4:$A$63,C384)</f>
        <v/>
      </c>
      <c r="E384">
        <f>INDEX(YieldCurve!$A$4:$A$63,C384+1)</f>
        <v/>
      </c>
      <c r="F384">
        <f>INDEX(YieldCurve!$B$4:$B$63,C384)</f>
        <v/>
      </c>
      <c r="G384">
        <f>INDEX(YieldCurve!$B$4:$B$63,C384+1)</f>
        <v/>
      </c>
      <c r="H384">
        <f>IF(E384=D384,0,(B384-D384)/(E384-D384))</f>
        <v/>
      </c>
      <c r="I384">
        <f>-(F384+Inputs!$B$9)*D384</f>
        <v/>
      </c>
      <c r="J384">
        <f>-(G384+Inputs!$B$9)*E384</f>
        <v/>
      </c>
      <c r="K384">
        <f>IF(B384&lt;=INDEX(YieldCurve!$A$4:$A$63,1),-(INDEX(YieldCurve!$B$4:$B$63,1)+Inputs!$B$9)*B384,IF(B384&gt;=INDEX(YieldCurve!$A$4:$A$63,ROWS(YieldCurve!$A$4:$A$63)),-(INDEX(YieldCurve!$B$4:$B$63,ROWS(YieldCurve!$B$4:$B$63))+Inputs!$B$9)*B384,I384+H384*(J384-I384)))</f>
        <v/>
      </c>
      <c r="L384">
        <f>EXP(K384)</f>
        <v/>
      </c>
    </row>
    <row r="385">
      <c r="A385" t="n">
        <v>382</v>
      </c>
      <c r="B385">
        <f>A385/Inputs!$B$6</f>
        <v/>
      </c>
      <c r="C385">
        <f>IF(B385&lt;=INDEX(YieldCurve!$A$4:$A$63,1),1,IF(B385&gt;=INDEX(YieldCurve!$A$4:$A$63,ROWS(YieldCurve!$A$4:$A$63)),ROWS(YieldCurve!$A$4:$A$63)-1,MATCH(B385,YieldCurve!$A$4:$A$63,1)))</f>
        <v/>
      </c>
      <c r="D385">
        <f>INDEX(YieldCurve!$A$4:$A$63,C385)</f>
        <v/>
      </c>
      <c r="E385">
        <f>INDEX(YieldCurve!$A$4:$A$63,C385+1)</f>
        <v/>
      </c>
      <c r="F385">
        <f>INDEX(YieldCurve!$B$4:$B$63,C385)</f>
        <v/>
      </c>
      <c r="G385">
        <f>INDEX(YieldCurve!$B$4:$B$63,C385+1)</f>
        <v/>
      </c>
      <c r="H385">
        <f>IF(E385=D385,0,(B385-D385)/(E385-D385))</f>
        <v/>
      </c>
      <c r="I385">
        <f>-(F385+Inputs!$B$9)*D385</f>
        <v/>
      </c>
      <c r="J385">
        <f>-(G385+Inputs!$B$9)*E385</f>
        <v/>
      </c>
      <c r="K385">
        <f>IF(B385&lt;=INDEX(YieldCurve!$A$4:$A$63,1),-(INDEX(YieldCurve!$B$4:$B$63,1)+Inputs!$B$9)*B385,IF(B385&gt;=INDEX(YieldCurve!$A$4:$A$63,ROWS(YieldCurve!$A$4:$A$63)),-(INDEX(YieldCurve!$B$4:$B$63,ROWS(YieldCurve!$B$4:$B$63))+Inputs!$B$9)*B385,I385+H385*(J385-I385)))</f>
        <v/>
      </c>
      <c r="L385">
        <f>EXP(K385)</f>
        <v/>
      </c>
    </row>
    <row r="386">
      <c r="A386" t="n">
        <v>383</v>
      </c>
      <c r="B386">
        <f>A386/Inputs!$B$6</f>
        <v/>
      </c>
      <c r="C386">
        <f>IF(B386&lt;=INDEX(YieldCurve!$A$4:$A$63,1),1,IF(B386&gt;=INDEX(YieldCurve!$A$4:$A$63,ROWS(YieldCurve!$A$4:$A$63)),ROWS(YieldCurve!$A$4:$A$63)-1,MATCH(B386,YieldCurve!$A$4:$A$63,1)))</f>
        <v/>
      </c>
      <c r="D386">
        <f>INDEX(YieldCurve!$A$4:$A$63,C386)</f>
        <v/>
      </c>
      <c r="E386">
        <f>INDEX(YieldCurve!$A$4:$A$63,C386+1)</f>
        <v/>
      </c>
      <c r="F386">
        <f>INDEX(YieldCurve!$B$4:$B$63,C386)</f>
        <v/>
      </c>
      <c r="G386">
        <f>INDEX(YieldCurve!$B$4:$B$63,C386+1)</f>
        <v/>
      </c>
      <c r="H386">
        <f>IF(E386=D386,0,(B386-D386)/(E386-D386))</f>
        <v/>
      </c>
      <c r="I386">
        <f>-(F386+Inputs!$B$9)*D386</f>
        <v/>
      </c>
      <c r="J386">
        <f>-(G386+Inputs!$B$9)*E386</f>
        <v/>
      </c>
      <c r="K386">
        <f>IF(B386&lt;=INDEX(YieldCurve!$A$4:$A$63,1),-(INDEX(YieldCurve!$B$4:$B$63,1)+Inputs!$B$9)*B386,IF(B386&gt;=INDEX(YieldCurve!$A$4:$A$63,ROWS(YieldCurve!$A$4:$A$63)),-(INDEX(YieldCurve!$B$4:$B$63,ROWS(YieldCurve!$B$4:$B$63))+Inputs!$B$9)*B386,I386+H386*(J386-I386)))</f>
        <v/>
      </c>
      <c r="L386">
        <f>EXP(K386)</f>
        <v/>
      </c>
    </row>
    <row r="387">
      <c r="A387" t="n">
        <v>384</v>
      </c>
      <c r="B387">
        <f>A387/Inputs!$B$6</f>
        <v/>
      </c>
      <c r="C387">
        <f>IF(B387&lt;=INDEX(YieldCurve!$A$4:$A$63,1),1,IF(B387&gt;=INDEX(YieldCurve!$A$4:$A$63,ROWS(YieldCurve!$A$4:$A$63)),ROWS(YieldCurve!$A$4:$A$63)-1,MATCH(B387,YieldCurve!$A$4:$A$63,1)))</f>
        <v/>
      </c>
      <c r="D387">
        <f>INDEX(YieldCurve!$A$4:$A$63,C387)</f>
        <v/>
      </c>
      <c r="E387">
        <f>INDEX(YieldCurve!$A$4:$A$63,C387+1)</f>
        <v/>
      </c>
      <c r="F387">
        <f>INDEX(YieldCurve!$B$4:$B$63,C387)</f>
        <v/>
      </c>
      <c r="G387">
        <f>INDEX(YieldCurve!$B$4:$B$63,C387+1)</f>
        <v/>
      </c>
      <c r="H387">
        <f>IF(E387=D387,0,(B387-D387)/(E387-D387))</f>
        <v/>
      </c>
      <c r="I387">
        <f>-(F387+Inputs!$B$9)*D387</f>
        <v/>
      </c>
      <c r="J387">
        <f>-(G387+Inputs!$B$9)*E387</f>
        <v/>
      </c>
      <c r="K387">
        <f>IF(B387&lt;=INDEX(YieldCurve!$A$4:$A$63,1),-(INDEX(YieldCurve!$B$4:$B$63,1)+Inputs!$B$9)*B387,IF(B387&gt;=INDEX(YieldCurve!$A$4:$A$63,ROWS(YieldCurve!$A$4:$A$63)),-(INDEX(YieldCurve!$B$4:$B$63,ROWS(YieldCurve!$B$4:$B$63))+Inputs!$B$9)*B387,I387+H387*(J387-I387)))</f>
        <v/>
      </c>
      <c r="L387">
        <f>EXP(K387)</f>
        <v/>
      </c>
    </row>
    <row r="388">
      <c r="A388" t="n">
        <v>385</v>
      </c>
      <c r="B388">
        <f>A388/Inputs!$B$6</f>
        <v/>
      </c>
      <c r="C388">
        <f>IF(B388&lt;=INDEX(YieldCurve!$A$4:$A$63,1),1,IF(B388&gt;=INDEX(YieldCurve!$A$4:$A$63,ROWS(YieldCurve!$A$4:$A$63)),ROWS(YieldCurve!$A$4:$A$63)-1,MATCH(B388,YieldCurve!$A$4:$A$63,1)))</f>
        <v/>
      </c>
      <c r="D388">
        <f>INDEX(YieldCurve!$A$4:$A$63,C388)</f>
        <v/>
      </c>
      <c r="E388">
        <f>INDEX(YieldCurve!$A$4:$A$63,C388+1)</f>
        <v/>
      </c>
      <c r="F388">
        <f>INDEX(YieldCurve!$B$4:$B$63,C388)</f>
        <v/>
      </c>
      <c r="G388">
        <f>INDEX(YieldCurve!$B$4:$B$63,C388+1)</f>
        <v/>
      </c>
      <c r="H388">
        <f>IF(E388=D388,0,(B388-D388)/(E388-D388))</f>
        <v/>
      </c>
      <c r="I388">
        <f>-(F388+Inputs!$B$9)*D388</f>
        <v/>
      </c>
      <c r="J388">
        <f>-(G388+Inputs!$B$9)*E388</f>
        <v/>
      </c>
      <c r="K388">
        <f>IF(B388&lt;=INDEX(YieldCurve!$A$4:$A$63,1),-(INDEX(YieldCurve!$B$4:$B$63,1)+Inputs!$B$9)*B388,IF(B388&gt;=INDEX(YieldCurve!$A$4:$A$63,ROWS(YieldCurve!$A$4:$A$63)),-(INDEX(YieldCurve!$B$4:$B$63,ROWS(YieldCurve!$B$4:$B$63))+Inputs!$B$9)*B388,I388+H388*(J388-I388)))</f>
        <v/>
      </c>
      <c r="L388">
        <f>EXP(K388)</f>
        <v/>
      </c>
    </row>
    <row r="389">
      <c r="A389" t="n">
        <v>386</v>
      </c>
      <c r="B389">
        <f>A389/Inputs!$B$6</f>
        <v/>
      </c>
      <c r="C389">
        <f>IF(B389&lt;=INDEX(YieldCurve!$A$4:$A$63,1),1,IF(B389&gt;=INDEX(YieldCurve!$A$4:$A$63,ROWS(YieldCurve!$A$4:$A$63)),ROWS(YieldCurve!$A$4:$A$63)-1,MATCH(B389,YieldCurve!$A$4:$A$63,1)))</f>
        <v/>
      </c>
      <c r="D389">
        <f>INDEX(YieldCurve!$A$4:$A$63,C389)</f>
        <v/>
      </c>
      <c r="E389">
        <f>INDEX(YieldCurve!$A$4:$A$63,C389+1)</f>
        <v/>
      </c>
      <c r="F389">
        <f>INDEX(YieldCurve!$B$4:$B$63,C389)</f>
        <v/>
      </c>
      <c r="G389">
        <f>INDEX(YieldCurve!$B$4:$B$63,C389+1)</f>
        <v/>
      </c>
      <c r="H389">
        <f>IF(E389=D389,0,(B389-D389)/(E389-D389))</f>
        <v/>
      </c>
      <c r="I389">
        <f>-(F389+Inputs!$B$9)*D389</f>
        <v/>
      </c>
      <c r="J389">
        <f>-(G389+Inputs!$B$9)*E389</f>
        <v/>
      </c>
      <c r="K389">
        <f>IF(B389&lt;=INDEX(YieldCurve!$A$4:$A$63,1),-(INDEX(YieldCurve!$B$4:$B$63,1)+Inputs!$B$9)*B389,IF(B389&gt;=INDEX(YieldCurve!$A$4:$A$63,ROWS(YieldCurve!$A$4:$A$63)),-(INDEX(YieldCurve!$B$4:$B$63,ROWS(YieldCurve!$B$4:$B$63))+Inputs!$B$9)*B389,I389+H389*(J389-I389)))</f>
        <v/>
      </c>
      <c r="L389">
        <f>EXP(K389)</f>
        <v/>
      </c>
    </row>
    <row r="390">
      <c r="A390" t="n">
        <v>387</v>
      </c>
      <c r="B390">
        <f>A390/Inputs!$B$6</f>
        <v/>
      </c>
      <c r="C390">
        <f>IF(B390&lt;=INDEX(YieldCurve!$A$4:$A$63,1),1,IF(B390&gt;=INDEX(YieldCurve!$A$4:$A$63,ROWS(YieldCurve!$A$4:$A$63)),ROWS(YieldCurve!$A$4:$A$63)-1,MATCH(B390,YieldCurve!$A$4:$A$63,1)))</f>
        <v/>
      </c>
      <c r="D390">
        <f>INDEX(YieldCurve!$A$4:$A$63,C390)</f>
        <v/>
      </c>
      <c r="E390">
        <f>INDEX(YieldCurve!$A$4:$A$63,C390+1)</f>
        <v/>
      </c>
      <c r="F390">
        <f>INDEX(YieldCurve!$B$4:$B$63,C390)</f>
        <v/>
      </c>
      <c r="G390">
        <f>INDEX(YieldCurve!$B$4:$B$63,C390+1)</f>
        <v/>
      </c>
      <c r="H390">
        <f>IF(E390=D390,0,(B390-D390)/(E390-D390))</f>
        <v/>
      </c>
      <c r="I390">
        <f>-(F390+Inputs!$B$9)*D390</f>
        <v/>
      </c>
      <c r="J390">
        <f>-(G390+Inputs!$B$9)*E390</f>
        <v/>
      </c>
      <c r="K390">
        <f>IF(B390&lt;=INDEX(YieldCurve!$A$4:$A$63,1),-(INDEX(YieldCurve!$B$4:$B$63,1)+Inputs!$B$9)*B390,IF(B390&gt;=INDEX(YieldCurve!$A$4:$A$63,ROWS(YieldCurve!$A$4:$A$63)),-(INDEX(YieldCurve!$B$4:$B$63,ROWS(YieldCurve!$B$4:$B$63))+Inputs!$B$9)*B390,I390+H390*(J390-I390)))</f>
        <v/>
      </c>
      <c r="L390">
        <f>EXP(K390)</f>
        <v/>
      </c>
    </row>
    <row r="391">
      <c r="A391" t="n">
        <v>388</v>
      </c>
      <c r="B391">
        <f>A391/Inputs!$B$6</f>
        <v/>
      </c>
      <c r="C391">
        <f>IF(B391&lt;=INDEX(YieldCurve!$A$4:$A$63,1),1,IF(B391&gt;=INDEX(YieldCurve!$A$4:$A$63,ROWS(YieldCurve!$A$4:$A$63)),ROWS(YieldCurve!$A$4:$A$63)-1,MATCH(B391,YieldCurve!$A$4:$A$63,1)))</f>
        <v/>
      </c>
      <c r="D391">
        <f>INDEX(YieldCurve!$A$4:$A$63,C391)</f>
        <v/>
      </c>
      <c r="E391">
        <f>INDEX(YieldCurve!$A$4:$A$63,C391+1)</f>
        <v/>
      </c>
      <c r="F391">
        <f>INDEX(YieldCurve!$B$4:$B$63,C391)</f>
        <v/>
      </c>
      <c r="G391">
        <f>INDEX(YieldCurve!$B$4:$B$63,C391+1)</f>
        <v/>
      </c>
      <c r="H391">
        <f>IF(E391=D391,0,(B391-D391)/(E391-D391))</f>
        <v/>
      </c>
      <c r="I391">
        <f>-(F391+Inputs!$B$9)*D391</f>
        <v/>
      </c>
      <c r="J391">
        <f>-(G391+Inputs!$B$9)*E391</f>
        <v/>
      </c>
      <c r="K391">
        <f>IF(B391&lt;=INDEX(YieldCurve!$A$4:$A$63,1),-(INDEX(YieldCurve!$B$4:$B$63,1)+Inputs!$B$9)*B391,IF(B391&gt;=INDEX(YieldCurve!$A$4:$A$63,ROWS(YieldCurve!$A$4:$A$63)),-(INDEX(YieldCurve!$B$4:$B$63,ROWS(YieldCurve!$B$4:$B$63))+Inputs!$B$9)*B391,I391+H391*(J391-I391)))</f>
        <v/>
      </c>
      <c r="L391">
        <f>EXP(K391)</f>
        <v/>
      </c>
    </row>
    <row r="392">
      <c r="A392" t="n">
        <v>389</v>
      </c>
      <c r="B392">
        <f>A392/Inputs!$B$6</f>
        <v/>
      </c>
      <c r="C392">
        <f>IF(B392&lt;=INDEX(YieldCurve!$A$4:$A$63,1),1,IF(B392&gt;=INDEX(YieldCurve!$A$4:$A$63,ROWS(YieldCurve!$A$4:$A$63)),ROWS(YieldCurve!$A$4:$A$63)-1,MATCH(B392,YieldCurve!$A$4:$A$63,1)))</f>
        <v/>
      </c>
      <c r="D392">
        <f>INDEX(YieldCurve!$A$4:$A$63,C392)</f>
        <v/>
      </c>
      <c r="E392">
        <f>INDEX(YieldCurve!$A$4:$A$63,C392+1)</f>
        <v/>
      </c>
      <c r="F392">
        <f>INDEX(YieldCurve!$B$4:$B$63,C392)</f>
        <v/>
      </c>
      <c r="G392">
        <f>INDEX(YieldCurve!$B$4:$B$63,C392+1)</f>
        <v/>
      </c>
      <c r="H392">
        <f>IF(E392=D392,0,(B392-D392)/(E392-D392))</f>
        <v/>
      </c>
      <c r="I392">
        <f>-(F392+Inputs!$B$9)*D392</f>
        <v/>
      </c>
      <c r="J392">
        <f>-(G392+Inputs!$B$9)*E392</f>
        <v/>
      </c>
      <c r="K392">
        <f>IF(B392&lt;=INDEX(YieldCurve!$A$4:$A$63,1),-(INDEX(YieldCurve!$B$4:$B$63,1)+Inputs!$B$9)*B392,IF(B392&gt;=INDEX(YieldCurve!$A$4:$A$63,ROWS(YieldCurve!$A$4:$A$63)),-(INDEX(YieldCurve!$B$4:$B$63,ROWS(YieldCurve!$B$4:$B$63))+Inputs!$B$9)*B392,I392+H392*(J392-I392)))</f>
        <v/>
      </c>
      <c r="L392">
        <f>EXP(K392)</f>
        <v/>
      </c>
    </row>
    <row r="393">
      <c r="A393" t="n">
        <v>390</v>
      </c>
      <c r="B393">
        <f>A393/Inputs!$B$6</f>
        <v/>
      </c>
      <c r="C393">
        <f>IF(B393&lt;=INDEX(YieldCurve!$A$4:$A$63,1),1,IF(B393&gt;=INDEX(YieldCurve!$A$4:$A$63,ROWS(YieldCurve!$A$4:$A$63)),ROWS(YieldCurve!$A$4:$A$63)-1,MATCH(B393,YieldCurve!$A$4:$A$63,1)))</f>
        <v/>
      </c>
      <c r="D393">
        <f>INDEX(YieldCurve!$A$4:$A$63,C393)</f>
        <v/>
      </c>
      <c r="E393">
        <f>INDEX(YieldCurve!$A$4:$A$63,C393+1)</f>
        <v/>
      </c>
      <c r="F393">
        <f>INDEX(YieldCurve!$B$4:$B$63,C393)</f>
        <v/>
      </c>
      <c r="G393">
        <f>INDEX(YieldCurve!$B$4:$B$63,C393+1)</f>
        <v/>
      </c>
      <c r="H393">
        <f>IF(E393=D393,0,(B393-D393)/(E393-D393))</f>
        <v/>
      </c>
      <c r="I393">
        <f>-(F393+Inputs!$B$9)*D393</f>
        <v/>
      </c>
      <c r="J393">
        <f>-(G393+Inputs!$B$9)*E393</f>
        <v/>
      </c>
      <c r="K393">
        <f>IF(B393&lt;=INDEX(YieldCurve!$A$4:$A$63,1),-(INDEX(YieldCurve!$B$4:$B$63,1)+Inputs!$B$9)*B393,IF(B393&gt;=INDEX(YieldCurve!$A$4:$A$63,ROWS(YieldCurve!$A$4:$A$63)),-(INDEX(YieldCurve!$B$4:$B$63,ROWS(YieldCurve!$B$4:$B$63))+Inputs!$B$9)*B393,I393+H393*(J393-I393)))</f>
        <v/>
      </c>
      <c r="L393">
        <f>EXP(K393)</f>
        <v/>
      </c>
    </row>
    <row r="394">
      <c r="A394" t="n">
        <v>391</v>
      </c>
      <c r="B394">
        <f>A394/Inputs!$B$6</f>
        <v/>
      </c>
      <c r="C394">
        <f>IF(B394&lt;=INDEX(YieldCurve!$A$4:$A$63,1),1,IF(B394&gt;=INDEX(YieldCurve!$A$4:$A$63,ROWS(YieldCurve!$A$4:$A$63)),ROWS(YieldCurve!$A$4:$A$63)-1,MATCH(B394,YieldCurve!$A$4:$A$63,1)))</f>
        <v/>
      </c>
      <c r="D394">
        <f>INDEX(YieldCurve!$A$4:$A$63,C394)</f>
        <v/>
      </c>
      <c r="E394">
        <f>INDEX(YieldCurve!$A$4:$A$63,C394+1)</f>
        <v/>
      </c>
      <c r="F394">
        <f>INDEX(YieldCurve!$B$4:$B$63,C394)</f>
        <v/>
      </c>
      <c r="G394">
        <f>INDEX(YieldCurve!$B$4:$B$63,C394+1)</f>
        <v/>
      </c>
      <c r="H394">
        <f>IF(E394=D394,0,(B394-D394)/(E394-D394))</f>
        <v/>
      </c>
      <c r="I394">
        <f>-(F394+Inputs!$B$9)*D394</f>
        <v/>
      </c>
      <c r="J394">
        <f>-(G394+Inputs!$B$9)*E394</f>
        <v/>
      </c>
      <c r="K394">
        <f>IF(B394&lt;=INDEX(YieldCurve!$A$4:$A$63,1),-(INDEX(YieldCurve!$B$4:$B$63,1)+Inputs!$B$9)*B394,IF(B394&gt;=INDEX(YieldCurve!$A$4:$A$63,ROWS(YieldCurve!$A$4:$A$63)),-(INDEX(YieldCurve!$B$4:$B$63,ROWS(YieldCurve!$B$4:$B$63))+Inputs!$B$9)*B394,I394+H394*(J394-I394)))</f>
        <v/>
      </c>
      <c r="L394">
        <f>EXP(K394)</f>
        <v/>
      </c>
    </row>
    <row r="395">
      <c r="A395" t="n">
        <v>392</v>
      </c>
      <c r="B395">
        <f>A395/Inputs!$B$6</f>
        <v/>
      </c>
      <c r="C395">
        <f>IF(B395&lt;=INDEX(YieldCurve!$A$4:$A$63,1),1,IF(B395&gt;=INDEX(YieldCurve!$A$4:$A$63,ROWS(YieldCurve!$A$4:$A$63)),ROWS(YieldCurve!$A$4:$A$63)-1,MATCH(B395,YieldCurve!$A$4:$A$63,1)))</f>
        <v/>
      </c>
      <c r="D395">
        <f>INDEX(YieldCurve!$A$4:$A$63,C395)</f>
        <v/>
      </c>
      <c r="E395">
        <f>INDEX(YieldCurve!$A$4:$A$63,C395+1)</f>
        <v/>
      </c>
      <c r="F395">
        <f>INDEX(YieldCurve!$B$4:$B$63,C395)</f>
        <v/>
      </c>
      <c r="G395">
        <f>INDEX(YieldCurve!$B$4:$B$63,C395+1)</f>
        <v/>
      </c>
      <c r="H395">
        <f>IF(E395=D395,0,(B395-D395)/(E395-D395))</f>
        <v/>
      </c>
      <c r="I395">
        <f>-(F395+Inputs!$B$9)*D395</f>
        <v/>
      </c>
      <c r="J395">
        <f>-(G395+Inputs!$B$9)*E395</f>
        <v/>
      </c>
      <c r="K395">
        <f>IF(B395&lt;=INDEX(YieldCurve!$A$4:$A$63,1),-(INDEX(YieldCurve!$B$4:$B$63,1)+Inputs!$B$9)*B395,IF(B395&gt;=INDEX(YieldCurve!$A$4:$A$63,ROWS(YieldCurve!$A$4:$A$63)),-(INDEX(YieldCurve!$B$4:$B$63,ROWS(YieldCurve!$B$4:$B$63))+Inputs!$B$9)*B395,I395+H395*(J395-I395)))</f>
        <v/>
      </c>
      <c r="L395">
        <f>EXP(K395)</f>
        <v/>
      </c>
    </row>
    <row r="396">
      <c r="A396" t="n">
        <v>393</v>
      </c>
      <c r="B396">
        <f>A396/Inputs!$B$6</f>
        <v/>
      </c>
      <c r="C396">
        <f>IF(B396&lt;=INDEX(YieldCurve!$A$4:$A$63,1),1,IF(B396&gt;=INDEX(YieldCurve!$A$4:$A$63,ROWS(YieldCurve!$A$4:$A$63)),ROWS(YieldCurve!$A$4:$A$63)-1,MATCH(B396,YieldCurve!$A$4:$A$63,1)))</f>
        <v/>
      </c>
      <c r="D396">
        <f>INDEX(YieldCurve!$A$4:$A$63,C396)</f>
        <v/>
      </c>
      <c r="E396">
        <f>INDEX(YieldCurve!$A$4:$A$63,C396+1)</f>
        <v/>
      </c>
      <c r="F396">
        <f>INDEX(YieldCurve!$B$4:$B$63,C396)</f>
        <v/>
      </c>
      <c r="G396">
        <f>INDEX(YieldCurve!$B$4:$B$63,C396+1)</f>
        <v/>
      </c>
      <c r="H396">
        <f>IF(E396=D396,0,(B396-D396)/(E396-D396))</f>
        <v/>
      </c>
      <c r="I396">
        <f>-(F396+Inputs!$B$9)*D396</f>
        <v/>
      </c>
      <c r="J396">
        <f>-(G396+Inputs!$B$9)*E396</f>
        <v/>
      </c>
      <c r="K396">
        <f>IF(B396&lt;=INDEX(YieldCurve!$A$4:$A$63,1),-(INDEX(YieldCurve!$B$4:$B$63,1)+Inputs!$B$9)*B396,IF(B396&gt;=INDEX(YieldCurve!$A$4:$A$63,ROWS(YieldCurve!$A$4:$A$63)),-(INDEX(YieldCurve!$B$4:$B$63,ROWS(YieldCurve!$B$4:$B$63))+Inputs!$B$9)*B396,I396+H396*(J396-I396)))</f>
        <v/>
      </c>
      <c r="L396">
        <f>EXP(K396)</f>
        <v/>
      </c>
    </row>
    <row r="397">
      <c r="A397" t="n">
        <v>394</v>
      </c>
      <c r="B397">
        <f>A397/Inputs!$B$6</f>
        <v/>
      </c>
      <c r="C397">
        <f>IF(B397&lt;=INDEX(YieldCurve!$A$4:$A$63,1),1,IF(B397&gt;=INDEX(YieldCurve!$A$4:$A$63,ROWS(YieldCurve!$A$4:$A$63)),ROWS(YieldCurve!$A$4:$A$63)-1,MATCH(B397,YieldCurve!$A$4:$A$63,1)))</f>
        <v/>
      </c>
      <c r="D397">
        <f>INDEX(YieldCurve!$A$4:$A$63,C397)</f>
        <v/>
      </c>
      <c r="E397">
        <f>INDEX(YieldCurve!$A$4:$A$63,C397+1)</f>
        <v/>
      </c>
      <c r="F397">
        <f>INDEX(YieldCurve!$B$4:$B$63,C397)</f>
        <v/>
      </c>
      <c r="G397">
        <f>INDEX(YieldCurve!$B$4:$B$63,C397+1)</f>
        <v/>
      </c>
      <c r="H397">
        <f>IF(E397=D397,0,(B397-D397)/(E397-D397))</f>
        <v/>
      </c>
      <c r="I397">
        <f>-(F397+Inputs!$B$9)*D397</f>
        <v/>
      </c>
      <c r="J397">
        <f>-(G397+Inputs!$B$9)*E397</f>
        <v/>
      </c>
      <c r="K397">
        <f>IF(B397&lt;=INDEX(YieldCurve!$A$4:$A$63,1),-(INDEX(YieldCurve!$B$4:$B$63,1)+Inputs!$B$9)*B397,IF(B397&gt;=INDEX(YieldCurve!$A$4:$A$63,ROWS(YieldCurve!$A$4:$A$63)),-(INDEX(YieldCurve!$B$4:$B$63,ROWS(YieldCurve!$B$4:$B$63))+Inputs!$B$9)*B397,I397+H397*(J397-I397)))</f>
        <v/>
      </c>
      <c r="L397">
        <f>EXP(K397)</f>
        <v/>
      </c>
    </row>
    <row r="398">
      <c r="A398" t="n">
        <v>395</v>
      </c>
      <c r="B398">
        <f>A398/Inputs!$B$6</f>
        <v/>
      </c>
      <c r="C398">
        <f>IF(B398&lt;=INDEX(YieldCurve!$A$4:$A$63,1),1,IF(B398&gt;=INDEX(YieldCurve!$A$4:$A$63,ROWS(YieldCurve!$A$4:$A$63)),ROWS(YieldCurve!$A$4:$A$63)-1,MATCH(B398,YieldCurve!$A$4:$A$63,1)))</f>
        <v/>
      </c>
      <c r="D398">
        <f>INDEX(YieldCurve!$A$4:$A$63,C398)</f>
        <v/>
      </c>
      <c r="E398">
        <f>INDEX(YieldCurve!$A$4:$A$63,C398+1)</f>
        <v/>
      </c>
      <c r="F398">
        <f>INDEX(YieldCurve!$B$4:$B$63,C398)</f>
        <v/>
      </c>
      <c r="G398">
        <f>INDEX(YieldCurve!$B$4:$B$63,C398+1)</f>
        <v/>
      </c>
      <c r="H398">
        <f>IF(E398=D398,0,(B398-D398)/(E398-D398))</f>
        <v/>
      </c>
      <c r="I398">
        <f>-(F398+Inputs!$B$9)*D398</f>
        <v/>
      </c>
      <c r="J398">
        <f>-(G398+Inputs!$B$9)*E398</f>
        <v/>
      </c>
      <c r="K398">
        <f>IF(B398&lt;=INDEX(YieldCurve!$A$4:$A$63,1),-(INDEX(YieldCurve!$B$4:$B$63,1)+Inputs!$B$9)*B398,IF(B398&gt;=INDEX(YieldCurve!$A$4:$A$63,ROWS(YieldCurve!$A$4:$A$63)),-(INDEX(YieldCurve!$B$4:$B$63,ROWS(YieldCurve!$B$4:$B$63))+Inputs!$B$9)*B398,I398+H398*(J398-I398)))</f>
        <v/>
      </c>
      <c r="L398">
        <f>EXP(K398)</f>
        <v/>
      </c>
    </row>
    <row r="399">
      <c r="A399" t="n">
        <v>396</v>
      </c>
      <c r="B399">
        <f>A399/Inputs!$B$6</f>
        <v/>
      </c>
      <c r="C399">
        <f>IF(B399&lt;=INDEX(YieldCurve!$A$4:$A$63,1),1,IF(B399&gt;=INDEX(YieldCurve!$A$4:$A$63,ROWS(YieldCurve!$A$4:$A$63)),ROWS(YieldCurve!$A$4:$A$63)-1,MATCH(B399,YieldCurve!$A$4:$A$63,1)))</f>
        <v/>
      </c>
      <c r="D399">
        <f>INDEX(YieldCurve!$A$4:$A$63,C399)</f>
        <v/>
      </c>
      <c r="E399">
        <f>INDEX(YieldCurve!$A$4:$A$63,C399+1)</f>
        <v/>
      </c>
      <c r="F399">
        <f>INDEX(YieldCurve!$B$4:$B$63,C399)</f>
        <v/>
      </c>
      <c r="G399">
        <f>INDEX(YieldCurve!$B$4:$B$63,C399+1)</f>
        <v/>
      </c>
      <c r="H399">
        <f>IF(E399=D399,0,(B399-D399)/(E399-D399))</f>
        <v/>
      </c>
      <c r="I399">
        <f>-(F399+Inputs!$B$9)*D399</f>
        <v/>
      </c>
      <c r="J399">
        <f>-(G399+Inputs!$B$9)*E399</f>
        <v/>
      </c>
      <c r="K399">
        <f>IF(B399&lt;=INDEX(YieldCurve!$A$4:$A$63,1),-(INDEX(YieldCurve!$B$4:$B$63,1)+Inputs!$B$9)*B399,IF(B399&gt;=INDEX(YieldCurve!$A$4:$A$63,ROWS(YieldCurve!$A$4:$A$63)),-(INDEX(YieldCurve!$B$4:$B$63,ROWS(YieldCurve!$B$4:$B$63))+Inputs!$B$9)*B399,I399+H399*(J399-I399)))</f>
        <v/>
      </c>
      <c r="L399">
        <f>EXP(K399)</f>
        <v/>
      </c>
    </row>
    <row r="400">
      <c r="A400" t="n">
        <v>397</v>
      </c>
      <c r="B400">
        <f>A400/Inputs!$B$6</f>
        <v/>
      </c>
      <c r="C400">
        <f>IF(B400&lt;=INDEX(YieldCurve!$A$4:$A$63,1),1,IF(B400&gt;=INDEX(YieldCurve!$A$4:$A$63,ROWS(YieldCurve!$A$4:$A$63)),ROWS(YieldCurve!$A$4:$A$63)-1,MATCH(B400,YieldCurve!$A$4:$A$63,1)))</f>
        <v/>
      </c>
      <c r="D400">
        <f>INDEX(YieldCurve!$A$4:$A$63,C400)</f>
        <v/>
      </c>
      <c r="E400">
        <f>INDEX(YieldCurve!$A$4:$A$63,C400+1)</f>
        <v/>
      </c>
      <c r="F400">
        <f>INDEX(YieldCurve!$B$4:$B$63,C400)</f>
        <v/>
      </c>
      <c r="G400">
        <f>INDEX(YieldCurve!$B$4:$B$63,C400+1)</f>
        <v/>
      </c>
      <c r="H400">
        <f>IF(E400=D400,0,(B400-D400)/(E400-D400))</f>
        <v/>
      </c>
      <c r="I400">
        <f>-(F400+Inputs!$B$9)*D400</f>
        <v/>
      </c>
      <c r="J400">
        <f>-(G400+Inputs!$B$9)*E400</f>
        <v/>
      </c>
      <c r="K400">
        <f>IF(B400&lt;=INDEX(YieldCurve!$A$4:$A$63,1),-(INDEX(YieldCurve!$B$4:$B$63,1)+Inputs!$B$9)*B400,IF(B400&gt;=INDEX(YieldCurve!$A$4:$A$63,ROWS(YieldCurve!$A$4:$A$63)),-(INDEX(YieldCurve!$B$4:$B$63,ROWS(YieldCurve!$B$4:$B$63))+Inputs!$B$9)*B400,I400+H400*(J400-I400)))</f>
        <v/>
      </c>
      <c r="L400">
        <f>EXP(K400)</f>
        <v/>
      </c>
    </row>
    <row r="401">
      <c r="A401" t="n">
        <v>398</v>
      </c>
      <c r="B401">
        <f>A401/Inputs!$B$6</f>
        <v/>
      </c>
      <c r="C401">
        <f>IF(B401&lt;=INDEX(YieldCurve!$A$4:$A$63,1),1,IF(B401&gt;=INDEX(YieldCurve!$A$4:$A$63,ROWS(YieldCurve!$A$4:$A$63)),ROWS(YieldCurve!$A$4:$A$63)-1,MATCH(B401,YieldCurve!$A$4:$A$63,1)))</f>
        <v/>
      </c>
      <c r="D401">
        <f>INDEX(YieldCurve!$A$4:$A$63,C401)</f>
        <v/>
      </c>
      <c r="E401">
        <f>INDEX(YieldCurve!$A$4:$A$63,C401+1)</f>
        <v/>
      </c>
      <c r="F401">
        <f>INDEX(YieldCurve!$B$4:$B$63,C401)</f>
        <v/>
      </c>
      <c r="G401">
        <f>INDEX(YieldCurve!$B$4:$B$63,C401+1)</f>
        <v/>
      </c>
      <c r="H401">
        <f>IF(E401=D401,0,(B401-D401)/(E401-D401))</f>
        <v/>
      </c>
      <c r="I401">
        <f>-(F401+Inputs!$B$9)*D401</f>
        <v/>
      </c>
      <c r="J401">
        <f>-(G401+Inputs!$B$9)*E401</f>
        <v/>
      </c>
      <c r="K401">
        <f>IF(B401&lt;=INDEX(YieldCurve!$A$4:$A$63,1),-(INDEX(YieldCurve!$B$4:$B$63,1)+Inputs!$B$9)*B401,IF(B401&gt;=INDEX(YieldCurve!$A$4:$A$63,ROWS(YieldCurve!$A$4:$A$63)),-(INDEX(YieldCurve!$B$4:$B$63,ROWS(YieldCurve!$B$4:$B$63))+Inputs!$B$9)*B401,I401+H401*(J401-I401)))</f>
        <v/>
      </c>
      <c r="L401">
        <f>EXP(K401)</f>
        <v/>
      </c>
    </row>
    <row r="402">
      <c r="A402" t="n">
        <v>399</v>
      </c>
      <c r="B402">
        <f>A402/Inputs!$B$6</f>
        <v/>
      </c>
      <c r="C402">
        <f>IF(B402&lt;=INDEX(YieldCurve!$A$4:$A$63,1),1,IF(B402&gt;=INDEX(YieldCurve!$A$4:$A$63,ROWS(YieldCurve!$A$4:$A$63)),ROWS(YieldCurve!$A$4:$A$63)-1,MATCH(B402,YieldCurve!$A$4:$A$63,1)))</f>
        <v/>
      </c>
      <c r="D402">
        <f>INDEX(YieldCurve!$A$4:$A$63,C402)</f>
        <v/>
      </c>
      <c r="E402">
        <f>INDEX(YieldCurve!$A$4:$A$63,C402+1)</f>
        <v/>
      </c>
      <c r="F402">
        <f>INDEX(YieldCurve!$B$4:$B$63,C402)</f>
        <v/>
      </c>
      <c r="G402">
        <f>INDEX(YieldCurve!$B$4:$B$63,C402+1)</f>
        <v/>
      </c>
      <c r="H402">
        <f>IF(E402=D402,0,(B402-D402)/(E402-D402))</f>
        <v/>
      </c>
      <c r="I402">
        <f>-(F402+Inputs!$B$9)*D402</f>
        <v/>
      </c>
      <c r="J402">
        <f>-(G402+Inputs!$B$9)*E402</f>
        <v/>
      </c>
      <c r="K402">
        <f>IF(B402&lt;=INDEX(YieldCurve!$A$4:$A$63,1),-(INDEX(YieldCurve!$B$4:$B$63,1)+Inputs!$B$9)*B402,IF(B402&gt;=INDEX(YieldCurve!$A$4:$A$63,ROWS(YieldCurve!$A$4:$A$63)),-(INDEX(YieldCurve!$B$4:$B$63,ROWS(YieldCurve!$B$4:$B$63))+Inputs!$B$9)*B402,I402+H402*(J402-I402)))</f>
        <v/>
      </c>
      <c r="L402">
        <f>EXP(K402)</f>
        <v/>
      </c>
    </row>
    <row r="403">
      <c r="A403" t="n">
        <v>400</v>
      </c>
      <c r="B403">
        <f>A403/Inputs!$B$6</f>
        <v/>
      </c>
      <c r="C403">
        <f>IF(B403&lt;=INDEX(YieldCurve!$A$4:$A$63,1),1,IF(B403&gt;=INDEX(YieldCurve!$A$4:$A$63,ROWS(YieldCurve!$A$4:$A$63)),ROWS(YieldCurve!$A$4:$A$63)-1,MATCH(B403,YieldCurve!$A$4:$A$63,1)))</f>
        <v/>
      </c>
      <c r="D403">
        <f>INDEX(YieldCurve!$A$4:$A$63,C403)</f>
        <v/>
      </c>
      <c r="E403">
        <f>INDEX(YieldCurve!$A$4:$A$63,C403+1)</f>
        <v/>
      </c>
      <c r="F403">
        <f>INDEX(YieldCurve!$B$4:$B$63,C403)</f>
        <v/>
      </c>
      <c r="G403">
        <f>INDEX(YieldCurve!$B$4:$B$63,C403+1)</f>
        <v/>
      </c>
      <c r="H403">
        <f>IF(E403=D403,0,(B403-D403)/(E403-D403))</f>
        <v/>
      </c>
      <c r="I403">
        <f>-(F403+Inputs!$B$9)*D403</f>
        <v/>
      </c>
      <c r="J403">
        <f>-(G403+Inputs!$B$9)*E403</f>
        <v/>
      </c>
      <c r="K403">
        <f>IF(B403&lt;=INDEX(YieldCurve!$A$4:$A$63,1),-(INDEX(YieldCurve!$B$4:$B$63,1)+Inputs!$B$9)*B403,IF(B403&gt;=INDEX(YieldCurve!$A$4:$A$63,ROWS(YieldCurve!$A$4:$A$63)),-(INDEX(YieldCurve!$B$4:$B$63,ROWS(YieldCurve!$B$4:$B$63))+Inputs!$B$9)*B403,I403+H403*(J403-I403)))</f>
        <v/>
      </c>
      <c r="L403">
        <f>EXP(K403)</f>
        <v/>
      </c>
    </row>
    <row r="404">
      <c r="A404" t="n">
        <v>401</v>
      </c>
      <c r="B404">
        <f>A404/Inputs!$B$6</f>
        <v/>
      </c>
      <c r="C404">
        <f>IF(B404&lt;=INDEX(YieldCurve!$A$4:$A$63,1),1,IF(B404&gt;=INDEX(YieldCurve!$A$4:$A$63,ROWS(YieldCurve!$A$4:$A$63)),ROWS(YieldCurve!$A$4:$A$63)-1,MATCH(B404,YieldCurve!$A$4:$A$63,1)))</f>
        <v/>
      </c>
      <c r="D404">
        <f>INDEX(YieldCurve!$A$4:$A$63,C404)</f>
        <v/>
      </c>
      <c r="E404">
        <f>INDEX(YieldCurve!$A$4:$A$63,C404+1)</f>
        <v/>
      </c>
      <c r="F404">
        <f>INDEX(YieldCurve!$B$4:$B$63,C404)</f>
        <v/>
      </c>
      <c r="G404">
        <f>INDEX(YieldCurve!$B$4:$B$63,C404+1)</f>
        <v/>
      </c>
      <c r="H404">
        <f>IF(E404=D404,0,(B404-D404)/(E404-D404))</f>
        <v/>
      </c>
      <c r="I404">
        <f>-(F404+Inputs!$B$9)*D404</f>
        <v/>
      </c>
      <c r="J404">
        <f>-(G404+Inputs!$B$9)*E404</f>
        <v/>
      </c>
      <c r="K404">
        <f>IF(B404&lt;=INDEX(YieldCurve!$A$4:$A$63,1),-(INDEX(YieldCurve!$B$4:$B$63,1)+Inputs!$B$9)*B404,IF(B404&gt;=INDEX(YieldCurve!$A$4:$A$63,ROWS(YieldCurve!$A$4:$A$63)),-(INDEX(YieldCurve!$B$4:$B$63,ROWS(YieldCurve!$B$4:$B$63))+Inputs!$B$9)*B404,I404+H404*(J404-I404)))</f>
        <v/>
      </c>
      <c r="L404">
        <f>EXP(K404)</f>
        <v/>
      </c>
    </row>
    <row r="405">
      <c r="A405" t="n">
        <v>402</v>
      </c>
      <c r="B405">
        <f>A405/Inputs!$B$6</f>
        <v/>
      </c>
      <c r="C405">
        <f>IF(B405&lt;=INDEX(YieldCurve!$A$4:$A$63,1),1,IF(B405&gt;=INDEX(YieldCurve!$A$4:$A$63,ROWS(YieldCurve!$A$4:$A$63)),ROWS(YieldCurve!$A$4:$A$63)-1,MATCH(B405,YieldCurve!$A$4:$A$63,1)))</f>
        <v/>
      </c>
      <c r="D405">
        <f>INDEX(YieldCurve!$A$4:$A$63,C405)</f>
        <v/>
      </c>
      <c r="E405">
        <f>INDEX(YieldCurve!$A$4:$A$63,C405+1)</f>
        <v/>
      </c>
      <c r="F405">
        <f>INDEX(YieldCurve!$B$4:$B$63,C405)</f>
        <v/>
      </c>
      <c r="G405">
        <f>INDEX(YieldCurve!$B$4:$B$63,C405+1)</f>
        <v/>
      </c>
      <c r="H405">
        <f>IF(E405=D405,0,(B405-D405)/(E405-D405))</f>
        <v/>
      </c>
      <c r="I405">
        <f>-(F405+Inputs!$B$9)*D405</f>
        <v/>
      </c>
      <c r="J405">
        <f>-(G405+Inputs!$B$9)*E405</f>
        <v/>
      </c>
      <c r="K405">
        <f>IF(B405&lt;=INDEX(YieldCurve!$A$4:$A$63,1),-(INDEX(YieldCurve!$B$4:$B$63,1)+Inputs!$B$9)*B405,IF(B405&gt;=INDEX(YieldCurve!$A$4:$A$63,ROWS(YieldCurve!$A$4:$A$63)),-(INDEX(YieldCurve!$B$4:$B$63,ROWS(YieldCurve!$B$4:$B$63))+Inputs!$B$9)*B405,I405+H405*(J405-I405)))</f>
        <v/>
      </c>
      <c r="L405">
        <f>EXP(K405)</f>
        <v/>
      </c>
    </row>
    <row r="406">
      <c r="A406" t="n">
        <v>403</v>
      </c>
      <c r="B406">
        <f>A406/Inputs!$B$6</f>
        <v/>
      </c>
      <c r="C406">
        <f>IF(B406&lt;=INDEX(YieldCurve!$A$4:$A$63,1),1,IF(B406&gt;=INDEX(YieldCurve!$A$4:$A$63,ROWS(YieldCurve!$A$4:$A$63)),ROWS(YieldCurve!$A$4:$A$63)-1,MATCH(B406,YieldCurve!$A$4:$A$63,1)))</f>
        <v/>
      </c>
      <c r="D406">
        <f>INDEX(YieldCurve!$A$4:$A$63,C406)</f>
        <v/>
      </c>
      <c r="E406">
        <f>INDEX(YieldCurve!$A$4:$A$63,C406+1)</f>
        <v/>
      </c>
      <c r="F406">
        <f>INDEX(YieldCurve!$B$4:$B$63,C406)</f>
        <v/>
      </c>
      <c r="G406">
        <f>INDEX(YieldCurve!$B$4:$B$63,C406+1)</f>
        <v/>
      </c>
      <c r="H406">
        <f>IF(E406=D406,0,(B406-D406)/(E406-D406))</f>
        <v/>
      </c>
      <c r="I406">
        <f>-(F406+Inputs!$B$9)*D406</f>
        <v/>
      </c>
      <c r="J406">
        <f>-(G406+Inputs!$B$9)*E406</f>
        <v/>
      </c>
      <c r="K406">
        <f>IF(B406&lt;=INDEX(YieldCurve!$A$4:$A$63,1),-(INDEX(YieldCurve!$B$4:$B$63,1)+Inputs!$B$9)*B406,IF(B406&gt;=INDEX(YieldCurve!$A$4:$A$63,ROWS(YieldCurve!$A$4:$A$63)),-(INDEX(YieldCurve!$B$4:$B$63,ROWS(YieldCurve!$B$4:$B$63))+Inputs!$B$9)*B406,I406+H406*(J406-I406)))</f>
        <v/>
      </c>
      <c r="L406">
        <f>EXP(K406)</f>
        <v/>
      </c>
    </row>
    <row r="407">
      <c r="A407" t="n">
        <v>404</v>
      </c>
      <c r="B407">
        <f>A407/Inputs!$B$6</f>
        <v/>
      </c>
      <c r="C407">
        <f>IF(B407&lt;=INDEX(YieldCurve!$A$4:$A$63,1),1,IF(B407&gt;=INDEX(YieldCurve!$A$4:$A$63,ROWS(YieldCurve!$A$4:$A$63)),ROWS(YieldCurve!$A$4:$A$63)-1,MATCH(B407,YieldCurve!$A$4:$A$63,1)))</f>
        <v/>
      </c>
      <c r="D407">
        <f>INDEX(YieldCurve!$A$4:$A$63,C407)</f>
        <v/>
      </c>
      <c r="E407">
        <f>INDEX(YieldCurve!$A$4:$A$63,C407+1)</f>
        <v/>
      </c>
      <c r="F407">
        <f>INDEX(YieldCurve!$B$4:$B$63,C407)</f>
        <v/>
      </c>
      <c r="G407">
        <f>INDEX(YieldCurve!$B$4:$B$63,C407+1)</f>
        <v/>
      </c>
      <c r="H407">
        <f>IF(E407=D407,0,(B407-D407)/(E407-D407))</f>
        <v/>
      </c>
      <c r="I407">
        <f>-(F407+Inputs!$B$9)*D407</f>
        <v/>
      </c>
      <c r="J407">
        <f>-(G407+Inputs!$B$9)*E407</f>
        <v/>
      </c>
      <c r="K407">
        <f>IF(B407&lt;=INDEX(YieldCurve!$A$4:$A$63,1),-(INDEX(YieldCurve!$B$4:$B$63,1)+Inputs!$B$9)*B407,IF(B407&gt;=INDEX(YieldCurve!$A$4:$A$63,ROWS(YieldCurve!$A$4:$A$63)),-(INDEX(YieldCurve!$B$4:$B$63,ROWS(YieldCurve!$B$4:$B$63))+Inputs!$B$9)*B407,I407+H407*(J407-I407)))</f>
        <v/>
      </c>
      <c r="L407">
        <f>EXP(K407)</f>
        <v/>
      </c>
    </row>
    <row r="408">
      <c r="A408" t="n">
        <v>405</v>
      </c>
      <c r="B408">
        <f>A408/Inputs!$B$6</f>
        <v/>
      </c>
      <c r="C408">
        <f>IF(B408&lt;=INDEX(YieldCurve!$A$4:$A$63,1),1,IF(B408&gt;=INDEX(YieldCurve!$A$4:$A$63,ROWS(YieldCurve!$A$4:$A$63)),ROWS(YieldCurve!$A$4:$A$63)-1,MATCH(B408,YieldCurve!$A$4:$A$63,1)))</f>
        <v/>
      </c>
      <c r="D408">
        <f>INDEX(YieldCurve!$A$4:$A$63,C408)</f>
        <v/>
      </c>
      <c r="E408">
        <f>INDEX(YieldCurve!$A$4:$A$63,C408+1)</f>
        <v/>
      </c>
      <c r="F408">
        <f>INDEX(YieldCurve!$B$4:$B$63,C408)</f>
        <v/>
      </c>
      <c r="G408">
        <f>INDEX(YieldCurve!$B$4:$B$63,C408+1)</f>
        <v/>
      </c>
      <c r="H408">
        <f>IF(E408=D408,0,(B408-D408)/(E408-D408))</f>
        <v/>
      </c>
      <c r="I408">
        <f>-(F408+Inputs!$B$9)*D408</f>
        <v/>
      </c>
      <c r="J408">
        <f>-(G408+Inputs!$B$9)*E408</f>
        <v/>
      </c>
      <c r="K408">
        <f>IF(B408&lt;=INDEX(YieldCurve!$A$4:$A$63,1),-(INDEX(YieldCurve!$B$4:$B$63,1)+Inputs!$B$9)*B408,IF(B408&gt;=INDEX(YieldCurve!$A$4:$A$63,ROWS(YieldCurve!$A$4:$A$63)),-(INDEX(YieldCurve!$B$4:$B$63,ROWS(YieldCurve!$B$4:$B$63))+Inputs!$B$9)*B408,I408+H408*(J408-I408)))</f>
        <v/>
      </c>
      <c r="L408">
        <f>EXP(K408)</f>
        <v/>
      </c>
    </row>
    <row r="409">
      <c r="A409" t="n">
        <v>406</v>
      </c>
      <c r="B409">
        <f>A409/Inputs!$B$6</f>
        <v/>
      </c>
      <c r="C409">
        <f>IF(B409&lt;=INDEX(YieldCurve!$A$4:$A$63,1),1,IF(B409&gt;=INDEX(YieldCurve!$A$4:$A$63,ROWS(YieldCurve!$A$4:$A$63)),ROWS(YieldCurve!$A$4:$A$63)-1,MATCH(B409,YieldCurve!$A$4:$A$63,1)))</f>
        <v/>
      </c>
      <c r="D409">
        <f>INDEX(YieldCurve!$A$4:$A$63,C409)</f>
        <v/>
      </c>
      <c r="E409">
        <f>INDEX(YieldCurve!$A$4:$A$63,C409+1)</f>
        <v/>
      </c>
      <c r="F409">
        <f>INDEX(YieldCurve!$B$4:$B$63,C409)</f>
        <v/>
      </c>
      <c r="G409">
        <f>INDEX(YieldCurve!$B$4:$B$63,C409+1)</f>
        <v/>
      </c>
      <c r="H409">
        <f>IF(E409=D409,0,(B409-D409)/(E409-D409))</f>
        <v/>
      </c>
      <c r="I409">
        <f>-(F409+Inputs!$B$9)*D409</f>
        <v/>
      </c>
      <c r="J409">
        <f>-(G409+Inputs!$B$9)*E409</f>
        <v/>
      </c>
      <c r="K409">
        <f>IF(B409&lt;=INDEX(YieldCurve!$A$4:$A$63,1),-(INDEX(YieldCurve!$B$4:$B$63,1)+Inputs!$B$9)*B409,IF(B409&gt;=INDEX(YieldCurve!$A$4:$A$63,ROWS(YieldCurve!$A$4:$A$63)),-(INDEX(YieldCurve!$B$4:$B$63,ROWS(YieldCurve!$B$4:$B$63))+Inputs!$B$9)*B409,I409+H409*(J409-I409)))</f>
        <v/>
      </c>
      <c r="L409">
        <f>EXP(K409)</f>
        <v/>
      </c>
    </row>
    <row r="410">
      <c r="A410" t="n">
        <v>407</v>
      </c>
      <c r="B410">
        <f>A410/Inputs!$B$6</f>
        <v/>
      </c>
      <c r="C410">
        <f>IF(B410&lt;=INDEX(YieldCurve!$A$4:$A$63,1),1,IF(B410&gt;=INDEX(YieldCurve!$A$4:$A$63,ROWS(YieldCurve!$A$4:$A$63)),ROWS(YieldCurve!$A$4:$A$63)-1,MATCH(B410,YieldCurve!$A$4:$A$63,1)))</f>
        <v/>
      </c>
      <c r="D410">
        <f>INDEX(YieldCurve!$A$4:$A$63,C410)</f>
        <v/>
      </c>
      <c r="E410">
        <f>INDEX(YieldCurve!$A$4:$A$63,C410+1)</f>
        <v/>
      </c>
      <c r="F410">
        <f>INDEX(YieldCurve!$B$4:$B$63,C410)</f>
        <v/>
      </c>
      <c r="G410">
        <f>INDEX(YieldCurve!$B$4:$B$63,C410+1)</f>
        <v/>
      </c>
      <c r="H410">
        <f>IF(E410=D410,0,(B410-D410)/(E410-D410))</f>
        <v/>
      </c>
      <c r="I410">
        <f>-(F410+Inputs!$B$9)*D410</f>
        <v/>
      </c>
      <c r="J410">
        <f>-(G410+Inputs!$B$9)*E410</f>
        <v/>
      </c>
      <c r="K410">
        <f>IF(B410&lt;=INDEX(YieldCurve!$A$4:$A$63,1),-(INDEX(YieldCurve!$B$4:$B$63,1)+Inputs!$B$9)*B410,IF(B410&gt;=INDEX(YieldCurve!$A$4:$A$63,ROWS(YieldCurve!$A$4:$A$63)),-(INDEX(YieldCurve!$B$4:$B$63,ROWS(YieldCurve!$B$4:$B$63))+Inputs!$B$9)*B410,I410+H410*(J410-I410)))</f>
        <v/>
      </c>
      <c r="L410">
        <f>EXP(K410)</f>
        <v/>
      </c>
    </row>
    <row r="411">
      <c r="A411" t="n">
        <v>408</v>
      </c>
      <c r="B411">
        <f>A411/Inputs!$B$6</f>
        <v/>
      </c>
      <c r="C411">
        <f>IF(B411&lt;=INDEX(YieldCurve!$A$4:$A$63,1),1,IF(B411&gt;=INDEX(YieldCurve!$A$4:$A$63,ROWS(YieldCurve!$A$4:$A$63)),ROWS(YieldCurve!$A$4:$A$63)-1,MATCH(B411,YieldCurve!$A$4:$A$63,1)))</f>
        <v/>
      </c>
      <c r="D411">
        <f>INDEX(YieldCurve!$A$4:$A$63,C411)</f>
        <v/>
      </c>
      <c r="E411">
        <f>INDEX(YieldCurve!$A$4:$A$63,C411+1)</f>
        <v/>
      </c>
      <c r="F411">
        <f>INDEX(YieldCurve!$B$4:$B$63,C411)</f>
        <v/>
      </c>
      <c r="G411">
        <f>INDEX(YieldCurve!$B$4:$B$63,C411+1)</f>
        <v/>
      </c>
      <c r="H411">
        <f>IF(E411=D411,0,(B411-D411)/(E411-D411))</f>
        <v/>
      </c>
      <c r="I411">
        <f>-(F411+Inputs!$B$9)*D411</f>
        <v/>
      </c>
      <c r="J411">
        <f>-(G411+Inputs!$B$9)*E411</f>
        <v/>
      </c>
      <c r="K411">
        <f>IF(B411&lt;=INDEX(YieldCurve!$A$4:$A$63,1),-(INDEX(YieldCurve!$B$4:$B$63,1)+Inputs!$B$9)*B411,IF(B411&gt;=INDEX(YieldCurve!$A$4:$A$63,ROWS(YieldCurve!$A$4:$A$63)),-(INDEX(YieldCurve!$B$4:$B$63,ROWS(YieldCurve!$B$4:$B$63))+Inputs!$B$9)*B411,I411+H411*(J411-I411)))</f>
        <v/>
      </c>
      <c r="L411">
        <f>EXP(K411)</f>
        <v/>
      </c>
    </row>
    <row r="412">
      <c r="A412" t="n">
        <v>409</v>
      </c>
      <c r="B412">
        <f>A412/Inputs!$B$6</f>
        <v/>
      </c>
      <c r="C412">
        <f>IF(B412&lt;=INDEX(YieldCurve!$A$4:$A$63,1),1,IF(B412&gt;=INDEX(YieldCurve!$A$4:$A$63,ROWS(YieldCurve!$A$4:$A$63)),ROWS(YieldCurve!$A$4:$A$63)-1,MATCH(B412,YieldCurve!$A$4:$A$63,1)))</f>
        <v/>
      </c>
      <c r="D412">
        <f>INDEX(YieldCurve!$A$4:$A$63,C412)</f>
        <v/>
      </c>
      <c r="E412">
        <f>INDEX(YieldCurve!$A$4:$A$63,C412+1)</f>
        <v/>
      </c>
      <c r="F412">
        <f>INDEX(YieldCurve!$B$4:$B$63,C412)</f>
        <v/>
      </c>
      <c r="G412">
        <f>INDEX(YieldCurve!$B$4:$B$63,C412+1)</f>
        <v/>
      </c>
      <c r="H412">
        <f>IF(E412=D412,0,(B412-D412)/(E412-D412))</f>
        <v/>
      </c>
      <c r="I412">
        <f>-(F412+Inputs!$B$9)*D412</f>
        <v/>
      </c>
      <c r="J412">
        <f>-(G412+Inputs!$B$9)*E412</f>
        <v/>
      </c>
      <c r="K412">
        <f>IF(B412&lt;=INDEX(YieldCurve!$A$4:$A$63,1),-(INDEX(YieldCurve!$B$4:$B$63,1)+Inputs!$B$9)*B412,IF(B412&gt;=INDEX(YieldCurve!$A$4:$A$63,ROWS(YieldCurve!$A$4:$A$63)),-(INDEX(YieldCurve!$B$4:$B$63,ROWS(YieldCurve!$B$4:$B$63))+Inputs!$B$9)*B412,I412+H412*(J412-I412)))</f>
        <v/>
      </c>
      <c r="L412">
        <f>EXP(K412)</f>
        <v/>
      </c>
    </row>
    <row r="413">
      <c r="A413" t="n">
        <v>410</v>
      </c>
      <c r="B413">
        <f>A413/Inputs!$B$6</f>
        <v/>
      </c>
      <c r="C413">
        <f>IF(B413&lt;=INDEX(YieldCurve!$A$4:$A$63,1),1,IF(B413&gt;=INDEX(YieldCurve!$A$4:$A$63,ROWS(YieldCurve!$A$4:$A$63)),ROWS(YieldCurve!$A$4:$A$63)-1,MATCH(B413,YieldCurve!$A$4:$A$63,1)))</f>
        <v/>
      </c>
      <c r="D413">
        <f>INDEX(YieldCurve!$A$4:$A$63,C413)</f>
        <v/>
      </c>
      <c r="E413">
        <f>INDEX(YieldCurve!$A$4:$A$63,C413+1)</f>
        <v/>
      </c>
      <c r="F413">
        <f>INDEX(YieldCurve!$B$4:$B$63,C413)</f>
        <v/>
      </c>
      <c r="G413">
        <f>INDEX(YieldCurve!$B$4:$B$63,C413+1)</f>
        <v/>
      </c>
      <c r="H413">
        <f>IF(E413=D413,0,(B413-D413)/(E413-D413))</f>
        <v/>
      </c>
      <c r="I413">
        <f>-(F413+Inputs!$B$9)*D413</f>
        <v/>
      </c>
      <c r="J413">
        <f>-(G413+Inputs!$B$9)*E413</f>
        <v/>
      </c>
      <c r="K413">
        <f>IF(B413&lt;=INDEX(YieldCurve!$A$4:$A$63,1),-(INDEX(YieldCurve!$B$4:$B$63,1)+Inputs!$B$9)*B413,IF(B413&gt;=INDEX(YieldCurve!$A$4:$A$63,ROWS(YieldCurve!$A$4:$A$63)),-(INDEX(YieldCurve!$B$4:$B$63,ROWS(YieldCurve!$B$4:$B$63))+Inputs!$B$9)*B413,I413+H413*(J413-I413)))</f>
        <v/>
      </c>
      <c r="L413">
        <f>EXP(K413)</f>
        <v/>
      </c>
    </row>
    <row r="414">
      <c r="A414" t="n">
        <v>411</v>
      </c>
      <c r="B414">
        <f>A414/Inputs!$B$6</f>
        <v/>
      </c>
      <c r="C414">
        <f>IF(B414&lt;=INDEX(YieldCurve!$A$4:$A$63,1),1,IF(B414&gt;=INDEX(YieldCurve!$A$4:$A$63,ROWS(YieldCurve!$A$4:$A$63)),ROWS(YieldCurve!$A$4:$A$63)-1,MATCH(B414,YieldCurve!$A$4:$A$63,1)))</f>
        <v/>
      </c>
      <c r="D414">
        <f>INDEX(YieldCurve!$A$4:$A$63,C414)</f>
        <v/>
      </c>
      <c r="E414">
        <f>INDEX(YieldCurve!$A$4:$A$63,C414+1)</f>
        <v/>
      </c>
      <c r="F414">
        <f>INDEX(YieldCurve!$B$4:$B$63,C414)</f>
        <v/>
      </c>
      <c r="G414">
        <f>INDEX(YieldCurve!$B$4:$B$63,C414+1)</f>
        <v/>
      </c>
      <c r="H414">
        <f>IF(E414=D414,0,(B414-D414)/(E414-D414))</f>
        <v/>
      </c>
      <c r="I414">
        <f>-(F414+Inputs!$B$9)*D414</f>
        <v/>
      </c>
      <c r="J414">
        <f>-(G414+Inputs!$B$9)*E414</f>
        <v/>
      </c>
      <c r="K414">
        <f>IF(B414&lt;=INDEX(YieldCurve!$A$4:$A$63,1),-(INDEX(YieldCurve!$B$4:$B$63,1)+Inputs!$B$9)*B414,IF(B414&gt;=INDEX(YieldCurve!$A$4:$A$63,ROWS(YieldCurve!$A$4:$A$63)),-(INDEX(YieldCurve!$B$4:$B$63,ROWS(YieldCurve!$B$4:$B$63))+Inputs!$B$9)*B414,I414+H414*(J414-I414)))</f>
        <v/>
      </c>
      <c r="L414">
        <f>EXP(K414)</f>
        <v/>
      </c>
    </row>
    <row r="415">
      <c r="A415" t="n">
        <v>412</v>
      </c>
      <c r="B415">
        <f>A415/Inputs!$B$6</f>
        <v/>
      </c>
      <c r="C415">
        <f>IF(B415&lt;=INDEX(YieldCurve!$A$4:$A$63,1),1,IF(B415&gt;=INDEX(YieldCurve!$A$4:$A$63,ROWS(YieldCurve!$A$4:$A$63)),ROWS(YieldCurve!$A$4:$A$63)-1,MATCH(B415,YieldCurve!$A$4:$A$63,1)))</f>
        <v/>
      </c>
      <c r="D415">
        <f>INDEX(YieldCurve!$A$4:$A$63,C415)</f>
        <v/>
      </c>
      <c r="E415">
        <f>INDEX(YieldCurve!$A$4:$A$63,C415+1)</f>
        <v/>
      </c>
      <c r="F415">
        <f>INDEX(YieldCurve!$B$4:$B$63,C415)</f>
        <v/>
      </c>
      <c r="G415">
        <f>INDEX(YieldCurve!$B$4:$B$63,C415+1)</f>
        <v/>
      </c>
      <c r="H415">
        <f>IF(E415=D415,0,(B415-D415)/(E415-D415))</f>
        <v/>
      </c>
      <c r="I415">
        <f>-(F415+Inputs!$B$9)*D415</f>
        <v/>
      </c>
      <c r="J415">
        <f>-(G415+Inputs!$B$9)*E415</f>
        <v/>
      </c>
      <c r="K415">
        <f>IF(B415&lt;=INDEX(YieldCurve!$A$4:$A$63,1),-(INDEX(YieldCurve!$B$4:$B$63,1)+Inputs!$B$9)*B415,IF(B415&gt;=INDEX(YieldCurve!$A$4:$A$63,ROWS(YieldCurve!$A$4:$A$63)),-(INDEX(YieldCurve!$B$4:$B$63,ROWS(YieldCurve!$B$4:$B$63))+Inputs!$B$9)*B415,I415+H415*(J415-I415)))</f>
        <v/>
      </c>
      <c r="L415">
        <f>EXP(K415)</f>
        <v/>
      </c>
    </row>
    <row r="416">
      <c r="A416" t="n">
        <v>413</v>
      </c>
      <c r="B416">
        <f>A416/Inputs!$B$6</f>
        <v/>
      </c>
      <c r="C416">
        <f>IF(B416&lt;=INDEX(YieldCurve!$A$4:$A$63,1),1,IF(B416&gt;=INDEX(YieldCurve!$A$4:$A$63,ROWS(YieldCurve!$A$4:$A$63)),ROWS(YieldCurve!$A$4:$A$63)-1,MATCH(B416,YieldCurve!$A$4:$A$63,1)))</f>
        <v/>
      </c>
      <c r="D416">
        <f>INDEX(YieldCurve!$A$4:$A$63,C416)</f>
        <v/>
      </c>
      <c r="E416">
        <f>INDEX(YieldCurve!$A$4:$A$63,C416+1)</f>
        <v/>
      </c>
      <c r="F416">
        <f>INDEX(YieldCurve!$B$4:$B$63,C416)</f>
        <v/>
      </c>
      <c r="G416">
        <f>INDEX(YieldCurve!$B$4:$B$63,C416+1)</f>
        <v/>
      </c>
      <c r="H416">
        <f>IF(E416=D416,0,(B416-D416)/(E416-D416))</f>
        <v/>
      </c>
      <c r="I416">
        <f>-(F416+Inputs!$B$9)*D416</f>
        <v/>
      </c>
      <c r="J416">
        <f>-(G416+Inputs!$B$9)*E416</f>
        <v/>
      </c>
      <c r="K416">
        <f>IF(B416&lt;=INDEX(YieldCurve!$A$4:$A$63,1),-(INDEX(YieldCurve!$B$4:$B$63,1)+Inputs!$B$9)*B416,IF(B416&gt;=INDEX(YieldCurve!$A$4:$A$63,ROWS(YieldCurve!$A$4:$A$63)),-(INDEX(YieldCurve!$B$4:$B$63,ROWS(YieldCurve!$B$4:$B$63))+Inputs!$B$9)*B416,I416+H416*(J416-I416)))</f>
        <v/>
      </c>
      <c r="L416">
        <f>EXP(K416)</f>
        <v/>
      </c>
    </row>
    <row r="417">
      <c r="A417" t="n">
        <v>414</v>
      </c>
      <c r="B417">
        <f>A417/Inputs!$B$6</f>
        <v/>
      </c>
      <c r="C417">
        <f>IF(B417&lt;=INDEX(YieldCurve!$A$4:$A$63,1),1,IF(B417&gt;=INDEX(YieldCurve!$A$4:$A$63,ROWS(YieldCurve!$A$4:$A$63)),ROWS(YieldCurve!$A$4:$A$63)-1,MATCH(B417,YieldCurve!$A$4:$A$63,1)))</f>
        <v/>
      </c>
      <c r="D417">
        <f>INDEX(YieldCurve!$A$4:$A$63,C417)</f>
        <v/>
      </c>
      <c r="E417">
        <f>INDEX(YieldCurve!$A$4:$A$63,C417+1)</f>
        <v/>
      </c>
      <c r="F417">
        <f>INDEX(YieldCurve!$B$4:$B$63,C417)</f>
        <v/>
      </c>
      <c r="G417">
        <f>INDEX(YieldCurve!$B$4:$B$63,C417+1)</f>
        <v/>
      </c>
      <c r="H417">
        <f>IF(E417=D417,0,(B417-D417)/(E417-D417))</f>
        <v/>
      </c>
      <c r="I417">
        <f>-(F417+Inputs!$B$9)*D417</f>
        <v/>
      </c>
      <c r="J417">
        <f>-(G417+Inputs!$B$9)*E417</f>
        <v/>
      </c>
      <c r="K417">
        <f>IF(B417&lt;=INDEX(YieldCurve!$A$4:$A$63,1),-(INDEX(YieldCurve!$B$4:$B$63,1)+Inputs!$B$9)*B417,IF(B417&gt;=INDEX(YieldCurve!$A$4:$A$63,ROWS(YieldCurve!$A$4:$A$63)),-(INDEX(YieldCurve!$B$4:$B$63,ROWS(YieldCurve!$B$4:$B$63))+Inputs!$B$9)*B417,I417+H417*(J417-I417)))</f>
        <v/>
      </c>
      <c r="L417">
        <f>EXP(K417)</f>
        <v/>
      </c>
    </row>
    <row r="418">
      <c r="A418" t="n">
        <v>415</v>
      </c>
      <c r="B418">
        <f>A418/Inputs!$B$6</f>
        <v/>
      </c>
      <c r="C418">
        <f>IF(B418&lt;=INDEX(YieldCurve!$A$4:$A$63,1),1,IF(B418&gt;=INDEX(YieldCurve!$A$4:$A$63,ROWS(YieldCurve!$A$4:$A$63)),ROWS(YieldCurve!$A$4:$A$63)-1,MATCH(B418,YieldCurve!$A$4:$A$63,1)))</f>
        <v/>
      </c>
      <c r="D418">
        <f>INDEX(YieldCurve!$A$4:$A$63,C418)</f>
        <v/>
      </c>
      <c r="E418">
        <f>INDEX(YieldCurve!$A$4:$A$63,C418+1)</f>
        <v/>
      </c>
      <c r="F418">
        <f>INDEX(YieldCurve!$B$4:$B$63,C418)</f>
        <v/>
      </c>
      <c r="G418">
        <f>INDEX(YieldCurve!$B$4:$B$63,C418+1)</f>
        <v/>
      </c>
      <c r="H418">
        <f>IF(E418=D418,0,(B418-D418)/(E418-D418))</f>
        <v/>
      </c>
      <c r="I418">
        <f>-(F418+Inputs!$B$9)*D418</f>
        <v/>
      </c>
      <c r="J418">
        <f>-(G418+Inputs!$B$9)*E418</f>
        <v/>
      </c>
      <c r="K418">
        <f>IF(B418&lt;=INDEX(YieldCurve!$A$4:$A$63,1),-(INDEX(YieldCurve!$B$4:$B$63,1)+Inputs!$B$9)*B418,IF(B418&gt;=INDEX(YieldCurve!$A$4:$A$63,ROWS(YieldCurve!$A$4:$A$63)),-(INDEX(YieldCurve!$B$4:$B$63,ROWS(YieldCurve!$B$4:$B$63))+Inputs!$B$9)*B418,I418+H418*(J418-I418)))</f>
        <v/>
      </c>
      <c r="L418">
        <f>EXP(K418)</f>
        <v/>
      </c>
    </row>
    <row r="419">
      <c r="A419" t="n">
        <v>416</v>
      </c>
      <c r="B419">
        <f>A419/Inputs!$B$6</f>
        <v/>
      </c>
      <c r="C419">
        <f>IF(B419&lt;=INDEX(YieldCurve!$A$4:$A$63,1),1,IF(B419&gt;=INDEX(YieldCurve!$A$4:$A$63,ROWS(YieldCurve!$A$4:$A$63)),ROWS(YieldCurve!$A$4:$A$63)-1,MATCH(B419,YieldCurve!$A$4:$A$63,1)))</f>
        <v/>
      </c>
      <c r="D419">
        <f>INDEX(YieldCurve!$A$4:$A$63,C419)</f>
        <v/>
      </c>
      <c r="E419">
        <f>INDEX(YieldCurve!$A$4:$A$63,C419+1)</f>
        <v/>
      </c>
      <c r="F419">
        <f>INDEX(YieldCurve!$B$4:$B$63,C419)</f>
        <v/>
      </c>
      <c r="G419">
        <f>INDEX(YieldCurve!$B$4:$B$63,C419+1)</f>
        <v/>
      </c>
      <c r="H419">
        <f>IF(E419=D419,0,(B419-D419)/(E419-D419))</f>
        <v/>
      </c>
      <c r="I419">
        <f>-(F419+Inputs!$B$9)*D419</f>
        <v/>
      </c>
      <c r="J419">
        <f>-(G419+Inputs!$B$9)*E419</f>
        <v/>
      </c>
      <c r="K419">
        <f>IF(B419&lt;=INDEX(YieldCurve!$A$4:$A$63,1),-(INDEX(YieldCurve!$B$4:$B$63,1)+Inputs!$B$9)*B419,IF(B419&gt;=INDEX(YieldCurve!$A$4:$A$63,ROWS(YieldCurve!$A$4:$A$63)),-(INDEX(YieldCurve!$B$4:$B$63,ROWS(YieldCurve!$B$4:$B$63))+Inputs!$B$9)*B419,I419+H419*(J419-I419)))</f>
        <v/>
      </c>
      <c r="L419">
        <f>EXP(K419)</f>
        <v/>
      </c>
    </row>
    <row r="420">
      <c r="A420" t="n">
        <v>417</v>
      </c>
      <c r="B420">
        <f>A420/Inputs!$B$6</f>
        <v/>
      </c>
      <c r="C420">
        <f>IF(B420&lt;=INDEX(YieldCurve!$A$4:$A$63,1),1,IF(B420&gt;=INDEX(YieldCurve!$A$4:$A$63,ROWS(YieldCurve!$A$4:$A$63)),ROWS(YieldCurve!$A$4:$A$63)-1,MATCH(B420,YieldCurve!$A$4:$A$63,1)))</f>
        <v/>
      </c>
      <c r="D420">
        <f>INDEX(YieldCurve!$A$4:$A$63,C420)</f>
        <v/>
      </c>
      <c r="E420">
        <f>INDEX(YieldCurve!$A$4:$A$63,C420+1)</f>
        <v/>
      </c>
      <c r="F420">
        <f>INDEX(YieldCurve!$B$4:$B$63,C420)</f>
        <v/>
      </c>
      <c r="G420">
        <f>INDEX(YieldCurve!$B$4:$B$63,C420+1)</f>
        <v/>
      </c>
      <c r="H420">
        <f>IF(E420=D420,0,(B420-D420)/(E420-D420))</f>
        <v/>
      </c>
      <c r="I420">
        <f>-(F420+Inputs!$B$9)*D420</f>
        <v/>
      </c>
      <c r="J420">
        <f>-(G420+Inputs!$B$9)*E420</f>
        <v/>
      </c>
      <c r="K420">
        <f>IF(B420&lt;=INDEX(YieldCurve!$A$4:$A$63,1),-(INDEX(YieldCurve!$B$4:$B$63,1)+Inputs!$B$9)*B420,IF(B420&gt;=INDEX(YieldCurve!$A$4:$A$63,ROWS(YieldCurve!$A$4:$A$63)),-(INDEX(YieldCurve!$B$4:$B$63,ROWS(YieldCurve!$B$4:$B$63))+Inputs!$B$9)*B420,I420+H420*(J420-I420)))</f>
        <v/>
      </c>
      <c r="L420">
        <f>EXP(K420)</f>
        <v/>
      </c>
    </row>
    <row r="421">
      <c r="A421" t="n">
        <v>418</v>
      </c>
      <c r="B421">
        <f>A421/Inputs!$B$6</f>
        <v/>
      </c>
      <c r="C421">
        <f>IF(B421&lt;=INDEX(YieldCurve!$A$4:$A$63,1),1,IF(B421&gt;=INDEX(YieldCurve!$A$4:$A$63,ROWS(YieldCurve!$A$4:$A$63)),ROWS(YieldCurve!$A$4:$A$63)-1,MATCH(B421,YieldCurve!$A$4:$A$63,1)))</f>
        <v/>
      </c>
      <c r="D421">
        <f>INDEX(YieldCurve!$A$4:$A$63,C421)</f>
        <v/>
      </c>
      <c r="E421">
        <f>INDEX(YieldCurve!$A$4:$A$63,C421+1)</f>
        <v/>
      </c>
      <c r="F421">
        <f>INDEX(YieldCurve!$B$4:$B$63,C421)</f>
        <v/>
      </c>
      <c r="G421">
        <f>INDEX(YieldCurve!$B$4:$B$63,C421+1)</f>
        <v/>
      </c>
      <c r="H421">
        <f>IF(E421=D421,0,(B421-D421)/(E421-D421))</f>
        <v/>
      </c>
      <c r="I421">
        <f>-(F421+Inputs!$B$9)*D421</f>
        <v/>
      </c>
      <c r="J421">
        <f>-(G421+Inputs!$B$9)*E421</f>
        <v/>
      </c>
      <c r="K421">
        <f>IF(B421&lt;=INDEX(YieldCurve!$A$4:$A$63,1),-(INDEX(YieldCurve!$B$4:$B$63,1)+Inputs!$B$9)*B421,IF(B421&gt;=INDEX(YieldCurve!$A$4:$A$63,ROWS(YieldCurve!$A$4:$A$63)),-(INDEX(YieldCurve!$B$4:$B$63,ROWS(YieldCurve!$B$4:$B$63))+Inputs!$B$9)*B421,I421+H421*(J421-I421)))</f>
        <v/>
      </c>
      <c r="L421">
        <f>EXP(K421)</f>
        <v/>
      </c>
    </row>
    <row r="422">
      <c r="A422" t="n">
        <v>419</v>
      </c>
      <c r="B422">
        <f>A422/Inputs!$B$6</f>
        <v/>
      </c>
      <c r="C422">
        <f>IF(B422&lt;=INDEX(YieldCurve!$A$4:$A$63,1),1,IF(B422&gt;=INDEX(YieldCurve!$A$4:$A$63,ROWS(YieldCurve!$A$4:$A$63)),ROWS(YieldCurve!$A$4:$A$63)-1,MATCH(B422,YieldCurve!$A$4:$A$63,1)))</f>
        <v/>
      </c>
      <c r="D422">
        <f>INDEX(YieldCurve!$A$4:$A$63,C422)</f>
        <v/>
      </c>
      <c r="E422">
        <f>INDEX(YieldCurve!$A$4:$A$63,C422+1)</f>
        <v/>
      </c>
      <c r="F422">
        <f>INDEX(YieldCurve!$B$4:$B$63,C422)</f>
        <v/>
      </c>
      <c r="G422">
        <f>INDEX(YieldCurve!$B$4:$B$63,C422+1)</f>
        <v/>
      </c>
      <c r="H422">
        <f>IF(E422=D422,0,(B422-D422)/(E422-D422))</f>
        <v/>
      </c>
      <c r="I422">
        <f>-(F422+Inputs!$B$9)*D422</f>
        <v/>
      </c>
      <c r="J422">
        <f>-(G422+Inputs!$B$9)*E422</f>
        <v/>
      </c>
      <c r="K422">
        <f>IF(B422&lt;=INDEX(YieldCurve!$A$4:$A$63,1),-(INDEX(YieldCurve!$B$4:$B$63,1)+Inputs!$B$9)*B422,IF(B422&gt;=INDEX(YieldCurve!$A$4:$A$63,ROWS(YieldCurve!$A$4:$A$63)),-(INDEX(YieldCurve!$B$4:$B$63,ROWS(YieldCurve!$B$4:$B$63))+Inputs!$B$9)*B422,I422+H422*(J422-I422)))</f>
        <v/>
      </c>
      <c r="L422">
        <f>EXP(K422)</f>
        <v/>
      </c>
    </row>
    <row r="423">
      <c r="A423" t="n">
        <v>420</v>
      </c>
      <c r="B423">
        <f>A423/Inputs!$B$6</f>
        <v/>
      </c>
      <c r="C423">
        <f>IF(B423&lt;=INDEX(YieldCurve!$A$4:$A$63,1),1,IF(B423&gt;=INDEX(YieldCurve!$A$4:$A$63,ROWS(YieldCurve!$A$4:$A$63)),ROWS(YieldCurve!$A$4:$A$63)-1,MATCH(B423,YieldCurve!$A$4:$A$63,1)))</f>
        <v/>
      </c>
      <c r="D423">
        <f>INDEX(YieldCurve!$A$4:$A$63,C423)</f>
        <v/>
      </c>
      <c r="E423">
        <f>INDEX(YieldCurve!$A$4:$A$63,C423+1)</f>
        <v/>
      </c>
      <c r="F423">
        <f>INDEX(YieldCurve!$B$4:$B$63,C423)</f>
        <v/>
      </c>
      <c r="G423">
        <f>INDEX(YieldCurve!$B$4:$B$63,C423+1)</f>
        <v/>
      </c>
      <c r="H423">
        <f>IF(E423=D423,0,(B423-D423)/(E423-D423))</f>
        <v/>
      </c>
      <c r="I423">
        <f>-(F423+Inputs!$B$9)*D423</f>
        <v/>
      </c>
      <c r="J423">
        <f>-(G423+Inputs!$B$9)*E423</f>
        <v/>
      </c>
      <c r="K423">
        <f>IF(B423&lt;=INDEX(YieldCurve!$A$4:$A$63,1),-(INDEX(YieldCurve!$B$4:$B$63,1)+Inputs!$B$9)*B423,IF(B423&gt;=INDEX(YieldCurve!$A$4:$A$63,ROWS(YieldCurve!$A$4:$A$63)),-(INDEX(YieldCurve!$B$4:$B$63,ROWS(YieldCurve!$B$4:$B$63))+Inputs!$B$9)*B423,I423+H423*(J423-I423)))</f>
        <v/>
      </c>
      <c r="L423">
        <f>EXP(K423)</f>
        <v/>
      </c>
    </row>
    <row r="424">
      <c r="A424" t="n">
        <v>421</v>
      </c>
      <c r="B424">
        <f>A424/Inputs!$B$6</f>
        <v/>
      </c>
      <c r="C424">
        <f>IF(B424&lt;=INDEX(YieldCurve!$A$4:$A$63,1),1,IF(B424&gt;=INDEX(YieldCurve!$A$4:$A$63,ROWS(YieldCurve!$A$4:$A$63)),ROWS(YieldCurve!$A$4:$A$63)-1,MATCH(B424,YieldCurve!$A$4:$A$63,1)))</f>
        <v/>
      </c>
      <c r="D424">
        <f>INDEX(YieldCurve!$A$4:$A$63,C424)</f>
        <v/>
      </c>
      <c r="E424">
        <f>INDEX(YieldCurve!$A$4:$A$63,C424+1)</f>
        <v/>
      </c>
      <c r="F424">
        <f>INDEX(YieldCurve!$B$4:$B$63,C424)</f>
        <v/>
      </c>
      <c r="G424">
        <f>INDEX(YieldCurve!$B$4:$B$63,C424+1)</f>
        <v/>
      </c>
      <c r="H424">
        <f>IF(E424=D424,0,(B424-D424)/(E424-D424))</f>
        <v/>
      </c>
      <c r="I424">
        <f>-(F424+Inputs!$B$9)*D424</f>
        <v/>
      </c>
      <c r="J424">
        <f>-(G424+Inputs!$B$9)*E424</f>
        <v/>
      </c>
      <c r="K424">
        <f>IF(B424&lt;=INDEX(YieldCurve!$A$4:$A$63,1),-(INDEX(YieldCurve!$B$4:$B$63,1)+Inputs!$B$9)*B424,IF(B424&gt;=INDEX(YieldCurve!$A$4:$A$63,ROWS(YieldCurve!$A$4:$A$63)),-(INDEX(YieldCurve!$B$4:$B$63,ROWS(YieldCurve!$B$4:$B$63))+Inputs!$B$9)*B424,I424+H424*(J424-I424)))</f>
        <v/>
      </c>
      <c r="L424">
        <f>EXP(K424)</f>
        <v/>
      </c>
    </row>
    <row r="425">
      <c r="A425" t="n">
        <v>422</v>
      </c>
      <c r="B425">
        <f>A425/Inputs!$B$6</f>
        <v/>
      </c>
      <c r="C425">
        <f>IF(B425&lt;=INDEX(YieldCurve!$A$4:$A$63,1),1,IF(B425&gt;=INDEX(YieldCurve!$A$4:$A$63,ROWS(YieldCurve!$A$4:$A$63)),ROWS(YieldCurve!$A$4:$A$63)-1,MATCH(B425,YieldCurve!$A$4:$A$63,1)))</f>
        <v/>
      </c>
      <c r="D425">
        <f>INDEX(YieldCurve!$A$4:$A$63,C425)</f>
        <v/>
      </c>
      <c r="E425">
        <f>INDEX(YieldCurve!$A$4:$A$63,C425+1)</f>
        <v/>
      </c>
      <c r="F425">
        <f>INDEX(YieldCurve!$B$4:$B$63,C425)</f>
        <v/>
      </c>
      <c r="G425">
        <f>INDEX(YieldCurve!$B$4:$B$63,C425+1)</f>
        <v/>
      </c>
      <c r="H425">
        <f>IF(E425=D425,0,(B425-D425)/(E425-D425))</f>
        <v/>
      </c>
      <c r="I425">
        <f>-(F425+Inputs!$B$9)*D425</f>
        <v/>
      </c>
      <c r="J425">
        <f>-(G425+Inputs!$B$9)*E425</f>
        <v/>
      </c>
      <c r="K425">
        <f>IF(B425&lt;=INDEX(YieldCurve!$A$4:$A$63,1),-(INDEX(YieldCurve!$B$4:$B$63,1)+Inputs!$B$9)*B425,IF(B425&gt;=INDEX(YieldCurve!$A$4:$A$63,ROWS(YieldCurve!$A$4:$A$63)),-(INDEX(YieldCurve!$B$4:$B$63,ROWS(YieldCurve!$B$4:$B$63))+Inputs!$B$9)*B425,I425+H425*(J425-I425)))</f>
        <v/>
      </c>
      <c r="L425">
        <f>EXP(K425)</f>
        <v/>
      </c>
    </row>
    <row r="426">
      <c r="A426" t="n">
        <v>423</v>
      </c>
      <c r="B426">
        <f>A426/Inputs!$B$6</f>
        <v/>
      </c>
      <c r="C426">
        <f>IF(B426&lt;=INDEX(YieldCurve!$A$4:$A$63,1),1,IF(B426&gt;=INDEX(YieldCurve!$A$4:$A$63,ROWS(YieldCurve!$A$4:$A$63)),ROWS(YieldCurve!$A$4:$A$63)-1,MATCH(B426,YieldCurve!$A$4:$A$63,1)))</f>
        <v/>
      </c>
      <c r="D426">
        <f>INDEX(YieldCurve!$A$4:$A$63,C426)</f>
        <v/>
      </c>
      <c r="E426">
        <f>INDEX(YieldCurve!$A$4:$A$63,C426+1)</f>
        <v/>
      </c>
      <c r="F426">
        <f>INDEX(YieldCurve!$B$4:$B$63,C426)</f>
        <v/>
      </c>
      <c r="G426">
        <f>INDEX(YieldCurve!$B$4:$B$63,C426+1)</f>
        <v/>
      </c>
      <c r="H426">
        <f>IF(E426=D426,0,(B426-D426)/(E426-D426))</f>
        <v/>
      </c>
      <c r="I426">
        <f>-(F426+Inputs!$B$9)*D426</f>
        <v/>
      </c>
      <c r="J426">
        <f>-(G426+Inputs!$B$9)*E426</f>
        <v/>
      </c>
      <c r="K426">
        <f>IF(B426&lt;=INDEX(YieldCurve!$A$4:$A$63,1),-(INDEX(YieldCurve!$B$4:$B$63,1)+Inputs!$B$9)*B426,IF(B426&gt;=INDEX(YieldCurve!$A$4:$A$63,ROWS(YieldCurve!$A$4:$A$63)),-(INDEX(YieldCurve!$B$4:$B$63,ROWS(YieldCurve!$B$4:$B$63))+Inputs!$B$9)*B426,I426+H426*(J426-I426)))</f>
        <v/>
      </c>
      <c r="L426">
        <f>EXP(K426)</f>
        <v/>
      </c>
    </row>
    <row r="427">
      <c r="A427" t="n">
        <v>424</v>
      </c>
      <c r="B427">
        <f>A427/Inputs!$B$6</f>
        <v/>
      </c>
      <c r="C427">
        <f>IF(B427&lt;=INDEX(YieldCurve!$A$4:$A$63,1),1,IF(B427&gt;=INDEX(YieldCurve!$A$4:$A$63,ROWS(YieldCurve!$A$4:$A$63)),ROWS(YieldCurve!$A$4:$A$63)-1,MATCH(B427,YieldCurve!$A$4:$A$63,1)))</f>
        <v/>
      </c>
      <c r="D427">
        <f>INDEX(YieldCurve!$A$4:$A$63,C427)</f>
        <v/>
      </c>
      <c r="E427">
        <f>INDEX(YieldCurve!$A$4:$A$63,C427+1)</f>
        <v/>
      </c>
      <c r="F427">
        <f>INDEX(YieldCurve!$B$4:$B$63,C427)</f>
        <v/>
      </c>
      <c r="G427">
        <f>INDEX(YieldCurve!$B$4:$B$63,C427+1)</f>
        <v/>
      </c>
      <c r="H427">
        <f>IF(E427=D427,0,(B427-D427)/(E427-D427))</f>
        <v/>
      </c>
      <c r="I427">
        <f>-(F427+Inputs!$B$9)*D427</f>
        <v/>
      </c>
      <c r="J427">
        <f>-(G427+Inputs!$B$9)*E427</f>
        <v/>
      </c>
      <c r="K427">
        <f>IF(B427&lt;=INDEX(YieldCurve!$A$4:$A$63,1),-(INDEX(YieldCurve!$B$4:$B$63,1)+Inputs!$B$9)*B427,IF(B427&gt;=INDEX(YieldCurve!$A$4:$A$63,ROWS(YieldCurve!$A$4:$A$63)),-(INDEX(YieldCurve!$B$4:$B$63,ROWS(YieldCurve!$B$4:$B$63))+Inputs!$B$9)*B427,I427+H427*(J427-I427)))</f>
        <v/>
      </c>
      <c r="L427">
        <f>EXP(K427)</f>
        <v/>
      </c>
    </row>
    <row r="428">
      <c r="A428" t="n">
        <v>425</v>
      </c>
      <c r="B428">
        <f>A428/Inputs!$B$6</f>
        <v/>
      </c>
      <c r="C428">
        <f>IF(B428&lt;=INDEX(YieldCurve!$A$4:$A$63,1),1,IF(B428&gt;=INDEX(YieldCurve!$A$4:$A$63,ROWS(YieldCurve!$A$4:$A$63)),ROWS(YieldCurve!$A$4:$A$63)-1,MATCH(B428,YieldCurve!$A$4:$A$63,1)))</f>
        <v/>
      </c>
      <c r="D428">
        <f>INDEX(YieldCurve!$A$4:$A$63,C428)</f>
        <v/>
      </c>
      <c r="E428">
        <f>INDEX(YieldCurve!$A$4:$A$63,C428+1)</f>
        <v/>
      </c>
      <c r="F428">
        <f>INDEX(YieldCurve!$B$4:$B$63,C428)</f>
        <v/>
      </c>
      <c r="G428">
        <f>INDEX(YieldCurve!$B$4:$B$63,C428+1)</f>
        <v/>
      </c>
      <c r="H428">
        <f>IF(E428=D428,0,(B428-D428)/(E428-D428))</f>
        <v/>
      </c>
      <c r="I428">
        <f>-(F428+Inputs!$B$9)*D428</f>
        <v/>
      </c>
      <c r="J428">
        <f>-(G428+Inputs!$B$9)*E428</f>
        <v/>
      </c>
      <c r="K428">
        <f>IF(B428&lt;=INDEX(YieldCurve!$A$4:$A$63,1),-(INDEX(YieldCurve!$B$4:$B$63,1)+Inputs!$B$9)*B428,IF(B428&gt;=INDEX(YieldCurve!$A$4:$A$63,ROWS(YieldCurve!$A$4:$A$63)),-(INDEX(YieldCurve!$B$4:$B$63,ROWS(YieldCurve!$B$4:$B$63))+Inputs!$B$9)*B428,I428+H428*(J428-I428)))</f>
        <v/>
      </c>
      <c r="L428">
        <f>EXP(K428)</f>
        <v/>
      </c>
    </row>
    <row r="429">
      <c r="A429" t="n">
        <v>426</v>
      </c>
      <c r="B429">
        <f>A429/Inputs!$B$6</f>
        <v/>
      </c>
      <c r="C429">
        <f>IF(B429&lt;=INDEX(YieldCurve!$A$4:$A$63,1),1,IF(B429&gt;=INDEX(YieldCurve!$A$4:$A$63,ROWS(YieldCurve!$A$4:$A$63)),ROWS(YieldCurve!$A$4:$A$63)-1,MATCH(B429,YieldCurve!$A$4:$A$63,1)))</f>
        <v/>
      </c>
      <c r="D429">
        <f>INDEX(YieldCurve!$A$4:$A$63,C429)</f>
        <v/>
      </c>
      <c r="E429">
        <f>INDEX(YieldCurve!$A$4:$A$63,C429+1)</f>
        <v/>
      </c>
      <c r="F429">
        <f>INDEX(YieldCurve!$B$4:$B$63,C429)</f>
        <v/>
      </c>
      <c r="G429">
        <f>INDEX(YieldCurve!$B$4:$B$63,C429+1)</f>
        <v/>
      </c>
      <c r="H429">
        <f>IF(E429=D429,0,(B429-D429)/(E429-D429))</f>
        <v/>
      </c>
      <c r="I429">
        <f>-(F429+Inputs!$B$9)*D429</f>
        <v/>
      </c>
      <c r="J429">
        <f>-(G429+Inputs!$B$9)*E429</f>
        <v/>
      </c>
      <c r="K429">
        <f>IF(B429&lt;=INDEX(YieldCurve!$A$4:$A$63,1),-(INDEX(YieldCurve!$B$4:$B$63,1)+Inputs!$B$9)*B429,IF(B429&gt;=INDEX(YieldCurve!$A$4:$A$63,ROWS(YieldCurve!$A$4:$A$63)),-(INDEX(YieldCurve!$B$4:$B$63,ROWS(YieldCurve!$B$4:$B$63))+Inputs!$B$9)*B429,I429+H429*(J429-I429)))</f>
        <v/>
      </c>
      <c r="L429">
        <f>EXP(K429)</f>
        <v/>
      </c>
    </row>
    <row r="430">
      <c r="A430" t="n">
        <v>427</v>
      </c>
      <c r="B430">
        <f>A430/Inputs!$B$6</f>
        <v/>
      </c>
      <c r="C430">
        <f>IF(B430&lt;=INDEX(YieldCurve!$A$4:$A$63,1),1,IF(B430&gt;=INDEX(YieldCurve!$A$4:$A$63,ROWS(YieldCurve!$A$4:$A$63)),ROWS(YieldCurve!$A$4:$A$63)-1,MATCH(B430,YieldCurve!$A$4:$A$63,1)))</f>
        <v/>
      </c>
      <c r="D430">
        <f>INDEX(YieldCurve!$A$4:$A$63,C430)</f>
        <v/>
      </c>
      <c r="E430">
        <f>INDEX(YieldCurve!$A$4:$A$63,C430+1)</f>
        <v/>
      </c>
      <c r="F430">
        <f>INDEX(YieldCurve!$B$4:$B$63,C430)</f>
        <v/>
      </c>
      <c r="G430">
        <f>INDEX(YieldCurve!$B$4:$B$63,C430+1)</f>
        <v/>
      </c>
      <c r="H430">
        <f>IF(E430=D430,0,(B430-D430)/(E430-D430))</f>
        <v/>
      </c>
      <c r="I430">
        <f>-(F430+Inputs!$B$9)*D430</f>
        <v/>
      </c>
      <c r="J430">
        <f>-(G430+Inputs!$B$9)*E430</f>
        <v/>
      </c>
      <c r="K430">
        <f>IF(B430&lt;=INDEX(YieldCurve!$A$4:$A$63,1),-(INDEX(YieldCurve!$B$4:$B$63,1)+Inputs!$B$9)*B430,IF(B430&gt;=INDEX(YieldCurve!$A$4:$A$63,ROWS(YieldCurve!$A$4:$A$63)),-(INDEX(YieldCurve!$B$4:$B$63,ROWS(YieldCurve!$B$4:$B$63))+Inputs!$B$9)*B430,I430+H430*(J430-I430)))</f>
        <v/>
      </c>
      <c r="L430">
        <f>EXP(K430)</f>
        <v/>
      </c>
    </row>
    <row r="431">
      <c r="A431" t="n">
        <v>428</v>
      </c>
      <c r="B431">
        <f>A431/Inputs!$B$6</f>
        <v/>
      </c>
      <c r="C431">
        <f>IF(B431&lt;=INDEX(YieldCurve!$A$4:$A$63,1),1,IF(B431&gt;=INDEX(YieldCurve!$A$4:$A$63,ROWS(YieldCurve!$A$4:$A$63)),ROWS(YieldCurve!$A$4:$A$63)-1,MATCH(B431,YieldCurve!$A$4:$A$63,1)))</f>
        <v/>
      </c>
      <c r="D431">
        <f>INDEX(YieldCurve!$A$4:$A$63,C431)</f>
        <v/>
      </c>
      <c r="E431">
        <f>INDEX(YieldCurve!$A$4:$A$63,C431+1)</f>
        <v/>
      </c>
      <c r="F431">
        <f>INDEX(YieldCurve!$B$4:$B$63,C431)</f>
        <v/>
      </c>
      <c r="G431">
        <f>INDEX(YieldCurve!$B$4:$B$63,C431+1)</f>
        <v/>
      </c>
      <c r="H431">
        <f>IF(E431=D431,0,(B431-D431)/(E431-D431))</f>
        <v/>
      </c>
      <c r="I431">
        <f>-(F431+Inputs!$B$9)*D431</f>
        <v/>
      </c>
      <c r="J431">
        <f>-(G431+Inputs!$B$9)*E431</f>
        <v/>
      </c>
      <c r="K431">
        <f>IF(B431&lt;=INDEX(YieldCurve!$A$4:$A$63,1),-(INDEX(YieldCurve!$B$4:$B$63,1)+Inputs!$B$9)*B431,IF(B431&gt;=INDEX(YieldCurve!$A$4:$A$63,ROWS(YieldCurve!$A$4:$A$63)),-(INDEX(YieldCurve!$B$4:$B$63,ROWS(YieldCurve!$B$4:$B$63))+Inputs!$B$9)*B431,I431+H431*(J431-I431)))</f>
        <v/>
      </c>
      <c r="L431">
        <f>EXP(K431)</f>
        <v/>
      </c>
    </row>
    <row r="432">
      <c r="A432" t="n">
        <v>429</v>
      </c>
      <c r="B432">
        <f>A432/Inputs!$B$6</f>
        <v/>
      </c>
      <c r="C432">
        <f>IF(B432&lt;=INDEX(YieldCurve!$A$4:$A$63,1),1,IF(B432&gt;=INDEX(YieldCurve!$A$4:$A$63,ROWS(YieldCurve!$A$4:$A$63)),ROWS(YieldCurve!$A$4:$A$63)-1,MATCH(B432,YieldCurve!$A$4:$A$63,1)))</f>
        <v/>
      </c>
      <c r="D432">
        <f>INDEX(YieldCurve!$A$4:$A$63,C432)</f>
        <v/>
      </c>
      <c r="E432">
        <f>INDEX(YieldCurve!$A$4:$A$63,C432+1)</f>
        <v/>
      </c>
      <c r="F432">
        <f>INDEX(YieldCurve!$B$4:$B$63,C432)</f>
        <v/>
      </c>
      <c r="G432">
        <f>INDEX(YieldCurve!$B$4:$B$63,C432+1)</f>
        <v/>
      </c>
      <c r="H432">
        <f>IF(E432=D432,0,(B432-D432)/(E432-D432))</f>
        <v/>
      </c>
      <c r="I432">
        <f>-(F432+Inputs!$B$9)*D432</f>
        <v/>
      </c>
      <c r="J432">
        <f>-(G432+Inputs!$B$9)*E432</f>
        <v/>
      </c>
      <c r="K432">
        <f>IF(B432&lt;=INDEX(YieldCurve!$A$4:$A$63,1),-(INDEX(YieldCurve!$B$4:$B$63,1)+Inputs!$B$9)*B432,IF(B432&gt;=INDEX(YieldCurve!$A$4:$A$63,ROWS(YieldCurve!$A$4:$A$63)),-(INDEX(YieldCurve!$B$4:$B$63,ROWS(YieldCurve!$B$4:$B$63))+Inputs!$B$9)*B432,I432+H432*(J432-I432)))</f>
        <v/>
      </c>
      <c r="L432">
        <f>EXP(K432)</f>
        <v/>
      </c>
    </row>
    <row r="433">
      <c r="A433" t="n">
        <v>430</v>
      </c>
      <c r="B433">
        <f>A433/Inputs!$B$6</f>
        <v/>
      </c>
      <c r="C433">
        <f>IF(B433&lt;=INDEX(YieldCurve!$A$4:$A$63,1),1,IF(B433&gt;=INDEX(YieldCurve!$A$4:$A$63,ROWS(YieldCurve!$A$4:$A$63)),ROWS(YieldCurve!$A$4:$A$63)-1,MATCH(B433,YieldCurve!$A$4:$A$63,1)))</f>
        <v/>
      </c>
      <c r="D433">
        <f>INDEX(YieldCurve!$A$4:$A$63,C433)</f>
        <v/>
      </c>
      <c r="E433">
        <f>INDEX(YieldCurve!$A$4:$A$63,C433+1)</f>
        <v/>
      </c>
      <c r="F433">
        <f>INDEX(YieldCurve!$B$4:$B$63,C433)</f>
        <v/>
      </c>
      <c r="G433">
        <f>INDEX(YieldCurve!$B$4:$B$63,C433+1)</f>
        <v/>
      </c>
      <c r="H433">
        <f>IF(E433=D433,0,(B433-D433)/(E433-D433))</f>
        <v/>
      </c>
      <c r="I433">
        <f>-(F433+Inputs!$B$9)*D433</f>
        <v/>
      </c>
      <c r="J433">
        <f>-(G433+Inputs!$B$9)*E433</f>
        <v/>
      </c>
      <c r="K433">
        <f>IF(B433&lt;=INDEX(YieldCurve!$A$4:$A$63,1),-(INDEX(YieldCurve!$B$4:$B$63,1)+Inputs!$B$9)*B433,IF(B433&gt;=INDEX(YieldCurve!$A$4:$A$63,ROWS(YieldCurve!$A$4:$A$63)),-(INDEX(YieldCurve!$B$4:$B$63,ROWS(YieldCurve!$B$4:$B$63))+Inputs!$B$9)*B433,I433+H433*(J433-I433)))</f>
        <v/>
      </c>
      <c r="L433">
        <f>EXP(K433)</f>
        <v/>
      </c>
    </row>
    <row r="434">
      <c r="A434" t="n">
        <v>431</v>
      </c>
      <c r="B434">
        <f>A434/Inputs!$B$6</f>
        <v/>
      </c>
      <c r="C434">
        <f>IF(B434&lt;=INDEX(YieldCurve!$A$4:$A$63,1),1,IF(B434&gt;=INDEX(YieldCurve!$A$4:$A$63,ROWS(YieldCurve!$A$4:$A$63)),ROWS(YieldCurve!$A$4:$A$63)-1,MATCH(B434,YieldCurve!$A$4:$A$63,1)))</f>
        <v/>
      </c>
      <c r="D434">
        <f>INDEX(YieldCurve!$A$4:$A$63,C434)</f>
        <v/>
      </c>
      <c r="E434">
        <f>INDEX(YieldCurve!$A$4:$A$63,C434+1)</f>
        <v/>
      </c>
      <c r="F434">
        <f>INDEX(YieldCurve!$B$4:$B$63,C434)</f>
        <v/>
      </c>
      <c r="G434">
        <f>INDEX(YieldCurve!$B$4:$B$63,C434+1)</f>
        <v/>
      </c>
      <c r="H434">
        <f>IF(E434=D434,0,(B434-D434)/(E434-D434))</f>
        <v/>
      </c>
      <c r="I434">
        <f>-(F434+Inputs!$B$9)*D434</f>
        <v/>
      </c>
      <c r="J434">
        <f>-(G434+Inputs!$B$9)*E434</f>
        <v/>
      </c>
      <c r="K434">
        <f>IF(B434&lt;=INDEX(YieldCurve!$A$4:$A$63,1),-(INDEX(YieldCurve!$B$4:$B$63,1)+Inputs!$B$9)*B434,IF(B434&gt;=INDEX(YieldCurve!$A$4:$A$63,ROWS(YieldCurve!$A$4:$A$63)),-(INDEX(YieldCurve!$B$4:$B$63,ROWS(YieldCurve!$B$4:$B$63))+Inputs!$B$9)*B434,I434+H434*(J434-I434)))</f>
        <v/>
      </c>
      <c r="L434">
        <f>EXP(K434)</f>
        <v/>
      </c>
    </row>
    <row r="435">
      <c r="A435" t="n">
        <v>432</v>
      </c>
      <c r="B435">
        <f>A435/Inputs!$B$6</f>
        <v/>
      </c>
      <c r="C435">
        <f>IF(B435&lt;=INDEX(YieldCurve!$A$4:$A$63,1),1,IF(B435&gt;=INDEX(YieldCurve!$A$4:$A$63,ROWS(YieldCurve!$A$4:$A$63)),ROWS(YieldCurve!$A$4:$A$63)-1,MATCH(B435,YieldCurve!$A$4:$A$63,1)))</f>
        <v/>
      </c>
      <c r="D435">
        <f>INDEX(YieldCurve!$A$4:$A$63,C435)</f>
        <v/>
      </c>
      <c r="E435">
        <f>INDEX(YieldCurve!$A$4:$A$63,C435+1)</f>
        <v/>
      </c>
      <c r="F435">
        <f>INDEX(YieldCurve!$B$4:$B$63,C435)</f>
        <v/>
      </c>
      <c r="G435">
        <f>INDEX(YieldCurve!$B$4:$B$63,C435+1)</f>
        <v/>
      </c>
      <c r="H435">
        <f>IF(E435=D435,0,(B435-D435)/(E435-D435))</f>
        <v/>
      </c>
      <c r="I435">
        <f>-(F435+Inputs!$B$9)*D435</f>
        <v/>
      </c>
      <c r="J435">
        <f>-(G435+Inputs!$B$9)*E435</f>
        <v/>
      </c>
      <c r="K435">
        <f>IF(B435&lt;=INDEX(YieldCurve!$A$4:$A$63,1),-(INDEX(YieldCurve!$B$4:$B$63,1)+Inputs!$B$9)*B435,IF(B435&gt;=INDEX(YieldCurve!$A$4:$A$63,ROWS(YieldCurve!$A$4:$A$63)),-(INDEX(YieldCurve!$B$4:$B$63,ROWS(YieldCurve!$B$4:$B$63))+Inputs!$B$9)*B435,I435+H435*(J435-I435)))</f>
        <v/>
      </c>
      <c r="L435">
        <f>EXP(K435)</f>
        <v/>
      </c>
    </row>
    <row r="436">
      <c r="A436" t="n">
        <v>433</v>
      </c>
      <c r="B436">
        <f>A436/Inputs!$B$6</f>
        <v/>
      </c>
      <c r="C436">
        <f>IF(B436&lt;=INDEX(YieldCurve!$A$4:$A$63,1),1,IF(B436&gt;=INDEX(YieldCurve!$A$4:$A$63,ROWS(YieldCurve!$A$4:$A$63)),ROWS(YieldCurve!$A$4:$A$63)-1,MATCH(B436,YieldCurve!$A$4:$A$63,1)))</f>
        <v/>
      </c>
      <c r="D436">
        <f>INDEX(YieldCurve!$A$4:$A$63,C436)</f>
        <v/>
      </c>
      <c r="E436">
        <f>INDEX(YieldCurve!$A$4:$A$63,C436+1)</f>
        <v/>
      </c>
      <c r="F436">
        <f>INDEX(YieldCurve!$B$4:$B$63,C436)</f>
        <v/>
      </c>
      <c r="G436">
        <f>INDEX(YieldCurve!$B$4:$B$63,C436+1)</f>
        <v/>
      </c>
      <c r="H436">
        <f>IF(E436=D436,0,(B436-D436)/(E436-D436))</f>
        <v/>
      </c>
      <c r="I436">
        <f>-(F436+Inputs!$B$9)*D436</f>
        <v/>
      </c>
      <c r="J436">
        <f>-(G436+Inputs!$B$9)*E436</f>
        <v/>
      </c>
      <c r="K436">
        <f>IF(B436&lt;=INDEX(YieldCurve!$A$4:$A$63,1),-(INDEX(YieldCurve!$B$4:$B$63,1)+Inputs!$B$9)*B436,IF(B436&gt;=INDEX(YieldCurve!$A$4:$A$63,ROWS(YieldCurve!$A$4:$A$63)),-(INDEX(YieldCurve!$B$4:$B$63,ROWS(YieldCurve!$B$4:$B$63))+Inputs!$B$9)*B436,I436+H436*(J436-I436)))</f>
        <v/>
      </c>
      <c r="L436">
        <f>EXP(K436)</f>
        <v/>
      </c>
    </row>
    <row r="437">
      <c r="A437" t="n">
        <v>434</v>
      </c>
      <c r="B437">
        <f>A437/Inputs!$B$6</f>
        <v/>
      </c>
      <c r="C437">
        <f>IF(B437&lt;=INDEX(YieldCurve!$A$4:$A$63,1),1,IF(B437&gt;=INDEX(YieldCurve!$A$4:$A$63,ROWS(YieldCurve!$A$4:$A$63)),ROWS(YieldCurve!$A$4:$A$63)-1,MATCH(B437,YieldCurve!$A$4:$A$63,1)))</f>
        <v/>
      </c>
      <c r="D437">
        <f>INDEX(YieldCurve!$A$4:$A$63,C437)</f>
        <v/>
      </c>
      <c r="E437">
        <f>INDEX(YieldCurve!$A$4:$A$63,C437+1)</f>
        <v/>
      </c>
      <c r="F437">
        <f>INDEX(YieldCurve!$B$4:$B$63,C437)</f>
        <v/>
      </c>
      <c r="G437">
        <f>INDEX(YieldCurve!$B$4:$B$63,C437+1)</f>
        <v/>
      </c>
      <c r="H437">
        <f>IF(E437=D437,0,(B437-D437)/(E437-D437))</f>
        <v/>
      </c>
      <c r="I437">
        <f>-(F437+Inputs!$B$9)*D437</f>
        <v/>
      </c>
      <c r="J437">
        <f>-(G437+Inputs!$B$9)*E437</f>
        <v/>
      </c>
      <c r="K437">
        <f>IF(B437&lt;=INDEX(YieldCurve!$A$4:$A$63,1),-(INDEX(YieldCurve!$B$4:$B$63,1)+Inputs!$B$9)*B437,IF(B437&gt;=INDEX(YieldCurve!$A$4:$A$63,ROWS(YieldCurve!$A$4:$A$63)),-(INDEX(YieldCurve!$B$4:$B$63,ROWS(YieldCurve!$B$4:$B$63))+Inputs!$B$9)*B437,I437+H437*(J437-I437)))</f>
        <v/>
      </c>
      <c r="L437">
        <f>EXP(K437)</f>
        <v/>
      </c>
    </row>
    <row r="438">
      <c r="A438" t="n">
        <v>435</v>
      </c>
      <c r="B438">
        <f>A438/Inputs!$B$6</f>
        <v/>
      </c>
      <c r="C438">
        <f>IF(B438&lt;=INDEX(YieldCurve!$A$4:$A$63,1),1,IF(B438&gt;=INDEX(YieldCurve!$A$4:$A$63,ROWS(YieldCurve!$A$4:$A$63)),ROWS(YieldCurve!$A$4:$A$63)-1,MATCH(B438,YieldCurve!$A$4:$A$63,1)))</f>
        <v/>
      </c>
      <c r="D438">
        <f>INDEX(YieldCurve!$A$4:$A$63,C438)</f>
        <v/>
      </c>
      <c r="E438">
        <f>INDEX(YieldCurve!$A$4:$A$63,C438+1)</f>
        <v/>
      </c>
      <c r="F438">
        <f>INDEX(YieldCurve!$B$4:$B$63,C438)</f>
        <v/>
      </c>
      <c r="G438">
        <f>INDEX(YieldCurve!$B$4:$B$63,C438+1)</f>
        <v/>
      </c>
      <c r="H438">
        <f>IF(E438=D438,0,(B438-D438)/(E438-D438))</f>
        <v/>
      </c>
      <c r="I438">
        <f>-(F438+Inputs!$B$9)*D438</f>
        <v/>
      </c>
      <c r="J438">
        <f>-(G438+Inputs!$B$9)*E438</f>
        <v/>
      </c>
      <c r="K438">
        <f>IF(B438&lt;=INDEX(YieldCurve!$A$4:$A$63,1),-(INDEX(YieldCurve!$B$4:$B$63,1)+Inputs!$B$9)*B438,IF(B438&gt;=INDEX(YieldCurve!$A$4:$A$63,ROWS(YieldCurve!$A$4:$A$63)),-(INDEX(YieldCurve!$B$4:$B$63,ROWS(YieldCurve!$B$4:$B$63))+Inputs!$B$9)*B438,I438+H438*(J438-I438)))</f>
        <v/>
      </c>
      <c r="L438">
        <f>EXP(K438)</f>
        <v/>
      </c>
    </row>
    <row r="439">
      <c r="A439" t="n">
        <v>436</v>
      </c>
      <c r="B439">
        <f>A439/Inputs!$B$6</f>
        <v/>
      </c>
      <c r="C439">
        <f>IF(B439&lt;=INDEX(YieldCurve!$A$4:$A$63,1),1,IF(B439&gt;=INDEX(YieldCurve!$A$4:$A$63,ROWS(YieldCurve!$A$4:$A$63)),ROWS(YieldCurve!$A$4:$A$63)-1,MATCH(B439,YieldCurve!$A$4:$A$63,1)))</f>
        <v/>
      </c>
      <c r="D439">
        <f>INDEX(YieldCurve!$A$4:$A$63,C439)</f>
        <v/>
      </c>
      <c r="E439">
        <f>INDEX(YieldCurve!$A$4:$A$63,C439+1)</f>
        <v/>
      </c>
      <c r="F439">
        <f>INDEX(YieldCurve!$B$4:$B$63,C439)</f>
        <v/>
      </c>
      <c r="G439">
        <f>INDEX(YieldCurve!$B$4:$B$63,C439+1)</f>
        <v/>
      </c>
      <c r="H439">
        <f>IF(E439=D439,0,(B439-D439)/(E439-D439))</f>
        <v/>
      </c>
      <c r="I439">
        <f>-(F439+Inputs!$B$9)*D439</f>
        <v/>
      </c>
      <c r="J439">
        <f>-(G439+Inputs!$B$9)*E439</f>
        <v/>
      </c>
      <c r="K439">
        <f>IF(B439&lt;=INDEX(YieldCurve!$A$4:$A$63,1),-(INDEX(YieldCurve!$B$4:$B$63,1)+Inputs!$B$9)*B439,IF(B439&gt;=INDEX(YieldCurve!$A$4:$A$63,ROWS(YieldCurve!$A$4:$A$63)),-(INDEX(YieldCurve!$B$4:$B$63,ROWS(YieldCurve!$B$4:$B$63))+Inputs!$B$9)*B439,I439+H439*(J439-I439)))</f>
        <v/>
      </c>
      <c r="L439">
        <f>EXP(K439)</f>
        <v/>
      </c>
    </row>
    <row r="440">
      <c r="A440" t="n">
        <v>437</v>
      </c>
      <c r="B440">
        <f>A440/Inputs!$B$6</f>
        <v/>
      </c>
      <c r="C440">
        <f>IF(B440&lt;=INDEX(YieldCurve!$A$4:$A$63,1),1,IF(B440&gt;=INDEX(YieldCurve!$A$4:$A$63,ROWS(YieldCurve!$A$4:$A$63)),ROWS(YieldCurve!$A$4:$A$63)-1,MATCH(B440,YieldCurve!$A$4:$A$63,1)))</f>
        <v/>
      </c>
      <c r="D440">
        <f>INDEX(YieldCurve!$A$4:$A$63,C440)</f>
        <v/>
      </c>
      <c r="E440">
        <f>INDEX(YieldCurve!$A$4:$A$63,C440+1)</f>
        <v/>
      </c>
      <c r="F440">
        <f>INDEX(YieldCurve!$B$4:$B$63,C440)</f>
        <v/>
      </c>
      <c r="G440">
        <f>INDEX(YieldCurve!$B$4:$B$63,C440+1)</f>
        <v/>
      </c>
      <c r="H440">
        <f>IF(E440=D440,0,(B440-D440)/(E440-D440))</f>
        <v/>
      </c>
      <c r="I440">
        <f>-(F440+Inputs!$B$9)*D440</f>
        <v/>
      </c>
      <c r="J440">
        <f>-(G440+Inputs!$B$9)*E440</f>
        <v/>
      </c>
      <c r="K440">
        <f>IF(B440&lt;=INDEX(YieldCurve!$A$4:$A$63,1),-(INDEX(YieldCurve!$B$4:$B$63,1)+Inputs!$B$9)*B440,IF(B440&gt;=INDEX(YieldCurve!$A$4:$A$63,ROWS(YieldCurve!$A$4:$A$63)),-(INDEX(YieldCurve!$B$4:$B$63,ROWS(YieldCurve!$B$4:$B$63))+Inputs!$B$9)*B440,I440+H440*(J440-I440)))</f>
        <v/>
      </c>
      <c r="L440">
        <f>EXP(K440)</f>
        <v/>
      </c>
    </row>
    <row r="441">
      <c r="A441" t="n">
        <v>438</v>
      </c>
      <c r="B441">
        <f>A441/Inputs!$B$6</f>
        <v/>
      </c>
      <c r="C441">
        <f>IF(B441&lt;=INDEX(YieldCurve!$A$4:$A$63,1),1,IF(B441&gt;=INDEX(YieldCurve!$A$4:$A$63,ROWS(YieldCurve!$A$4:$A$63)),ROWS(YieldCurve!$A$4:$A$63)-1,MATCH(B441,YieldCurve!$A$4:$A$63,1)))</f>
        <v/>
      </c>
      <c r="D441">
        <f>INDEX(YieldCurve!$A$4:$A$63,C441)</f>
        <v/>
      </c>
      <c r="E441">
        <f>INDEX(YieldCurve!$A$4:$A$63,C441+1)</f>
        <v/>
      </c>
      <c r="F441">
        <f>INDEX(YieldCurve!$B$4:$B$63,C441)</f>
        <v/>
      </c>
      <c r="G441">
        <f>INDEX(YieldCurve!$B$4:$B$63,C441+1)</f>
        <v/>
      </c>
      <c r="H441">
        <f>IF(E441=D441,0,(B441-D441)/(E441-D441))</f>
        <v/>
      </c>
      <c r="I441">
        <f>-(F441+Inputs!$B$9)*D441</f>
        <v/>
      </c>
      <c r="J441">
        <f>-(G441+Inputs!$B$9)*E441</f>
        <v/>
      </c>
      <c r="K441">
        <f>IF(B441&lt;=INDEX(YieldCurve!$A$4:$A$63,1),-(INDEX(YieldCurve!$B$4:$B$63,1)+Inputs!$B$9)*B441,IF(B441&gt;=INDEX(YieldCurve!$A$4:$A$63,ROWS(YieldCurve!$A$4:$A$63)),-(INDEX(YieldCurve!$B$4:$B$63,ROWS(YieldCurve!$B$4:$B$63))+Inputs!$B$9)*B441,I441+H441*(J441-I441)))</f>
        <v/>
      </c>
      <c r="L441">
        <f>EXP(K441)</f>
        <v/>
      </c>
    </row>
    <row r="442">
      <c r="A442" t="n">
        <v>439</v>
      </c>
      <c r="B442">
        <f>A442/Inputs!$B$6</f>
        <v/>
      </c>
      <c r="C442">
        <f>IF(B442&lt;=INDEX(YieldCurve!$A$4:$A$63,1),1,IF(B442&gt;=INDEX(YieldCurve!$A$4:$A$63,ROWS(YieldCurve!$A$4:$A$63)),ROWS(YieldCurve!$A$4:$A$63)-1,MATCH(B442,YieldCurve!$A$4:$A$63,1)))</f>
        <v/>
      </c>
      <c r="D442">
        <f>INDEX(YieldCurve!$A$4:$A$63,C442)</f>
        <v/>
      </c>
      <c r="E442">
        <f>INDEX(YieldCurve!$A$4:$A$63,C442+1)</f>
        <v/>
      </c>
      <c r="F442">
        <f>INDEX(YieldCurve!$B$4:$B$63,C442)</f>
        <v/>
      </c>
      <c r="G442">
        <f>INDEX(YieldCurve!$B$4:$B$63,C442+1)</f>
        <v/>
      </c>
      <c r="H442">
        <f>IF(E442=D442,0,(B442-D442)/(E442-D442))</f>
        <v/>
      </c>
      <c r="I442">
        <f>-(F442+Inputs!$B$9)*D442</f>
        <v/>
      </c>
      <c r="J442">
        <f>-(G442+Inputs!$B$9)*E442</f>
        <v/>
      </c>
      <c r="K442">
        <f>IF(B442&lt;=INDEX(YieldCurve!$A$4:$A$63,1),-(INDEX(YieldCurve!$B$4:$B$63,1)+Inputs!$B$9)*B442,IF(B442&gt;=INDEX(YieldCurve!$A$4:$A$63,ROWS(YieldCurve!$A$4:$A$63)),-(INDEX(YieldCurve!$B$4:$B$63,ROWS(YieldCurve!$B$4:$B$63))+Inputs!$B$9)*B442,I442+H442*(J442-I442)))</f>
        <v/>
      </c>
      <c r="L442">
        <f>EXP(K442)</f>
        <v/>
      </c>
    </row>
    <row r="443">
      <c r="A443" t="n">
        <v>440</v>
      </c>
      <c r="B443">
        <f>A443/Inputs!$B$6</f>
        <v/>
      </c>
      <c r="C443">
        <f>IF(B443&lt;=INDEX(YieldCurve!$A$4:$A$63,1),1,IF(B443&gt;=INDEX(YieldCurve!$A$4:$A$63,ROWS(YieldCurve!$A$4:$A$63)),ROWS(YieldCurve!$A$4:$A$63)-1,MATCH(B443,YieldCurve!$A$4:$A$63,1)))</f>
        <v/>
      </c>
      <c r="D443">
        <f>INDEX(YieldCurve!$A$4:$A$63,C443)</f>
        <v/>
      </c>
      <c r="E443">
        <f>INDEX(YieldCurve!$A$4:$A$63,C443+1)</f>
        <v/>
      </c>
      <c r="F443">
        <f>INDEX(YieldCurve!$B$4:$B$63,C443)</f>
        <v/>
      </c>
      <c r="G443">
        <f>INDEX(YieldCurve!$B$4:$B$63,C443+1)</f>
        <v/>
      </c>
      <c r="H443">
        <f>IF(E443=D443,0,(B443-D443)/(E443-D443))</f>
        <v/>
      </c>
      <c r="I443">
        <f>-(F443+Inputs!$B$9)*D443</f>
        <v/>
      </c>
      <c r="J443">
        <f>-(G443+Inputs!$B$9)*E443</f>
        <v/>
      </c>
      <c r="K443">
        <f>IF(B443&lt;=INDEX(YieldCurve!$A$4:$A$63,1),-(INDEX(YieldCurve!$B$4:$B$63,1)+Inputs!$B$9)*B443,IF(B443&gt;=INDEX(YieldCurve!$A$4:$A$63,ROWS(YieldCurve!$A$4:$A$63)),-(INDEX(YieldCurve!$B$4:$B$63,ROWS(YieldCurve!$B$4:$B$63))+Inputs!$B$9)*B443,I443+H443*(J443-I443)))</f>
        <v/>
      </c>
      <c r="L443">
        <f>EXP(K443)</f>
        <v/>
      </c>
    </row>
    <row r="444">
      <c r="A444" t="n">
        <v>441</v>
      </c>
      <c r="B444">
        <f>A444/Inputs!$B$6</f>
        <v/>
      </c>
      <c r="C444">
        <f>IF(B444&lt;=INDEX(YieldCurve!$A$4:$A$63,1),1,IF(B444&gt;=INDEX(YieldCurve!$A$4:$A$63,ROWS(YieldCurve!$A$4:$A$63)),ROWS(YieldCurve!$A$4:$A$63)-1,MATCH(B444,YieldCurve!$A$4:$A$63,1)))</f>
        <v/>
      </c>
      <c r="D444">
        <f>INDEX(YieldCurve!$A$4:$A$63,C444)</f>
        <v/>
      </c>
      <c r="E444">
        <f>INDEX(YieldCurve!$A$4:$A$63,C444+1)</f>
        <v/>
      </c>
      <c r="F444">
        <f>INDEX(YieldCurve!$B$4:$B$63,C444)</f>
        <v/>
      </c>
      <c r="G444">
        <f>INDEX(YieldCurve!$B$4:$B$63,C444+1)</f>
        <v/>
      </c>
      <c r="H444">
        <f>IF(E444=D444,0,(B444-D444)/(E444-D444))</f>
        <v/>
      </c>
      <c r="I444">
        <f>-(F444+Inputs!$B$9)*D444</f>
        <v/>
      </c>
      <c r="J444">
        <f>-(G444+Inputs!$B$9)*E444</f>
        <v/>
      </c>
      <c r="K444">
        <f>IF(B444&lt;=INDEX(YieldCurve!$A$4:$A$63,1),-(INDEX(YieldCurve!$B$4:$B$63,1)+Inputs!$B$9)*B444,IF(B444&gt;=INDEX(YieldCurve!$A$4:$A$63,ROWS(YieldCurve!$A$4:$A$63)),-(INDEX(YieldCurve!$B$4:$B$63,ROWS(YieldCurve!$B$4:$B$63))+Inputs!$B$9)*B444,I444+H444*(J444-I444)))</f>
        <v/>
      </c>
      <c r="L444">
        <f>EXP(K444)</f>
        <v/>
      </c>
    </row>
    <row r="445">
      <c r="A445" t="n">
        <v>442</v>
      </c>
      <c r="B445">
        <f>A445/Inputs!$B$6</f>
        <v/>
      </c>
      <c r="C445">
        <f>IF(B445&lt;=INDEX(YieldCurve!$A$4:$A$63,1),1,IF(B445&gt;=INDEX(YieldCurve!$A$4:$A$63,ROWS(YieldCurve!$A$4:$A$63)),ROWS(YieldCurve!$A$4:$A$63)-1,MATCH(B445,YieldCurve!$A$4:$A$63,1)))</f>
        <v/>
      </c>
      <c r="D445">
        <f>INDEX(YieldCurve!$A$4:$A$63,C445)</f>
        <v/>
      </c>
      <c r="E445">
        <f>INDEX(YieldCurve!$A$4:$A$63,C445+1)</f>
        <v/>
      </c>
      <c r="F445">
        <f>INDEX(YieldCurve!$B$4:$B$63,C445)</f>
        <v/>
      </c>
      <c r="G445">
        <f>INDEX(YieldCurve!$B$4:$B$63,C445+1)</f>
        <v/>
      </c>
      <c r="H445">
        <f>IF(E445=D445,0,(B445-D445)/(E445-D445))</f>
        <v/>
      </c>
      <c r="I445">
        <f>-(F445+Inputs!$B$9)*D445</f>
        <v/>
      </c>
      <c r="J445">
        <f>-(G445+Inputs!$B$9)*E445</f>
        <v/>
      </c>
      <c r="K445">
        <f>IF(B445&lt;=INDEX(YieldCurve!$A$4:$A$63,1),-(INDEX(YieldCurve!$B$4:$B$63,1)+Inputs!$B$9)*B445,IF(B445&gt;=INDEX(YieldCurve!$A$4:$A$63,ROWS(YieldCurve!$A$4:$A$63)),-(INDEX(YieldCurve!$B$4:$B$63,ROWS(YieldCurve!$B$4:$B$63))+Inputs!$B$9)*B445,I445+H445*(J445-I445)))</f>
        <v/>
      </c>
      <c r="L445">
        <f>EXP(K445)</f>
        <v/>
      </c>
    </row>
    <row r="446">
      <c r="A446" t="n">
        <v>443</v>
      </c>
      <c r="B446">
        <f>A446/Inputs!$B$6</f>
        <v/>
      </c>
      <c r="C446">
        <f>IF(B446&lt;=INDEX(YieldCurve!$A$4:$A$63,1),1,IF(B446&gt;=INDEX(YieldCurve!$A$4:$A$63,ROWS(YieldCurve!$A$4:$A$63)),ROWS(YieldCurve!$A$4:$A$63)-1,MATCH(B446,YieldCurve!$A$4:$A$63,1)))</f>
        <v/>
      </c>
      <c r="D446">
        <f>INDEX(YieldCurve!$A$4:$A$63,C446)</f>
        <v/>
      </c>
      <c r="E446">
        <f>INDEX(YieldCurve!$A$4:$A$63,C446+1)</f>
        <v/>
      </c>
      <c r="F446">
        <f>INDEX(YieldCurve!$B$4:$B$63,C446)</f>
        <v/>
      </c>
      <c r="G446">
        <f>INDEX(YieldCurve!$B$4:$B$63,C446+1)</f>
        <v/>
      </c>
      <c r="H446">
        <f>IF(E446=D446,0,(B446-D446)/(E446-D446))</f>
        <v/>
      </c>
      <c r="I446">
        <f>-(F446+Inputs!$B$9)*D446</f>
        <v/>
      </c>
      <c r="J446">
        <f>-(G446+Inputs!$B$9)*E446</f>
        <v/>
      </c>
      <c r="K446">
        <f>IF(B446&lt;=INDEX(YieldCurve!$A$4:$A$63,1),-(INDEX(YieldCurve!$B$4:$B$63,1)+Inputs!$B$9)*B446,IF(B446&gt;=INDEX(YieldCurve!$A$4:$A$63,ROWS(YieldCurve!$A$4:$A$63)),-(INDEX(YieldCurve!$B$4:$B$63,ROWS(YieldCurve!$B$4:$B$63))+Inputs!$B$9)*B446,I446+H446*(J446-I446)))</f>
        <v/>
      </c>
      <c r="L446">
        <f>EXP(K446)</f>
        <v/>
      </c>
    </row>
    <row r="447">
      <c r="A447" t="n">
        <v>444</v>
      </c>
      <c r="B447">
        <f>A447/Inputs!$B$6</f>
        <v/>
      </c>
      <c r="C447">
        <f>IF(B447&lt;=INDEX(YieldCurve!$A$4:$A$63,1),1,IF(B447&gt;=INDEX(YieldCurve!$A$4:$A$63,ROWS(YieldCurve!$A$4:$A$63)),ROWS(YieldCurve!$A$4:$A$63)-1,MATCH(B447,YieldCurve!$A$4:$A$63,1)))</f>
        <v/>
      </c>
      <c r="D447">
        <f>INDEX(YieldCurve!$A$4:$A$63,C447)</f>
        <v/>
      </c>
      <c r="E447">
        <f>INDEX(YieldCurve!$A$4:$A$63,C447+1)</f>
        <v/>
      </c>
      <c r="F447">
        <f>INDEX(YieldCurve!$B$4:$B$63,C447)</f>
        <v/>
      </c>
      <c r="G447">
        <f>INDEX(YieldCurve!$B$4:$B$63,C447+1)</f>
        <v/>
      </c>
      <c r="H447">
        <f>IF(E447=D447,0,(B447-D447)/(E447-D447))</f>
        <v/>
      </c>
      <c r="I447">
        <f>-(F447+Inputs!$B$9)*D447</f>
        <v/>
      </c>
      <c r="J447">
        <f>-(G447+Inputs!$B$9)*E447</f>
        <v/>
      </c>
      <c r="K447">
        <f>IF(B447&lt;=INDEX(YieldCurve!$A$4:$A$63,1),-(INDEX(YieldCurve!$B$4:$B$63,1)+Inputs!$B$9)*B447,IF(B447&gt;=INDEX(YieldCurve!$A$4:$A$63,ROWS(YieldCurve!$A$4:$A$63)),-(INDEX(YieldCurve!$B$4:$B$63,ROWS(YieldCurve!$B$4:$B$63))+Inputs!$B$9)*B447,I447+H447*(J447-I447)))</f>
        <v/>
      </c>
      <c r="L447">
        <f>EXP(K447)</f>
        <v/>
      </c>
    </row>
    <row r="448">
      <c r="A448" t="n">
        <v>445</v>
      </c>
      <c r="B448">
        <f>A448/Inputs!$B$6</f>
        <v/>
      </c>
      <c r="C448">
        <f>IF(B448&lt;=INDEX(YieldCurve!$A$4:$A$63,1),1,IF(B448&gt;=INDEX(YieldCurve!$A$4:$A$63,ROWS(YieldCurve!$A$4:$A$63)),ROWS(YieldCurve!$A$4:$A$63)-1,MATCH(B448,YieldCurve!$A$4:$A$63,1)))</f>
        <v/>
      </c>
      <c r="D448">
        <f>INDEX(YieldCurve!$A$4:$A$63,C448)</f>
        <v/>
      </c>
      <c r="E448">
        <f>INDEX(YieldCurve!$A$4:$A$63,C448+1)</f>
        <v/>
      </c>
      <c r="F448">
        <f>INDEX(YieldCurve!$B$4:$B$63,C448)</f>
        <v/>
      </c>
      <c r="G448">
        <f>INDEX(YieldCurve!$B$4:$B$63,C448+1)</f>
        <v/>
      </c>
      <c r="H448">
        <f>IF(E448=D448,0,(B448-D448)/(E448-D448))</f>
        <v/>
      </c>
      <c r="I448">
        <f>-(F448+Inputs!$B$9)*D448</f>
        <v/>
      </c>
      <c r="J448">
        <f>-(G448+Inputs!$B$9)*E448</f>
        <v/>
      </c>
      <c r="K448">
        <f>IF(B448&lt;=INDEX(YieldCurve!$A$4:$A$63,1),-(INDEX(YieldCurve!$B$4:$B$63,1)+Inputs!$B$9)*B448,IF(B448&gt;=INDEX(YieldCurve!$A$4:$A$63,ROWS(YieldCurve!$A$4:$A$63)),-(INDEX(YieldCurve!$B$4:$B$63,ROWS(YieldCurve!$B$4:$B$63))+Inputs!$B$9)*B448,I448+H448*(J448-I448)))</f>
        <v/>
      </c>
      <c r="L448">
        <f>EXP(K448)</f>
        <v/>
      </c>
    </row>
    <row r="449">
      <c r="A449" t="n">
        <v>446</v>
      </c>
      <c r="B449">
        <f>A449/Inputs!$B$6</f>
        <v/>
      </c>
      <c r="C449">
        <f>IF(B449&lt;=INDEX(YieldCurve!$A$4:$A$63,1),1,IF(B449&gt;=INDEX(YieldCurve!$A$4:$A$63,ROWS(YieldCurve!$A$4:$A$63)),ROWS(YieldCurve!$A$4:$A$63)-1,MATCH(B449,YieldCurve!$A$4:$A$63,1)))</f>
        <v/>
      </c>
      <c r="D449">
        <f>INDEX(YieldCurve!$A$4:$A$63,C449)</f>
        <v/>
      </c>
      <c r="E449">
        <f>INDEX(YieldCurve!$A$4:$A$63,C449+1)</f>
        <v/>
      </c>
      <c r="F449">
        <f>INDEX(YieldCurve!$B$4:$B$63,C449)</f>
        <v/>
      </c>
      <c r="G449">
        <f>INDEX(YieldCurve!$B$4:$B$63,C449+1)</f>
        <v/>
      </c>
      <c r="H449">
        <f>IF(E449=D449,0,(B449-D449)/(E449-D449))</f>
        <v/>
      </c>
      <c r="I449">
        <f>-(F449+Inputs!$B$9)*D449</f>
        <v/>
      </c>
      <c r="J449">
        <f>-(G449+Inputs!$B$9)*E449</f>
        <v/>
      </c>
      <c r="K449">
        <f>IF(B449&lt;=INDEX(YieldCurve!$A$4:$A$63,1),-(INDEX(YieldCurve!$B$4:$B$63,1)+Inputs!$B$9)*B449,IF(B449&gt;=INDEX(YieldCurve!$A$4:$A$63,ROWS(YieldCurve!$A$4:$A$63)),-(INDEX(YieldCurve!$B$4:$B$63,ROWS(YieldCurve!$B$4:$B$63))+Inputs!$B$9)*B449,I449+H449*(J449-I449)))</f>
        <v/>
      </c>
      <c r="L449">
        <f>EXP(K449)</f>
        <v/>
      </c>
    </row>
    <row r="450">
      <c r="A450" t="n">
        <v>447</v>
      </c>
      <c r="B450">
        <f>A450/Inputs!$B$6</f>
        <v/>
      </c>
      <c r="C450">
        <f>IF(B450&lt;=INDEX(YieldCurve!$A$4:$A$63,1),1,IF(B450&gt;=INDEX(YieldCurve!$A$4:$A$63,ROWS(YieldCurve!$A$4:$A$63)),ROWS(YieldCurve!$A$4:$A$63)-1,MATCH(B450,YieldCurve!$A$4:$A$63,1)))</f>
        <v/>
      </c>
      <c r="D450">
        <f>INDEX(YieldCurve!$A$4:$A$63,C450)</f>
        <v/>
      </c>
      <c r="E450">
        <f>INDEX(YieldCurve!$A$4:$A$63,C450+1)</f>
        <v/>
      </c>
      <c r="F450">
        <f>INDEX(YieldCurve!$B$4:$B$63,C450)</f>
        <v/>
      </c>
      <c r="G450">
        <f>INDEX(YieldCurve!$B$4:$B$63,C450+1)</f>
        <v/>
      </c>
      <c r="H450">
        <f>IF(E450=D450,0,(B450-D450)/(E450-D450))</f>
        <v/>
      </c>
      <c r="I450">
        <f>-(F450+Inputs!$B$9)*D450</f>
        <v/>
      </c>
      <c r="J450">
        <f>-(G450+Inputs!$B$9)*E450</f>
        <v/>
      </c>
      <c r="K450">
        <f>IF(B450&lt;=INDEX(YieldCurve!$A$4:$A$63,1),-(INDEX(YieldCurve!$B$4:$B$63,1)+Inputs!$B$9)*B450,IF(B450&gt;=INDEX(YieldCurve!$A$4:$A$63,ROWS(YieldCurve!$A$4:$A$63)),-(INDEX(YieldCurve!$B$4:$B$63,ROWS(YieldCurve!$B$4:$B$63))+Inputs!$B$9)*B450,I450+H450*(J450-I450)))</f>
        <v/>
      </c>
      <c r="L450">
        <f>EXP(K450)</f>
        <v/>
      </c>
    </row>
    <row r="451">
      <c r="A451" t="n">
        <v>448</v>
      </c>
      <c r="B451">
        <f>A451/Inputs!$B$6</f>
        <v/>
      </c>
      <c r="C451">
        <f>IF(B451&lt;=INDEX(YieldCurve!$A$4:$A$63,1),1,IF(B451&gt;=INDEX(YieldCurve!$A$4:$A$63,ROWS(YieldCurve!$A$4:$A$63)),ROWS(YieldCurve!$A$4:$A$63)-1,MATCH(B451,YieldCurve!$A$4:$A$63,1)))</f>
        <v/>
      </c>
      <c r="D451">
        <f>INDEX(YieldCurve!$A$4:$A$63,C451)</f>
        <v/>
      </c>
      <c r="E451">
        <f>INDEX(YieldCurve!$A$4:$A$63,C451+1)</f>
        <v/>
      </c>
      <c r="F451">
        <f>INDEX(YieldCurve!$B$4:$B$63,C451)</f>
        <v/>
      </c>
      <c r="G451">
        <f>INDEX(YieldCurve!$B$4:$B$63,C451+1)</f>
        <v/>
      </c>
      <c r="H451">
        <f>IF(E451=D451,0,(B451-D451)/(E451-D451))</f>
        <v/>
      </c>
      <c r="I451">
        <f>-(F451+Inputs!$B$9)*D451</f>
        <v/>
      </c>
      <c r="J451">
        <f>-(G451+Inputs!$B$9)*E451</f>
        <v/>
      </c>
      <c r="K451">
        <f>IF(B451&lt;=INDEX(YieldCurve!$A$4:$A$63,1),-(INDEX(YieldCurve!$B$4:$B$63,1)+Inputs!$B$9)*B451,IF(B451&gt;=INDEX(YieldCurve!$A$4:$A$63,ROWS(YieldCurve!$A$4:$A$63)),-(INDEX(YieldCurve!$B$4:$B$63,ROWS(YieldCurve!$B$4:$B$63))+Inputs!$B$9)*B451,I451+H451*(J451-I451)))</f>
        <v/>
      </c>
      <c r="L451">
        <f>EXP(K451)</f>
        <v/>
      </c>
    </row>
    <row r="452">
      <c r="A452" t="n">
        <v>449</v>
      </c>
      <c r="B452">
        <f>A452/Inputs!$B$6</f>
        <v/>
      </c>
      <c r="C452">
        <f>IF(B452&lt;=INDEX(YieldCurve!$A$4:$A$63,1),1,IF(B452&gt;=INDEX(YieldCurve!$A$4:$A$63,ROWS(YieldCurve!$A$4:$A$63)),ROWS(YieldCurve!$A$4:$A$63)-1,MATCH(B452,YieldCurve!$A$4:$A$63,1)))</f>
        <v/>
      </c>
      <c r="D452">
        <f>INDEX(YieldCurve!$A$4:$A$63,C452)</f>
        <v/>
      </c>
      <c r="E452">
        <f>INDEX(YieldCurve!$A$4:$A$63,C452+1)</f>
        <v/>
      </c>
      <c r="F452">
        <f>INDEX(YieldCurve!$B$4:$B$63,C452)</f>
        <v/>
      </c>
      <c r="G452">
        <f>INDEX(YieldCurve!$B$4:$B$63,C452+1)</f>
        <v/>
      </c>
      <c r="H452">
        <f>IF(E452=D452,0,(B452-D452)/(E452-D452))</f>
        <v/>
      </c>
      <c r="I452">
        <f>-(F452+Inputs!$B$9)*D452</f>
        <v/>
      </c>
      <c r="J452">
        <f>-(G452+Inputs!$B$9)*E452</f>
        <v/>
      </c>
      <c r="K452">
        <f>IF(B452&lt;=INDEX(YieldCurve!$A$4:$A$63,1),-(INDEX(YieldCurve!$B$4:$B$63,1)+Inputs!$B$9)*B452,IF(B452&gt;=INDEX(YieldCurve!$A$4:$A$63,ROWS(YieldCurve!$A$4:$A$63)),-(INDEX(YieldCurve!$B$4:$B$63,ROWS(YieldCurve!$B$4:$B$63))+Inputs!$B$9)*B452,I452+H452*(J452-I452)))</f>
        <v/>
      </c>
      <c r="L452">
        <f>EXP(K452)</f>
        <v/>
      </c>
    </row>
    <row r="453">
      <c r="A453" t="n">
        <v>450</v>
      </c>
      <c r="B453">
        <f>A453/Inputs!$B$6</f>
        <v/>
      </c>
      <c r="C453">
        <f>IF(B453&lt;=INDEX(YieldCurve!$A$4:$A$63,1),1,IF(B453&gt;=INDEX(YieldCurve!$A$4:$A$63,ROWS(YieldCurve!$A$4:$A$63)),ROWS(YieldCurve!$A$4:$A$63)-1,MATCH(B453,YieldCurve!$A$4:$A$63,1)))</f>
        <v/>
      </c>
      <c r="D453">
        <f>INDEX(YieldCurve!$A$4:$A$63,C453)</f>
        <v/>
      </c>
      <c r="E453">
        <f>INDEX(YieldCurve!$A$4:$A$63,C453+1)</f>
        <v/>
      </c>
      <c r="F453">
        <f>INDEX(YieldCurve!$B$4:$B$63,C453)</f>
        <v/>
      </c>
      <c r="G453">
        <f>INDEX(YieldCurve!$B$4:$B$63,C453+1)</f>
        <v/>
      </c>
      <c r="H453">
        <f>IF(E453=D453,0,(B453-D453)/(E453-D453))</f>
        <v/>
      </c>
      <c r="I453">
        <f>-(F453+Inputs!$B$9)*D453</f>
        <v/>
      </c>
      <c r="J453">
        <f>-(G453+Inputs!$B$9)*E453</f>
        <v/>
      </c>
      <c r="K453">
        <f>IF(B453&lt;=INDEX(YieldCurve!$A$4:$A$63,1),-(INDEX(YieldCurve!$B$4:$B$63,1)+Inputs!$B$9)*B453,IF(B453&gt;=INDEX(YieldCurve!$A$4:$A$63,ROWS(YieldCurve!$A$4:$A$63)),-(INDEX(YieldCurve!$B$4:$B$63,ROWS(YieldCurve!$B$4:$B$63))+Inputs!$B$9)*B453,I453+H453*(J453-I453)))</f>
        <v/>
      </c>
      <c r="L453">
        <f>EXP(K453)</f>
        <v/>
      </c>
    </row>
    <row r="454">
      <c r="A454" t="n">
        <v>451</v>
      </c>
      <c r="B454">
        <f>A454/Inputs!$B$6</f>
        <v/>
      </c>
      <c r="C454">
        <f>IF(B454&lt;=INDEX(YieldCurve!$A$4:$A$63,1),1,IF(B454&gt;=INDEX(YieldCurve!$A$4:$A$63,ROWS(YieldCurve!$A$4:$A$63)),ROWS(YieldCurve!$A$4:$A$63)-1,MATCH(B454,YieldCurve!$A$4:$A$63,1)))</f>
        <v/>
      </c>
      <c r="D454">
        <f>INDEX(YieldCurve!$A$4:$A$63,C454)</f>
        <v/>
      </c>
      <c r="E454">
        <f>INDEX(YieldCurve!$A$4:$A$63,C454+1)</f>
        <v/>
      </c>
      <c r="F454">
        <f>INDEX(YieldCurve!$B$4:$B$63,C454)</f>
        <v/>
      </c>
      <c r="G454">
        <f>INDEX(YieldCurve!$B$4:$B$63,C454+1)</f>
        <v/>
      </c>
      <c r="H454">
        <f>IF(E454=D454,0,(B454-D454)/(E454-D454))</f>
        <v/>
      </c>
      <c r="I454">
        <f>-(F454+Inputs!$B$9)*D454</f>
        <v/>
      </c>
      <c r="J454">
        <f>-(G454+Inputs!$B$9)*E454</f>
        <v/>
      </c>
      <c r="K454">
        <f>IF(B454&lt;=INDEX(YieldCurve!$A$4:$A$63,1),-(INDEX(YieldCurve!$B$4:$B$63,1)+Inputs!$B$9)*B454,IF(B454&gt;=INDEX(YieldCurve!$A$4:$A$63,ROWS(YieldCurve!$A$4:$A$63)),-(INDEX(YieldCurve!$B$4:$B$63,ROWS(YieldCurve!$B$4:$B$63))+Inputs!$B$9)*B454,I454+H454*(J454-I454)))</f>
        <v/>
      </c>
      <c r="L454">
        <f>EXP(K454)</f>
        <v/>
      </c>
    </row>
    <row r="455">
      <c r="A455" t="n">
        <v>452</v>
      </c>
      <c r="B455">
        <f>A455/Inputs!$B$6</f>
        <v/>
      </c>
      <c r="C455">
        <f>IF(B455&lt;=INDEX(YieldCurve!$A$4:$A$63,1),1,IF(B455&gt;=INDEX(YieldCurve!$A$4:$A$63,ROWS(YieldCurve!$A$4:$A$63)),ROWS(YieldCurve!$A$4:$A$63)-1,MATCH(B455,YieldCurve!$A$4:$A$63,1)))</f>
        <v/>
      </c>
      <c r="D455">
        <f>INDEX(YieldCurve!$A$4:$A$63,C455)</f>
        <v/>
      </c>
      <c r="E455">
        <f>INDEX(YieldCurve!$A$4:$A$63,C455+1)</f>
        <v/>
      </c>
      <c r="F455">
        <f>INDEX(YieldCurve!$B$4:$B$63,C455)</f>
        <v/>
      </c>
      <c r="G455">
        <f>INDEX(YieldCurve!$B$4:$B$63,C455+1)</f>
        <v/>
      </c>
      <c r="H455">
        <f>IF(E455=D455,0,(B455-D455)/(E455-D455))</f>
        <v/>
      </c>
      <c r="I455">
        <f>-(F455+Inputs!$B$9)*D455</f>
        <v/>
      </c>
      <c r="J455">
        <f>-(G455+Inputs!$B$9)*E455</f>
        <v/>
      </c>
      <c r="K455">
        <f>IF(B455&lt;=INDEX(YieldCurve!$A$4:$A$63,1),-(INDEX(YieldCurve!$B$4:$B$63,1)+Inputs!$B$9)*B455,IF(B455&gt;=INDEX(YieldCurve!$A$4:$A$63,ROWS(YieldCurve!$A$4:$A$63)),-(INDEX(YieldCurve!$B$4:$B$63,ROWS(YieldCurve!$B$4:$B$63))+Inputs!$B$9)*B455,I455+H455*(J455-I455)))</f>
        <v/>
      </c>
      <c r="L455">
        <f>EXP(K455)</f>
        <v/>
      </c>
    </row>
    <row r="456">
      <c r="A456" t="n">
        <v>453</v>
      </c>
      <c r="B456">
        <f>A456/Inputs!$B$6</f>
        <v/>
      </c>
      <c r="C456">
        <f>IF(B456&lt;=INDEX(YieldCurve!$A$4:$A$63,1),1,IF(B456&gt;=INDEX(YieldCurve!$A$4:$A$63,ROWS(YieldCurve!$A$4:$A$63)),ROWS(YieldCurve!$A$4:$A$63)-1,MATCH(B456,YieldCurve!$A$4:$A$63,1)))</f>
        <v/>
      </c>
      <c r="D456">
        <f>INDEX(YieldCurve!$A$4:$A$63,C456)</f>
        <v/>
      </c>
      <c r="E456">
        <f>INDEX(YieldCurve!$A$4:$A$63,C456+1)</f>
        <v/>
      </c>
      <c r="F456">
        <f>INDEX(YieldCurve!$B$4:$B$63,C456)</f>
        <v/>
      </c>
      <c r="G456">
        <f>INDEX(YieldCurve!$B$4:$B$63,C456+1)</f>
        <v/>
      </c>
      <c r="H456">
        <f>IF(E456=D456,0,(B456-D456)/(E456-D456))</f>
        <v/>
      </c>
      <c r="I456">
        <f>-(F456+Inputs!$B$9)*D456</f>
        <v/>
      </c>
      <c r="J456">
        <f>-(G456+Inputs!$B$9)*E456</f>
        <v/>
      </c>
      <c r="K456">
        <f>IF(B456&lt;=INDEX(YieldCurve!$A$4:$A$63,1),-(INDEX(YieldCurve!$B$4:$B$63,1)+Inputs!$B$9)*B456,IF(B456&gt;=INDEX(YieldCurve!$A$4:$A$63,ROWS(YieldCurve!$A$4:$A$63)),-(INDEX(YieldCurve!$B$4:$B$63,ROWS(YieldCurve!$B$4:$B$63))+Inputs!$B$9)*B456,I456+H456*(J456-I456)))</f>
        <v/>
      </c>
      <c r="L456">
        <f>EXP(K456)</f>
        <v/>
      </c>
    </row>
    <row r="457">
      <c r="A457" t="n">
        <v>454</v>
      </c>
      <c r="B457">
        <f>A457/Inputs!$B$6</f>
        <v/>
      </c>
      <c r="C457">
        <f>IF(B457&lt;=INDEX(YieldCurve!$A$4:$A$63,1),1,IF(B457&gt;=INDEX(YieldCurve!$A$4:$A$63,ROWS(YieldCurve!$A$4:$A$63)),ROWS(YieldCurve!$A$4:$A$63)-1,MATCH(B457,YieldCurve!$A$4:$A$63,1)))</f>
        <v/>
      </c>
      <c r="D457">
        <f>INDEX(YieldCurve!$A$4:$A$63,C457)</f>
        <v/>
      </c>
      <c r="E457">
        <f>INDEX(YieldCurve!$A$4:$A$63,C457+1)</f>
        <v/>
      </c>
      <c r="F457">
        <f>INDEX(YieldCurve!$B$4:$B$63,C457)</f>
        <v/>
      </c>
      <c r="G457">
        <f>INDEX(YieldCurve!$B$4:$B$63,C457+1)</f>
        <v/>
      </c>
      <c r="H457">
        <f>IF(E457=D457,0,(B457-D457)/(E457-D457))</f>
        <v/>
      </c>
      <c r="I457">
        <f>-(F457+Inputs!$B$9)*D457</f>
        <v/>
      </c>
      <c r="J457">
        <f>-(G457+Inputs!$B$9)*E457</f>
        <v/>
      </c>
      <c r="K457">
        <f>IF(B457&lt;=INDEX(YieldCurve!$A$4:$A$63,1),-(INDEX(YieldCurve!$B$4:$B$63,1)+Inputs!$B$9)*B457,IF(B457&gt;=INDEX(YieldCurve!$A$4:$A$63,ROWS(YieldCurve!$A$4:$A$63)),-(INDEX(YieldCurve!$B$4:$B$63,ROWS(YieldCurve!$B$4:$B$63))+Inputs!$B$9)*B457,I457+H457*(J457-I457)))</f>
        <v/>
      </c>
      <c r="L457">
        <f>EXP(K457)</f>
        <v/>
      </c>
    </row>
    <row r="458">
      <c r="A458" t="n">
        <v>455</v>
      </c>
      <c r="B458">
        <f>A458/Inputs!$B$6</f>
        <v/>
      </c>
      <c r="C458">
        <f>IF(B458&lt;=INDEX(YieldCurve!$A$4:$A$63,1),1,IF(B458&gt;=INDEX(YieldCurve!$A$4:$A$63,ROWS(YieldCurve!$A$4:$A$63)),ROWS(YieldCurve!$A$4:$A$63)-1,MATCH(B458,YieldCurve!$A$4:$A$63,1)))</f>
        <v/>
      </c>
      <c r="D458">
        <f>INDEX(YieldCurve!$A$4:$A$63,C458)</f>
        <v/>
      </c>
      <c r="E458">
        <f>INDEX(YieldCurve!$A$4:$A$63,C458+1)</f>
        <v/>
      </c>
      <c r="F458">
        <f>INDEX(YieldCurve!$B$4:$B$63,C458)</f>
        <v/>
      </c>
      <c r="G458">
        <f>INDEX(YieldCurve!$B$4:$B$63,C458+1)</f>
        <v/>
      </c>
      <c r="H458">
        <f>IF(E458=D458,0,(B458-D458)/(E458-D458))</f>
        <v/>
      </c>
      <c r="I458">
        <f>-(F458+Inputs!$B$9)*D458</f>
        <v/>
      </c>
      <c r="J458">
        <f>-(G458+Inputs!$B$9)*E458</f>
        <v/>
      </c>
      <c r="K458">
        <f>IF(B458&lt;=INDEX(YieldCurve!$A$4:$A$63,1),-(INDEX(YieldCurve!$B$4:$B$63,1)+Inputs!$B$9)*B458,IF(B458&gt;=INDEX(YieldCurve!$A$4:$A$63,ROWS(YieldCurve!$A$4:$A$63)),-(INDEX(YieldCurve!$B$4:$B$63,ROWS(YieldCurve!$B$4:$B$63))+Inputs!$B$9)*B458,I458+H458*(J458-I458)))</f>
        <v/>
      </c>
      <c r="L458">
        <f>EXP(K458)</f>
        <v/>
      </c>
    </row>
    <row r="459">
      <c r="A459" t="n">
        <v>456</v>
      </c>
      <c r="B459">
        <f>A459/Inputs!$B$6</f>
        <v/>
      </c>
      <c r="C459">
        <f>IF(B459&lt;=INDEX(YieldCurve!$A$4:$A$63,1),1,IF(B459&gt;=INDEX(YieldCurve!$A$4:$A$63,ROWS(YieldCurve!$A$4:$A$63)),ROWS(YieldCurve!$A$4:$A$63)-1,MATCH(B459,YieldCurve!$A$4:$A$63,1)))</f>
        <v/>
      </c>
      <c r="D459">
        <f>INDEX(YieldCurve!$A$4:$A$63,C459)</f>
        <v/>
      </c>
      <c r="E459">
        <f>INDEX(YieldCurve!$A$4:$A$63,C459+1)</f>
        <v/>
      </c>
      <c r="F459">
        <f>INDEX(YieldCurve!$B$4:$B$63,C459)</f>
        <v/>
      </c>
      <c r="G459">
        <f>INDEX(YieldCurve!$B$4:$B$63,C459+1)</f>
        <v/>
      </c>
      <c r="H459">
        <f>IF(E459=D459,0,(B459-D459)/(E459-D459))</f>
        <v/>
      </c>
      <c r="I459">
        <f>-(F459+Inputs!$B$9)*D459</f>
        <v/>
      </c>
      <c r="J459">
        <f>-(G459+Inputs!$B$9)*E459</f>
        <v/>
      </c>
      <c r="K459">
        <f>IF(B459&lt;=INDEX(YieldCurve!$A$4:$A$63,1),-(INDEX(YieldCurve!$B$4:$B$63,1)+Inputs!$B$9)*B459,IF(B459&gt;=INDEX(YieldCurve!$A$4:$A$63,ROWS(YieldCurve!$A$4:$A$63)),-(INDEX(YieldCurve!$B$4:$B$63,ROWS(YieldCurve!$B$4:$B$63))+Inputs!$B$9)*B459,I459+H459*(J459-I459)))</f>
        <v/>
      </c>
      <c r="L459">
        <f>EXP(K459)</f>
        <v/>
      </c>
    </row>
    <row r="460">
      <c r="A460" t="n">
        <v>457</v>
      </c>
      <c r="B460">
        <f>A460/Inputs!$B$6</f>
        <v/>
      </c>
      <c r="C460">
        <f>IF(B460&lt;=INDEX(YieldCurve!$A$4:$A$63,1),1,IF(B460&gt;=INDEX(YieldCurve!$A$4:$A$63,ROWS(YieldCurve!$A$4:$A$63)),ROWS(YieldCurve!$A$4:$A$63)-1,MATCH(B460,YieldCurve!$A$4:$A$63,1)))</f>
        <v/>
      </c>
      <c r="D460">
        <f>INDEX(YieldCurve!$A$4:$A$63,C460)</f>
        <v/>
      </c>
      <c r="E460">
        <f>INDEX(YieldCurve!$A$4:$A$63,C460+1)</f>
        <v/>
      </c>
      <c r="F460">
        <f>INDEX(YieldCurve!$B$4:$B$63,C460)</f>
        <v/>
      </c>
      <c r="G460">
        <f>INDEX(YieldCurve!$B$4:$B$63,C460+1)</f>
        <v/>
      </c>
      <c r="H460">
        <f>IF(E460=D460,0,(B460-D460)/(E460-D460))</f>
        <v/>
      </c>
      <c r="I460">
        <f>-(F460+Inputs!$B$9)*D460</f>
        <v/>
      </c>
      <c r="J460">
        <f>-(G460+Inputs!$B$9)*E460</f>
        <v/>
      </c>
      <c r="K460">
        <f>IF(B460&lt;=INDEX(YieldCurve!$A$4:$A$63,1),-(INDEX(YieldCurve!$B$4:$B$63,1)+Inputs!$B$9)*B460,IF(B460&gt;=INDEX(YieldCurve!$A$4:$A$63,ROWS(YieldCurve!$A$4:$A$63)),-(INDEX(YieldCurve!$B$4:$B$63,ROWS(YieldCurve!$B$4:$B$63))+Inputs!$B$9)*B460,I460+H460*(J460-I460)))</f>
        <v/>
      </c>
      <c r="L460">
        <f>EXP(K460)</f>
        <v/>
      </c>
    </row>
    <row r="461">
      <c r="A461" t="n">
        <v>458</v>
      </c>
      <c r="B461">
        <f>A461/Inputs!$B$6</f>
        <v/>
      </c>
      <c r="C461">
        <f>IF(B461&lt;=INDEX(YieldCurve!$A$4:$A$63,1),1,IF(B461&gt;=INDEX(YieldCurve!$A$4:$A$63,ROWS(YieldCurve!$A$4:$A$63)),ROWS(YieldCurve!$A$4:$A$63)-1,MATCH(B461,YieldCurve!$A$4:$A$63,1)))</f>
        <v/>
      </c>
      <c r="D461">
        <f>INDEX(YieldCurve!$A$4:$A$63,C461)</f>
        <v/>
      </c>
      <c r="E461">
        <f>INDEX(YieldCurve!$A$4:$A$63,C461+1)</f>
        <v/>
      </c>
      <c r="F461">
        <f>INDEX(YieldCurve!$B$4:$B$63,C461)</f>
        <v/>
      </c>
      <c r="G461">
        <f>INDEX(YieldCurve!$B$4:$B$63,C461+1)</f>
        <v/>
      </c>
      <c r="H461">
        <f>IF(E461=D461,0,(B461-D461)/(E461-D461))</f>
        <v/>
      </c>
      <c r="I461">
        <f>-(F461+Inputs!$B$9)*D461</f>
        <v/>
      </c>
      <c r="J461">
        <f>-(G461+Inputs!$B$9)*E461</f>
        <v/>
      </c>
      <c r="K461">
        <f>IF(B461&lt;=INDEX(YieldCurve!$A$4:$A$63,1),-(INDEX(YieldCurve!$B$4:$B$63,1)+Inputs!$B$9)*B461,IF(B461&gt;=INDEX(YieldCurve!$A$4:$A$63,ROWS(YieldCurve!$A$4:$A$63)),-(INDEX(YieldCurve!$B$4:$B$63,ROWS(YieldCurve!$B$4:$B$63))+Inputs!$B$9)*B461,I461+H461*(J461-I461)))</f>
        <v/>
      </c>
      <c r="L461">
        <f>EXP(K461)</f>
        <v/>
      </c>
    </row>
    <row r="462">
      <c r="A462" t="n">
        <v>459</v>
      </c>
      <c r="B462">
        <f>A462/Inputs!$B$6</f>
        <v/>
      </c>
      <c r="C462">
        <f>IF(B462&lt;=INDEX(YieldCurve!$A$4:$A$63,1),1,IF(B462&gt;=INDEX(YieldCurve!$A$4:$A$63,ROWS(YieldCurve!$A$4:$A$63)),ROWS(YieldCurve!$A$4:$A$63)-1,MATCH(B462,YieldCurve!$A$4:$A$63,1)))</f>
        <v/>
      </c>
      <c r="D462">
        <f>INDEX(YieldCurve!$A$4:$A$63,C462)</f>
        <v/>
      </c>
      <c r="E462">
        <f>INDEX(YieldCurve!$A$4:$A$63,C462+1)</f>
        <v/>
      </c>
      <c r="F462">
        <f>INDEX(YieldCurve!$B$4:$B$63,C462)</f>
        <v/>
      </c>
      <c r="G462">
        <f>INDEX(YieldCurve!$B$4:$B$63,C462+1)</f>
        <v/>
      </c>
      <c r="H462">
        <f>IF(E462=D462,0,(B462-D462)/(E462-D462))</f>
        <v/>
      </c>
      <c r="I462">
        <f>-(F462+Inputs!$B$9)*D462</f>
        <v/>
      </c>
      <c r="J462">
        <f>-(G462+Inputs!$B$9)*E462</f>
        <v/>
      </c>
      <c r="K462">
        <f>IF(B462&lt;=INDEX(YieldCurve!$A$4:$A$63,1),-(INDEX(YieldCurve!$B$4:$B$63,1)+Inputs!$B$9)*B462,IF(B462&gt;=INDEX(YieldCurve!$A$4:$A$63,ROWS(YieldCurve!$A$4:$A$63)),-(INDEX(YieldCurve!$B$4:$B$63,ROWS(YieldCurve!$B$4:$B$63))+Inputs!$B$9)*B462,I462+H462*(J462-I462)))</f>
        <v/>
      </c>
      <c r="L462">
        <f>EXP(K462)</f>
        <v/>
      </c>
    </row>
    <row r="463">
      <c r="A463" t="n">
        <v>460</v>
      </c>
      <c r="B463">
        <f>A463/Inputs!$B$6</f>
        <v/>
      </c>
      <c r="C463">
        <f>IF(B463&lt;=INDEX(YieldCurve!$A$4:$A$63,1),1,IF(B463&gt;=INDEX(YieldCurve!$A$4:$A$63,ROWS(YieldCurve!$A$4:$A$63)),ROWS(YieldCurve!$A$4:$A$63)-1,MATCH(B463,YieldCurve!$A$4:$A$63,1)))</f>
        <v/>
      </c>
      <c r="D463">
        <f>INDEX(YieldCurve!$A$4:$A$63,C463)</f>
        <v/>
      </c>
      <c r="E463">
        <f>INDEX(YieldCurve!$A$4:$A$63,C463+1)</f>
        <v/>
      </c>
      <c r="F463">
        <f>INDEX(YieldCurve!$B$4:$B$63,C463)</f>
        <v/>
      </c>
      <c r="G463">
        <f>INDEX(YieldCurve!$B$4:$B$63,C463+1)</f>
        <v/>
      </c>
      <c r="H463">
        <f>IF(E463=D463,0,(B463-D463)/(E463-D463))</f>
        <v/>
      </c>
      <c r="I463">
        <f>-(F463+Inputs!$B$9)*D463</f>
        <v/>
      </c>
      <c r="J463">
        <f>-(G463+Inputs!$B$9)*E463</f>
        <v/>
      </c>
      <c r="K463">
        <f>IF(B463&lt;=INDEX(YieldCurve!$A$4:$A$63,1),-(INDEX(YieldCurve!$B$4:$B$63,1)+Inputs!$B$9)*B463,IF(B463&gt;=INDEX(YieldCurve!$A$4:$A$63,ROWS(YieldCurve!$A$4:$A$63)),-(INDEX(YieldCurve!$B$4:$B$63,ROWS(YieldCurve!$B$4:$B$63))+Inputs!$B$9)*B463,I463+H463*(J463-I463)))</f>
        <v/>
      </c>
      <c r="L463">
        <f>EXP(K463)</f>
        <v/>
      </c>
    </row>
    <row r="464">
      <c r="A464" t="n">
        <v>461</v>
      </c>
      <c r="B464">
        <f>A464/Inputs!$B$6</f>
        <v/>
      </c>
      <c r="C464">
        <f>IF(B464&lt;=INDEX(YieldCurve!$A$4:$A$63,1),1,IF(B464&gt;=INDEX(YieldCurve!$A$4:$A$63,ROWS(YieldCurve!$A$4:$A$63)),ROWS(YieldCurve!$A$4:$A$63)-1,MATCH(B464,YieldCurve!$A$4:$A$63,1)))</f>
        <v/>
      </c>
      <c r="D464">
        <f>INDEX(YieldCurve!$A$4:$A$63,C464)</f>
        <v/>
      </c>
      <c r="E464">
        <f>INDEX(YieldCurve!$A$4:$A$63,C464+1)</f>
        <v/>
      </c>
      <c r="F464">
        <f>INDEX(YieldCurve!$B$4:$B$63,C464)</f>
        <v/>
      </c>
      <c r="G464">
        <f>INDEX(YieldCurve!$B$4:$B$63,C464+1)</f>
        <v/>
      </c>
      <c r="H464">
        <f>IF(E464=D464,0,(B464-D464)/(E464-D464))</f>
        <v/>
      </c>
      <c r="I464">
        <f>-(F464+Inputs!$B$9)*D464</f>
        <v/>
      </c>
      <c r="J464">
        <f>-(G464+Inputs!$B$9)*E464</f>
        <v/>
      </c>
      <c r="K464">
        <f>IF(B464&lt;=INDEX(YieldCurve!$A$4:$A$63,1),-(INDEX(YieldCurve!$B$4:$B$63,1)+Inputs!$B$9)*B464,IF(B464&gt;=INDEX(YieldCurve!$A$4:$A$63,ROWS(YieldCurve!$A$4:$A$63)),-(INDEX(YieldCurve!$B$4:$B$63,ROWS(YieldCurve!$B$4:$B$63))+Inputs!$B$9)*B464,I464+H464*(J464-I464)))</f>
        <v/>
      </c>
      <c r="L464">
        <f>EXP(K464)</f>
        <v/>
      </c>
    </row>
    <row r="465">
      <c r="A465" t="n">
        <v>462</v>
      </c>
      <c r="B465">
        <f>A465/Inputs!$B$6</f>
        <v/>
      </c>
      <c r="C465">
        <f>IF(B465&lt;=INDEX(YieldCurve!$A$4:$A$63,1),1,IF(B465&gt;=INDEX(YieldCurve!$A$4:$A$63,ROWS(YieldCurve!$A$4:$A$63)),ROWS(YieldCurve!$A$4:$A$63)-1,MATCH(B465,YieldCurve!$A$4:$A$63,1)))</f>
        <v/>
      </c>
      <c r="D465">
        <f>INDEX(YieldCurve!$A$4:$A$63,C465)</f>
        <v/>
      </c>
      <c r="E465">
        <f>INDEX(YieldCurve!$A$4:$A$63,C465+1)</f>
        <v/>
      </c>
      <c r="F465">
        <f>INDEX(YieldCurve!$B$4:$B$63,C465)</f>
        <v/>
      </c>
      <c r="G465">
        <f>INDEX(YieldCurve!$B$4:$B$63,C465+1)</f>
        <v/>
      </c>
      <c r="H465">
        <f>IF(E465=D465,0,(B465-D465)/(E465-D465))</f>
        <v/>
      </c>
      <c r="I465">
        <f>-(F465+Inputs!$B$9)*D465</f>
        <v/>
      </c>
      <c r="J465">
        <f>-(G465+Inputs!$B$9)*E465</f>
        <v/>
      </c>
      <c r="K465">
        <f>IF(B465&lt;=INDEX(YieldCurve!$A$4:$A$63,1),-(INDEX(YieldCurve!$B$4:$B$63,1)+Inputs!$B$9)*B465,IF(B465&gt;=INDEX(YieldCurve!$A$4:$A$63,ROWS(YieldCurve!$A$4:$A$63)),-(INDEX(YieldCurve!$B$4:$B$63,ROWS(YieldCurve!$B$4:$B$63))+Inputs!$B$9)*B465,I465+H465*(J465-I465)))</f>
        <v/>
      </c>
      <c r="L465">
        <f>EXP(K465)</f>
        <v/>
      </c>
    </row>
    <row r="466">
      <c r="A466" t="n">
        <v>463</v>
      </c>
      <c r="B466">
        <f>A466/Inputs!$B$6</f>
        <v/>
      </c>
      <c r="C466">
        <f>IF(B466&lt;=INDEX(YieldCurve!$A$4:$A$63,1),1,IF(B466&gt;=INDEX(YieldCurve!$A$4:$A$63,ROWS(YieldCurve!$A$4:$A$63)),ROWS(YieldCurve!$A$4:$A$63)-1,MATCH(B466,YieldCurve!$A$4:$A$63,1)))</f>
        <v/>
      </c>
      <c r="D466">
        <f>INDEX(YieldCurve!$A$4:$A$63,C466)</f>
        <v/>
      </c>
      <c r="E466">
        <f>INDEX(YieldCurve!$A$4:$A$63,C466+1)</f>
        <v/>
      </c>
      <c r="F466">
        <f>INDEX(YieldCurve!$B$4:$B$63,C466)</f>
        <v/>
      </c>
      <c r="G466">
        <f>INDEX(YieldCurve!$B$4:$B$63,C466+1)</f>
        <v/>
      </c>
      <c r="H466">
        <f>IF(E466=D466,0,(B466-D466)/(E466-D466))</f>
        <v/>
      </c>
      <c r="I466">
        <f>-(F466+Inputs!$B$9)*D466</f>
        <v/>
      </c>
      <c r="J466">
        <f>-(G466+Inputs!$B$9)*E466</f>
        <v/>
      </c>
      <c r="K466">
        <f>IF(B466&lt;=INDEX(YieldCurve!$A$4:$A$63,1),-(INDEX(YieldCurve!$B$4:$B$63,1)+Inputs!$B$9)*B466,IF(B466&gt;=INDEX(YieldCurve!$A$4:$A$63,ROWS(YieldCurve!$A$4:$A$63)),-(INDEX(YieldCurve!$B$4:$B$63,ROWS(YieldCurve!$B$4:$B$63))+Inputs!$B$9)*B466,I466+H466*(J466-I466)))</f>
        <v/>
      </c>
      <c r="L466">
        <f>EXP(K466)</f>
        <v/>
      </c>
    </row>
    <row r="467">
      <c r="A467" t="n">
        <v>464</v>
      </c>
      <c r="B467">
        <f>A467/Inputs!$B$6</f>
        <v/>
      </c>
      <c r="C467">
        <f>IF(B467&lt;=INDEX(YieldCurve!$A$4:$A$63,1),1,IF(B467&gt;=INDEX(YieldCurve!$A$4:$A$63,ROWS(YieldCurve!$A$4:$A$63)),ROWS(YieldCurve!$A$4:$A$63)-1,MATCH(B467,YieldCurve!$A$4:$A$63,1)))</f>
        <v/>
      </c>
      <c r="D467">
        <f>INDEX(YieldCurve!$A$4:$A$63,C467)</f>
        <v/>
      </c>
      <c r="E467">
        <f>INDEX(YieldCurve!$A$4:$A$63,C467+1)</f>
        <v/>
      </c>
      <c r="F467">
        <f>INDEX(YieldCurve!$B$4:$B$63,C467)</f>
        <v/>
      </c>
      <c r="G467">
        <f>INDEX(YieldCurve!$B$4:$B$63,C467+1)</f>
        <v/>
      </c>
      <c r="H467">
        <f>IF(E467=D467,0,(B467-D467)/(E467-D467))</f>
        <v/>
      </c>
      <c r="I467">
        <f>-(F467+Inputs!$B$9)*D467</f>
        <v/>
      </c>
      <c r="J467">
        <f>-(G467+Inputs!$B$9)*E467</f>
        <v/>
      </c>
      <c r="K467">
        <f>IF(B467&lt;=INDEX(YieldCurve!$A$4:$A$63,1),-(INDEX(YieldCurve!$B$4:$B$63,1)+Inputs!$B$9)*B467,IF(B467&gt;=INDEX(YieldCurve!$A$4:$A$63,ROWS(YieldCurve!$A$4:$A$63)),-(INDEX(YieldCurve!$B$4:$B$63,ROWS(YieldCurve!$B$4:$B$63))+Inputs!$B$9)*B467,I467+H467*(J467-I467)))</f>
        <v/>
      </c>
      <c r="L467">
        <f>EXP(K467)</f>
        <v/>
      </c>
    </row>
    <row r="468">
      <c r="A468" t="n">
        <v>465</v>
      </c>
      <c r="B468">
        <f>A468/Inputs!$B$6</f>
        <v/>
      </c>
      <c r="C468">
        <f>IF(B468&lt;=INDEX(YieldCurve!$A$4:$A$63,1),1,IF(B468&gt;=INDEX(YieldCurve!$A$4:$A$63,ROWS(YieldCurve!$A$4:$A$63)),ROWS(YieldCurve!$A$4:$A$63)-1,MATCH(B468,YieldCurve!$A$4:$A$63,1)))</f>
        <v/>
      </c>
      <c r="D468">
        <f>INDEX(YieldCurve!$A$4:$A$63,C468)</f>
        <v/>
      </c>
      <c r="E468">
        <f>INDEX(YieldCurve!$A$4:$A$63,C468+1)</f>
        <v/>
      </c>
      <c r="F468">
        <f>INDEX(YieldCurve!$B$4:$B$63,C468)</f>
        <v/>
      </c>
      <c r="G468">
        <f>INDEX(YieldCurve!$B$4:$B$63,C468+1)</f>
        <v/>
      </c>
      <c r="H468">
        <f>IF(E468=D468,0,(B468-D468)/(E468-D468))</f>
        <v/>
      </c>
      <c r="I468">
        <f>-(F468+Inputs!$B$9)*D468</f>
        <v/>
      </c>
      <c r="J468">
        <f>-(G468+Inputs!$B$9)*E468</f>
        <v/>
      </c>
      <c r="K468">
        <f>IF(B468&lt;=INDEX(YieldCurve!$A$4:$A$63,1),-(INDEX(YieldCurve!$B$4:$B$63,1)+Inputs!$B$9)*B468,IF(B468&gt;=INDEX(YieldCurve!$A$4:$A$63,ROWS(YieldCurve!$A$4:$A$63)),-(INDEX(YieldCurve!$B$4:$B$63,ROWS(YieldCurve!$B$4:$B$63))+Inputs!$B$9)*B468,I468+H468*(J468-I468)))</f>
        <v/>
      </c>
      <c r="L468">
        <f>EXP(K468)</f>
        <v/>
      </c>
    </row>
    <row r="469">
      <c r="A469" t="n">
        <v>466</v>
      </c>
      <c r="B469">
        <f>A469/Inputs!$B$6</f>
        <v/>
      </c>
      <c r="C469">
        <f>IF(B469&lt;=INDEX(YieldCurve!$A$4:$A$63,1),1,IF(B469&gt;=INDEX(YieldCurve!$A$4:$A$63,ROWS(YieldCurve!$A$4:$A$63)),ROWS(YieldCurve!$A$4:$A$63)-1,MATCH(B469,YieldCurve!$A$4:$A$63,1)))</f>
        <v/>
      </c>
      <c r="D469">
        <f>INDEX(YieldCurve!$A$4:$A$63,C469)</f>
        <v/>
      </c>
      <c r="E469">
        <f>INDEX(YieldCurve!$A$4:$A$63,C469+1)</f>
        <v/>
      </c>
      <c r="F469">
        <f>INDEX(YieldCurve!$B$4:$B$63,C469)</f>
        <v/>
      </c>
      <c r="G469">
        <f>INDEX(YieldCurve!$B$4:$B$63,C469+1)</f>
        <v/>
      </c>
      <c r="H469">
        <f>IF(E469=D469,0,(B469-D469)/(E469-D469))</f>
        <v/>
      </c>
      <c r="I469">
        <f>-(F469+Inputs!$B$9)*D469</f>
        <v/>
      </c>
      <c r="J469">
        <f>-(G469+Inputs!$B$9)*E469</f>
        <v/>
      </c>
      <c r="K469">
        <f>IF(B469&lt;=INDEX(YieldCurve!$A$4:$A$63,1),-(INDEX(YieldCurve!$B$4:$B$63,1)+Inputs!$B$9)*B469,IF(B469&gt;=INDEX(YieldCurve!$A$4:$A$63,ROWS(YieldCurve!$A$4:$A$63)),-(INDEX(YieldCurve!$B$4:$B$63,ROWS(YieldCurve!$B$4:$B$63))+Inputs!$B$9)*B469,I469+H469*(J469-I469)))</f>
        <v/>
      </c>
      <c r="L469">
        <f>EXP(K469)</f>
        <v/>
      </c>
    </row>
    <row r="470">
      <c r="A470" t="n">
        <v>467</v>
      </c>
      <c r="B470">
        <f>A470/Inputs!$B$6</f>
        <v/>
      </c>
      <c r="C470">
        <f>IF(B470&lt;=INDEX(YieldCurve!$A$4:$A$63,1),1,IF(B470&gt;=INDEX(YieldCurve!$A$4:$A$63,ROWS(YieldCurve!$A$4:$A$63)),ROWS(YieldCurve!$A$4:$A$63)-1,MATCH(B470,YieldCurve!$A$4:$A$63,1)))</f>
        <v/>
      </c>
      <c r="D470">
        <f>INDEX(YieldCurve!$A$4:$A$63,C470)</f>
        <v/>
      </c>
      <c r="E470">
        <f>INDEX(YieldCurve!$A$4:$A$63,C470+1)</f>
        <v/>
      </c>
      <c r="F470">
        <f>INDEX(YieldCurve!$B$4:$B$63,C470)</f>
        <v/>
      </c>
      <c r="G470">
        <f>INDEX(YieldCurve!$B$4:$B$63,C470+1)</f>
        <v/>
      </c>
      <c r="H470">
        <f>IF(E470=D470,0,(B470-D470)/(E470-D470))</f>
        <v/>
      </c>
      <c r="I470">
        <f>-(F470+Inputs!$B$9)*D470</f>
        <v/>
      </c>
      <c r="J470">
        <f>-(G470+Inputs!$B$9)*E470</f>
        <v/>
      </c>
      <c r="K470">
        <f>IF(B470&lt;=INDEX(YieldCurve!$A$4:$A$63,1),-(INDEX(YieldCurve!$B$4:$B$63,1)+Inputs!$B$9)*B470,IF(B470&gt;=INDEX(YieldCurve!$A$4:$A$63,ROWS(YieldCurve!$A$4:$A$63)),-(INDEX(YieldCurve!$B$4:$B$63,ROWS(YieldCurve!$B$4:$B$63))+Inputs!$B$9)*B470,I470+H470*(J470-I470)))</f>
        <v/>
      </c>
      <c r="L470">
        <f>EXP(K470)</f>
        <v/>
      </c>
    </row>
    <row r="471">
      <c r="A471" t="n">
        <v>468</v>
      </c>
      <c r="B471">
        <f>A471/Inputs!$B$6</f>
        <v/>
      </c>
      <c r="C471">
        <f>IF(B471&lt;=INDEX(YieldCurve!$A$4:$A$63,1),1,IF(B471&gt;=INDEX(YieldCurve!$A$4:$A$63,ROWS(YieldCurve!$A$4:$A$63)),ROWS(YieldCurve!$A$4:$A$63)-1,MATCH(B471,YieldCurve!$A$4:$A$63,1)))</f>
        <v/>
      </c>
      <c r="D471">
        <f>INDEX(YieldCurve!$A$4:$A$63,C471)</f>
        <v/>
      </c>
      <c r="E471">
        <f>INDEX(YieldCurve!$A$4:$A$63,C471+1)</f>
        <v/>
      </c>
      <c r="F471">
        <f>INDEX(YieldCurve!$B$4:$B$63,C471)</f>
        <v/>
      </c>
      <c r="G471">
        <f>INDEX(YieldCurve!$B$4:$B$63,C471+1)</f>
        <v/>
      </c>
      <c r="H471">
        <f>IF(E471=D471,0,(B471-D471)/(E471-D471))</f>
        <v/>
      </c>
      <c r="I471">
        <f>-(F471+Inputs!$B$9)*D471</f>
        <v/>
      </c>
      <c r="J471">
        <f>-(G471+Inputs!$B$9)*E471</f>
        <v/>
      </c>
      <c r="K471">
        <f>IF(B471&lt;=INDEX(YieldCurve!$A$4:$A$63,1),-(INDEX(YieldCurve!$B$4:$B$63,1)+Inputs!$B$9)*B471,IF(B471&gt;=INDEX(YieldCurve!$A$4:$A$63,ROWS(YieldCurve!$A$4:$A$63)),-(INDEX(YieldCurve!$B$4:$B$63,ROWS(YieldCurve!$B$4:$B$63))+Inputs!$B$9)*B471,I471+H471*(J471-I471)))</f>
        <v/>
      </c>
      <c r="L471">
        <f>EXP(K471)</f>
        <v/>
      </c>
    </row>
    <row r="472">
      <c r="A472" t="n">
        <v>469</v>
      </c>
      <c r="B472">
        <f>A472/Inputs!$B$6</f>
        <v/>
      </c>
      <c r="C472">
        <f>IF(B472&lt;=INDEX(YieldCurve!$A$4:$A$63,1),1,IF(B472&gt;=INDEX(YieldCurve!$A$4:$A$63,ROWS(YieldCurve!$A$4:$A$63)),ROWS(YieldCurve!$A$4:$A$63)-1,MATCH(B472,YieldCurve!$A$4:$A$63,1)))</f>
        <v/>
      </c>
      <c r="D472">
        <f>INDEX(YieldCurve!$A$4:$A$63,C472)</f>
        <v/>
      </c>
      <c r="E472">
        <f>INDEX(YieldCurve!$A$4:$A$63,C472+1)</f>
        <v/>
      </c>
      <c r="F472">
        <f>INDEX(YieldCurve!$B$4:$B$63,C472)</f>
        <v/>
      </c>
      <c r="G472">
        <f>INDEX(YieldCurve!$B$4:$B$63,C472+1)</f>
        <v/>
      </c>
      <c r="H472">
        <f>IF(E472=D472,0,(B472-D472)/(E472-D472))</f>
        <v/>
      </c>
      <c r="I472">
        <f>-(F472+Inputs!$B$9)*D472</f>
        <v/>
      </c>
      <c r="J472">
        <f>-(G472+Inputs!$B$9)*E472</f>
        <v/>
      </c>
      <c r="K472">
        <f>IF(B472&lt;=INDEX(YieldCurve!$A$4:$A$63,1),-(INDEX(YieldCurve!$B$4:$B$63,1)+Inputs!$B$9)*B472,IF(B472&gt;=INDEX(YieldCurve!$A$4:$A$63,ROWS(YieldCurve!$A$4:$A$63)),-(INDEX(YieldCurve!$B$4:$B$63,ROWS(YieldCurve!$B$4:$B$63))+Inputs!$B$9)*B472,I472+H472*(J472-I472)))</f>
        <v/>
      </c>
      <c r="L472">
        <f>EXP(K472)</f>
        <v/>
      </c>
    </row>
    <row r="473">
      <c r="A473" t="n">
        <v>470</v>
      </c>
      <c r="B473">
        <f>A473/Inputs!$B$6</f>
        <v/>
      </c>
      <c r="C473">
        <f>IF(B473&lt;=INDEX(YieldCurve!$A$4:$A$63,1),1,IF(B473&gt;=INDEX(YieldCurve!$A$4:$A$63,ROWS(YieldCurve!$A$4:$A$63)),ROWS(YieldCurve!$A$4:$A$63)-1,MATCH(B473,YieldCurve!$A$4:$A$63,1)))</f>
        <v/>
      </c>
      <c r="D473">
        <f>INDEX(YieldCurve!$A$4:$A$63,C473)</f>
        <v/>
      </c>
      <c r="E473">
        <f>INDEX(YieldCurve!$A$4:$A$63,C473+1)</f>
        <v/>
      </c>
      <c r="F473">
        <f>INDEX(YieldCurve!$B$4:$B$63,C473)</f>
        <v/>
      </c>
      <c r="G473">
        <f>INDEX(YieldCurve!$B$4:$B$63,C473+1)</f>
        <v/>
      </c>
      <c r="H473">
        <f>IF(E473=D473,0,(B473-D473)/(E473-D473))</f>
        <v/>
      </c>
      <c r="I473">
        <f>-(F473+Inputs!$B$9)*D473</f>
        <v/>
      </c>
      <c r="J473">
        <f>-(G473+Inputs!$B$9)*E473</f>
        <v/>
      </c>
      <c r="K473">
        <f>IF(B473&lt;=INDEX(YieldCurve!$A$4:$A$63,1),-(INDEX(YieldCurve!$B$4:$B$63,1)+Inputs!$B$9)*B473,IF(B473&gt;=INDEX(YieldCurve!$A$4:$A$63,ROWS(YieldCurve!$A$4:$A$63)),-(INDEX(YieldCurve!$B$4:$B$63,ROWS(YieldCurve!$B$4:$B$63))+Inputs!$B$9)*B473,I473+H473*(J473-I473)))</f>
        <v/>
      </c>
      <c r="L473">
        <f>EXP(K473)</f>
        <v/>
      </c>
    </row>
    <row r="474">
      <c r="A474" t="n">
        <v>471</v>
      </c>
      <c r="B474">
        <f>A474/Inputs!$B$6</f>
        <v/>
      </c>
      <c r="C474">
        <f>IF(B474&lt;=INDEX(YieldCurve!$A$4:$A$63,1),1,IF(B474&gt;=INDEX(YieldCurve!$A$4:$A$63,ROWS(YieldCurve!$A$4:$A$63)),ROWS(YieldCurve!$A$4:$A$63)-1,MATCH(B474,YieldCurve!$A$4:$A$63,1)))</f>
        <v/>
      </c>
      <c r="D474">
        <f>INDEX(YieldCurve!$A$4:$A$63,C474)</f>
        <v/>
      </c>
      <c r="E474">
        <f>INDEX(YieldCurve!$A$4:$A$63,C474+1)</f>
        <v/>
      </c>
      <c r="F474">
        <f>INDEX(YieldCurve!$B$4:$B$63,C474)</f>
        <v/>
      </c>
      <c r="G474">
        <f>INDEX(YieldCurve!$B$4:$B$63,C474+1)</f>
        <v/>
      </c>
      <c r="H474">
        <f>IF(E474=D474,0,(B474-D474)/(E474-D474))</f>
        <v/>
      </c>
      <c r="I474">
        <f>-(F474+Inputs!$B$9)*D474</f>
        <v/>
      </c>
      <c r="J474">
        <f>-(G474+Inputs!$B$9)*E474</f>
        <v/>
      </c>
      <c r="K474">
        <f>IF(B474&lt;=INDEX(YieldCurve!$A$4:$A$63,1),-(INDEX(YieldCurve!$B$4:$B$63,1)+Inputs!$B$9)*B474,IF(B474&gt;=INDEX(YieldCurve!$A$4:$A$63,ROWS(YieldCurve!$A$4:$A$63)),-(INDEX(YieldCurve!$B$4:$B$63,ROWS(YieldCurve!$B$4:$B$63))+Inputs!$B$9)*B474,I474+H474*(J474-I474)))</f>
        <v/>
      </c>
      <c r="L474">
        <f>EXP(K474)</f>
        <v/>
      </c>
    </row>
    <row r="475">
      <c r="A475" t="n">
        <v>472</v>
      </c>
      <c r="B475">
        <f>A475/Inputs!$B$6</f>
        <v/>
      </c>
      <c r="C475">
        <f>IF(B475&lt;=INDEX(YieldCurve!$A$4:$A$63,1),1,IF(B475&gt;=INDEX(YieldCurve!$A$4:$A$63,ROWS(YieldCurve!$A$4:$A$63)),ROWS(YieldCurve!$A$4:$A$63)-1,MATCH(B475,YieldCurve!$A$4:$A$63,1)))</f>
        <v/>
      </c>
      <c r="D475">
        <f>INDEX(YieldCurve!$A$4:$A$63,C475)</f>
        <v/>
      </c>
      <c r="E475">
        <f>INDEX(YieldCurve!$A$4:$A$63,C475+1)</f>
        <v/>
      </c>
      <c r="F475">
        <f>INDEX(YieldCurve!$B$4:$B$63,C475)</f>
        <v/>
      </c>
      <c r="G475">
        <f>INDEX(YieldCurve!$B$4:$B$63,C475+1)</f>
        <v/>
      </c>
      <c r="H475">
        <f>IF(E475=D475,0,(B475-D475)/(E475-D475))</f>
        <v/>
      </c>
      <c r="I475">
        <f>-(F475+Inputs!$B$9)*D475</f>
        <v/>
      </c>
      <c r="J475">
        <f>-(G475+Inputs!$B$9)*E475</f>
        <v/>
      </c>
      <c r="K475">
        <f>IF(B475&lt;=INDEX(YieldCurve!$A$4:$A$63,1),-(INDEX(YieldCurve!$B$4:$B$63,1)+Inputs!$B$9)*B475,IF(B475&gt;=INDEX(YieldCurve!$A$4:$A$63,ROWS(YieldCurve!$A$4:$A$63)),-(INDEX(YieldCurve!$B$4:$B$63,ROWS(YieldCurve!$B$4:$B$63))+Inputs!$B$9)*B475,I475+H475*(J475-I475)))</f>
        <v/>
      </c>
      <c r="L475">
        <f>EXP(K475)</f>
        <v/>
      </c>
    </row>
    <row r="476">
      <c r="A476" t="n">
        <v>473</v>
      </c>
      <c r="B476">
        <f>A476/Inputs!$B$6</f>
        <v/>
      </c>
      <c r="C476">
        <f>IF(B476&lt;=INDEX(YieldCurve!$A$4:$A$63,1),1,IF(B476&gt;=INDEX(YieldCurve!$A$4:$A$63,ROWS(YieldCurve!$A$4:$A$63)),ROWS(YieldCurve!$A$4:$A$63)-1,MATCH(B476,YieldCurve!$A$4:$A$63,1)))</f>
        <v/>
      </c>
      <c r="D476">
        <f>INDEX(YieldCurve!$A$4:$A$63,C476)</f>
        <v/>
      </c>
      <c r="E476">
        <f>INDEX(YieldCurve!$A$4:$A$63,C476+1)</f>
        <v/>
      </c>
      <c r="F476">
        <f>INDEX(YieldCurve!$B$4:$B$63,C476)</f>
        <v/>
      </c>
      <c r="G476">
        <f>INDEX(YieldCurve!$B$4:$B$63,C476+1)</f>
        <v/>
      </c>
      <c r="H476">
        <f>IF(E476=D476,0,(B476-D476)/(E476-D476))</f>
        <v/>
      </c>
      <c r="I476">
        <f>-(F476+Inputs!$B$9)*D476</f>
        <v/>
      </c>
      <c r="J476">
        <f>-(G476+Inputs!$B$9)*E476</f>
        <v/>
      </c>
      <c r="K476">
        <f>IF(B476&lt;=INDEX(YieldCurve!$A$4:$A$63,1),-(INDEX(YieldCurve!$B$4:$B$63,1)+Inputs!$B$9)*B476,IF(B476&gt;=INDEX(YieldCurve!$A$4:$A$63,ROWS(YieldCurve!$A$4:$A$63)),-(INDEX(YieldCurve!$B$4:$B$63,ROWS(YieldCurve!$B$4:$B$63))+Inputs!$B$9)*B476,I476+H476*(J476-I476)))</f>
        <v/>
      </c>
      <c r="L476">
        <f>EXP(K476)</f>
        <v/>
      </c>
    </row>
    <row r="477">
      <c r="A477" t="n">
        <v>474</v>
      </c>
      <c r="B477">
        <f>A477/Inputs!$B$6</f>
        <v/>
      </c>
      <c r="C477">
        <f>IF(B477&lt;=INDEX(YieldCurve!$A$4:$A$63,1),1,IF(B477&gt;=INDEX(YieldCurve!$A$4:$A$63,ROWS(YieldCurve!$A$4:$A$63)),ROWS(YieldCurve!$A$4:$A$63)-1,MATCH(B477,YieldCurve!$A$4:$A$63,1)))</f>
        <v/>
      </c>
      <c r="D477">
        <f>INDEX(YieldCurve!$A$4:$A$63,C477)</f>
        <v/>
      </c>
      <c r="E477">
        <f>INDEX(YieldCurve!$A$4:$A$63,C477+1)</f>
        <v/>
      </c>
      <c r="F477">
        <f>INDEX(YieldCurve!$B$4:$B$63,C477)</f>
        <v/>
      </c>
      <c r="G477">
        <f>INDEX(YieldCurve!$B$4:$B$63,C477+1)</f>
        <v/>
      </c>
      <c r="H477">
        <f>IF(E477=D477,0,(B477-D477)/(E477-D477))</f>
        <v/>
      </c>
      <c r="I477">
        <f>-(F477+Inputs!$B$9)*D477</f>
        <v/>
      </c>
      <c r="J477">
        <f>-(G477+Inputs!$B$9)*E477</f>
        <v/>
      </c>
      <c r="K477">
        <f>IF(B477&lt;=INDEX(YieldCurve!$A$4:$A$63,1),-(INDEX(YieldCurve!$B$4:$B$63,1)+Inputs!$B$9)*B477,IF(B477&gt;=INDEX(YieldCurve!$A$4:$A$63,ROWS(YieldCurve!$A$4:$A$63)),-(INDEX(YieldCurve!$B$4:$B$63,ROWS(YieldCurve!$B$4:$B$63))+Inputs!$B$9)*B477,I477+H477*(J477-I477)))</f>
        <v/>
      </c>
      <c r="L477">
        <f>EXP(K477)</f>
        <v/>
      </c>
    </row>
    <row r="478">
      <c r="A478" t="n">
        <v>475</v>
      </c>
      <c r="B478">
        <f>A478/Inputs!$B$6</f>
        <v/>
      </c>
      <c r="C478">
        <f>IF(B478&lt;=INDEX(YieldCurve!$A$4:$A$63,1),1,IF(B478&gt;=INDEX(YieldCurve!$A$4:$A$63,ROWS(YieldCurve!$A$4:$A$63)),ROWS(YieldCurve!$A$4:$A$63)-1,MATCH(B478,YieldCurve!$A$4:$A$63,1)))</f>
        <v/>
      </c>
      <c r="D478">
        <f>INDEX(YieldCurve!$A$4:$A$63,C478)</f>
        <v/>
      </c>
      <c r="E478">
        <f>INDEX(YieldCurve!$A$4:$A$63,C478+1)</f>
        <v/>
      </c>
      <c r="F478">
        <f>INDEX(YieldCurve!$B$4:$B$63,C478)</f>
        <v/>
      </c>
      <c r="G478">
        <f>INDEX(YieldCurve!$B$4:$B$63,C478+1)</f>
        <v/>
      </c>
      <c r="H478">
        <f>IF(E478=D478,0,(B478-D478)/(E478-D478))</f>
        <v/>
      </c>
      <c r="I478">
        <f>-(F478+Inputs!$B$9)*D478</f>
        <v/>
      </c>
      <c r="J478">
        <f>-(G478+Inputs!$B$9)*E478</f>
        <v/>
      </c>
      <c r="K478">
        <f>IF(B478&lt;=INDEX(YieldCurve!$A$4:$A$63,1),-(INDEX(YieldCurve!$B$4:$B$63,1)+Inputs!$B$9)*B478,IF(B478&gt;=INDEX(YieldCurve!$A$4:$A$63,ROWS(YieldCurve!$A$4:$A$63)),-(INDEX(YieldCurve!$B$4:$B$63,ROWS(YieldCurve!$B$4:$B$63))+Inputs!$B$9)*B478,I478+H478*(J478-I478)))</f>
        <v/>
      </c>
      <c r="L478">
        <f>EXP(K478)</f>
        <v/>
      </c>
    </row>
    <row r="479">
      <c r="A479" t="n">
        <v>476</v>
      </c>
      <c r="B479">
        <f>A479/Inputs!$B$6</f>
        <v/>
      </c>
      <c r="C479">
        <f>IF(B479&lt;=INDEX(YieldCurve!$A$4:$A$63,1),1,IF(B479&gt;=INDEX(YieldCurve!$A$4:$A$63,ROWS(YieldCurve!$A$4:$A$63)),ROWS(YieldCurve!$A$4:$A$63)-1,MATCH(B479,YieldCurve!$A$4:$A$63,1)))</f>
        <v/>
      </c>
      <c r="D479">
        <f>INDEX(YieldCurve!$A$4:$A$63,C479)</f>
        <v/>
      </c>
      <c r="E479">
        <f>INDEX(YieldCurve!$A$4:$A$63,C479+1)</f>
        <v/>
      </c>
      <c r="F479">
        <f>INDEX(YieldCurve!$B$4:$B$63,C479)</f>
        <v/>
      </c>
      <c r="G479">
        <f>INDEX(YieldCurve!$B$4:$B$63,C479+1)</f>
        <v/>
      </c>
      <c r="H479">
        <f>IF(E479=D479,0,(B479-D479)/(E479-D479))</f>
        <v/>
      </c>
      <c r="I479">
        <f>-(F479+Inputs!$B$9)*D479</f>
        <v/>
      </c>
      <c r="J479">
        <f>-(G479+Inputs!$B$9)*E479</f>
        <v/>
      </c>
      <c r="K479">
        <f>IF(B479&lt;=INDEX(YieldCurve!$A$4:$A$63,1),-(INDEX(YieldCurve!$B$4:$B$63,1)+Inputs!$B$9)*B479,IF(B479&gt;=INDEX(YieldCurve!$A$4:$A$63,ROWS(YieldCurve!$A$4:$A$63)),-(INDEX(YieldCurve!$B$4:$B$63,ROWS(YieldCurve!$B$4:$B$63))+Inputs!$B$9)*B479,I479+H479*(J479-I479)))</f>
        <v/>
      </c>
      <c r="L479">
        <f>EXP(K479)</f>
        <v/>
      </c>
    </row>
    <row r="480">
      <c r="A480" t="n">
        <v>477</v>
      </c>
      <c r="B480">
        <f>A480/Inputs!$B$6</f>
        <v/>
      </c>
      <c r="C480">
        <f>IF(B480&lt;=INDEX(YieldCurve!$A$4:$A$63,1),1,IF(B480&gt;=INDEX(YieldCurve!$A$4:$A$63,ROWS(YieldCurve!$A$4:$A$63)),ROWS(YieldCurve!$A$4:$A$63)-1,MATCH(B480,YieldCurve!$A$4:$A$63,1)))</f>
        <v/>
      </c>
      <c r="D480">
        <f>INDEX(YieldCurve!$A$4:$A$63,C480)</f>
        <v/>
      </c>
      <c r="E480">
        <f>INDEX(YieldCurve!$A$4:$A$63,C480+1)</f>
        <v/>
      </c>
      <c r="F480">
        <f>INDEX(YieldCurve!$B$4:$B$63,C480)</f>
        <v/>
      </c>
      <c r="G480">
        <f>INDEX(YieldCurve!$B$4:$B$63,C480+1)</f>
        <v/>
      </c>
      <c r="H480">
        <f>IF(E480=D480,0,(B480-D480)/(E480-D480))</f>
        <v/>
      </c>
      <c r="I480">
        <f>-(F480+Inputs!$B$9)*D480</f>
        <v/>
      </c>
      <c r="J480">
        <f>-(G480+Inputs!$B$9)*E480</f>
        <v/>
      </c>
      <c r="K480">
        <f>IF(B480&lt;=INDEX(YieldCurve!$A$4:$A$63,1),-(INDEX(YieldCurve!$B$4:$B$63,1)+Inputs!$B$9)*B480,IF(B480&gt;=INDEX(YieldCurve!$A$4:$A$63,ROWS(YieldCurve!$A$4:$A$63)),-(INDEX(YieldCurve!$B$4:$B$63,ROWS(YieldCurve!$B$4:$B$63))+Inputs!$B$9)*B480,I480+H480*(J480-I480)))</f>
        <v/>
      </c>
      <c r="L480">
        <f>EXP(K480)</f>
        <v/>
      </c>
    </row>
    <row r="481">
      <c r="A481" t="n">
        <v>478</v>
      </c>
      <c r="B481">
        <f>A481/Inputs!$B$6</f>
        <v/>
      </c>
      <c r="C481">
        <f>IF(B481&lt;=INDEX(YieldCurve!$A$4:$A$63,1),1,IF(B481&gt;=INDEX(YieldCurve!$A$4:$A$63,ROWS(YieldCurve!$A$4:$A$63)),ROWS(YieldCurve!$A$4:$A$63)-1,MATCH(B481,YieldCurve!$A$4:$A$63,1)))</f>
        <v/>
      </c>
      <c r="D481">
        <f>INDEX(YieldCurve!$A$4:$A$63,C481)</f>
        <v/>
      </c>
      <c r="E481">
        <f>INDEX(YieldCurve!$A$4:$A$63,C481+1)</f>
        <v/>
      </c>
      <c r="F481">
        <f>INDEX(YieldCurve!$B$4:$B$63,C481)</f>
        <v/>
      </c>
      <c r="G481">
        <f>INDEX(YieldCurve!$B$4:$B$63,C481+1)</f>
        <v/>
      </c>
      <c r="H481">
        <f>IF(E481=D481,0,(B481-D481)/(E481-D481))</f>
        <v/>
      </c>
      <c r="I481">
        <f>-(F481+Inputs!$B$9)*D481</f>
        <v/>
      </c>
      <c r="J481">
        <f>-(G481+Inputs!$B$9)*E481</f>
        <v/>
      </c>
      <c r="K481">
        <f>IF(B481&lt;=INDEX(YieldCurve!$A$4:$A$63,1),-(INDEX(YieldCurve!$B$4:$B$63,1)+Inputs!$B$9)*B481,IF(B481&gt;=INDEX(YieldCurve!$A$4:$A$63,ROWS(YieldCurve!$A$4:$A$63)),-(INDEX(YieldCurve!$B$4:$B$63,ROWS(YieldCurve!$B$4:$B$63))+Inputs!$B$9)*B481,I481+H481*(J481-I481)))</f>
        <v/>
      </c>
      <c r="L481">
        <f>EXP(K481)</f>
        <v/>
      </c>
    </row>
    <row r="482">
      <c r="A482" t="n">
        <v>479</v>
      </c>
      <c r="B482">
        <f>A482/Inputs!$B$6</f>
        <v/>
      </c>
      <c r="C482">
        <f>IF(B482&lt;=INDEX(YieldCurve!$A$4:$A$63,1),1,IF(B482&gt;=INDEX(YieldCurve!$A$4:$A$63,ROWS(YieldCurve!$A$4:$A$63)),ROWS(YieldCurve!$A$4:$A$63)-1,MATCH(B482,YieldCurve!$A$4:$A$63,1)))</f>
        <v/>
      </c>
      <c r="D482">
        <f>INDEX(YieldCurve!$A$4:$A$63,C482)</f>
        <v/>
      </c>
      <c r="E482">
        <f>INDEX(YieldCurve!$A$4:$A$63,C482+1)</f>
        <v/>
      </c>
      <c r="F482">
        <f>INDEX(YieldCurve!$B$4:$B$63,C482)</f>
        <v/>
      </c>
      <c r="G482">
        <f>INDEX(YieldCurve!$B$4:$B$63,C482+1)</f>
        <v/>
      </c>
      <c r="H482">
        <f>IF(E482=D482,0,(B482-D482)/(E482-D482))</f>
        <v/>
      </c>
      <c r="I482">
        <f>-(F482+Inputs!$B$9)*D482</f>
        <v/>
      </c>
      <c r="J482">
        <f>-(G482+Inputs!$B$9)*E482</f>
        <v/>
      </c>
      <c r="K482">
        <f>IF(B482&lt;=INDEX(YieldCurve!$A$4:$A$63,1),-(INDEX(YieldCurve!$B$4:$B$63,1)+Inputs!$B$9)*B482,IF(B482&gt;=INDEX(YieldCurve!$A$4:$A$63,ROWS(YieldCurve!$A$4:$A$63)),-(INDEX(YieldCurve!$B$4:$B$63,ROWS(YieldCurve!$B$4:$B$63))+Inputs!$B$9)*B482,I482+H482*(J482-I482)))</f>
        <v/>
      </c>
      <c r="L482">
        <f>EXP(K482)</f>
        <v/>
      </c>
    </row>
    <row r="483">
      <c r="A483" t="n">
        <v>480</v>
      </c>
      <c r="B483">
        <f>A483/Inputs!$B$6</f>
        <v/>
      </c>
      <c r="C483">
        <f>IF(B483&lt;=INDEX(YieldCurve!$A$4:$A$63,1),1,IF(B483&gt;=INDEX(YieldCurve!$A$4:$A$63,ROWS(YieldCurve!$A$4:$A$63)),ROWS(YieldCurve!$A$4:$A$63)-1,MATCH(B483,YieldCurve!$A$4:$A$63,1)))</f>
        <v/>
      </c>
      <c r="D483">
        <f>INDEX(YieldCurve!$A$4:$A$63,C483)</f>
        <v/>
      </c>
      <c r="E483">
        <f>INDEX(YieldCurve!$A$4:$A$63,C483+1)</f>
        <v/>
      </c>
      <c r="F483">
        <f>INDEX(YieldCurve!$B$4:$B$63,C483)</f>
        <v/>
      </c>
      <c r="G483">
        <f>INDEX(YieldCurve!$B$4:$B$63,C483+1)</f>
        <v/>
      </c>
      <c r="H483">
        <f>IF(E483=D483,0,(B483-D483)/(E483-D483))</f>
        <v/>
      </c>
      <c r="I483">
        <f>-(F483+Inputs!$B$9)*D483</f>
        <v/>
      </c>
      <c r="J483">
        <f>-(G483+Inputs!$B$9)*E483</f>
        <v/>
      </c>
      <c r="K483">
        <f>IF(B483&lt;=INDEX(YieldCurve!$A$4:$A$63,1),-(INDEX(YieldCurve!$B$4:$B$63,1)+Inputs!$B$9)*B483,IF(B483&gt;=INDEX(YieldCurve!$A$4:$A$63,ROWS(YieldCurve!$A$4:$A$63)),-(INDEX(YieldCurve!$B$4:$B$63,ROWS(YieldCurve!$B$4:$B$63))+Inputs!$B$9)*B483,I483+H483*(J483-I483)))</f>
        <v/>
      </c>
      <c r="L483">
        <f>EXP(K483)</f>
        <v/>
      </c>
    </row>
    <row r="484">
      <c r="A484" t="n">
        <v>481</v>
      </c>
      <c r="B484">
        <f>A484/Inputs!$B$6</f>
        <v/>
      </c>
      <c r="C484">
        <f>IF(B484&lt;=INDEX(YieldCurve!$A$4:$A$63,1),1,IF(B484&gt;=INDEX(YieldCurve!$A$4:$A$63,ROWS(YieldCurve!$A$4:$A$63)),ROWS(YieldCurve!$A$4:$A$63)-1,MATCH(B484,YieldCurve!$A$4:$A$63,1)))</f>
        <v/>
      </c>
      <c r="D484">
        <f>INDEX(YieldCurve!$A$4:$A$63,C484)</f>
        <v/>
      </c>
      <c r="E484">
        <f>INDEX(YieldCurve!$A$4:$A$63,C484+1)</f>
        <v/>
      </c>
      <c r="F484">
        <f>INDEX(YieldCurve!$B$4:$B$63,C484)</f>
        <v/>
      </c>
      <c r="G484">
        <f>INDEX(YieldCurve!$B$4:$B$63,C484+1)</f>
        <v/>
      </c>
      <c r="H484">
        <f>IF(E484=D484,0,(B484-D484)/(E484-D484))</f>
        <v/>
      </c>
      <c r="I484">
        <f>-(F484+Inputs!$B$9)*D484</f>
        <v/>
      </c>
      <c r="J484">
        <f>-(G484+Inputs!$B$9)*E484</f>
        <v/>
      </c>
      <c r="K484">
        <f>IF(B484&lt;=INDEX(YieldCurve!$A$4:$A$63,1),-(INDEX(YieldCurve!$B$4:$B$63,1)+Inputs!$B$9)*B484,IF(B484&gt;=INDEX(YieldCurve!$A$4:$A$63,ROWS(YieldCurve!$A$4:$A$63)),-(INDEX(YieldCurve!$B$4:$B$63,ROWS(YieldCurve!$B$4:$B$63))+Inputs!$B$9)*B484,I484+H484*(J484-I484)))</f>
        <v/>
      </c>
      <c r="L484">
        <f>EXP(K484)</f>
        <v/>
      </c>
    </row>
    <row r="485">
      <c r="A485" t="n">
        <v>482</v>
      </c>
      <c r="B485">
        <f>A485/Inputs!$B$6</f>
        <v/>
      </c>
      <c r="C485">
        <f>IF(B485&lt;=INDEX(YieldCurve!$A$4:$A$63,1),1,IF(B485&gt;=INDEX(YieldCurve!$A$4:$A$63,ROWS(YieldCurve!$A$4:$A$63)),ROWS(YieldCurve!$A$4:$A$63)-1,MATCH(B485,YieldCurve!$A$4:$A$63,1)))</f>
        <v/>
      </c>
      <c r="D485">
        <f>INDEX(YieldCurve!$A$4:$A$63,C485)</f>
        <v/>
      </c>
      <c r="E485">
        <f>INDEX(YieldCurve!$A$4:$A$63,C485+1)</f>
        <v/>
      </c>
      <c r="F485">
        <f>INDEX(YieldCurve!$B$4:$B$63,C485)</f>
        <v/>
      </c>
      <c r="G485">
        <f>INDEX(YieldCurve!$B$4:$B$63,C485+1)</f>
        <v/>
      </c>
      <c r="H485">
        <f>IF(E485=D485,0,(B485-D485)/(E485-D485))</f>
        <v/>
      </c>
      <c r="I485">
        <f>-(F485+Inputs!$B$9)*D485</f>
        <v/>
      </c>
      <c r="J485">
        <f>-(G485+Inputs!$B$9)*E485</f>
        <v/>
      </c>
      <c r="K485">
        <f>IF(B485&lt;=INDEX(YieldCurve!$A$4:$A$63,1),-(INDEX(YieldCurve!$B$4:$B$63,1)+Inputs!$B$9)*B485,IF(B485&gt;=INDEX(YieldCurve!$A$4:$A$63,ROWS(YieldCurve!$A$4:$A$63)),-(INDEX(YieldCurve!$B$4:$B$63,ROWS(YieldCurve!$B$4:$B$63))+Inputs!$B$9)*B485,I485+H485*(J485-I485)))</f>
        <v/>
      </c>
      <c r="L485">
        <f>EXP(K485)</f>
        <v/>
      </c>
    </row>
    <row r="486">
      <c r="A486" t="n">
        <v>483</v>
      </c>
      <c r="B486">
        <f>A486/Inputs!$B$6</f>
        <v/>
      </c>
      <c r="C486">
        <f>IF(B486&lt;=INDEX(YieldCurve!$A$4:$A$63,1),1,IF(B486&gt;=INDEX(YieldCurve!$A$4:$A$63,ROWS(YieldCurve!$A$4:$A$63)),ROWS(YieldCurve!$A$4:$A$63)-1,MATCH(B486,YieldCurve!$A$4:$A$63,1)))</f>
        <v/>
      </c>
      <c r="D486">
        <f>INDEX(YieldCurve!$A$4:$A$63,C486)</f>
        <v/>
      </c>
      <c r="E486">
        <f>INDEX(YieldCurve!$A$4:$A$63,C486+1)</f>
        <v/>
      </c>
      <c r="F486">
        <f>INDEX(YieldCurve!$B$4:$B$63,C486)</f>
        <v/>
      </c>
      <c r="G486">
        <f>INDEX(YieldCurve!$B$4:$B$63,C486+1)</f>
        <v/>
      </c>
      <c r="H486">
        <f>IF(E486=D486,0,(B486-D486)/(E486-D486))</f>
        <v/>
      </c>
      <c r="I486">
        <f>-(F486+Inputs!$B$9)*D486</f>
        <v/>
      </c>
      <c r="J486">
        <f>-(G486+Inputs!$B$9)*E486</f>
        <v/>
      </c>
      <c r="K486">
        <f>IF(B486&lt;=INDEX(YieldCurve!$A$4:$A$63,1),-(INDEX(YieldCurve!$B$4:$B$63,1)+Inputs!$B$9)*B486,IF(B486&gt;=INDEX(YieldCurve!$A$4:$A$63,ROWS(YieldCurve!$A$4:$A$63)),-(INDEX(YieldCurve!$B$4:$B$63,ROWS(YieldCurve!$B$4:$B$63))+Inputs!$B$9)*B486,I486+H486*(J486-I486)))</f>
        <v/>
      </c>
      <c r="L486">
        <f>EXP(K486)</f>
        <v/>
      </c>
    </row>
    <row r="487">
      <c r="A487" t="n">
        <v>484</v>
      </c>
      <c r="B487">
        <f>A487/Inputs!$B$6</f>
        <v/>
      </c>
      <c r="C487">
        <f>IF(B487&lt;=INDEX(YieldCurve!$A$4:$A$63,1),1,IF(B487&gt;=INDEX(YieldCurve!$A$4:$A$63,ROWS(YieldCurve!$A$4:$A$63)),ROWS(YieldCurve!$A$4:$A$63)-1,MATCH(B487,YieldCurve!$A$4:$A$63,1)))</f>
        <v/>
      </c>
      <c r="D487">
        <f>INDEX(YieldCurve!$A$4:$A$63,C487)</f>
        <v/>
      </c>
      <c r="E487">
        <f>INDEX(YieldCurve!$A$4:$A$63,C487+1)</f>
        <v/>
      </c>
      <c r="F487">
        <f>INDEX(YieldCurve!$B$4:$B$63,C487)</f>
        <v/>
      </c>
      <c r="G487">
        <f>INDEX(YieldCurve!$B$4:$B$63,C487+1)</f>
        <v/>
      </c>
      <c r="H487">
        <f>IF(E487=D487,0,(B487-D487)/(E487-D487))</f>
        <v/>
      </c>
      <c r="I487">
        <f>-(F487+Inputs!$B$9)*D487</f>
        <v/>
      </c>
      <c r="J487">
        <f>-(G487+Inputs!$B$9)*E487</f>
        <v/>
      </c>
      <c r="K487">
        <f>IF(B487&lt;=INDEX(YieldCurve!$A$4:$A$63,1),-(INDEX(YieldCurve!$B$4:$B$63,1)+Inputs!$B$9)*B487,IF(B487&gt;=INDEX(YieldCurve!$A$4:$A$63,ROWS(YieldCurve!$A$4:$A$63)),-(INDEX(YieldCurve!$B$4:$B$63,ROWS(YieldCurve!$B$4:$B$63))+Inputs!$B$9)*B487,I487+H487*(J487-I487)))</f>
        <v/>
      </c>
      <c r="L487">
        <f>EXP(K487)</f>
        <v/>
      </c>
    </row>
    <row r="488">
      <c r="A488" t="n">
        <v>485</v>
      </c>
      <c r="B488">
        <f>A488/Inputs!$B$6</f>
        <v/>
      </c>
      <c r="C488">
        <f>IF(B488&lt;=INDEX(YieldCurve!$A$4:$A$63,1),1,IF(B488&gt;=INDEX(YieldCurve!$A$4:$A$63,ROWS(YieldCurve!$A$4:$A$63)),ROWS(YieldCurve!$A$4:$A$63)-1,MATCH(B488,YieldCurve!$A$4:$A$63,1)))</f>
        <v/>
      </c>
      <c r="D488">
        <f>INDEX(YieldCurve!$A$4:$A$63,C488)</f>
        <v/>
      </c>
      <c r="E488">
        <f>INDEX(YieldCurve!$A$4:$A$63,C488+1)</f>
        <v/>
      </c>
      <c r="F488">
        <f>INDEX(YieldCurve!$B$4:$B$63,C488)</f>
        <v/>
      </c>
      <c r="G488">
        <f>INDEX(YieldCurve!$B$4:$B$63,C488+1)</f>
        <v/>
      </c>
      <c r="H488">
        <f>IF(E488=D488,0,(B488-D488)/(E488-D488))</f>
        <v/>
      </c>
      <c r="I488">
        <f>-(F488+Inputs!$B$9)*D488</f>
        <v/>
      </c>
      <c r="J488">
        <f>-(G488+Inputs!$B$9)*E488</f>
        <v/>
      </c>
      <c r="K488">
        <f>IF(B488&lt;=INDEX(YieldCurve!$A$4:$A$63,1),-(INDEX(YieldCurve!$B$4:$B$63,1)+Inputs!$B$9)*B488,IF(B488&gt;=INDEX(YieldCurve!$A$4:$A$63,ROWS(YieldCurve!$A$4:$A$63)),-(INDEX(YieldCurve!$B$4:$B$63,ROWS(YieldCurve!$B$4:$B$63))+Inputs!$B$9)*B488,I488+H488*(J488-I488)))</f>
        <v/>
      </c>
      <c r="L488">
        <f>EXP(K488)</f>
        <v/>
      </c>
    </row>
    <row r="489">
      <c r="A489" t="n">
        <v>486</v>
      </c>
      <c r="B489">
        <f>A489/Inputs!$B$6</f>
        <v/>
      </c>
      <c r="C489">
        <f>IF(B489&lt;=INDEX(YieldCurve!$A$4:$A$63,1),1,IF(B489&gt;=INDEX(YieldCurve!$A$4:$A$63,ROWS(YieldCurve!$A$4:$A$63)),ROWS(YieldCurve!$A$4:$A$63)-1,MATCH(B489,YieldCurve!$A$4:$A$63,1)))</f>
        <v/>
      </c>
      <c r="D489">
        <f>INDEX(YieldCurve!$A$4:$A$63,C489)</f>
        <v/>
      </c>
      <c r="E489">
        <f>INDEX(YieldCurve!$A$4:$A$63,C489+1)</f>
        <v/>
      </c>
      <c r="F489">
        <f>INDEX(YieldCurve!$B$4:$B$63,C489)</f>
        <v/>
      </c>
      <c r="G489">
        <f>INDEX(YieldCurve!$B$4:$B$63,C489+1)</f>
        <v/>
      </c>
      <c r="H489">
        <f>IF(E489=D489,0,(B489-D489)/(E489-D489))</f>
        <v/>
      </c>
      <c r="I489">
        <f>-(F489+Inputs!$B$9)*D489</f>
        <v/>
      </c>
      <c r="J489">
        <f>-(G489+Inputs!$B$9)*E489</f>
        <v/>
      </c>
      <c r="K489">
        <f>IF(B489&lt;=INDEX(YieldCurve!$A$4:$A$63,1),-(INDEX(YieldCurve!$B$4:$B$63,1)+Inputs!$B$9)*B489,IF(B489&gt;=INDEX(YieldCurve!$A$4:$A$63,ROWS(YieldCurve!$A$4:$A$63)),-(INDEX(YieldCurve!$B$4:$B$63,ROWS(YieldCurve!$B$4:$B$63))+Inputs!$B$9)*B489,I489+H489*(J489-I489)))</f>
        <v/>
      </c>
      <c r="L489">
        <f>EXP(K489)</f>
        <v/>
      </c>
    </row>
    <row r="490">
      <c r="A490" t="n">
        <v>487</v>
      </c>
      <c r="B490">
        <f>A490/Inputs!$B$6</f>
        <v/>
      </c>
      <c r="C490">
        <f>IF(B490&lt;=INDEX(YieldCurve!$A$4:$A$63,1),1,IF(B490&gt;=INDEX(YieldCurve!$A$4:$A$63,ROWS(YieldCurve!$A$4:$A$63)),ROWS(YieldCurve!$A$4:$A$63)-1,MATCH(B490,YieldCurve!$A$4:$A$63,1)))</f>
        <v/>
      </c>
      <c r="D490">
        <f>INDEX(YieldCurve!$A$4:$A$63,C490)</f>
        <v/>
      </c>
      <c r="E490">
        <f>INDEX(YieldCurve!$A$4:$A$63,C490+1)</f>
        <v/>
      </c>
      <c r="F490">
        <f>INDEX(YieldCurve!$B$4:$B$63,C490)</f>
        <v/>
      </c>
      <c r="G490">
        <f>INDEX(YieldCurve!$B$4:$B$63,C490+1)</f>
        <v/>
      </c>
      <c r="H490">
        <f>IF(E490=D490,0,(B490-D490)/(E490-D490))</f>
        <v/>
      </c>
      <c r="I490">
        <f>-(F490+Inputs!$B$9)*D490</f>
        <v/>
      </c>
      <c r="J490">
        <f>-(G490+Inputs!$B$9)*E490</f>
        <v/>
      </c>
      <c r="K490">
        <f>IF(B490&lt;=INDEX(YieldCurve!$A$4:$A$63,1),-(INDEX(YieldCurve!$B$4:$B$63,1)+Inputs!$B$9)*B490,IF(B490&gt;=INDEX(YieldCurve!$A$4:$A$63,ROWS(YieldCurve!$A$4:$A$63)),-(INDEX(YieldCurve!$B$4:$B$63,ROWS(YieldCurve!$B$4:$B$63))+Inputs!$B$9)*B490,I490+H490*(J490-I490)))</f>
        <v/>
      </c>
      <c r="L490">
        <f>EXP(K490)</f>
        <v/>
      </c>
    </row>
    <row r="491">
      <c r="A491" t="n">
        <v>488</v>
      </c>
      <c r="B491">
        <f>A491/Inputs!$B$6</f>
        <v/>
      </c>
      <c r="C491">
        <f>IF(B491&lt;=INDEX(YieldCurve!$A$4:$A$63,1),1,IF(B491&gt;=INDEX(YieldCurve!$A$4:$A$63,ROWS(YieldCurve!$A$4:$A$63)),ROWS(YieldCurve!$A$4:$A$63)-1,MATCH(B491,YieldCurve!$A$4:$A$63,1)))</f>
        <v/>
      </c>
      <c r="D491">
        <f>INDEX(YieldCurve!$A$4:$A$63,C491)</f>
        <v/>
      </c>
      <c r="E491">
        <f>INDEX(YieldCurve!$A$4:$A$63,C491+1)</f>
        <v/>
      </c>
      <c r="F491">
        <f>INDEX(YieldCurve!$B$4:$B$63,C491)</f>
        <v/>
      </c>
      <c r="G491">
        <f>INDEX(YieldCurve!$B$4:$B$63,C491+1)</f>
        <v/>
      </c>
      <c r="H491">
        <f>IF(E491=D491,0,(B491-D491)/(E491-D491))</f>
        <v/>
      </c>
      <c r="I491">
        <f>-(F491+Inputs!$B$9)*D491</f>
        <v/>
      </c>
      <c r="J491">
        <f>-(G491+Inputs!$B$9)*E491</f>
        <v/>
      </c>
      <c r="K491">
        <f>IF(B491&lt;=INDEX(YieldCurve!$A$4:$A$63,1),-(INDEX(YieldCurve!$B$4:$B$63,1)+Inputs!$B$9)*B491,IF(B491&gt;=INDEX(YieldCurve!$A$4:$A$63,ROWS(YieldCurve!$A$4:$A$63)),-(INDEX(YieldCurve!$B$4:$B$63,ROWS(YieldCurve!$B$4:$B$63))+Inputs!$B$9)*B491,I491+H491*(J491-I491)))</f>
        <v/>
      </c>
      <c r="L491">
        <f>EXP(K491)</f>
        <v/>
      </c>
    </row>
    <row r="492">
      <c r="A492" t="n">
        <v>489</v>
      </c>
      <c r="B492">
        <f>A492/Inputs!$B$6</f>
        <v/>
      </c>
      <c r="C492">
        <f>IF(B492&lt;=INDEX(YieldCurve!$A$4:$A$63,1),1,IF(B492&gt;=INDEX(YieldCurve!$A$4:$A$63,ROWS(YieldCurve!$A$4:$A$63)),ROWS(YieldCurve!$A$4:$A$63)-1,MATCH(B492,YieldCurve!$A$4:$A$63,1)))</f>
        <v/>
      </c>
      <c r="D492">
        <f>INDEX(YieldCurve!$A$4:$A$63,C492)</f>
        <v/>
      </c>
      <c r="E492">
        <f>INDEX(YieldCurve!$A$4:$A$63,C492+1)</f>
        <v/>
      </c>
      <c r="F492">
        <f>INDEX(YieldCurve!$B$4:$B$63,C492)</f>
        <v/>
      </c>
      <c r="G492">
        <f>INDEX(YieldCurve!$B$4:$B$63,C492+1)</f>
        <v/>
      </c>
      <c r="H492">
        <f>IF(E492=D492,0,(B492-D492)/(E492-D492))</f>
        <v/>
      </c>
      <c r="I492">
        <f>-(F492+Inputs!$B$9)*D492</f>
        <v/>
      </c>
      <c r="J492">
        <f>-(G492+Inputs!$B$9)*E492</f>
        <v/>
      </c>
      <c r="K492">
        <f>IF(B492&lt;=INDEX(YieldCurve!$A$4:$A$63,1),-(INDEX(YieldCurve!$B$4:$B$63,1)+Inputs!$B$9)*B492,IF(B492&gt;=INDEX(YieldCurve!$A$4:$A$63,ROWS(YieldCurve!$A$4:$A$63)),-(INDEX(YieldCurve!$B$4:$B$63,ROWS(YieldCurve!$B$4:$B$63))+Inputs!$B$9)*B492,I492+H492*(J492-I492)))</f>
        <v/>
      </c>
      <c r="L492">
        <f>EXP(K492)</f>
        <v/>
      </c>
    </row>
    <row r="493">
      <c r="A493" t="n">
        <v>490</v>
      </c>
      <c r="B493">
        <f>A493/Inputs!$B$6</f>
        <v/>
      </c>
      <c r="C493">
        <f>IF(B493&lt;=INDEX(YieldCurve!$A$4:$A$63,1),1,IF(B493&gt;=INDEX(YieldCurve!$A$4:$A$63,ROWS(YieldCurve!$A$4:$A$63)),ROWS(YieldCurve!$A$4:$A$63)-1,MATCH(B493,YieldCurve!$A$4:$A$63,1)))</f>
        <v/>
      </c>
      <c r="D493">
        <f>INDEX(YieldCurve!$A$4:$A$63,C493)</f>
        <v/>
      </c>
      <c r="E493">
        <f>INDEX(YieldCurve!$A$4:$A$63,C493+1)</f>
        <v/>
      </c>
      <c r="F493">
        <f>INDEX(YieldCurve!$B$4:$B$63,C493)</f>
        <v/>
      </c>
      <c r="G493">
        <f>INDEX(YieldCurve!$B$4:$B$63,C493+1)</f>
        <v/>
      </c>
      <c r="H493">
        <f>IF(E493=D493,0,(B493-D493)/(E493-D493))</f>
        <v/>
      </c>
      <c r="I493">
        <f>-(F493+Inputs!$B$9)*D493</f>
        <v/>
      </c>
      <c r="J493">
        <f>-(G493+Inputs!$B$9)*E493</f>
        <v/>
      </c>
      <c r="K493">
        <f>IF(B493&lt;=INDEX(YieldCurve!$A$4:$A$63,1),-(INDEX(YieldCurve!$B$4:$B$63,1)+Inputs!$B$9)*B493,IF(B493&gt;=INDEX(YieldCurve!$A$4:$A$63,ROWS(YieldCurve!$A$4:$A$63)),-(INDEX(YieldCurve!$B$4:$B$63,ROWS(YieldCurve!$B$4:$B$63))+Inputs!$B$9)*B493,I493+H493*(J493-I493)))</f>
        <v/>
      </c>
      <c r="L493">
        <f>EXP(K493)</f>
        <v/>
      </c>
    </row>
    <row r="494">
      <c r="A494" t="n">
        <v>491</v>
      </c>
      <c r="B494">
        <f>A494/Inputs!$B$6</f>
        <v/>
      </c>
      <c r="C494">
        <f>IF(B494&lt;=INDEX(YieldCurve!$A$4:$A$63,1),1,IF(B494&gt;=INDEX(YieldCurve!$A$4:$A$63,ROWS(YieldCurve!$A$4:$A$63)),ROWS(YieldCurve!$A$4:$A$63)-1,MATCH(B494,YieldCurve!$A$4:$A$63,1)))</f>
        <v/>
      </c>
      <c r="D494">
        <f>INDEX(YieldCurve!$A$4:$A$63,C494)</f>
        <v/>
      </c>
      <c r="E494">
        <f>INDEX(YieldCurve!$A$4:$A$63,C494+1)</f>
        <v/>
      </c>
      <c r="F494">
        <f>INDEX(YieldCurve!$B$4:$B$63,C494)</f>
        <v/>
      </c>
      <c r="G494">
        <f>INDEX(YieldCurve!$B$4:$B$63,C494+1)</f>
        <v/>
      </c>
      <c r="H494">
        <f>IF(E494=D494,0,(B494-D494)/(E494-D494))</f>
        <v/>
      </c>
      <c r="I494">
        <f>-(F494+Inputs!$B$9)*D494</f>
        <v/>
      </c>
      <c r="J494">
        <f>-(G494+Inputs!$B$9)*E494</f>
        <v/>
      </c>
      <c r="K494">
        <f>IF(B494&lt;=INDEX(YieldCurve!$A$4:$A$63,1),-(INDEX(YieldCurve!$B$4:$B$63,1)+Inputs!$B$9)*B494,IF(B494&gt;=INDEX(YieldCurve!$A$4:$A$63,ROWS(YieldCurve!$A$4:$A$63)),-(INDEX(YieldCurve!$B$4:$B$63,ROWS(YieldCurve!$B$4:$B$63))+Inputs!$B$9)*B494,I494+H494*(J494-I494)))</f>
        <v/>
      </c>
      <c r="L494">
        <f>EXP(K494)</f>
        <v/>
      </c>
    </row>
    <row r="495">
      <c r="A495" t="n">
        <v>492</v>
      </c>
      <c r="B495">
        <f>A495/Inputs!$B$6</f>
        <v/>
      </c>
      <c r="C495">
        <f>IF(B495&lt;=INDEX(YieldCurve!$A$4:$A$63,1),1,IF(B495&gt;=INDEX(YieldCurve!$A$4:$A$63,ROWS(YieldCurve!$A$4:$A$63)),ROWS(YieldCurve!$A$4:$A$63)-1,MATCH(B495,YieldCurve!$A$4:$A$63,1)))</f>
        <v/>
      </c>
      <c r="D495">
        <f>INDEX(YieldCurve!$A$4:$A$63,C495)</f>
        <v/>
      </c>
      <c r="E495">
        <f>INDEX(YieldCurve!$A$4:$A$63,C495+1)</f>
        <v/>
      </c>
      <c r="F495">
        <f>INDEX(YieldCurve!$B$4:$B$63,C495)</f>
        <v/>
      </c>
      <c r="G495">
        <f>INDEX(YieldCurve!$B$4:$B$63,C495+1)</f>
        <v/>
      </c>
      <c r="H495">
        <f>IF(E495=D495,0,(B495-D495)/(E495-D495))</f>
        <v/>
      </c>
      <c r="I495">
        <f>-(F495+Inputs!$B$9)*D495</f>
        <v/>
      </c>
      <c r="J495">
        <f>-(G495+Inputs!$B$9)*E495</f>
        <v/>
      </c>
      <c r="K495">
        <f>IF(B495&lt;=INDEX(YieldCurve!$A$4:$A$63,1),-(INDEX(YieldCurve!$B$4:$B$63,1)+Inputs!$B$9)*B495,IF(B495&gt;=INDEX(YieldCurve!$A$4:$A$63,ROWS(YieldCurve!$A$4:$A$63)),-(INDEX(YieldCurve!$B$4:$B$63,ROWS(YieldCurve!$B$4:$B$63))+Inputs!$B$9)*B495,I495+H495*(J495-I495)))</f>
        <v/>
      </c>
      <c r="L495">
        <f>EXP(K495)</f>
        <v/>
      </c>
    </row>
    <row r="496">
      <c r="A496" t="n">
        <v>493</v>
      </c>
      <c r="B496">
        <f>A496/Inputs!$B$6</f>
        <v/>
      </c>
      <c r="C496">
        <f>IF(B496&lt;=INDEX(YieldCurve!$A$4:$A$63,1),1,IF(B496&gt;=INDEX(YieldCurve!$A$4:$A$63,ROWS(YieldCurve!$A$4:$A$63)),ROWS(YieldCurve!$A$4:$A$63)-1,MATCH(B496,YieldCurve!$A$4:$A$63,1)))</f>
        <v/>
      </c>
      <c r="D496">
        <f>INDEX(YieldCurve!$A$4:$A$63,C496)</f>
        <v/>
      </c>
      <c r="E496">
        <f>INDEX(YieldCurve!$A$4:$A$63,C496+1)</f>
        <v/>
      </c>
      <c r="F496">
        <f>INDEX(YieldCurve!$B$4:$B$63,C496)</f>
        <v/>
      </c>
      <c r="G496">
        <f>INDEX(YieldCurve!$B$4:$B$63,C496+1)</f>
        <v/>
      </c>
      <c r="H496">
        <f>IF(E496=D496,0,(B496-D496)/(E496-D496))</f>
        <v/>
      </c>
      <c r="I496">
        <f>-(F496+Inputs!$B$9)*D496</f>
        <v/>
      </c>
      <c r="J496">
        <f>-(G496+Inputs!$B$9)*E496</f>
        <v/>
      </c>
      <c r="K496">
        <f>IF(B496&lt;=INDEX(YieldCurve!$A$4:$A$63,1),-(INDEX(YieldCurve!$B$4:$B$63,1)+Inputs!$B$9)*B496,IF(B496&gt;=INDEX(YieldCurve!$A$4:$A$63,ROWS(YieldCurve!$A$4:$A$63)),-(INDEX(YieldCurve!$B$4:$B$63,ROWS(YieldCurve!$B$4:$B$63))+Inputs!$B$9)*B496,I496+H496*(J496-I496)))</f>
        <v/>
      </c>
      <c r="L496">
        <f>EXP(K496)</f>
        <v/>
      </c>
    </row>
    <row r="497">
      <c r="A497" t="n">
        <v>494</v>
      </c>
      <c r="B497">
        <f>A497/Inputs!$B$6</f>
        <v/>
      </c>
      <c r="C497">
        <f>IF(B497&lt;=INDEX(YieldCurve!$A$4:$A$63,1),1,IF(B497&gt;=INDEX(YieldCurve!$A$4:$A$63,ROWS(YieldCurve!$A$4:$A$63)),ROWS(YieldCurve!$A$4:$A$63)-1,MATCH(B497,YieldCurve!$A$4:$A$63,1)))</f>
        <v/>
      </c>
      <c r="D497">
        <f>INDEX(YieldCurve!$A$4:$A$63,C497)</f>
        <v/>
      </c>
      <c r="E497">
        <f>INDEX(YieldCurve!$A$4:$A$63,C497+1)</f>
        <v/>
      </c>
      <c r="F497">
        <f>INDEX(YieldCurve!$B$4:$B$63,C497)</f>
        <v/>
      </c>
      <c r="G497">
        <f>INDEX(YieldCurve!$B$4:$B$63,C497+1)</f>
        <v/>
      </c>
      <c r="H497">
        <f>IF(E497=D497,0,(B497-D497)/(E497-D497))</f>
        <v/>
      </c>
      <c r="I497">
        <f>-(F497+Inputs!$B$9)*D497</f>
        <v/>
      </c>
      <c r="J497">
        <f>-(G497+Inputs!$B$9)*E497</f>
        <v/>
      </c>
      <c r="K497">
        <f>IF(B497&lt;=INDEX(YieldCurve!$A$4:$A$63,1),-(INDEX(YieldCurve!$B$4:$B$63,1)+Inputs!$B$9)*B497,IF(B497&gt;=INDEX(YieldCurve!$A$4:$A$63,ROWS(YieldCurve!$A$4:$A$63)),-(INDEX(YieldCurve!$B$4:$B$63,ROWS(YieldCurve!$B$4:$B$63))+Inputs!$B$9)*B497,I497+H497*(J497-I497)))</f>
        <v/>
      </c>
      <c r="L497">
        <f>EXP(K497)</f>
        <v/>
      </c>
    </row>
    <row r="498">
      <c r="A498" t="n">
        <v>495</v>
      </c>
      <c r="B498">
        <f>A498/Inputs!$B$6</f>
        <v/>
      </c>
      <c r="C498">
        <f>IF(B498&lt;=INDEX(YieldCurve!$A$4:$A$63,1),1,IF(B498&gt;=INDEX(YieldCurve!$A$4:$A$63,ROWS(YieldCurve!$A$4:$A$63)),ROWS(YieldCurve!$A$4:$A$63)-1,MATCH(B498,YieldCurve!$A$4:$A$63,1)))</f>
        <v/>
      </c>
      <c r="D498">
        <f>INDEX(YieldCurve!$A$4:$A$63,C498)</f>
        <v/>
      </c>
      <c r="E498">
        <f>INDEX(YieldCurve!$A$4:$A$63,C498+1)</f>
        <v/>
      </c>
      <c r="F498">
        <f>INDEX(YieldCurve!$B$4:$B$63,C498)</f>
        <v/>
      </c>
      <c r="G498">
        <f>INDEX(YieldCurve!$B$4:$B$63,C498+1)</f>
        <v/>
      </c>
      <c r="H498">
        <f>IF(E498=D498,0,(B498-D498)/(E498-D498))</f>
        <v/>
      </c>
      <c r="I498">
        <f>-(F498+Inputs!$B$9)*D498</f>
        <v/>
      </c>
      <c r="J498">
        <f>-(G498+Inputs!$B$9)*E498</f>
        <v/>
      </c>
      <c r="K498">
        <f>IF(B498&lt;=INDEX(YieldCurve!$A$4:$A$63,1),-(INDEX(YieldCurve!$B$4:$B$63,1)+Inputs!$B$9)*B498,IF(B498&gt;=INDEX(YieldCurve!$A$4:$A$63,ROWS(YieldCurve!$A$4:$A$63)),-(INDEX(YieldCurve!$B$4:$B$63,ROWS(YieldCurve!$B$4:$B$63))+Inputs!$B$9)*B498,I498+H498*(J498-I498)))</f>
        <v/>
      </c>
      <c r="L498">
        <f>EXP(K498)</f>
        <v/>
      </c>
    </row>
    <row r="499">
      <c r="A499" t="n">
        <v>496</v>
      </c>
      <c r="B499">
        <f>A499/Inputs!$B$6</f>
        <v/>
      </c>
      <c r="C499">
        <f>IF(B499&lt;=INDEX(YieldCurve!$A$4:$A$63,1),1,IF(B499&gt;=INDEX(YieldCurve!$A$4:$A$63,ROWS(YieldCurve!$A$4:$A$63)),ROWS(YieldCurve!$A$4:$A$63)-1,MATCH(B499,YieldCurve!$A$4:$A$63,1)))</f>
        <v/>
      </c>
      <c r="D499">
        <f>INDEX(YieldCurve!$A$4:$A$63,C499)</f>
        <v/>
      </c>
      <c r="E499">
        <f>INDEX(YieldCurve!$A$4:$A$63,C499+1)</f>
        <v/>
      </c>
      <c r="F499">
        <f>INDEX(YieldCurve!$B$4:$B$63,C499)</f>
        <v/>
      </c>
      <c r="G499">
        <f>INDEX(YieldCurve!$B$4:$B$63,C499+1)</f>
        <v/>
      </c>
      <c r="H499">
        <f>IF(E499=D499,0,(B499-D499)/(E499-D499))</f>
        <v/>
      </c>
      <c r="I499">
        <f>-(F499+Inputs!$B$9)*D499</f>
        <v/>
      </c>
      <c r="J499">
        <f>-(G499+Inputs!$B$9)*E499</f>
        <v/>
      </c>
      <c r="K499">
        <f>IF(B499&lt;=INDEX(YieldCurve!$A$4:$A$63,1),-(INDEX(YieldCurve!$B$4:$B$63,1)+Inputs!$B$9)*B499,IF(B499&gt;=INDEX(YieldCurve!$A$4:$A$63,ROWS(YieldCurve!$A$4:$A$63)),-(INDEX(YieldCurve!$B$4:$B$63,ROWS(YieldCurve!$B$4:$B$63))+Inputs!$B$9)*B499,I499+H499*(J499-I499)))</f>
        <v/>
      </c>
      <c r="L499">
        <f>EXP(K499)</f>
        <v/>
      </c>
    </row>
    <row r="500">
      <c r="A500" t="n">
        <v>497</v>
      </c>
      <c r="B500">
        <f>A500/Inputs!$B$6</f>
        <v/>
      </c>
      <c r="C500">
        <f>IF(B500&lt;=INDEX(YieldCurve!$A$4:$A$63,1),1,IF(B500&gt;=INDEX(YieldCurve!$A$4:$A$63,ROWS(YieldCurve!$A$4:$A$63)),ROWS(YieldCurve!$A$4:$A$63)-1,MATCH(B500,YieldCurve!$A$4:$A$63,1)))</f>
        <v/>
      </c>
      <c r="D500">
        <f>INDEX(YieldCurve!$A$4:$A$63,C500)</f>
        <v/>
      </c>
      <c r="E500">
        <f>INDEX(YieldCurve!$A$4:$A$63,C500+1)</f>
        <v/>
      </c>
      <c r="F500">
        <f>INDEX(YieldCurve!$B$4:$B$63,C500)</f>
        <v/>
      </c>
      <c r="G500">
        <f>INDEX(YieldCurve!$B$4:$B$63,C500+1)</f>
        <v/>
      </c>
      <c r="H500">
        <f>IF(E500=D500,0,(B500-D500)/(E500-D500))</f>
        <v/>
      </c>
      <c r="I500">
        <f>-(F500+Inputs!$B$9)*D500</f>
        <v/>
      </c>
      <c r="J500">
        <f>-(G500+Inputs!$B$9)*E500</f>
        <v/>
      </c>
      <c r="K500">
        <f>IF(B500&lt;=INDEX(YieldCurve!$A$4:$A$63,1),-(INDEX(YieldCurve!$B$4:$B$63,1)+Inputs!$B$9)*B500,IF(B500&gt;=INDEX(YieldCurve!$A$4:$A$63,ROWS(YieldCurve!$A$4:$A$63)),-(INDEX(YieldCurve!$B$4:$B$63,ROWS(YieldCurve!$B$4:$B$63))+Inputs!$B$9)*B500,I500+H500*(J500-I500)))</f>
        <v/>
      </c>
      <c r="L500">
        <f>EXP(K500)</f>
        <v/>
      </c>
    </row>
    <row r="501">
      <c r="A501" t="n">
        <v>498</v>
      </c>
      <c r="B501">
        <f>A501/Inputs!$B$6</f>
        <v/>
      </c>
      <c r="C501">
        <f>IF(B501&lt;=INDEX(YieldCurve!$A$4:$A$63,1),1,IF(B501&gt;=INDEX(YieldCurve!$A$4:$A$63,ROWS(YieldCurve!$A$4:$A$63)),ROWS(YieldCurve!$A$4:$A$63)-1,MATCH(B501,YieldCurve!$A$4:$A$63,1)))</f>
        <v/>
      </c>
      <c r="D501">
        <f>INDEX(YieldCurve!$A$4:$A$63,C501)</f>
        <v/>
      </c>
      <c r="E501">
        <f>INDEX(YieldCurve!$A$4:$A$63,C501+1)</f>
        <v/>
      </c>
      <c r="F501">
        <f>INDEX(YieldCurve!$B$4:$B$63,C501)</f>
        <v/>
      </c>
      <c r="G501">
        <f>INDEX(YieldCurve!$B$4:$B$63,C501+1)</f>
        <v/>
      </c>
      <c r="H501">
        <f>IF(E501=D501,0,(B501-D501)/(E501-D501))</f>
        <v/>
      </c>
      <c r="I501">
        <f>-(F501+Inputs!$B$9)*D501</f>
        <v/>
      </c>
      <c r="J501">
        <f>-(G501+Inputs!$B$9)*E501</f>
        <v/>
      </c>
      <c r="K501">
        <f>IF(B501&lt;=INDEX(YieldCurve!$A$4:$A$63,1),-(INDEX(YieldCurve!$B$4:$B$63,1)+Inputs!$B$9)*B501,IF(B501&gt;=INDEX(YieldCurve!$A$4:$A$63,ROWS(YieldCurve!$A$4:$A$63)),-(INDEX(YieldCurve!$B$4:$B$63,ROWS(YieldCurve!$B$4:$B$63))+Inputs!$B$9)*B501,I501+H501*(J501-I501)))</f>
        <v/>
      </c>
      <c r="L501">
        <f>EXP(K501)</f>
        <v/>
      </c>
    </row>
    <row r="502">
      <c r="A502" t="n">
        <v>499</v>
      </c>
      <c r="B502">
        <f>A502/Inputs!$B$6</f>
        <v/>
      </c>
      <c r="C502">
        <f>IF(B502&lt;=INDEX(YieldCurve!$A$4:$A$63,1),1,IF(B502&gt;=INDEX(YieldCurve!$A$4:$A$63,ROWS(YieldCurve!$A$4:$A$63)),ROWS(YieldCurve!$A$4:$A$63)-1,MATCH(B502,YieldCurve!$A$4:$A$63,1)))</f>
        <v/>
      </c>
      <c r="D502">
        <f>INDEX(YieldCurve!$A$4:$A$63,C502)</f>
        <v/>
      </c>
      <c r="E502">
        <f>INDEX(YieldCurve!$A$4:$A$63,C502+1)</f>
        <v/>
      </c>
      <c r="F502">
        <f>INDEX(YieldCurve!$B$4:$B$63,C502)</f>
        <v/>
      </c>
      <c r="G502">
        <f>INDEX(YieldCurve!$B$4:$B$63,C502+1)</f>
        <v/>
      </c>
      <c r="H502">
        <f>IF(E502=D502,0,(B502-D502)/(E502-D502))</f>
        <v/>
      </c>
      <c r="I502">
        <f>-(F502+Inputs!$B$9)*D502</f>
        <v/>
      </c>
      <c r="J502">
        <f>-(G502+Inputs!$B$9)*E502</f>
        <v/>
      </c>
      <c r="K502">
        <f>IF(B502&lt;=INDEX(YieldCurve!$A$4:$A$63,1),-(INDEX(YieldCurve!$B$4:$B$63,1)+Inputs!$B$9)*B502,IF(B502&gt;=INDEX(YieldCurve!$A$4:$A$63,ROWS(YieldCurve!$A$4:$A$63)),-(INDEX(YieldCurve!$B$4:$B$63,ROWS(YieldCurve!$B$4:$B$63))+Inputs!$B$9)*B502,I502+H502*(J502-I502)))</f>
        <v/>
      </c>
      <c r="L502">
        <f>EXP(K502)</f>
        <v/>
      </c>
    </row>
    <row r="503">
      <c r="A503" t="n">
        <v>500</v>
      </c>
      <c r="B503">
        <f>A503/Inputs!$B$6</f>
        <v/>
      </c>
      <c r="C503">
        <f>IF(B503&lt;=INDEX(YieldCurve!$A$4:$A$63,1),1,IF(B503&gt;=INDEX(YieldCurve!$A$4:$A$63,ROWS(YieldCurve!$A$4:$A$63)),ROWS(YieldCurve!$A$4:$A$63)-1,MATCH(B503,YieldCurve!$A$4:$A$63,1)))</f>
        <v/>
      </c>
      <c r="D503">
        <f>INDEX(YieldCurve!$A$4:$A$63,C503)</f>
        <v/>
      </c>
      <c r="E503">
        <f>INDEX(YieldCurve!$A$4:$A$63,C503+1)</f>
        <v/>
      </c>
      <c r="F503">
        <f>INDEX(YieldCurve!$B$4:$B$63,C503)</f>
        <v/>
      </c>
      <c r="G503">
        <f>INDEX(YieldCurve!$B$4:$B$63,C503+1)</f>
        <v/>
      </c>
      <c r="H503">
        <f>IF(E503=D503,0,(B503-D503)/(E503-D503))</f>
        <v/>
      </c>
      <c r="I503">
        <f>-(F503+Inputs!$B$9)*D503</f>
        <v/>
      </c>
      <c r="J503">
        <f>-(G503+Inputs!$B$9)*E503</f>
        <v/>
      </c>
      <c r="K503">
        <f>IF(B503&lt;=INDEX(YieldCurve!$A$4:$A$63,1),-(INDEX(YieldCurve!$B$4:$B$63,1)+Inputs!$B$9)*B503,IF(B503&gt;=INDEX(YieldCurve!$A$4:$A$63,ROWS(YieldCurve!$A$4:$A$63)),-(INDEX(YieldCurve!$B$4:$B$63,ROWS(YieldCurve!$B$4:$B$63))+Inputs!$B$9)*B503,I503+H503*(J503-I503)))</f>
        <v/>
      </c>
      <c r="L503">
        <f>EXP(K503)</f>
        <v/>
      </c>
    </row>
    <row r="504">
      <c r="A504" t="n">
        <v>501</v>
      </c>
      <c r="B504">
        <f>A504/Inputs!$B$6</f>
        <v/>
      </c>
      <c r="C504">
        <f>IF(B504&lt;=INDEX(YieldCurve!$A$4:$A$63,1),1,IF(B504&gt;=INDEX(YieldCurve!$A$4:$A$63,ROWS(YieldCurve!$A$4:$A$63)),ROWS(YieldCurve!$A$4:$A$63)-1,MATCH(B504,YieldCurve!$A$4:$A$63,1)))</f>
        <v/>
      </c>
      <c r="D504">
        <f>INDEX(YieldCurve!$A$4:$A$63,C504)</f>
        <v/>
      </c>
      <c r="E504">
        <f>INDEX(YieldCurve!$A$4:$A$63,C504+1)</f>
        <v/>
      </c>
      <c r="F504">
        <f>INDEX(YieldCurve!$B$4:$B$63,C504)</f>
        <v/>
      </c>
      <c r="G504">
        <f>INDEX(YieldCurve!$B$4:$B$63,C504+1)</f>
        <v/>
      </c>
      <c r="H504">
        <f>IF(E504=D504,0,(B504-D504)/(E504-D504))</f>
        <v/>
      </c>
      <c r="I504">
        <f>-(F504+Inputs!$B$9)*D504</f>
        <v/>
      </c>
      <c r="J504">
        <f>-(G504+Inputs!$B$9)*E504</f>
        <v/>
      </c>
      <c r="K504">
        <f>IF(B504&lt;=INDEX(YieldCurve!$A$4:$A$63,1),-(INDEX(YieldCurve!$B$4:$B$63,1)+Inputs!$B$9)*B504,IF(B504&gt;=INDEX(YieldCurve!$A$4:$A$63,ROWS(YieldCurve!$A$4:$A$63)),-(INDEX(YieldCurve!$B$4:$B$63,ROWS(YieldCurve!$B$4:$B$63))+Inputs!$B$9)*B504,I504+H504*(J504-I504)))</f>
        <v/>
      </c>
      <c r="L504">
        <f>EXP(K504)</f>
        <v/>
      </c>
    </row>
    <row r="505">
      <c r="A505" t="n">
        <v>502</v>
      </c>
      <c r="B505">
        <f>A505/Inputs!$B$6</f>
        <v/>
      </c>
      <c r="C505">
        <f>IF(B505&lt;=INDEX(YieldCurve!$A$4:$A$63,1),1,IF(B505&gt;=INDEX(YieldCurve!$A$4:$A$63,ROWS(YieldCurve!$A$4:$A$63)),ROWS(YieldCurve!$A$4:$A$63)-1,MATCH(B505,YieldCurve!$A$4:$A$63,1)))</f>
        <v/>
      </c>
      <c r="D505">
        <f>INDEX(YieldCurve!$A$4:$A$63,C505)</f>
        <v/>
      </c>
      <c r="E505">
        <f>INDEX(YieldCurve!$A$4:$A$63,C505+1)</f>
        <v/>
      </c>
      <c r="F505">
        <f>INDEX(YieldCurve!$B$4:$B$63,C505)</f>
        <v/>
      </c>
      <c r="G505">
        <f>INDEX(YieldCurve!$B$4:$B$63,C505+1)</f>
        <v/>
      </c>
      <c r="H505">
        <f>IF(E505=D505,0,(B505-D505)/(E505-D505))</f>
        <v/>
      </c>
      <c r="I505">
        <f>-(F505+Inputs!$B$9)*D505</f>
        <v/>
      </c>
      <c r="J505">
        <f>-(G505+Inputs!$B$9)*E505</f>
        <v/>
      </c>
      <c r="K505">
        <f>IF(B505&lt;=INDEX(YieldCurve!$A$4:$A$63,1),-(INDEX(YieldCurve!$B$4:$B$63,1)+Inputs!$B$9)*B505,IF(B505&gt;=INDEX(YieldCurve!$A$4:$A$63,ROWS(YieldCurve!$A$4:$A$63)),-(INDEX(YieldCurve!$B$4:$B$63,ROWS(YieldCurve!$B$4:$B$63))+Inputs!$B$9)*B505,I505+H505*(J505-I505)))</f>
        <v/>
      </c>
      <c r="L505">
        <f>EXP(K505)</f>
        <v/>
      </c>
    </row>
    <row r="506">
      <c r="A506" t="n">
        <v>503</v>
      </c>
      <c r="B506">
        <f>A506/Inputs!$B$6</f>
        <v/>
      </c>
      <c r="C506">
        <f>IF(B506&lt;=INDEX(YieldCurve!$A$4:$A$63,1),1,IF(B506&gt;=INDEX(YieldCurve!$A$4:$A$63,ROWS(YieldCurve!$A$4:$A$63)),ROWS(YieldCurve!$A$4:$A$63)-1,MATCH(B506,YieldCurve!$A$4:$A$63,1)))</f>
        <v/>
      </c>
      <c r="D506">
        <f>INDEX(YieldCurve!$A$4:$A$63,C506)</f>
        <v/>
      </c>
      <c r="E506">
        <f>INDEX(YieldCurve!$A$4:$A$63,C506+1)</f>
        <v/>
      </c>
      <c r="F506">
        <f>INDEX(YieldCurve!$B$4:$B$63,C506)</f>
        <v/>
      </c>
      <c r="G506">
        <f>INDEX(YieldCurve!$B$4:$B$63,C506+1)</f>
        <v/>
      </c>
      <c r="H506">
        <f>IF(E506=D506,0,(B506-D506)/(E506-D506))</f>
        <v/>
      </c>
      <c r="I506">
        <f>-(F506+Inputs!$B$9)*D506</f>
        <v/>
      </c>
      <c r="J506">
        <f>-(G506+Inputs!$B$9)*E506</f>
        <v/>
      </c>
      <c r="K506">
        <f>IF(B506&lt;=INDEX(YieldCurve!$A$4:$A$63,1),-(INDEX(YieldCurve!$B$4:$B$63,1)+Inputs!$B$9)*B506,IF(B506&gt;=INDEX(YieldCurve!$A$4:$A$63,ROWS(YieldCurve!$A$4:$A$63)),-(INDEX(YieldCurve!$B$4:$B$63,ROWS(YieldCurve!$B$4:$B$63))+Inputs!$B$9)*B506,I506+H506*(J506-I506)))</f>
        <v/>
      </c>
      <c r="L506">
        <f>EXP(K506)</f>
        <v/>
      </c>
    </row>
    <row r="507">
      <c r="A507" t="n">
        <v>504</v>
      </c>
      <c r="B507">
        <f>A507/Inputs!$B$6</f>
        <v/>
      </c>
      <c r="C507">
        <f>IF(B507&lt;=INDEX(YieldCurve!$A$4:$A$63,1),1,IF(B507&gt;=INDEX(YieldCurve!$A$4:$A$63,ROWS(YieldCurve!$A$4:$A$63)),ROWS(YieldCurve!$A$4:$A$63)-1,MATCH(B507,YieldCurve!$A$4:$A$63,1)))</f>
        <v/>
      </c>
      <c r="D507">
        <f>INDEX(YieldCurve!$A$4:$A$63,C507)</f>
        <v/>
      </c>
      <c r="E507">
        <f>INDEX(YieldCurve!$A$4:$A$63,C507+1)</f>
        <v/>
      </c>
      <c r="F507">
        <f>INDEX(YieldCurve!$B$4:$B$63,C507)</f>
        <v/>
      </c>
      <c r="G507">
        <f>INDEX(YieldCurve!$B$4:$B$63,C507+1)</f>
        <v/>
      </c>
      <c r="H507">
        <f>IF(E507=D507,0,(B507-D507)/(E507-D507))</f>
        <v/>
      </c>
      <c r="I507">
        <f>-(F507+Inputs!$B$9)*D507</f>
        <v/>
      </c>
      <c r="J507">
        <f>-(G507+Inputs!$B$9)*E507</f>
        <v/>
      </c>
      <c r="K507">
        <f>IF(B507&lt;=INDEX(YieldCurve!$A$4:$A$63,1),-(INDEX(YieldCurve!$B$4:$B$63,1)+Inputs!$B$9)*B507,IF(B507&gt;=INDEX(YieldCurve!$A$4:$A$63,ROWS(YieldCurve!$A$4:$A$63)),-(INDEX(YieldCurve!$B$4:$B$63,ROWS(YieldCurve!$B$4:$B$63))+Inputs!$B$9)*B507,I507+H507*(J507-I507)))</f>
        <v/>
      </c>
      <c r="L507">
        <f>EXP(K507)</f>
        <v/>
      </c>
    </row>
    <row r="508">
      <c r="A508" t="n">
        <v>505</v>
      </c>
      <c r="B508">
        <f>A508/Inputs!$B$6</f>
        <v/>
      </c>
      <c r="C508">
        <f>IF(B508&lt;=INDEX(YieldCurve!$A$4:$A$63,1),1,IF(B508&gt;=INDEX(YieldCurve!$A$4:$A$63,ROWS(YieldCurve!$A$4:$A$63)),ROWS(YieldCurve!$A$4:$A$63)-1,MATCH(B508,YieldCurve!$A$4:$A$63,1)))</f>
        <v/>
      </c>
      <c r="D508">
        <f>INDEX(YieldCurve!$A$4:$A$63,C508)</f>
        <v/>
      </c>
      <c r="E508">
        <f>INDEX(YieldCurve!$A$4:$A$63,C508+1)</f>
        <v/>
      </c>
      <c r="F508">
        <f>INDEX(YieldCurve!$B$4:$B$63,C508)</f>
        <v/>
      </c>
      <c r="G508">
        <f>INDEX(YieldCurve!$B$4:$B$63,C508+1)</f>
        <v/>
      </c>
      <c r="H508">
        <f>IF(E508=D508,0,(B508-D508)/(E508-D508))</f>
        <v/>
      </c>
      <c r="I508">
        <f>-(F508+Inputs!$B$9)*D508</f>
        <v/>
      </c>
      <c r="J508">
        <f>-(G508+Inputs!$B$9)*E508</f>
        <v/>
      </c>
      <c r="K508">
        <f>IF(B508&lt;=INDEX(YieldCurve!$A$4:$A$63,1),-(INDEX(YieldCurve!$B$4:$B$63,1)+Inputs!$B$9)*B508,IF(B508&gt;=INDEX(YieldCurve!$A$4:$A$63,ROWS(YieldCurve!$A$4:$A$63)),-(INDEX(YieldCurve!$B$4:$B$63,ROWS(YieldCurve!$B$4:$B$63))+Inputs!$B$9)*B508,I508+H508*(J508-I508)))</f>
        <v/>
      </c>
      <c r="L508">
        <f>EXP(K508)</f>
        <v/>
      </c>
    </row>
    <row r="509">
      <c r="A509" t="n">
        <v>506</v>
      </c>
      <c r="B509">
        <f>A509/Inputs!$B$6</f>
        <v/>
      </c>
      <c r="C509">
        <f>IF(B509&lt;=INDEX(YieldCurve!$A$4:$A$63,1),1,IF(B509&gt;=INDEX(YieldCurve!$A$4:$A$63,ROWS(YieldCurve!$A$4:$A$63)),ROWS(YieldCurve!$A$4:$A$63)-1,MATCH(B509,YieldCurve!$A$4:$A$63,1)))</f>
        <v/>
      </c>
      <c r="D509">
        <f>INDEX(YieldCurve!$A$4:$A$63,C509)</f>
        <v/>
      </c>
      <c r="E509">
        <f>INDEX(YieldCurve!$A$4:$A$63,C509+1)</f>
        <v/>
      </c>
      <c r="F509">
        <f>INDEX(YieldCurve!$B$4:$B$63,C509)</f>
        <v/>
      </c>
      <c r="G509">
        <f>INDEX(YieldCurve!$B$4:$B$63,C509+1)</f>
        <v/>
      </c>
      <c r="H509">
        <f>IF(E509=D509,0,(B509-D509)/(E509-D509))</f>
        <v/>
      </c>
      <c r="I509">
        <f>-(F509+Inputs!$B$9)*D509</f>
        <v/>
      </c>
      <c r="J509">
        <f>-(G509+Inputs!$B$9)*E509</f>
        <v/>
      </c>
      <c r="K509">
        <f>IF(B509&lt;=INDEX(YieldCurve!$A$4:$A$63,1),-(INDEX(YieldCurve!$B$4:$B$63,1)+Inputs!$B$9)*B509,IF(B509&gt;=INDEX(YieldCurve!$A$4:$A$63,ROWS(YieldCurve!$A$4:$A$63)),-(INDEX(YieldCurve!$B$4:$B$63,ROWS(YieldCurve!$B$4:$B$63))+Inputs!$B$9)*B509,I509+H509*(J509-I509)))</f>
        <v/>
      </c>
      <c r="L509">
        <f>EXP(K509)</f>
        <v/>
      </c>
    </row>
    <row r="510">
      <c r="A510" t="n">
        <v>507</v>
      </c>
      <c r="B510">
        <f>A510/Inputs!$B$6</f>
        <v/>
      </c>
      <c r="C510">
        <f>IF(B510&lt;=INDEX(YieldCurve!$A$4:$A$63,1),1,IF(B510&gt;=INDEX(YieldCurve!$A$4:$A$63,ROWS(YieldCurve!$A$4:$A$63)),ROWS(YieldCurve!$A$4:$A$63)-1,MATCH(B510,YieldCurve!$A$4:$A$63,1)))</f>
        <v/>
      </c>
      <c r="D510">
        <f>INDEX(YieldCurve!$A$4:$A$63,C510)</f>
        <v/>
      </c>
      <c r="E510">
        <f>INDEX(YieldCurve!$A$4:$A$63,C510+1)</f>
        <v/>
      </c>
      <c r="F510">
        <f>INDEX(YieldCurve!$B$4:$B$63,C510)</f>
        <v/>
      </c>
      <c r="G510">
        <f>INDEX(YieldCurve!$B$4:$B$63,C510+1)</f>
        <v/>
      </c>
      <c r="H510">
        <f>IF(E510=D510,0,(B510-D510)/(E510-D510))</f>
        <v/>
      </c>
      <c r="I510">
        <f>-(F510+Inputs!$B$9)*D510</f>
        <v/>
      </c>
      <c r="J510">
        <f>-(G510+Inputs!$B$9)*E510</f>
        <v/>
      </c>
      <c r="K510">
        <f>IF(B510&lt;=INDEX(YieldCurve!$A$4:$A$63,1),-(INDEX(YieldCurve!$B$4:$B$63,1)+Inputs!$B$9)*B510,IF(B510&gt;=INDEX(YieldCurve!$A$4:$A$63,ROWS(YieldCurve!$A$4:$A$63)),-(INDEX(YieldCurve!$B$4:$B$63,ROWS(YieldCurve!$B$4:$B$63))+Inputs!$B$9)*B510,I510+H510*(J510-I510)))</f>
        <v/>
      </c>
      <c r="L510">
        <f>EXP(K510)</f>
        <v/>
      </c>
    </row>
    <row r="511">
      <c r="A511" t="n">
        <v>508</v>
      </c>
      <c r="B511">
        <f>A511/Inputs!$B$6</f>
        <v/>
      </c>
      <c r="C511">
        <f>IF(B511&lt;=INDEX(YieldCurve!$A$4:$A$63,1),1,IF(B511&gt;=INDEX(YieldCurve!$A$4:$A$63,ROWS(YieldCurve!$A$4:$A$63)),ROWS(YieldCurve!$A$4:$A$63)-1,MATCH(B511,YieldCurve!$A$4:$A$63,1)))</f>
        <v/>
      </c>
      <c r="D511">
        <f>INDEX(YieldCurve!$A$4:$A$63,C511)</f>
        <v/>
      </c>
      <c r="E511">
        <f>INDEX(YieldCurve!$A$4:$A$63,C511+1)</f>
        <v/>
      </c>
      <c r="F511">
        <f>INDEX(YieldCurve!$B$4:$B$63,C511)</f>
        <v/>
      </c>
      <c r="G511">
        <f>INDEX(YieldCurve!$B$4:$B$63,C511+1)</f>
        <v/>
      </c>
      <c r="H511">
        <f>IF(E511=D511,0,(B511-D511)/(E511-D511))</f>
        <v/>
      </c>
      <c r="I511">
        <f>-(F511+Inputs!$B$9)*D511</f>
        <v/>
      </c>
      <c r="J511">
        <f>-(G511+Inputs!$B$9)*E511</f>
        <v/>
      </c>
      <c r="K511">
        <f>IF(B511&lt;=INDEX(YieldCurve!$A$4:$A$63,1),-(INDEX(YieldCurve!$B$4:$B$63,1)+Inputs!$B$9)*B511,IF(B511&gt;=INDEX(YieldCurve!$A$4:$A$63,ROWS(YieldCurve!$A$4:$A$63)),-(INDEX(YieldCurve!$B$4:$B$63,ROWS(YieldCurve!$B$4:$B$63))+Inputs!$B$9)*B511,I511+H511*(J511-I511)))</f>
        <v/>
      </c>
      <c r="L511">
        <f>EXP(K511)</f>
        <v/>
      </c>
    </row>
    <row r="512">
      <c r="A512" t="n">
        <v>509</v>
      </c>
      <c r="B512">
        <f>A512/Inputs!$B$6</f>
        <v/>
      </c>
      <c r="C512">
        <f>IF(B512&lt;=INDEX(YieldCurve!$A$4:$A$63,1),1,IF(B512&gt;=INDEX(YieldCurve!$A$4:$A$63,ROWS(YieldCurve!$A$4:$A$63)),ROWS(YieldCurve!$A$4:$A$63)-1,MATCH(B512,YieldCurve!$A$4:$A$63,1)))</f>
        <v/>
      </c>
      <c r="D512">
        <f>INDEX(YieldCurve!$A$4:$A$63,C512)</f>
        <v/>
      </c>
      <c r="E512">
        <f>INDEX(YieldCurve!$A$4:$A$63,C512+1)</f>
        <v/>
      </c>
      <c r="F512">
        <f>INDEX(YieldCurve!$B$4:$B$63,C512)</f>
        <v/>
      </c>
      <c r="G512">
        <f>INDEX(YieldCurve!$B$4:$B$63,C512+1)</f>
        <v/>
      </c>
      <c r="H512">
        <f>IF(E512=D512,0,(B512-D512)/(E512-D512))</f>
        <v/>
      </c>
      <c r="I512">
        <f>-(F512+Inputs!$B$9)*D512</f>
        <v/>
      </c>
      <c r="J512">
        <f>-(G512+Inputs!$B$9)*E512</f>
        <v/>
      </c>
      <c r="K512">
        <f>IF(B512&lt;=INDEX(YieldCurve!$A$4:$A$63,1),-(INDEX(YieldCurve!$B$4:$B$63,1)+Inputs!$B$9)*B512,IF(B512&gt;=INDEX(YieldCurve!$A$4:$A$63,ROWS(YieldCurve!$A$4:$A$63)),-(INDEX(YieldCurve!$B$4:$B$63,ROWS(YieldCurve!$B$4:$B$63))+Inputs!$B$9)*B512,I512+H512*(J512-I512)))</f>
        <v/>
      </c>
      <c r="L512">
        <f>EXP(K512)</f>
        <v/>
      </c>
    </row>
    <row r="513">
      <c r="A513" t="n">
        <v>510</v>
      </c>
      <c r="B513">
        <f>A513/Inputs!$B$6</f>
        <v/>
      </c>
      <c r="C513">
        <f>IF(B513&lt;=INDEX(YieldCurve!$A$4:$A$63,1),1,IF(B513&gt;=INDEX(YieldCurve!$A$4:$A$63,ROWS(YieldCurve!$A$4:$A$63)),ROWS(YieldCurve!$A$4:$A$63)-1,MATCH(B513,YieldCurve!$A$4:$A$63,1)))</f>
        <v/>
      </c>
      <c r="D513">
        <f>INDEX(YieldCurve!$A$4:$A$63,C513)</f>
        <v/>
      </c>
      <c r="E513">
        <f>INDEX(YieldCurve!$A$4:$A$63,C513+1)</f>
        <v/>
      </c>
      <c r="F513">
        <f>INDEX(YieldCurve!$B$4:$B$63,C513)</f>
        <v/>
      </c>
      <c r="G513">
        <f>INDEX(YieldCurve!$B$4:$B$63,C513+1)</f>
        <v/>
      </c>
      <c r="H513">
        <f>IF(E513=D513,0,(B513-D513)/(E513-D513))</f>
        <v/>
      </c>
      <c r="I513">
        <f>-(F513+Inputs!$B$9)*D513</f>
        <v/>
      </c>
      <c r="J513">
        <f>-(G513+Inputs!$B$9)*E513</f>
        <v/>
      </c>
      <c r="K513">
        <f>IF(B513&lt;=INDEX(YieldCurve!$A$4:$A$63,1),-(INDEX(YieldCurve!$B$4:$B$63,1)+Inputs!$B$9)*B513,IF(B513&gt;=INDEX(YieldCurve!$A$4:$A$63,ROWS(YieldCurve!$A$4:$A$63)),-(INDEX(YieldCurve!$B$4:$B$63,ROWS(YieldCurve!$B$4:$B$63))+Inputs!$B$9)*B513,I513+H513*(J513-I513)))</f>
        <v/>
      </c>
      <c r="L513">
        <f>EXP(K513)</f>
        <v/>
      </c>
    </row>
    <row r="514">
      <c r="A514" t="n">
        <v>511</v>
      </c>
      <c r="B514">
        <f>A514/Inputs!$B$6</f>
        <v/>
      </c>
      <c r="C514">
        <f>IF(B514&lt;=INDEX(YieldCurve!$A$4:$A$63,1),1,IF(B514&gt;=INDEX(YieldCurve!$A$4:$A$63,ROWS(YieldCurve!$A$4:$A$63)),ROWS(YieldCurve!$A$4:$A$63)-1,MATCH(B514,YieldCurve!$A$4:$A$63,1)))</f>
        <v/>
      </c>
      <c r="D514">
        <f>INDEX(YieldCurve!$A$4:$A$63,C514)</f>
        <v/>
      </c>
      <c r="E514">
        <f>INDEX(YieldCurve!$A$4:$A$63,C514+1)</f>
        <v/>
      </c>
      <c r="F514">
        <f>INDEX(YieldCurve!$B$4:$B$63,C514)</f>
        <v/>
      </c>
      <c r="G514">
        <f>INDEX(YieldCurve!$B$4:$B$63,C514+1)</f>
        <v/>
      </c>
      <c r="H514">
        <f>IF(E514=D514,0,(B514-D514)/(E514-D514))</f>
        <v/>
      </c>
      <c r="I514">
        <f>-(F514+Inputs!$B$9)*D514</f>
        <v/>
      </c>
      <c r="J514">
        <f>-(G514+Inputs!$B$9)*E514</f>
        <v/>
      </c>
      <c r="K514">
        <f>IF(B514&lt;=INDEX(YieldCurve!$A$4:$A$63,1),-(INDEX(YieldCurve!$B$4:$B$63,1)+Inputs!$B$9)*B514,IF(B514&gt;=INDEX(YieldCurve!$A$4:$A$63,ROWS(YieldCurve!$A$4:$A$63)),-(INDEX(YieldCurve!$B$4:$B$63,ROWS(YieldCurve!$B$4:$B$63))+Inputs!$B$9)*B514,I514+H514*(J514-I514)))</f>
        <v/>
      </c>
      <c r="L514">
        <f>EXP(K514)</f>
        <v/>
      </c>
    </row>
    <row r="515">
      <c r="A515" t="n">
        <v>512</v>
      </c>
      <c r="B515">
        <f>A515/Inputs!$B$6</f>
        <v/>
      </c>
      <c r="C515">
        <f>IF(B515&lt;=INDEX(YieldCurve!$A$4:$A$63,1),1,IF(B515&gt;=INDEX(YieldCurve!$A$4:$A$63,ROWS(YieldCurve!$A$4:$A$63)),ROWS(YieldCurve!$A$4:$A$63)-1,MATCH(B515,YieldCurve!$A$4:$A$63,1)))</f>
        <v/>
      </c>
      <c r="D515">
        <f>INDEX(YieldCurve!$A$4:$A$63,C515)</f>
        <v/>
      </c>
      <c r="E515">
        <f>INDEX(YieldCurve!$A$4:$A$63,C515+1)</f>
        <v/>
      </c>
      <c r="F515">
        <f>INDEX(YieldCurve!$B$4:$B$63,C515)</f>
        <v/>
      </c>
      <c r="G515">
        <f>INDEX(YieldCurve!$B$4:$B$63,C515+1)</f>
        <v/>
      </c>
      <c r="H515">
        <f>IF(E515=D515,0,(B515-D515)/(E515-D515))</f>
        <v/>
      </c>
      <c r="I515">
        <f>-(F515+Inputs!$B$9)*D515</f>
        <v/>
      </c>
      <c r="J515">
        <f>-(G515+Inputs!$B$9)*E515</f>
        <v/>
      </c>
      <c r="K515">
        <f>IF(B515&lt;=INDEX(YieldCurve!$A$4:$A$63,1),-(INDEX(YieldCurve!$B$4:$B$63,1)+Inputs!$B$9)*B515,IF(B515&gt;=INDEX(YieldCurve!$A$4:$A$63,ROWS(YieldCurve!$A$4:$A$63)),-(INDEX(YieldCurve!$B$4:$B$63,ROWS(YieldCurve!$B$4:$B$63))+Inputs!$B$9)*B515,I515+H515*(J515-I515)))</f>
        <v/>
      </c>
      <c r="L515">
        <f>EXP(K515)</f>
        <v/>
      </c>
    </row>
    <row r="516">
      <c r="A516" t="n">
        <v>513</v>
      </c>
      <c r="B516">
        <f>A516/Inputs!$B$6</f>
        <v/>
      </c>
      <c r="C516">
        <f>IF(B516&lt;=INDEX(YieldCurve!$A$4:$A$63,1),1,IF(B516&gt;=INDEX(YieldCurve!$A$4:$A$63,ROWS(YieldCurve!$A$4:$A$63)),ROWS(YieldCurve!$A$4:$A$63)-1,MATCH(B516,YieldCurve!$A$4:$A$63,1)))</f>
        <v/>
      </c>
      <c r="D516">
        <f>INDEX(YieldCurve!$A$4:$A$63,C516)</f>
        <v/>
      </c>
      <c r="E516">
        <f>INDEX(YieldCurve!$A$4:$A$63,C516+1)</f>
        <v/>
      </c>
      <c r="F516">
        <f>INDEX(YieldCurve!$B$4:$B$63,C516)</f>
        <v/>
      </c>
      <c r="G516">
        <f>INDEX(YieldCurve!$B$4:$B$63,C516+1)</f>
        <v/>
      </c>
      <c r="H516">
        <f>IF(E516=D516,0,(B516-D516)/(E516-D516))</f>
        <v/>
      </c>
      <c r="I516">
        <f>-(F516+Inputs!$B$9)*D516</f>
        <v/>
      </c>
      <c r="J516">
        <f>-(G516+Inputs!$B$9)*E516</f>
        <v/>
      </c>
      <c r="K516">
        <f>IF(B516&lt;=INDEX(YieldCurve!$A$4:$A$63,1),-(INDEX(YieldCurve!$B$4:$B$63,1)+Inputs!$B$9)*B516,IF(B516&gt;=INDEX(YieldCurve!$A$4:$A$63,ROWS(YieldCurve!$A$4:$A$63)),-(INDEX(YieldCurve!$B$4:$B$63,ROWS(YieldCurve!$B$4:$B$63))+Inputs!$B$9)*B516,I516+H516*(J516-I516)))</f>
        <v/>
      </c>
      <c r="L516">
        <f>EXP(K516)</f>
        <v/>
      </c>
    </row>
    <row r="517">
      <c r="A517" t="n">
        <v>514</v>
      </c>
      <c r="B517">
        <f>A517/Inputs!$B$6</f>
        <v/>
      </c>
      <c r="C517">
        <f>IF(B517&lt;=INDEX(YieldCurve!$A$4:$A$63,1),1,IF(B517&gt;=INDEX(YieldCurve!$A$4:$A$63,ROWS(YieldCurve!$A$4:$A$63)),ROWS(YieldCurve!$A$4:$A$63)-1,MATCH(B517,YieldCurve!$A$4:$A$63,1)))</f>
        <v/>
      </c>
      <c r="D517">
        <f>INDEX(YieldCurve!$A$4:$A$63,C517)</f>
        <v/>
      </c>
      <c r="E517">
        <f>INDEX(YieldCurve!$A$4:$A$63,C517+1)</f>
        <v/>
      </c>
      <c r="F517">
        <f>INDEX(YieldCurve!$B$4:$B$63,C517)</f>
        <v/>
      </c>
      <c r="G517">
        <f>INDEX(YieldCurve!$B$4:$B$63,C517+1)</f>
        <v/>
      </c>
      <c r="H517">
        <f>IF(E517=D517,0,(B517-D517)/(E517-D517))</f>
        <v/>
      </c>
      <c r="I517">
        <f>-(F517+Inputs!$B$9)*D517</f>
        <v/>
      </c>
      <c r="J517">
        <f>-(G517+Inputs!$B$9)*E517</f>
        <v/>
      </c>
      <c r="K517">
        <f>IF(B517&lt;=INDEX(YieldCurve!$A$4:$A$63,1),-(INDEX(YieldCurve!$B$4:$B$63,1)+Inputs!$B$9)*B517,IF(B517&gt;=INDEX(YieldCurve!$A$4:$A$63,ROWS(YieldCurve!$A$4:$A$63)),-(INDEX(YieldCurve!$B$4:$B$63,ROWS(YieldCurve!$B$4:$B$63))+Inputs!$B$9)*B517,I517+H517*(J517-I517)))</f>
        <v/>
      </c>
      <c r="L517">
        <f>EXP(K517)</f>
        <v/>
      </c>
    </row>
    <row r="518">
      <c r="A518" t="n">
        <v>515</v>
      </c>
      <c r="B518">
        <f>A518/Inputs!$B$6</f>
        <v/>
      </c>
      <c r="C518">
        <f>IF(B518&lt;=INDEX(YieldCurve!$A$4:$A$63,1),1,IF(B518&gt;=INDEX(YieldCurve!$A$4:$A$63,ROWS(YieldCurve!$A$4:$A$63)),ROWS(YieldCurve!$A$4:$A$63)-1,MATCH(B518,YieldCurve!$A$4:$A$63,1)))</f>
        <v/>
      </c>
      <c r="D518">
        <f>INDEX(YieldCurve!$A$4:$A$63,C518)</f>
        <v/>
      </c>
      <c r="E518">
        <f>INDEX(YieldCurve!$A$4:$A$63,C518+1)</f>
        <v/>
      </c>
      <c r="F518">
        <f>INDEX(YieldCurve!$B$4:$B$63,C518)</f>
        <v/>
      </c>
      <c r="G518">
        <f>INDEX(YieldCurve!$B$4:$B$63,C518+1)</f>
        <v/>
      </c>
      <c r="H518">
        <f>IF(E518=D518,0,(B518-D518)/(E518-D518))</f>
        <v/>
      </c>
      <c r="I518">
        <f>-(F518+Inputs!$B$9)*D518</f>
        <v/>
      </c>
      <c r="J518">
        <f>-(G518+Inputs!$B$9)*E518</f>
        <v/>
      </c>
      <c r="K518">
        <f>IF(B518&lt;=INDEX(YieldCurve!$A$4:$A$63,1),-(INDEX(YieldCurve!$B$4:$B$63,1)+Inputs!$B$9)*B518,IF(B518&gt;=INDEX(YieldCurve!$A$4:$A$63,ROWS(YieldCurve!$A$4:$A$63)),-(INDEX(YieldCurve!$B$4:$B$63,ROWS(YieldCurve!$B$4:$B$63))+Inputs!$B$9)*B518,I518+H518*(J518-I518)))</f>
        <v/>
      </c>
      <c r="L518">
        <f>EXP(K518)</f>
        <v/>
      </c>
    </row>
    <row r="519">
      <c r="A519" t="n">
        <v>516</v>
      </c>
      <c r="B519">
        <f>A519/Inputs!$B$6</f>
        <v/>
      </c>
      <c r="C519">
        <f>IF(B519&lt;=INDEX(YieldCurve!$A$4:$A$63,1),1,IF(B519&gt;=INDEX(YieldCurve!$A$4:$A$63,ROWS(YieldCurve!$A$4:$A$63)),ROWS(YieldCurve!$A$4:$A$63)-1,MATCH(B519,YieldCurve!$A$4:$A$63,1)))</f>
        <v/>
      </c>
      <c r="D519">
        <f>INDEX(YieldCurve!$A$4:$A$63,C519)</f>
        <v/>
      </c>
      <c r="E519">
        <f>INDEX(YieldCurve!$A$4:$A$63,C519+1)</f>
        <v/>
      </c>
      <c r="F519">
        <f>INDEX(YieldCurve!$B$4:$B$63,C519)</f>
        <v/>
      </c>
      <c r="G519">
        <f>INDEX(YieldCurve!$B$4:$B$63,C519+1)</f>
        <v/>
      </c>
      <c r="H519">
        <f>IF(E519=D519,0,(B519-D519)/(E519-D519))</f>
        <v/>
      </c>
      <c r="I519">
        <f>-(F519+Inputs!$B$9)*D519</f>
        <v/>
      </c>
      <c r="J519">
        <f>-(G519+Inputs!$B$9)*E519</f>
        <v/>
      </c>
      <c r="K519">
        <f>IF(B519&lt;=INDEX(YieldCurve!$A$4:$A$63,1),-(INDEX(YieldCurve!$B$4:$B$63,1)+Inputs!$B$9)*B519,IF(B519&gt;=INDEX(YieldCurve!$A$4:$A$63,ROWS(YieldCurve!$A$4:$A$63)),-(INDEX(YieldCurve!$B$4:$B$63,ROWS(YieldCurve!$B$4:$B$63))+Inputs!$B$9)*B519,I519+H519*(J519-I519)))</f>
        <v/>
      </c>
      <c r="L519">
        <f>EXP(K519)</f>
        <v/>
      </c>
    </row>
    <row r="520">
      <c r="A520" t="n">
        <v>517</v>
      </c>
      <c r="B520">
        <f>A520/Inputs!$B$6</f>
        <v/>
      </c>
      <c r="C520">
        <f>IF(B520&lt;=INDEX(YieldCurve!$A$4:$A$63,1),1,IF(B520&gt;=INDEX(YieldCurve!$A$4:$A$63,ROWS(YieldCurve!$A$4:$A$63)),ROWS(YieldCurve!$A$4:$A$63)-1,MATCH(B520,YieldCurve!$A$4:$A$63,1)))</f>
        <v/>
      </c>
      <c r="D520">
        <f>INDEX(YieldCurve!$A$4:$A$63,C520)</f>
        <v/>
      </c>
      <c r="E520">
        <f>INDEX(YieldCurve!$A$4:$A$63,C520+1)</f>
        <v/>
      </c>
      <c r="F520">
        <f>INDEX(YieldCurve!$B$4:$B$63,C520)</f>
        <v/>
      </c>
      <c r="G520">
        <f>INDEX(YieldCurve!$B$4:$B$63,C520+1)</f>
        <v/>
      </c>
      <c r="H520">
        <f>IF(E520=D520,0,(B520-D520)/(E520-D520))</f>
        <v/>
      </c>
      <c r="I520">
        <f>-(F520+Inputs!$B$9)*D520</f>
        <v/>
      </c>
      <c r="J520">
        <f>-(G520+Inputs!$B$9)*E520</f>
        <v/>
      </c>
      <c r="K520">
        <f>IF(B520&lt;=INDEX(YieldCurve!$A$4:$A$63,1),-(INDEX(YieldCurve!$B$4:$B$63,1)+Inputs!$B$9)*B520,IF(B520&gt;=INDEX(YieldCurve!$A$4:$A$63,ROWS(YieldCurve!$A$4:$A$63)),-(INDEX(YieldCurve!$B$4:$B$63,ROWS(YieldCurve!$B$4:$B$63))+Inputs!$B$9)*B520,I520+H520*(J520-I520)))</f>
        <v/>
      </c>
      <c r="L520">
        <f>EXP(K520)</f>
        <v/>
      </c>
    </row>
    <row r="521">
      <c r="A521" t="n">
        <v>518</v>
      </c>
      <c r="B521">
        <f>A521/Inputs!$B$6</f>
        <v/>
      </c>
      <c r="C521">
        <f>IF(B521&lt;=INDEX(YieldCurve!$A$4:$A$63,1),1,IF(B521&gt;=INDEX(YieldCurve!$A$4:$A$63,ROWS(YieldCurve!$A$4:$A$63)),ROWS(YieldCurve!$A$4:$A$63)-1,MATCH(B521,YieldCurve!$A$4:$A$63,1)))</f>
        <v/>
      </c>
      <c r="D521">
        <f>INDEX(YieldCurve!$A$4:$A$63,C521)</f>
        <v/>
      </c>
      <c r="E521">
        <f>INDEX(YieldCurve!$A$4:$A$63,C521+1)</f>
        <v/>
      </c>
      <c r="F521">
        <f>INDEX(YieldCurve!$B$4:$B$63,C521)</f>
        <v/>
      </c>
      <c r="G521">
        <f>INDEX(YieldCurve!$B$4:$B$63,C521+1)</f>
        <v/>
      </c>
      <c r="H521">
        <f>IF(E521=D521,0,(B521-D521)/(E521-D521))</f>
        <v/>
      </c>
      <c r="I521">
        <f>-(F521+Inputs!$B$9)*D521</f>
        <v/>
      </c>
      <c r="J521">
        <f>-(G521+Inputs!$B$9)*E521</f>
        <v/>
      </c>
      <c r="K521">
        <f>IF(B521&lt;=INDEX(YieldCurve!$A$4:$A$63,1),-(INDEX(YieldCurve!$B$4:$B$63,1)+Inputs!$B$9)*B521,IF(B521&gt;=INDEX(YieldCurve!$A$4:$A$63,ROWS(YieldCurve!$A$4:$A$63)),-(INDEX(YieldCurve!$B$4:$B$63,ROWS(YieldCurve!$B$4:$B$63))+Inputs!$B$9)*B521,I521+H521*(J521-I521)))</f>
        <v/>
      </c>
      <c r="L521">
        <f>EXP(K521)</f>
        <v/>
      </c>
    </row>
    <row r="522">
      <c r="A522" t="n">
        <v>519</v>
      </c>
      <c r="B522">
        <f>A522/Inputs!$B$6</f>
        <v/>
      </c>
      <c r="C522">
        <f>IF(B522&lt;=INDEX(YieldCurve!$A$4:$A$63,1),1,IF(B522&gt;=INDEX(YieldCurve!$A$4:$A$63,ROWS(YieldCurve!$A$4:$A$63)),ROWS(YieldCurve!$A$4:$A$63)-1,MATCH(B522,YieldCurve!$A$4:$A$63,1)))</f>
        <v/>
      </c>
      <c r="D522">
        <f>INDEX(YieldCurve!$A$4:$A$63,C522)</f>
        <v/>
      </c>
      <c r="E522">
        <f>INDEX(YieldCurve!$A$4:$A$63,C522+1)</f>
        <v/>
      </c>
      <c r="F522">
        <f>INDEX(YieldCurve!$B$4:$B$63,C522)</f>
        <v/>
      </c>
      <c r="G522">
        <f>INDEX(YieldCurve!$B$4:$B$63,C522+1)</f>
        <v/>
      </c>
      <c r="H522">
        <f>IF(E522=D522,0,(B522-D522)/(E522-D522))</f>
        <v/>
      </c>
      <c r="I522">
        <f>-(F522+Inputs!$B$9)*D522</f>
        <v/>
      </c>
      <c r="J522">
        <f>-(G522+Inputs!$B$9)*E522</f>
        <v/>
      </c>
      <c r="K522">
        <f>IF(B522&lt;=INDEX(YieldCurve!$A$4:$A$63,1),-(INDEX(YieldCurve!$B$4:$B$63,1)+Inputs!$B$9)*B522,IF(B522&gt;=INDEX(YieldCurve!$A$4:$A$63,ROWS(YieldCurve!$A$4:$A$63)),-(INDEX(YieldCurve!$B$4:$B$63,ROWS(YieldCurve!$B$4:$B$63))+Inputs!$B$9)*B522,I522+H522*(J522-I522)))</f>
        <v/>
      </c>
      <c r="L522">
        <f>EXP(K522)</f>
        <v/>
      </c>
    </row>
    <row r="523">
      <c r="A523" t="n">
        <v>520</v>
      </c>
      <c r="B523">
        <f>A523/Inputs!$B$6</f>
        <v/>
      </c>
      <c r="C523">
        <f>IF(B523&lt;=INDEX(YieldCurve!$A$4:$A$63,1),1,IF(B523&gt;=INDEX(YieldCurve!$A$4:$A$63,ROWS(YieldCurve!$A$4:$A$63)),ROWS(YieldCurve!$A$4:$A$63)-1,MATCH(B523,YieldCurve!$A$4:$A$63,1)))</f>
        <v/>
      </c>
      <c r="D523">
        <f>INDEX(YieldCurve!$A$4:$A$63,C523)</f>
        <v/>
      </c>
      <c r="E523">
        <f>INDEX(YieldCurve!$A$4:$A$63,C523+1)</f>
        <v/>
      </c>
      <c r="F523">
        <f>INDEX(YieldCurve!$B$4:$B$63,C523)</f>
        <v/>
      </c>
      <c r="G523">
        <f>INDEX(YieldCurve!$B$4:$B$63,C523+1)</f>
        <v/>
      </c>
      <c r="H523">
        <f>IF(E523=D523,0,(B523-D523)/(E523-D523))</f>
        <v/>
      </c>
      <c r="I523">
        <f>-(F523+Inputs!$B$9)*D523</f>
        <v/>
      </c>
      <c r="J523">
        <f>-(G523+Inputs!$B$9)*E523</f>
        <v/>
      </c>
      <c r="K523">
        <f>IF(B523&lt;=INDEX(YieldCurve!$A$4:$A$63,1),-(INDEX(YieldCurve!$B$4:$B$63,1)+Inputs!$B$9)*B523,IF(B523&gt;=INDEX(YieldCurve!$A$4:$A$63,ROWS(YieldCurve!$A$4:$A$63)),-(INDEX(YieldCurve!$B$4:$B$63,ROWS(YieldCurve!$B$4:$B$63))+Inputs!$B$9)*B523,I523+H523*(J523-I523)))</f>
        <v/>
      </c>
      <c r="L523">
        <f>EXP(K523)</f>
        <v/>
      </c>
    </row>
    <row r="524">
      <c r="A524" t="n">
        <v>521</v>
      </c>
      <c r="B524">
        <f>A524/Inputs!$B$6</f>
        <v/>
      </c>
      <c r="C524">
        <f>IF(B524&lt;=INDEX(YieldCurve!$A$4:$A$63,1),1,IF(B524&gt;=INDEX(YieldCurve!$A$4:$A$63,ROWS(YieldCurve!$A$4:$A$63)),ROWS(YieldCurve!$A$4:$A$63)-1,MATCH(B524,YieldCurve!$A$4:$A$63,1)))</f>
        <v/>
      </c>
      <c r="D524">
        <f>INDEX(YieldCurve!$A$4:$A$63,C524)</f>
        <v/>
      </c>
      <c r="E524">
        <f>INDEX(YieldCurve!$A$4:$A$63,C524+1)</f>
        <v/>
      </c>
      <c r="F524">
        <f>INDEX(YieldCurve!$B$4:$B$63,C524)</f>
        <v/>
      </c>
      <c r="G524">
        <f>INDEX(YieldCurve!$B$4:$B$63,C524+1)</f>
        <v/>
      </c>
      <c r="H524">
        <f>IF(E524=D524,0,(B524-D524)/(E524-D524))</f>
        <v/>
      </c>
      <c r="I524">
        <f>-(F524+Inputs!$B$9)*D524</f>
        <v/>
      </c>
      <c r="J524">
        <f>-(G524+Inputs!$B$9)*E524</f>
        <v/>
      </c>
      <c r="K524">
        <f>IF(B524&lt;=INDEX(YieldCurve!$A$4:$A$63,1),-(INDEX(YieldCurve!$B$4:$B$63,1)+Inputs!$B$9)*B524,IF(B524&gt;=INDEX(YieldCurve!$A$4:$A$63,ROWS(YieldCurve!$A$4:$A$63)),-(INDEX(YieldCurve!$B$4:$B$63,ROWS(YieldCurve!$B$4:$B$63))+Inputs!$B$9)*B524,I524+H524*(J524-I524)))</f>
        <v/>
      </c>
      <c r="L524">
        <f>EXP(K524)</f>
        <v/>
      </c>
    </row>
    <row r="525">
      <c r="A525" t="n">
        <v>522</v>
      </c>
      <c r="B525">
        <f>A525/Inputs!$B$6</f>
        <v/>
      </c>
      <c r="C525">
        <f>IF(B525&lt;=INDEX(YieldCurve!$A$4:$A$63,1),1,IF(B525&gt;=INDEX(YieldCurve!$A$4:$A$63,ROWS(YieldCurve!$A$4:$A$63)),ROWS(YieldCurve!$A$4:$A$63)-1,MATCH(B525,YieldCurve!$A$4:$A$63,1)))</f>
        <v/>
      </c>
      <c r="D525">
        <f>INDEX(YieldCurve!$A$4:$A$63,C525)</f>
        <v/>
      </c>
      <c r="E525">
        <f>INDEX(YieldCurve!$A$4:$A$63,C525+1)</f>
        <v/>
      </c>
      <c r="F525">
        <f>INDEX(YieldCurve!$B$4:$B$63,C525)</f>
        <v/>
      </c>
      <c r="G525">
        <f>INDEX(YieldCurve!$B$4:$B$63,C525+1)</f>
        <v/>
      </c>
      <c r="H525">
        <f>IF(E525=D525,0,(B525-D525)/(E525-D525))</f>
        <v/>
      </c>
      <c r="I525">
        <f>-(F525+Inputs!$B$9)*D525</f>
        <v/>
      </c>
      <c r="J525">
        <f>-(G525+Inputs!$B$9)*E525</f>
        <v/>
      </c>
      <c r="K525">
        <f>IF(B525&lt;=INDEX(YieldCurve!$A$4:$A$63,1),-(INDEX(YieldCurve!$B$4:$B$63,1)+Inputs!$B$9)*B525,IF(B525&gt;=INDEX(YieldCurve!$A$4:$A$63,ROWS(YieldCurve!$A$4:$A$63)),-(INDEX(YieldCurve!$B$4:$B$63,ROWS(YieldCurve!$B$4:$B$63))+Inputs!$B$9)*B525,I525+H525*(J525-I525)))</f>
        <v/>
      </c>
      <c r="L525">
        <f>EXP(K525)</f>
        <v/>
      </c>
    </row>
    <row r="526">
      <c r="A526" t="n">
        <v>523</v>
      </c>
      <c r="B526">
        <f>A526/Inputs!$B$6</f>
        <v/>
      </c>
      <c r="C526">
        <f>IF(B526&lt;=INDEX(YieldCurve!$A$4:$A$63,1),1,IF(B526&gt;=INDEX(YieldCurve!$A$4:$A$63,ROWS(YieldCurve!$A$4:$A$63)),ROWS(YieldCurve!$A$4:$A$63)-1,MATCH(B526,YieldCurve!$A$4:$A$63,1)))</f>
        <v/>
      </c>
      <c r="D526">
        <f>INDEX(YieldCurve!$A$4:$A$63,C526)</f>
        <v/>
      </c>
      <c r="E526">
        <f>INDEX(YieldCurve!$A$4:$A$63,C526+1)</f>
        <v/>
      </c>
      <c r="F526">
        <f>INDEX(YieldCurve!$B$4:$B$63,C526)</f>
        <v/>
      </c>
      <c r="G526">
        <f>INDEX(YieldCurve!$B$4:$B$63,C526+1)</f>
        <v/>
      </c>
      <c r="H526">
        <f>IF(E526=D526,0,(B526-D526)/(E526-D526))</f>
        <v/>
      </c>
      <c r="I526">
        <f>-(F526+Inputs!$B$9)*D526</f>
        <v/>
      </c>
      <c r="J526">
        <f>-(G526+Inputs!$B$9)*E526</f>
        <v/>
      </c>
      <c r="K526">
        <f>IF(B526&lt;=INDEX(YieldCurve!$A$4:$A$63,1),-(INDEX(YieldCurve!$B$4:$B$63,1)+Inputs!$B$9)*B526,IF(B526&gt;=INDEX(YieldCurve!$A$4:$A$63,ROWS(YieldCurve!$A$4:$A$63)),-(INDEX(YieldCurve!$B$4:$B$63,ROWS(YieldCurve!$B$4:$B$63))+Inputs!$B$9)*B526,I526+H526*(J526-I526)))</f>
        <v/>
      </c>
      <c r="L526">
        <f>EXP(K526)</f>
        <v/>
      </c>
    </row>
    <row r="527">
      <c r="A527" t="n">
        <v>524</v>
      </c>
      <c r="B527">
        <f>A527/Inputs!$B$6</f>
        <v/>
      </c>
      <c r="C527">
        <f>IF(B527&lt;=INDEX(YieldCurve!$A$4:$A$63,1),1,IF(B527&gt;=INDEX(YieldCurve!$A$4:$A$63,ROWS(YieldCurve!$A$4:$A$63)),ROWS(YieldCurve!$A$4:$A$63)-1,MATCH(B527,YieldCurve!$A$4:$A$63,1)))</f>
        <v/>
      </c>
      <c r="D527">
        <f>INDEX(YieldCurve!$A$4:$A$63,C527)</f>
        <v/>
      </c>
      <c r="E527">
        <f>INDEX(YieldCurve!$A$4:$A$63,C527+1)</f>
        <v/>
      </c>
      <c r="F527">
        <f>INDEX(YieldCurve!$B$4:$B$63,C527)</f>
        <v/>
      </c>
      <c r="G527">
        <f>INDEX(YieldCurve!$B$4:$B$63,C527+1)</f>
        <v/>
      </c>
      <c r="H527">
        <f>IF(E527=D527,0,(B527-D527)/(E527-D527))</f>
        <v/>
      </c>
      <c r="I527">
        <f>-(F527+Inputs!$B$9)*D527</f>
        <v/>
      </c>
      <c r="J527">
        <f>-(G527+Inputs!$B$9)*E527</f>
        <v/>
      </c>
      <c r="K527">
        <f>IF(B527&lt;=INDEX(YieldCurve!$A$4:$A$63,1),-(INDEX(YieldCurve!$B$4:$B$63,1)+Inputs!$B$9)*B527,IF(B527&gt;=INDEX(YieldCurve!$A$4:$A$63,ROWS(YieldCurve!$A$4:$A$63)),-(INDEX(YieldCurve!$B$4:$B$63,ROWS(YieldCurve!$B$4:$B$63))+Inputs!$B$9)*B527,I527+H527*(J527-I527)))</f>
        <v/>
      </c>
      <c r="L527">
        <f>EXP(K527)</f>
        <v/>
      </c>
    </row>
    <row r="528">
      <c r="A528" t="n">
        <v>525</v>
      </c>
      <c r="B528">
        <f>A528/Inputs!$B$6</f>
        <v/>
      </c>
      <c r="C528">
        <f>IF(B528&lt;=INDEX(YieldCurve!$A$4:$A$63,1),1,IF(B528&gt;=INDEX(YieldCurve!$A$4:$A$63,ROWS(YieldCurve!$A$4:$A$63)),ROWS(YieldCurve!$A$4:$A$63)-1,MATCH(B528,YieldCurve!$A$4:$A$63,1)))</f>
        <v/>
      </c>
      <c r="D528">
        <f>INDEX(YieldCurve!$A$4:$A$63,C528)</f>
        <v/>
      </c>
      <c r="E528">
        <f>INDEX(YieldCurve!$A$4:$A$63,C528+1)</f>
        <v/>
      </c>
      <c r="F528">
        <f>INDEX(YieldCurve!$B$4:$B$63,C528)</f>
        <v/>
      </c>
      <c r="G528">
        <f>INDEX(YieldCurve!$B$4:$B$63,C528+1)</f>
        <v/>
      </c>
      <c r="H528">
        <f>IF(E528=D528,0,(B528-D528)/(E528-D528))</f>
        <v/>
      </c>
      <c r="I528">
        <f>-(F528+Inputs!$B$9)*D528</f>
        <v/>
      </c>
      <c r="J528">
        <f>-(G528+Inputs!$B$9)*E528</f>
        <v/>
      </c>
      <c r="K528">
        <f>IF(B528&lt;=INDEX(YieldCurve!$A$4:$A$63,1),-(INDEX(YieldCurve!$B$4:$B$63,1)+Inputs!$B$9)*B528,IF(B528&gt;=INDEX(YieldCurve!$A$4:$A$63,ROWS(YieldCurve!$A$4:$A$63)),-(INDEX(YieldCurve!$B$4:$B$63,ROWS(YieldCurve!$B$4:$B$63))+Inputs!$B$9)*B528,I528+H528*(J528-I528)))</f>
        <v/>
      </c>
      <c r="L528">
        <f>EXP(K528)</f>
        <v/>
      </c>
    </row>
    <row r="529">
      <c r="A529" t="n">
        <v>526</v>
      </c>
      <c r="B529">
        <f>A529/Inputs!$B$6</f>
        <v/>
      </c>
      <c r="C529">
        <f>IF(B529&lt;=INDEX(YieldCurve!$A$4:$A$63,1),1,IF(B529&gt;=INDEX(YieldCurve!$A$4:$A$63,ROWS(YieldCurve!$A$4:$A$63)),ROWS(YieldCurve!$A$4:$A$63)-1,MATCH(B529,YieldCurve!$A$4:$A$63,1)))</f>
        <v/>
      </c>
      <c r="D529">
        <f>INDEX(YieldCurve!$A$4:$A$63,C529)</f>
        <v/>
      </c>
      <c r="E529">
        <f>INDEX(YieldCurve!$A$4:$A$63,C529+1)</f>
        <v/>
      </c>
      <c r="F529">
        <f>INDEX(YieldCurve!$B$4:$B$63,C529)</f>
        <v/>
      </c>
      <c r="G529">
        <f>INDEX(YieldCurve!$B$4:$B$63,C529+1)</f>
        <v/>
      </c>
      <c r="H529">
        <f>IF(E529=D529,0,(B529-D529)/(E529-D529))</f>
        <v/>
      </c>
      <c r="I529">
        <f>-(F529+Inputs!$B$9)*D529</f>
        <v/>
      </c>
      <c r="J529">
        <f>-(G529+Inputs!$B$9)*E529</f>
        <v/>
      </c>
      <c r="K529">
        <f>IF(B529&lt;=INDEX(YieldCurve!$A$4:$A$63,1),-(INDEX(YieldCurve!$B$4:$B$63,1)+Inputs!$B$9)*B529,IF(B529&gt;=INDEX(YieldCurve!$A$4:$A$63,ROWS(YieldCurve!$A$4:$A$63)),-(INDEX(YieldCurve!$B$4:$B$63,ROWS(YieldCurve!$B$4:$B$63))+Inputs!$B$9)*B529,I529+H529*(J529-I529)))</f>
        <v/>
      </c>
      <c r="L529">
        <f>EXP(K529)</f>
        <v/>
      </c>
    </row>
    <row r="530">
      <c r="A530" t="n">
        <v>527</v>
      </c>
      <c r="B530">
        <f>A530/Inputs!$B$6</f>
        <v/>
      </c>
      <c r="C530">
        <f>IF(B530&lt;=INDEX(YieldCurve!$A$4:$A$63,1),1,IF(B530&gt;=INDEX(YieldCurve!$A$4:$A$63,ROWS(YieldCurve!$A$4:$A$63)),ROWS(YieldCurve!$A$4:$A$63)-1,MATCH(B530,YieldCurve!$A$4:$A$63,1)))</f>
        <v/>
      </c>
      <c r="D530">
        <f>INDEX(YieldCurve!$A$4:$A$63,C530)</f>
        <v/>
      </c>
      <c r="E530">
        <f>INDEX(YieldCurve!$A$4:$A$63,C530+1)</f>
        <v/>
      </c>
      <c r="F530">
        <f>INDEX(YieldCurve!$B$4:$B$63,C530)</f>
        <v/>
      </c>
      <c r="G530">
        <f>INDEX(YieldCurve!$B$4:$B$63,C530+1)</f>
        <v/>
      </c>
      <c r="H530">
        <f>IF(E530=D530,0,(B530-D530)/(E530-D530))</f>
        <v/>
      </c>
      <c r="I530">
        <f>-(F530+Inputs!$B$9)*D530</f>
        <v/>
      </c>
      <c r="J530">
        <f>-(G530+Inputs!$B$9)*E530</f>
        <v/>
      </c>
      <c r="K530">
        <f>IF(B530&lt;=INDEX(YieldCurve!$A$4:$A$63,1),-(INDEX(YieldCurve!$B$4:$B$63,1)+Inputs!$B$9)*B530,IF(B530&gt;=INDEX(YieldCurve!$A$4:$A$63,ROWS(YieldCurve!$A$4:$A$63)),-(INDEX(YieldCurve!$B$4:$B$63,ROWS(YieldCurve!$B$4:$B$63))+Inputs!$B$9)*B530,I530+H530*(J530-I530)))</f>
        <v/>
      </c>
      <c r="L530">
        <f>EXP(K530)</f>
        <v/>
      </c>
    </row>
    <row r="531">
      <c r="A531" t="n">
        <v>528</v>
      </c>
      <c r="B531">
        <f>A531/Inputs!$B$6</f>
        <v/>
      </c>
      <c r="C531">
        <f>IF(B531&lt;=INDEX(YieldCurve!$A$4:$A$63,1),1,IF(B531&gt;=INDEX(YieldCurve!$A$4:$A$63,ROWS(YieldCurve!$A$4:$A$63)),ROWS(YieldCurve!$A$4:$A$63)-1,MATCH(B531,YieldCurve!$A$4:$A$63,1)))</f>
        <v/>
      </c>
      <c r="D531">
        <f>INDEX(YieldCurve!$A$4:$A$63,C531)</f>
        <v/>
      </c>
      <c r="E531">
        <f>INDEX(YieldCurve!$A$4:$A$63,C531+1)</f>
        <v/>
      </c>
      <c r="F531">
        <f>INDEX(YieldCurve!$B$4:$B$63,C531)</f>
        <v/>
      </c>
      <c r="G531">
        <f>INDEX(YieldCurve!$B$4:$B$63,C531+1)</f>
        <v/>
      </c>
      <c r="H531">
        <f>IF(E531=D531,0,(B531-D531)/(E531-D531))</f>
        <v/>
      </c>
      <c r="I531">
        <f>-(F531+Inputs!$B$9)*D531</f>
        <v/>
      </c>
      <c r="J531">
        <f>-(G531+Inputs!$B$9)*E531</f>
        <v/>
      </c>
      <c r="K531">
        <f>IF(B531&lt;=INDEX(YieldCurve!$A$4:$A$63,1),-(INDEX(YieldCurve!$B$4:$B$63,1)+Inputs!$B$9)*B531,IF(B531&gt;=INDEX(YieldCurve!$A$4:$A$63,ROWS(YieldCurve!$A$4:$A$63)),-(INDEX(YieldCurve!$B$4:$B$63,ROWS(YieldCurve!$B$4:$B$63))+Inputs!$B$9)*B531,I531+H531*(J531-I531)))</f>
        <v/>
      </c>
      <c r="L531">
        <f>EXP(K531)</f>
        <v/>
      </c>
    </row>
    <row r="532">
      <c r="A532" t="n">
        <v>529</v>
      </c>
      <c r="B532">
        <f>A532/Inputs!$B$6</f>
        <v/>
      </c>
      <c r="C532">
        <f>IF(B532&lt;=INDEX(YieldCurve!$A$4:$A$63,1),1,IF(B532&gt;=INDEX(YieldCurve!$A$4:$A$63,ROWS(YieldCurve!$A$4:$A$63)),ROWS(YieldCurve!$A$4:$A$63)-1,MATCH(B532,YieldCurve!$A$4:$A$63,1)))</f>
        <v/>
      </c>
      <c r="D532">
        <f>INDEX(YieldCurve!$A$4:$A$63,C532)</f>
        <v/>
      </c>
      <c r="E532">
        <f>INDEX(YieldCurve!$A$4:$A$63,C532+1)</f>
        <v/>
      </c>
      <c r="F532">
        <f>INDEX(YieldCurve!$B$4:$B$63,C532)</f>
        <v/>
      </c>
      <c r="G532">
        <f>INDEX(YieldCurve!$B$4:$B$63,C532+1)</f>
        <v/>
      </c>
      <c r="H532">
        <f>IF(E532=D532,0,(B532-D532)/(E532-D532))</f>
        <v/>
      </c>
      <c r="I532">
        <f>-(F532+Inputs!$B$9)*D532</f>
        <v/>
      </c>
      <c r="J532">
        <f>-(G532+Inputs!$B$9)*E532</f>
        <v/>
      </c>
      <c r="K532">
        <f>IF(B532&lt;=INDEX(YieldCurve!$A$4:$A$63,1),-(INDEX(YieldCurve!$B$4:$B$63,1)+Inputs!$B$9)*B532,IF(B532&gt;=INDEX(YieldCurve!$A$4:$A$63,ROWS(YieldCurve!$A$4:$A$63)),-(INDEX(YieldCurve!$B$4:$B$63,ROWS(YieldCurve!$B$4:$B$63))+Inputs!$B$9)*B532,I532+H532*(J532-I532)))</f>
        <v/>
      </c>
      <c r="L532">
        <f>EXP(K532)</f>
        <v/>
      </c>
    </row>
    <row r="533">
      <c r="A533" t="n">
        <v>530</v>
      </c>
      <c r="B533">
        <f>A533/Inputs!$B$6</f>
        <v/>
      </c>
      <c r="C533">
        <f>IF(B533&lt;=INDEX(YieldCurve!$A$4:$A$63,1),1,IF(B533&gt;=INDEX(YieldCurve!$A$4:$A$63,ROWS(YieldCurve!$A$4:$A$63)),ROWS(YieldCurve!$A$4:$A$63)-1,MATCH(B533,YieldCurve!$A$4:$A$63,1)))</f>
        <v/>
      </c>
      <c r="D533">
        <f>INDEX(YieldCurve!$A$4:$A$63,C533)</f>
        <v/>
      </c>
      <c r="E533">
        <f>INDEX(YieldCurve!$A$4:$A$63,C533+1)</f>
        <v/>
      </c>
      <c r="F533">
        <f>INDEX(YieldCurve!$B$4:$B$63,C533)</f>
        <v/>
      </c>
      <c r="G533">
        <f>INDEX(YieldCurve!$B$4:$B$63,C533+1)</f>
        <v/>
      </c>
      <c r="H533">
        <f>IF(E533=D533,0,(B533-D533)/(E533-D533))</f>
        <v/>
      </c>
      <c r="I533">
        <f>-(F533+Inputs!$B$9)*D533</f>
        <v/>
      </c>
      <c r="J533">
        <f>-(G533+Inputs!$B$9)*E533</f>
        <v/>
      </c>
      <c r="K533">
        <f>IF(B533&lt;=INDEX(YieldCurve!$A$4:$A$63,1),-(INDEX(YieldCurve!$B$4:$B$63,1)+Inputs!$B$9)*B533,IF(B533&gt;=INDEX(YieldCurve!$A$4:$A$63,ROWS(YieldCurve!$A$4:$A$63)),-(INDEX(YieldCurve!$B$4:$B$63,ROWS(YieldCurve!$B$4:$B$63))+Inputs!$B$9)*B533,I533+H533*(J533-I533)))</f>
        <v/>
      </c>
      <c r="L533">
        <f>EXP(K533)</f>
        <v/>
      </c>
    </row>
    <row r="534">
      <c r="A534" t="n">
        <v>531</v>
      </c>
      <c r="B534">
        <f>A534/Inputs!$B$6</f>
        <v/>
      </c>
      <c r="C534">
        <f>IF(B534&lt;=INDEX(YieldCurve!$A$4:$A$63,1),1,IF(B534&gt;=INDEX(YieldCurve!$A$4:$A$63,ROWS(YieldCurve!$A$4:$A$63)),ROWS(YieldCurve!$A$4:$A$63)-1,MATCH(B534,YieldCurve!$A$4:$A$63,1)))</f>
        <v/>
      </c>
      <c r="D534">
        <f>INDEX(YieldCurve!$A$4:$A$63,C534)</f>
        <v/>
      </c>
      <c r="E534">
        <f>INDEX(YieldCurve!$A$4:$A$63,C534+1)</f>
        <v/>
      </c>
      <c r="F534">
        <f>INDEX(YieldCurve!$B$4:$B$63,C534)</f>
        <v/>
      </c>
      <c r="G534">
        <f>INDEX(YieldCurve!$B$4:$B$63,C534+1)</f>
        <v/>
      </c>
      <c r="H534">
        <f>IF(E534=D534,0,(B534-D534)/(E534-D534))</f>
        <v/>
      </c>
      <c r="I534">
        <f>-(F534+Inputs!$B$9)*D534</f>
        <v/>
      </c>
      <c r="J534">
        <f>-(G534+Inputs!$B$9)*E534</f>
        <v/>
      </c>
      <c r="K534">
        <f>IF(B534&lt;=INDEX(YieldCurve!$A$4:$A$63,1),-(INDEX(YieldCurve!$B$4:$B$63,1)+Inputs!$B$9)*B534,IF(B534&gt;=INDEX(YieldCurve!$A$4:$A$63,ROWS(YieldCurve!$A$4:$A$63)),-(INDEX(YieldCurve!$B$4:$B$63,ROWS(YieldCurve!$B$4:$B$63))+Inputs!$B$9)*B534,I534+H534*(J534-I534)))</f>
        <v/>
      </c>
      <c r="L534">
        <f>EXP(K534)</f>
        <v/>
      </c>
    </row>
    <row r="535">
      <c r="A535" t="n">
        <v>532</v>
      </c>
      <c r="B535">
        <f>A535/Inputs!$B$6</f>
        <v/>
      </c>
      <c r="C535">
        <f>IF(B535&lt;=INDEX(YieldCurve!$A$4:$A$63,1),1,IF(B535&gt;=INDEX(YieldCurve!$A$4:$A$63,ROWS(YieldCurve!$A$4:$A$63)),ROWS(YieldCurve!$A$4:$A$63)-1,MATCH(B535,YieldCurve!$A$4:$A$63,1)))</f>
        <v/>
      </c>
      <c r="D535">
        <f>INDEX(YieldCurve!$A$4:$A$63,C535)</f>
        <v/>
      </c>
      <c r="E535">
        <f>INDEX(YieldCurve!$A$4:$A$63,C535+1)</f>
        <v/>
      </c>
      <c r="F535">
        <f>INDEX(YieldCurve!$B$4:$B$63,C535)</f>
        <v/>
      </c>
      <c r="G535">
        <f>INDEX(YieldCurve!$B$4:$B$63,C535+1)</f>
        <v/>
      </c>
      <c r="H535">
        <f>IF(E535=D535,0,(B535-D535)/(E535-D535))</f>
        <v/>
      </c>
      <c r="I535">
        <f>-(F535+Inputs!$B$9)*D535</f>
        <v/>
      </c>
      <c r="J535">
        <f>-(G535+Inputs!$B$9)*E535</f>
        <v/>
      </c>
      <c r="K535">
        <f>IF(B535&lt;=INDEX(YieldCurve!$A$4:$A$63,1),-(INDEX(YieldCurve!$B$4:$B$63,1)+Inputs!$B$9)*B535,IF(B535&gt;=INDEX(YieldCurve!$A$4:$A$63,ROWS(YieldCurve!$A$4:$A$63)),-(INDEX(YieldCurve!$B$4:$B$63,ROWS(YieldCurve!$B$4:$B$63))+Inputs!$B$9)*B535,I535+H535*(J535-I535)))</f>
        <v/>
      </c>
      <c r="L535">
        <f>EXP(K535)</f>
        <v/>
      </c>
    </row>
    <row r="536">
      <c r="A536" t="n">
        <v>533</v>
      </c>
      <c r="B536">
        <f>A536/Inputs!$B$6</f>
        <v/>
      </c>
      <c r="C536">
        <f>IF(B536&lt;=INDEX(YieldCurve!$A$4:$A$63,1),1,IF(B536&gt;=INDEX(YieldCurve!$A$4:$A$63,ROWS(YieldCurve!$A$4:$A$63)),ROWS(YieldCurve!$A$4:$A$63)-1,MATCH(B536,YieldCurve!$A$4:$A$63,1)))</f>
        <v/>
      </c>
      <c r="D536">
        <f>INDEX(YieldCurve!$A$4:$A$63,C536)</f>
        <v/>
      </c>
      <c r="E536">
        <f>INDEX(YieldCurve!$A$4:$A$63,C536+1)</f>
        <v/>
      </c>
      <c r="F536">
        <f>INDEX(YieldCurve!$B$4:$B$63,C536)</f>
        <v/>
      </c>
      <c r="G536">
        <f>INDEX(YieldCurve!$B$4:$B$63,C536+1)</f>
        <v/>
      </c>
      <c r="H536">
        <f>IF(E536=D536,0,(B536-D536)/(E536-D536))</f>
        <v/>
      </c>
      <c r="I536">
        <f>-(F536+Inputs!$B$9)*D536</f>
        <v/>
      </c>
      <c r="J536">
        <f>-(G536+Inputs!$B$9)*E536</f>
        <v/>
      </c>
      <c r="K536">
        <f>IF(B536&lt;=INDEX(YieldCurve!$A$4:$A$63,1),-(INDEX(YieldCurve!$B$4:$B$63,1)+Inputs!$B$9)*B536,IF(B536&gt;=INDEX(YieldCurve!$A$4:$A$63,ROWS(YieldCurve!$A$4:$A$63)),-(INDEX(YieldCurve!$B$4:$B$63,ROWS(YieldCurve!$B$4:$B$63))+Inputs!$B$9)*B536,I536+H536*(J536-I536)))</f>
        <v/>
      </c>
      <c r="L536">
        <f>EXP(K536)</f>
        <v/>
      </c>
    </row>
    <row r="537">
      <c r="A537" t="n">
        <v>534</v>
      </c>
      <c r="B537">
        <f>A537/Inputs!$B$6</f>
        <v/>
      </c>
      <c r="C537">
        <f>IF(B537&lt;=INDEX(YieldCurve!$A$4:$A$63,1),1,IF(B537&gt;=INDEX(YieldCurve!$A$4:$A$63,ROWS(YieldCurve!$A$4:$A$63)),ROWS(YieldCurve!$A$4:$A$63)-1,MATCH(B537,YieldCurve!$A$4:$A$63,1)))</f>
        <v/>
      </c>
      <c r="D537">
        <f>INDEX(YieldCurve!$A$4:$A$63,C537)</f>
        <v/>
      </c>
      <c r="E537">
        <f>INDEX(YieldCurve!$A$4:$A$63,C537+1)</f>
        <v/>
      </c>
      <c r="F537">
        <f>INDEX(YieldCurve!$B$4:$B$63,C537)</f>
        <v/>
      </c>
      <c r="G537">
        <f>INDEX(YieldCurve!$B$4:$B$63,C537+1)</f>
        <v/>
      </c>
      <c r="H537">
        <f>IF(E537=D537,0,(B537-D537)/(E537-D537))</f>
        <v/>
      </c>
      <c r="I537">
        <f>-(F537+Inputs!$B$9)*D537</f>
        <v/>
      </c>
      <c r="J537">
        <f>-(G537+Inputs!$B$9)*E537</f>
        <v/>
      </c>
      <c r="K537">
        <f>IF(B537&lt;=INDEX(YieldCurve!$A$4:$A$63,1),-(INDEX(YieldCurve!$B$4:$B$63,1)+Inputs!$B$9)*B537,IF(B537&gt;=INDEX(YieldCurve!$A$4:$A$63,ROWS(YieldCurve!$A$4:$A$63)),-(INDEX(YieldCurve!$B$4:$B$63,ROWS(YieldCurve!$B$4:$B$63))+Inputs!$B$9)*B537,I537+H537*(J537-I537)))</f>
        <v/>
      </c>
      <c r="L537">
        <f>EXP(K537)</f>
        <v/>
      </c>
    </row>
    <row r="538">
      <c r="A538" t="n">
        <v>535</v>
      </c>
      <c r="B538">
        <f>A538/Inputs!$B$6</f>
        <v/>
      </c>
      <c r="C538">
        <f>IF(B538&lt;=INDEX(YieldCurve!$A$4:$A$63,1),1,IF(B538&gt;=INDEX(YieldCurve!$A$4:$A$63,ROWS(YieldCurve!$A$4:$A$63)),ROWS(YieldCurve!$A$4:$A$63)-1,MATCH(B538,YieldCurve!$A$4:$A$63,1)))</f>
        <v/>
      </c>
      <c r="D538">
        <f>INDEX(YieldCurve!$A$4:$A$63,C538)</f>
        <v/>
      </c>
      <c r="E538">
        <f>INDEX(YieldCurve!$A$4:$A$63,C538+1)</f>
        <v/>
      </c>
      <c r="F538">
        <f>INDEX(YieldCurve!$B$4:$B$63,C538)</f>
        <v/>
      </c>
      <c r="G538">
        <f>INDEX(YieldCurve!$B$4:$B$63,C538+1)</f>
        <v/>
      </c>
      <c r="H538">
        <f>IF(E538=D538,0,(B538-D538)/(E538-D538))</f>
        <v/>
      </c>
      <c r="I538">
        <f>-(F538+Inputs!$B$9)*D538</f>
        <v/>
      </c>
      <c r="J538">
        <f>-(G538+Inputs!$B$9)*E538</f>
        <v/>
      </c>
      <c r="K538">
        <f>IF(B538&lt;=INDEX(YieldCurve!$A$4:$A$63,1),-(INDEX(YieldCurve!$B$4:$B$63,1)+Inputs!$B$9)*B538,IF(B538&gt;=INDEX(YieldCurve!$A$4:$A$63,ROWS(YieldCurve!$A$4:$A$63)),-(INDEX(YieldCurve!$B$4:$B$63,ROWS(YieldCurve!$B$4:$B$63))+Inputs!$B$9)*B538,I538+H538*(J538-I538)))</f>
        <v/>
      </c>
      <c r="L538">
        <f>EXP(K538)</f>
        <v/>
      </c>
    </row>
    <row r="539">
      <c r="A539" t="n">
        <v>536</v>
      </c>
      <c r="B539">
        <f>A539/Inputs!$B$6</f>
        <v/>
      </c>
      <c r="C539">
        <f>IF(B539&lt;=INDEX(YieldCurve!$A$4:$A$63,1),1,IF(B539&gt;=INDEX(YieldCurve!$A$4:$A$63,ROWS(YieldCurve!$A$4:$A$63)),ROWS(YieldCurve!$A$4:$A$63)-1,MATCH(B539,YieldCurve!$A$4:$A$63,1)))</f>
        <v/>
      </c>
      <c r="D539">
        <f>INDEX(YieldCurve!$A$4:$A$63,C539)</f>
        <v/>
      </c>
      <c r="E539">
        <f>INDEX(YieldCurve!$A$4:$A$63,C539+1)</f>
        <v/>
      </c>
      <c r="F539">
        <f>INDEX(YieldCurve!$B$4:$B$63,C539)</f>
        <v/>
      </c>
      <c r="G539">
        <f>INDEX(YieldCurve!$B$4:$B$63,C539+1)</f>
        <v/>
      </c>
      <c r="H539">
        <f>IF(E539=D539,0,(B539-D539)/(E539-D539))</f>
        <v/>
      </c>
      <c r="I539">
        <f>-(F539+Inputs!$B$9)*D539</f>
        <v/>
      </c>
      <c r="J539">
        <f>-(G539+Inputs!$B$9)*E539</f>
        <v/>
      </c>
      <c r="K539">
        <f>IF(B539&lt;=INDEX(YieldCurve!$A$4:$A$63,1),-(INDEX(YieldCurve!$B$4:$B$63,1)+Inputs!$B$9)*B539,IF(B539&gt;=INDEX(YieldCurve!$A$4:$A$63,ROWS(YieldCurve!$A$4:$A$63)),-(INDEX(YieldCurve!$B$4:$B$63,ROWS(YieldCurve!$B$4:$B$63))+Inputs!$B$9)*B539,I539+H539*(J539-I539)))</f>
        <v/>
      </c>
      <c r="L539">
        <f>EXP(K539)</f>
        <v/>
      </c>
    </row>
    <row r="540">
      <c r="A540" t="n">
        <v>537</v>
      </c>
      <c r="B540">
        <f>A540/Inputs!$B$6</f>
        <v/>
      </c>
      <c r="C540">
        <f>IF(B540&lt;=INDEX(YieldCurve!$A$4:$A$63,1),1,IF(B540&gt;=INDEX(YieldCurve!$A$4:$A$63,ROWS(YieldCurve!$A$4:$A$63)),ROWS(YieldCurve!$A$4:$A$63)-1,MATCH(B540,YieldCurve!$A$4:$A$63,1)))</f>
        <v/>
      </c>
      <c r="D540">
        <f>INDEX(YieldCurve!$A$4:$A$63,C540)</f>
        <v/>
      </c>
      <c r="E540">
        <f>INDEX(YieldCurve!$A$4:$A$63,C540+1)</f>
        <v/>
      </c>
      <c r="F540">
        <f>INDEX(YieldCurve!$B$4:$B$63,C540)</f>
        <v/>
      </c>
      <c r="G540">
        <f>INDEX(YieldCurve!$B$4:$B$63,C540+1)</f>
        <v/>
      </c>
      <c r="H540">
        <f>IF(E540=D540,0,(B540-D540)/(E540-D540))</f>
        <v/>
      </c>
      <c r="I540">
        <f>-(F540+Inputs!$B$9)*D540</f>
        <v/>
      </c>
      <c r="J540">
        <f>-(G540+Inputs!$B$9)*E540</f>
        <v/>
      </c>
      <c r="K540">
        <f>IF(B540&lt;=INDEX(YieldCurve!$A$4:$A$63,1),-(INDEX(YieldCurve!$B$4:$B$63,1)+Inputs!$B$9)*B540,IF(B540&gt;=INDEX(YieldCurve!$A$4:$A$63,ROWS(YieldCurve!$A$4:$A$63)),-(INDEX(YieldCurve!$B$4:$B$63,ROWS(YieldCurve!$B$4:$B$63))+Inputs!$B$9)*B540,I540+H540*(J540-I540)))</f>
        <v/>
      </c>
      <c r="L540">
        <f>EXP(K540)</f>
        <v/>
      </c>
    </row>
    <row r="541">
      <c r="A541" t="n">
        <v>538</v>
      </c>
      <c r="B541">
        <f>A541/Inputs!$B$6</f>
        <v/>
      </c>
      <c r="C541">
        <f>IF(B541&lt;=INDEX(YieldCurve!$A$4:$A$63,1),1,IF(B541&gt;=INDEX(YieldCurve!$A$4:$A$63,ROWS(YieldCurve!$A$4:$A$63)),ROWS(YieldCurve!$A$4:$A$63)-1,MATCH(B541,YieldCurve!$A$4:$A$63,1)))</f>
        <v/>
      </c>
      <c r="D541">
        <f>INDEX(YieldCurve!$A$4:$A$63,C541)</f>
        <v/>
      </c>
      <c r="E541">
        <f>INDEX(YieldCurve!$A$4:$A$63,C541+1)</f>
        <v/>
      </c>
      <c r="F541">
        <f>INDEX(YieldCurve!$B$4:$B$63,C541)</f>
        <v/>
      </c>
      <c r="G541">
        <f>INDEX(YieldCurve!$B$4:$B$63,C541+1)</f>
        <v/>
      </c>
      <c r="H541">
        <f>IF(E541=D541,0,(B541-D541)/(E541-D541))</f>
        <v/>
      </c>
      <c r="I541">
        <f>-(F541+Inputs!$B$9)*D541</f>
        <v/>
      </c>
      <c r="J541">
        <f>-(G541+Inputs!$B$9)*E541</f>
        <v/>
      </c>
      <c r="K541">
        <f>IF(B541&lt;=INDEX(YieldCurve!$A$4:$A$63,1),-(INDEX(YieldCurve!$B$4:$B$63,1)+Inputs!$B$9)*B541,IF(B541&gt;=INDEX(YieldCurve!$A$4:$A$63,ROWS(YieldCurve!$A$4:$A$63)),-(INDEX(YieldCurve!$B$4:$B$63,ROWS(YieldCurve!$B$4:$B$63))+Inputs!$B$9)*B541,I541+H541*(J541-I541)))</f>
        <v/>
      </c>
      <c r="L541">
        <f>EXP(K541)</f>
        <v/>
      </c>
    </row>
    <row r="542">
      <c r="A542" t="n">
        <v>539</v>
      </c>
      <c r="B542">
        <f>A542/Inputs!$B$6</f>
        <v/>
      </c>
      <c r="C542">
        <f>IF(B542&lt;=INDEX(YieldCurve!$A$4:$A$63,1),1,IF(B542&gt;=INDEX(YieldCurve!$A$4:$A$63,ROWS(YieldCurve!$A$4:$A$63)),ROWS(YieldCurve!$A$4:$A$63)-1,MATCH(B542,YieldCurve!$A$4:$A$63,1)))</f>
        <v/>
      </c>
      <c r="D542">
        <f>INDEX(YieldCurve!$A$4:$A$63,C542)</f>
        <v/>
      </c>
      <c r="E542">
        <f>INDEX(YieldCurve!$A$4:$A$63,C542+1)</f>
        <v/>
      </c>
      <c r="F542">
        <f>INDEX(YieldCurve!$B$4:$B$63,C542)</f>
        <v/>
      </c>
      <c r="G542">
        <f>INDEX(YieldCurve!$B$4:$B$63,C542+1)</f>
        <v/>
      </c>
      <c r="H542">
        <f>IF(E542=D542,0,(B542-D542)/(E542-D542))</f>
        <v/>
      </c>
      <c r="I542">
        <f>-(F542+Inputs!$B$9)*D542</f>
        <v/>
      </c>
      <c r="J542">
        <f>-(G542+Inputs!$B$9)*E542</f>
        <v/>
      </c>
      <c r="K542">
        <f>IF(B542&lt;=INDEX(YieldCurve!$A$4:$A$63,1),-(INDEX(YieldCurve!$B$4:$B$63,1)+Inputs!$B$9)*B542,IF(B542&gt;=INDEX(YieldCurve!$A$4:$A$63,ROWS(YieldCurve!$A$4:$A$63)),-(INDEX(YieldCurve!$B$4:$B$63,ROWS(YieldCurve!$B$4:$B$63))+Inputs!$B$9)*B542,I542+H542*(J542-I542)))</f>
        <v/>
      </c>
      <c r="L542">
        <f>EXP(K542)</f>
        <v/>
      </c>
    </row>
    <row r="543">
      <c r="A543" t="n">
        <v>540</v>
      </c>
      <c r="B543">
        <f>A543/Inputs!$B$6</f>
        <v/>
      </c>
      <c r="C543">
        <f>IF(B543&lt;=INDEX(YieldCurve!$A$4:$A$63,1),1,IF(B543&gt;=INDEX(YieldCurve!$A$4:$A$63,ROWS(YieldCurve!$A$4:$A$63)),ROWS(YieldCurve!$A$4:$A$63)-1,MATCH(B543,YieldCurve!$A$4:$A$63,1)))</f>
        <v/>
      </c>
      <c r="D543">
        <f>INDEX(YieldCurve!$A$4:$A$63,C543)</f>
        <v/>
      </c>
      <c r="E543">
        <f>INDEX(YieldCurve!$A$4:$A$63,C543+1)</f>
        <v/>
      </c>
      <c r="F543">
        <f>INDEX(YieldCurve!$B$4:$B$63,C543)</f>
        <v/>
      </c>
      <c r="G543">
        <f>INDEX(YieldCurve!$B$4:$B$63,C543+1)</f>
        <v/>
      </c>
      <c r="H543">
        <f>IF(E543=D543,0,(B543-D543)/(E543-D543))</f>
        <v/>
      </c>
      <c r="I543">
        <f>-(F543+Inputs!$B$9)*D543</f>
        <v/>
      </c>
      <c r="J543">
        <f>-(G543+Inputs!$B$9)*E543</f>
        <v/>
      </c>
      <c r="K543">
        <f>IF(B543&lt;=INDEX(YieldCurve!$A$4:$A$63,1),-(INDEX(YieldCurve!$B$4:$B$63,1)+Inputs!$B$9)*B543,IF(B543&gt;=INDEX(YieldCurve!$A$4:$A$63,ROWS(YieldCurve!$A$4:$A$63)),-(INDEX(YieldCurve!$B$4:$B$63,ROWS(YieldCurve!$B$4:$B$63))+Inputs!$B$9)*B543,I543+H543*(J543-I543)))</f>
        <v/>
      </c>
      <c r="L543">
        <f>EXP(K543)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Index scenario: S&amp;P 500 proxy levels by payment month (illustrative unless replaced)</t>
        </is>
      </c>
    </row>
    <row r="3">
      <c r="A3" s="2" t="inlineStr">
        <is>
          <t>month</t>
        </is>
      </c>
      <c r="B3" s="2" t="inlineStr">
        <is>
          <t>sp500_level</t>
        </is>
      </c>
    </row>
    <row r="4">
      <c r="A4" t="n">
        <v>0</v>
      </c>
      <c r="B4" t="n">
        <v>5000</v>
      </c>
    </row>
    <row r="5">
      <c r="A5" t="n">
        <v>1</v>
      </c>
      <c r="B5" t="n">
        <v>5099.345466</v>
      </c>
    </row>
    <row r="6">
      <c r="A6" t="n">
        <v>2</v>
      </c>
      <c r="B6" t="n">
        <v>4887.482688</v>
      </c>
    </row>
    <row r="7">
      <c r="A7" t="n">
        <v>3</v>
      </c>
      <c r="B7" t="n">
        <v>5088.276862</v>
      </c>
    </row>
    <row r="8">
      <c r="A8" t="n">
        <v>4</v>
      </c>
      <c r="B8" t="n">
        <v>5344.040755</v>
      </c>
    </row>
    <row r="9">
      <c r="A9" t="n">
        <v>5</v>
      </c>
      <c r="B9" t="n">
        <v>4910.950989</v>
      </c>
    </row>
    <row r="10">
      <c r="A10" t="n">
        <v>6</v>
      </c>
      <c r="B10" t="n">
        <v>4650.257117</v>
      </c>
    </row>
    <row r="11">
      <c r="A11" t="n">
        <v>7</v>
      </c>
      <c r="B11" t="n">
        <v>4704.065842</v>
      </c>
    </row>
    <row r="12">
      <c r="A12" t="n">
        <v>8</v>
      </c>
      <c r="B12" t="n">
        <v>4661.888333</v>
      </c>
    </row>
    <row r="13">
      <c r="A13" t="n">
        <v>9</v>
      </c>
      <c r="B13" t="n">
        <v>4684.431556</v>
      </c>
    </row>
    <row r="14">
      <c r="A14" t="n">
        <v>10</v>
      </c>
      <c r="B14" t="n">
        <v>4528.741853</v>
      </c>
    </row>
    <row r="15">
      <c r="A15" t="n">
        <v>11</v>
      </c>
      <c r="B15" t="n">
        <v>4742.961914</v>
      </c>
    </row>
    <row r="16">
      <c r="A16" t="n">
        <v>12</v>
      </c>
      <c r="B16" t="n">
        <v>4944.058178</v>
      </c>
    </row>
    <row r="17">
      <c r="A17" t="n">
        <v>13</v>
      </c>
      <c r="B17" t="n">
        <v>4987.008918</v>
      </c>
    </row>
    <row r="18">
      <c r="A18" t="n">
        <v>14</v>
      </c>
      <c r="B18" t="n">
        <v>5283.038237</v>
      </c>
    </row>
    <row r="19">
      <c r="A19" t="n">
        <v>15</v>
      </c>
      <c r="B19" t="n">
        <v>5428.672818</v>
      </c>
    </row>
    <row r="20">
      <c r="A20" t="n">
        <v>16</v>
      </c>
      <c r="B20" t="n">
        <v>5246.733375</v>
      </c>
    </row>
    <row r="21">
      <c r="A21" t="n">
        <v>17</v>
      </c>
      <c r="B21" t="n">
        <v>5366.830645</v>
      </c>
    </row>
    <row r="22">
      <c r="A22" t="n">
        <v>18</v>
      </c>
      <c r="B22" t="n">
        <v>5163.159238</v>
      </c>
    </row>
    <row r="23">
      <c r="A23" t="n">
        <v>19</v>
      </c>
      <c r="B23" t="n">
        <v>5407.15204</v>
      </c>
    </row>
    <row r="24">
      <c r="A24" t="n">
        <v>20</v>
      </c>
      <c r="B24" t="n">
        <v>5424.99268</v>
      </c>
    </row>
    <row r="25">
      <c r="A25" t="n">
        <v>21</v>
      </c>
      <c r="B25" t="n">
        <v>5409.075133</v>
      </c>
    </row>
    <row r="26">
      <c r="A26" t="n">
        <v>22</v>
      </c>
      <c r="B26" t="n">
        <v>5271.038146</v>
      </c>
    </row>
    <row r="27">
      <c r="A27" t="n">
        <v>23</v>
      </c>
      <c r="B27" t="n">
        <v>5608.560552</v>
      </c>
    </row>
    <row r="28">
      <c r="A28" t="n">
        <v>24</v>
      </c>
      <c r="B28" t="n">
        <v>5599.944513</v>
      </c>
    </row>
    <row r="29">
      <c r="A29" t="n">
        <v>25</v>
      </c>
      <c r="B29" t="n">
        <v>5521.077689</v>
      </c>
    </row>
    <row r="30">
      <c r="A30" t="n">
        <v>26</v>
      </c>
      <c r="B30" t="n">
        <v>5462.511811</v>
      </c>
    </row>
    <row r="31">
      <c r="A31" t="n">
        <v>27</v>
      </c>
      <c r="B31" t="n">
        <v>5629.918865</v>
      </c>
    </row>
    <row r="32">
      <c r="A32" t="n">
        <v>28</v>
      </c>
      <c r="B32" t="n">
        <v>5757.90774</v>
      </c>
    </row>
    <row r="33">
      <c r="A33" t="n">
        <v>29</v>
      </c>
      <c r="B33" t="n">
        <v>5901.682454</v>
      </c>
    </row>
    <row r="34">
      <c r="A34" t="n">
        <v>30</v>
      </c>
      <c r="B34" t="n">
        <v>6054.103107</v>
      </c>
    </row>
    <row r="35">
      <c r="A35" t="n">
        <v>31</v>
      </c>
      <c r="B35" t="n">
        <v>6721.119327</v>
      </c>
    </row>
    <row r="36">
      <c r="A36" t="n">
        <v>32</v>
      </c>
      <c r="B36" t="n">
        <v>6633.172534</v>
      </c>
    </row>
    <row r="37">
      <c r="A37" t="n">
        <v>33</v>
      </c>
      <c r="B37" t="n">
        <v>6514.456104</v>
      </c>
    </row>
    <row r="38">
      <c r="A38" t="n">
        <v>34</v>
      </c>
      <c r="B38" t="n">
        <v>6309.378461</v>
      </c>
    </row>
    <row r="39">
      <c r="A39" t="n">
        <v>35</v>
      </c>
      <c r="B39" t="n">
        <v>6527.917906</v>
      </c>
    </row>
    <row r="40">
      <c r="A40" t="n">
        <v>36</v>
      </c>
      <c r="B40" t="n">
        <v>6915.968676</v>
      </c>
    </row>
    <row r="41">
      <c r="A41" t="n">
        <v>37</v>
      </c>
      <c r="B41" t="n">
        <v>6918.299697</v>
      </c>
    </row>
    <row r="42">
      <c r="A42" t="n">
        <v>38</v>
      </c>
      <c r="B42" t="n">
        <v>6692.348544</v>
      </c>
    </row>
    <row r="43">
      <c r="A43" t="n">
        <v>39</v>
      </c>
      <c r="B43" t="n">
        <v>6478.465711</v>
      </c>
    </row>
    <row r="44">
      <c r="A44" t="n">
        <v>40</v>
      </c>
      <c r="B44" t="n">
        <v>6713.58646</v>
      </c>
    </row>
    <row r="45">
      <c r="A45" t="n">
        <v>41</v>
      </c>
      <c r="B45" t="n">
        <v>6987.080093</v>
      </c>
    </row>
    <row r="46">
      <c r="A46" t="n">
        <v>42</v>
      </c>
      <c r="B46" t="n">
        <v>7204.817963</v>
      </c>
    </row>
    <row r="47">
      <c r="A47" t="n">
        <v>43</v>
      </c>
      <c r="B47" t="n">
        <v>7025.956672</v>
      </c>
    </row>
    <row r="48">
      <c r="A48" t="n">
        <v>44</v>
      </c>
      <c r="B48" t="n">
        <v>7141.582991</v>
      </c>
    </row>
    <row r="49">
      <c r="A49" t="n">
        <v>45</v>
      </c>
      <c r="B49" t="n">
        <v>7220.498146</v>
      </c>
    </row>
    <row r="50">
      <c r="A50" t="n">
        <v>46</v>
      </c>
      <c r="B50" t="n">
        <v>7334.760354</v>
      </c>
    </row>
    <row r="51">
      <c r="A51" t="n">
        <v>47</v>
      </c>
      <c r="B51" t="n">
        <v>7678.884665</v>
      </c>
    </row>
    <row r="52">
      <c r="A52" t="n">
        <v>48</v>
      </c>
      <c r="B52" t="n">
        <v>7802.168803</v>
      </c>
    </row>
    <row r="53">
      <c r="A53" t="n">
        <v>49</v>
      </c>
      <c r="B53" t="n">
        <v>8095.913441</v>
      </c>
    </row>
    <row r="54">
      <c r="A54" t="n">
        <v>50</v>
      </c>
      <c r="B54" t="n">
        <v>8166.829476</v>
      </c>
    </row>
    <row r="55">
      <c r="A55" t="n">
        <v>51</v>
      </c>
      <c r="B55" t="n">
        <v>8323.098634</v>
      </c>
    </row>
    <row r="56">
      <c r="A56" t="n">
        <v>52</v>
      </c>
      <c r="B56" t="n">
        <v>8617.478906</v>
      </c>
    </row>
    <row r="57">
      <c r="A57" t="n">
        <v>53</v>
      </c>
      <c r="B57" t="n">
        <v>8101.825667</v>
      </c>
    </row>
    <row r="58">
      <c r="A58" t="n">
        <v>54</v>
      </c>
      <c r="B58" t="n">
        <v>8027.911815</v>
      </c>
    </row>
    <row r="59">
      <c r="A59" t="n">
        <v>55</v>
      </c>
      <c r="B59" t="n">
        <v>7899.495242</v>
      </c>
    </row>
    <row r="60">
      <c r="A60" t="n">
        <v>56</v>
      </c>
      <c r="B60" t="n">
        <v>7712.869984</v>
      </c>
    </row>
    <row r="61">
      <c r="A61" t="n">
        <v>57</v>
      </c>
      <c r="B61" t="n">
        <v>7658.23917</v>
      </c>
    </row>
    <row r="62">
      <c r="A62" t="n">
        <v>58</v>
      </c>
      <c r="B62" t="n">
        <v>8251.792631</v>
      </c>
    </row>
    <row r="63">
      <c r="A63" t="n">
        <v>59</v>
      </c>
      <c r="B63" t="n">
        <v>7972.829425</v>
      </c>
    </row>
    <row r="64">
      <c r="A64" t="n">
        <v>60</v>
      </c>
      <c r="B64" t="n">
        <v>8384.311664999999</v>
      </c>
    </row>
    <row r="65">
      <c r="A65" t="n">
        <v>61</v>
      </c>
      <c r="B65" t="n">
        <v>7800.859153</v>
      </c>
    </row>
    <row r="66">
      <c r="A66" t="n">
        <v>62</v>
      </c>
      <c r="B66" t="n">
        <v>7724.261337</v>
      </c>
    </row>
    <row r="67">
      <c r="A67" t="n">
        <v>63</v>
      </c>
      <c r="B67" t="n">
        <v>7826.249784</v>
      </c>
    </row>
    <row r="68">
      <c r="A68" t="n">
        <v>64</v>
      </c>
      <c r="B68" t="n">
        <v>8086.207966</v>
      </c>
    </row>
    <row r="69">
      <c r="A69" t="n">
        <v>65</v>
      </c>
      <c r="B69" t="n">
        <v>8403.178598</v>
      </c>
    </row>
    <row r="70">
      <c r="A70" t="n">
        <v>66</v>
      </c>
      <c r="B70" t="n">
        <v>8765.759604000001</v>
      </c>
    </row>
    <row r="71">
      <c r="A71" t="n">
        <v>67</v>
      </c>
      <c r="B71" t="n">
        <v>8674.140619</v>
      </c>
    </row>
    <row r="72">
      <c r="A72" t="n">
        <v>68</v>
      </c>
      <c r="B72" t="n">
        <v>8538.549471</v>
      </c>
    </row>
    <row r="73">
      <c r="A73" t="n">
        <v>69</v>
      </c>
      <c r="B73" t="n">
        <v>8933.599120999999</v>
      </c>
    </row>
    <row r="74">
      <c r="A74" t="n">
        <v>70</v>
      </c>
      <c r="B74" t="n">
        <v>8904.737001</v>
      </c>
    </row>
    <row r="75">
      <c r="A75" t="n">
        <v>71</v>
      </c>
      <c r="B75" t="n">
        <v>8442.360546</v>
      </c>
    </row>
    <row r="76">
      <c r="A76" t="n">
        <v>72</v>
      </c>
      <c r="B76" t="n">
        <v>8056.809712</v>
      </c>
    </row>
    <row r="77">
      <c r="A77" t="n">
        <v>73</v>
      </c>
      <c r="B77" t="n">
        <v>7765.182652</v>
      </c>
    </row>
    <row r="78">
      <c r="A78" t="n">
        <v>74</v>
      </c>
      <c r="B78" t="n">
        <v>7990.176503</v>
      </c>
    </row>
    <row r="79">
      <c r="A79" t="n">
        <v>75</v>
      </c>
      <c r="B79" t="n">
        <v>8088.078707</v>
      </c>
    </row>
    <row r="80">
      <c r="A80" t="n">
        <v>76</v>
      </c>
      <c r="B80" t="n">
        <v>8397.074449</v>
      </c>
    </row>
    <row r="81">
      <c r="A81" t="n">
        <v>77</v>
      </c>
      <c r="B81" t="n">
        <v>8279.22538</v>
      </c>
    </row>
    <row r="82">
      <c r="A82" t="n">
        <v>78</v>
      </c>
      <c r="B82" t="n">
        <v>8386.909065</v>
      </c>
    </row>
    <row r="83">
      <c r="A83" t="n">
        <v>79</v>
      </c>
      <c r="B83" t="n">
        <v>8681.261291000001</v>
      </c>
    </row>
    <row r="84">
      <c r="A84" t="n">
        <v>80</v>
      </c>
      <c r="B84" t="n">
        <v>8606.164283</v>
      </c>
    </row>
    <row r="85">
      <c r="A85" t="n">
        <v>81</v>
      </c>
      <c r="B85" t="n">
        <v>8839.022274000001</v>
      </c>
    </row>
    <row r="86">
      <c r="A86" t="n">
        <v>82</v>
      </c>
      <c r="B86" t="n">
        <v>8621.018373000001</v>
      </c>
    </row>
    <row r="87">
      <c r="A87" t="n">
        <v>83</v>
      </c>
      <c r="B87" t="n">
        <v>8525.268169999999</v>
      </c>
    </row>
    <row r="88">
      <c r="A88" t="n">
        <v>84</v>
      </c>
      <c r="B88" t="n">
        <v>8423.309148</v>
      </c>
    </row>
    <row r="89">
      <c r="A89" t="n">
        <v>85</v>
      </c>
      <c r="B89" t="n">
        <v>8015.436894</v>
      </c>
    </row>
    <row r="90">
      <c r="A90" t="n">
        <v>86</v>
      </c>
      <c r="B90" t="n">
        <v>8243.801541000001</v>
      </c>
    </row>
    <row r="91">
      <c r="A91" t="n">
        <v>87</v>
      </c>
      <c r="B91" t="n">
        <v>8112.295099</v>
      </c>
    </row>
    <row r="92">
      <c r="A92" t="n">
        <v>88</v>
      </c>
      <c r="B92" t="n">
        <v>8162.56047</v>
      </c>
    </row>
    <row r="93">
      <c r="A93" t="n">
        <v>89</v>
      </c>
      <c r="B93" t="n">
        <v>8392.703017</v>
      </c>
    </row>
    <row r="94">
      <c r="A94" t="n">
        <v>90</v>
      </c>
      <c r="B94" t="n">
        <v>8615.707850000001</v>
      </c>
    </row>
    <row r="95">
      <c r="A95" t="n">
        <v>91</v>
      </c>
      <c r="B95" t="n">
        <v>8934.497015000001</v>
      </c>
    </row>
    <row r="96">
      <c r="A96" t="n">
        <v>92</v>
      </c>
      <c r="B96" t="n">
        <v>8943.893452</v>
      </c>
    </row>
    <row r="97">
      <c r="A97" t="n">
        <v>93</v>
      </c>
      <c r="B97" t="n">
        <v>8819.98079</v>
      </c>
    </row>
    <row r="98">
      <c r="A98" t="n">
        <v>94</v>
      </c>
      <c r="B98" t="n">
        <v>8836.913513</v>
      </c>
    </row>
    <row r="99">
      <c r="A99" t="n">
        <v>95</v>
      </c>
      <c r="B99" t="n">
        <v>8220.269762</v>
      </c>
    </row>
    <row r="100">
      <c r="A100" t="n">
        <v>96</v>
      </c>
      <c r="B100" t="n">
        <v>7731.970641</v>
      </c>
    </row>
    <row r="101">
      <c r="A101" t="n">
        <v>97</v>
      </c>
      <c r="B101" t="n">
        <v>7314.589286</v>
      </c>
    </row>
    <row r="102">
      <c r="A102" t="n">
        <v>98</v>
      </c>
      <c r="B102" t="n">
        <v>7024.542076</v>
      </c>
    </row>
    <row r="103">
      <c r="A103" t="n">
        <v>99</v>
      </c>
      <c r="B103" t="n">
        <v>7195.636558</v>
      </c>
    </row>
    <row r="104">
      <c r="A104" t="n">
        <v>100</v>
      </c>
      <c r="B104" t="n">
        <v>6939.6582</v>
      </c>
    </row>
    <row r="105">
      <c r="A105" t="n">
        <v>101</v>
      </c>
      <c r="B105" t="n">
        <v>6857.794869</v>
      </c>
    </row>
    <row r="106">
      <c r="A106" t="n">
        <v>102</v>
      </c>
      <c r="B106" t="n">
        <v>7322.814342</v>
      </c>
    </row>
    <row r="107">
      <c r="A107" t="n">
        <v>103</v>
      </c>
      <c r="B107" t="n">
        <v>7243.754136</v>
      </c>
    </row>
    <row r="108">
      <c r="A108" t="n">
        <v>104</v>
      </c>
      <c r="B108" t="n">
        <v>7536.847447</v>
      </c>
    </row>
    <row r="109">
      <c r="A109" t="n">
        <v>105</v>
      </c>
      <c r="B109" t="n">
        <v>7259.290019</v>
      </c>
    </row>
    <row r="110">
      <c r="A110" t="n">
        <v>106</v>
      </c>
      <c r="B110" t="n">
        <v>7231.115241</v>
      </c>
    </row>
    <row r="111">
      <c r="A111" t="n">
        <v>107</v>
      </c>
      <c r="B111" t="n">
        <v>6959.541788</v>
      </c>
    </row>
    <row r="112">
      <c r="A112" t="n">
        <v>108</v>
      </c>
      <c r="B112" t="n">
        <v>6889.884835</v>
      </c>
    </row>
    <row r="113">
      <c r="A113" t="n">
        <v>109</v>
      </c>
      <c r="B113" t="n">
        <v>7202.776239</v>
      </c>
    </row>
    <row r="114">
      <c r="A114" t="n">
        <v>110</v>
      </c>
      <c r="B114" t="n">
        <v>6687.800378</v>
      </c>
    </row>
    <row r="115">
      <c r="A115" t="n">
        <v>111</v>
      </c>
      <c r="B115" t="n">
        <v>6861.665497</v>
      </c>
    </row>
    <row r="116">
      <c r="A116" t="n">
        <v>112</v>
      </c>
      <c r="B116" t="n">
        <v>6976.384016</v>
      </c>
    </row>
    <row r="117">
      <c r="A117" t="n">
        <v>113</v>
      </c>
      <c r="B117" t="n">
        <v>6825.653738</v>
      </c>
    </row>
    <row r="118">
      <c r="A118" t="n">
        <v>114</v>
      </c>
      <c r="B118" t="n">
        <v>6420.51011</v>
      </c>
    </row>
    <row r="119">
      <c r="A119" t="n">
        <v>115</v>
      </c>
      <c r="B119" t="n">
        <v>6478.111873</v>
      </c>
    </row>
    <row r="120">
      <c r="A120" t="n">
        <v>116</v>
      </c>
      <c r="B120" t="n">
        <v>6357.10363</v>
      </c>
    </row>
    <row r="121">
      <c r="A121" t="n">
        <v>117</v>
      </c>
      <c r="B121" t="n">
        <v>6461.876293</v>
      </c>
    </row>
    <row r="122">
      <c r="A122" t="n">
        <v>118</v>
      </c>
      <c r="B122" t="n">
        <v>6504.726268</v>
      </c>
    </row>
    <row r="123">
      <c r="A123" t="n">
        <v>119</v>
      </c>
      <c r="B123" t="n">
        <v>7043.548058</v>
      </c>
    </row>
    <row r="124">
      <c r="A124" t="n">
        <v>120</v>
      </c>
      <c r="B124" t="n">
        <v>7005.227568</v>
      </c>
    </row>
    <row r="125">
      <c r="A125" t="n">
        <v>121</v>
      </c>
      <c r="B125" t="n">
        <v>6719.295694</v>
      </c>
    </row>
    <row r="126">
      <c r="A126" t="n">
        <v>122</v>
      </c>
      <c r="B126" t="n">
        <v>6813.21241</v>
      </c>
    </row>
    <row r="127">
      <c r="A127" t="n">
        <v>123</v>
      </c>
      <c r="B127" t="n">
        <v>6921.447611</v>
      </c>
    </row>
    <row r="128">
      <c r="A128" t="n">
        <v>124</v>
      </c>
      <c r="B128" t="n">
        <v>7411.279712</v>
      </c>
    </row>
    <row r="129">
      <c r="A129" t="n">
        <v>125</v>
      </c>
      <c r="B129" t="n">
        <v>7745.989777</v>
      </c>
    </row>
    <row r="130">
      <c r="A130" t="n">
        <v>126</v>
      </c>
      <c r="B130" t="n">
        <v>7918.948481</v>
      </c>
    </row>
    <row r="131">
      <c r="A131" t="n">
        <v>127</v>
      </c>
      <c r="B131" t="n">
        <v>8520.248396000001</v>
      </c>
    </row>
    <row r="132">
      <c r="A132" t="n">
        <v>128</v>
      </c>
      <c r="B132" t="n">
        <v>8110.332624</v>
      </c>
    </row>
    <row r="133">
      <c r="A133" t="n">
        <v>129</v>
      </c>
      <c r="B133" t="n">
        <v>7918.406798</v>
      </c>
    </row>
    <row r="134">
      <c r="A134" t="n">
        <v>130</v>
      </c>
      <c r="B134" t="n">
        <v>7629.278762</v>
      </c>
    </row>
    <row r="135">
      <c r="A135" t="n">
        <v>131</v>
      </c>
      <c r="B135" t="n">
        <v>7535.225591</v>
      </c>
    </row>
    <row r="136">
      <c r="A136" t="n">
        <v>132</v>
      </c>
      <c r="B136" t="n">
        <v>7110.71187</v>
      </c>
    </row>
    <row r="137">
      <c r="A137" t="n">
        <v>133</v>
      </c>
      <c r="B137" t="n">
        <v>7363.524768</v>
      </c>
    </row>
    <row r="138">
      <c r="A138" t="n">
        <v>134</v>
      </c>
      <c r="B138" t="n">
        <v>7329.261058</v>
      </c>
    </row>
    <row r="139">
      <c r="A139" t="n">
        <v>135</v>
      </c>
      <c r="B139" t="n">
        <v>6886.349146</v>
      </c>
    </row>
    <row r="140">
      <c r="A140" t="n">
        <v>136</v>
      </c>
      <c r="B140" t="n">
        <v>6607.685748</v>
      </c>
    </row>
    <row r="141">
      <c r="A141" t="n">
        <v>137</v>
      </c>
      <c r="B141" t="n">
        <v>6741.713109</v>
      </c>
    </row>
    <row r="142">
      <c r="A142" t="n">
        <v>138</v>
      </c>
      <c r="B142" t="n">
        <v>7047.165443</v>
      </c>
    </row>
    <row r="143">
      <c r="A143" t="n">
        <v>139</v>
      </c>
      <c r="B143" t="n">
        <v>7771.401494</v>
      </c>
    </row>
    <row r="144">
      <c r="A144" t="n">
        <v>140</v>
      </c>
      <c r="B144" t="n">
        <v>8940.898279999999</v>
      </c>
    </row>
    <row r="145">
      <c r="A145" t="n">
        <v>141</v>
      </c>
      <c r="B145" t="n">
        <v>9164.861916</v>
      </c>
    </row>
    <row r="146">
      <c r="A146" t="n">
        <v>142</v>
      </c>
      <c r="B146" t="n">
        <v>8804.579701000001</v>
      </c>
    </row>
    <row r="147">
      <c r="A147" t="n">
        <v>143</v>
      </c>
      <c r="B147" t="n">
        <v>8023.678698</v>
      </c>
    </row>
    <row r="148">
      <c r="A148" t="n">
        <v>144</v>
      </c>
      <c r="B148" t="n">
        <v>8169.127173</v>
      </c>
    </row>
    <row r="149">
      <c r="A149" t="n">
        <v>145</v>
      </c>
      <c r="B149" t="n">
        <v>7912.26375</v>
      </c>
    </row>
    <row r="150">
      <c r="A150" t="n">
        <v>146</v>
      </c>
      <c r="B150" t="n">
        <v>7805.506133</v>
      </c>
    </row>
    <row r="151">
      <c r="A151" t="n">
        <v>147</v>
      </c>
      <c r="B151" t="n">
        <v>7630.534223</v>
      </c>
    </row>
    <row r="152">
      <c r="A152" t="n">
        <v>148</v>
      </c>
      <c r="B152" t="n">
        <v>7623.648085</v>
      </c>
    </row>
    <row r="153">
      <c r="A153" t="n">
        <v>149</v>
      </c>
      <c r="B153" t="n">
        <v>8053.36909</v>
      </c>
    </row>
    <row r="154">
      <c r="A154" t="n">
        <v>150</v>
      </c>
      <c r="B154" t="n">
        <v>8157.553329</v>
      </c>
    </row>
    <row r="155">
      <c r="A155" t="n">
        <v>151</v>
      </c>
      <c r="B155" t="n">
        <v>8143.477155</v>
      </c>
    </row>
    <row r="156">
      <c r="A156" t="n">
        <v>152</v>
      </c>
      <c r="B156" t="n">
        <v>7806.700941</v>
      </c>
    </row>
    <row r="157">
      <c r="A157" t="n">
        <v>153</v>
      </c>
      <c r="B157" t="n">
        <v>7266.19062</v>
      </c>
    </row>
    <row r="158">
      <c r="A158" t="n">
        <v>154</v>
      </c>
      <c r="B158" t="n">
        <v>7144.698176</v>
      </c>
    </row>
    <row r="159">
      <c r="A159" t="n">
        <v>155</v>
      </c>
      <c r="B159" t="n">
        <v>7166.994991</v>
      </c>
    </row>
    <row r="160">
      <c r="A160" t="n">
        <v>156</v>
      </c>
      <c r="B160" t="n">
        <v>7820.462086</v>
      </c>
    </row>
    <row r="161">
      <c r="A161" t="n">
        <v>157</v>
      </c>
      <c r="B161" t="n">
        <v>7911.843115</v>
      </c>
    </row>
    <row r="162">
      <c r="A162" t="n">
        <v>158</v>
      </c>
      <c r="B162" t="n">
        <v>8325.736989000001</v>
      </c>
    </row>
    <row r="163">
      <c r="A163" t="n">
        <v>159</v>
      </c>
      <c r="B163" t="n">
        <v>8181.619249</v>
      </c>
    </row>
    <row r="164">
      <c r="A164" t="n">
        <v>160</v>
      </c>
      <c r="B164" t="n">
        <v>7789.369154</v>
      </c>
    </row>
    <row r="165">
      <c r="A165" t="n">
        <v>161</v>
      </c>
      <c r="B165" t="n">
        <v>7491.604858</v>
      </c>
    </row>
    <row r="166">
      <c r="A166" t="n">
        <v>162</v>
      </c>
      <c r="B166" t="n">
        <v>7285.50155</v>
      </c>
    </row>
    <row r="167">
      <c r="A167" t="n">
        <v>163</v>
      </c>
      <c r="B167" t="n">
        <v>8083.266738</v>
      </c>
    </row>
    <row r="168">
      <c r="A168" t="n">
        <v>164</v>
      </c>
      <c r="B168" t="n">
        <v>7826.049622</v>
      </c>
    </row>
    <row r="169">
      <c r="A169" t="n">
        <v>165</v>
      </c>
      <c r="B169" t="n">
        <v>8180.767902</v>
      </c>
    </row>
    <row r="170">
      <c r="A170" t="n">
        <v>166</v>
      </c>
      <c r="B170" t="n">
        <v>7890.674363</v>
      </c>
    </row>
    <row r="171">
      <c r="A171" t="n">
        <v>167</v>
      </c>
      <c r="B171" t="n">
        <v>8283.860604</v>
      </c>
    </row>
    <row r="172">
      <c r="A172" t="n">
        <v>168</v>
      </c>
      <c r="B172" t="n">
        <v>8479.820141</v>
      </c>
    </row>
    <row r="173">
      <c r="A173" t="n">
        <v>169</v>
      </c>
      <c r="B173" t="n">
        <v>8465.968702</v>
      </c>
    </row>
    <row r="174">
      <c r="A174" t="n">
        <v>170</v>
      </c>
      <c r="B174" t="n">
        <v>8497.497469</v>
      </c>
    </row>
    <row r="175">
      <c r="A175" t="n">
        <v>171</v>
      </c>
      <c r="B175" t="n">
        <v>8290.649857</v>
      </c>
    </row>
    <row r="176">
      <c r="A176" t="n">
        <v>172</v>
      </c>
      <c r="B176" t="n">
        <v>8510.762585</v>
      </c>
    </row>
    <row r="177">
      <c r="A177" t="n">
        <v>173</v>
      </c>
      <c r="B177" t="n">
        <v>8380.576964</v>
      </c>
    </row>
    <row r="178">
      <c r="A178" t="n">
        <v>174</v>
      </c>
      <c r="B178" t="n">
        <v>7963.817392</v>
      </c>
    </row>
    <row r="179">
      <c r="A179" t="n">
        <v>175</v>
      </c>
      <c r="B179" t="n">
        <v>7549.51293</v>
      </c>
    </row>
    <row r="180">
      <c r="A180" t="n">
        <v>176</v>
      </c>
      <c r="B180" t="n">
        <v>7652.669514</v>
      </c>
    </row>
    <row r="181">
      <c r="A181" t="n">
        <v>177</v>
      </c>
      <c r="B181" t="n">
        <v>8277.90274</v>
      </c>
    </row>
    <row r="182">
      <c r="A182" t="n">
        <v>178</v>
      </c>
      <c r="B182" t="n">
        <v>8386.131589000001</v>
      </c>
    </row>
    <row r="183">
      <c r="A183" t="n">
        <v>179</v>
      </c>
      <c r="B183" t="n">
        <v>8387.140756000001</v>
      </c>
    </row>
    <row r="184">
      <c r="A184" t="n">
        <v>180</v>
      </c>
      <c r="B184" t="n">
        <v>8546.325414000001</v>
      </c>
    </row>
    <row r="185">
      <c r="A185" t="n">
        <v>181</v>
      </c>
      <c r="B185" t="n">
        <v>9128.697757</v>
      </c>
    </row>
    <row r="186">
      <c r="A186" t="n">
        <v>182</v>
      </c>
      <c r="B186" t="n">
        <v>9273.453858999999</v>
      </c>
    </row>
    <row r="187">
      <c r="A187" t="n">
        <v>183</v>
      </c>
      <c r="B187" t="n">
        <v>9150.202214000001</v>
      </c>
    </row>
    <row r="188">
      <c r="A188" t="n">
        <v>184</v>
      </c>
      <c r="B188" t="n">
        <v>9683.982825999999</v>
      </c>
    </row>
    <row r="189">
      <c r="A189" t="n">
        <v>185</v>
      </c>
      <c r="B189" t="n">
        <v>9933.140355</v>
      </c>
    </row>
    <row r="190">
      <c r="A190" t="n">
        <v>186</v>
      </c>
      <c r="B190" t="n">
        <v>10723.206322</v>
      </c>
    </row>
    <row r="191">
      <c r="A191" t="n">
        <v>187</v>
      </c>
      <c r="B191" t="n">
        <v>10875.074682</v>
      </c>
    </row>
    <row r="192">
      <c r="A192" t="n">
        <v>188</v>
      </c>
      <c r="B192" t="n">
        <v>10334.808278</v>
      </c>
    </row>
    <row r="193">
      <c r="A193" t="n">
        <v>189</v>
      </c>
      <c r="B193" t="n">
        <v>9756.415569000001</v>
      </c>
    </row>
    <row r="194">
      <c r="A194" t="n">
        <v>190</v>
      </c>
      <c r="B194" t="n">
        <v>10588.602328</v>
      </c>
    </row>
    <row r="195">
      <c r="A195" t="n">
        <v>191</v>
      </c>
      <c r="B195" t="n">
        <v>11530.444441</v>
      </c>
    </row>
    <row r="196">
      <c r="A196" t="n">
        <v>192</v>
      </c>
      <c r="B196" t="n">
        <v>11499.450398</v>
      </c>
    </row>
    <row r="197">
      <c r="A197" t="n">
        <v>193</v>
      </c>
      <c r="B197" t="n">
        <v>11361.160656</v>
      </c>
    </row>
    <row r="198">
      <c r="A198" t="n">
        <v>194</v>
      </c>
      <c r="B198" t="n">
        <v>12222.784585</v>
      </c>
    </row>
    <row r="199">
      <c r="A199" t="n">
        <v>195</v>
      </c>
      <c r="B199" t="n">
        <v>11678.733626</v>
      </c>
    </row>
    <row r="200">
      <c r="A200" t="n">
        <v>196</v>
      </c>
      <c r="B200" t="n">
        <v>11268.867988</v>
      </c>
    </row>
    <row r="201">
      <c r="A201" t="n">
        <v>197</v>
      </c>
      <c r="B201" t="n">
        <v>11673.926727</v>
      </c>
    </row>
    <row r="202">
      <c r="A202" t="n">
        <v>198</v>
      </c>
      <c r="B202" t="n">
        <v>11527.457984</v>
      </c>
    </row>
    <row r="203">
      <c r="A203" t="n">
        <v>199</v>
      </c>
      <c r="B203" t="n">
        <v>11589.450809</v>
      </c>
    </row>
    <row r="204">
      <c r="A204" t="n">
        <v>200</v>
      </c>
      <c r="B204" t="n">
        <v>11566.883763</v>
      </c>
    </row>
    <row r="205">
      <c r="A205" t="n">
        <v>201</v>
      </c>
      <c r="B205" t="n">
        <v>11814.623782</v>
      </c>
    </row>
    <row r="206">
      <c r="A206" t="n">
        <v>202</v>
      </c>
      <c r="B206" t="n">
        <v>12678.997321</v>
      </c>
    </row>
    <row r="207">
      <c r="A207" t="n">
        <v>203</v>
      </c>
      <c r="B207" t="n">
        <v>12803.656676</v>
      </c>
    </row>
    <row r="208">
      <c r="A208" t="n">
        <v>204</v>
      </c>
      <c r="B208" t="n">
        <v>13264.258231</v>
      </c>
    </row>
    <row r="209">
      <c r="A209" t="n">
        <v>205</v>
      </c>
      <c r="B209" t="n">
        <v>12133.61468</v>
      </c>
    </row>
    <row r="210">
      <c r="A210" t="n">
        <v>206</v>
      </c>
      <c r="B210" t="n">
        <v>12174.327935</v>
      </c>
    </row>
    <row r="211">
      <c r="A211" t="n">
        <v>207</v>
      </c>
      <c r="B211" t="n">
        <v>11775.043441</v>
      </c>
    </row>
    <row r="212">
      <c r="A212" t="n">
        <v>208</v>
      </c>
      <c r="B212" t="n">
        <v>11192.990848</v>
      </c>
    </row>
    <row r="213">
      <c r="A213" t="n">
        <v>209</v>
      </c>
      <c r="B213" t="n">
        <v>10808.443614</v>
      </c>
    </row>
    <row r="214">
      <c r="A214" t="n">
        <v>210</v>
      </c>
      <c r="B214" t="n">
        <v>10702.690347</v>
      </c>
    </row>
    <row r="215">
      <c r="A215" t="n">
        <v>211</v>
      </c>
      <c r="B215" t="n">
        <v>11227.867645</v>
      </c>
    </row>
    <row r="216">
      <c r="A216" t="n">
        <v>212</v>
      </c>
      <c r="B216" t="n">
        <v>10619.96176</v>
      </c>
    </row>
    <row r="217">
      <c r="A217" t="n">
        <v>213</v>
      </c>
      <c r="B217" t="n">
        <v>10694.720656</v>
      </c>
    </row>
    <row r="218">
      <c r="A218" t="n">
        <v>214</v>
      </c>
      <c r="B218" t="n">
        <v>10516.941098</v>
      </c>
    </row>
    <row r="219">
      <c r="A219" t="n">
        <v>215</v>
      </c>
      <c r="B219" t="n">
        <v>10417.143089</v>
      </c>
    </row>
    <row r="220">
      <c r="A220" t="n">
        <v>216</v>
      </c>
      <c r="B220" t="n">
        <v>10972.237545</v>
      </c>
    </row>
    <row r="221">
      <c r="A221" t="n">
        <v>217</v>
      </c>
      <c r="B221" t="n">
        <v>11311.531707</v>
      </c>
    </row>
    <row r="222">
      <c r="A222" t="n">
        <v>218</v>
      </c>
      <c r="B222" t="n">
        <v>12099.867268</v>
      </c>
    </row>
    <row r="223">
      <c r="A223" t="n">
        <v>219</v>
      </c>
      <c r="B223" t="n">
        <v>12081.292373</v>
      </c>
    </row>
    <row r="224">
      <c r="A224" t="n">
        <v>220</v>
      </c>
      <c r="B224" t="n">
        <v>11764.822783</v>
      </c>
    </row>
    <row r="225">
      <c r="A225" t="n">
        <v>221</v>
      </c>
      <c r="B225" t="n">
        <v>11709.19421</v>
      </c>
    </row>
    <row r="226">
      <c r="A226" t="n">
        <v>222</v>
      </c>
      <c r="B226" t="n">
        <v>11907.57569</v>
      </c>
    </row>
    <row r="227">
      <c r="A227" t="n">
        <v>223</v>
      </c>
      <c r="B227" t="n">
        <v>12072.502964</v>
      </c>
    </row>
    <row r="228">
      <c r="A228" t="n">
        <v>224</v>
      </c>
      <c r="B228" t="n">
        <v>11547.219183</v>
      </c>
    </row>
    <row r="229">
      <c r="A229" t="n">
        <v>225</v>
      </c>
      <c r="B229" t="n">
        <v>11660.69971</v>
      </c>
    </row>
    <row r="230">
      <c r="A230" t="n">
        <v>226</v>
      </c>
      <c r="B230" t="n">
        <v>11850.447181</v>
      </c>
    </row>
    <row r="231">
      <c r="A231" t="n">
        <v>227</v>
      </c>
      <c r="B231" t="n">
        <v>13386.446618</v>
      </c>
    </row>
    <row r="232">
      <c r="A232" t="n">
        <v>228</v>
      </c>
      <c r="B232" t="n">
        <v>14680.652758</v>
      </c>
    </row>
    <row r="233">
      <c r="A233" t="n">
        <v>229</v>
      </c>
      <c r="B233" t="n">
        <v>14192.602324</v>
      </c>
    </row>
    <row r="234">
      <c r="A234" t="n">
        <v>230</v>
      </c>
      <c r="B234" t="n">
        <v>14084.109793</v>
      </c>
    </row>
    <row r="235">
      <c r="A235" t="n">
        <v>231</v>
      </c>
      <c r="B235" t="n">
        <v>13237.499937</v>
      </c>
    </row>
    <row r="236">
      <c r="A236" t="n">
        <v>232</v>
      </c>
      <c r="B236" t="n">
        <v>12953.553057</v>
      </c>
    </row>
    <row r="237">
      <c r="A237" t="n">
        <v>233</v>
      </c>
      <c r="B237" t="n">
        <v>13217.573747</v>
      </c>
    </row>
    <row r="238">
      <c r="A238" t="n">
        <v>234</v>
      </c>
      <c r="B238" t="n">
        <v>14053.103789</v>
      </c>
    </row>
    <row r="239">
      <c r="A239" t="n">
        <v>235</v>
      </c>
      <c r="B239" t="n">
        <v>13664.050619</v>
      </c>
    </row>
    <row r="240">
      <c r="A240" t="n">
        <v>236</v>
      </c>
      <c r="B240" t="n">
        <v>13331.832702</v>
      </c>
    </row>
    <row r="241">
      <c r="A241" t="n">
        <v>237</v>
      </c>
      <c r="B241" t="n">
        <v>12140.847331</v>
      </c>
    </row>
    <row r="242">
      <c r="A242" t="n">
        <v>238</v>
      </c>
      <c r="B242" t="n">
        <v>12117.641461</v>
      </c>
    </row>
    <row r="243">
      <c r="A243" t="n">
        <v>239</v>
      </c>
      <c r="B243" t="n">
        <v>11602.162963</v>
      </c>
    </row>
    <row r="244">
      <c r="A244" t="n">
        <v>240</v>
      </c>
      <c r="B244" t="n">
        <v>11385.467749</v>
      </c>
    </row>
    <row r="245">
      <c r="A245" t="n">
        <v>241</v>
      </c>
      <c r="B245" t="n">
        <v>10994.96366</v>
      </c>
    </row>
    <row r="246">
      <c r="A246" t="n">
        <v>242</v>
      </c>
      <c r="B246" t="n">
        <v>11008.674115</v>
      </c>
    </row>
    <row r="247">
      <c r="A247" t="n">
        <v>243</v>
      </c>
      <c r="B247" t="n">
        <v>10207.242539</v>
      </c>
    </row>
    <row r="248">
      <c r="A248" t="n">
        <v>244</v>
      </c>
      <c r="B248" t="n">
        <v>9592.078520999999</v>
      </c>
    </row>
    <row r="249">
      <c r="A249" t="n">
        <v>245</v>
      </c>
      <c r="B249" t="n">
        <v>10642.796893</v>
      </c>
    </row>
    <row r="250">
      <c r="A250" t="n">
        <v>246</v>
      </c>
      <c r="B250" t="n">
        <v>10084.703928</v>
      </c>
    </row>
    <row r="251">
      <c r="A251" t="n">
        <v>247</v>
      </c>
      <c r="B251" t="n">
        <v>9640.38897</v>
      </c>
    </row>
    <row r="252">
      <c r="A252" t="n">
        <v>248</v>
      </c>
      <c r="B252" t="n">
        <v>10552.943851</v>
      </c>
    </row>
    <row r="253">
      <c r="A253" t="n">
        <v>249</v>
      </c>
      <c r="B253" t="n">
        <v>12136.096141</v>
      </c>
    </row>
    <row r="254">
      <c r="A254" t="n">
        <v>250</v>
      </c>
      <c r="B254" t="n">
        <v>11561.398337</v>
      </c>
    </row>
    <row r="255">
      <c r="A255" t="n">
        <v>251</v>
      </c>
      <c r="B255" t="n">
        <v>11430.247471</v>
      </c>
    </row>
    <row r="256">
      <c r="A256" t="n">
        <v>252</v>
      </c>
      <c r="B256" t="n">
        <v>11677.207953</v>
      </c>
    </row>
    <row r="257">
      <c r="A257" t="n">
        <v>253</v>
      </c>
      <c r="B257" t="n">
        <v>12718.835789</v>
      </c>
    </row>
    <row r="258">
      <c r="A258" t="n">
        <v>254</v>
      </c>
      <c r="B258" t="n">
        <v>12220.355583</v>
      </c>
    </row>
    <row r="259">
      <c r="A259" t="n">
        <v>255</v>
      </c>
      <c r="B259" t="n">
        <v>12150.546562</v>
      </c>
    </row>
    <row r="260">
      <c r="A260" t="n">
        <v>256</v>
      </c>
      <c r="B260" t="n">
        <v>12665.450306</v>
      </c>
    </row>
    <row r="261">
      <c r="A261" t="n">
        <v>257</v>
      </c>
      <c r="B261" t="n">
        <v>12994.924041</v>
      </c>
    </row>
    <row r="262">
      <c r="A262" t="n">
        <v>258</v>
      </c>
      <c r="B262" t="n">
        <v>12842.820228</v>
      </c>
    </row>
    <row r="263">
      <c r="A263" t="n">
        <v>259</v>
      </c>
      <c r="B263" t="n">
        <v>12835.360486</v>
      </c>
    </row>
    <row r="264">
      <c r="A264" t="n">
        <v>260</v>
      </c>
      <c r="B264" t="n">
        <v>12113.25349</v>
      </c>
    </row>
    <row r="265">
      <c r="A265" t="n">
        <v>261</v>
      </c>
      <c r="B265" t="n">
        <v>12048.00889</v>
      </c>
    </row>
    <row r="266">
      <c r="A266" t="n">
        <v>262</v>
      </c>
      <c r="B266" t="n">
        <v>11967.510238</v>
      </c>
    </row>
    <row r="267">
      <c r="A267" t="n">
        <v>263</v>
      </c>
      <c r="B267" t="n">
        <v>12164.464623</v>
      </c>
    </row>
    <row r="268">
      <c r="A268" t="n">
        <v>264</v>
      </c>
      <c r="B268" t="n">
        <v>11923.002293</v>
      </c>
    </row>
    <row r="269">
      <c r="A269" t="n">
        <v>265</v>
      </c>
      <c r="B269" t="n">
        <v>12253.957322</v>
      </c>
    </row>
    <row r="270">
      <c r="A270" t="n">
        <v>266</v>
      </c>
      <c r="B270" t="n">
        <v>12912.867199</v>
      </c>
    </row>
    <row r="271">
      <c r="A271" t="n">
        <v>267</v>
      </c>
      <c r="B271" t="n">
        <v>13078.939237</v>
      </c>
    </row>
    <row r="272">
      <c r="A272" t="n">
        <v>268</v>
      </c>
      <c r="B272" t="n">
        <v>13367.818009</v>
      </c>
    </row>
    <row r="273">
      <c r="A273" t="n">
        <v>269</v>
      </c>
      <c r="B273" t="n">
        <v>13475.932513</v>
      </c>
    </row>
    <row r="274">
      <c r="A274" t="n">
        <v>270</v>
      </c>
      <c r="B274" t="n">
        <v>13551.662256</v>
      </c>
    </row>
    <row r="275">
      <c r="A275" t="n">
        <v>271</v>
      </c>
      <c r="B275" t="n">
        <v>13181.072216</v>
      </c>
    </row>
    <row r="276">
      <c r="A276" t="n">
        <v>272</v>
      </c>
      <c r="B276" t="n">
        <v>13450.282658</v>
      </c>
    </row>
    <row r="277">
      <c r="A277" t="n">
        <v>273</v>
      </c>
      <c r="B277" t="n">
        <v>13465.173963</v>
      </c>
    </row>
    <row r="278">
      <c r="A278" t="n">
        <v>274</v>
      </c>
      <c r="B278" t="n">
        <v>14915.276389</v>
      </c>
    </row>
    <row r="279">
      <c r="A279" t="n">
        <v>275</v>
      </c>
      <c r="B279" t="n">
        <v>16129.600089</v>
      </c>
    </row>
    <row r="280">
      <c r="A280" t="n">
        <v>276</v>
      </c>
      <c r="B280" t="n">
        <v>16511.838157</v>
      </c>
    </row>
    <row r="281">
      <c r="A281" t="n">
        <v>277</v>
      </c>
      <c r="B281" t="n">
        <v>16029.543445</v>
      </c>
    </row>
    <row r="282">
      <c r="A282" t="n">
        <v>278</v>
      </c>
      <c r="B282" t="n">
        <v>15312.253648</v>
      </c>
    </row>
    <row r="283">
      <c r="A283" t="n">
        <v>279</v>
      </c>
      <c r="B283" t="n">
        <v>16269.137957</v>
      </c>
    </row>
    <row r="284">
      <c r="A284" t="n">
        <v>280</v>
      </c>
      <c r="B284" t="n">
        <v>16560.259235</v>
      </c>
    </row>
    <row r="285">
      <c r="A285" t="n">
        <v>281</v>
      </c>
      <c r="B285" t="n">
        <v>17026.699604</v>
      </c>
    </row>
    <row r="286">
      <c r="A286" t="n">
        <v>282</v>
      </c>
      <c r="B286" t="n">
        <v>15796.741773</v>
      </c>
    </row>
    <row r="287">
      <c r="A287" t="n">
        <v>283</v>
      </c>
      <c r="B287" t="n">
        <v>16580.714625</v>
      </c>
    </row>
    <row r="288">
      <c r="A288" t="n">
        <v>284</v>
      </c>
      <c r="B288" t="n">
        <v>17027.488807</v>
      </c>
    </row>
    <row r="289">
      <c r="A289" t="n">
        <v>285</v>
      </c>
      <c r="B289" t="n">
        <v>16267.031145</v>
      </c>
    </row>
    <row r="290">
      <c r="A290" t="n">
        <v>286</v>
      </c>
      <c r="B290" t="n">
        <v>16005.967676</v>
      </c>
    </row>
    <row r="291">
      <c r="A291" t="n">
        <v>287</v>
      </c>
      <c r="B291" t="n">
        <v>16293.108196</v>
      </c>
    </row>
    <row r="292">
      <c r="A292" t="n">
        <v>288</v>
      </c>
      <c r="B292" t="n">
        <v>16424.359135</v>
      </c>
    </row>
    <row r="293">
      <c r="A293" t="n">
        <v>289</v>
      </c>
      <c r="B293" t="n">
        <v>16295.202461</v>
      </c>
    </row>
    <row r="294">
      <c r="A294" t="n">
        <v>290</v>
      </c>
      <c r="B294" t="n">
        <v>16308.571339</v>
      </c>
    </row>
    <row r="295">
      <c r="A295" t="n">
        <v>291</v>
      </c>
      <c r="B295" t="n">
        <v>16210.391416</v>
      </c>
    </row>
    <row r="296">
      <c r="A296" t="n">
        <v>292</v>
      </c>
      <c r="B296" t="n">
        <v>16416.698904</v>
      </c>
    </row>
    <row r="297">
      <c r="A297" t="n">
        <v>293</v>
      </c>
      <c r="B297" t="n">
        <v>17669.930367</v>
      </c>
    </row>
    <row r="298">
      <c r="A298" t="n">
        <v>294</v>
      </c>
      <c r="B298" t="n">
        <v>15782.716836</v>
      </c>
    </row>
    <row r="299">
      <c r="A299" t="n">
        <v>295</v>
      </c>
      <c r="B299" t="n">
        <v>15698.667327</v>
      </c>
    </row>
    <row r="300">
      <c r="A300" t="n">
        <v>296</v>
      </c>
      <c r="B300" t="n">
        <v>15916.058763</v>
      </c>
    </row>
    <row r="301">
      <c r="A301" t="n">
        <v>297</v>
      </c>
      <c r="B301" t="n">
        <v>16225.757706</v>
      </c>
    </row>
    <row r="302">
      <c r="A302" t="n">
        <v>298</v>
      </c>
      <c r="B302" t="n">
        <v>16038.979251</v>
      </c>
    </row>
    <row r="303">
      <c r="A303" t="n">
        <v>299</v>
      </c>
      <c r="B303" t="n">
        <v>14872.032849</v>
      </c>
    </row>
    <row r="304">
      <c r="A304" t="n">
        <v>300</v>
      </c>
      <c r="B304" t="n">
        <v>15183.843298</v>
      </c>
    </row>
    <row r="305">
      <c r="A305" t="n">
        <v>301</v>
      </c>
      <c r="B305" t="n">
        <v>16537.24005</v>
      </c>
    </row>
    <row r="306">
      <c r="A306" t="n">
        <v>302</v>
      </c>
      <c r="B306" t="n">
        <v>15492.697547</v>
      </c>
    </row>
    <row r="307">
      <c r="A307" t="n">
        <v>303</v>
      </c>
      <c r="B307" t="n">
        <v>16213.873973</v>
      </c>
    </row>
    <row r="308">
      <c r="A308" t="n">
        <v>304</v>
      </c>
      <c r="B308" t="n">
        <v>16059.384195</v>
      </c>
    </row>
    <row r="309">
      <c r="A309" t="n">
        <v>305</v>
      </c>
      <c r="B309" t="n">
        <v>16103.890899</v>
      </c>
    </row>
    <row r="310">
      <c r="A310" t="n">
        <v>306</v>
      </c>
      <c r="B310" t="n">
        <v>15425.617701</v>
      </c>
    </row>
    <row r="311">
      <c r="A311" t="n">
        <v>307</v>
      </c>
      <c r="B311" t="n">
        <v>15274.453783</v>
      </c>
    </row>
    <row r="312">
      <c r="A312" t="n">
        <v>308</v>
      </c>
      <c r="B312" t="n">
        <v>16310.81253</v>
      </c>
    </row>
    <row r="313">
      <c r="A313" t="n">
        <v>309</v>
      </c>
      <c r="B313" t="n">
        <v>16849.81919</v>
      </c>
    </row>
    <row r="314">
      <c r="A314" t="n">
        <v>310</v>
      </c>
      <c r="B314" t="n">
        <v>18355.916946</v>
      </c>
    </row>
    <row r="315">
      <c r="A315" t="n">
        <v>311</v>
      </c>
      <c r="B315" t="n">
        <v>19490.638972</v>
      </c>
    </row>
    <row r="316">
      <c r="A316" t="n">
        <v>312</v>
      </c>
      <c r="B316" t="n">
        <v>20001.651448</v>
      </c>
    </row>
    <row r="317">
      <c r="A317" t="n">
        <v>313</v>
      </c>
      <c r="B317" t="n">
        <v>21801.171961</v>
      </c>
    </row>
    <row r="318">
      <c r="A318" t="n">
        <v>314</v>
      </c>
      <c r="B318" t="n">
        <v>22372.66617</v>
      </c>
    </row>
    <row r="319">
      <c r="A319" t="n">
        <v>315</v>
      </c>
      <c r="B319" t="n">
        <v>23375.374331</v>
      </c>
    </row>
    <row r="320">
      <c r="A320" t="n">
        <v>316</v>
      </c>
      <c r="B320" t="n">
        <v>23186.844342</v>
      </c>
    </row>
    <row r="321">
      <c r="A321" t="n">
        <v>317</v>
      </c>
      <c r="B321" t="n">
        <v>23388.832929</v>
      </c>
    </row>
    <row r="322">
      <c r="A322" t="n">
        <v>318</v>
      </c>
      <c r="B322" t="n">
        <v>22774.604026</v>
      </c>
    </row>
    <row r="323">
      <c r="A323" t="n">
        <v>319</v>
      </c>
      <c r="B323" t="n">
        <v>23973.594146</v>
      </c>
    </row>
    <row r="324">
      <c r="A324" t="n">
        <v>320</v>
      </c>
      <c r="B324" t="n">
        <v>22831.233014</v>
      </c>
    </row>
    <row r="325">
      <c r="A325" t="n">
        <v>321</v>
      </c>
      <c r="B325" t="n">
        <v>23804.262995</v>
      </c>
    </row>
    <row r="326">
      <c r="A326" t="n">
        <v>322</v>
      </c>
      <c r="B326" t="n">
        <v>23728.073593</v>
      </c>
    </row>
    <row r="327">
      <c r="A327" t="n">
        <v>323</v>
      </c>
      <c r="B327" t="n">
        <v>25187.717449</v>
      </c>
    </row>
    <row r="328">
      <c r="A328" t="n">
        <v>324</v>
      </c>
      <c r="B328" t="n">
        <v>26223.019343</v>
      </c>
    </row>
    <row r="329">
      <c r="A329" t="n">
        <v>325</v>
      </c>
      <c r="B329" t="n">
        <v>28683.718721</v>
      </c>
    </row>
    <row r="330">
      <c r="A330" t="n">
        <v>326</v>
      </c>
      <c r="B330" t="n">
        <v>29835.015098</v>
      </c>
    </row>
    <row r="331">
      <c r="A331" t="n">
        <v>327</v>
      </c>
      <c r="B331" t="n">
        <v>27901.299864</v>
      </c>
    </row>
    <row r="332">
      <c r="A332" t="n">
        <v>328</v>
      </c>
      <c r="B332" t="n">
        <v>27971.351992</v>
      </c>
    </row>
    <row r="333">
      <c r="A333" t="n">
        <v>329</v>
      </c>
      <c r="B333" t="n">
        <v>26646.242593</v>
      </c>
    </row>
    <row r="334">
      <c r="A334" t="n">
        <v>330</v>
      </c>
      <c r="B334" t="n">
        <v>26162.048479</v>
      </c>
    </row>
    <row r="335">
      <c r="A335" t="n">
        <v>331</v>
      </c>
      <c r="B335" t="n">
        <v>28210.957906</v>
      </c>
    </row>
    <row r="336">
      <c r="A336" t="n">
        <v>332</v>
      </c>
      <c r="B336" t="n">
        <v>29217.180399</v>
      </c>
    </row>
    <row r="337">
      <c r="A337" t="n">
        <v>333</v>
      </c>
      <c r="B337" t="n">
        <v>28447.909907</v>
      </c>
    </row>
    <row r="338">
      <c r="A338" t="n">
        <v>334</v>
      </c>
      <c r="B338" t="n">
        <v>27299.08248</v>
      </c>
    </row>
    <row r="339">
      <c r="A339" t="n">
        <v>335</v>
      </c>
      <c r="B339" t="n">
        <v>27493.984433</v>
      </c>
    </row>
    <row r="340">
      <c r="A340" t="n">
        <v>336</v>
      </c>
      <c r="B340" t="n">
        <v>26137.647984</v>
      </c>
    </row>
    <row r="341">
      <c r="A341" t="n">
        <v>337</v>
      </c>
      <c r="B341" t="n">
        <v>25482.146887</v>
      </c>
    </row>
    <row r="342">
      <c r="A342" t="n">
        <v>338</v>
      </c>
      <c r="B342" t="n">
        <v>25997.208973</v>
      </c>
    </row>
    <row r="343">
      <c r="A343" t="n">
        <v>339</v>
      </c>
      <c r="B343" t="n">
        <v>27576.136035</v>
      </c>
    </row>
    <row r="344">
      <c r="A344" t="n">
        <v>340</v>
      </c>
      <c r="B344" t="n">
        <v>28521.786969</v>
      </c>
    </row>
    <row r="345">
      <c r="A345" t="n">
        <v>341</v>
      </c>
      <c r="B345" t="n">
        <v>25801.641685</v>
      </c>
    </row>
    <row r="346">
      <c r="A346" t="n">
        <v>342</v>
      </c>
      <c r="B346" t="n">
        <v>26313.871093</v>
      </c>
    </row>
    <row r="347">
      <c r="A347" t="n">
        <v>343</v>
      </c>
      <c r="B347" t="n">
        <v>26549.828984</v>
      </c>
    </row>
    <row r="348">
      <c r="A348" t="n">
        <v>344</v>
      </c>
      <c r="B348" t="n">
        <v>27214.232219</v>
      </c>
    </row>
    <row r="349">
      <c r="A349" t="n">
        <v>345</v>
      </c>
      <c r="B349" t="n">
        <v>29488.183016</v>
      </c>
    </row>
    <row r="350">
      <c r="A350" t="n">
        <v>346</v>
      </c>
      <c r="B350" t="n">
        <v>26958.340053</v>
      </c>
    </row>
    <row r="351">
      <c r="A351" t="n">
        <v>347</v>
      </c>
      <c r="B351" t="n">
        <v>26379.595555</v>
      </c>
    </row>
    <row r="352">
      <c r="A352" t="n">
        <v>348</v>
      </c>
      <c r="B352" t="n">
        <v>27261.722433</v>
      </c>
    </row>
    <row r="353">
      <c r="A353" t="n">
        <v>349</v>
      </c>
      <c r="B353" t="n">
        <v>25483.543565</v>
      </c>
    </row>
    <row r="354">
      <c r="A354" t="n">
        <v>350</v>
      </c>
      <c r="B354" t="n">
        <v>27434.574469</v>
      </c>
    </row>
    <row r="355">
      <c r="A355" t="n">
        <v>351</v>
      </c>
      <c r="B355" t="n">
        <v>28062.038587</v>
      </c>
    </row>
    <row r="356">
      <c r="A356" t="n">
        <v>352</v>
      </c>
      <c r="B356" t="n">
        <v>29344.929232</v>
      </c>
    </row>
    <row r="357">
      <c r="A357" t="n">
        <v>353</v>
      </c>
      <c r="B357" t="n">
        <v>28741.699263</v>
      </c>
    </row>
    <row r="358">
      <c r="A358" t="n">
        <v>354</v>
      </c>
      <c r="B358" t="n">
        <v>30010.134435</v>
      </c>
    </row>
    <row r="359">
      <c r="A359" t="n">
        <v>355</v>
      </c>
      <c r="B359" t="n">
        <v>31705.359194</v>
      </c>
    </row>
    <row r="360">
      <c r="A360" t="n">
        <v>356</v>
      </c>
      <c r="B360" t="n">
        <v>32228.201794</v>
      </c>
    </row>
    <row r="361">
      <c r="A361" t="n">
        <v>357</v>
      </c>
      <c r="B361" t="n">
        <v>32761.970765</v>
      </c>
    </row>
    <row r="362">
      <c r="A362" t="n">
        <v>358</v>
      </c>
      <c r="B362" t="n">
        <v>33359.915156</v>
      </c>
    </row>
    <row r="363">
      <c r="A363" t="n">
        <v>359</v>
      </c>
      <c r="B363" t="n">
        <v>32235.838306</v>
      </c>
    </row>
    <row r="364">
      <c r="A364" t="n">
        <v>360</v>
      </c>
      <c r="B364" t="n">
        <v>32196.725881</v>
      </c>
    </row>
    <row r="365">
      <c r="A365" t="n">
        <v>361</v>
      </c>
      <c r="B365" t="n">
        <v>32150.244404</v>
      </c>
    </row>
    <row r="366">
      <c r="A366" t="n">
        <v>362</v>
      </c>
      <c r="B366" t="n">
        <v>32908.41028</v>
      </c>
    </row>
    <row r="367">
      <c r="A367" t="n">
        <v>363</v>
      </c>
      <c r="B367" t="n">
        <v>34657.292337</v>
      </c>
    </row>
    <row r="368">
      <c r="A368" t="n">
        <v>364</v>
      </c>
      <c r="B368" t="n">
        <v>33188.932875</v>
      </c>
    </row>
    <row r="369">
      <c r="A369" t="n">
        <v>365</v>
      </c>
      <c r="B369" t="n">
        <v>33183.161165</v>
      </c>
    </row>
    <row r="370">
      <c r="A370" t="n">
        <v>366</v>
      </c>
      <c r="B370" t="n">
        <v>35732.76497</v>
      </c>
    </row>
    <row r="371">
      <c r="A371" t="n">
        <v>367</v>
      </c>
      <c r="B371" t="n">
        <v>34720.253292</v>
      </c>
    </row>
    <row r="372">
      <c r="A372" t="n">
        <v>368</v>
      </c>
      <c r="B372" t="n">
        <v>33614.081906</v>
      </c>
    </row>
    <row r="373">
      <c r="A373" t="n">
        <v>369</v>
      </c>
      <c r="B373" t="n">
        <v>34120.187102</v>
      </c>
    </row>
    <row r="374">
      <c r="A374" t="n">
        <v>370</v>
      </c>
      <c r="B374" t="n">
        <v>35676.410056</v>
      </c>
    </row>
    <row r="375">
      <c r="A375" t="n">
        <v>371</v>
      </c>
      <c r="B375" t="n">
        <v>35895.697249</v>
      </c>
    </row>
    <row r="376">
      <c r="A376" t="n">
        <v>372</v>
      </c>
      <c r="B376" t="n">
        <v>38382.418182</v>
      </c>
    </row>
    <row r="377">
      <c r="A377" t="n">
        <v>373</v>
      </c>
      <c r="B377" t="n">
        <v>40156.049994</v>
      </c>
    </row>
    <row r="378">
      <c r="A378" t="n">
        <v>374</v>
      </c>
      <c r="B378" t="n">
        <v>41982.594562</v>
      </c>
    </row>
    <row r="379">
      <c r="A379" t="n">
        <v>375</v>
      </c>
      <c r="B379" t="n">
        <v>43312.81987</v>
      </c>
    </row>
    <row r="380">
      <c r="A380" t="n">
        <v>376</v>
      </c>
      <c r="B380" t="n">
        <v>48499.735951</v>
      </c>
    </row>
    <row r="381">
      <c r="A381" t="n">
        <v>377</v>
      </c>
      <c r="B381" t="n">
        <v>48312.114215</v>
      </c>
    </row>
    <row r="382">
      <c r="A382" t="n">
        <v>378</v>
      </c>
      <c r="B382" t="n">
        <v>44289.322032</v>
      </c>
    </row>
    <row r="383">
      <c r="A383" t="n">
        <v>379</v>
      </c>
      <c r="B383" t="n">
        <v>47963.530714</v>
      </c>
    </row>
    <row r="384">
      <c r="A384" t="n">
        <v>380</v>
      </c>
      <c r="B384" t="n">
        <v>47223.928041</v>
      </c>
    </row>
    <row r="385">
      <c r="A385" t="n">
        <v>381</v>
      </c>
      <c r="B385" t="n">
        <v>47726.342468</v>
      </c>
    </row>
    <row r="386">
      <c r="A386" t="n">
        <v>382</v>
      </c>
      <c r="B386" t="n">
        <v>50986.916148</v>
      </c>
    </row>
    <row r="387">
      <c r="A387" t="n">
        <v>383</v>
      </c>
      <c r="B387" t="n">
        <v>47615.762696</v>
      </c>
    </row>
    <row r="388">
      <c r="A388" t="n">
        <v>384</v>
      </c>
      <c r="B388" t="n">
        <v>45193.476311</v>
      </c>
    </row>
    <row r="389">
      <c r="A389" t="n">
        <v>385</v>
      </c>
      <c r="B389" t="n">
        <v>42207.28714</v>
      </c>
    </row>
    <row r="390">
      <c r="A390" t="n">
        <v>386</v>
      </c>
      <c r="B390" t="n">
        <v>40915.677523</v>
      </c>
    </row>
    <row r="391">
      <c r="A391" t="n">
        <v>387</v>
      </c>
      <c r="B391" t="n">
        <v>41989.48577</v>
      </c>
    </row>
    <row r="392">
      <c r="A392" t="n">
        <v>388</v>
      </c>
      <c r="B392" t="n">
        <v>43260.087687</v>
      </c>
    </row>
    <row r="393">
      <c r="A393" t="n">
        <v>389</v>
      </c>
      <c r="B393" t="n">
        <v>44061.703564</v>
      </c>
    </row>
    <row r="394">
      <c r="A394" t="n">
        <v>390</v>
      </c>
      <c r="B394" t="n">
        <v>41510.156996</v>
      </c>
    </row>
    <row r="395">
      <c r="A395" t="n">
        <v>391</v>
      </c>
      <c r="B395" t="n">
        <v>37518.68355</v>
      </c>
    </row>
    <row r="396">
      <c r="A396" t="n">
        <v>392</v>
      </c>
      <c r="B396" t="n">
        <v>37824.215586</v>
      </c>
    </row>
    <row r="397">
      <c r="A397" t="n">
        <v>393</v>
      </c>
      <c r="B397" t="n">
        <v>37216.757113</v>
      </c>
    </row>
    <row r="398">
      <c r="A398" t="n">
        <v>394</v>
      </c>
      <c r="B398" t="n">
        <v>38228.344374</v>
      </c>
    </row>
    <row r="399">
      <c r="A399" t="n">
        <v>395</v>
      </c>
      <c r="B399" t="n">
        <v>39709.842902</v>
      </c>
    </row>
    <row r="400">
      <c r="A400" t="n">
        <v>396</v>
      </c>
      <c r="B400" t="n">
        <v>40188.63271</v>
      </c>
    </row>
    <row r="401">
      <c r="A401" t="n">
        <v>397</v>
      </c>
      <c r="B401" t="n">
        <v>41858.430846</v>
      </c>
    </row>
    <row r="402">
      <c r="A402" t="n">
        <v>398</v>
      </c>
      <c r="B402" t="n">
        <v>42541.499164</v>
      </c>
    </row>
    <row r="403">
      <c r="A403" t="n">
        <v>399</v>
      </c>
      <c r="B403" t="n">
        <v>43840.703543</v>
      </c>
    </row>
    <row r="404">
      <c r="A404" t="n">
        <v>400</v>
      </c>
      <c r="B404" t="n">
        <v>42675.083556</v>
      </c>
    </row>
    <row r="405">
      <c r="A405" t="n">
        <v>401</v>
      </c>
      <c r="B405" t="n">
        <v>42560.190914</v>
      </c>
    </row>
    <row r="406">
      <c r="A406" t="n">
        <v>402</v>
      </c>
      <c r="B406" t="n">
        <v>43189.958641</v>
      </c>
    </row>
    <row r="407">
      <c r="A407" t="n">
        <v>403</v>
      </c>
      <c r="B407" t="n">
        <v>45110.120212</v>
      </c>
    </row>
    <row r="408">
      <c r="A408" t="n">
        <v>404</v>
      </c>
      <c r="B408" t="n">
        <v>44545.916583</v>
      </c>
    </row>
    <row r="409">
      <c r="A409" t="n">
        <v>405</v>
      </c>
      <c r="B409" t="n">
        <v>45887.473667</v>
      </c>
    </row>
    <row r="410">
      <c r="A410" t="n">
        <v>406</v>
      </c>
      <c r="B410" t="n">
        <v>45582.032152</v>
      </c>
    </row>
    <row r="411">
      <c r="A411" t="n">
        <v>407</v>
      </c>
      <c r="B411" t="n">
        <v>45589.825515</v>
      </c>
    </row>
    <row r="412">
      <c r="A412" t="n">
        <v>408</v>
      </c>
      <c r="B412" t="n">
        <v>47636.458853</v>
      </c>
    </row>
    <row r="413">
      <c r="A413" t="n">
        <v>409</v>
      </c>
      <c r="B413" t="n">
        <v>43691.033369</v>
      </c>
    </row>
    <row r="414">
      <c r="A414" t="n">
        <v>410</v>
      </c>
      <c r="B414" t="n">
        <v>41382.637267</v>
      </c>
    </row>
    <row r="415">
      <c r="A415" t="n">
        <v>411</v>
      </c>
      <c r="B415" t="n">
        <v>38861.428061</v>
      </c>
    </row>
    <row r="416">
      <c r="A416" t="n">
        <v>412</v>
      </c>
      <c r="B416" t="n">
        <v>35086.522435</v>
      </c>
    </row>
    <row r="417">
      <c r="A417" t="n">
        <v>413</v>
      </c>
      <c r="B417" t="n">
        <v>34195.340359</v>
      </c>
    </row>
    <row r="418">
      <c r="A418" t="n">
        <v>414</v>
      </c>
      <c r="B418" t="n">
        <v>35598.526874</v>
      </c>
    </row>
    <row r="419">
      <c r="A419" t="n">
        <v>415</v>
      </c>
      <c r="B419" t="n">
        <v>35330.47923</v>
      </c>
    </row>
    <row r="420">
      <c r="A420" t="n">
        <v>416</v>
      </c>
      <c r="B420" t="n">
        <v>35854.947325</v>
      </c>
    </row>
    <row r="421">
      <c r="A421" t="n">
        <v>417</v>
      </c>
      <c r="B421" t="n">
        <v>37916.651131</v>
      </c>
    </row>
    <row r="422">
      <c r="A422" t="n">
        <v>418</v>
      </c>
      <c r="B422" t="n">
        <v>40540.989759</v>
      </c>
    </row>
    <row r="423">
      <c r="A423" t="n">
        <v>419</v>
      </c>
      <c r="B423" t="n">
        <v>40638.675459</v>
      </c>
    </row>
    <row r="424">
      <c r="A424" t="n">
        <v>420</v>
      </c>
      <c r="B424" t="n">
        <v>43503.424751</v>
      </c>
    </row>
    <row r="425">
      <c r="A425" t="n">
        <v>421</v>
      </c>
      <c r="B425" t="n">
        <v>43934.277013</v>
      </c>
    </row>
    <row r="426">
      <c r="A426" t="n">
        <v>422</v>
      </c>
      <c r="B426" t="n">
        <v>42504.80149</v>
      </c>
    </row>
    <row r="427">
      <c r="A427" t="n">
        <v>423</v>
      </c>
      <c r="B427" t="n">
        <v>41585.97078</v>
      </c>
    </row>
    <row r="428">
      <c r="A428" t="n">
        <v>424</v>
      </c>
      <c r="B428" t="n">
        <v>39055.347909</v>
      </c>
    </row>
    <row r="429">
      <c r="A429" t="n">
        <v>425</v>
      </c>
      <c r="B429" t="n">
        <v>37696.176553</v>
      </c>
    </row>
    <row r="430">
      <c r="A430" t="n">
        <v>426</v>
      </c>
      <c r="B430" t="n">
        <v>37286.174054</v>
      </c>
    </row>
    <row r="431">
      <c r="A431" t="n">
        <v>427</v>
      </c>
      <c r="B431" t="n">
        <v>38913.397159</v>
      </c>
    </row>
    <row r="432">
      <c r="A432" t="n">
        <v>428</v>
      </c>
      <c r="B432" t="n">
        <v>42369.024683</v>
      </c>
    </row>
    <row r="433">
      <c r="A433" t="n">
        <v>429</v>
      </c>
      <c r="B433" t="n">
        <v>39971.924322</v>
      </c>
    </row>
    <row r="434">
      <c r="A434" t="n">
        <v>430</v>
      </c>
      <c r="B434" t="n">
        <v>40932.371913</v>
      </c>
    </row>
    <row r="435">
      <c r="A435" t="n">
        <v>431</v>
      </c>
      <c r="B435" t="n">
        <v>39230.738049</v>
      </c>
    </row>
    <row r="436">
      <c r="A436" t="n">
        <v>432</v>
      </c>
      <c r="B436" t="n">
        <v>40325.575392</v>
      </c>
    </row>
    <row r="437">
      <c r="A437" t="n">
        <v>433</v>
      </c>
      <c r="B437" t="n">
        <v>40307.246219</v>
      </c>
    </row>
    <row r="438">
      <c r="A438" t="n">
        <v>434</v>
      </c>
      <c r="B438" t="n">
        <v>37246.774185</v>
      </c>
    </row>
    <row r="439">
      <c r="A439" t="n">
        <v>435</v>
      </c>
      <c r="B439" t="n">
        <v>39096.836018</v>
      </c>
    </row>
    <row r="440">
      <c r="A440" t="n">
        <v>436</v>
      </c>
      <c r="B440" t="n">
        <v>38232.951844</v>
      </c>
    </row>
    <row r="441">
      <c r="A441" t="n">
        <v>437</v>
      </c>
      <c r="B441" t="n">
        <v>37511.140235</v>
      </c>
    </row>
    <row r="442">
      <c r="A442" t="n">
        <v>438</v>
      </c>
      <c r="B442" t="n">
        <v>35903.264136</v>
      </c>
    </row>
    <row r="443">
      <c r="A443" t="n">
        <v>439</v>
      </c>
      <c r="B443" t="n">
        <v>35030.116548</v>
      </c>
    </row>
    <row r="444">
      <c r="A444" t="n">
        <v>440</v>
      </c>
      <c r="B444" t="n">
        <v>35929.96321</v>
      </c>
    </row>
    <row r="445">
      <c r="A445" t="n">
        <v>441</v>
      </c>
      <c r="B445" t="n">
        <v>35817.290637</v>
      </c>
    </row>
    <row r="446">
      <c r="A446" t="n">
        <v>442</v>
      </c>
      <c r="B446" t="n">
        <v>36569.36994</v>
      </c>
    </row>
    <row r="447">
      <c r="A447" t="n">
        <v>443</v>
      </c>
      <c r="B447" t="n">
        <v>37394.64295</v>
      </c>
    </row>
    <row r="448">
      <c r="A448" t="n">
        <v>444</v>
      </c>
      <c r="B448" t="n">
        <v>39969.881441</v>
      </c>
    </row>
    <row r="449">
      <c r="A449" t="n">
        <v>445</v>
      </c>
      <c r="B449" t="n">
        <v>39562.970499</v>
      </c>
    </row>
    <row r="450">
      <c r="A450" t="n">
        <v>446</v>
      </c>
      <c r="B450" t="n">
        <v>37161.766547</v>
      </c>
    </row>
    <row r="451">
      <c r="A451" t="n">
        <v>447</v>
      </c>
      <c r="B451" t="n">
        <v>39258.710521</v>
      </c>
    </row>
    <row r="452">
      <c r="A452" t="n">
        <v>448</v>
      </c>
      <c r="B452" t="n">
        <v>38879.322766</v>
      </c>
    </row>
    <row r="453">
      <c r="A453" t="n">
        <v>449</v>
      </c>
      <c r="B453" t="n">
        <v>41163.147615</v>
      </c>
    </row>
    <row r="454">
      <c r="A454" t="n">
        <v>450</v>
      </c>
      <c r="B454" t="n">
        <v>42133.822842</v>
      </c>
    </row>
    <row r="455">
      <c r="A455" t="n">
        <v>451</v>
      </c>
      <c r="B455" t="n">
        <v>42114.572797</v>
      </c>
    </row>
    <row r="456">
      <c r="A456" t="n">
        <v>452</v>
      </c>
      <c r="B456" t="n">
        <v>43038.84571</v>
      </c>
    </row>
    <row r="457">
      <c r="A457" t="n">
        <v>453</v>
      </c>
      <c r="B457" t="n">
        <v>47361.824156</v>
      </c>
    </row>
    <row r="458">
      <c r="A458" t="n">
        <v>454</v>
      </c>
      <c r="B458" t="n">
        <v>52423.141633</v>
      </c>
    </row>
    <row r="459">
      <c r="A459" t="n">
        <v>455</v>
      </c>
      <c r="B459" t="n">
        <v>52886.743152</v>
      </c>
    </row>
    <row r="460">
      <c r="A460" t="n">
        <v>456</v>
      </c>
      <c r="B460" t="n">
        <v>53578.699515</v>
      </c>
    </row>
    <row r="461">
      <c r="A461" t="n">
        <v>457</v>
      </c>
      <c r="B461" t="n">
        <v>56625.589568</v>
      </c>
    </row>
    <row r="462">
      <c r="A462" t="n">
        <v>458</v>
      </c>
      <c r="B462" t="n">
        <v>54762.27725</v>
      </c>
    </row>
    <row r="463">
      <c r="A463" t="n">
        <v>459</v>
      </c>
      <c r="B463" t="n">
        <v>55923.542598</v>
      </c>
    </row>
    <row r="464">
      <c r="A464" t="n">
        <v>460</v>
      </c>
      <c r="B464" t="n">
        <v>56170.454236</v>
      </c>
    </row>
    <row r="465">
      <c r="A465" t="n">
        <v>461</v>
      </c>
      <c r="B465" t="n">
        <v>57310.834669</v>
      </c>
    </row>
    <row r="466">
      <c r="A466" t="n">
        <v>462</v>
      </c>
      <c r="B466" t="n">
        <v>55456.450452</v>
      </c>
    </row>
    <row r="467">
      <c r="A467" t="n">
        <v>463</v>
      </c>
      <c r="B467" t="n">
        <v>51820.149421</v>
      </c>
    </row>
    <row r="468">
      <c r="A468" t="n">
        <v>464</v>
      </c>
      <c r="B468" t="n">
        <v>47353.088996</v>
      </c>
    </row>
    <row r="469">
      <c r="A469" t="n">
        <v>465</v>
      </c>
      <c r="B469" t="n">
        <v>45223.745578</v>
      </c>
    </row>
    <row r="470">
      <c r="A470" t="n">
        <v>466</v>
      </c>
      <c r="B470" t="n">
        <v>44524.383797</v>
      </c>
    </row>
    <row r="471">
      <c r="A471" t="n">
        <v>467</v>
      </c>
      <c r="B471" t="n">
        <v>44172.174307</v>
      </c>
    </row>
    <row r="472">
      <c r="A472" t="n">
        <v>468</v>
      </c>
      <c r="B472" t="n">
        <v>48578.056904</v>
      </c>
    </row>
    <row r="473">
      <c r="A473" t="n">
        <v>469</v>
      </c>
      <c r="B473" t="n">
        <v>51411.175474</v>
      </c>
    </row>
    <row r="474">
      <c r="A474" t="n">
        <v>470</v>
      </c>
      <c r="B474" t="n">
        <v>49452.790406</v>
      </c>
    </row>
    <row r="475">
      <c r="A475" t="n">
        <v>471</v>
      </c>
      <c r="B475" t="n">
        <v>50535.62084</v>
      </c>
    </row>
    <row r="476">
      <c r="A476" t="n">
        <v>472</v>
      </c>
      <c r="B476" t="n">
        <v>49872.827355</v>
      </c>
    </row>
    <row r="477">
      <c r="A477" t="n">
        <v>473</v>
      </c>
      <c r="B477" t="n">
        <v>49498.487293</v>
      </c>
    </row>
    <row r="478">
      <c r="A478" t="n">
        <v>474</v>
      </c>
      <c r="B478" t="n">
        <v>50204.362959</v>
      </c>
    </row>
    <row r="479">
      <c r="A479" t="n">
        <v>475</v>
      </c>
      <c r="B479" t="n">
        <v>51950.961385</v>
      </c>
    </row>
    <row r="480">
      <c r="A480" t="n">
        <v>476</v>
      </c>
      <c r="B480" t="n">
        <v>51430.456978</v>
      </c>
    </row>
    <row r="481">
      <c r="A481" t="n">
        <v>477</v>
      </c>
      <c r="B481" t="n">
        <v>54324.088247</v>
      </c>
    </row>
    <row r="482">
      <c r="A482" t="n">
        <v>478</v>
      </c>
      <c r="B482" t="n">
        <v>51822.471882</v>
      </c>
    </row>
    <row r="483">
      <c r="A483" t="n">
        <v>479</v>
      </c>
      <c r="B483" t="n">
        <v>52128.752298</v>
      </c>
    </row>
    <row r="484">
      <c r="A484" t="n">
        <v>480</v>
      </c>
      <c r="B484" t="n">
        <v>59103.968679</v>
      </c>
    </row>
    <row r="485">
      <c r="A485" t="n">
        <v>481</v>
      </c>
      <c r="B485" t="n">
        <v>60051.449475</v>
      </c>
    </row>
    <row r="486">
      <c r="A486" t="n">
        <v>482</v>
      </c>
      <c r="B486" t="n">
        <v>64521.533999</v>
      </c>
    </row>
    <row r="487">
      <c r="A487" t="n">
        <v>483</v>
      </c>
      <c r="B487" t="n">
        <v>65158.721623</v>
      </c>
    </row>
    <row r="488">
      <c r="A488" t="n">
        <v>484</v>
      </c>
      <c r="B488" t="n">
        <v>67306.11602</v>
      </c>
    </row>
    <row r="489">
      <c r="A489" t="n">
        <v>485</v>
      </c>
      <c r="B489" t="n">
        <v>67506.80489699999</v>
      </c>
    </row>
    <row r="490">
      <c r="A490" t="n">
        <v>486</v>
      </c>
      <c r="B490" t="n">
        <v>67353.685102</v>
      </c>
    </row>
    <row r="491">
      <c r="A491" t="n">
        <v>487</v>
      </c>
      <c r="B491" t="n">
        <v>65336.763212</v>
      </c>
    </row>
    <row r="492">
      <c r="A492" t="n">
        <v>488</v>
      </c>
      <c r="B492" t="n">
        <v>67022.583902</v>
      </c>
    </row>
    <row r="493">
      <c r="A493" t="n">
        <v>489</v>
      </c>
      <c r="B493" t="n">
        <v>64799.560293</v>
      </c>
    </row>
    <row r="494">
      <c r="A494" t="n">
        <v>490</v>
      </c>
      <c r="B494" t="n">
        <v>67197.825136</v>
      </c>
    </row>
    <row r="495">
      <c r="A495" t="n">
        <v>491</v>
      </c>
      <c r="B495" t="n">
        <v>71048.883667</v>
      </c>
    </row>
    <row r="496">
      <c r="A496" t="n">
        <v>492</v>
      </c>
      <c r="B496" t="n">
        <v>72667.736974</v>
      </c>
    </row>
    <row r="497">
      <c r="A497" t="n">
        <v>493</v>
      </c>
      <c r="B497" t="n">
        <v>72116.02211599999</v>
      </c>
    </row>
    <row r="498">
      <c r="A498" t="n">
        <v>494</v>
      </c>
      <c r="B498" t="n">
        <v>74057.66246799999</v>
      </c>
    </row>
    <row r="499">
      <c r="A499" t="n">
        <v>495</v>
      </c>
      <c r="B499" t="n">
        <v>73419.312535</v>
      </c>
    </row>
    <row r="500">
      <c r="A500" t="n">
        <v>496</v>
      </c>
      <c r="B500" t="n">
        <v>77091.88987499999</v>
      </c>
    </row>
    <row r="501">
      <c r="A501" t="n">
        <v>497</v>
      </c>
      <c r="B501" t="n">
        <v>71236.76601000001</v>
      </c>
    </row>
    <row r="502">
      <c r="A502" t="n">
        <v>498</v>
      </c>
      <c r="B502" t="n">
        <v>70534.92811199999</v>
      </c>
    </row>
    <row r="503">
      <c r="A503" t="n">
        <v>499</v>
      </c>
      <c r="B503" t="n">
        <v>64699.686369</v>
      </c>
    </row>
    <row r="504">
      <c r="A504" t="n">
        <v>500</v>
      </c>
      <c r="B504" t="n">
        <v>60721.780283</v>
      </c>
    </row>
    <row r="505">
      <c r="A505" t="n">
        <v>501</v>
      </c>
      <c r="B505" t="n">
        <v>65033.111654</v>
      </c>
    </row>
    <row r="506">
      <c r="A506" t="n">
        <v>502</v>
      </c>
      <c r="B506" t="n">
        <v>68159.011071</v>
      </c>
    </row>
    <row r="507">
      <c r="A507" t="n">
        <v>503</v>
      </c>
      <c r="B507" t="n">
        <v>66301.46576200001</v>
      </c>
    </row>
    <row r="508">
      <c r="A508" t="n">
        <v>504</v>
      </c>
      <c r="B508" t="n">
        <v>62203.691259</v>
      </c>
    </row>
    <row r="509">
      <c r="A509" t="n">
        <v>505</v>
      </c>
      <c r="B509" t="n">
        <v>54548.413104</v>
      </c>
    </row>
    <row r="510">
      <c r="A510" t="n">
        <v>506</v>
      </c>
      <c r="B510" t="n">
        <v>53494.863447</v>
      </c>
    </row>
    <row r="511">
      <c r="A511" t="n">
        <v>507</v>
      </c>
      <c r="B511" t="n">
        <v>60158.323967</v>
      </c>
    </row>
    <row r="512">
      <c r="A512" t="n">
        <v>508</v>
      </c>
      <c r="B512" t="n">
        <v>61723.594447</v>
      </c>
    </row>
    <row r="513">
      <c r="A513" t="n">
        <v>509</v>
      </c>
      <c r="B513" t="n">
        <v>60486.531896</v>
      </c>
    </row>
    <row r="514">
      <c r="A514" t="n">
        <v>510</v>
      </c>
      <c r="B514" t="n">
        <v>62146.957443</v>
      </c>
    </row>
    <row r="515">
      <c r="A515" t="n">
        <v>511</v>
      </c>
      <c r="B515" t="n">
        <v>58148.744247</v>
      </c>
    </row>
    <row r="516">
      <c r="A516" t="n">
        <v>512</v>
      </c>
      <c r="B516" t="n">
        <v>57677.751263</v>
      </c>
    </row>
    <row r="517">
      <c r="A517" t="n">
        <v>513</v>
      </c>
      <c r="B517" t="n">
        <v>58268.764241</v>
      </c>
    </row>
    <row r="518">
      <c r="A518" t="n">
        <v>514</v>
      </c>
      <c r="B518" t="n">
        <v>58363.421808</v>
      </c>
    </row>
    <row r="519">
      <c r="A519" t="n">
        <v>515</v>
      </c>
      <c r="B519" t="n">
        <v>60874.546086</v>
      </c>
    </row>
    <row r="520">
      <c r="A520" t="n">
        <v>516</v>
      </c>
      <c r="B520" t="n">
        <v>62198.669324</v>
      </c>
    </row>
    <row r="521">
      <c r="A521" t="n">
        <v>517</v>
      </c>
      <c r="B521" t="n">
        <v>64508.839603</v>
      </c>
    </row>
    <row r="522">
      <c r="A522" t="n">
        <v>518</v>
      </c>
      <c r="B522" t="n">
        <v>62840.998871</v>
      </c>
    </row>
    <row r="523">
      <c r="A523" t="n">
        <v>519</v>
      </c>
      <c r="B523" t="n">
        <v>65869.533872</v>
      </c>
    </row>
    <row r="524">
      <c r="A524" t="n">
        <v>520</v>
      </c>
      <c r="B524" t="n">
        <v>71415.390616</v>
      </c>
    </row>
    <row r="525">
      <c r="A525" t="n">
        <v>521</v>
      </c>
      <c r="B525" t="n">
        <v>68669.429453</v>
      </c>
    </row>
    <row r="526">
      <c r="A526" t="n">
        <v>522</v>
      </c>
      <c r="B526" t="n">
        <v>66280.99523099999</v>
      </c>
    </row>
    <row r="527">
      <c r="A527" t="n">
        <v>523</v>
      </c>
      <c r="B527" t="n">
        <v>70895.037893</v>
      </c>
    </row>
    <row r="528">
      <c r="A528" t="n">
        <v>524</v>
      </c>
      <c r="B528" t="n">
        <v>70665.865135</v>
      </c>
    </row>
    <row r="529">
      <c r="A529" t="n">
        <v>525</v>
      </c>
      <c r="B529" t="n">
        <v>75823.053038</v>
      </c>
    </row>
    <row r="530">
      <c r="A530" t="n">
        <v>526</v>
      </c>
      <c r="B530" t="n">
        <v>74706.158154</v>
      </c>
    </row>
    <row r="531">
      <c r="A531" t="n">
        <v>527</v>
      </c>
      <c r="B531" t="n">
        <v>80348.080577</v>
      </c>
    </row>
    <row r="532">
      <c r="A532" t="n">
        <v>528</v>
      </c>
      <c r="B532" t="n">
        <v>81291.484824</v>
      </c>
    </row>
    <row r="533">
      <c r="A533" t="n">
        <v>529</v>
      </c>
      <c r="B533" t="n">
        <v>82728.846637</v>
      </c>
    </row>
    <row r="534">
      <c r="A534" t="n">
        <v>530</v>
      </c>
      <c r="B534" t="n">
        <v>89428.51414499999</v>
      </c>
    </row>
    <row r="535">
      <c r="A535" t="n">
        <v>531</v>
      </c>
      <c r="B535" t="n">
        <v>88440.509672</v>
      </c>
    </row>
    <row r="536">
      <c r="A536" t="n">
        <v>532</v>
      </c>
      <c r="B536" t="n">
        <v>85154.014419</v>
      </c>
    </row>
    <row r="537">
      <c r="A537" t="n">
        <v>533</v>
      </c>
      <c r="B537" t="n">
        <v>83876.313716</v>
      </c>
    </row>
    <row r="538">
      <c r="A538" t="n">
        <v>534</v>
      </c>
      <c r="B538" t="n">
        <v>86128.09529100001</v>
      </c>
    </row>
    <row r="539">
      <c r="A539" t="n">
        <v>535</v>
      </c>
      <c r="B539" t="n">
        <v>80569.192908</v>
      </c>
    </row>
    <row r="540">
      <c r="A540" t="n">
        <v>536</v>
      </c>
      <c r="B540" t="n">
        <v>83442.675426</v>
      </c>
    </row>
    <row r="541">
      <c r="A541" t="n">
        <v>537</v>
      </c>
      <c r="B541" t="n">
        <v>81848.918704</v>
      </c>
    </row>
    <row r="542">
      <c r="A542" t="n">
        <v>538</v>
      </c>
      <c r="B542" t="n">
        <v>86789.902905</v>
      </c>
    </row>
    <row r="543">
      <c r="A543" t="n">
        <v>539</v>
      </c>
      <c r="B543" t="n">
        <v>78140.160403</v>
      </c>
    </row>
    <row r="544">
      <c r="A544" t="n">
        <v>540</v>
      </c>
      <c r="B544" t="n">
        <v>75775.439685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SPIA Monthly Projection (Formula Driven)</t>
        </is>
      </c>
    </row>
    <row r="2">
      <c r="A2" t="inlineStr">
        <is>
          <t>ReserveAtT0</t>
        </is>
      </c>
      <c r="B2" t="n">
        <v>0</v>
      </c>
      <c r="C2">
        <f>Inputs!$B$3</f>
        <v/>
      </c>
      <c r="V2">
        <f>X9</f>
        <v/>
      </c>
    </row>
    <row r="3">
      <c r="A3" s="2" t="inlineStr">
        <is>
          <t>Month</t>
        </is>
      </c>
      <c r="B3" s="2" t="inlineStr">
        <is>
          <t>t_years</t>
        </is>
      </c>
      <c r="C3" s="2" t="inlineStr">
        <is>
          <t>AttainedAge</t>
        </is>
      </c>
      <c r="D3" s="2" t="inlineStr">
        <is>
          <t>IntAge</t>
        </is>
      </c>
      <c r="E3" s="2" t="inlineStr">
        <is>
          <t>CalendarYear</t>
        </is>
      </c>
      <c r="F3" s="2" t="inlineStr">
        <is>
          <t>IndexLevel</t>
        </is>
      </c>
      <c r="G3" s="2" t="inlineStr">
        <is>
          <t>BenefitNominal</t>
        </is>
      </c>
      <c r="H3" s="2" t="inlineStr">
        <is>
          <t>ExpenseNominal</t>
        </is>
      </c>
      <c r="I3" s="2" t="inlineStr">
        <is>
          <t>BaseQx</t>
        </is>
      </c>
      <c r="J3" s="2" t="inlineStr">
        <is>
          <t>CumMP_log_sum</t>
        </is>
      </c>
      <c r="K3" s="2" t="inlineStr">
        <is>
          <t>QxAnnual</t>
        </is>
      </c>
      <c r="L3" s="2" t="inlineStr">
        <is>
          <t>MuYear</t>
        </is>
      </c>
      <c r="M3" s="2" t="inlineStr">
        <is>
          <t>SurvInterval</t>
        </is>
      </c>
      <c r="N3" s="2" t="inlineStr">
        <is>
          <t>SurvivalToPay</t>
        </is>
      </c>
      <c r="O3" s="2" t="inlineStr">
        <is>
          <t>DiscountFactor</t>
        </is>
      </c>
      <c r="P3" s="2" t="inlineStr">
        <is>
          <t>ImpliedZeroFromDF</t>
        </is>
      </c>
      <c r="Q3" s="2" t="inlineStr">
        <is>
          <t>ExpBenefitCF</t>
        </is>
      </c>
      <c r="R3" s="2" t="inlineStr">
        <is>
          <t>ExpExpenseCF</t>
        </is>
      </c>
      <c r="S3" s="2" t="inlineStr">
        <is>
          <t>ExpTotalCF</t>
        </is>
      </c>
      <c r="T3" s="2" t="inlineStr">
        <is>
          <t>PVBenefitCF</t>
        </is>
      </c>
      <c r="U3" s="2" t="inlineStr">
        <is>
          <t>PVExpenseCF</t>
        </is>
      </c>
      <c r="V3" s="2" t="inlineStr">
        <is>
          <t>ReserveAfterPayment</t>
        </is>
      </c>
      <c r="W3" s="2" t="inlineStr">
        <is>
          <t>Summary</t>
        </is>
      </c>
    </row>
    <row r="4">
      <c r="A4" t="n">
        <v>1</v>
      </c>
      <c r="B4">
        <f>A4/Inputs!$B$6</f>
        <v/>
      </c>
      <c r="C4">
        <f>Inputs!$B$3+B4</f>
        <v/>
      </c>
      <c r="D4">
        <f>INT(C4)</f>
        <v/>
      </c>
      <c r="E4">
        <f>Inputs!$B$7+1+INT((A4-1)/Inputs!$B$6)</f>
        <v/>
      </c>
      <c r="F4">
        <f>IFERROR(INDEX(IndexScenario!$B$4:$B$544,MATCH(A4,IndexScenario!$A$4:$A$544,0)),"")</f>
        <v/>
      </c>
      <c r="G4">
        <f>Inputs!$B$22*F4/INDEX(IndexScenario!$B$4:$B$544,MATCH(0,IndexScenario!$A$4:$A$544,0))</f>
        <v/>
      </c>
      <c r="H4">
        <f>Inputs!$B$12</f>
        <v/>
      </c>
      <c r="I4">
        <f>IFERROR(INDEX(BaseQx!$B:$B,MATCH(D4,BaseQx!$A:$A,0)),"")</f>
        <v/>
      </c>
      <c r="J4">
        <f>IF(Inputs!$B$13="rp_mp",SUMIFS(MP2016_Long!$C:$C,MP2016_Long!$A:$A,D4,MP2016_Long!$B:$B,"&gt;=2014",MP2016_Long!$B:$B,"&lt;"&amp;E4),0)</f>
        <v/>
      </c>
      <c r="K4">
        <f>MIN(0.999999,MAX(0,I4*EXP(J4)))</f>
        <v/>
      </c>
      <c r="L4">
        <f>-LN(1-K4)</f>
        <v/>
      </c>
      <c r="M4">
        <f>EXP(-L4/Inputs!$B$6)</f>
        <v/>
      </c>
      <c r="N4">
        <f>M4</f>
        <v/>
      </c>
      <c r="O4">
        <f>IFERROR(INDEX(MonthlyCurve!$L:$L,MATCH(A4,MonthlyCurve!$A:$A,0)),"")</f>
        <v/>
      </c>
      <c r="P4">
        <f>IF(B4&gt;0,-LN(O4)/B4,"")</f>
        <v/>
      </c>
      <c r="Q4">
        <f>G4*N4</f>
        <v/>
      </c>
      <c r="R4">
        <f>H4*N4</f>
        <v/>
      </c>
      <c r="S4">
        <f>Q4+R4</f>
        <v/>
      </c>
      <c r="T4">
        <f>Q4*O4</f>
        <v/>
      </c>
      <c r="U4">
        <f>R4*O4</f>
        <v/>
      </c>
      <c r="V4">
        <f>SUMPRODUCT(S5:S543,O5:O543)/(N4*O4)</f>
        <v/>
      </c>
      <c r="W4" t="inlineStr">
        <is>
          <t>PV Benefits</t>
        </is>
      </c>
      <c r="X4">
        <f>SUM(T4:T543)</f>
        <v/>
      </c>
    </row>
    <row r="5">
      <c r="A5" t="n">
        <v>2</v>
      </c>
      <c r="B5">
        <f>A5/Inputs!$B$6</f>
        <v/>
      </c>
      <c r="C5">
        <f>Inputs!$B$3+B5</f>
        <v/>
      </c>
      <c r="D5">
        <f>INT(C5)</f>
        <v/>
      </c>
      <c r="E5">
        <f>Inputs!$B$7+1+INT((A5-1)/Inputs!$B$6)</f>
        <v/>
      </c>
      <c r="F5">
        <f>IFERROR(INDEX(IndexScenario!$B$4:$B$544,MATCH(A5,IndexScenario!$A$4:$A$544,0)),"")</f>
        <v/>
      </c>
      <c r="G5">
        <f>G4*F5/F4</f>
        <v/>
      </c>
      <c r="H5">
        <f>H4*(1+Inputs!$B$17)^(1/12)</f>
        <v/>
      </c>
      <c r="I5">
        <f>IFERROR(INDEX(BaseQx!$B:$B,MATCH(D5,BaseQx!$A:$A,0)),"")</f>
        <v/>
      </c>
      <c r="J5">
        <f>IF(Inputs!$B$13="rp_mp",SUMIFS(MP2016_Long!$C:$C,MP2016_Long!$A:$A,D5,MP2016_Long!$B:$B,"&gt;=2014",MP2016_Long!$B:$B,"&lt;"&amp;E5),0)</f>
        <v/>
      </c>
      <c r="K5">
        <f>MIN(0.999999,MAX(0,I5*EXP(J5)))</f>
        <v/>
      </c>
      <c r="L5">
        <f>-LN(1-K5)</f>
        <v/>
      </c>
      <c r="M5">
        <f>EXP(-L5/Inputs!$B$6)</f>
        <v/>
      </c>
      <c r="N5">
        <f>N4*M5</f>
        <v/>
      </c>
      <c r="O5">
        <f>IFERROR(INDEX(MonthlyCurve!$L:$L,MATCH(A5,MonthlyCurve!$A:$A,0)),"")</f>
        <v/>
      </c>
      <c r="P5">
        <f>IF(B5&gt;0,-LN(O5)/B5,"")</f>
        <v/>
      </c>
      <c r="Q5">
        <f>G5*N5</f>
        <v/>
      </c>
      <c r="R5">
        <f>H5*N5</f>
        <v/>
      </c>
      <c r="S5">
        <f>Q5+R5</f>
        <v/>
      </c>
      <c r="T5">
        <f>Q5*O5</f>
        <v/>
      </c>
      <c r="U5">
        <f>R5*O5</f>
        <v/>
      </c>
      <c r="V5">
        <f>SUMPRODUCT(S6:S543,O6:O543)/(N5*O5)</f>
        <v/>
      </c>
      <c r="W5" t="inlineStr">
        <is>
          <t>PV Monthly Expenses</t>
        </is>
      </c>
      <c r="X5">
        <f>SUM(U4:U543)</f>
        <v/>
      </c>
    </row>
    <row r="6">
      <c r="A6" t="n">
        <v>3</v>
      </c>
      <c r="B6">
        <f>A6/Inputs!$B$6</f>
        <v/>
      </c>
      <c r="C6">
        <f>Inputs!$B$3+B6</f>
        <v/>
      </c>
      <c r="D6">
        <f>INT(C6)</f>
        <v/>
      </c>
      <c r="E6">
        <f>Inputs!$B$7+1+INT((A6-1)/Inputs!$B$6)</f>
        <v/>
      </c>
      <c r="F6">
        <f>IFERROR(INDEX(IndexScenario!$B$4:$B$544,MATCH(A6,IndexScenario!$A$4:$A$544,0)),"")</f>
        <v/>
      </c>
      <c r="G6">
        <f>G5*F6/F5</f>
        <v/>
      </c>
      <c r="H6">
        <f>H5*(1+Inputs!$B$17)^(1/12)</f>
        <v/>
      </c>
      <c r="I6">
        <f>IFERROR(INDEX(BaseQx!$B:$B,MATCH(D6,BaseQx!$A:$A,0)),"")</f>
        <v/>
      </c>
      <c r="J6">
        <f>IF(Inputs!$B$13="rp_mp",SUMIFS(MP2016_Long!$C:$C,MP2016_Long!$A:$A,D6,MP2016_Long!$B:$B,"&gt;=2014",MP2016_Long!$B:$B,"&lt;"&amp;E6),0)</f>
        <v/>
      </c>
      <c r="K6">
        <f>MIN(0.999999,MAX(0,I6*EXP(J6)))</f>
        <v/>
      </c>
      <c r="L6">
        <f>-LN(1-K6)</f>
        <v/>
      </c>
      <c r="M6">
        <f>EXP(-L6/Inputs!$B$6)</f>
        <v/>
      </c>
      <c r="N6">
        <f>N5*M6</f>
        <v/>
      </c>
      <c r="O6">
        <f>IFERROR(INDEX(MonthlyCurve!$L:$L,MATCH(A6,MonthlyCurve!$A:$A,0)),"")</f>
        <v/>
      </c>
      <c r="P6">
        <f>IF(B6&gt;0,-LN(O6)/B6,"")</f>
        <v/>
      </c>
      <c r="Q6">
        <f>G6*N6</f>
        <v/>
      </c>
      <c r="R6">
        <f>H6*N6</f>
        <v/>
      </c>
      <c r="S6">
        <f>Q6+R6</f>
        <v/>
      </c>
      <c r="T6">
        <f>Q6*O6</f>
        <v/>
      </c>
      <c r="U6">
        <f>R6*O6</f>
        <v/>
      </c>
      <c r="V6">
        <f>SUMPRODUCT(S7:S543,O7:O543)/(N6*O6)</f>
        <v/>
      </c>
      <c r="W6" t="inlineStr">
        <is>
          <t>Annuity Factor</t>
        </is>
      </c>
      <c r="X6">
        <f>SUMPRODUCT(N4:N543,O4:O543)</f>
        <v/>
      </c>
    </row>
    <row r="7">
      <c r="A7" t="n">
        <v>4</v>
      </c>
      <c r="B7">
        <f>A7/Inputs!$B$6</f>
        <v/>
      </c>
      <c r="C7">
        <f>Inputs!$B$3+B7</f>
        <v/>
      </c>
      <c r="D7">
        <f>INT(C7)</f>
        <v/>
      </c>
      <c r="E7">
        <f>Inputs!$B$7+1+INT((A7-1)/Inputs!$B$6)</f>
        <v/>
      </c>
      <c r="F7">
        <f>IFERROR(INDEX(IndexScenario!$B$4:$B$544,MATCH(A7,IndexScenario!$A$4:$A$544,0)),"")</f>
        <v/>
      </c>
      <c r="G7">
        <f>G6*F7/F6</f>
        <v/>
      </c>
      <c r="H7">
        <f>H6*(1+Inputs!$B$17)^(1/12)</f>
        <v/>
      </c>
      <c r="I7">
        <f>IFERROR(INDEX(BaseQx!$B:$B,MATCH(D7,BaseQx!$A:$A,0)),"")</f>
        <v/>
      </c>
      <c r="J7">
        <f>IF(Inputs!$B$13="rp_mp",SUMIFS(MP2016_Long!$C:$C,MP2016_Long!$A:$A,D7,MP2016_Long!$B:$B,"&gt;=2014",MP2016_Long!$B:$B,"&lt;"&amp;E7),0)</f>
        <v/>
      </c>
      <c r="K7">
        <f>MIN(0.999999,MAX(0,I7*EXP(J7)))</f>
        <v/>
      </c>
      <c r="L7">
        <f>-LN(1-K7)</f>
        <v/>
      </c>
      <c r="M7">
        <f>EXP(-L7/Inputs!$B$6)</f>
        <v/>
      </c>
      <c r="N7">
        <f>N6*M7</f>
        <v/>
      </c>
      <c r="O7">
        <f>IFERROR(INDEX(MonthlyCurve!$L:$L,MATCH(A7,MonthlyCurve!$A:$A,0)),"")</f>
        <v/>
      </c>
      <c r="P7">
        <f>IF(B7&gt;0,-LN(O7)/B7,"")</f>
        <v/>
      </c>
      <c r="Q7">
        <f>G7*N7</f>
        <v/>
      </c>
      <c r="R7">
        <f>H7*N7</f>
        <v/>
      </c>
      <c r="S7">
        <f>Q7+R7</f>
        <v/>
      </c>
      <c r="T7">
        <f>Q7*O7</f>
        <v/>
      </c>
      <c r="U7">
        <f>R7*O7</f>
        <v/>
      </c>
      <c r="V7">
        <f>SUMPRODUCT(S8:S543,O8:O543)/(N7*O7)</f>
        <v/>
      </c>
      <c r="W7" t="inlineStr">
        <is>
          <t>PV Monthly Total</t>
        </is>
      </c>
      <c r="X7">
        <f>X4+X5</f>
        <v/>
      </c>
    </row>
    <row r="8">
      <c r="A8" t="n">
        <v>5</v>
      </c>
      <c r="B8">
        <f>A8/Inputs!$B$6</f>
        <v/>
      </c>
      <c r="C8">
        <f>Inputs!$B$3+B8</f>
        <v/>
      </c>
      <c r="D8">
        <f>INT(C8)</f>
        <v/>
      </c>
      <c r="E8">
        <f>Inputs!$B$7+1+INT((A8-1)/Inputs!$B$6)</f>
        <v/>
      </c>
      <c r="F8">
        <f>IFERROR(INDEX(IndexScenario!$B$4:$B$544,MATCH(A8,IndexScenario!$A$4:$A$544,0)),"")</f>
        <v/>
      </c>
      <c r="G8">
        <f>G7*F8/F7</f>
        <v/>
      </c>
      <c r="H8">
        <f>H7*(1+Inputs!$B$17)^(1/12)</f>
        <v/>
      </c>
      <c r="I8">
        <f>IFERROR(INDEX(BaseQx!$B:$B,MATCH(D8,BaseQx!$A:$A,0)),"")</f>
        <v/>
      </c>
      <c r="J8">
        <f>IF(Inputs!$B$13="rp_mp",SUMIFS(MP2016_Long!$C:$C,MP2016_Long!$A:$A,D8,MP2016_Long!$B:$B,"&gt;=2014",MP2016_Long!$B:$B,"&lt;"&amp;E8),0)</f>
        <v/>
      </c>
      <c r="K8">
        <f>MIN(0.999999,MAX(0,I8*EXP(J8)))</f>
        <v/>
      </c>
      <c r="L8">
        <f>-LN(1-K8)</f>
        <v/>
      </c>
      <c r="M8">
        <f>EXP(-L8/Inputs!$B$6)</f>
        <v/>
      </c>
      <c r="N8">
        <f>N7*M8</f>
        <v/>
      </c>
      <c r="O8">
        <f>IFERROR(INDEX(MonthlyCurve!$L:$L,MATCH(A8,MonthlyCurve!$A:$A,0)),"")</f>
        <v/>
      </c>
      <c r="P8">
        <f>IF(B8&gt;0,-LN(O8)/B8,"")</f>
        <v/>
      </c>
      <c r="Q8">
        <f>G8*N8</f>
        <v/>
      </c>
      <c r="R8">
        <f>H8*N8</f>
        <v/>
      </c>
      <c r="S8">
        <f>Q8+R8</f>
        <v/>
      </c>
      <c r="T8">
        <f>Q8*O8</f>
        <v/>
      </c>
      <c r="U8">
        <f>R8*O8</f>
        <v/>
      </c>
      <c r="V8">
        <f>SUMPRODUCT(S9:S543,O9:O543)/(N8*O8)</f>
        <v/>
      </c>
      <c r="W8" t="inlineStr">
        <is>
          <t>Single Premium</t>
        </is>
      </c>
      <c r="X8">
        <f>(Inputs!$B$10+X7)/(1-Inputs!$B$11)</f>
        <v/>
      </c>
    </row>
    <row r="9">
      <c r="A9" t="n">
        <v>6</v>
      </c>
      <c r="B9">
        <f>A9/Inputs!$B$6</f>
        <v/>
      </c>
      <c r="C9">
        <f>Inputs!$B$3+B9</f>
        <v/>
      </c>
      <c r="D9">
        <f>INT(C9)</f>
        <v/>
      </c>
      <c r="E9">
        <f>Inputs!$B$7+1+INT((A9-1)/Inputs!$B$6)</f>
        <v/>
      </c>
      <c r="F9">
        <f>IFERROR(INDEX(IndexScenario!$B$4:$B$544,MATCH(A9,IndexScenario!$A$4:$A$544,0)),"")</f>
        <v/>
      </c>
      <c r="G9">
        <f>G8*F9/F8</f>
        <v/>
      </c>
      <c r="H9">
        <f>H8*(1+Inputs!$B$17)^(1/12)</f>
        <v/>
      </c>
      <c r="I9">
        <f>IFERROR(INDEX(BaseQx!$B:$B,MATCH(D9,BaseQx!$A:$A,0)),"")</f>
        <v/>
      </c>
      <c r="J9">
        <f>IF(Inputs!$B$13="rp_mp",SUMIFS(MP2016_Long!$C:$C,MP2016_Long!$A:$A,D9,MP2016_Long!$B:$B,"&gt;=2014",MP2016_Long!$B:$B,"&lt;"&amp;E9),0)</f>
        <v/>
      </c>
      <c r="K9">
        <f>MIN(0.999999,MAX(0,I9*EXP(J9)))</f>
        <v/>
      </c>
      <c r="L9">
        <f>-LN(1-K9)</f>
        <v/>
      </c>
      <c r="M9">
        <f>EXP(-L9/Inputs!$B$6)</f>
        <v/>
      </c>
      <c r="N9">
        <f>N8*M9</f>
        <v/>
      </c>
      <c r="O9">
        <f>IFERROR(INDEX(MonthlyCurve!$L:$L,MATCH(A9,MonthlyCurve!$A:$A,0)),"")</f>
        <v/>
      </c>
      <c r="P9">
        <f>IF(B9&gt;0,-LN(O9)/B9,"")</f>
        <v/>
      </c>
      <c r="Q9">
        <f>G9*N9</f>
        <v/>
      </c>
      <c r="R9">
        <f>H9*N9</f>
        <v/>
      </c>
      <c r="S9">
        <f>Q9+R9</f>
        <v/>
      </c>
      <c r="T9">
        <f>Q9*O9</f>
        <v/>
      </c>
      <c r="U9">
        <f>R9*O9</f>
        <v/>
      </c>
      <c r="V9">
        <f>SUMPRODUCT(S10:S543,O10:O543)/(N9*O9)</f>
        <v/>
      </c>
      <c r="W9" t="inlineStr">
        <is>
          <t>Reserve at t=0</t>
        </is>
      </c>
      <c r="X9">
        <f>X7</f>
        <v/>
      </c>
    </row>
    <row r="10">
      <c r="A10" t="n">
        <v>7</v>
      </c>
      <c r="B10">
        <f>A10/Inputs!$B$6</f>
        <v/>
      </c>
      <c r="C10">
        <f>Inputs!$B$3+B10</f>
        <v/>
      </c>
      <c r="D10">
        <f>INT(C10)</f>
        <v/>
      </c>
      <c r="E10">
        <f>Inputs!$B$7+1+INT((A10-1)/Inputs!$B$6)</f>
        <v/>
      </c>
      <c r="F10">
        <f>IFERROR(INDEX(IndexScenario!$B$4:$B$544,MATCH(A10,IndexScenario!$A$4:$A$544,0)),"")</f>
        <v/>
      </c>
      <c r="G10">
        <f>G9*F10/F9</f>
        <v/>
      </c>
      <c r="H10">
        <f>H9*(1+Inputs!$B$17)^(1/12)</f>
        <v/>
      </c>
      <c r="I10">
        <f>IFERROR(INDEX(BaseQx!$B:$B,MATCH(D10,BaseQx!$A:$A,0)),"")</f>
        <v/>
      </c>
      <c r="J10">
        <f>IF(Inputs!$B$13="rp_mp",SUMIFS(MP2016_Long!$C:$C,MP2016_Long!$A:$A,D10,MP2016_Long!$B:$B,"&gt;=2014",MP2016_Long!$B:$B,"&lt;"&amp;E10),0)</f>
        <v/>
      </c>
      <c r="K10">
        <f>MIN(0.999999,MAX(0,I10*EXP(J10)))</f>
        <v/>
      </c>
      <c r="L10">
        <f>-LN(1-K10)</f>
        <v/>
      </c>
      <c r="M10">
        <f>EXP(-L10/Inputs!$B$6)</f>
        <v/>
      </c>
      <c r="N10">
        <f>N9*M10</f>
        <v/>
      </c>
      <c r="O10">
        <f>IFERROR(INDEX(MonthlyCurve!$L:$L,MATCH(A10,MonthlyCurve!$A:$A,0)),"")</f>
        <v/>
      </c>
      <c r="P10">
        <f>IF(B10&gt;0,-LN(O10)/B10,"")</f>
        <v/>
      </c>
      <c r="Q10">
        <f>G10*N10</f>
        <v/>
      </c>
      <c r="R10">
        <f>H10*N10</f>
        <v/>
      </c>
      <c r="S10">
        <f>Q10+R10</f>
        <v/>
      </c>
      <c r="T10">
        <f>Q10*O10</f>
        <v/>
      </c>
      <c r="U10">
        <f>R10*O10</f>
        <v/>
      </c>
      <c r="V10">
        <f>SUMPRODUCT(S11:S543,O11:O543)/(N10*O10)</f>
        <v/>
      </c>
    </row>
    <row r="11">
      <c r="A11" t="n">
        <v>8</v>
      </c>
      <c r="B11">
        <f>A11/Inputs!$B$6</f>
        <v/>
      </c>
      <c r="C11">
        <f>Inputs!$B$3+B11</f>
        <v/>
      </c>
      <c r="D11">
        <f>INT(C11)</f>
        <v/>
      </c>
      <c r="E11">
        <f>Inputs!$B$7+1+INT((A11-1)/Inputs!$B$6)</f>
        <v/>
      </c>
      <c r="F11">
        <f>IFERROR(INDEX(IndexScenario!$B$4:$B$544,MATCH(A11,IndexScenario!$A$4:$A$544,0)),"")</f>
        <v/>
      </c>
      <c r="G11">
        <f>G10*F11/F10</f>
        <v/>
      </c>
      <c r="H11">
        <f>H10*(1+Inputs!$B$17)^(1/12)</f>
        <v/>
      </c>
      <c r="I11">
        <f>IFERROR(INDEX(BaseQx!$B:$B,MATCH(D11,BaseQx!$A:$A,0)),"")</f>
        <v/>
      </c>
      <c r="J11">
        <f>IF(Inputs!$B$13="rp_mp",SUMIFS(MP2016_Long!$C:$C,MP2016_Long!$A:$A,D11,MP2016_Long!$B:$B,"&gt;=2014",MP2016_Long!$B:$B,"&lt;"&amp;E11),0)</f>
        <v/>
      </c>
      <c r="K11">
        <f>MIN(0.999999,MAX(0,I11*EXP(J11)))</f>
        <v/>
      </c>
      <c r="L11">
        <f>-LN(1-K11)</f>
        <v/>
      </c>
      <c r="M11">
        <f>EXP(-L11/Inputs!$B$6)</f>
        <v/>
      </c>
      <c r="N11">
        <f>N10*M11</f>
        <v/>
      </c>
      <c r="O11">
        <f>IFERROR(INDEX(MonthlyCurve!$L:$L,MATCH(A11,MonthlyCurve!$A:$A,0)),"")</f>
        <v/>
      </c>
      <c r="P11">
        <f>IF(B11&gt;0,-LN(O11)/B11,"")</f>
        <v/>
      </c>
      <c r="Q11">
        <f>G11*N11</f>
        <v/>
      </c>
      <c r="R11">
        <f>H11*N11</f>
        <v/>
      </c>
      <c r="S11">
        <f>Q11+R11</f>
        <v/>
      </c>
      <c r="T11">
        <f>Q11*O11</f>
        <v/>
      </c>
      <c r="U11">
        <f>R11*O11</f>
        <v/>
      </c>
      <c r="V11">
        <f>SUMPRODUCT(S12:S543,O12:O543)/(N11*O11)</f>
        <v/>
      </c>
    </row>
    <row r="12">
      <c r="A12" t="n">
        <v>9</v>
      </c>
      <c r="B12">
        <f>A12/Inputs!$B$6</f>
        <v/>
      </c>
      <c r="C12">
        <f>Inputs!$B$3+B12</f>
        <v/>
      </c>
      <c r="D12">
        <f>INT(C12)</f>
        <v/>
      </c>
      <c r="E12">
        <f>Inputs!$B$7+1+INT((A12-1)/Inputs!$B$6)</f>
        <v/>
      </c>
      <c r="F12">
        <f>IFERROR(INDEX(IndexScenario!$B$4:$B$544,MATCH(A12,IndexScenario!$A$4:$A$544,0)),"")</f>
        <v/>
      </c>
      <c r="G12">
        <f>G11*F12/F11</f>
        <v/>
      </c>
      <c r="H12">
        <f>H11*(1+Inputs!$B$17)^(1/12)</f>
        <v/>
      </c>
      <c r="I12">
        <f>IFERROR(INDEX(BaseQx!$B:$B,MATCH(D12,BaseQx!$A:$A,0)),"")</f>
        <v/>
      </c>
      <c r="J12">
        <f>IF(Inputs!$B$13="rp_mp",SUMIFS(MP2016_Long!$C:$C,MP2016_Long!$A:$A,D12,MP2016_Long!$B:$B,"&gt;=2014",MP2016_Long!$B:$B,"&lt;"&amp;E12),0)</f>
        <v/>
      </c>
      <c r="K12">
        <f>MIN(0.999999,MAX(0,I12*EXP(J12)))</f>
        <v/>
      </c>
      <c r="L12">
        <f>-LN(1-K12)</f>
        <v/>
      </c>
      <c r="M12">
        <f>EXP(-L12/Inputs!$B$6)</f>
        <v/>
      </c>
      <c r="N12">
        <f>N11*M12</f>
        <v/>
      </c>
      <c r="O12">
        <f>IFERROR(INDEX(MonthlyCurve!$L:$L,MATCH(A12,MonthlyCurve!$A:$A,0)),"")</f>
        <v/>
      </c>
      <c r="P12">
        <f>IF(B12&gt;0,-LN(O12)/B12,"")</f>
        <v/>
      </c>
      <c r="Q12">
        <f>G12*N12</f>
        <v/>
      </c>
      <c r="R12">
        <f>H12*N12</f>
        <v/>
      </c>
      <c r="S12">
        <f>Q12+R12</f>
        <v/>
      </c>
      <c r="T12">
        <f>Q12*O12</f>
        <v/>
      </c>
      <c r="U12">
        <f>R12*O12</f>
        <v/>
      </c>
      <c r="V12">
        <f>SUMPRODUCT(S13:S543,O13:O543)/(N12*O12)</f>
        <v/>
      </c>
    </row>
    <row r="13">
      <c r="A13" t="n">
        <v>10</v>
      </c>
      <c r="B13">
        <f>A13/Inputs!$B$6</f>
        <v/>
      </c>
      <c r="C13">
        <f>Inputs!$B$3+B13</f>
        <v/>
      </c>
      <c r="D13">
        <f>INT(C13)</f>
        <v/>
      </c>
      <c r="E13">
        <f>Inputs!$B$7+1+INT((A13-1)/Inputs!$B$6)</f>
        <v/>
      </c>
      <c r="F13">
        <f>IFERROR(INDEX(IndexScenario!$B$4:$B$544,MATCH(A13,IndexScenario!$A$4:$A$544,0)),"")</f>
        <v/>
      </c>
      <c r="G13">
        <f>G12*F13/F12</f>
        <v/>
      </c>
      <c r="H13">
        <f>H12*(1+Inputs!$B$17)^(1/12)</f>
        <v/>
      </c>
      <c r="I13">
        <f>IFERROR(INDEX(BaseQx!$B:$B,MATCH(D13,BaseQx!$A:$A,0)),"")</f>
        <v/>
      </c>
      <c r="J13">
        <f>IF(Inputs!$B$13="rp_mp",SUMIFS(MP2016_Long!$C:$C,MP2016_Long!$A:$A,D13,MP2016_Long!$B:$B,"&gt;=2014",MP2016_Long!$B:$B,"&lt;"&amp;E13),0)</f>
        <v/>
      </c>
      <c r="K13">
        <f>MIN(0.999999,MAX(0,I13*EXP(J13)))</f>
        <v/>
      </c>
      <c r="L13">
        <f>-LN(1-K13)</f>
        <v/>
      </c>
      <c r="M13">
        <f>EXP(-L13/Inputs!$B$6)</f>
        <v/>
      </c>
      <c r="N13">
        <f>N12*M13</f>
        <v/>
      </c>
      <c r="O13">
        <f>IFERROR(INDEX(MonthlyCurve!$L:$L,MATCH(A13,MonthlyCurve!$A:$A,0)),"")</f>
        <v/>
      </c>
      <c r="P13">
        <f>IF(B13&gt;0,-LN(O13)/B13,"")</f>
        <v/>
      </c>
      <c r="Q13">
        <f>G13*N13</f>
        <v/>
      </c>
      <c r="R13">
        <f>H13*N13</f>
        <v/>
      </c>
      <c r="S13">
        <f>Q13+R13</f>
        <v/>
      </c>
      <c r="T13">
        <f>Q13*O13</f>
        <v/>
      </c>
      <c r="U13">
        <f>R13*O13</f>
        <v/>
      </c>
      <c r="V13">
        <f>SUMPRODUCT(S14:S543,O14:O543)/(N13*O13)</f>
        <v/>
      </c>
    </row>
    <row r="14">
      <c r="A14" t="n">
        <v>11</v>
      </c>
      <c r="B14">
        <f>A14/Inputs!$B$6</f>
        <v/>
      </c>
      <c r="C14">
        <f>Inputs!$B$3+B14</f>
        <v/>
      </c>
      <c r="D14">
        <f>INT(C14)</f>
        <v/>
      </c>
      <c r="E14">
        <f>Inputs!$B$7+1+INT((A14-1)/Inputs!$B$6)</f>
        <v/>
      </c>
      <c r="F14">
        <f>IFERROR(INDEX(IndexScenario!$B$4:$B$544,MATCH(A14,IndexScenario!$A$4:$A$544,0)),"")</f>
        <v/>
      </c>
      <c r="G14">
        <f>G13*F14/F13</f>
        <v/>
      </c>
      <c r="H14">
        <f>H13*(1+Inputs!$B$17)^(1/12)</f>
        <v/>
      </c>
      <c r="I14">
        <f>IFERROR(INDEX(BaseQx!$B:$B,MATCH(D14,BaseQx!$A:$A,0)),"")</f>
        <v/>
      </c>
      <c r="J14">
        <f>IF(Inputs!$B$13="rp_mp",SUMIFS(MP2016_Long!$C:$C,MP2016_Long!$A:$A,D14,MP2016_Long!$B:$B,"&gt;=2014",MP2016_Long!$B:$B,"&lt;"&amp;E14),0)</f>
        <v/>
      </c>
      <c r="K14">
        <f>MIN(0.999999,MAX(0,I14*EXP(J14)))</f>
        <v/>
      </c>
      <c r="L14">
        <f>-LN(1-K14)</f>
        <v/>
      </c>
      <c r="M14">
        <f>EXP(-L14/Inputs!$B$6)</f>
        <v/>
      </c>
      <c r="N14">
        <f>N13*M14</f>
        <v/>
      </c>
      <c r="O14">
        <f>IFERROR(INDEX(MonthlyCurve!$L:$L,MATCH(A14,MonthlyCurve!$A:$A,0)),"")</f>
        <v/>
      </c>
      <c r="P14">
        <f>IF(B14&gt;0,-LN(O14)/B14,"")</f>
        <v/>
      </c>
      <c r="Q14">
        <f>G14*N14</f>
        <v/>
      </c>
      <c r="R14">
        <f>H14*N14</f>
        <v/>
      </c>
      <c r="S14">
        <f>Q14+R14</f>
        <v/>
      </c>
      <c r="T14">
        <f>Q14*O14</f>
        <v/>
      </c>
      <c r="U14">
        <f>R14*O14</f>
        <v/>
      </c>
      <c r="V14">
        <f>SUMPRODUCT(S15:S543,O15:O543)/(N14*O14)</f>
        <v/>
      </c>
    </row>
    <row r="15">
      <c r="A15" t="n">
        <v>12</v>
      </c>
      <c r="B15">
        <f>A15/Inputs!$B$6</f>
        <v/>
      </c>
      <c r="C15">
        <f>Inputs!$B$3+B15</f>
        <v/>
      </c>
      <c r="D15">
        <f>INT(C15)</f>
        <v/>
      </c>
      <c r="E15">
        <f>Inputs!$B$7+1+INT((A15-1)/Inputs!$B$6)</f>
        <v/>
      </c>
      <c r="F15">
        <f>IFERROR(INDEX(IndexScenario!$B$4:$B$544,MATCH(A15,IndexScenario!$A$4:$A$544,0)),"")</f>
        <v/>
      </c>
      <c r="G15">
        <f>G14*F15/F14</f>
        <v/>
      </c>
      <c r="H15">
        <f>H14*(1+Inputs!$B$17)^(1/12)</f>
        <v/>
      </c>
      <c r="I15">
        <f>IFERROR(INDEX(BaseQx!$B:$B,MATCH(D15,BaseQx!$A:$A,0)),"")</f>
        <v/>
      </c>
      <c r="J15">
        <f>IF(Inputs!$B$13="rp_mp",SUMIFS(MP2016_Long!$C:$C,MP2016_Long!$A:$A,D15,MP2016_Long!$B:$B,"&gt;=2014",MP2016_Long!$B:$B,"&lt;"&amp;E15),0)</f>
        <v/>
      </c>
      <c r="K15">
        <f>MIN(0.999999,MAX(0,I15*EXP(J15)))</f>
        <v/>
      </c>
      <c r="L15">
        <f>-LN(1-K15)</f>
        <v/>
      </c>
      <c r="M15">
        <f>EXP(-L15/Inputs!$B$6)</f>
        <v/>
      </c>
      <c r="N15">
        <f>N14*M15</f>
        <v/>
      </c>
      <c r="O15">
        <f>IFERROR(INDEX(MonthlyCurve!$L:$L,MATCH(A15,MonthlyCurve!$A:$A,0)),"")</f>
        <v/>
      </c>
      <c r="P15">
        <f>IF(B15&gt;0,-LN(O15)/B15,"")</f>
        <v/>
      </c>
      <c r="Q15">
        <f>G15*N15</f>
        <v/>
      </c>
      <c r="R15">
        <f>H15*N15</f>
        <v/>
      </c>
      <c r="S15">
        <f>Q15+R15</f>
        <v/>
      </c>
      <c r="T15">
        <f>Q15*O15</f>
        <v/>
      </c>
      <c r="U15">
        <f>R15*O15</f>
        <v/>
      </c>
      <c r="V15">
        <f>SUMPRODUCT(S16:S543,O16:O543)/(N15*O15)</f>
        <v/>
      </c>
    </row>
    <row r="16">
      <c r="A16" t="n">
        <v>13</v>
      </c>
      <c r="B16">
        <f>A16/Inputs!$B$6</f>
        <v/>
      </c>
      <c r="C16">
        <f>Inputs!$B$3+B16</f>
        <v/>
      </c>
      <c r="D16">
        <f>INT(C16)</f>
        <v/>
      </c>
      <c r="E16">
        <f>Inputs!$B$7+1+INT((A16-1)/Inputs!$B$6)</f>
        <v/>
      </c>
      <c r="F16">
        <f>IFERROR(INDEX(IndexScenario!$B$4:$B$544,MATCH(A16,IndexScenario!$A$4:$A$544,0)),"")</f>
        <v/>
      </c>
      <c r="G16">
        <f>G15*F16/F15</f>
        <v/>
      </c>
      <c r="H16">
        <f>H15*(1+Inputs!$B$17)^(1/12)</f>
        <v/>
      </c>
      <c r="I16">
        <f>IFERROR(INDEX(BaseQx!$B:$B,MATCH(D16,BaseQx!$A:$A,0)),"")</f>
        <v/>
      </c>
      <c r="J16">
        <f>IF(Inputs!$B$13="rp_mp",SUMIFS(MP2016_Long!$C:$C,MP2016_Long!$A:$A,D16,MP2016_Long!$B:$B,"&gt;=2014",MP2016_Long!$B:$B,"&lt;"&amp;E16),0)</f>
        <v/>
      </c>
      <c r="K16">
        <f>MIN(0.999999,MAX(0,I16*EXP(J16)))</f>
        <v/>
      </c>
      <c r="L16">
        <f>-LN(1-K16)</f>
        <v/>
      </c>
      <c r="M16">
        <f>EXP(-L16/Inputs!$B$6)</f>
        <v/>
      </c>
      <c r="N16">
        <f>N15*M16</f>
        <v/>
      </c>
      <c r="O16">
        <f>IFERROR(INDEX(MonthlyCurve!$L:$L,MATCH(A16,MonthlyCurve!$A:$A,0)),"")</f>
        <v/>
      </c>
      <c r="P16">
        <f>IF(B16&gt;0,-LN(O16)/B16,"")</f>
        <v/>
      </c>
      <c r="Q16">
        <f>G16*N16</f>
        <v/>
      </c>
      <c r="R16">
        <f>H16*N16</f>
        <v/>
      </c>
      <c r="S16">
        <f>Q16+R16</f>
        <v/>
      </c>
      <c r="T16">
        <f>Q16*O16</f>
        <v/>
      </c>
      <c r="U16">
        <f>R16*O16</f>
        <v/>
      </c>
      <c r="V16">
        <f>SUMPRODUCT(S17:S543,O17:O543)/(N16*O16)</f>
        <v/>
      </c>
    </row>
    <row r="17">
      <c r="A17" t="n">
        <v>14</v>
      </c>
      <c r="B17">
        <f>A17/Inputs!$B$6</f>
        <v/>
      </c>
      <c r="C17">
        <f>Inputs!$B$3+B17</f>
        <v/>
      </c>
      <c r="D17">
        <f>INT(C17)</f>
        <v/>
      </c>
      <c r="E17">
        <f>Inputs!$B$7+1+INT((A17-1)/Inputs!$B$6)</f>
        <v/>
      </c>
      <c r="F17">
        <f>IFERROR(INDEX(IndexScenario!$B$4:$B$544,MATCH(A17,IndexScenario!$A$4:$A$544,0)),"")</f>
        <v/>
      </c>
      <c r="G17">
        <f>G16*F17/F16</f>
        <v/>
      </c>
      <c r="H17">
        <f>H16*(1+Inputs!$B$17)^(1/12)</f>
        <v/>
      </c>
      <c r="I17">
        <f>IFERROR(INDEX(BaseQx!$B:$B,MATCH(D17,BaseQx!$A:$A,0)),"")</f>
        <v/>
      </c>
      <c r="J17">
        <f>IF(Inputs!$B$13="rp_mp",SUMIFS(MP2016_Long!$C:$C,MP2016_Long!$A:$A,D17,MP2016_Long!$B:$B,"&gt;=2014",MP2016_Long!$B:$B,"&lt;"&amp;E17),0)</f>
        <v/>
      </c>
      <c r="K17">
        <f>MIN(0.999999,MAX(0,I17*EXP(J17)))</f>
        <v/>
      </c>
      <c r="L17">
        <f>-LN(1-K17)</f>
        <v/>
      </c>
      <c r="M17">
        <f>EXP(-L17/Inputs!$B$6)</f>
        <v/>
      </c>
      <c r="N17">
        <f>N16*M17</f>
        <v/>
      </c>
      <c r="O17">
        <f>IFERROR(INDEX(MonthlyCurve!$L:$L,MATCH(A17,MonthlyCurve!$A:$A,0)),"")</f>
        <v/>
      </c>
      <c r="P17">
        <f>IF(B17&gt;0,-LN(O17)/B17,"")</f>
        <v/>
      </c>
      <c r="Q17">
        <f>G17*N17</f>
        <v/>
      </c>
      <c r="R17">
        <f>H17*N17</f>
        <v/>
      </c>
      <c r="S17">
        <f>Q17+R17</f>
        <v/>
      </c>
      <c r="T17">
        <f>Q17*O17</f>
        <v/>
      </c>
      <c r="U17">
        <f>R17*O17</f>
        <v/>
      </c>
      <c r="V17">
        <f>SUMPRODUCT(S18:S543,O18:O543)/(N17*O17)</f>
        <v/>
      </c>
    </row>
    <row r="18">
      <c r="A18" t="n">
        <v>15</v>
      </c>
      <c r="B18">
        <f>A18/Inputs!$B$6</f>
        <v/>
      </c>
      <c r="C18">
        <f>Inputs!$B$3+B18</f>
        <v/>
      </c>
      <c r="D18">
        <f>INT(C18)</f>
        <v/>
      </c>
      <c r="E18">
        <f>Inputs!$B$7+1+INT((A18-1)/Inputs!$B$6)</f>
        <v/>
      </c>
      <c r="F18">
        <f>IFERROR(INDEX(IndexScenario!$B$4:$B$544,MATCH(A18,IndexScenario!$A$4:$A$544,0)),"")</f>
        <v/>
      </c>
      <c r="G18">
        <f>G17*F18/F17</f>
        <v/>
      </c>
      <c r="H18">
        <f>H17*(1+Inputs!$B$17)^(1/12)</f>
        <v/>
      </c>
      <c r="I18">
        <f>IFERROR(INDEX(BaseQx!$B:$B,MATCH(D18,BaseQx!$A:$A,0)),"")</f>
        <v/>
      </c>
      <c r="J18">
        <f>IF(Inputs!$B$13="rp_mp",SUMIFS(MP2016_Long!$C:$C,MP2016_Long!$A:$A,D18,MP2016_Long!$B:$B,"&gt;=2014",MP2016_Long!$B:$B,"&lt;"&amp;E18),0)</f>
        <v/>
      </c>
      <c r="K18">
        <f>MIN(0.999999,MAX(0,I18*EXP(J18)))</f>
        <v/>
      </c>
      <c r="L18">
        <f>-LN(1-K18)</f>
        <v/>
      </c>
      <c r="M18">
        <f>EXP(-L18/Inputs!$B$6)</f>
        <v/>
      </c>
      <c r="N18">
        <f>N17*M18</f>
        <v/>
      </c>
      <c r="O18">
        <f>IFERROR(INDEX(MonthlyCurve!$L:$L,MATCH(A18,MonthlyCurve!$A:$A,0)),"")</f>
        <v/>
      </c>
      <c r="P18">
        <f>IF(B18&gt;0,-LN(O18)/B18,"")</f>
        <v/>
      </c>
      <c r="Q18">
        <f>G18*N18</f>
        <v/>
      </c>
      <c r="R18">
        <f>H18*N18</f>
        <v/>
      </c>
      <c r="S18">
        <f>Q18+R18</f>
        <v/>
      </c>
      <c r="T18">
        <f>Q18*O18</f>
        <v/>
      </c>
      <c r="U18">
        <f>R18*O18</f>
        <v/>
      </c>
      <c r="V18">
        <f>SUMPRODUCT(S19:S543,O19:O543)/(N18*O18)</f>
        <v/>
      </c>
    </row>
    <row r="19">
      <c r="A19" t="n">
        <v>16</v>
      </c>
      <c r="B19">
        <f>A19/Inputs!$B$6</f>
        <v/>
      </c>
      <c r="C19">
        <f>Inputs!$B$3+B19</f>
        <v/>
      </c>
      <c r="D19">
        <f>INT(C19)</f>
        <v/>
      </c>
      <c r="E19">
        <f>Inputs!$B$7+1+INT((A19-1)/Inputs!$B$6)</f>
        <v/>
      </c>
      <c r="F19">
        <f>IFERROR(INDEX(IndexScenario!$B$4:$B$544,MATCH(A19,IndexScenario!$A$4:$A$544,0)),"")</f>
        <v/>
      </c>
      <c r="G19">
        <f>G18*F19/F18</f>
        <v/>
      </c>
      <c r="H19">
        <f>H18*(1+Inputs!$B$17)^(1/12)</f>
        <v/>
      </c>
      <c r="I19">
        <f>IFERROR(INDEX(BaseQx!$B:$B,MATCH(D19,BaseQx!$A:$A,0)),"")</f>
        <v/>
      </c>
      <c r="J19">
        <f>IF(Inputs!$B$13="rp_mp",SUMIFS(MP2016_Long!$C:$C,MP2016_Long!$A:$A,D19,MP2016_Long!$B:$B,"&gt;=2014",MP2016_Long!$B:$B,"&lt;"&amp;E19),0)</f>
        <v/>
      </c>
      <c r="K19">
        <f>MIN(0.999999,MAX(0,I19*EXP(J19)))</f>
        <v/>
      </c>
      <c r="L19">
        <f>-LN(1-K19)</f>
        <v/>
      </c>
      <c r="M19">
        <f>EXP(-L19/Inputs!$B$6)</f>
        <v/>
      </c>
      <c r="N19">
        <f>N18*M19</f>
        <v/>
      </c>
      <c r="O19">
        <f>IFERROR(INDEX(MonthlyCurve!$L:$L,MATCH(A19,MonthlyCurve!$A:$A,0)),"")</f>
        <v/>
      </c>
      <c r="P19">
        <f>IF(B19&gt;0,-LN(O19)/B19,"")</f>
        <v/>
      </c>
      <c r="Q19">
        <f>G19*N19</f>
        <v/>
      </c>
      <c r="R19">
        <f>H19*N19</f>
        <v/>
      </c>
      <c r="S19">
        <f>Q19+R19</f>
        <v/>
      </c>
      <c r="T19">
        <f>Q19*O19</f>
        <v/>
      </c>
      <c r="U19">
        <f>R19*O19</f>
        <v/>
      </c>
      <c r="V19">
        <f>SUMPRODUCT(S20:S543,O20:O543)/(N19*O19)</f>
        <v/>
      </c>
    </row>
    <row r="20">
      <c r="A20" t="n">
        <v>17</v>
      </c>
      <c r="B20">
        <f>A20/Inputs!$B$6</f>
        <v/>
      </c>
      <c r="C20">
        <f>Inputs!$B$3+B20</f>
        <v/>
      </c>
      <c r="D20">
        <f>INT(C20)</f>
        <v/>
      </c>
      <c r="E20">
        <f>Inputs!$B$7+1+INT((A20-1)/Inputs!$B$6)</f>
        <v/>
      </c>
      <c r="F20">
        <f>IFERROR(INDEX(IndexScenario!$B$4:$B$544,MATCH(A20,IndexScenario!$A$4:$A$544,0)),"")</f>
        <v/>
      </c>
      <c r="G20">
        <f>G19*F20/F19</f>
        <v/>
      </c>
      <c r="H20">
        <f>H19*(1+Inputs!$B$17)^(1/12)</f>
        <v/>
      </c>
      <c r="I20">
        <f>IFERROR(INDEX(BaseQx!$B:$B,MATCH(D20,BaseQx!$A:$A,0)),"")</f>
        <v/>
      </c>
      <c r="J20">
        <f>IF(Inputs!$B$13="rp_mp",SUMIFS(MP2016_Long!$C:$C,MP2016_Long!$A:$A,D20,MP2016_Long!$B:$B,"&gt;=2014",MP2016_Long!$B:$B,"&lt;"&amp;E20),0)</f>
        <v/>
      </c>
      <c r="K20">
        <f>MIN(0.999999,MAX(0,I20*EXP(J20)))</f>
        <v/>
      </c>
      <c r="L20">
        <f>-LN(1-K20)</f>
        <v/>
      </c>
      <c r="M20">
        <f>EXP(-L20/Inputs!$B$6)</f>
        <v/>
      </c>
      <c r="N20">
        <f>N19*M20</f>
        <v/>
      </c>
      <c r="O20">
        <f>IFERROR(INDEX(MonthlyCurve!$L:$L,MATCH(A20,MonthlyCurve!$A:$A,0)),"")</f>
        <v/>
      </c>
      <c r="P20">
        <f>IF(B20&gt;0,-LN(O20)/B20,"")</f>
        <v/>
      </c>
      <c r="Q20">
        <f>G20*N20</f>
        <v/>
      </c>
      <c r="R20">
        <f>H20*N20</f>
        <v/>
      </c>
      <c r="S20">
        <f>Q20+R20</f>
        <v/>
      </c>
      <c r="T20">
        <f>Q20*O20</f>
        <v/>
      </c>
      <c r="U20">
        <f>R20*O20</f>
        <v/>
      </c>
      <c r="V20">
        <f>SUMPRODUCT(S21:S543,O21:O543)/(N20*O20)</f>
        <v/>
      </c>
    </row>
    <row r="21">
      <c r="A21" t="n">
        <v>18</v>
      </c>
      <c r="B21">
        <f>A21/Inputs!$B$6</f>
        <v/>
      </c>
      <c r="C21">
        <f>Inputs!$B$3+B21</f>
        <v/>
      </c>
      <c r="D21">
        <f>INT(C21)</f>
        <v/>
      </c>
      <c r="E21">
        <f>Inputs!$B$7+1+INT((A21-1)/Inputs!$B$6)</f>
        <v/>
      </c>
      <c r="F21">
        <f>IFERROR(INDEX(IndexScenario!$B$4:$B$544,MATCH(A21,IndexScenario!$A$4:$A$544,0)),"")</f>
        <v/>
      </c>
      <c r="G21">
        <f>G20*F21/F20</f>
        <v/>
      </c>
      <c r="H21">
        <f>H20*(1+Inputs!$B$17)^(1/12)</f>
        <v/>
      </c>
      <c r="I21">
        <f>IFERROR(INDEX(BaseQx!$B:$B,MATCH(D21,BaseQx!$A:$A,0)),"")</f>
        <v/>
      </c>
      <c r="J21">
        <f>IF(Inputs!$B$13="rp_mp",SUMIFS(MP2016_Long!$C:$C,MP2016_Long!$A:$A,D21,MP2016_Long!$B:$B,"&gt;=2014",MP2016_Long!$B:$B,"&lt;"&amp;E21),0)</f>
        <v/>
      </c>
      <c r="K21">
        <f>MIN(0.999999,MAX(0,I21*EXP(J21)))</f>
        <v/>
      </c>
      <c r="L21">
        <f>-LN(1-K21)</f>
        <v/>
      </c>
      <c r="M21">
        <f>EXP(-L21/Inputs!$B$6)</f>
        <v/>
      </c>
      <c r="N21">
        <f>N20*M21</f>
        <v/>
      </c>
      <c r="O21">
        <f>IFERROR(INDEX(MonthlyCurve!$L:$L,MATCH(A21,MonthlyCurve!$A:$A,0)),"")</f>
        <v/>
      </c>
      <c r="P21">
        <f>IF(B21&gt;0,-LN(O21)/B21,"")</f>
        <v/>
      </c>
      <c r="Q21">
        <f>G21*N21</f>
        <v/>
      </c>
      <c r="R21">
        <f>H21*N21</f>
        <v/>
      </c>
      <c r="S21">
        <f>Q21+R21</f>
        <v/>
      </c>
      <c r="T21">
        <f>Q21*O21</f>
        <v/>
      </c>
      <c r="U21">
        <f>R21*O21</f>
        <v/>
      </c>
      <c r="V21">
        <f>SUMPRODUCT(S22:S543,O22:O543)/(N21*O21)</f>
        <v/>
      </c>
    </row>
    <row r="22">
      <c r="A22" t="n">
        <v>19</v>
      </c>
      <c r="B22">
        <f>A22/Inputs!$B$6</f>
        <v/>
      </c>
      <c r="C22">
        <f>Inputs!$B$3+B22</f>
        <v/>
      </c>
      <c r="D22">
        <f>INT(C22)</f>
        <v/>
      </c>
      <c r="E22">
        <f>Inputs!$B$7+1+INT((A22-1)/Inputs!$B$6)</f>
        <v/>
      </c>
      <c r="F22">
        <f>IFERROR(INDEX(IndexScenario!$B$4:$B$544,MATCH(A22,IndexScenario!$A$4:$A$544,0)),"")</f>
        <v/>
      </c>
      <c r="G22">
        <f>G21*F22/F21</f>
        <v/>
      </c>
      <c r="H22">
        <f>H21*(1+Inputs!$B$17)^(1/12)</f>
        <v/>
      </c>
      <c r="I22">
        <f>IFERROR(INDEX(BaseQx!$B:$B,MATCH(D22,BaseQx!$A:$A,0)),"")</f>
        <v/>
      </c>
      <c r="J22">
        <f>IF(Inputs!$B$13="rp_mp",SUMIFS(MP2016_Long!$C:$C,MP2016_Long!$A:$A,D22,MP2016_Long!$B:$B,"&gt;=2014",MP2016_Long!$B:$B,"&lt;"&amp;E22),0)</f>
        <v/>
      </c>
      <c r="K22">
        <f>MIN(0.999999,MAX(0,I22*EXP(J22)))</f>
        <v/>
      </c>
      <c r="L22">
        <f>-LN(1-K22)</f>
        <v/>
      </c>
      <c r="M22">
        <f>EXP(-L22/Inputs!$B$6)</f>
        <v/>
      </c>
      <c r="N22">
        <f>N21*M22</f>
        <v/>
      </c>
      <c r="O22">
        <f>IFERROR(INDEX(MonthlyCurve!$L:$L,MATCH(A22,MonthlyCurve!$A:$A,0)),"")</f>
        <v/>
      </c>
      <c r="P22">
        <f>IF(B22&gt;0,-LN(O22)/B22,"")</f>
        <v/>
      </c>
      <c r="Q22">
        <f>G22*N22</f>
        <v/>
      </c>
      <c r="R22">
        <f>H22*N22</f>
        <v/>
      </c>
      <c r="S22">
        <f>Q22+R22</f>
        <v/>
      </c>
      <c r="T22">
        <f>Q22*O22</f>
        <v/>
      </c>
      <c r="U22">
        <f>R22*O22</f>
        <v/>
      </c>
      <c r="V22">
        <f>SUMPRODUCT(S23:S543,O23:O543)/(N22*O22)</f>
        <v/>
      </c>
    </row>
    <row r="23">
      <c r="A23" t="n">
        <v>20</v>
      </c>
      <c r="B23">
        <f>A23/Inputs!$B$6</f>
        <v/>
      </c>
      <c r="C23">
        <f>Inputs!$B$3+B23</f>
        <v/>
      </c>
      <c r="D23">
        <f>INT(C23)</f>
        <v/>
      </c>
      <c r="E23">
        <f>Inputs!$B$7+1+INT((A23-1)/Inputs!$B$6)</f>
        <v/>
      </c>
      <c r="F23">
        <f>IFERROR(INDEX(IndexScenario!$B$4:$B$544,MATCH(A23,IndexScenario!$A$4:$A$544,0)),"")</f>
        <v/>
      </c>
      <c r="G23">
        <f>G22*F23/F22</f>
        <v/>
      </c>
      <c r="H23">
        <f>H22*(1+Inputs!$B$17)^(1/12)</f>
        <v/>
      </c>
      <c r="I23">
        <f>IFERROR(INDEX(BaseQx!$B:$B,MATCH(D23,BaseQx!$A:$A,0)),"")</f>
        <v/>
      </c>
      <c r="J23">
        <f>IF(Inputs!$B$13="rp_mp",SUMIFS(MP2016_Long!$C:$C,MP2016_Long!$A:$A,D23,MP2016_Long!$B:$B,"&gt;=2014",MP2016_Long!$B:$B,"&lt;"&amp;E23),0)</f>
        <v/>
      </c>
      <c r="K23">
        <f>MIN(0.999999,MAX(0,I23*EXP(J23)))</f>
        <v/>
      </c>
      <c r="L23">
        <f>-LN(1-K23)</f>
        <v/>
      </c>
      <c r="M23">
        <f>EXP(-L23/Inputs!$B$6)</f>
        <v/>
      </c>
      <c r="N23">
        <f>N22*M23</f>
        <v/>
      </c>
      <c r="O23">
        <f>IFERROR(INDEX(MonthlyCurve!$L:$L,MATCH(A23,MonthlyCurve!$A:$A,0)),"")</f>
        <v/>
      </c>
      <c r="P23">
        <f>IF(B23&gt;0,-LN(O23)/B23,"")</f>
        <v/>
      </c>
      <c r="Q23">
        <f>G23*N23</f>
        <v/>
      </c>
      <c r="R23">
        <f>H23*N23</f>
        <v/>
      </c>
      <c r="S23">
        <f>Q23+R23</f>
        <v/>
      </c>
      <c r="T23">
        <f>Q23*O23</f>
        <v/>
      </c>
      <c r="U23">
        <f>R23*O23</f>
        <v/>
      </c>
      <c r="V23">
        <f>SUMPRODUCT(S24:S543,O24:O543)/(N23*O23)</f>
        <v/>
      </c>
    </row>
    <row r="24">
      <c r="A24" t="n">
        <v>21</v>
      </c>
      <c r="B24">
        <f>A24/Inputs!$B$6</f>
        <v/>
      </c>
      <c r="C24">
        <f>Inputs!$B$3+B24</f>
        <v/>
      </c>
      <c r="D24">
        <f>INT(C24)</f>
        <v/>
      </c>
      <c r="E24">
        <f>Inputs!$B$7+1+INT((A24-1)/Inputs!$B$6)</f>
        <v/>
      </c>
      <c r="F24">
        <f>IFERROR(INDEX(IndexScenario!$B$4:$B$544,MATCH(A24,IndexScenario!$A$4:$A$544,0)),"")</f>
        <v/>
      </c>
      <c r="G24">
        <f>G23*F24/F23</f>
        <v/>
      </c>
      <c r="H24">
        <f>H23*(1+Inputs!$B$17)^(1/12)</f>
        <v/>
      </c>
      <c r="I24">
        <f>IFERROR(INDEX(BaseQx!$B:$B,MATCH(D24,BaseQx!$A:$A,0)),"")</f>
        <v/>
      </c>
      <c r="J24">
        <f>IF(Inputs!$B$13="rp_mp",SUMIFS(MP2016_Long!$C:$C,MP2016_Long!$A:$A,D24,MP2016_Long!$B:$B,"&gt;=2014",MP2016_Long!$B:$B,"&lt;"&amp;E24),0)</f>
        <v/>
      </c>
      <c r="K24">
        <f>MIN(0.999999,MAX(0,I24*EXP(J24)))</f>
        <v/>
      </c>
      <c r="L24">
        <f>-LN(1-K24)</f>
        <v/>
      </c>
      <c r="M24">
        <f>EXP(-L24/Inputs!$B$6)</f>
        <v/>
      </c>
      <c r="N24">
        <f>N23*M24</f>
        <v/>
      </c>
      <c r="O24">
        <f>IFERROR(INDEX(MonthlyCurve!$L:$L,MATCH(A24,MonthlyCurve!$A:$A,0)),"")</f>
        <v/>
      </c>
      <c r="P24">
        <f>IF(B24&gt;0,-LN(O24)/B24,"")</f>
        <v/>
      </c>
      <c r="Q24">
        <f>G24*N24</f>
        <v/>
      </c>
      <c r="R24">
        <f>H24*N24</f>
        <v/>
      </c>
      <c r="S24">
        <f>Q24+R24</f>
        <v/>
      </c>
      <c r="T24">
        <f>Q24*O24</f>
        <v/>
      </c>
      <c r="U24">
        <f>R24*O24</f>
        <v/>
      </c>
      <c r="V24">
        <f>SUMPRODUCT(S25:S543,O25:O543)/(N24*O24)</f>
        <v/>
      </c>
    </row>
    <row r="25">
      <c r="A25" t="n">
        <v>22</v>
      </c>
      <c r="B25">
        <f>A25/Inputs!$B$6</f>
        <v/>
      </c>
      <c r="C25">
        <f>Inputs!$B$3+B25</f>
        <v/>
      </c>
      <c r="D25">
        <f>INT(C25)</f>
        <v/>
      </c>
      <c r="E25">
        <f>Inputs!$B$7+1+INT((A25-1)/Inputs!$B$6)</f>
        <v/>
      </c>
      <c r="F25">
        <f>IFERROR(INDEX(IndexScenario!$B$4:$B$544,MATCH(A25,IndexScenario!$A$4:$A$544,0)),"")</f>
        <v/>
      </c>
      <c r="G25">
        <f>G24*F25/F24</f>
        <v/>
      </c>
      <c r="H25">
        <f>H24*(1+Inputs!$B$17)^(1/12)</f>
        <v/>
      </c>
      <c r="I25">
        <f>IFERROR(INDEX(BaseQx!$B:$B,MATCH(D25,BaseQx!$A:$A,0)),"")</f>
        <v/>
      </c>
      <c r="J25">
        <f>IF(Inputs!$B$13="rp_mp",SUMIFS(MP2016_Long!$C:$C,MP2016_Long!$A:$A,D25,MP2016_Long!$B:$B,"&gt;=2014",MP2016_Long!$B:$B,"&lt;"&amp;E25),0)</f>
        <v/>
      </c>
      <c r="K25">
        <f>MIN(0.999999,MAX(0,I25*EXP(J25)))</f>
        <v/>
      </c>
      <c r="L25">
        <f>-LN(1-K25)</f>
        <v/>
      </c>
      <c r="M25">
        <f>EXP(-L25/Inputs!$B$6)</f>
        <v/>
      </c>
      <c r="N25">
        <f>N24*M25</f>
        <v/>
      </c>
      <c r="O25">
        <f>IFERROR(INDEX(MonthlyCurve!$L:$L,MATCH(A25,MonthlyCurve!$A:$A,0)),"")</f>
        <v/>
      </c>
      <c r="P25">
        <f>IF(B25&gt;0,-LN(O25)/B25,"")</f>
        <v/>
      </c>
      <c r="Q25">
        <f>G25*N25</f>
        <v/>
      </c>
      <c r="R25">
        <f>H25*N25</f>
        <v/>
      </c>
      <c r="S25">
        <f>Q25+R25</f>
        <v/>
      </c>
      <c r="T25">
        <f>Q25*O25</f>
        <v/>
      </c>
      <c r="U25">
        <f>R25*O25</f>
        <v/>
      </c>
      <c r="V25">
        <f>SUMPRODUCT(S26:S543,O26:O543)/(N25*O25)</f>
        <v/>
      </c>
    </row>
    <row r="26">
      <c r="A26" t="n">
        <v>23</v>
      </c>
      <c r="B26">
        <f>A26/Inputs!$B$6</f>
        <v/>
      </c>
      <c r="C26">
        <f>Inputs!$B$3+B26</f>
        <v/>
      </c>
      <c r="D26">
        <f>INT(C26)</f>
        <v/>
      </c>
      <c r="E26">
        <f>Inputs!$B$7+1+INT((A26-1)/Inputs!$B$6)</f>
        <v/>
      </c>
      <c r="F26">
        <f>IFERROR(INDEX(IndexScenario!$B$4:$B$544,MATCH(A26,IndexScenario!$A$4:$A$544,0)),"")</f>
        <v/>
      </c>
      <c r="G26">
        <f>G25*F26/F25</f>
        <v/>
      </c>
      <c r="H26">
        <f>H25*(1+Inputs!$B$17)^(1/12)</f>
        <v/>
      </c>
      <c r="I26">
        <f>IFERROR(INDEX(BaseQx!$B:$B,MATCH(D26,BaseQx!$A:$A,0)),"")</f>
        <v/>
      </c>
      <c r="J26">
        <f>IF(Inputs!$B$13="rp_mp",SUMIFS(MP2016_Long!$C:$C,MP2016_Long!$A:$A,D26,MP2016_Long!$B:$B,"&gt;=2014",MP2016_Long!$B:$B,"&lt;"&amp;E26),0)</f>
        <v/>
      </c>
      <c r="K26">
        <f>MIN(0.999999,MAX(0,I26*EXP(J26)))</f>
        <v/>
      </c>
      <c r="L26">
        <f>-LN(1-K26)</f>
        <v/>
      </c>
      <c r="M26">
        <f>EXP(-L26/Inputs!$B$6)</f>
        <v/>
      </c>
      <c r="N26">
        <f>N25*M26</f>
        <v/>
      </c>
      <c r="O26">
        <f>IFERROR(INDEX(MonthlyCurve!$L:$L,MATCH(A26,MonthlyCurve!$A:$A,0)),"")</f>
        <v/>
      </c>
      <c r="P26">
        <f>IF(B26&gt;0,-LN(O26)/B26,"")</f>
        <v/>
      </c>
      <c r="Q26">
        <f>G26*N26</f>
        <v/>
      </c>
      <c r="R26">
        <f>H26*N26</f>
        <v/>
      </c>
      <c r="S26">
        <f>Q26+R26</f>
        <v/>
      </c>
      <c r="T26">
        <f>Q26*O26</f>
        <v/>
      </c>
      <c r="U26">
        <f>R26*O26</f>
        <v/>
      </c>
      <c r="V26">
        <f>SUMPRODUCT(S27:S543,O27:O543)/(N26*O26)</f>
        <v/>
      </c>
    </row>
    <row r="27">
      <c r="A27" t="n">
        <v>24</v>
      </c>
      <c r="B27">
        <f>A27/Inputs!$B$6</f>
        <v/>
      </c>
      <c r="C27">
        <f>Inputs!$B$3+B27</f>
        <v/>
      </c>
      <c r="D27">
        <f>INT(C27)</f>
        <v/>
      </c>
      <c r="E27">
        <f>Inputs!$B$7+1+INT((A27-1)/Inputs!$B$6)</f>
        <v/>
      </c>
      <c r="F27">
        <f>IFERROR(INDEX(IndexScenario!$B$4:$B$544,MATCH(A27,IndexScenario!$A$4:$A$544,0)),"")</f>
        <v/>
      </c>
      <c r="G27">
        <f>G26*F27/F26</f>
        <v/>
      </c>
      <c r="H27">
        <f>H26*(1+Inputs!$B$17)^(1/12)</f>
        <v/>
      </c>
      <c r="I27">
        <f>IFERROR(INDEX(BaseQx!$B:$B,MATCH(D27,BaseQx!$A:$A,0)),"")</f>
        <v/>
      </c>
      <c r="J27">
        <f>IF(Inputs!$B$13="rp_mp",SUMIFS(MP2016_Long!$C:$C,MP2016_Long!$A:$A,D27,MP2016_Long!$B:$B,"&gt;=2014",MP2016_Long!$B:$B,"&lt;"&amp;E27),0)</f>
        <v/>
      </c>
      <c r="K27">
        <f>MIN(0.999999,MAX(0,I27*EXP(J27)))</f>
        <v/>
      </c>
      <c r="L27">
        <f>-LN(1-K27)</f>
        <v/>
      </c>
      <c r="M27">
        <f>EXP(-L27/Inputs!$B$6)</f>
        <v/>
      </c>
      <c r="N27">
        <f>N26*M27</f>
        <v/>
      </c>
      <c r="O27">
        <f>IFERROR(INDEX(MonthlyCurve!$L:$L,MATCH(A27,MonthlyCurve!$A:$A,0)),"")</f>
        <v/>
      </c>
      <c r="P27">
        <f>IF(B27&gt;0,-LN(O27)/B27,"")</f>
        <v/>
      </c>
      <c r="Q27">
        <f>G27*N27</f>
        <v/>
      </c>
      <c r="R27">
        <f>H27*N27</f>
        <v/>
      </c>
      <c r="S27">
        <f>Q27+R27</f>
        <v/>
      </c>
      <c r="T27">
        <f>Q27*O27</f>
        <v/>
      </c>
      <c r="U27">
        <f>R27*O27</f>
        <v/>
      </c>
      <c r="V27">
        <f>SUMPRODUCT(S28:S543,O28:O543)/(N27*O27)</f>
        <v/>
      </c>
    </row>
    <row r="28">
      <c r="A28" t="n">
        <v>25</v>
      </c>
      <c r="B28">
        <f>A28/Inputs!$B$6</f>
        <v/>
      </c>
      <c r="C28">
        <f>Inputs!$B$3+B28</f>
        <v/>
      </c>
      <c r="D28">
        <f>INT(C28)</f>
        <v/>
      </c>
      <c r="E28">
        <f>Inputs!$B$7+1+INT((A28-1)/Inputs!$B$6)</f>
        <v/>
      </c>
      <c r="F28">
        <f>IFERROR(INDEX(IndexScenario!$B$4:$B$544,MATCH(A28,IndexScenario!$A$4:$A$544,0)),"")</f>
        <v/>
      </c>
      <c r="G28">
        <f>G27*F28/F27</f>
        <v/>
      </c>
      <c r="H28">
        <f>H27*(1+Inputs!$B$17)^(1/12)</f>
        <v/>
      </c>
      <c r="I28">
        <f>IFERROR(INDEX(BaseQx!$B:$B,MATCH(D28,BaseQx!$A:$A,0)),"")</f>
        <v/>
      </c>
      <c r="J28">
        <f>IF(Inputs!$B$13="rp_mp",SUMIFS(MP2016_Long!$C:$C,MP2016_Long!$A:$A,D28,MP2016_Long!$B:$B,"&gt;=2014",MP2016_Long!$B:$B,"&lt;"&amp;E28),0)</f>
        <v/>
      </c>
      <c r="K28">
        <f>MIN(0.999999,MAX(0,I28*EXP(J28)))</f>
        <v/>
      </c>
      <c r="L28">
        <f>-LN(1-K28)</f>
        <v/>
      </c>
      <c r="M28">
        <f>EXP(-L28/Inputs!$B$6)</f>
        <v/>
      </c>
      <c r="N28">
        <f>N27*M28</f>
        <v/>
      </c>
      <c r="O28">
        <f>IFERROR(INDEX(MonthlyCurve!$L:$L,MATCH(A28,MonthlyCurve!$A:$A,0)),"")</f>
        <v/>
      </c>
      <c r="P28">
        <f>IF(B28&gt;0,-LN(O28)/B28,"")</f>
        <v/>
      </c>
      <c r="Q28">
        <f>G28*N28</f>
        <v/>
      </c>
      <c r="R28">
        <f>H28*N28</f>
        <v/>
      </c>
      <c r="S28">
        <f>Q28+R28</f>
        <v/>
      </c>
      <c r="T28">
        <f>Q28*O28</f>
        <v/>
      </c>
      <c r="U28">
        <f>R28*O28</f>
        <v/>
      </c>
      <c r="V28">
        <f>SUMPRODUCT(S29:S543,O29:O543)/(N28*O28)</f>
        <v/>
      </c>
    </row>
    <row r="29">
      <c r="A29" t="n">
        <v>26</v>
      </c>
      <c r="B29">
        <f>A29/Inputs!$B$6</f>
        <v/>
      </c>
      <c r="C29">
        <f>Inputs!$B$3+B29</f>
        <v/>
      </c>
      <c r="D29">
        <f>INT(C29)</f>
        <v/>
      </c>
      <c r="E29">
        <f>Inputs!$B$7+1+INT((A29-1)/Inputs!$B$6)</f>
        <v/>
      </c>
      <c r="F29">
        <f>IFERROR(INDEX(IndexScenario!$B$4:$B$544,MATCH(A29,IndexScenario!$A$4:$A$544,0)),"")</f>
        <v/>
      </c>
      <c r="G29">
        <f>G28*F29/F28</f>
        <v/>
      </c>
      <c r="H29">
        <f>H28*(1+Inputs!$B$17)^(1/12)</f>
        <v/>
      </c>
      <c r="I29">
        <f>IFERROR(INDEX(BaseQx!$B:$B,MATCH(D29,BaseQx!$A:$A,0)),"")</f>
        <v/>
      </c>
      <c r="J29">
        <f>IF(Inputs!$B$13="rp_mp",SUMIFS(MP2016_Long!$C:$C,MP2016_Long!$A:$A,D29,MP2016_Long!$B:$B,"&gt;=2014",MP2016_Long!$B:$B,"&lt;"&amp;E29),0)</f>
        <v/>
      </c>
      <c r="K29">
        <f>MIN(0.999999,MAX(0,I29*EXP(J29)))</f>
        <v/>
      </c>
      <c r="L29">
        <f>-LN(1-K29)</f>
        <v/>
      </c>
      <c r="M29">
        <f>EXP(-L29/Inputs!$B$6)</f>
        <v/>
      </c>
      <c r="N29">
        <f>N28*M29</f>
        <v/>
      </c>
      <c r="O29">
        <f>IFERROR(INDEX(MonthlyCurve!$L:$L,MATCH(A29,MonthlyCurve!$A:$A,0)),"")</f>
        <v/>
      </c>
      <c r="P29">
        <f>IF(B29&gt;0,-LN(O29)/B29,"")</f>
        <v/>
      </c>
      <c r="Q29">
        <f>G29*N29</f>
        <v/>
      </c>
      <c r="R29">
        <f>H29*N29</f>
        <v/>
      </c>
      <c r="S29">
        <f>Q29+R29</f>
        <v/>
      </c>
      <c r="T29">
        <f>Q29*O29</f>
        <v/>
      </c>
      <c r="U29">
        <f>R29*O29</f>
        <v/>
      </c>
      <c r="V29">
        <f>SUMPRODUCT(S30:S543,O30:O543)/(N29*O29)</f>
        <v/>
      </c>
    </row>
    <row r="30">
      <c r="A30" t="n">
        <v>27</v>
      </c>
      <c r="B30">
        <f>A30/Inputs!$B$6</f>
        <v/>
      </c>
      <c r="C30">
        <f>Inputs!$B$3+B30</f>
        <v/>
      </c>
      <c r="D30">
        <f>INT(C30)</f>
        <v/>
      </c>
      <c r="E30">
        <f>Inputs!$B$7+1+INT((A30-1)/Inputs!$B$6)</f>
        <v/>
      </c>
      <c r="F30">
        <f>IFERROR(INDEX(IndexScenario!$B$4:$B$544,MATCH(A30,IndexScenario!$A$4:$A$544,0)),"")</f>
        <v/>
      </c>
      <c r="G30">
        <f>G29*F30/F29</f>
        <v/>
      </c>
      <c r="H30">
        <f>H29*(1+Inputs!$B$17)^(1/12)</f>
        <v/>
      </c>
      <c r="I30">
        <f>IFERROR(INDEX(BaseQx!$B:$B,MATCH(D30,BaseQx!$A:$A,0)),"")</f>
        <v/>
      </c>
      <c r="J30">
        <f>IF(Inputs!$B$13="rp_mp",SUMIFS(MP2016_Long!$C:$C,MP2016_Long!$A:$A,D30,MP2016_Long!$B:$B,"&gt;=2014",MP2016_Long!$B:$B,"&lt;"&amp;E30),0)</f>
        <v/>
      </c>
      <c r="K30">
        <f>MIN(0.999999,MAX(0,I30*EXP(J30)))</f>
        <v/>
      </c>
      <c r="L30">
        <f>-LN(1-K30)</f>
        <v/>
      </c>
      <c r="M30">
        <f>EXP(-L30/Inputs!$B$6)</f>
        <v/>
      </c>
      <c r="N30">
        <f>N29*M30</f>
        <v/>
      </c>
      <c r="O30">
        <f>IFERROR(INDEX(MonthlyCurve!$L:$L,MATCH(A30,MonthlyCurve!$A:$A,0)),"")</f>
        <v/>
      </c>
      <c r="P30">
        <f>IF(B30&gt;0,-LN(O30)/B30,"")</f>
        <v/>
      </c>
      <c r="Q30">
        <f>G30*N30</f>
        <v/>
      </c>
      <c r="R30">
        <f>H30*N30</f>
        <v/>
      </c>
      <c r="S30">
        <f>Q30+R30</f>
        <v/>
      </c>
      <c r="T30">
        <f>Q30*O30</f>
        <v/>
      </c>
      <c r="U30">
        <f>R30*O30</f>
        <v/>
      </c>
      <c r="V30">
        <f>SUMPRODUCT(S31:S543,O31:O543)/(N30*O30)</f>
        <v/>
      </c>
    </row>
    <row r="31">
      <c r="A31" t="n">
        <v>28</v>
      </c>
      <c r="B31">
        <f>A31/Inputs!$B$6</f>
        <v/>
      </c>
      <c r="C31">
        <f>Inputs!$B$3+B31</f>
        <v/>
      </c>
      <c r="D31">
        <f>INT(C31)</f>
        <v/>
      </c>
      <c r="E31">
        <f>Inputs!$B$7+1+INT((A31-1)/Inputs!$B$6)</f>
        <v/>
      </c>
      <c r="F31">
        <f>IFERROR(INDEX(IndexScenario!$B$4:$B$544,MATCH(A31,IndexScenario!$A$4:$A$544,0)),"")</f>
        <v/>
      </c>
      <c r="G31">
        <f>G30*F31/F30</f>
        <v/>
      </c>
      <c r="H31">
        <f>H30*(1+Inputs!$B$17)^(1/12)</f>
        <v/>
      </c>
      <c r="I31">
        <f>IFERROR(INDEX(BaseQx!$B:$B,MATCH(D31,BaseQx!$A:$A,0)),"")</f>
        <v/>
      </c>
      <c r="J31">
        <f>IF(Inputs!$B$13="rp_mp",SUMIFS(MP2016_Long!$C:$C,MP2016_Long!$A:$A,D31,MP2016_Long!$B:$B,"&gt;=2014",MP2016_Long!$B:$B,"&lt;"&amp;E31),0)</f>
        <v/>
      </c>
      <c r="K31">
        <f>MIN(0.999999,MAX(0,I31*EXP(J31)))</f>
        <v/>
      </c>
      <c r="L31">
        <f>-LN(1-K31)</f>
        <v/>
      </c>
      <c r="M31">
        <f>EXP(-L31/Inputs!$B$6)</f>
        <v/>
      </c>
      <c r="N31">
        <f>N30*M31</f>
        <v/>
      </c>
      <c r="O31">
        <f>IFERROR(INDEX(MonthlyCurve!$L:$L,MATCH(A31,MonthlyCurve!$A:$A,0)),"")</f>
        <v/>
      </c>
      <c r="P31">
        <f>IF(B31&gt;0,-LN(O31)/B31,"")</f>
        <v/>
      </c>
      <c r="Q31">
        <f>G31*N31</f>
        <v/>
      </c>
      <c r="R31">
        <f>H31*N31</f>
        <v/>
      </c>
      <c r="S31">
        <f>Q31+R31</f>
        <v/>
      </c>
      <c r="T31">
        <f>Q31*O31</f>
        <v/>
      </c>
      <c r="U31">
        <f>R31*O31</f>
        <v/>
      </c>
      <c r="V31">
        <f>SUMPRODUCT(S32:S543,O32:O543)/(N31*O31)</f>
        <v/>
      </c>
    </row>
    <row r="32">
      <c r="A32" t="n">
        <v>29</v>
      </c>
      <c r="B32">
        <f>A32/Inputs!$B$6</f>
        <v/>
      </c>
      <c r="C32">
        <f>Inputs!$B$3+B32</f>
        <v/>
      </c>
      <c r="D32">
        <f>INT(C32)</f>
        <v/>
      </c>
      <c r="E32">
        <f>Inputs!$B$7+1+INT((A32-1)/Inputs!$B$6)</f>
        <v/>
      </c>
      <c r="F32">
        <f>IFERROR(INDEX(IndexScenario!$B$4:$B$544,MATCH(A32,IndexScenario!$A$4:$A$544,0)),"")</f>
        <v/>
      </c>
      <c r="G32">
        <f>G31*F32/F31</f>
        <v/>
      </c>
      <c r="H32">
        <f>H31*(1+Inputs!$B$17)^(1/12)</f>
        <v/>
      </c>
      <c r="I32">
        <f>IFERROR(INDEX(BaseQx!$B:$B,MATCH(D32,BaseQx!$A:$A,0)),"")</f>
        <v/>
      </c>
      <c r="J32">
        <f>IF(Inputs!$B$13="rp_mp",SUMIFS(MP2016_Long!$C:$C,MP2016_Long!$A:$A,D32,MP2016_Long!$B:$B,"&gt;=2014",MP2016_Long!$B:$B,"&lt;"&amp;E32),0)</f>
        <v/>
      </c>
      <c r="K32">
        <f>MIN(0.999999,MAX(0,I32*EXP(J32)))</f>
        <v/>
      </c>
      <c r="L32">
        <f>-LN(1-K32)</f>
        <v/>
      </c>
      <c r="M32">
        <f>EXP(-L32/Inputs!$B$6)</f>
        <v/>
      </c>
      <c r="N32">
        <f>N31*M32</f>
        <v/>
      </c>
      <c r="O32">
        <f>IFERROR(INDEX(MonthlyCurve!$L:$L,MATCH(A32,MonthlyCurve!$A:$A,0)),"")</f>
        <v/>
      </c>
      <c r="P32">
        <f>IF(B32&gt;0,-LN(O32)/B32,"")</f>
        <v/>
      </c>
      <c r="Q32">
        <f>G32*N32</f>
        <v/>
      </c>
      <c r="R32">
        <f>H32*N32</f>
        <v/>
      </c>
      <c r="S32">
        <f>Q32+R32</f>
        <v/>
      </c>
      <c r="T32">
        <f>Q32*O32</f>
        <v/>
      </c>
      <c r="U32">
        <f>R32*O32</f>
        <v/>
      </c>
      <c r="V32">
        <f>SUMPRODUCT(S33:S543,O33:O543)/(N32*O32)</f>
        <v/>
      </c>
    </row>
    <row r="33">
      <c r="A33" t="n">
        <v>30</v>
      </c>
      <c r="B33">
        <f>A33/Inputs!$B$6</f>
        <v/>
      </c>
      <c r="C33">
        <f>Inputs!$B$3+B33</f>
        <v/>
      </c>
      <c r="D33">
        <f>INT(C33)</f>
        <v/>
      </c>
      <c r="E33">
        <f>Inputs!$B$7+1+INT((A33-1)/Inputs!$B$6)</f>
        <v/>
      </c>
      <c r="F33">
        <f>IFERROR(INDEX(IndexScenario!$B$4:$B$544,MATCH(A33,IndexScenario!$A$4:$A$544,0)),"")</f>
        <v/>
      </c>
      <c r="G33">
        <f>G32*F33/F32</f>
        <v/>
      </c>
      <c r="H33">
        <f>H32*(1+Inputs!$B$17)^(1/12)</f>
        <v/>
      </c>
      <c r="I33">
        <f>IFERROR(INDEX(BaseQx!$B:$B,MATCH(D33,BaseQx!$A:$A,0)),"")</f>
        <v/>
      </c>
      <c r="J33">
        <f>IF(Inputs!$B$13="rp_mp",SUMIFS(MP2016_Long!$C:$C,MP2016_Long!$A:$A,D33,MP2016_Long!$B:$B,"&gt;=2014",MP2016_Long!$B:$B,"&lt;"&amp;E33),0)</f>
        <v/>
      </c>
      <c r="K33">
        <f>MIN(0.999999,MAX(0,I33*EXP(J33)))</f>
        <v/>
      </c>
      <c r="L33">
        <f>-LN(1-K33)</f>
        <v/>
      </c>
      <c r="M33">
        <f>EXP(-L33/Inputs!$B$6)</f>
        <v/>
      </c>
      <c r="N33">
        <f>N32*M33</f>
        <v/>
      </c>
      <c r="O33">
        <f>IFERROR(INDEX(MonthlyCurve!$L:$L,MATCH(A33,MonthlyCurve!$A:$A,0)),"")</f>
        <v/>
      </c>
      <c r="P33">
        <f>IF(B33&gt;0,-LN(O33)/B33,"")</f>
        <v/>
      </c>
      <c r="Q33">
        <f>G33*N33</f>
        <v/>
      </c>
      <c r="R33">
        <f>H33*N33</f>
        <v/>
      </c>
      <c r="S33">
        <f>Q33+R33</f>
        <v/>
      </c>
      <c r="T33">
        <f>Q33*O33</f>
        <v/>
      </c>
      <c r="U33">
        <f>R33*O33</f>
        <v/>
      </c>
      <c r="V33">
        <f>SUMPRODUCT(S34:S543,O34:O543)/(N33*O33)</f>
        <v/>
      </c>
    </row>
    <row r="34">
      <c r="A34" t="n">
        <v>31</v>
      </c>
      <c r="B34">
        <f>A34/Inputs!$B$6</f>
        <v/>
      </c>
      <c r="C34">
        <f>Inputs!$B$3+B34</f>
        <v/>
      </c>
      <c r="D34">
        <f>INT(C34)</f>
        <v/>
      </c>
      <c r="E34">
        <f>Inputs!$B$7+1+INT((A34-1)/Inputs!$B$6)</f>
        <v/>
      </c>
      <c r="F34">
        <f>IFERROR(INDEX(IndexScenario!$B$4:$B$544,MATCH(A34,IndexScenario!$A$4:$A$544,0)),"")</f>
        <v/>
      </c>
      <c r="G34">
        <f>G33*F34/F33</f>
        <v/>
      </c>
      <c r="H34">
        <f>H33*(1+Inputs!$B$17)^(1/12)</f>
        <v/>
      </c>
      <c r="I34">
        <f>IFERROR(INDEX(BaseQx!$B:$B,MATCH(D34,BaseQx!$A:$A,0)),"")</f>
        <v/>
      </c>
      <c r="J34">
        <f>IF(Inputs!$B$13="rp_mp",SUMIFS(MP2016_Long!$C:$C,MP2016_Long!$A:$A,D34,MP2016_Long!$B:$B,"&gt;=2014",MP2016_Long!$B:$B,"&lt;"&amp;E34),0)</f>
        <v/>
      </c>
      <c r="K34">
        <f>MIN(0.999999,MAX(0,I34*EXP(J34)))</f>
        <v/>
      </c>
      <c r="L34">
        <f>-LN(1-K34)</f>
        <v/>
      </c>
      <c r="M34">
        <f>EXP(-L34/Inputs!$B$6)</f>
        <v/>
      </c>
      <c r="N34">
        <f>N33*M34</f>
        <v/>
      </c>
      <c r="O34">
        <f>IFERROR(INDEX(MonthlyCurve!$L:$L,MATCH(A34,MonthlyCurve!$A:$A,0)),"")</f>
        <v/>
      </c>
      <c r="P34">
        <f>IF(B34&gt;0,-LN(O34)/B34,"")</f>
        <v/>
      </c>
      <c r="Q34">
        <f>G34*N34</f>
        <v/>
      </c>
      <c r="R34">
        <f>H34*N34</f>
        <v/>
      </c>
      <c r="S34">
        <f>Q34+R34</f>
        <v/>
      </c>
      <c r="T34">
        <f>Q34*O34</f>
        <v/>
      </c>
      <c r="U34">
        <f>R34*O34</f>
        <v/>
      </c>
      <c r="V34">
        <f>SUMPRODUCT(S35:S543,O35:O543)/(N34*O34)</f>
        <v/>
      </c>
    </row>
    <row r="35">
      <c r="A35" t="n">
        <v>32</v>
      </c>
      <c r="B35">
        <f>A35/Inputs!$B$6</f>
        <v/>
      </c>
      <c r="C35">
        <f>Inputs!$B$3+B35</f>
        <v/>
      </c>
      <c r="D35">
        <f>INT(C35)</f>
        <v/>
      </c>
      <c r="E35">
        <f>Inputs!$B$7+1+INT((A35-1)/Inputs!$B$6)</f>
        <v/>
      </c>
      <c r="F35">
        <f>IFERROR(INDEX(IndexScenario!$B$4:$B$544,MATCH(A35,IndexScenario!$A$4:$A$544,0)),"")</f>
        <v/>
      </c>
      <c r="G35">
        <f>G34*F35/F34</f>
        <v/>
      </c>
      <c r="H35">
        <f>H34*(1+Inputs!$B$17)^(1/12)</f>
        <v/>
      </c>
      <c r="I35">
        <f>IFERROR(INDEX(BaseQx!$B:$B,MATCH(D35,BaseQx!$A:$A,0)),"")</f>
        <v/>
      </c>
      <c r="J35">
        <f>IF(Inputs!$B$13="rp_mp",SUMIFS(MP2016_Long!$C:$C,MP2016_Long!$A:$A,D35,MP2016_Long!$B:$B,"&gt;=2014",MP2016_Long!$B:$B,"&lt;"&amp;E35),0)</f>
        <v/>
      </c>
      <c r="K35">
        <f>MIN(0.999999,MAX(0,I35*EXP(J35)))</f>
        <v/>
      </c>
      <c r="L35">
        <f>-LN(1-K35)</f>
        <v/>
      </c>
      <c r="M35">
        <f>EXP(-L35/Inputs!$B$6)</f>
        <v/>
      </c>
      <c r="N35">
        <f>N34*M35</f>
        <v/>
      </c>
      <c r="O35">
        <f>IFERROR(INDEX(MonthlyCurve!$L:$L,MATCH(A35,MonthlyCurve!$A:$A,0)),"")</f>
        <v/>
      </c>
      <c r="P35">
        <f>IF(B35&gt;0,-LN(O35)/B35,"")</f>
        <v/>
      </c>
      <c r="Q35">
        <f>G35*N35</f>
        <v/>
      </c>
      <c r="R35">
        <f>H35*N35</f>
        <v/>
      </c>
      <c r="S35">
        <f>Q35+R35</f>
        <v/>
      </c>
      <c r="T35">
        <f>Q35*O35</f>
        <v/>
      </c>
      <c r="U35">
        <f>R35*O35</f>
        <v/>
      </c>
      <c r="V35">
        <f>SUMPRODUCT(S36:S543,O36:O543)/(N35*O35)</f>
        <v/>
      </c>
    </row>
    <row r="36">
      <c r="A36" t="n">
        <v>33</v>
      </c>
      <c r="B36">
        <f>A36/Inputs!$B$6</f>
        <v/>
      </c>
      <c r="C36">
        <f>Inputs!$B$3+B36</f>
        <v/>
      </c>
      <c r="D36">
        <f>INT(C36)</f>
        <v/>
      </c>
      <c r="E36">
        <f>Inputs!$B$7+1+INT((A36-1)/Inputs!$B$6)</f>
        <v/>
      </c>
      <c r="F36">
        <f>IFERROR(INDEX(IndexScenario!$B$4:$B$544,MATCH(A36,IndexScenario!$A$4:$A$544,0)),"")</f>
        <v/>
      </c>
      <c r="G36">
        <f>G35*F36/F35</f>
        <v/>
      </c>
      <c r="H36">
        <f>H35*(1+Inputs!$B$17)^(1/12)</f>
        <v/>
      </c>
      <c r="I36">
        <f>IFERROR(INDEX(BaseQx!$B:$B,MATCH(D36,BaseQx!$A:$A,0)),"")</f>
        <v/>
      </c>
      <c r="J36">
        <f>IF(Inputs!$B$13="rp_mp",SUMIFS(MP2016_Long!$C:$C,MP2016_Long!$A:$A,D36,MP2016_Long!$B:$B,"&gt;=2014",MP2016_Long!$B:$B,"&lt;"&amp;E36),0)</f>
        <v/>
      </c>
      <c r="K36">
        <f>MIN(0.999999,MAX(0,I36*EXP(J36)))</f>
        <v/>
      </c>
      <c r="L36">
        <f>-LN(1-K36)</f>
        <v/>
      </c>
      <c r="M36">
        <f>EXP(-L36/Inputs!$B$6)</f>
        <v/>
      </c>
      <c r="N36">
        <f>N35*M36</f>
        <v/>
      </c>
      <c r="O36">
        <f>IFERROR(INDEX(MonthlyCurve!$L:$L,MATCH(A36,MonthlyCurve!$A:$A,0)),"")</f>
        <v/>
      </c>
      <c r="P36">
        <f>IF(B36&gt;0,-LN(O36)/B36,"")</f>
        <v/>
      </c>
      <c r="Q36">
        <f>G36*N36</f>
        <v/>
      </c>
      <c r="R36">
        <f>H36*N36</f>
        <v/>
      </c>
      <c r="S36">
        <f>Q36+R36</f>
        <v/>
      </c>
      <c r="T36">
        <f>Q36*O36</f>
        <v/>
      </c>
      <c r="U36">
        <f>R36*O36</f>
        <v/>
      </c>
      <c r="V36">
        <f>SUMPRODUCT(S37:S543,O37:O543)/(N36*O36)</f>
        <v/>
      </c>
    </row>
    <row r="37">
      <c r="A37" t="n">
        <v>34</v>
      </c>
      <c r="B37">
        <f>A37/Inputs!$B$6</f>
        <v/>
      </c>
      <c r="C37">
        <f>Inputs!$B$3+B37</f>
        <v/>
      </c>
      <c r="D37">
        <f>INT(C37)</f>
        <v/>
      </c>
      <c r="E37">
        <f>Inputs!$B$7+1+INT((A37-1)/Inputs!$B$6)</f>
        <v/>
      </c>
      <c r="F37">
        <f>IFERROR(INDEX(IndexScenario!$B$4:$B$544,MATCH(A37,IndexScenario!$A$4:$A$544,0)),"")</f>
        <v/>
      </c>
      <c r="G37">
        <f>G36*F37/F36</f>
        <v/>
      </c>
      <c r="H37">
        <f>H36*(1+Inputs!$B$17)^(1/12)</f>
        <v/>
      </c>
      <c r="I37">
        <f>IFERROR(INDEX(BaseQx!$B:$B,MATCH(D37,BaseQx!$A:$A,0)),"")</f>
        <v/>
      </c>
      <c r="J37">
        <f>IF(Inputs!$B$13="rp_mp",SUMIFS(MP2016_Long!$C:$C,MP2016_Long!$A:$A,D37,MP2016_Long!$B:$B,"&gt;=2014",MP2016_Long!$B:$B,"&lt;"&amp;E37),0)</f>
        <v/>
      </c>
      <c r="K37">
        <f>MIN(0.999999,MAX(0,I37*EXP(J37)))</f>
        <v/>
      </c>
      <c r="L37">
        <f>-LN(1-K37)</f>
        <v/>
      </c>
      <c r="M37">
        <f>EXP(-L37/Inputs!$B$6)</f>
        <v/>
      </c>
      <c r="N37">
        <f>N36*M37</f>
        <v/>
      </c>
      <c r="O37">
        <f>IFERROR(INDEX(MonthlyCurve!$L:$L,MATCH(A37,MonthlyCurve!$A:$A,0)),"")</f>
        <v/>
      </c>
      <c r="P37">
        <f>IF(B37&gt;0,-LN(O37)/B37,"")</f>
        <v/>
      </c>
      <c r="Q37">
        <f>G37*N37</f>
        <v/>
      </c>
      <c r="R37">
        <f>H37*N37</f>
        <v/>
      </c>
      <c r="S37">
        <f>Q37+R37</f>
        <v/>
      </c>
      <c r="T37">
        <f>Q37*O37</f>
        <v/>
      </c>
      <c r="U37">
        <f>R37*O37</f>
        <v/>
      </c>
      <c r="V37">
        <f>SUMPRODUCT(S38:S543,O38:O543)/(N37*O37)</f>
        <v/>
      </c>
    </row>
    <row r="38">
      <c r="A38" t="n">
        <v>35</v>
      </c>
      <c r="B38">
        <f>A38/Inputs!$B$6</f>
        <v/>
      </c>
      <c r="C38">
        <f>Inputs!$B$3+B38</f>
        <v/>
      </c>
      <c r="D38">
        <f>INT(C38)</f>
        <v/>
      </c>
      <c r="E38">
        <f>Inputs!$B$7+1+INT((A38-1)/Inputs!$B$6)</f>
        <v/>
      </c>
      <c r="F38">
        <f>IFERROR(INDEX(IndexScenario!$B$4:$B$544,MATCH(A38,IndexScenario!$A$4:$A$544,0)),"")</f>
        <v/>
      </c>
      <c r="G38">
        <f>G37*F38/F37</f>
        <v/>
      </c>
      <c r="H38">
        <f>H37*(1+Inputs!$B$17)^(1/12)</f>
        <v/>
      </c>
      <c r="I38">
        <f>IFERROR(INDEX(BaseQx!$B:$B,MATCH(D38,BaseQx!$A:$A,0)),"")</f>
        <v/>
      </c>
      <c r="J38">
        <f>IF(Inputs!$B$13="rp_mp",SUMIFS(MP2016_Long!$C:$C,MP2016_Long!$A:$A,D38,MP2016_Long!$B:$B,"&gt;=2014",MP2016_Long!$B:$B,"&lt;"&amp;E38),0)</f>
        <v/>
      </c>
      <c r="K38">
        <f>MIN(0.999999,MAX(0,I38*EXP(J38)))</f>
        <v/>
      </c>
      <c r="L38">
        <f>-LN(1-K38)</f>
        <v/>
      </c>
      <c r="M38">
        <f>EXP(-L38/Inputs!$B$6)</f>
        <v/>
      </c>
      <c r="N38">
        <f>N37*M38</f>
        <v/>
      </c>
      <c r="O38">
        <f>IFERROR(INDEX(MonthlyCurve!$L:$L,MATCH(A38,MonthlyCurve!$A:$A,0)),"")</f>
        <v/>
      </c>
      <c r="P38">
        <f>IF(B38&gt;0,-LN(O38)/B38,"")</f>
        <v/>
      </c>
      <c r="Q38">
        <f>G38*N38</f>
        <v/>
      </c>
      <c r="R38">
        <f>H38*N38</f>
        <v/>
      </c>
      <c r="S38">
        <f>Q38+R38</f>
        <v/>
      </c>
      <c r="T38">
        <f>Q38*O38</f>
        <v/>
      </c>
      <c r="U38">
        <f>R38*O38</f>
        <v/>
      </c>
      <c r="V38">
        <f>SUMPRODUCT(S39:S543,O39:O543)/(N38*O38)</f>
        <v/>
      </c>
    </row>
    <row r="39">
      <c r="A39" t="n">
        <v>36</v>
      </c>
      <c r="B39">
        <f>A39/Inputs!$B$6</f>
        <v/>
      </c>
      <c r="C39">
        <f>Inputs!$B$3+B39</f>
        <v/>
      </c>
      <c r="D39">
        <f>INT(C39)</f>
        <v/>
      </c>
      <c r="E39">
        <f>Inputs!$B$7+1+INT((A39-1)/Inputs!$B$6)</f>
        <v/>
      </c>
      <c r="F39">
        <f>IFERROR(INDEX(IndexScenario!$B$4:$B$544,MATCH(A39,IndexScenario!$A$4:$A$544,0)),"")</f>
        <v/>
      </c>
      <c r="G39">
        <f>G38*F39/F38</f>
        <v/>
      </c>
      <c r="H39">
        <f>H38*(1+Inputs!$B$17)^(1/12)</f>
        <v/>
      </c>
      <c r="I39">
        <f>IFERROR(INDEX(BaseQx!$B:$B,MATCH(D39,BaseQx!$A:$A,0)),"")</f>
        <v/>
      </c>
      <c r="J39">
        <f>IF(Inputs!$B$13="rp_mp",SUMIFS(MP2016_Long!$C:$C,MP2016_Long!$A:$A,D39,MP2016_Long!$B:$B,"&gt;=2014",MP2016_Long!$B:$B,"&lt;"&amp;E39),0)</f>
        <v/>
      </c>
      <c r="K39">
        <f>MIN(0.999999,MAX(0,I39*EXP(J39)))</f>
        <v/>
      </c>
      <c r="L39">
        <f>-LN(1-K39)</f>
        <v/>
      </c>
      <c r="M39">
        <f>EXP(-L39/Inputs!$B$6)</f>
        <v/>
      </c>
      <c r="N39">
        <f>N38*M39</f>
        <v/>
      </c>
      <c r="O39">
        <f>IFERROR(INDEX(MonthlyCurve!$L:$L,MATCH(A39,MonthlyCurve!$A:$A,0)),"")</f>
        <v/>
      </c>
      <c r="P39">
        <f>IF(B39&gt;0,-LN(O39)/B39,"")</f>
        <v/>
      </c>
      <c r="Q39">
        <f>G39*N39</f>
        <v/>
      </c>
      <c r="R39">
        <f>H39*N39</f>
        <v/>
      </c>
      <c r="S39">
        <f>Q39+R39</f>
        <v/>
      </c>
      <c r="T39">
        <f>Q39*O39</f>
        <v/>
      </c>
      <c r="U39">
        <f>R39*O39</f>
        <v/>
      </c>
      <c r="V39">
        <f>SUMPRODUCT(S40:S543,O40:O543)/(N39*O39)</f>
        <v/>
      </c>
    </row>
    <row r="40">
      <c r="A40" t="n">
        <v>37</v>
      </c>
      <c r="B40">
        <f>A40/Inputs!$B$6</f>
        <v/>
      </c>
      <c r="C40">
        <f>Inputs!$B$3+B40</f>
        <v/>
      </c>
      <c r="D40">
        <f>INT(C40)</f>
        <v/>
      </c>
      <c r="E40">
        <f>Inputs!$B$7+1+INT((A40-1)/Inputs!$B$6)</f>
        <v/>
      </c>
      <c r="F40">
        <f>IFERROR(INDEX(IndexScenario!$B$4:$B$544,MATCH(A40,IndexScenario!$A$4:$A$544,0)),"")</f>
        <v/>
      </c>
      <c r="G40">
        <f>G39*F40/F39</f>
        <v/>
      </c>
      <c r="H40">
        <f>H39*(1+Inputs!$B$17)^(1/12)</f>
        <v/>
      </c>
      <c r="I40">
        <f>IFERROR(INDEX(BaseQx!$B:$B,MATCH(D40,BaseQx!$A:$A,0)),"")</f>
        <v/>
      </c>
      <c r="J40">
        <f>IF(Inputs!$B$13="rp_mp",SUMIFS(MP2016_Long!$C:$C,MP2016_Long!$A:$A,D40,MP2016_Long!$B:$B,"&gt;=2014",MP2016_Long!$B:$B,"&lt;"&amp;E40),0)</f>
        <v/>
      </c>
      <c r="K40">
        <f>MIN(0.999999,MAX(0,I40*EXP(J40)))</f>
        <v/>
      </c>
      <c r="L40">
        <f>-LN(1-K40)</f>
        <v/>
      </c>
      <c r="M40">
        <f>EXP(-L40/Inputs!$B$6)</f>
        <v/>
      </c>
      <c r="N40">
        <f>N39*M40</f>
        <v/>
      </c>
      <c r="O40">
        <f>IFERROR(INDEX(MonthlyCurve!$L:$L,MATCH(A40,MonthlyCurve!$A:$A,0)),"")</f>
        <v/>
      </c>
      <c r="P40">
        <f>IF(B40&gt;0,-LN(O40)/B40,"")</f>
        <v/>
      </c>
      <c r="Q40">
        <f>G40*N40</f>
        <v/>
      </c>
      <c r="R40">
        <f>H40*N40</f>
        <v/>
      </c>
      <c r="S40">
        <f>Q40+R40</f>
        <v/>
      </c>
      <c r="T40">
        <f>Q40*O40</f>
        <v/>
      </c>
      <c r="U40">
        <f>R40*O40</f>
        <v/>
      </c>
      <c r="V40">
        <f>SUMPRODUCT(S41:S543,O41:O543)/(N40*O40)</f>
        <v/>
      </c>
    </row>
    <row r="41">
      <c r="A41" t="n">
        <v>38</v>
      </c>
      <c r="B41">
        <f>A41/Inputs!$B$6</f>
        <v/>
      </c>
      <c r="C41">
        <f>Inputs!$B$3+B41</f>
        <v/>
      </c>
      <c r="D41">
        <f>INT(C41)</f>
        <v/>
      </c>
      <c r="E41">
        <f>Inputs!$B$7+1+INT((A41-1)/Inputs!$B$6)</f>
        <v/>
      </c>
      <c r="F41">
        <f>IFERROR(INDEX(IndexScenario!$B$4:$B$544,MATCH(A41,IndexScenario!$A$4:$A$544,0)),"")</f>
        <v/>
      </c>
      <c r="G41">
        <f>G40*F41/F40</f>
        <v/>
      </c>
      <c r="H41">
        <f>H40*(1+Inputs!$B$17)^(1/12)</f>
        <v/>
      </c>
      <c r="I41">
        <f>IFERROR(INDEX(BaseQx!$B:$B,MATCH(D41,BaseQx!$A:$A,0)),"")</f>
        <v/>
      </c>
      <c r="J41">
        <f>IF(Inputs!$B$13="rp_mp",SUMIFS(MP2016_Long!$C:$C,MP2016_Long!$A:$A,D41,MP2016_Long!$B:$B,"&gt;=2014",MP2016_Long!$B:$B,"&lt;"&amp;E41),0)</f>
        <v/>
      </c>
      <c r="K41">
        <f>MIN(0.999999,MAX(0,I41*EXP(J41)))</f>
        <v/>
      </c>
      <c r="L41">
        <f>-LN(1-K41)</f>
        <v/>
      </c>
      <c r="M41">
        <f>EXP(-L41/Inputs!$B$6)</f>
        <v/>
      </c>
      <c r="N41">
        <f>N40*M41</f>
        <v/>
      </c>
      <c r="O41">
        <f>IFERROR(INDEX(MonthlyCurve!$L:$L,MATCH(A41,MonthlyCurve!$A:$A,0)),"")</f>
        <v/>
      </c>
      <c r="P41">
        <f>IF(B41&gt;0,-LN(O41)/B41,"")</f>
        <v/>
      </c>
      <c r="Q41">
        <f>G41*N41</f>
        <v/>
      </c>
      <c r="R41">
        <f>H41*N41</f>
        <v/>
      </c>
      <c r="S41">
        <f>Q41+R41</f>
        <v/>
      </c>
      <c r="T41">
        <f>Q41*O41</f>
        <v/>
      </c>
      <c r="U41">
        <f>R41*O41</f>
        <v/>
      </c>
      <c r="V41">
        <f>SUMPRODUCT(S42:S543,O42:O543)/(N41*O41)</f>
        <v/>
      </c>
    </row>
    <row r="42">
      <c r="A42" t="n">
        <v>39</v>
      </c>
      <c r="B42">
        <f>A42/Inputs!$B$6</f>
        <v/>
      </c>
      <c r="C42">
        <f>Inputs!$B$3+B42</f>
        <v/>
      </c>
      <c r="D42">
        <f>INT(C42)</f>
        <v/>
      </c>
      <c r="E42">
        <f>Inputs!$B$7+1+INT((A42-1)/Inputs!$B$6)</f>
        <v/>
      </c>
      <c r="F42">
        <f>IFERROR(INDEX(IndexScenario!$B$4:$B$544,MATCH(A42,IndexScenario!$A$4:$A$544,0)),"")</f>
        <v/>
      </c>
      <c r="G42">
        <f>G41*F42/F41</f>
        <v/>
      </c>
      <c r="H42">
        <f>H41*(1+Inputs!$B$17)^(1/12)</f>
        <v/>
      </c>
      <c r="I42">
        <f>IFERROR(INDEX(BaseQx!$B:$B,MATCH(D42,BaseQx!$A:$A,0)),"")</f>
        <v/>
      </c>
      <c r="J42">
        <f>IF(Inputs!$B$13="rp_mp",SUMIFS(MP2016_Long!$C:$C,MP2016_Long!$A:$A,D42,MP2016_Long!$B:$B,"&gt;=2014",MP2016_Long!$B:$B,"&lt;"&amp;E42),0)</f>
        <v/>
      </c>
      <c r="K42">
        <f>MIN(0.999999,MAX(0,I42*EXP(J42)))</f>
        <v/>
      </c>
      <c r="L42">
        <f>-LN(1-K42)</f>
        <v/>
      </c>
      <c r="M42">
        <f>EXP(-L42/Inputs!$B$6)</f>
        <v/>
      </c>
      <c r="N42">
        <f>N41*M42</f>
        <v/>
      </c>
      <c r="O42">
        <f>IFERROR(INDEX(MonthlyCurve!$L:$L,MATCH(A42,MonthlyCurve!$A:$A,0)),"")</f>
        <v/>
      </c>
      <c r="P42">
        <f>IF(B42&gt;0,-LN(O42)/B42,"")</f>
        <v/>
      </c>
      <c r="Q42">
        <f>G42*N42</f>
        <v/>
      </c>
      <c r="R42">
        <f>H42*N42</f>
        <v/>
      </c>
      <c r="S42">
        <f>Q42+R42</f>
        <v/>
      </c>
      <c r="T42">
        <f>Q42*O42</f>
        <v/>
      </c>
      <c r="U42">
        <f>R42*O42</f>
        <v/>
      </c>
      <c r="V42">
        <f>SUMPRODUCT(S43:S543,O43:O543)/(N42*O42)</f>
        <v/>
      </c>
    </row>
    <row r="43">
      <c r="A43" t="n">
        <v>40</v>
      </c>
      <c r="B43">
        <f>A43/Inputs!$B$6</f>
        <v/>
      </c>
      <c r="C43">
        <f>Inputs!$B$3+B43</f>
        <v/>
      </c>
      <c r="D43">
        <f>INT(C43)</f>
        <v/>
      </c>
      <c r="E43">
        <f>Inputs!$B$7+1+INT((A43-1)/Inputs!$B$6)</f>
        <v/>
      </c>
      <c r="F43">
        <f>IFERROR(INDEX(IndexScenario!$B$4:$B$544,MATCH(A43,IndexScenario!$A$4:$A$544,0)),"")</f>
        <v/>
      </c>
      <c r="G43">
        <f>G42*F43/F42</f>
        <v/>
      </c>
      <c r="H43">
        <f>H42*(1+Inputs!$B$17)^(1/12)</f>
        <v/>
      </c>
      <c r="I43">
        <f>IFERROR(INDEX(BaseQx!$B:$B,MATCH(D43,BaseQx!$A:$A,0)),"")</f>
        <v/>
      </c>
      <c r="J43">
        <f>IF(Inputs!$B$13="rp_mp",SUMIFS(MP2016_Long!$C:$C,MP2016_Long!$A:$A,D43,MP2016_Long!$B:$B,"&gt;=2014",MP2016_Long!$B:$B,"&lt;"&amp;E43),0)</f>
        <v/>
      </c>
      <c r="K43">
        <f>MIN(0.999999,MAX(0,I43*EXP(J43)))</f>
        <v/>
      </c>
      <c r="L43">
        <f>-LN(1-K43)</f>
        <v/>
      </c>
      <c r="M43">
        <f>EXP(-L43/Inputs!$B$6)</f>
        <v/>
      </c>
      <c r="N43">
        <f>N42*M43</f>
        <v/>
      </c>
      <c r="O43">
        <f>IFERROR(INDEX(MonthlyCurve!$L:$L,MATCH(A43,MonthlyCurve!$A:$A,0)),"")</f>
        <v/>
      </c>
      <c r="P43">
        <f>IF(B43&gt;0,-LN(O43)/B43,"")</f>
        <v/>
      </c>
      <c r="Q43">
        <f>G43*N43</f>
        <v/>
      </c>
      <c r="R43">
        <f>H43*N43</f>
        <v/>
      </c>
      <c r="S43">
        <f>Q43+R43</f>
        <v/>
      </c>
      <c r="T43">
        <f>Q43*O43</f>
        <v/>
      </c>
      <c r="U43">
        <f>R43*O43</f>
        <v/>
      </c>
      <c r="V43">
        <f>SUMPRODUCT(S44:S543,O44:O543)/(N43*O43)</f>
        <v/>
      </c>
    </row>
    <row r="44">
      <c r="A44" t="n">
        <v>41</v>
      </c>
      <c r="B44">
        <f>A44/Inputs!$B$6</f>
        <v/>
      </c>
      <c r="C44">
        <f>Inputs!$B$3+B44</f>
        <v/>
      </c>
      <c r="D44">
        <f>INT(C44)</f>
        <v/>
      </c>
      <c r="E44">
        <f>Inputs!$B$7+1+INT((A44-1)/Inputs!$B$6)</f>
        <v/>
      </c>
      <c r="F44">
        <f>IFERROR(INDEX(IndexScenario!$B$4:$B$544,MATCH(A44,IndexScenario!$A$4:$A$544,0)),"")</f>
        <v/>
      </c>
      <c r="G44">
        <f>G43*F44/F43</f>
        <v/>
      </c>
      <c r="H44">
        <f>H43*(1+Inputs!$B$17)^(1/12)</f>
        <v/>
      </c>
      <c r="I44">
        <f>IFERROR(INDEX(BaseQx!$B:$B,MATCH(D44,BaseQx!$A:$A,0)),"")</f>
        <v/>
      </c>
      <c r="J44">
        <f>IF(Inputs!$B$13="rp_mp",SUMIFS(MP2016_Long!$C:$C,MP2016_Long!$A:$A,D44,MP2016_Long!$B:$B,"&gt;=2014",MP2016_Long!$B:$B,"&lt;"&amp;E44),0)</f>
        <v/>
      </c>
      <c r="K44">
        <f>MIN(0.999999,MAX(0,I44*EXP(J44)))</f>
        <v/>
      </c>
      <c r="L44">
        <f>-LN(1-K44)</f>
        <v/>
      </c>
      <c r="M44">
        <f>EXP(-L44/Inputs!$B$6)</f>
        <v/>
      </c>
      <c r="N44">
        <f>N43*M44</f>
        <v/>
      </c>
      <c r="O44">
        <f>IFERROR(INDEX(MonthlyCurve!$L:$L,MATCH(A44,MonthlyCurve!$A:$A,0)),"")</f>
        <v/>
      </c>
      <c r="P44">
        <f>IF(B44&gt;0,-LN(O44)/B44,"")</f>
        <v/>
      </c>
      <c r="Q44">
        <f>G44*N44</f>
        <v/>
      </c>
      <c r="R44">
        <f>H44*N44</f>
        <v/>
      </c>
      <c r="S44">
        <f>Q44+R44</f>
        <v/>
      </c>
      <c r="T44">
        <f>Q44*O44</f>
        <v/>
      </c>
      <c r="U44">
        <f>R44*O44</f>
        <v/>
      </c>
      <c r="V44">
        <f>SUMPRODUCT(S45:S543,O45:O543)/(N44*O44)</f>
        <v/>
      </c>
    </row>
    <row r="45">
      <c r="A45" t="n">
        <v>42</v>
      </c>
      <c r="B45">
        <f>A45/Inputs!$B$6</f>
        <v/>
      </c>
      <c r="C45">
        <f>Inputs!$B$3+B45</f>
        <v/>
      </c>
      <c r="D45">
        <f>INT(C45)</f>
        <v/>
      </c>
      <c r="E45">
        <f>Inputs!$B$7+1+INT((A45-1)/Inputs!$B$6)</f>
        <v/>
      </c>
      <c r="F45">
        <f>IFERROR(INDEX(IndexScenario!$B$4:$B$544,MATCH(A45,IndexScenario!$A$4:$A$544,0)),"")</f>
        <v/>
      </c>
      <c r="G45">
        <f>G44*F45/F44</f>
        <v/>
      </c>
      <c r="H45">
        <f>H44*(1+Inputs!$B$17)^(1/12)</f>
        <v/>
      </c>
      <c r="I45">
        <f>IFERROR(INDEX(BaseQx!$B:$B,MATCH(D45,BaseQx!$A:$A,0)),"")</f>
        <v/>
      </c>
      <c r="J45">
        <f>IF(Inputs!$B$13="rp_mp",SUMIFS(MP2016_Long!$C:$C,MP2016_Long!$A:$A,D45,MP2016_Long!$B:$B,"&gt;=2014",MP2016_Long!$B:$B,"&lt;"&amp;E45),0)</f>
        <v/>
      </c>
      <c r="K45">
        <f>MIN(0.999999,MAX(0,I45*EXP(J45)))</f>
        <v/>
      </c>
      <c r="L45">
        <f>-LN(1-K45)</f>
        <v/>
      </c>
      <c r="M45">
        <f>EXP(-L45/Inputs!$B$6)</f>
        <v/>
      </c>
      <c r="N45">
        <f>N44*M45</f>
        <v/>
      </c>
      <c r="O45">
        <f>IFERROR(INDEX(MonthlyCurve!$L:$L,MATCH(A45,MonthlyCurve!$A:$A,0)),"")</f>
        <v/>
      </c>
      <c r="P45">
        <f>IF(B45&gt;0,-LN(O45)/B45,"")</f>
        <v/>
      </c>
      <c r="Q45">
        <f>G45*N45</f>
        <v/>
      </c>
      <c r="R45">
        <f>H45*N45</f>
        <v/>
      </c>
      <c r="S45">
        <f>Q45+R45</f>
        <v/>
      </c>
      <c r="T45">
        <f>Q45*O45</f>
        <v/>
      </c>
      <c r="U45">
        <f>R45*O45</f>
        <v/>
      </c>
      <c r="V45">
        <f>SUMPRODUCT(S46:S543,O46:O543)/(N45*O45)</f>
        <v/>
      </c>
    </row>
    <row r="46">
      <c r="A46" t="n">
        <v>43</v>
      </c>
      <c r="B46">
        <f>A46/Inputs!$B$6</f>
        <v/>
      </c>
      <c r="C46">
        <f>Inputs!$B$3+B46</f>
        <v/>
      </c>
      <c r="D46">
        <f>INT(C46)</f>
        <v/>
      </c>
      <c r="E46">
        <f>Inputs!$B$7+1+INT((A46-1)/Inputs!$B$6)</f>
        <v/>
      </c>
      <c r="F46">
        <f>IFERROR(INDEX(IndexScenario!$B$4:$B$544,MATCH(A46,IndexScenario!$A$4:$A$544,0)),"")</f>
        <v/>
      </c>
      <c r="G46">
        <f>G45*F46/F45</f>
        <v/>
      </c>
      <c r="H46">
        <f>H45*(1+Inputs!$B$17)^(1/12)</f>
        <v/>
      </c>
      <c r="I46">
        <f>IFERROR(INDEX(BaseQx!$B:$B,MATCH(D46,BaseQx!$A:$A,0)),"")</f>
        <v/>
      </c>
      <c r="J46">
        <f>IF(Inputs!$B$13="rp_mp",SUMIFS(MP2016_Long!$C:$C,MP2016_Long!$A:$A,D46,MP2016_Long!$B:$B,"&gt;=2014",MP2016_Long!$B:$B,"&lt;"&amp;E46),0)</f>
        <v/>
      </c>
      <c r="K46">
        <f>MIN(0.999999,MAX(0,I46*EXP(J46)))</f>
        <v/>
      </c>
      <c r="L46">
        <f>-LN(1-K46)</f>
        <v/>
      </c>
      <c r="M46">
        <f>EXP(-L46/Inputs!$B$6)</f>
        <v/>
      </c>
      <c r="N46">
        <f>N45*M46</f>
        <v/>
      </c>
      <c r="O46">
        <f>IFERROR(INDEX(MonthlyCurve!$L:$L,MATCH(A46,MonthlyCurve!$A:$A,0)),"")</f>
        <v/>
      </c>
      <c r="P46">
        <f>IF(B46&gt;0,-LN(O46)/B46,"")</f>
        <v/>
      </c>
      <c r="Q46">
        <f>G46*N46</f>
        <v/>
      </c>
      <c r="R46">
        <f>H46*N46</f>
        <v/>
      </c>
      <c r="S46">
        <f>Q46+R46</f>
        <v/>
      </c>
      <c r="T46">
        <f>Q46*O46</f>
        <v/>
      </c>
      <c r="U46">
        <f>R46*O46</f>
        <v/>
      </c>
      <c r="V46">
        <f>SUMPRODUCT(S47:S543,O47:O543)/(N46*O46)</f>
        <v/>
      </c>
    </row>
    <row r="47">
      <c r="A47" t="n">
        <v>44</v>
      </c>
      <c r="B47">
        <f>A47/Inputs!$B$6</f>
        <v/>
      </c>
      <c r="C47">
        <f>Inputs!$B$3+B47</f>
        <v/>
      </c>
      <c r="D47">
        <f>INT(C47)</f>
        <v/>
      </c>
      <c r="E47">
        <f>Inputs!$B$7+1+INT((A47-1)/Inputs!$B$6)</f>
        <v/>
      </c>
      <c r="F47">
        <f>IFERROR(INDEX(IndexScenario!$B$4:$B$544,MATCH(A47,IndexScenario!$A$4:$A$544,0)),"")</f>
        <v/>
      </c>
      <c r="G47">
        <f>G46*F47/F46</f>
        <v/>
      </c>
      <c r="H47">
        <f>H46*(1+Inputs!$B$17)^(1/12)</f>
        <v/>
      </c>
      <c r="I47">
        <f>IFERROR(INDEX(BaseQx!$B:$B,MATCH(D47,BaseQx!$A:$A,0)),"")</f>
        <v/>
      </c>
      <c r="J47">
        <f>IF(Inputs!$B$13="rp_mp",SUMIFS(MP2016_Long!$C:$C,MP2016_Long!$A:$A,D47,MP2016_Long!$B:$B,"&gt;=2014",MP2016_Long!$B:$B,"&lt;"&amp;E47),0)</f>
        <v/>
      </c>
      <c r="K47">
        <f>MIN(0.999999,MAX(0,I47*EXP(J47)))</f>
        <v/>
      </c>
      <c r="L47">
        <f>-LN(1-K47)</f>
        <v/>
      </c>
      <c r="M47">
        <f>EXP(-L47/Inputs!$B$6)</f>
        <v/>
      </c>
      <c r="N47">
        <f>N46*M47</f>
        <v/>
      </c>
      <c r="O47">
        <f>IFERROR(INDEX(MonthlyCurve!$L:$L,MATCH(A47,MonthlyCurve!$A:$A,0)),"")</f>
        <v/>
      </c>
      <c r="P47">
        <f>IF(B47&gt;0,-LN(O47)/B47,"")</f>
        <v/>
      </c>
      <c r="Q47">
        <f>G47*N47</f>
        <v/>
      </c>
      <c r="R47">
        <f>H47*N47</f>
        <v/>
      </c>
      <c r="S47">
        <f>Q47+R47</f>
        <v/>
      </c>
      <c r="T47">
        <f>Q47*O47</f>
        <v/>
      </c>
      <c r="U47">
        <f>R47*O47</f>
        <v/>
      </c>
      <c r="V47">
        <f>SUMPRODUCT(S48:S543,O48:O543)/(N47*O47)</f>
        <v/>
      </c>
    </row>
    <row r="48">
      <c r="A48" t="n">
        <v>45</v>
      </c>
      <c r="B48">
        <f>A48/Inputs!$B$6</f>
        <v/>
      </c>
      <c r="C48">
        <f>Inputs!$B$3+B48</f>
        <v/>
      </c>
      <c r="D48">
        <f>INT(C48)</f>
        <v/>
      </c>
      <c r="E48">
        <f>Inputs!$B$7+1+INT((A48-1)/Inputs!$B$6)</f>
        <v/>
      </c>
      <c r="F48">
        <f>IFERROR(INDEX(IndexScenario!$B$4:$B$544,MATCH(A48,IndexScenario!$A$4:$A$544,0)),"")</f>
        <v/>
      </c>
      <c r="G48">
        <f>G47*F48/F47</f>
        <v/>
      </c>
      <c r="H48">
        <f>H47*(1+Inputs!$B$17)^(1/12)</f>
        <v/>
      </c>
      <c r="I48">
        <f>IFERROR(INDEX(BaseQx!$B:$B,MATCH(D48,BaseQx!$A:$A,0)),"")</f>
        <v/>
      </c>
      <c r="J48">
        <f>IF(Inputs!$B$13="rp_mp",SUMIFS(MP2016_Long!$C:$C,MP2016_Long!$A:$A,D48,MP2016_Long!$B:$B,"&gt;=2014",MP2016_Long!$B:$B,"&lt;"&amp;E48),0)</f>
        <v/>
      </c>
      <c r="K48">
        <f>MIN(0.999999,MAX(0,I48*EXP(J48)))</f>
        <v/>
      </c>
      <c r="L48">
        <f>-LN(1-K48)</f>
        <v/>
      </c>
      <c r="M48">
        <f>EXP(-L48/Inputs!$B$6)</f>
        <v/>
      </c>
      <c r="N48">
        <f>N47*M48</f>
        <v/>
      </c>
      <c r="O48">
        <f>IFERROR(INDEX(MonthlyCurve!$L:$L,MATCH(A48,MonthlyCurve!$A:$A,0)),"")</f>
        <v/>
      </c>
      <c r="P48">
        <f>IF(B48&gt;0,-LN(O48)/B48,"")</f>
        <v/>
      </c>
      <c r="Q48">
        <f>G48*N48</f>
        <v/>
      </c>
      <c r="R48">
        <f>H48*N48</f>
        <v/>
      </c>
      <c r="S48">
        <f>Q48+R48</f>
        <v/>
      </c>
      <c r="T48">
        <f>Q48*O48</f>
        <v/>
      </c>
      <c r="U48">
        <f>R48*O48</f>
        <v/>
      </c>
      <c r="V48">
        <f>SUMPRODUCT(S49:S543,O49:O543)/(N48*O48)</f>
        <v/>
      </c>
    </row>
    <row r="49">
      <c r="A49" t="n">
        <v>46</v>
      </c>
      <c r="B49">
        <f>A49/Inputs!$B$6</f>
        <v/>
      </c>
      <c r="C49">
        <f>Inputs!$B$3+B49</f>
        <v/>
      </c>
      <c r="D49">
        <f>INT(C49)</f>
        <v/>
      </c>
      <c r="E49">
        <f>Inputs!$B$7+1+INT((A49-1)/Inputs!$B$6)</f>
        <v/>
      </c>
      <c r="F49">
        <f>IFERROR(INDEX(IndexScenario!$B$4:$B$544,MATCH(A49,IndexScenario!$A$4:$A$544,0)),"")</f>
        <v/>
      </c>
      <c r="G49">
        <f>G48*F49/F48</f>
        <v/>
      </c>
      <c r="H49">
        <f>H48*(1+Inputs!$B$17)^(1/12)</f>
        <v/>
      </c>
      <c r="I49">
        <f>IFERROR(INDEX(BaseQx!$B:$B,MATCH(D49,BaseQx!$A:$A,0)),"")</f>
        <v/>
      </c>
      <c r="J49">
        <f>IF(Inputs!$B$13="rp_mp",SUMIFS(MP2016_Long!$C:$C,MP2016_Long!$A:$A,D49,MP2016_Long!$B:$B,"&gt;=2014",MP2016_Long!$B:$B,"&lt;"&amp;E49),0)</f>
        <v/>
      </c>
      <c r="K49">
        <f>MIN(0.999999,MAX(0,I49*EXP(J49)))</f>
        <v/>
      </c>
      <c r="L49">
        <f>-LN(1-K49)</f>
        <v/>
      </c>
      <c r="M49">
        <f>EXP(-L49/Inputs!$B$6)</f>
        <v/>
      </c>
      <c r="N49">
        <f>N48*M49</f>
        <v/>
      </c>
      <c r="O49">
        <f>IFERROR(INDEX(MonthlyCurve!$L:$L,MATCH(A49,MonthlyCurve!$A:$A,0)),"")</f>
        <v/>
      </c>
      <c r="P49">
        <f>IF(B49&gt;0,-LN(O49)/B49,"")</f>
        <v/>
      </c>
      <c r="Q49">
        <f>G49*N49</f>
        <v/>
      </c>
      <c r="R49">
        <f>H49*N49</f>
        <v/>
      </c>
      <c r="S49">
        <f>Q49+R49</f>
        <v/>
      </c>
      <c r="T49">
        <f>Q49*O49</f>
        <v/>
      </c>
      <c r="U49">
        <f>R49*O49</f>
        <v/>
      </c>
      <c r="V49">
        <f>SUMPRODUCT(S50:S543,O50:O543)/(N49*O49)</f>
        <v/>
      </c>
    </row>
    <row r="50">
      <c r="A50" t="n">
        <v>47</v>
      </c>
      <c r="B50">
        <f>A50/Inputs!$B$6</f>
        <v/>
      </c>
      <c r="C50">
        <f>Inputs!$B$3+B50</f>
        <v/>
      </c>
      <c r="D50">
        <f>INT(C50)</f>
        <v/>
      </c>
      <c r="E50">
        <f>Inputs!$B$7+1+INT((A50-1)/Inputs!$B$6)</f>
        <v/>
      </c>
      <c r="F50">
        <f>IFERROR(INDEX(IndexScenario!$B$4:$B$544,MATCH(A50,IndexScenario!$A$4:$A$544,0)),"")</f>
        <v/>
      </c>
      <c r="G50">
        <f>G49*F50/F49</f>
        <v/>
      </c>
      <c r="H50">
        <f>H49*(1+Inputs!$B$17)^(1/12)</f>
        <v/>
      </c>
      <c r="I50">
        <f>IFERROR(INDEX(BaseQx!$B:$B,MATCH(D50,BaseQx!$A:$A,0)),"")</f>
        <v/>
      </c>
      <c r="J50">
        <f>IF(Inputs!$B$13="rp_mp",SUMIFS(MP2016_Long!$C:$C,MP2016_Long!$A:$A,D50,MP2016_Long!$B:$B,"&gt;=2014",MP2016_Long!$B:$B,"&lt;"&amp;E50),0)</f>
        <v/>
      </c>
      <c r="K50">
        <f>MIN(0.999999,MAX(0,I50*EXP(J50)))</f>
        <v/>
      </c>
      <c r="L50">
        <f>-LN(1-K50)</f>
        <v/>
      </c>
      <c r="M50">
        <f>EXP(-L50/Inputs!$B$6)</f>
        <v/>
      </c>
      <c r="N50">
        <f>N49*M50</f>
        <v/>
      </c>
      <c r="O50">
        <f>IFERROR(INDEX(MonthlyCurve!$L:$L,MATCH(A50,MonthlyCurve!$A:$A,0)),"")</f>
        <v/>
      </c>
      <c r="P50">
        <f>IF(B50&gt;0,-LN(O50)/B50,"")</f>
        <v/>
      </c>
      <c r="Q50">
        <f>G50*N50</f>
        <v/>
      </c>
      <c r="R50">
        <f>H50*N50</f>
        <v/>
      </c>
      <c r="S50">
        <f>Q50+R50</f>
        <v/>
      </c>
      <c r="T50">
        <f>Q50*O50</f>
        <v/>
      </c>
      <c r="U50">
        <f>R50*O50</f>
        <v/>
      </c>
      <c r="V50">
        <f>SUMPRODUCT(S51:S543,O51:O543)/(N50*O50)</f>
        <v/>
      </c>
    </row>
    <row r="51">
      <c r="A51" t="n">
        <v>48</v>
      </c>
      <c r="B51">
        <f>A51/Inputs!$B$6</f>
        <v/>
      </c>
      <c r="C51">
        <f>Inputs!$B$3+B51</f>
        <v/>
      </c>
      <c r="D51">
        <f>INT(C51)</f>
        <v/>
      </c>
      <c r="E51">
        <f>Inputs!$B$7+1+INT((A51-1)/Inputs!$B$6)</f>
        <v/>
      </c>
      <c r="F51">
        <f>IFERROR(INDEX(IndexScenario!$B$4:$B$544,MATCH(A51,IndexScenario!$A$4:$A$544,0)),"")</f>
        <v/>
      </c>
      <c r="G51">
        <f>G50*F51/F50</f>
        <v/>
      </c>
      <c r="H51">
        <f>H50*(1+Inputs!$B$17)^(1/12)</f>
        <v/>
      </c>
      <c r="I51">
        <f>IFERROR(INDEX(BaseQx!$B:$B,MATCH(D51,BaseQx!$A:$A,0)),"")</f>
        <v/>
      </c>
      <c r="J51">
        <f>IF(Inputs!$B$13="rp_mp",SUMIFS(MP2016_Long!$C:$C,MP2016_Long!$A:$A,D51,MP2016_Long!$B:$B,"&gt;=2014",MP2016_Long!$B:$B,"&lt;"&amp;E51),0)</f>
        <v/>
      </c>
      <c r="K51">
        <f>MIN(0.999999,MAX(0,I51*EXP(J51)))</f>
        <v/>
      </c>
      <c r="L51">
        <f>-LN(1-K51)</f>
        <v/>
      </c>
      <c r="M51">
        <f>EXP(-L51/Inputs!$B$6)</f>
        <v/>
      </c>
      <c r="N51">
        <f>N50*M51</f>
        <v/>
      </c>
      <c r="O51">
        <f>IFERROR(INDEX(MonthlyCurve!$L:$L,MATCH(A51,MonthlyCurve!$A:$A,0)),"")</f>
        <v/>
      </c>
      <c r="P51">
        <f>IF(B51&gt;0,-LN(O51)/B51,"")</f>
        <v/>
      </c>
      <c r="Q51">
        <f>G51*N51</f>
        <v/>
      </c>
      <c r="R51">
        <f>H51*N51</f>
        <v/>
      </c>
      <c r="S51">
        <f>Q51+R51</f>
        <v/>
      </c>
      <c r="T51">
        <f>Q51*O51</f>
        <v/>
      </c>
      <c r="U51">
        <f>R51*O51</f>
        <v/>
      </c>
      <c r="V51">
        <f>SUMPRODUCT(S52:S543,O52:O543)/(N51*O51)</f>
        <v/>
      </c>
    </row>
    <row r="52">
      <c r="A52" t="n">
        <v>49</v>
      </c>
      <c r="B52">
        <f>A52/Inputs!$B$6</f>
        <v/>
      </c>
      <c r="C52">
        <f>Inputs!$B$3+B52</f>
        <v/>
      </c>
      <c r="D52">
        <f>INT(C52)</f>
        <v/>
      </c>
      <c r="E52">
        <f>Inputs!$B$7+1+INT((A52-1)/Inputs!$B$6)</f>
        <v/>
      </c>
      <c r="F52">
        <f>IFERROR(INDEX(IndexScenario!$B$4:$B$544,MATCH(A52,IndexScenario!$A$4:$A$544,0)),"")</f>
        <v/>
      </c>
      <c r="G52">
        <f>G51*F52/F51</f>
        <v/>
      </c>
      <c r="H52">
        <f>H51*(1+Inputs!$B$17)^(1/12)</f>
        <v/>
      </c>
      <c r="I52">
        <f>IFERROR(INDEX(BaseQx!$B:$B,MATCH(D52,BaseQx!$A:$A,0)),"")</f>
        <v/>
      </c>
      <c r="J52">
        <f>IF(Inputs!$B$13="rp_mp",SUMIFS(MP2016_Long!$C:$C,MP2016_Long!$A:$A,D52,MP2016_Long!$B:$B,"&gt;=2014",MP2016_Long!$B:$B,"&lt;"&amp;E52),0)</f>
        <v/>
      </c>
      <c r="K52">
        <f>MIN(0.999999,MAX(0,I52*EXP(J52)))</f>
        <v/>
      </c>
      <c r="L52">
        <f>-LN(1-K52)</f>
        <v/>
      </c>
      <c r="M52">
        <f>EXP(-L52/Inputs!$B$6)</f>
        <v/>
      </c>
      <c r="N52">
        <f>N51*M52</f>
        <v/>
      </c>
      <c r="O52">
        <f>IFERROR(INDEX(MonthlyCurve!$L:$L,MATCH(A52,MonthlyCurve!$A:$A,0)),"")</f>
        <v/>
      </c>
      <c r="P52">
        <f>IF(B52&gt;0,-LN(O52)/B52,"")</f>
        <v/>
      </c>
      <c r="Q52">
        <f>G52*N52</f>
        <v/>
      </c>
      <c r="R52">
        <f>H52*N52</f>
        <v/>
      </c>
      <c r="S52">
        <f>Q52+R52</f>
        <v/>
      </c>
      <c r="T52">
        <f>Q52*O52</f>
        <v/>
      </c>
      <c r="U52">
        <f>R52*O52</f>
        <v/>
      </c>
      <c r="V52">
        <f>SUMPRODUCT(S53:S543,O53:O543)/(N52*O52)</f>
        <v/>
      </c>
    </row>
    <row r="53">
      <c r="A53" t="n">
        <v>50</v>
      </c>
      <c r="B53">
        <f>A53/Inputs!$B$6</f>
        <v/>
      </c>
      <c r="C53">
        <f>Inputs!$B$3+B53</f>
        <v/>
      </c>
      <c r="D53">
        <f>INT(C53)</f>
        <v/>
      </c>
      <c r="E53">
        <f>Inputs!$B$7+1+INT((A53-1)/Inputs!$B$6)</f>
        <v/>
      </c>
      <c r="F53">
        <f>IFERROR(INDEX(IndexScenario!$B$4:$B$544,MATCH(A53,IndexScenario!$A$4:$A$544,0)),"")</f>
        <v/>
      </c>
      <c r="G53">
        <f>G52*F53/F52</f>
        <v/>
      </c>
      <c r="H53">
        <f>H52*(1+Inputs!$B$17)^(1/12)</f>
        <v/>
      </c>
      <c r="I53">
        <f>IFERROR(INDEX(BaseQx!$B:$B,MATCH(D53,BaseQx!$A:$A,0)),"")</f>
        <v/>
      </c>
      <c r="J53">
        <f>IF(Inputs!$B$13="rp_mp",SUMIFS(MP2016_Long!$C:$C,MP2016_Long!$A:$A,D53,MP2016_Long!$B:$B,"&gt;=2014",MP2016_Long!$B:$B,"&lt;"&amp;E53),0)</f>
        <v/>
      </c>
      <c r="K53">
        <f>MIN(0.999999,MAX(0,I53*EXP(J53)))</f>
        <v/>
      </c>
      <c r="L53">
        <f>-LN(1-K53)</f>
        <v/>
      </c>
      <c r="M53">
        <f>EXP(-L53/Inputs!$B$6)</f>
        <v/>
      </c>
      <c r="N53">
        <f>N52*M53</f>
        <v/>
      </c>
      <c r="O53">
        <f>IFERROR(INDEX(MonthlyCurve!$L:$L,MATCH(A53,MonthlyCurve!$A:$A,0)),"")</f>
        <v/>
      </c>
      <c r="P53">
        <f>IF(B53&gt;0,-LN(O53)/B53,"")</f>
        <v/>
      </c>
      <c r="Q53">
        <f>G53*N53</f>
        <v/>
      </c>
      <c r="R53">
        <f>H53*N53</f>
        <v/>
      </c>
      <c r="S53">
        <f>Q53+R53</f>
        <v/>
      </c>
      <c r="T53">
        <f>Q53*O53</f>
        <v/>
      </c>
      <c r="U53">
        <f>R53*O53</f>
        <v/>
      </c>
      <c r="V53">
        <f>SUMPRODUCT(S54:S543,O54:O543)/(N53*O53)</f>
        <v/>
      </c>
    </row>
    <row r="54">
      <c r="A54" t="n">
        <v>51</v>
      </c>
      <c r="B54">
        <f>A54/Inputs!$B$6</f>
        <v/>
      </c>
      <c r="C54">
        <f>Inputs!$B$3+B54</f>
        <v/>
      </c>
      <c r="D54">
        <f>INT(C54)</f>
        <v/>
      </c>
      <c r="E54">
        <f>Inputs!$B$7+1+INT((A54-1)/Inputs!$B$6)</f>
        <v/>
      </c>
      <c r="F54">
        <f>IFERROR(INDEX(IndexScenario!$B$4:$B$544,MATCH(A54,IndexScenario!$A$4:$A$544,0)),"")</f>
        <v/>
      </c>
      <c r="G54">
        <f>G53*F54/F53</f>
        <v/>
      </c>
      <c r="H54">
        <f>H53*(1+Inputs!$B$17)^(1/12)</f>
        <v/>
      </c>
      <c r="I54">
        <f>IFERROR(INDEX(BaseQx!$B:$B,MATCH(D54,BaseQx!$A:$A,0)),"")</f>
        <v/>
      </c>
      <c r="J54">
        <f>IF(Inputs!$B$13="rp_mp",SUMIFS(MP2016_Long!$C:$C,MP2016_Long!$A:$A,D54,MP2016_Long!$B:$B,"&gt;=2014",MP2016_Long!$B:$B,"&lt;"&amp;E54),0)</f>
        <v/>
      </c>
      <c r="K54">
        <f>MIN(0.999999,MAX(0,I54*EXP(J54)))</f>
        <v/>
      </c>
      <c r="L54">
        <f>-LN(1-K54)</f>
        <v/>
      </c>
      <c r="M54">
        <f>EXP(-L54/Inputs!$B$6)</f>
        <v/>
      </c>
      <c r="N54">
        <f>N53*M54</f>
        <v/>
      </c>
      <c r="O54">
        <f>IFERROR(INDEX(MonthlyCurve!$L:$L,MATCH(A54,MonthlyCurve!$A:$A,0)),"")</f>
        <v/>
      </c>
      <c r="P54">
        <f>IF(B54&gt;0,-LN(O54)/B54,"")</f>
        <v/>
      </c>
      <c r="Q54">
        <f>G54*N54</f>
        <v/>
      </c>
      <c r="R54">
        <f>H54*N54</f>
        <v/>
      </c>
      <c r="S54">
        <f>Q54+R54</f>
        <v/>
      </c>
      <c r="T54">
        <f>Q54*O54</f>
        <v/>
      </c>
      <c r="U54">
        <f>R54*O54</f>
        <v/>
      </c>
      <c r="V54">
        <f>SUMPRODUCT(S55:S543,O55:O543)/(N54*O54)</f>
        <v/>
      </c>
    </row>
    <row r="55">
      <c r="A55" t="n">
        <v>52</v>
      </c>
      <c r="B55">
        <f>A55/Inputs!$B$6</f>
        <v/>
      </c>
      <c r="C55">
        <f>Inputs!$B$3+B55</f>
        <v/>
      </c>
      <c r="D55">
        <f>INT(C55)</f>
        <v/>
      </c>
      <c r="E55">
        <f>Inputs!$B$7+1+INT((A55-1)/Inputs!$B$6)</f>
        <v/>
      </c>
      <c r="F55">
        <f>IFERROR(INDEX(IndexScenario!$B$4:$B$544,MATCH(A55,IndexScenario!$A$4:$A$544,0)),"")</f>
        <v/>
      </c>
      <c r="G55">
        <f>G54*F55/F54</f>
        <v/>
      </c>
      <c r="H55">
        <f>H54*(1+Inputs!$B$17)^(1/12)</f>
        <v/>
      </c>
      <c r="I55">
        <f>IFERROR(INDEX(BaseQx!$B:$B,MATCH(D55,BaseQx!$A:$A,0)),"")</f>
        <v/>
      </c>
      <c r="J55">
        <f>IF(Inputs!$B$13="rp_mp",SUMIFS(MP2016_Long!$C:$C,MP2016_Long!$A:$A,D55,MP2016_Long!$B:$B,"&gt;=2014",MP2016_Long!$B:$B,"&lt;"&amp;E55),0)</f>
        <v/>
      </c>
      <c r="K55">
        <f>MIN(0.999999,MAX(0,I55*EXP(J55)))</f>
        <v/>
      </c>
      <c r="L55">
        <f>-LN(1-K55)</f>
        <v/>
      </c>
      <c r="M55">
        <f>EXP(-L55/Inputs!$B$6)</f>
        <v/>
      </c>
      <c r="N55">
        <f>N54*M55</f>
        <v/>
      </c>
      <c r="O55">
        <f>IFERROR(INDEX(MonthlyCurve!$L:$L,MATCH(A55,MonthlyCurve!$A:$A,0)),"")</f>
        <v/>
      </c>
      <c r="P55">
        <f>IF(B55&gt;0,-LN(O55)/B55,"")</f>
        <v/>
      </c>
      <c r="Q55">
        <f>G55*N55</f>
        <v/>
      </c>
      <c r="R55">
        <f>H55*N55</f>
        <v/>
      </c>
      <c r="S55">
        <f>Q55+R55</f>
        <v/>
      </c>
      <c r="T55">
        <f>Q55*O55</f>
        <v/>
      </c>
      <c r="U55">
        <f>R55*O55</f>
        <v/>
      </c>
      <c r="V55">
        <f>SUMPRODUCT(S56:S543,O56:O543)/(N55*O55)</f>
        <v/>
      </c>
    </row>
    <row r="56">
      <c r="A56" t="n">
        <v>53</v>
      </c>
      <c r="B56">
        <f>A56/Inputs!$B$6</f>
        <v/>
      </c>
      <c r="C56">
        <f>Inputs!$B$3+B56</f>
        <v/>
      </c>
      <c r="D56">
        <f>INT(C56)</f>
        <v/>
      </c>
      <c r="E56">
        <f>Inputs!$B$7+1+INT((A56-1)/Inputs!$B$6)</f>
        <v/>
      </c>
      <c r="F56">
        <f>IFERROR(INDEX(IndexScenario!$B$4:$B$544,MATCH(A56,IndexScenario!$A$4:$A$544,0)),"")</f>
        <v/>
      </c>
      <c r="G56">
        <f>G55*F56/F55</f>
        <v/>
      </c>
      <c r="H56">
        <f>H55*(1+Inputs!$B$17)^(1/12)</f>
        <v/>
      </c>
      <c r="I56">
        <f>IFERROR(INDEX(BaseQx!$B:$B,MATCH(D56,BaseQx!$A:$A,0)),"")</f>
        <v/>
      </c>
      <c r="J56">
        <f>IF(Inputs!$B$13="rp_mp",SUMIFS(MP2016_Long!$C:$C,MP2016_Long!$A:$A,D56,MP2016_Long!$B:$B,"&gt;=2014",MP2016_Long!$B:$B,"&lt;"&amp;E56),0)</f>
        <v/>
      </c>
      <c r="K56">
        <f>MIN(0.999999,MAX(0,I56*EXP(J56)))</f>
        <v/>
      </c>
      <c r="L56">
        <f>-LN(1-K56)</f>
        <v/>
      </c>
      <c r="M56">
        <f>EXP(-L56/Inputs!$B$6)</f>
        <v/>
      </c>
      <c r="N56">
        <f>N55*M56</f>
        <v/>
      </c>
      <c r="O56">
        <f>IFERROR(INDEX(MonthlyCurve!$L:$L,MATCH(A56,MonthlyCurve!$A:$A,0)),"")</f>
        <v/>
      </c>
      <c r="P56">
        <f>IF(B56&gt;0,-LN(O56)/B56,"")</f>
        <v/>
      </c>
      <c r="Q56">
        <f>G56*N56</f>
        <v/>
      </c>
      <c r="R56">
        <f>H56*N56</f>
        <v/>
      </c>
      <c r="S56">
        <f>Q56+R56</f>
        <v/>
      </c>
      <c r="T56">
        <f>Q56*O56</f>
        <v/>
      </c>
      <c r="U56">
        <f>R56*O56</f>
        <v/>
      </c>
      <c r="V56">
        <f>SUMPRODUCT(S57:S543,O57:O543)/(N56*O56)</f>
        <v/>
      </c>
    </row>
    <row r="57">
      <c r="A57" t="n">
        <v>54</v>
      </c>
      <c r="B57">
        <f>A57/Inputs!$B$6</f>
        <v/>
      </c>
      <c r="C57">
        <f>Inputs!$B$3+B57</f>
        <v/>
      </c>
      <c r="D57">
        <f>INT(C57)</f>
        <v/>
      </c>
      <c r="E57">
        <f>Inputs!$B$7+1+INT((A57-1)/Inputs!$B$6)</f>
        <v/>
      </c>
      <c r="F57">
        <f>IFERROR(INDEX(IndexScenario!$B$4:$B$544,MATCH(A57,IndexScenario!$A$4:$A$544,0)),"")</f>
        <v/>
      </c>
      <c r="G57">
        <f>G56*F57/F56</f>
        <v/>
      </c>
      <c r="H57">
        <f>H56*(1+Inputs!$B$17)^(1/12)</f>
        <v/>
      </c>
      <c r="I57">
        <f>IFERROR(INDEX(BaseQx!$B:$B,MATCH(D57,BaseQx!$A:$A,0)),"")</f>
        <v/>
      </c>
      <c r="J57">
        <f>IF(Inputs!$B$13="rp_mp",SUMIFS(MP2016_Long!$C:$C,MP2016_Long!$A:$A,D57,MP2016_Long!$B:$B,"&gt;=2014",MP2016_Long!$B:$B,"&lt;"&amp;E57),0)</f>
        <v/>
      </c>
      <c r="K57">
        <f>MIN(0.999999,MAX(0,I57*EXP(J57)))</f>
        <v/>
      </c>
      <c r="L57">
        <f>-LN(1-K57)</f>
        <v/>
      </c>
      <c r="M57">
        <f>EXP(-L57/Inputs!$B$6)</f>
        <v/>
      </c>
      <c r="N57">
        <f>N56*M57</f>
        <v/>
      </c>
      <c r="O57">
        <f>IFERROR(INDEX(MonthlyCurve!$L:$L,MATCH(A57,MonthlyCurve!$A:$A,0)),"")</f>
        <v/>
      </c>
      <c r="P57">
        <f>IF(B57&gt;0,-LN(O57)/B57,"")</f>
        <v/>
      </c>
      <c r="Q57">
        <f>G57*N57</f>
        <v/>
      </c>
      <c r="R57">
        <f>H57*N57</f>
        <v/>
      </c>
      <c r="S57">
        <f>Q57+R57</f>
        <v/>
      </c>
      <c r="T57">
        <f>Q57*O57</f>
        <v/>
      </c>
      <c r="U57">
        <f>R57*O57</f>
        <v/>
      </c>
      <c r="V57">
        <f>SUMPRODUCT(S58:S543,O58:O543)/(N57*O57)</f>
        <v/>
      </c>
    </row>
    <row r="58">
      <c r="A58" t="n">
        <v>55</v>
      </c>
      <c r="B58">
        <f>A58/Inputs!$B$6</f>
        <v/>
      </c>
      <c r="C58">
        <f>Inputs!$B$3+B58</f>
        <v/>
      </c>
      <c r="D58">
        <f>INT(C58)</f>
        <v/>
      </c>
      <c r="E58">
        <f>Inputs!$B$7+1+INT((A58-1)/Inputs!$B$6)</f>
        <v/>
      </c>
      <c r="F58">
        <f>IFERROR(INDEX(IndexScenario!$B$4:$B$544,MATCH(A58,IndexScenario!$A$4:$A$544,0)),"")</f>
        <v/>
      </c>
      <c r="G58">
        <f>G57*F58/F57</f>
        <v/>
      </c>
      <c r="H58">
        <f>H57*(1+Inputs!$B$17)^(1/12)</f>
        <v/>
      </c>
      <c r="I58">
        <f>IFERROR(INDEX(BaseQx!$B:$B,MATCH(D58,BaseQx!$A:$A,0)),"")</f>
        <v/>
      </c>
      <c r="J58">
        <f>IF(Inputs!$B$13="rp_mp",SUMIFS(MP2016_Long!$C:$C,MP2016_Long!$A:$A,D58,MP2016_Long!$B:$B,"&gt;=2014",MP2016_Long!$B:$B,"&lt;"&amp;E58),0)</f>
        <v/>
      </c>
      <c r="K58">
        <f>MIN(0.999999,MAX(0,I58*EXP(J58)))</f>
        <v/>
      </c>
      <c r="L58">
        <f>-LN(1-K58)</f>
        <v/>
      </c>
      <c r="M58">
        <f>EXP(-L58/Inputs!$B$6)</f>
        <v/>
      </c>
      <c r="N58">
        <f>N57*M58</f>
        <v/>
      </c>
      <c r="O58">
        <f>IFERROR(INDEX(MonthlyCurve!$L:$L,MATCH(A58,MonthlyCurve!$A:$A,0)),"")</f>
        <v/>
      </c>
      <c r="P58">
        <f>IF(B58&gt;0,-LN(O58)/B58,"")</f>
        <v/>
      </c>
      <c r="Q58">
        <f>G58*N58</f>
        <v/>
      </c>
      <c r="R58">
        <f>H58*N58</f>
        <v/>
      </c>
      <c r="S58">
        <f>Q58+R58</f>
        <v/>
      </c>
      <c r="T58">
        <f>Q58*O58</f>
        <v/>
      </c>
      <c r="U58">
        <f>R58*O58</f>
        <v/>
      </c>
      <c r="V58">
        <f>SUMPRODUCT(S59:S543,O59:O543)/(N58*O58)</f>
        <v/>
      </c>
    </row>
    <row r="59">
      <c r="A59" t="n">
        <v>56</v>
      </c>
      <c r="B59">
        <f>A59/Inputs!$B$6</f>
        <v/>
      </c>
      <c r="C59">
        <f>Inputs!$B$3+B59</f>
        <v/>
      </c>
      <c r="D59">
        <f>INT(C59)</f>
        <v/>
      </c>
      <c r="E59">
        <f>Inputs!$B$7+1+INT((A59-1)/Inputs!$B$6)</f>
        <v/>
      </c>
      <c r="F59">
        <f>IFERROR(INDEX(IndexScenario!$B$4:$B$544,MATCH(A59,IndexScenario!$A$4:$A$544,0)),"")</f>
        <v/>
      </c>
      <c r="G59">
        <f>G58*F59/F58</f>
        <v/>
      </c>
      <c r="H59">
        <f>H58*(1+Inputs!$B$17)^(1/12)</f>
        <v/>
      </c>
      <c r="I59">
        <f>IFERROR(INDEX(BaseQx!$B:$B,MATCH(D59,BaseQx!$A:$A,0)),"")</f>
        <v/>
      </c>
      <c r="J59">
        <f>IF(Inputs!$B$13="rp_mp",SUMIFS(MP2016_Long!$C:$C,MP2016_Long!$A:$A,D59,MP2016_Long!$B:$B,"&gt;=2014",MP2016_Long!$B:$B,"&lt;"&amp;E59),0)</f>
        <v/>
      </c>
      <c r="K59">
        <f>MIN(0.999999,MAX(0,I59*EXP(J59)))</f>
        <v/>
      </c>
      <c r="L59">
        <f>-LN(1-K59)</f>
        <v/>
      </c>
      <c r="M59">
        <f>EXP(-L59/Inputs!$B$6)</f>
        <v/>
      </c>
      <c r="N59">
        <f>N58*M59</f>
        <v/>
      </c>
      <c r="O59">
        <f>IFERROR(INDEX(MonthlyCurve!$L:$L,MATCH(A59,MonthlyCurve!$A:$A,0)),"")</f>
        <v/>
      </c>
      <c r="P59">
        <f>IF(B59&gt;0,-LN(O59)/B59,"")</f>
        <v/>
      </c>
      <c r="Q59">
        <f>G59*N59</f>
        <v/>
      </c>
      <c r="R59">
        <f>H59*N59</f>
        <v/>
      </c>
      <c r="S59">
        <f>Q59+R59</f>
        <v/>
      </c>
      <c r="T59">
        <f>Q59*O59</f>
        <v/>
      </c>
      <c r="U59">
        <f>R59*O59</f>
        <v/>
      </c>
      <c r="V59">
        <f>SUMPRODUCT(S60:S543,O60:O543)/(N59*O59)</f>
        <v/>
      </c>
    </row>
    <row r="60">
      <c r="A60" t="n">
        <v>57</v>
      </c>
      <c r="B60">
        <f>A60/Inputs!$B$6</f>
        <v/>
      </c>
      <c r="C60">
        <f>Inputs!$B$3+B60</f>
        <v/>
      </c>
      <c r="D60">
        <f>INT(C60)</f>
        <v/>
      </c>
      <c r="E60">
        <f>Inputs!$B$7+1+INT((A60-1)/Inputs!$B$6)</f>
        <v/>
      </c>
      <c r="F60">
        <f>IFERROR(INDEX(IndexScenario!$B$4:$B$544,MATCH(A60,IndexScenario!$A$4:$A$544,0)),"")</f>
        <v/>
      </c>
      <c r="G60">
        <f>G59*F60/F59</f>
        <v/>
      </c>
      <c r="H60">
        <f>H59*(1+Inputs!$B$17)^(1/12)</f>
        <v/>
      </c>
      <c r="I60">
        <f>IFERROR(INDEX(BaseQx!$B:$B,MATCH(D60,BaseQx!$A:$A,0)),"")</f>
        <v/>
      </c>
      <c r="J60">
        <f>IF(Inputs!$B$13="rp_mp",SUMIFS(MP2016_Long!$C:$C,MP2016_Long!$A:$A,D60,MP2016_Long!$B:$B,"&gt;=2014",MP2016_Long!$B:$B,"&lt;"&amp;E60),0)</f>
        <v/>
      </c>
      <c r="K60">
        <f>MIN(0.999999,MAX(0,I60*EXP(J60)))</f>
        <v/>
      </c>
      <c r="L60">
        <f>-LN(1-K60)</f>
        <v/>
      </c>
      <c r="M60">
        <f>EXP(-L60/Inputs!$B$6)</f>
        <v/>
      </c>
      <c r="N60">
        <f>N59*M60</f>
        <v/>
      </c>
      <c r="O60">
        <f>IFERROR(INDEX(MonthlyCurve!$L:$L,MATCH(A60,MonthlyCurve!$A:$A,0)),"")</f>
        <v/>
      </c>
      <c r="P60">
        <f>IF(B60&gt;0,-LN(O60)/B60,"")</f>
        <v/>
      </c>
      <c r="Q60">
        <f>G60*N60</f>
        <v/>
      </c>
      <c r="R60">
        <f>H60*N60</f>
        <v/>
      </c>
      <c r="S60">
        <f>Q60+R60</f>
        <v/>
      </c>
      <c r="T60">
        <f>Q60*O60</f>
        <v/>
      </c>
      <c r="U60">
        <f>R60*O60</f>
        <v/>
      </c>
      <c r="V60">
        <f>SUMPRODUCT(S61:S543,O61:O543)/(N60*O60)</f>
        <v/>
      </c>
    </row>
    <row r="61">
      <c r="A61" t="n">
        <v>58</v>
      </c>
      <c r="B61">
        <f>A61/Inputs!$B$6</f>
        <v/>
      </c>
      <c r="C61">
        <f>Inputs!$B$3+B61</f>
        <v/>
      </c>
      <c r="D61">
        <f>INT(C61)</f>
        <v/>
      </c>
      <c r="E61">
        <f>Inputs!$B$7+1+INT((A61-1)/Inputs!$B$6)</f>
        <v/>
      </c>
      <c r="F61">
        <f>IFERROR(INDEX(IndexScenario!$B$4:$B$544,MATCH(A61,IndexScenario!$A$4:$A$544,0)),"")</f>
        <v/>
      </c>
      <c r="G61">
        <f>G60*F61/F60</f>
        <v/>
      </c>
      <c r="H61">
        <f>H60*(1+Inputs!$B$17)^(1/12)</f>
        <v/>
      </c>
      <c r="I61">
        <f>IFERROR(INDEX(BaseQx!$B:$B,MATCH(D61,BaseQx!$A:$A,0)),"")</f>
        <v/>
      </c>
      <c r="J61">
        <f>IF(Inputs!$B$13="rp_mp",SUMIFS(MP2016_Long!$C:$C,MP2016_Long!$A:$A,D61,MP2016_Long!$B:$B,"&gt;=2014",MP2016_Long!$B:$B,"&lt;"&amp;E61),0)</f>
        <v/>
      </c>
      <c r="K61">
        <f>MIN(0.999999,MAX(0,I61*EXP(J61)))</f>
        <v/>
      </c>
      <c r="L61">
        <f>-LN(1-K61)</f>
        <v/>
      </c>
      <c r="M61">
        <f>EXP(-L61/Inputs!$B$6)</f>
        <v/>
      </c>
      <c r="N61">
        <f>N60*M61</f>
        <v/>
      </c>
      <c r="O61">
        <f>IFERROR(INDEX(MonthlyCurve!$L:$L,MATCH(A61,MonthlyCurve!$A:$A,0)),"")</f>
        <v/>
      </c>
      <c r="P61">
        <f>IF(B61&gt;0,-LN(O61)/B61,"")</f>
        <v/>
      </c>
      <c r="Q61">
        <f>G61*N61</f>
        <v/>
      </c>
      <c r="R61">
        <f>H61*N61</f>
        <v/>
      </c>
      <c r="S61">
        <f>Q61+R61</f>
        <v/>
      </c>
      <c r="T61">
        <f>Q61*O61</f>
        <v/>
      </c>
      <c r="U61">
        <f>R61*O61</f>
        <v/>
      </c>
      <c r="V61">
        <f>SUMPRODUCT(S62:S543,O62:O543)/(N61*O61)</f>
        <v/>
      </c>
    </row>
    <row r="62">
      <c r="A62" t="n">
        <v>59</v>
      </c>
      <c r="B62">
        <f>A62/Inputs!$B$6</f>
        <v/>
      </c>
      <c r="C62">
        <f>Inputs!$B$3+B62</f>
        <v/>
      </c>
      <c r="D62">
        <f>INT(C62)</f>
        <v/>
      </c>
      <c r="E62">
        <f>Inputs!$B$7+1+INT((A62-1)/Inputs!$B$6)</f>
        <v/>
      </c>
      <c r="F62">
        <f>IFERROR(INDEX(IndexScenario!$B$4:$B$544,MATCH(A62,IndexScenario!$A$4:$A$544,0)),"")</f>
        <v/>
      </c>
      <c r="G62">
        <f>G61*F62/F61</f>
        <v/>
      </c>
      <c r="H62">
        <f>H61*(1+Inputs!$B$17)^(1/12)</f>
        <v/>
      </c>
      <c r="I62">
        <f>IFERROR(INDEX(BaseQx!$B:$B,MATCH(D62,BaseQx!$A:$A,0)),"")</f>
        <v/>
      </c>
      <c r="J62">
        <f>IF(Inputs!$B$13="rp_mp",SUMIFS(MP2016_Long!$C:$C,MP2016_Long!$A:$A,D62,MP2016_Long!$B:$B,"&gt;=2014",MP2016_Long!$B:$B,"&lt;"&amp;E62),0)</f>
        <v/>
      </c>
      <c r="K62">
        <f>MIN(0.999999,MAX(0,I62*EXP(J62)))</f>
        <v/>
      </c>
      <c r="L62">
        <f>-LN(1-K62)</f>
        <v/>
      </c>
      <c r="M62">
        <f>EXP(-L62/Inputs!$B$6)</f>
        <v/>
      </c>
      <c r="N62">
        <f>N61*M62</f>
        <v/>
      </c>
      <c r="O62">
        <f>IFERROR(INDEX(MonthlyCurve!$L:$L,MATCH(A62,MonthlyCurve!$A:$A,0)),"")</f>
        <v/>
      </c>
      <c r="P62">
        <f>IF(B62&gt;0,-LN(O62)/B62,"")</f>
        <v/>
      </c>
      <c r="Q62">
        <f>G62*N62</f>
        <v/>
      </c>
      <c r="R62">
        <f>H62*N62</f>
        <v/>
      </c>
      <c r="S62">
        <f>Q62+R62</f>
        <v/>
      </c>
      <c r="T62">
        <f>Q62*O62</f>
        <v/>
      </c>
      <c r="U62">
        <f>R62*O62</f>
        <v/>
      </c>
      <c r="V62">
        <f>SUMPRODUCT(S63:S543,O63:O543)/(N62*O62)</f>
        <v/>
      </c>
    </row>
    <row r="63">
      <c r="A63" t="n">
        <v>60</v>
      </c>
      <c r="B63">
        <f>A63/Inputs!$B$6</f>
        <v/>
      </c>
      <c r="C63">
        <f>Inputs!$B$3+B63</f>
        <v/>
      </c>
      <c r="D63">
        <f>INT(C63)</f>
        <v/>
      </c>
      <c r="E63">
        <f>Inputs!$B$7+1+INT((A63-1)/Inputs!$B$6)</f>
        <v/>
      </c>
      <c r="F63">
        <f>IFERROR(INDEX(IndexScenario!$B$4:$B$544,MATCH(A63,IndexScenario!$A$4:$A$544,0)),"")</f>
        <v/>
      </c>
      <c r="G63">
        <f>G62*F63/F62</f>
        <v/>
      </c>
      <c r="H63">
        <f>H62*(1+Inputs!$B$17)^(1/12)</f>
        <v/>
      </c>
      <c r="I63">
        <f>IFERROR(INDEX(BaseQx!$B:$B,MATCH(D63,BaseQx!$A:$A,0)),"")</f>
        <v/>
      </c>
      <c r="J63">
        <f>IF(Inputs!$B$13="rp_mp",SUMIFS(MP2016_Long!$C:$C,MP2016_Long!$A:$A,D63,MP2016_Long!$B:$B,"&gt;=2014",MP2016_Long!$B:$B,"&lt;"&amp;E63),0)</f>
        <v/>
      </c>
      <c r="K63">
        <f>MIN(0.999999,MAX(0,I63*EXP(J63)))</f>
        <v/>
      </c>
      <c r="L63">
        <f>-LN(1-K63)</f>
        <v/>
      </c>
      <c r="M63">
        <f>EXP(-L63/Inputs!$B$6)</f>
        <v/>
      </c>
      <c r="N63">
        <f>N62*M63</f>
        <v/>
      </c>
      <c r="O63">
        <f>IFERROR(INDEX(MonthlyCurve!$L:$L,MATCH(A63,MonthlyCurve!$A:$A,0)),"")</f>
        <v/>
      </c>
      <c r="P63">
        <f>IF(B63&gt;0,-LN(O63)/B63,"")</f>
        <v/>
      </c>
      <c r="Q63">
        <f>G63*N63</f>
        <v/>
      </c>
      <c r="R63">
        <f>H63*N63</f>
        <v/>
      </c>
      <c r="S63">
        <f>Q63+R63</f>
        <v/>
      </c>
      <c r="T63">
        <f>Q63*O63</f>
        <v/>
      </c>
      <c r="U63">
        <f>R63*O63</f>
        <v/>
      </c>
      <c r="V63">
        <f>SUMPRODUCT(S64:S543,O64:O543)/(N63*O63)</f>
        <v/>
      </c>
    </row>
    <row r="64">
      <c r="A64" t="n">
        <v>61</v>
      </c>
      <c r="B64">
        <f>A64/Inputs!$B$6</f>
        <v/>
      </c>
      <c r="C64">
        <f>Inputs!$B$3+B64</f>
        <v/>
      </c>
      <c r="D64">
        <f>INT(C64)</f>
        <v/>
      </c>
      <c r="E64">
        <f>Inputs!$B$7+1+INT((A64-1)/Inputs!$B$6)</f>
        <v/>
      </c>
      <c r="F64">
        <f>IFERROR(INDEX(IndexScenario!$B$4:$B$544,MATCH(A64,IndexScenario!$A$4:$A$544,0)),"")</f>
        <v/>
      </c>
      <c r="G64">
        <f>G63*F64/F63</f>
        <v/>
      </c>
      <c r="H64">
        <f>H63*(1+Inputs!$B$17)^(1/12)</f>
        <v/>
      </c>
      <c r="I64">
        <f>IFERROR(INDEX(BaseQx!$B:$B,MATCH(D64,BaseQx!$A:$A,0)),"")</f>
        <v/>
      </c>
      <c r="J64">
        <f>IF(Inputs!$B$13="rp_mp",SUMIFS(MP2016_Long!$C:$C,MP2016_Long!$A:$A,D64,MP2016_Long!$B:$B,"&gt;=2014",MP2016_Long!$B:$B,"&lt;"&amp;E64),0)</f>
        <v/>
      </c>
      <c r="K64">
        <f>MIN(0.999999,MAX(0,I64*EXP(J64)))</f>
        <v/>
      </c>
      <c r="L64">
        <f>-LN(1-K64)</f>
        <v/>
      </c>
      <c r="M64">
        <f>EXP(-L64/Inputs!$B$6)</f>
        <v/>
      </c>
      <c r="N64">
        <f>N63*M64</f>
        <v/>
      </c>
      <c r="O64">
        <f>IFERROR(INDEX(MonthlyCurve!$L:$L,MATCH(A64,MonthlyCurve!$A:$A,0)),"")</f>
        <v/>
      </c>
      <c r="P64">
        <f>IF(B64&gt;0,-LN(O64)/B64,"")</f>
        <v/>
      </c>
      <c r="Q64">
        <f>G64*N64</f>
        <v/>
      </c>
      <c r="R64">
        <f>H64*N64</f>
        <v/>
      </c>
      <c r="S64">
        <f>Q64+R64</f>
        <v/>
      </c>
      <c r="T64">
        <f>Q64*O64</f>
        <v/>
      </c>
      <c r="U64">
        <f>R64*O64</f>
        <v/>
      </c>
      <c r="V64">
        <f>SUMPRODUCT(S65:S543,O65:O543)/(N64*O64)</f>
        <v/>
      </c>
    </row>
    <row r="65">
      <c r="A65" t="n">
        <v>62</v>
      </c>
      <c r="B65">
        <f>A65/Inputs!$B$6</f>
        <v/>
      </c>
      <c r="C65">
        <f>Inputs!$B$3+B65</f>
        <v/>
      </c>
      <c r="D65">
        <f>INT(C65)</f>
        <v/>
      </c>
      <c r="E65">
        <f>Inputs!$B$7+1+INT((A65-1)/Inputs!$B$6)</f>
        <v/>
      </c>
      <c r="F65">
        <f>IFERROR(INDEX(IndexScenario!$B$4:$B$544,MATCH(A65,IndexScenario!$A$4:$A$544,0)),"")</f>
        <v/>
      </c>
      <c r="G65">
        <f>G64*F65/F64</f>
        <v/>
      </c>
      <c r="H65">
        <f>H64*(1+Inputs!$B$17)^(1/12)</f>
        <v/>
      </c>
      <c r="I65">
        <f>IFERROR(INDEX(BaseQx!$B:$B,MATCH(D65,BaseQx!$A:$A,0)),"")</f>
        <v/>
      </c>
      <c r="J65">
        <f>IF(Inputs!$B$13="rp_mp",SUMIFS(MP2016_Long!$C:$C,MP2016_Long!$A:$A,D65,MP2016_Long!$B:$B,"&gt;=2014",MP2016_Long!$B:$B,"&lt;"&amp;E65),0)</f>
        <v/>
      </c>
      <c r="K65">
        <f>MIN(0.999999,MAX(0,I65*EXP(J65)))</f>
        <v/>
      </c>
      <c r="L65">
        <f>-LN(1-K65)</f>
        <v/>
      </c>
      <c r="M65">
        <f>EXP(-L65/Inputs!$B$6)</f>
        <v/>
      </c>
      <c r="N65">
        <f>N64*M65</f>
        <v/>
      </c>
      <c r="O65">
        <f>IFERROR(INDEX(MonthlyCurve!$L:$L,MATCH(A65,MonthlyCurve!$A:$A,0)),"")</f>
        <v/>
      </c>
      <c r="P65">
        <f>IF(B65&gt;0,-LN(O65)/B65,"")</f>
        <v/>
      </c>
      <c r="Q65">
        <f>G65*N65</f>
        <v/>
      </c>
      <c r="R65">
        <f>H65*N65</f>
        <v/>
      </c>
      <c r="S65">
        <f>Q65+R65</f>
        <v/>
      </c>
      <c r="T65">
        <f>Q65*O65</f>
        <v/>
      </c>
      <c r="U65">
        <f>R65*O65</f>
        <v/>
      </c>
      <c r="V65">
        <f>SUMPRODUCT(S66:S543,O66:O543)/(N65*O65)</f>
        <v/>
      </c>
    </row>
    <row r="66">
      <c r="A66" t="n">
        <v>63</v>
      </c>
      <c r="B66">
        <f>A66/Inputs!$B$6</f>
        <v/>
      </c>
      <c r="C66">
        <f>Inputs!$B$3+B66</f>
        <v/>
      </c>
      <c r="D66">
        <f>INT(C66)</f>
        <v/>
      </c>
      <c r="E66">
        <f>Inputs!$B$7+1+INT((A66-1)/Inputs!$B$6)</f>
        <v/>
      </c>
      <c r="F66">
        <f>IFERROR(INDEX(IndexScenario!$B$4:$B$544,MATCH(A66,IndexScenario!$A$4:$A$544,0)),"")</f>
        <v/>
      </c>
      <c r="G66">
        <f>G65*F66/F65</f>
        <v/>
      </c>
      <c r="H66">
        <f>H65*(1+Inputs!$B$17)^(1/12)</f>
        <v/>
      </c>
      <c r="I66">
        <f>IFERROR(INDEX(BaseQx!$B:$B,MATCH(D66,BaseQx!$A:$A,0)),"")</f>
        <v/>
      </c>
      <c r="J66">
        <f>IF(Inputs!$B$13="rp_mp",SUMIFS(MP2016_Long!$C:$C,MP2016_Long!$A:$A,D66,MP2016_Long!$B:$B,"&gt;=2014",MP2016_Long!$B:$B,"&lt;"&amp;E66),0)</f>
        <v/>
      </c>
      <c r="K66">
        <f>MIN(0.999999,MAX(0,I66*EXP(J66)))</f>
        <v/>
      </c>
      <c r="L66">
        <f>-LN(1-K66)</f>
        <v/>
      </c>
      <c r="M66">
        <f>EXP(-L66/Inputs!$B$6)</f>
        <v/>
      </c>
      <c r="N66">
        <f>N65*M66</f>
        <v/>
      </c>
      <c r="O66">
        <f>IFERROR(INDEX(MonthlyCurve!$L:$L,MATCH(A66,MonthlyCurve!$A:$A,0)),"")</f>
        <v/>
      </c>
      <c r="P66">
        <f>IF(B66&gt;0,-LN(O66)/B66,"")</f>
        <v/>
      </c>
      <c r="Q66">
        <f>G66*N66</f>
        <v/>
      </c>
      <c r="R66">
        <f>H66*N66</f>
        <v/>
      </c>
      <c r="S66">
        <f>Q66+R66</f>
        <v/>
      </c>
      <c r="T66">
        <f>Q66*O66</f>
        <v/>
      </c>
      <c r="U66">
        <f>R66*O66</f>
        <v/>
      </c>
      <c r="V66">
        <f>SUMPRODUCT(S67:S543,O67:O543)/(N66*O66)</f>
        <v/>
      </c>
    </row>
    <row r="67">
      <c r="A67" t="n">
        <v>64</v>
      </c>
      <c r="B67">
        <f>A67/Inputs!$B$6</f>
        <v/>
      </c>
      <c r="C67">
        <f>Inputs!$B$3+B67</f>
        <v/>
      </c>
      <c r="D67">
        <f>INT(C67)</f>
        <v/>
      </c>
      <c r="E67">
        <f>Inputs!$B$7+1+INT((A67-1)/Inputs!$B$6)</f>
        <v/>
      </c>
      <c r="F67">
        <f>IFERROR(INDEX(IndexScenario!$B$4:$B$544,MATCH(A67,IndexScenario!$A$4:$A$544,0)),"")</f>
        <v/>
      </c>
      <c r="G67">
        <f>G66*F67/F66</f>
        <v/>
      </c>
      <c r="H67">
        <f>H66*(1+Inputs!$B$17)^(1/12)</f>
        <v/>
      </c>
      <c r="I67">
        <f>IFERROR(INDEX(BaseQx!$B:$B,MATCH(D67,BaseQx!$A:$A,0)),"")</f>
        <v/>
      </c>
      <c r="J67">
        <f>IF(Inputs!$B$13="rp_mp",SUMIFS(MP2016_Long!$C:$C,MP2016_Long!$A:$A,D67,MP2016_Long!$B:$B,"&gt;=2014",MP2016_Long!$B:$B,"&lt;"&amp;E67),0)</f>
        <v/>
      </c>
      <c r="K67">
        <f>MIN(0.999999,MAX(0,I67*EXP(J67)))</f>
        <v/>
      </c>
      <c r="L67">
        <f>-LN(1-K67)</f>
        <v/>
      </c>
      <c r="M67">
        <f>EXP(-L67/Inputs!$B$6)</f>
        <v/>
      </c>
      <c r="N67">
        <f>N66*M67</f>
        <v/>
      </c>
      <c r="O67">
        <f>IFERROR(INDEX(MonthlyCurve!$L:$L,MATCH(A67,MonthlyCurve!$A:$A,0)),"")</f>
        <v/>
      </c>
      <c r="P67">
        <f>IF(B67&gt;0,-LN(O67)/B67,"")</f>
        <v/>
      </c>
      <c r="Q67">
        <f>G67*N67</f>
        <v/>
      </c>
      <c r="R67">
        <f>H67*N67</f>
        <v/>
      </c>
      <c r="S67">
        <f>Q67+R67</f>
        <v/>
      </c>
      <c r="T67">
        <f>Q67*O67</f>
        <v/>
      </c>
      <c r="U67">
        <f>R67*O67</f>
        <v/>
      </c>
      <c r="V67">
        <f>SUMPRODUCT(S68:S543,O68:O543)/(N67*O67)</f>
        <v/>
      </c>
    </row>
    <row r="68">
      <c r="A68" t="n">
        <v>65</v>
      </c>
      <c r="B68">
        <f>A68/Inputs!$B$6</f>
        <v/>
      </c>
      <c r="C68">
        <f>Inputs!$B$3+B68</f>
        <v/>
      </c>
      <c r="D68">
        <f>INT(C68)</f>
        <v/>
      </c>
      <c r="E68">
        <f>Inputs!$B$7+1+INT((A68-1)/Inputs!$B$6)</f>
        <v/>
      </c>
      <c r="F68">
        <f>IFERROR(INDEX(IndexScenario!$B$4:$B$544,MATCH(A68,IndexScenario!$A$4:$A$544,0)),"")</f>
        <v/>
      </c>
      <c r="G68">
        <f>G67*F68/F67</f>
        <v/>
      </c>
      <c r="H68">
        <f>H67*(1+Inputs!$B$17)^(1/12)</f>
        <v/>
      </c>
      <c r="I68">
        <f>IFERROR(INDEX(BaseQx!$B:$B,MATCH(D68,BaseQx!$A:$A,0)),"")</f>
        <v/>
      </c>
      <c r="J68">
        <f>IF(Inputs!$B$13="rp_mp",SUMIFS(MP2016_Long!$C:$C,MP2016_Long!$A:$A,D68,MP2016_Long!$B:$B,"&gt;=2014",MP2016_Long!$B:$B,"&lt;"&amp;E68),0)</f>
        <v/>
      </c>
      <c r="K68">
        <f>MIN(0.999999,MAX(0,I68*EXP(J68)))</f>
        <v/>
      </c>
      <c r="L68">
        <f>-LN(1-K68)</f>
        <v/>
      </c>
      <c r="M68">
        <f>EXP(-L68/Inputs!$B$6)</f>
        <v/>
      </c>
      <c r="N68">
        <f>N67*M68</f>
        <v/>
      </c>
      <c r="O68">
        <f>IFERROR(INDEX(MonthlyCurve!$L:$L,MATCH(A68,MonthlyCurve!$A:$A,0)),"")</f>
        <v/>
      </c>
      <c r="P68">
        <f>IF(B68&gt;0,-LN(O68)/B68,"")</f>
        <v/>
      </c>
      <c r="Q68">
        <f>G68*N68</f>
        <v/>
      </c>
      <c r="R68">
        <f>H68*N68</f>
        <v/>
      </c>
      <c r="S68">
        <f>Q68+R68</f>
        <v/>
      </c>
      <c r="T68">
        <f>Q68*O68</f>
        <v/>
      </c>
      <c r="U68">
        <f>R68*O68</f>
        <v/>
      </c>
      <c r="V68">
        <f>SUMPRODUCT(S69:S543,O69:O543)/(N68*O68)</f>
        <v/>
      </c>
    </row>
    <row r="69">
      <c r="A69" t="n">
        <v>66</v>
      </c>
      <c r="B69">
        <f>A69/Inputs!$B$6</f>
        <v/>
      </c>
      <c r="C69">
        <f>Inputs!$B$3+B69</f>
        <v/>
      </c>
      <c r="D69">
        <f>INT(C69)</f>
        <v/>
      </c>
      <c r="E69">
        <f>Inputs!$B$7+1+INT((A69-1)/Inputs!$B$6)</f>
        <v/>
      </c>
      <c r="F69">
        <f>IFERROR(INDEX(IndexScenario!$B$4:$B$544,MATCH(A69,IndexScenario!$A$4:$A$544,0)),"")</f>
        <v/>
      </c>
      <c r="G69">
        <f>G68*F69/F68</f>
        <v/>
      </c>
      <c r="H69">
        <f>H68*(1+Inputs!$B$17)^(1/12)</f>
        <v/>
      </c>
      <c r="I69">
        <f>IFERROR(INDEX(BaseQx!$B:$B,MATCH(D69,BaseQx!$A:$A,0)),"")</f>
        <v/>
      </c>
      <c r="J69">
        <f>IF(Inputs!$B$13="rp_mp",SUMIFS(MP2016_Long!$C:$C,MP2016_Long!$A:$A,D69,MP2016_Long!$B:$B,"&gt;=2014",MP2016_Long!$B:$B,"&lt;"&amp;E69),0)</f>
        <v/>
      </c>
      <c r="K69">
        <f>MIN(0.999999,MAX(0,I69*EXP(J69)))</f>
        <v/>
      </c>
      <c r="L69">
        <f>-LN(1-K69)</f>
        <v/>
      </c>
      <c r="M69">
        <f>EXP(-L69/Inputs!$B$6)</f>
        <v/>
      </c>
      <c r="N69">
        <f>N68*M69</f>
        <v/>
      </c>
      <c r="O69">
        <f>IFERROR(INDEX(MonthlyCurve!$L:$L,MATCH(A69,MonthlyCurve!$A:$A,0)),"")</f>
        <v/>
      </c>
      <c r="P69">
        <f>IF(B69&gt;0,-LN(O69)/B69,"")</f>
        <v/>
      </c>
      <c r="Q69">
        <f>G69*N69</f>
        <v/>
      </c>
      <c r="R69">
        <f>H69*N69</f>
        <v/>
      </c>
      <c r="S69">
        <f>Q69+R69</f>
        <v/>
      </c>
      <c r="T69">
        <f>Q69*O69</f>
        <v/>
      </c>
      <c r="U69">
        <f>R69*O69</f>
        <v/>
      </c>
      <c r="V69">
        <f>SUMPRODUCT(S70:S543,O70:O543)/(N69*O69)</f>
        <v/>
      </c>
    </row>
    <row r="70">
      <c r="A70" t="n">
        <v>67</v>
      </c>
      <c r="B70">
        <f>A70/Inputs!$B$6</f>
        <v/>
      </c>
      <c r="C70">
        <f>Inputs!$B$3+B70</f>
        <v/>
      </c>
      <c r="D70">
        <f>INT(C70)</f>
        <v/>
      </c>
      <c r="E70">
        <f>Inputs!$B$7+1+INT((A70-1)/Inputs!$B$6)</f>
        <v/>
      </c>
      <c r="F70">
        <f>IFERROR(INDEX(IndexScenario!$B$4:$B$544,MATCH(A70,IndexScenario!$A$4:$A$544,0)),"")</f>
        <v/>
      </c>
      <c r="G70">
        <f>G69*F70/F69</f>
        <v/>
      </c>
      <c r="H70">
        <f>H69*(1+Inputs!$B$17)^(1/12)</f>
        <v/>
      </c>
      <c r="I70">
        <f>IFERROR(INDEX(BaseQx!$B:$B,MATCH(D70,BaseQx!$A:$A,0)),"")</f>
        <v/>
      </c>
      <c r="J70">
        <f>IF(Inputs!$B$13="rp_mp",SUMIFS(MP2016_Long!$C:$C,MP2016_Long!$A:$A,D70,MP2016_Long!$B:$B,"&gt;=2014",MP2016_Long!$B:$B,"&lt;"&amp;E70),0)</f>
        <v/>
      </c>
      <c r="K70">
        <f>MIN(0.999999,MAX(0,I70*EXP(J70)))</f>
        <v/>
      </c>
      <c r="L70">
        <f>-LN(1-K70)</f>
        <v/>
      </c>
      <c r="M70">
        <f>EXP(-L70/Inputs!$B$6)</f>
        <v/>
      </c>
      <c r="N70">
        <f>N69*M70</f>
        <v/>
      </c>
      <c r="O70">
        <f>IFERROR(INDEX(MonthlyCurve!$L:$L,MATCH(A70,MonthlyCurve!$A:$A,0)),"")</f>
        <v/>
      </c>
      <c r="P70">
        <f>IF(B70&gt;0,-LN(O70)/B70,"")</f>
        <v/>
      </c>
      <c r="Q70">
        <f>G70*N70</f>
        <v/>
      </c>
      <c r="R70">
        <f>H70*N70</f>
        <v/>
      </c>
      <c r="S70">
        <f>Q70+R70</f>
        <v/>
      </c>
      <c r="T70">
        <f>Q70*O70</f>
        <v/>
      </c>
      <c r="U70">
        <f>R70*O70</f>
        <v/>
      </c>
      <c r="V70">
        <f>SUMPRODUCT(S71:S543,O71:O543)/(N70*O70)</f>
        <v/>
      </c>
    </row>
    <row r="71">
      <c r="A71" t="n">
        <v>68</v>
      </c>
      <c r="B71">
        <f>A71/Inputs!$B$6</f>
        <v/>
      </c>
      <c r="C71">
        <f>Inputs!$B$3+B71</f>
        <v/>
      </c>
      <c r="D71">
        <f>INT(C71)</f>
        <v/>
      </c>
      <c r="E71">
        <f>Inputs!$B$7+1+INT((A71-1)/Inputs!$B$6)</f>
        <v/>
      </c>
      <c r="F71">
        <f>IFERROR(INDEX(IndexScenario!$B$4:$B$544,MATCH(A71,IndexScenario!$A$4:$A$544,0)),"")</f>
        <v/>
      </c>
      <c r="G71">
        <f>G70*F71/F70</f>
        <v/>
      </c>
      <c r="H71">
        <f>H70*(1+Inputs!$B$17)^(1/12)</f>
        <v/>
      </c>
      <c r="I71">
        <f>IFERROR(INDEX(BaseQx!$B:$B,MATCH(D71,BaseQx!$A:$A,0)),"")</f>
        <v/>
      </c>
      <c r="J71">
        <f>IF(Inputs!$B$13="rp_mp",SUMIFS(MP2016_Long!$C:$C,MP2016_Long!$A:$A,D71,MP2016_Long!$B:$B,"&gt;=2014",MP2016_Long!$B:$B,"&lt;"&amp;E71),0)</f>
        <v/>
      </c>
      <c r="K71">
        <f>MIN(0.999999,MAX(0,I71*EXP(J71)))</f>
        <v/>
      </c>
      <c r="L71">
        <f>-LN(1-K71)</f>
        <v/>
      </c>
      <c r="M71">
        <f>EXP(-L71/Inputs!$B$6)</f>
        <v/>
      </c>
      <c r="N71">
        <f>N70*M71</f>
        <v/>
      </c>
      <c r="O71">
        <f>IFERROR(INDEX(MonthlyCurve!$L:$L,MATCH(A71,MonthlyCurve!$A:$A,0)),"")</f>
        <v/>
      </c>
      <c r="P71">
        <f>IF(B71&gt;0,-LN(O71)/B71,"")</f>
        <v/>
      </c>
      <c r="Q71">
        <f>G71*N71</f>
        <v/>
      </c>
      <c r="R71">
        <f>H71*N71</f>
        <v/>
      </c>
      <c r="S71">
        <f>Q71+R71</f>
        <v/>
      </c>
      <c r="T71">
        <f>Q71*O71</f>
        <v/>
      </c>
      <c r="U71">
        <f>R71*O71</f>
        <v/>
      </c>
      <c r="V71">
        <f>SUMPRODUCT(S72:S543,O72:O543)/(N71*O71)</f>
        <v/>
      </c>
    </row>
    <row r="72">
      <c r="A72" t="n">
        <v>69</v>
      </c>
      <c r="B72">
        <f>A72/Inputs!$B$6</f>
        <v/>
      </c>
      <c r="C72">
        <f>Inputs!$B$3+B72</f>
        <v/>
      </c>
      <c r="D72">
        <f>INT(C72)</f>
        <v/>
      </c>
      <c r="E72">
        <f>Inputs!$B$7+1+INT((A72-1)/Inputs!$B$6)</f>
        <v/>
      </c>
      <c r="F72">
        <f>IFERROR(INDEX(IndexScenario!$B$4:$B$544,MATCH(A72,IndexScenario!$A$4:$A$544,0)),"")</f>
        <v/>
      </c>
      <c r="G72">
        <f>G71*F72/F71</f>
        <v/>
      </c>
      <c r="H72">
        <f>H71*(1+Inputs!$B$17)^(1/12)</f>
        <v/>
      </c>
      <c r="I72">
        <f>IFERROR(INDEX(BaseQx!$B:$B,MATCH(D72,BaseQx!$A:$A,0)),"")</f>
        <v/>
      </c>
      <c r="J72">
        <f>IF(Inputs!$B$13="rp_mp",SUMIFS(MP2016_Long!$C:$C,MP2016_Long!$A:$A,D72,MP2016_Long!$B:$B,"&gt;=2014",MP2016_Long!$B:$B,"&lt;"&amp;E72),0)</f>
        <v/>
      </c>
      <c r="K72">
        <f>MIN(0.999999,MAX(0,I72*EXP(J72)))</f>
        <v/>
      </c>
      <c r="L72">
        <f>-LN(1-K72)</f>
        <v/>
      </c>
      <c r="M72">
        <f>EXP(-L72/Inputs!$B$6)</f>
        <v/>
      </c>
      <c r="N72">
        <f>N71*M72</f>
        <v/>
      </c>
      <c r="O72">
        <f>IFERROR(INDEX(MonthlyCurve!$L:$L,MATCH(A72,MonthlyCurve!$A:$A,0)),"")</f>
        <v/>
      </c>
      <c r="P72">
        <f>IF(B72&gt;0,-LN(O72)/B72,"")</f>
        <v/>
      </c>
      <c r="Q72">
        <f>G72*N72</f>
        <v/>
      </c>
      <c r="R72">
        <f>H72*N72</f>
        <v/>
      </c>
      <c r="S72">
        <f>Q72+R72</f>
        <v/>
      </c>
      <c r="T72">
        <f>Q72*O72</f>
        <v/>
      </c>
      <c r="U72">
        <f>R72*O72</f>
        <v/>
      </c>
      <c r="V72">
        <f>SUMPRODUCT(S73:S543,O73:O543)/(N72*O72)</f>
        <v/>
      </c>
    </row>
    <row r="73">
      <c r="A73" t="n">
        <v>70</v>
      </c>
      <c r="B73">
        <f>A73/Inputs!$B$6</f>
        <v/>
      </c>
      <c r="C73">
        <f>Inputs!$B$3+B73</f>
        <v/>
      </c>
      <c r="D73">
        <f>INT(C73)</f>
        <v/>
      </c>
      <c r="E73">
        <f>Inputs!$B$7+1+INT((A73-1)/Inputs!$B$6)</f>
        <v/>
      </c>
      <c r="F73">
        <f>IFERROR(INDEX(IndexScenario!$B$4:$B$544,MATCH(A73,IndexScenario!$A$4:$A$544,0)),"")</f>
        <v/>
      </c>
      <c r="G73">
        <f>G72*F73/F72</f>
        <v/>
      </c>
      <c r="H73">
        <f>H72*(1+Inputs!$B$17)^(1/12)</f>
        <v/>
      </c>
      <c r="I73">
        <f>IFERROR(INDEX(BaseQx!$B:$B,MATCH(D73,BaseQx!$A:$A,0)),"")</f>
        <v/>
      </c>
      <c r="J73">
        <f>IF(Inputs!$B$13="rp_mp",SUMIFS(MP2016_Long!$C:$C,MP2016_Long!$A:$A,D73,MP2016_Long!$B:$B,"&gt;=2014",MP2016_Long!$B:$B,"&lt;"&amp;E73),0)</f>
        <v/>
      </c>
      <c r="K73">
        <f>MIN(0.999999,MAX(0,I73*EXP(J73)))</f>
        <v/>
      </c>
      <c r="L73">
        <f>-LN(1-K73)</f>
        <v/>
      </c>
      <c r="M73">
        <f>EXP(-L73/Inputs!$B$6)</f>
        <v/>
      </c>
      <c r="N73">
        <f>N72*M73</f>
        <v/>
      </c>
      <c r="O73">
        <f>IFERROR(INDEX(MonthlyCurve!$L:$L,MATCH(A73,MonthlyCurve!$A:$A,0)),"")</f>
        <v/>
      </c>
      <c r="P73">
        <f>IF(B73&gt;0,-LN(O73)/B73,"")</f>
        <v/>
      </c>
      <c r="Q73">
        <f>G73*N73</f>
        <v/>
      </c>
      <c r="R73">
        <f>H73*N73</f>
        <v/>
      </c>
      <c r="S73">
        <f>Q73+R73</f>
        <v/>
      </c>
      <c r="T73">
        <f>Q73*O73</f>
        <v/>
      </c>
      <c r="U73">
        <f>R73*O73</f>
        <v/>
      </c>
      <c r="V73">
        <f>SUMPRODUCT(S74:S543,O74:O543)/(N73*O73)</f>
        <v/>
      </c>
    </row>
    <row r="74">
      <c r="A74" t="n">
        <v>71</v>
      </c>
      <c r="B74">
        <f>A74/Inputs!$B$6</f>
        <v/>
      </c>
      <c r="C74">
        <f>Inputs!$B$3+B74</f>
        <v/>
      </c>
      <c r="D74">
        <f>INT(C74)</f>
        <v/>
      </c>
      <c r="E74">
        <f>Inputs!$B$7+1+INT((A74-1)/Inputs!$B$6)</f>
        <v/>
      </c>
      <c r="F74">
        <f>IFERROR(INDEX(IndexScenario!$B$4:$B$544,MATCH(A74,IndexScenario!$A$4:$A$544,0)),"")</f>
        <v/>
      </c>
      <c r="G74">
        <f>G73*F74/F73</f>
        <v/>
      </c>
      <c r="H74">
        <f>H73*(1+Inputs!$B$17)^(1/12)</f>
        <v/>
      </c>
      <c r="I74">
        <f>IFERROR(INDEX(BaseQx!$B:$B,MATCH(D74,BaseQx!$A:$A,0)),"")</f>
        <v/>
      </c>
      <c r="J74">
        <f>IF(Inputs!$B$13="rp_mp",SUMIFS(MP2016_Long!$C:$C,MP2016_Long!$A:$A,D74,MP2016_Long!$B:$B,"&gt;=2014",MP2016_Long!$B:$B,"&lt;"&amp;E74),0)</f>
        <v/>
      </c>
      <c r="K74">
        <f>MIN(0.999999,MAX(0,I74*EXP(J74)))</f>
        <v/>
      </c>
      <c r="L74">
        <f>-LN(1-K74)</f>
        <v/>
      </c>
      <c r="M74">
        <f>EXP(-L74/Inputs!$B$6)</f>
        <v/>
      </c>
      <c r="N74">
        <f>N73*M74</f>
        <v/>
      </c>
      <c r="O74">
        <f>IFERROR(INDEX(MonthlyCurve!$L:$L,MATCH(A74,MonthlyCurve!$A:$A,0)),"")</f>
        <v/>
      </c>
      <c r="P74">
        <f>IF(B74&gt;0,-LN(O74)/B74,"")</f>
        <v/>
      </c>
      <c r="Q74">
        <f>G74*N74</f>
        <v/>
      </c>
      <c r="R74">
        <f>H74*N74</f>
        <v/>
      </c>
      <c r="S74">
        <f>Q74+R74</f>
        <v/>
      </c>
      <c r="T74">
        <f>Q74*O74</f>
        <v/>
      </c>
      <c r="U74">
        <f>R74*O74</f>
        <v/>
      </c>
      <c r="V74">
        <f>SUMPRODUCT(S75:S543,O75:O543)/(N74*O74)</f>
        <v/>
      </c>
    </row>
    <row r="75">
      <c r="A75" t="n">
        <v>72</v>
      </c>
      <c r="B75">
        <f>A75/Inputs!$B$6</f>
        <v/>
      </c>
      <c r="C75">
        <f>Inputs!$B$3+B75</f>
        <v/>
      </c>
      <c r="D75">
        <f>INT(C75)</f>
        <v/>
      </c>
      <c r="E75">
        <f>Inputs!$B$7+1+INT((A75-1)/Inputs!$B$6)</f>
        <v/>
      </c>
      <c r="F75">
        <f>IFERROR(INDEX(IndexScenario!$B$4:$B$544,MATCH(A75,IndexScenario!$A$4:$A$544,0)),"")</f>
        <v/>
      </c>
      <c r="G75">
        <f>G74*F75/F74</f>
        <v/>
      </c>
      <c r="H75">
        <f>H74*(1+Inputs!$B$17)^(1/12)</f>
        <v/>
      </c>
      <c r="I75">
        <f>IFERROR(INDEX(BaseQx!$B:$B,MATCH(D75,BaseQx!$A:$A,0)),"")</f>
        <v/>
      </c>
      <c r="J75">
        <f>IF(Inputs!$B$13="rp_mp",SUMIFS(MP2016_Long!$C:$C,MP2016_Long!$A:$A,D75,MP2016_Long!$B:$B,"&gt;=2014",MP2016_Long!$B:$B,"&lt;"&amp;E75),0)</f>
        <v/>
      </c>
      <c r="K75">
        <f>MIN(0.999999,MAX(0,I75*EXP(J75)))</f>
        <v/>
      </c>
      <c r="L75">
        <f>-LN(1-K75)</f>
        <v/>
      </c>
      <c r="M75">
        <f>EXP(-L75/Inputs!$B$6)</f>
        <v/>
      </c>
      <c r="N75">
        <f>N74*M75</f>
        <v/>
      </c>
      <c r="O75">
        <f>IFERROR(INDEX(MonthlyCurve!$L:$L,MATCH(A75,MonthlyCurve!$A:$A,0)),"")</f>
        <v/>
      </c>
      <c r="P75">
        <f>IF(B75&gt;0,-LN(O75)/B75,"")</f>
        <v/>
      </c>
      <c r="Q75">
        <f>G75*N75</f>
        <v/>
      </c>
      <c r="R75">
        <f>H75*N75</f>
        <v/>
      </c>
      <c r="S75">
        <f>Q75+R75</f>
        <v/>
      </c>
      <c r="T75">
        <f>Q75*O75</f>
        <v/>
      </c>
      <c r="U75">
        <f>R75*O75</f>
        <v/>
      </c>
      <c r="V75">
        <f>SUMPRODUCT(S76:S543,O76:O543)/(N75*O75)</f>
        <v/>
      </c>
    </row>
    <row r="76">
      <c r="A76" t="n">
        <v>73</v>
      </c>
      <c r="B76">
        <f>A76/Inputs!$B$6</f>
        <v/>
      </c>
      <c r="C76">
        <f>Inputs!$B$3+B76</f>
        <v/>
      </c>
      <c r="D76">
        <f>INT(C76)</f>
        <v/>
      </c>
      <c r="E76">
        <f>Inputs!$B$7+1+INT((A76-1)/Inputs!$B$6)</f>
        <v/>
      </c>
      <c r="F76">
        <f>IFERROR(INDEX(IndexScenario!$B$4:$B$544,MATCH(A76,IndexScenario!$A$4:$A$544,0)),"")</f>
        <v/>
      </c>
      <c r="G76">
        <f>G75*F76/F75</f>
        <v/>
      </c>
      <c r="H76">
        <f>H75*(1+Inputs!$B$17)^(1/12)</f>
        <v/>
      </c>
      <c r="I76">
        <f>IFERROR(INDEX(BaseQx!$B:$B,MATCH(D76,BaseQx!$A:$A,0)),"")</f>
        <v/>
      </c>
      <c r="J76">
        <f>IF(Inputs!$B$13="rp_mp",SUMIFS(MP2016_Long!$C:$C,MP2016_Long!$A:$A,D76,MP2016_Long!$B:$B,"&gt;=2014",MP2016_Long!$B:$B,"&lt;"&amp;E76),0)</f>
        <v/>
      </c>
      <c r="K76">
        <f>MIN(0.999999,MAX(0,I76*EXP(J76)))</f>
        <v/>
      </c>
      <c r="L76">
        <f>-LN(1-K76)</f>
        <v/>
      </c>
      <c r="M76">
        <f>EXP(-L76/Inputs!$B$6)</f>
        <v/>
      </c>
      <c r="N76">
        <f>N75*M76</f>
        <v/>
      </c>
      <c r="O76">
        <f>IFERROR(INDEX(MonthlyCurve!$L:$L,MATCH(A76,MonthlyCurve!$A:$A,0)),"")</f>
        <v/>
      </c>
      <c r="P76">
        <f>IF(B76&gt;0,-LN(O76)/B76,"")</f>
        <v/>
      </c>
      <c r="Q76">
        <f>G76*N76</f>
        <v/>
      </c>
      <c r="R76">
        <f>H76*N76</f>
        <v/>
      </c>
      <c r="S76">
        <f>Q76+R76</f>
        <v/>
      </c>
      <c r="T76">
        <f>Q76*O76</f>
        <v/>
      </c>
      <c r="U76">
        <f>R76*O76</f>
        <v/>
      </c>
      <c r="V76">
        <f>SUMPRODUCT(S77:S543,O77:O543)/(N76*O76)</f>
        <v/>
      </c>
    </row>
    <row r="77">
      <c r="A77" t="n">
        <v>74</v>
      </c>
      <c r="B77">
        <f>A77/Inputs!$B$6</f>
        <v/>
      </c>
      <c r="C77">
        <f>Inputs!$B$3+B77</f>
        <v/>
      </c>
      <c r="D77">
        <f>INT(C77)</f>
        <v/>
      </c>
      <c r="E77">
        <f>Inputs!$B$7+1+INT((A77-1)/Inputs!$B$6)</f>
        <v/>
      </c>
      <c r="F77">
        <f>IFERROR(INDEX(IndexScenario!$B$4:$B$544,MATCH(A77,IndexScenario!$A$4:$A$544,0)),"")</f>
        <v/>
      </c>
      <c r="G77">
        <f>G76*F77/F76</f>
        <v/>
      </c>
      <c r="H77">
        <f>H76*(1+Inputs!$B$17)^(1/12)</f>
        <v/>
      </c>
      <c r="I77">
        <f>IFERROR(INDEX(BaseQx!$B:$B,MATCH(D77,BaseQx!$A:$A,0)),"")</f>
        <v/>
      </c>
      <c r="J77">
        <f>IF(Inputs!$B$13="rp_mp",SUMIFS(MP2016_Long!$C:$C,MP2016_Long!$A:$A,D77,MP2016_Long!$B:$B,"&gt;=2014",MP2016_Long!$B:$B,"&lt;"&amp;E77),0)</f>
        <v/>
      </c>
      <c r="K77">
        <f>MIN(0.999999,MAX(0,I77*EXP(J77)))</f>
        <v/>
      </c>
      <c r="L77">
        <f>-LN(1-K77)</f>
        <v/>
      </c>
      <c r="M77">
        <f>EXP(-L77/Inputs!$B$6)</f>
        <v/>
      </c>
      <c r="N77">
        <f>N76*M77</f>
        <v/>
      </c>
      <c r="O77">
        <f>IFERROR(INDEX(MonthlyCurve!$L:$L,MATCH(A77,MonthlyCurve!$A:$A,0)),"")</f>
        <v/>
      </c>
      <c r="P77">
        <f>IF(B77&gt;0,-LN(O77)/B77,"")</f>
        <v/>
      </c>
      <c r="Q77">
        <f>G77*N77</f>
        <v/>
      </c>
      <c r="R77">
        <f>H77*N77</f>
        <v/>
      </c>
      <c r="S77">
        <f>Q77+R77</f>
        <v/>
      </c>
      <c r="T77">
        <f>Q77*O77</f>
        <v/>
      </c>
      <c r="U77">
        <f>R77*O77</f>
        <v/>
      </c>
      <c r="V77">
        <f>SUMPRODUCT(S78:S543,O78:O543)/(N77*O77)</f>
        <v/>
      </c>
    </row>
    <row r="78">
      <c r="A78" t="n">
        <v>75</v>
      </c>
      <c r="B78">
        <f>A78/Inputs!$B$6</f>
        <v/>
      </c>
      <c r="C78">
        <f>Inputs!$B$3+B78</f>
        <v/>
      </c>
      <c r="D78">
        <f>INT(C78)</f>
        <v/>
      </c>
      <c r="E78">
        <f>Inputs!$B$7+1+INT((A78-1)/Inputs!$B$6)</f>
        <v/>
      </c>
      <c r="F78">
        <f>IFERROR(INDEX(IndexScenario!$B$4:$B$544,MATCH(A78,IndexScenario!$A$4:$A$544,0)),"")</f>
        <v/>
      </c>
      <c r="G78">
        <f>G77*F78/F77</f>
        <v/>
      </c>
      <c r="H78">
        <f>H77*(1+Inputs!$B$17)^(1/12)</f>
        <v/>
      </c>
      <c r="I78">
        <f>IFERROR(INDEX(BaseQx!$B:$B,MATCH(D78,BaseQx!$A:$A,0)),"")</f>
        <v/>
      </c>
      <c r="J78">
        <f>IF(Inputs!$B$13="rp_mp",SUMIFS(MP2016_Long!$C:$C,MP2016_Long!$A:$A,D78,MP2016_Long!$B:$B,"&gt;=2014",MP2016_Long!$B:$B,"&lt;"&amp;E78),0)</f>
        <v/>
      </c>
      <c r="K78">
        <f>MIN(0.999999,MAX(0,I78*EXP(J78)))</f>
        <v/>
      </c>
      <c r="L78">
        <f>-LN(1-K78)</f>
        <v/>
      </c>
      <c r="M78">
        <f>EXP(-L78/Inputs!$B$6)</f>
        <v/>
      </c>
      <c r="N78">
        <f>N77*M78</f>
        <v/>
      </c>
      <c r="O78">
        <f>IFERROR(INDEX(MonthlyCurve!$L:$L,MATCH(A78,MonthlyCurve!$A:$A,0)),"")</f>
        <v/>
      </c>
      <c r="P78">
        <f>IF(B78&gt;0,-LN(O78)/B78,"")</f>
        <v/>
      </c>
      <c r="Q78">
        <f>G78*N78</f>
        <v/>
      </c>
      <c r="R78">
        <f>H78*N78</f>
        <v/>
      </c>
      <c r="S78">
        <f>Q78+R78</f>
        <v/>
      </c>
      <c r="T78">
        <f>Q78*O78</f>
        <v/>
      </c>
      <c r="U78">
        <f>R78*O78</f>
        <v/>
      </c>
      <c r="V78">
        <f>SUMPRODUCT(S79:S543,O79:O543)/(N78*O78)</f>
        <v/>
      </c>
    </row>
    <row r="79">
      <c r="A79" t="n">
        <v>76</v>
      </c>
      <c r="B79">
        <f>A79/Inputs!$B$6</f>
        <v/>
      </c>
      <c r="C79">
        <f>Inputs!$B$3+B79</f>
        <v/>
      </c>
      <c r="D79">
        <f>INT(C79)</f>
        <v/>
      </c>
      <c r="E79">
        <f>Inputs!$B$7+1+INT((A79-1)/Inputs!$B$6)</f>
        <v/>
      </c>
      <c r="F79">
        <f>IFERROR(INDEX(IndexScenario!$B$4:$B$544,MATCH(A79,IndexScenario!$A$4:$A$544,0)),"")</f>
        <v/>
      </c>
      <c r="G79">
        <f>G78*F79/F78</f>
        <v/>
      </c>
      <c r="H79">
        <f>H78*(1+Inputs!$B$17)^(1/12)</f>
        <v/>
      </c>
      <c r="I79">
        <f>IFERROR(INDEX(BaseQx!$B:$B,MATCH(D79,BaseQx!$A:$A,0)),"")</f>
        <v/>
      </c>
      <c r="J79">
        <f>IF(Inputs!$B$13="rp_mp",SUMIFS(MP2016_Long!$C:$C,MP2016_Long!$A:$A,D79,MP2016_Long!$B:$B,"&gt;=2014",MP2016_Long!$B:$B,"&lt;"&amp;E79),0)</f>
        <v/>
      </c>
      <c r="K79">
        <f>MIN(0.999999,MAX(0,I79*EXP(J79)))</f>
        <v/>
      </c>
      <c r="L79">
        <f>-LN(1-K79)</f>
        <v/>
      </c>
      <c r="M79">
        <f>EXP(-L79/Inputs!$B$6)</f>
        <v/>
      </c>
      <c r="N79">
        <f>N78*M79</f>
        <v/>
      </c>
      <c r="O79">
        <f>IFERROR(INDEX(MonthlyCurve!$L:$L,MATCH(A79,MonthlyCurve!$A:$A,0)),"")</f>
        <v/>
      </c>
      <c r="P79">
        <f>IF(B79&gt;0,-LN(O79)/B79,"")</f>
        <v/>
      </c>
      <c r="Q79">
        <f>G79*N79</f>
        <v/>
      </c>
      <c r="R79">
        <f>H79*N79</f>
        <v/>
      </c>
      <c r="S79">
        <f>Q79+R79</f>
        <v/>
      </c>
      <c r="T79">
        <f>Q79*O79</f>
        <v/>
      </c>
      <c r="U79">
        <f>R79*O79</f>
        <v/>
      </c>
      <c r="V79">
        <f>SUMPRODUCT(S80:S543,O80:O543)/(N79*O79)</f>
        <v/>
      </c>
    </row>
    <row r="80">
      <c r="A80" t="n">
        <v>77</v>
      </c>
      <c r="B80">
        <f>A80/Inputs!$B$6</f>
        <v/>
      </c>
      <c r="C80">
        <f>Inputs!$B$3+B80</f>
        <v/>
      </c>
      <c r="D80">
        <f>INT(C80)</f>
        <v/>
      </c>
      <c r="E80">
        <f>Inputs!$B$7+1+INT((A80-1)/Inputs!$B$6)</f>
        <v/>
      </c>
      <c r="F80">
        <f>IFERROR(INDEX(IndexScenario!$B$4:$B$544,MATCH(A80,IndexScenario!$A$4:$A$544,0)),"")</f>
        <v/>
      </c>
      <c r="G80">
        <f>G79*F80/F79</f>
        <v/>
      </c>
      <c r="H80">
        <f>H79*(1+Inputs!$B$17)^(1/12)</f>
        <v/>
      </c>
      <c r="I80">
        <f>IFERROR(INDEX(BaseQx!$B:$B,MATCH(D80,BaseQx!$A:$A,0)),"")</f>
        <v/>
      </c>
      <c r="J80">
        <f>IF(Inputs!$B$13="rp_mp",SUMIFS(MP2016_Long!$C:$C,MP2016_Long!$A:$A,D80,MP2016_Long!$B:$B,"&gt;=2014",MP2016_Long!$B:$B,"&lt;"&amp;E80),0)</f>
        <v/>
      </c>
      <c r="K80">
        <f>MIN(0.999999,MAX(0,I80*EXP(J80)))</f>
        <v/>
      </c>
      <c r="L80">
        <f>-LN(1-K80)</f>
        <v/>
      </c>
      <c r="M80">
        <f>EXP(-L80/Inputs!$B$6)</f>
        <v/>
      </c>
      <c r="N80">
        <f>N79*M80</f>
        <v/>
      </c>
      <c r="O80">
        <f>IFERROR(INDEX(MonthlyCurve!$L:$L,MATCH(A80,MonthlyCurve!$A:$A,0)),"")</f>
        <v/>
      </c>
      <c r="P80">
        <f>IF(B80&gt;0,-LN(O80)/B80,"")</f>
        <v/>
      </c>
      <c r="Q80">
        <f>G80*N80</f>
        <v/>
      </c>
      <c r="R80">
        <f>H80*N80</f>
        <v/>
      </c>
      <c r="S80">
        <f>Q80+R80</f>
        <v/>
      </c>
      <c r="T80">
        <f>Q80*O80</f>
        <v/>
      </c>
      <c r="U80">
        <f>R80*O80</f>
        <v/>
      </c>
      <c r="V80">
        <f>SUMPRODUCT(S81:S543,O81:O543)/(N80*O80)</f>
        <v/>
      </c>
    </row>
    <row r="81">
      <c r="A81" t="n">
        <v>78</v>
      </c>
      <c r="B81">
        <f>A81/Inputs!$B$6</f>
        <v/>
      </c>
      <c r="C81">
        <f>Inputs!$B$3+B81</f>
        <v/>
      </c>
      <c r="D81">
        <f>INT(C81)</f>
        <v/>
      </c>
      <c r="E81">
        <f>Inputs!$B$7+1+INT((A81-1)/Inputs!$B$6)</f>
        <v/>
      </c>
      <c r="F81">
        <f>IFERROR(INDEX(IndexScenario!$B$4:$B$544,MATCH(A81,IndexScenario!$A$4:$A$544,0)),"")</f>
        <v/>
      </c>
      <c r="G81">
        <f>G80*F81/F80</f>
        <v/>
      </c>
      <c r="H81">
        <f>H80*(1+Inputs!$B$17)^(1/12)</f>
        <v/>
      </c>
      <c r="I81">
        <f>IFERROR(INDEX(BaseQx!$B:$B,MATCH(D81,BaseQx!$A:$A,0)),"")</f>
        <v/>
      </c>
      <c r="J81">
        <f>IF(Inputs!$B$13="rp_mp",SUMIFS(MP2016_Long!$C:$C,MP2016_Long!$A:$A,D81,MP2016_Long!$B:$B,"&gt;=2014",MP2016_Long!$B:$B,"&lt;"&amp;E81),0)</f>
        <v/>
      </c>
      <c r="K81">
        <f>MIN(0.999999,MAX(0,I81*EXP(J81)))</f>
        <v/>
      </c>
      <c r="L81">
        <f>-LN(1-K81)</f>
        <v/>
      </c>
      <c r="M81">
        <f>EXP(-L81/Inputs!$B$6)</f>
        <v/>
      </c>
      <c r="N81">
        <f>N80*M81</f>
        <v/>
      </c>
      <c r="O81">
        <f>IFERROR(INDEX(MonthlyCurve!$L:$L,MATCH(A81,MonthlyCurve!$A:$A,0)),"")</f>
        <v/>
      </c>
      <c r="P81">
        <f>IF(B81&gt;0,-LN(O81)/B81,"")</f>
        <v/>
      </c>
      <c r="Q81">
        <f>G81*N81</f>
        <v/>
      </c>
      <c r="R81">
        <f>H81*N81</f>
        <v/>
      </c>
      <c r="S81">
        <f>Q81+R81</f>
        <v/>
      </c>
      <c r="T81">
        <f>Q81*O81</f>
        <v/>
      </c>
      <c r="U81">
        <f>R81*O81</f>
        <v/>
      </c>
      <c r="V81">
        <f>SUMPRODUCT(S82:S543,O82:O543)/(N81*O81)</f>
        <v/>
      </c>
    </row>
    <row r="82">
      <c r="A82" t="n">
        <v>79</v>
      </c>
      <c r="B82">
        <f>A82/Inputs!$B$6</f>
        <v/>
      </c>
      <c r="C82">
        <f>Inputs!$B$3+B82</f>
        <v/>
      </c>
      <c r="D82">
        <f>INT(C82)</f>
        <v/>
      </c>
      <c r="E82">
        <f>Inputs!$B$7+1+INT((A82-1)/Inputs!$B$6)</f>
        <v/>
      </c>
      <c r="F82">
        <f>IFERROR(INDEX(IndexScenario!$B$4:$B$544,MATCH(A82,IndexScenario!$A$4:$A$544,0)),"")</f>
        <v/>
      </c>
      <c r="G82">
        <f>G81*F82/F81</f>
        <v/>
      </c>
      <c r="H82">
        <f>H81*(1+Inputs!$B$17)^(1/12)</f>
        <v/>
      </c>
      <c r="I82">
        <f>IFERROR(INDEX(BaseQx!$B:$B,MATCH(D82,BaseQx!$A:$A,0)),"")</f>
        <v/>
      </c>
      <c r="J82">
        <f>IF(Inputs!$B$13="rp_mp",SUMIFS(MP2016_Long!$C:$C,MP2016_Long!$A:$A,D82,MP2016_Long!$B:$B,"&gt;=2014",MP2016_Long!$B:$B,"&lt;"&amp;E82),0)</f>
        <v/>
      </c>
      <c r="K82">
        <f>MIN(0.999999,MAX(0,I82*EXP(J82)))</f>
        <v/>
      </c>
      <c r="L82">
        <f>-LN(1-K82)</f>
        <v/>
      </c>
      <c r="M82">
        <f>EXP(-L82/Inputs!$B$6)</f>
        <v/>
      </c>
      <c r="N82">
        <f>N81*M82</f>
        <v/>
      </c>
      <c r="O82">
        <f>IFERROR(INDEX(MonthlyCurve!$L:$L,MATCH(A82,MonthlyCurve!$A:$A,0)),"")</f>
        <v/>
      </c>
      <c r="P82">
        <f>IF(B82&gt;0,-LN(O82)/B82,"")</f>
        <v/>
      </c>
      <c r="Q82">
        <f>G82*N82</f>
        <v/>
      </c>
      <c r="R82">
        <f>H82*N82</f>
        <v/>
      </c>
      <c r="S82">
        <f>Q82+R82</f>
        <v/>
      </c>
      <c r="T82">
        <f>Q82*O82</f>
        <v/>
      </c>
      <c r="U82">
        <f>R82*O82</f>
        <v/>
      </c>
      <c r="V82">
        <f>SUMPRODUCT(S83:S543,O83:O543)/(N82*O82)</f>
        <v/>
      </c>
    </row>
    <row r="83">
      <c r="A83" t="n">
        <v>80</v>
      </c>
      <c r="B83">
        <f>A83/Inputs!$B$6</f>
        <v/>
      </c>
      <c r="C83">
        <f>Inputs!$B$3+B83</f>
        <v/>
      </c>
      <c r="D83">
        <f>INT(C83)</f>
        <v/>
      </c>
      <c r="E83">
        <f>Inputs!$B$7+1+INT((A83-1)/Inputs!$B$6)</f>
        <v/>
      </c>
      <c r="F83">
        <f>IFERROR(INDEX(IndexScenario!$B$4:$B$544,MATCH(A83,IndexScenario!$A$4:$A$544,0)),"")</f>
        <v/>
      </c>
      <c r="G83">
        <f>G82*F83/F82</f>
        <v/>
      </c>
      <c r="H83">
        <f>H82*(1+Inputs!$B$17)^(1/12)</f>
        <v/>
      </c>
      <c r="I83">
        <f>IFERROR(INDEX(BaseQx!$B:$B,MATCH(D83,BaseQx!$A:$A,0)),"")</f>
        <v/>
      </c>
      <c r="J83">
        <f>IF(Inputs!$B$13="rp_mp",SUMIFS(MP2016_Long!$C:$C,MP2016_Long!$A:$A,D83,MP2016_Long!$B:$B,"&gt;=2014",MP2016_Long!$B:$B,"&lt;"&amp;E83),0)</f>
        <v/>
      </c>
      <c r="K83">
        <f>MIN(0.999999,MAX(0,I83*EXP(J83)))</f>
        <v/>
      </c>
      <c r="L83">
        <f>-LN(1-K83)</f>
        <v/>
      </c>
      <c r="M83">
        <f>EXP(-L83/Inputs!$B$6)</f>
        <v/>
      </c>
      <c r="N83">
        <f>N82*M83</f>
        <v/>
      </c>
      <c r="O83">
        <f>IFERROR(INDEX(MonthlyCurve!$L:$L,MATCH(A83,MonthlyCurve!$A:$A,0)),"")</f>
        <v/>
      </c>
      <c r="P83">
        <f>IF(B83&gt;0,-LN(O83)/B83,"")</f>
        <v/>
      </c>
      <c r="Q83">
        <f>G83*N83</f>
        <v/>
      </c>
      <c r="R83">
        <f>H83*N83</f>
        <v/>
      </c>
      <c r="S83">
        <f>Q83+R83</f>
        <v/>
      </c>
      <c r="T83">
        <f>Q83*O83</f>
        <v/>
      </c>
      <c r="U83">
        <f>R83*O83</f>
        <v/>
      </c>
      <c r="V83">
        <f>SUMPRODUCT(S84:S543,O84:O543)/(N83*O83)</f>
        <v/>
      </c>
    </row>
    <row r="84">
      <c r="A84" t="n">
        <v>81</v>
      </c>
      <c r="B84">
        <f>A84/Inputs!$B$6</f>
        <v/>
      </c>
      <c r="C84">
        <f>Inputs!$B$3+B84</f>
        <v/>
      </c>
      <c r="D84">
        <f>INT(C84)</f>
        <v/>
      </c>
      <c r="E84">
        <f>Inputs!$B$7+1+INT((A84-1)/Inputs!$B$6)</f>
        <v/>
      </c>
      <c r="F84">
        <f>IFERROR(INDEX(IndexScenario!$B$4:$B$544,MATCH(A84,IndexScenario!$A$4:$A$544,0)),"")</f>
        <v/>
      </c>
      <c r="G84">
        <f>G83*F84/F83</f>
        <v/>
      </c>
      <c r="H84">
        <f>H83*(1+Inputs!$B$17)^(1/12)</f>
        <v/>
      </c>
      <c r="I84">
        <f>IFERROR(INDEX(BaseQx!$B:$B,MATCH(D84,BaseQx!$A:$A,0)),"")</f>
        <v/>
      </c>
      <c r="J84">
        <f>IF(Inputs!$B$13="rp_mp",SUMIFS(MP2016_Long!$C:$C,MP2016_Long!$A:$A,D84,MP2016_Long!$B:$B,"&gt;=2014",MP2016_Long!$B:$B,"&lt;"&amp;E84),0)</f>
        <v/>
      </c>
      <c r="K84">
        <f>MIN(0.999999,MAX(0,I84*EXP(J84)))</f>
        <v/>
      </c>
      <c r="L84">
        <f>-LN(1-K84)</f>
        <v/>
      </c>
      <c r="M84">
        <f>EXP(-L84/Inputs!$B$6)</f>
        <v/>
      </c>
      <c r="N84">
        <f>N83*M84</f>
        <v/>
      </c>
      <c r="O84">
        <f>IFERROR(INDEX(MonthlyCurve!$L:$L,MATCH(A84,MonthlyCurve!$A:$A,0)),"")</f>
        <v/>
      </c>
      <c r="P84">
        <f>IF(B84&gt;0,-LN(O84)/B84,"")</f>
        <v/>
      </c>
      <c r="Q84">
        <f>G84*N84</f>
        <v/>
      </c>
      <c r="R84">
        <f>H84*N84</f>
        <v/>
      </c>
      <c r="S84">
        <f>Q84+R84</f>
        <v/>
      </c>
      <c r="T84">
        <f>Q84*O84</f>
        <v/>
      </c>
      <c r="U84">
        <f>R84*O84</f>
        <v/>
      </c>
      <c r="V84">
        <f>SUMPRODUCT(S85:S543,O85:O543)/(N84*O84)</f>
        <v/>
      </c>
    </row>
    <row r="85">
      <c r="A85" t="n">
        <v>82</v>
      </c>
      <c r="B85">
        <f>A85/Inputs!$B$6</f>
        <v/>
      </c>
      <c r="C85">
        <f>Inputs!$B$3+B85</f>
        <v/>
      </c>
      <c r="D85">
        <f>INT(C85)</f>
        <v/>
      </c>
      <c r="E85">
        <f>Inputs!$B$7+1+INT((A85-1)/Inputs!$B$6)</f>
        <v/>
      </c>
      <c r="F85">
        <f>IFERROR(INDEX(IndexScenario!$B$4:$B$544,MATCH(A85,IndexScenario!$A$4:$A$544,0)),"")</f>
        <v/>
      </c>
      <c r="G85">
        <f>G84*F85/F84</f>
        <v/>
      </c>
      <c r="H85">
        <f>H84*(1+Inputs!$B$17)^(1/12)</f>
        <v/>
      </c>
      <c r="I85">
        <f>IFERROR(INDEX(BaseQx!$B:$B,MATCH(D85,BaseQx!$A:$A,0)),"")</f>
        <v/>
      </c>
      <c r="J85">
        <f>IF(Inputs!$B$13="rp_mp",SUMIFS(MP2016_Long!$C:$C,MP2016_Long!$A:$A,D85,MP2016_Long!$B:$B,"&gt;=2014",MP2016_Long!$B:$B,"&lt;"&amp;E85),0)</f>
        <v/>
      </c>
      <c r="K85">
        <f>MIN(0.999999,MAX(0,I85*EXP(J85)))</f>
        <v/>
      </c>
      <c r="L85">
        <f>-LN(1-K85)</f>
        <v/>
      </c>
      <c r="M85">
        <f>EXP(-L85/Inputs!$B$6)</f>
        <v/>
      </c>
      <c r="N85">
        <f>N84*M85</f>
        <v/>
      </c>
      <c r="O85">
        <f>IFERROR(INDEX(MonthlyCurve!$L:$L,MATCH(A85,MonthlyCurve!$A:$A,0)),"")</f>
        <v/>
      </c>
      <c r="P85">
        <f>IF(B85&gt;0,-LN(O85)/B85,"")</f>
        <v/>
      </c>
      <c r="Q85">
        <f>G85*N85</f>
        <v/>
      </c>
      <c r="R85">
        <f>H85*N85</f>
        <v/>
      </c>
      <c r="S85">
        <f>Q85+R85</f>
        <v/>
      </c>
      <c r="T85">
        <f>Q85*O85</f>
        <v/>
      </c>
      <c r="U85">
        <f>R85*O85</f>
        <v/>
      </c>
      <c r="V85">
        <f>SUMPRODUCT(S86:S543,O86:O543)/(N85*O85)</f>
        <v/>
      </c>
    </row>
    <row r="86">
      <c r="A86" t="n">
        <v>83</v>
      </c>
      <c r="B86">
        <f>A86/Inputs!$B$6</f>
        <v/>
      </c>
      <c r="C86">
        <f>Inputs!$B$3+B86</f>
        <v/>
      </c>
      <c r="D86">
        <f>INT(C86)</f>
        <v/>
      </c>
      <c r="E86">
        <f>Inputs!$B$7+1+INT((A86-1)/Inputs!$B$6)</f>
        <v/>
      </c>
      <c r="F86">
        <f>IFERROR(INDEX(IndexScenario!$B$4:$B$544,MATCH(A86,IndexScenario!$A$4:$A$544,0)),"")</f>
        <v/>
      </c>
      <c r="G86">
        <f>G85*F86/F85</f>
        <v/>
      </c>
      <c r="H86">
        <f>H85*(1+Inputs!$B$17)^(1/12)</f>
        <v/>
      </c>
      <c r="I86">
        <f>IFERROR(INDEX(BaseQx!$B:$B,MATCH(D86,BaseQx!$A:$A,0)),"")</f>
        <v/>
      </c>
      <c r="J86">
        <f>IF(Inputs!$B$13="rp_mp",SUMIFS(MP2016_Long!$C:$C,MP2016_Long!$A:$A,D86,MP2016_Long!$B:$B,"&gt;=2014",MP2016_Long!$B:$B,"&lt;"&amp;E86),0)</f>
        <v/>
      </c>
      <c r="K86">
        <f>MIN(0.999999,MAX(0,I86*EXP(J86)))</f>
        <v/>
      </c>
      <c r="L86">
        <f>-LN(1-K86)</f>
        <v/>
      </c>
      <c r="M86">
        <f>EXP(-L86/Inputs!$B$6)</f>
        <v/>
      </c>
      <c r="N86">
        <f>N85*M86</f>
        <v/>
      </c>
      <c r="O86">
        <f>IFERROR(INDEX(MonthlyCurve!$L:$L,MATCH(A86,MonthlyCurve!$A:$A,0)),"")</f>
        <v/>
      </c>
      <c r="P86">
        <f>IF(B86&gt;0,-LN(O86)/B86,"")</f>
        <v/>
      </c>
      <c r="Q86">
        <f>G86*N86</f>
        <v/>
      </c>
      <c r="R86">
        <f>H86*N86</f>
        <v/>
      </c>
      <c r="S86">
        <f>Q86+R86</f>
        <v/>
      </c>
      <c r="T86">
        <f>Q86*O86</f>
        <v/>
      </c>
      <c r="U86">
        <f>R86*O86</f>
        <v/>
      </c>
      <c r="V86">
        <f>SUMPRODUCT(S87:S543,O87:O543)/(N86*O86)</f>
        <v/>
      </c>
    </row>
    <row r="87">
      <c r="A87" t="n">
        <v>84</v>
      </c>
      <c r="B87">
        <f>A87/Inputs!$B$6</f>
        <v/>
      </c>
      <c r="C87">
        <f>Inputs!$B$3+B87</f>
        <v/>
      </c>
      <c r="D87">
        <f>INT(C87)</f>
        <v/>
      </c>
      <c r="E87">
        <f>Inputs!$B$7+1+INT((A87-1)/Inputs!$B$6)</f>
        <v/>
      </c>
      <c r="F87">
        <f>IFERROR(INDEX(IndexScenario!$B$4:$B$544,MATCH(A87,IndexScenario!$A$4:$A$544,0)),"")</f>
        <v/>
      </c>
      <c r="G87">
        <f>G86*F87/F86</f>
        <v/>
      </c>
      <c r="H87">
        <f>H86*(1+Inputs!$B$17)^(1/12)</f>
        <v/>
      </c>
      <c r="I87">
        <f>IFERROR(INDEX(BaseQx!$B:$B,MATCH(D87,BaseQx!$A:$A,0)),"")</f>
        <v/>
      </c>
      <c r="J87">
        <f>IF(Inputs!$B$13="rp_mp",SUMIFS(MP2016_Long!$C:$C,MP2016_Long!$A:$A,D87,MP2016_Long!$B:$B,"&gt;=2014",MP2016_Long!$B:$B,"&lt;"&amp;E87),0)</f>
        <v/>
      </c>
      <c r="K87">
        <f>MIN(0.999999,MAX(0,I87*EXP(J87)))</f>
        <v/>
      </c>
      <c r="L87">
        <f>-LN(1-K87)</f>
        <v/>
      </c>
      <c r="M87">
        <f>EXP(-L87/Inputs!$B$6)</f>
        <v/>
      </c>
      <c r="N87">
        <f>N86*M87</f>
        <v/>
      </c>
      <c r="O87">
        <f>IFERROR(INDEX(MonthlyCurve!$L:$L,MATCH(A87,MonthlyCurve!$A:$A,0)),"")</f>
        <v/>
      </c>
      <c r="P87">
        <f>IF(B87&gt;0,-LN(O87)/B87,"")</f>
        <v/>
      </c>
      <c r="Q87">
        <f>G87*N87</f>
        <v/>
      </c>
      <c r="R87">
        <f>H87*N87</f>
        <v/>
      </c>
      <c r="S87">
        <f>Q87+R87</f>
        <v/>
      </c>
      <c r="T87">
        <f>Q87*O87</f>
        <v/>
      </c>
      <c r="U87">
        <f>R87*O87</f>
        <v/>
      </c>
      <c r="V87">
        <f>SUMPRODUCT(S88:S543,O88:O543)/(N87*O87)</f>
        <v/>
      </c>
    </row>
    <row r="88">
      <c r="A88" t="n">
        <v>85</v>
      </c>
      <c r="B88">
        <f>A88/Inputs!$B$6</f>
        <v/>
      </c>
      <c r="C88">
        <f>Inputs!$B$3+B88</f>
        <v/>
      </c>
      <c r="D88">
        <f>INT(C88)</f>
        <v/>
      </c>
      <c r="E88">
        <f>Inputs!$B$7+1+INT((A88-1)/Inputs!$B$6)</f>
        <v/>
      </c>
      <c r="F88">
        <f>IFERROR(INDEX(IndexScenario!$B$4:$B$544,MATCH(A88,IndexScenario!$A$4:$A$544,0)),"")</f>
        <v/>
      </c>
      <c r="G88">
        <f>G87*F88/F87</f>
        <v/>
      </c>
      <c r="H88">
        <f>H87*(1+Inputs!$B$17)^(1/12)</f>
        <v/>
      </c>
      <c r="I88">
        <f>IFERROR(INDEX(BaseQx!$B:$B,MATCH(D88,BaseQx!$A:$A,0)),"")</f>
        <v/>
      </c>
      <c r="J88">
        <f>IF(Inputs!$B$13="rp_mp",SUMIFS(MP2016_Long!$C:$C,MP2016_Long!$A:$A,D88,MP2016_Long!$B:$B,"&gt;=2014",MP2016_Long!$B:$B,"&lt;"&amp;E88),0)</f>
        <v/>
      </c>
      <c r="K88">
        <f>MIN(0.999999,MAX(0,I88*EXP(J88)))</f>
        <v/>
      </c>
      <c r="L88">
        <f>-LN(1-K88)</f>
        <v/>
      </c>
      <c r="M88">
        <f>EXP(-L88/Inputs!$B$6)</f>
        <v/>
      </c>
      <c r="N88">
        <f>N87*M88</f>
        <v/>
      </c>
      <c r="O88">
        <f>IFERROR(INDEX(MonthlyCurve!$L:$L,MATCH(A88,MonthlyCurve!$A:$A,0)),"")</f>
        <v/>
      </c>
      <c r="P88">
        <f>IF(B88&gt;0,-LN(O88)/B88,"")</f>
        <v/>
      </c>
      <c r="Q88">
        <f>G88*N88</f>
        <v/>
      </c>
      <c r="R88">
        <f>H88*N88</f>
        <v/>
      </c>
      <c r="S88">
        <f>Q88+R88</f>
        <v/>
      </c>
      <c r="T88">
        <f>Q88*O88</f>
        <v/>
      </c>
      <c r="U88">
        <f>R88*O88</f>
        <v/>
      </c>
      <c r="V88">
        <f>SUMPRODUCT(S89:S543,O89:O543)/(N88*O88)</f>
        <v/>
      </c>
    </row>
    <row r="89">
      <c r="A89" t="n">
        <v>86</v>
      </c>
      <c r="B89">
        <f>A89/Inputs!$B$6</f>
        <v/>
      </c>
      <c r="C89">
        <f>Inputs!$B$3+B89</f>
        <v/>
      </c>
      <c r="D89">
        <f>INT(C89)</f>
        <v/>
      </c>
      <c r="E89">
        <f>Inputs!$B$7+1+INT((A89-1)/Inputs!$B$6)</f>
        <v/>
      </c>
      <c r="F89">
        <f>IFERROR(INDEX(IndexScenario!$B$4:$B$544,MATCH(A89,IndexScenario!$A$4:$A$544,0)),"")</f>
        <v/>
      </c>
      <c r="G89">
        <f>G88*F89/F88</f>
        <v/>
      </c>
      <c r="H89">
        <f>H88*(1+Inputs!$B$17)^(1/12)</f>
        <v/>
      </c>
      <c r="I89">
        <f>IFERROR(INDEX(BaseQx!$B:$B,MATCH(D89,BaseQx!$A:$A,0)),"")</f>
        <v/>
      </c>
      <c r="J89">
        <f>IF(Inputs!$B$13="rp_mp",SUMIFS(MP2016_Long!$C:$C,MP2016_Long!$A:$A,D89,MP2016_Long!$B:$B,"&gt;=2014",MP2016_Long!$B:$B,"&lt;"&amp;E89),0)</f>
        <v/>
      </c>
      <c r="K89">
        <f>MIN(0.999999,MAX(0,I89*EXP(J89)))</f>
        <v/>
      </c>
      <c r="L89">
        <f>-LN(1-K89)</f>
        <v/>
      </c>
      <c r="M89">
        <f>EXP(-L89/Inputs!$B$6)</f>
        <v/>
      </c>
      <c r="N89">
        <f>N88*M89</f>
        <v/>
      </c>
      <c r="O89">
        <f>IFERROR(INDEX(MonthlyCurve!$L:$L,MATCH(A89,MonthlyCurve!$A:$A,0)),"")</f>
        <v/>
      </c>
      <c r="P89">
        <f>IF(B89&gt;0,-LN(O89)/B89,"")</f>
        <v/>
      </c>
      <c r="Q89">
        <f>G89*N89</f>
        <v/>
      </c>
      <c r="R89">
        <f>H89*N89</f>
        <v/>
      </c>
      <c r="S89">
        <f>Q89+R89</f>
        <v/>
      </c>
      <c r="T89">
        <f>Q89*O89</f>
        <v/>
      </c>
      <c r="U89">
        <f>R89*O89</f>
        <v/>
      </c>
      <c r="V89">
        <f>SUMPRODUCT(S90:S543,O90:O543)/(N89*O89)</f>
        <v/>
      </c>
    </row>
    <row r="90">
      <c r="A90" t="n">
        <v>87</v>
      </c>
      <c r="B90">
        <f>A90/Inputs!$B$6</f>
        <v/>
      </c>
      <c r="C90">
        <f>Inputs!$B$3+B90</f>
        <v/>
      </c>
      <c r="D90">
        <f>INT(C90)</f>
        <v/>
      </c>
      <c r="E90">
        <f>Inputs!$B$7+1+INT((A90-1)/Inputs!$B$6)</f>
        <v/>
      </c>
      <c r="F90">
        <f>IFERROR(INDEX(IndexScenario!$B$4:$B$544,MATCH(A90,IndexScenario!$A$4:$A$544,0)),"")</f>
        <v/>
      </c>
      <c r="G90">
        <f>G89*F90/F89</f>
        <v/>
      </c>
      <c r="H90">
        <f>H89*(1+Inputs!$B$17)^(1/12)</f>
        <v/>
      </c>
      <c r="I90">
        <f>IFERROR(INDEX(BaseQx!$B:$B,MATCH(D90,BaseQx!$A:$A,0)),"")</f>
        <v/>
      </c>
      <c r="J90">
        <f>IF(Inputs!$B$13="rp_mp",SUMIFS(MP2016_Long!$C:$C,MP2016_Long!$A:$A,D90,MP2016_Long!$B:$B,"&gt;=2014",MP2016_Long!$B:$B,"&lt;"&amp;E90),0)</f>
        <v/>
      </c>
      <c r="K90">
        <f>MIN(0.999999,MAX(0,I90*EXP(J90)))</f>
        <v/>
      </c>
      <c r="L90">
        <f>-LN(1-K90)</f>
        <v/>
      </c>
      <c r="M90">
        <f>EXP(-L90/Inputs!$B$6)</f>
        <v/>
      </c>
      <c r="N90">
        <f>N89*M90</f>
        <v/>
      </c>
      <c r="O90">
        <f>IFERROR(INDEX(MonthlyCurve!$L:$L,MATCH(A90,MonthlyCurve!$A:$A,0)),"")</f>
        <v/>
      </c>
      <c r="P90">
        <f>IF(B90&gt;0,-LN(O90)/B90,"")</f>
        <v/>
      </c>
      <c r="Q90">
        <f>G90*N90</f>
        <v/>
      </c>
      <c r="R90">
        <f>H90*N90</f>
        <v/>
      </c>
      <c r="S90">
        <f>Q90+R90</f>
        <v/>
      </c>
      <c r="T90">
        <f>Q90*O90</f>
        <v/>
      </c>
      <c r="U90">
        <f>R90*O90</f>
        <v/>
      </c>
      <c r="V90">
        <f>SUMPRODUCT(S91:S543,O91:O543)/(N90*O90)</f>
        <v/>
      </c>
    </row>
    <row r="91">
      <c r="A91" t="n">
        <v>88</v>
      </c>
      <c r="B91">
        <f>A91/Inputs!$B$6</f>
        <v/>
      </c>
      <c r="C91">
        <f>Inputs!$B$3+B91</f>
        <v/>
      </c>
      <c r="D91">
        <f>INT(C91)</f>
        <v/>
      </c>
      <c r="E91">
        <f>Inputs!$B$7+1+INT((A91-1)/Inputs!$B$6)</f>
        <v/>
      </c>
      <c r="F91">
        <f>IFERROR(INDEX(IndexScenario!$B$4:$B$544,MATCH(A91,IndexScenario!$A$4:$A$544,0)),"")</f>
        <v/>
      </c>
      <c r="G91">
        <f>G90*F91/F90</f>
        <v/>
      </c>
      <c r="H91">
        <f>H90*(1+Inputs!$B$17)^(1/12)</f>
        <v/>
      </c>
      <c r="I91">
        <f>IFERROR(INDEX(BaseQx!$B:$B,MATCH(D91,BaseQx!$A:$A,0)),"")</f>
        <v/>
      </c>
      <c r="J91">
        <f>IF(Inputs!$B$13="rp_mp",SUMIFS(MP2016_Long!$C:$C,MP2016_Long!$A:$A,D91,MP2016_Long!$B:$B,"&gt;=2014",MP2016_Long!$B:$B,"&lt;"&amp;E91),0)</f>
        <v/>
      </c>
      <c r="K91">
        <f>MIN(0.999999,MAX(0,I91*EXP(J91)))</f>
        <v/>
      </c>
      <c r="L91">
        <f>-LN(1-K91)</f>
        <v/>
      </c>
      <c r="M91">
        <f>EXP(-L91/Inputs!$B$6)</f>
        <v/>
      </c>
      <c r="N91">
        <f>N90*M91</f>
        <v/>
      </c>
      <c r="O91">
        <f>IFERROR(INDEX(MonthlyCurve!$L:$L,MATCH(A91,MonthlyCurve!$A:$A,0)),"")</f>
        <v/>
      </c>
      <c r="P91">
        <f>IF(B91&gt;0,-LN(O91)/B91,"")</f>
        <v/>
      </c>
      <c r="Q91">
        <f>G91*N91</f>
        <v/>
      </c>
      <c r="R91">
        <f>H91*N91</f>
        <v/>
      </c>
      <c r="S91">
        <f>Q91+R91</f>
        <v/>
      </c>
      <c r="T91">
        <f>Q91*O91</f>
        <v/>
      </c>
      <c r="U91">
        <f>R91*O91</f>
        <v/>
      </c>
      <c r="V91">
        <f>SUMPRODUCT(S92:S543,O92:O543)/(N91*O91)</f>
        <v/>
      </c>
    </row>
    <row r="92">
      <c r="A92" t="n">
        <v>89</v>
      </c>
      <c r="B92">
        <f>A92/Inputs!$B$6</f>
        <v/>
      </c>
      <c r="C92">
        <f>Inputs!$B$3+B92</f>
        <v/>
      </c>
      <c r="D92">
        <f>INT(C92)</f>
        <v/>
      </c>
      <c r="E92">
        <f>Inputs!$B$7+1+INT((A92-1)/Inputs!$B$6)</f>
        <v/>
      </c>
      <c r="F92">
        <f>IFERROR(INDEX(IndexScenario!$B$4:$B$544,MATCH(A92,IndexScenario!$A$4:$A$544,0)),"")</f>
        <v/>
      </c>
      <c r="G92">
        <f>G91*F92/F91</f>
        <v/>
      </c>
      <c r="H92">
        <f>H91*(1+Inputs!$B$17)^(1/12)</f>
        <v/>
      </c>
      <c r="I92">
        <f>IFERROR(INDEX(BaseQx!$B:$B,MATCH(D92,BaseQx!$A:$A,0)),"")</f>
        <v/>
      </c>
      <c r="J92">
        <f>IF(Inputs!$B$13="rp_mp",SUMIFS(MP2016_Long!$C:$C,MP2016_Long!$A:$A,D92,MP2016_Long!$B:$B,"&gt;=2014",MP2016_Long!$B:$B,"&lt;"&amp;E92),0)</f>
        <v/>
      </c>
      <c r="K92">
        <f>MIN(0.999999,MAX(0,I92*EXP(J92)))</f>
        <v/>
      </c>
      <c r="L92">
        <f>-LN(1-K92)</f>
        <v/>
      </c>
      <c r="M92">
        <f>EXP(-L92/Inputs!$B$6)</f>
        <v/>
      </c>
      <c r="N92">
        <f>N91*M92</f>
        <v/>
      </c>
      <c r="O92">
        <f>IFERROR(INDEX(MonthlyCurve!$L:$L,MATCH(A92,MonthlyCurve!$A:$A,0)),"")</f>
        <v/>
      </c>
      <c r="P92">
        <f>IF(B92&gt;0,-LN(O92)/B92,"")</f>
        <v/>
      </c>
      <c r="Q92">
        <f>G92*N92</f>
        <v/>
      </c>
      <c r="R92">
        <f>H92*N92</f>
        <v/>
      </c>
      <c r="S92">
        <f>Q92+R92</f>
        <v/>
      </c>
      <c r="T92">
        <f>Q92*O92</f>
        <v/>
      </c>
      <c r="U92">
        <f>R92*O92</f>
        <v/>
      </c>
      <c r="V92">
        <f>SUMPRODUCT(S93:S543,O93:O543)/(N92*O92)</f>
        <v/>
      </c>
    </row>
    <row r="93">
      <c r="A93" t="n">
        <v>90</v>
      </c>
      <c r="B93">
        <f>A93/Inputs!$B$6</f>
        <v/>
      </c>
      <c r="C93">
        <f>Inputs!$B$3+B93</f>
        <v/>
      </c>
      <c r="D93">
        <f>INT(C93)</f>
        <v/>
      </c>
      <c r="E93">
        <f>Inputs!$B$7+1+INT((A93-1)/Inputs!$B$6)</f>
        <v/>
      </c>
      <c r="F93">
        <f>IFERROR(INDEX(IndexScenario!$B$4:$B$544,MATCH(A93,IndexScenario!$A$4:$A$544,0)),"")</f>
        <v/>
      </c>
      <c r="G93">
        <f>G92*F93/F92</f>
        <v/>
      </c>
      <c r="H93">
        <f>H92*(1+Inputs!$B$17)^(1/12)</f>
        <v/>
      </c>
      <c r="I93">
        <f>IFERROR(INDEX(BaseQx!$B:$B,MATCH(D93,BaseQx!$A:$A,0)),"")</f>
        <v/>
      </c>
      <c r="J93">
        <f>IF(Inputs!$B$13="rp_mp",SUMIFS(MP2016_Long!$C:$C,MP2016_Long!$A:$A,D93,MP2016_Long!$B:$B,"&gt;=2014",MP2016_Long!$B:$B,"&lt;"&amp;E93),0)</f>
        <v/>
      </c>
      <c r="K93">
        <f>MIN(0.999999,MAX(0,I93*EXP(J93)))</f>
        <v/>
      </c>
      <c r="L93">
        <f>-LN(1-K93)</f>
        <v/>
      </c>
      <c r="M93">
        <f>EXP(-L93/Inputs!$B$6)</f>
        <v/>
      </c>
      <c r="N93">
        <f>N92*M93</f>
        <v/>
      </c>
      <c r="O93">
        <f>IFERROR(INDEX(MonthlyCurve!$L:$L,MATCH(A93,MonthlyCurve!$A:$A,0)),"")</f>
        <v/>
      </c>
      <c r="P93">
        <f>IF(B93&gt;0,-LN(O93)/B93,"")</f>
        <v/>
      </c>
      <c r="Q93">
        <f>G93*N93</f>
        <v/>
      </c>
      <c r="R93">
        <f>H93*N93</f>
        <v/>
      </c>
      <c r="S93">
        <f>Q93+R93</f>
        <v/>
      </c>
      <c r="T93">
        <f>Q93*O93</f>
        <v/>
      </c>
      <c r="U93">
        <f>R93*O93</f>
        <v/>
      </c>
      <c r="V93">
        <f>SUMPRODUCT(S94:S543,O94:O543)/(N93*O93)</f>
        <v/>
      </c>
    </row>
    <row r="94">
      <c r="A94" t="n">
        <v>91</v>
      </c>
      <c r="B94">
        <f>A94/Inputs!$B$6</f>
        <v/>
      </c>
      <c r="C94">
        <f>Inputs!$B$3+B94</f>
        <v/>
      </c>
      <c r="D94">
        <f>INT(C94)</f>
        <v/>
      </c>
      <c r="E94">
        <f>Inputs!$B$7+1+INT((A94-1)/Inputs!$B$6)</f>
        <v/>
      </c>
      <c r="F94">
        <f>IFERROR(INDEX(IndexScenario!$B$4:$B$544,MATCH(A94,IndexScenario!$A$4:$A$544,0)),"")</f>
        <v/>
      </c>
      <c r="G94">
        <f>G93*F94/F93</f>
        <v/>
      </c>
      <c r="H94">
        <f>H93*(1+Inputs!$B$17)^(1/12)</f>
        <v/>
      </c>
      <c r="I94">
        <f>IFERROR(INDEX(BaseQx!$B:$B,MATCH(D94,BaseQx!$A:$A,0)),"")</f>
        <v/>
      </c>
      <c r="J94">
        <f>IF(Inputs!$B$13="rp_mp",SUMIFS(MP2016_Long!$C:$C,MP2016_Long!$A:$A,D94,MP2016_Long!$B:$B,"&gt;=2014",MP2016_Long!$B:$B,"&lt;"&amp;E94),0)</f>
        <v/>
      </c>
      <c r="K94">
        <f>MIN(0.999999,MAX(0,I94*EXP(J94)))</f>
        <v/>
      </c>
      <c r="L94">
        <f>-LN(1-K94)</f>
        <v/>
      </c>
      <c r="M94">
        <f>EXP(-L94/Inputs!$B$6)</f>
        <v/>
      </c>
      <c r="N94">
        <f>N93*M94</f>
        <v/>
      </c>
      <c r="O94">
        <f>IFERROR(INDEX(MonthlyCurve!$L:$L,MATCH(A94,MonthlyCurve!$A:$A,0)),"")</f>
        <v/>
      </c>
      <c r="P94">
        <f>IF(B94&gt;0,-LN(O94)/B94,"")</f>
        <v/>
      </c>
      <c r="Q94">
        <f>G94*N94</f>
        <v/>
      </c>
      <c r="R94">
        <f>H94*N94</f>
        <v/>
      </c>
      <c r="S94">
        <f>Q94+R94</f>
        <v/>
      </c>
      <c r="T94">
        <f>Q94*O94</f>
        <v/>
      </c>
      <c r="U94">
        <f>R94*O94</f>
        <v/>
      </c>
      <c r="V94">
        <f>SUMPRODUCT(S95:S543,O95:O543)/(N94*O94)</f>
        <v/>
      </c>
    </row>
    <row r="95">
      <c r="A95" t="n">
        <v>92</v>
      </c>
      <c r="B95">
        <f>A95/Inputs!$B$6</f>
        <v/>
      </c>
      <c r="C95">
        <f>Inputs!$B$3+B95</f>
        <v/>
      </c>
      <c r="D95">
        <f>INT(C95)</f>
        <v/>
      </c>
      <c r="E95">
        <f>Inputs!$B$7+1+INT((A95-1)/Inputs!$B$6)</f>
        <v/>
      </c>
      <c r="F95">
        <f>IFERROR(INDEX(IndexScenario!$B$4:$B$544,MATCH(A95,IndexScenario!$A$4:$A$544,0)),"")</f>
        <v/>
      </c>
      <c r="G95">
        <f>G94*F95/F94</f>
        <v/>
      </c>
      <c r="H95">
        <f>H94*(1+Inputs!$B$17)^(1/12)</f>
        <v/>
      </c>
      <c r="I95">
        <f>IFERROR(INDEX(BaseQx!$B:$B,MATCH(D95,BaseQx!$A:$A,0)),"")</f>
        <v/>
      </c>
      <c r="J95">
        <f>IF(Inputs!$B$13="rp_mp",SUMIFS(MP2016_Long!$C:$C,MP2016_Long!$A:$A,D95,MP2016_Long!$B:$B,"&gt;=2014",MP2016_Long!$B:$B,"&lt;"&amp;E95),0)</f>
        <v/>
      </c>
      <c r="K95">
        <f>MIN(0.999999,MAX(0,I95*EXP(J95)))</f>
        <v/>
      </c>
      <c r="L95">
        <f>-LN(1-K95)</f>
        <v/>
      </c>
      <c r="M95">
        <f>EXP(-L95/Inputs!$B$6)</f>
        <v/>
      </c>
      <c r="N95">
        <f>N94*M95</f>
        <v/>
      </c>
      <c r="O95">
        <f>IFERROR(INDEX(MonthlyCurve!$L:$L,MATCH(A95,MonthlyCurve!$A:$A,0)),"")</f>
        <v/>
      </c>
      <c r="P95">
        <f>IF(B95&gt;0,-LN(O95)/B95,"")</f>
        <v/>
      </c>
      <c r="Q95">
        <f>G95*N95</f>
        <v/>
      </c>
      <c r="R95">
        <f>H95*N95</f>
        <v/>
      </c>
      <c r="S95">
        <f>Q95+R95</f>
        <v/>
      </c>
      <c r="T95">
        <f>Q95*O95</f>
        <v/>
      </c>
      <c r="U95">
        <f>R95*O95</f>
        <v/>
      </c>
      <c r="V95">
        <f>SUMPRODUCT(S96:S543,O96:O543)/(N95*O95)</f>
        <v/>
      </c>
    </row>
    <row r="96">
      <c r="A96" t="n">
        <v>93</v>
      </c>
      <c r="B96">
        <f>A96/Inputs!$B$6</f>
        <v/>
      </c>
      <c r="C96">
        <f>Inputs!$B$3+B96</f>
        <v/>
      </c>
      <c r="D96">
        <f>INT(C96)</f>
        <v/>
      </c>
      <c r="E96">
        <f>Inputs!$B$7+1+INT((A96-1)/Inputs!$B$6)</f>
        <v/>
      </c>
      <c r="F96">
        <f>IFERROR(INDEX(IndexScenario!$B$4:$B$544,MATCH(A96,IndexScenario!$A$4:$A$544,0)),"")</f>
        <v/>
      </c>
      <c r="G96">
        <f>G95*F96/F95</f>
        <v/>
      </c>
      <c r="H96">
        <f>H95*(1+Inputs!$B$17)^(1/12)</f>
        <v/>
      </c>
      <c r="I96">
        <f>IFERROR(INDEX(BaseQx!$B:$B,MATCH(D96,BaseQx!$A:$A,0)),"")</f>
        <v/>
      </c>
      <c r="J96">
        <f>IF(Inputs!$B$13="rp_mp",SUMIFS(MP2016_Long!$C:$C,MP2016_Long!$A:$A,D96,MP2016_Long!$B:$B,"&gt;=2014",MP2016_Long!$B:$B,"&lt;"&amp;E96),0)</f>
        <v/>
      </c>
      <c r="K96">
        <f>MIN(0.999999,MAX(0,I96*EXP(J96)))</f>
        <v/>
      </c>
      <c r="L96">
        <f>-LN(1-K96)</f>
        <v/>
      </c>
      <c r="M96">
        <f>EXP(-L96/Inputs!$B$6)</f>
        <v/>
      </c>
      <c r="N96">
        <f>N95*M96</f>
        <v/>
      </c>
      <c r="O96">
        <f>IFERROR(INDEX(MonthlyCurve!$L:$L,MATCH(A96,MonthlyCurve!$A:$A,0)),"")</f>
        <v/>
      </c>
      <c r="P96">
        <f>IF(B96&gt;0,-LN(O96)/B96,"")</f>
        <v/>
      </c>
      <c r="Q96">
        <f>G96*N96</f>
        <v/>
      </c>
      <c r="R96">
        <f>H96*N96</f>
        <v/>
      </c>
      <c r="S96">
        <f>Q96+R96</f>
        <v/>
      </c>
      <c r="T96">
        <f>Q96*O96</f>
        <v/>
      </c>
      <c r="U96">
        <f>R96*O96</f>
        <v/>
      </c>
      <c r="V96">
        <f>SUMPRODUCT(S97:S543,O97:O543)/(N96*O96)</f>
        <v/>
      </c>
    </row>
    <row r="97">
      <c r="A97" t="n">
        <v>94</v>
      </c>
      <c r="B97">
        <f>A97/Inputs!$B$6</f>
        <v/>
      </c>
      <c r="C97">
        <f>Inputs!$B$3+B97</f>
        <v/>
      </c>
      <c r="D97">
        <f>INT(C97)</f>
        <v/>
      </c>
      <c r="E97">
        <f>Inputs!$B$7+1+INT((A97-1)/Inputs!$B$6)</f>
        <v/>
      </c>
      <c r="F97">
        <f>IFERROR(INDEX(IndexScenario!$B$4:$B$544,MATCH(A97,IndexScenario!$A$4:$A$544,0)),"")</f>
        <v/>
      </c>
      <c r="G97">
        <f>G96*F97/F96</f>
        <v/>
      </c>
      <c r="H97">
        <f>H96*(1+Inputs!$B$17)^(1/12)</f>
        <v/>
      </c>
      <c r="I97">
        <f>IFERROR(INDEX(BaseQx!$B:$B,MATCH(D97,BaseQx!$A:$A,0)),"")</f>
        <v/>
      </c>
      <c r="J97">
        <f>IF(Inputs!$B$13="rp_mp",SUMIFS(MP2016_Long!$C:$C,MP2016_Long!$A:$A,D97,MP2016_Long!$B:$B,"&gt;=2014",MP2016_Long!$B:$B,"&lt;"&amp;E97),0)</f>
        <v/>
      </c>
      <c r="K97">
        <f>MIN(0.999999,MAX(0,I97*EXP(J97)))</f>
        <v/>
      </c>
      <c r="L97">
        <f>-LN(1-K97)</f>
        <v/>
      </c>
      <c r="M97">
        <f>EXP(-L97/Inputs!$B$6)</f>
        <v/>
      </c>
      <c r="N97">
        <f>N96*M97</f>
        <v/>
      </c>
      <c r="O97">
        <f>IFERROR(INDEX(MonthlyCurve!$L:$L,MATCH(A97,MonthlyCurve!$A:$A,0)),"")</f>
        <v/>
      </c>
      <c r="P97">
        <f>IF(B97&gt;0,-LN(O97)/B97,"")</f>
        <v/>
      </c>
      <c r="Q97">
        <f>G97*N97</f>
        <v/>
      </c>
      <c r="R97">
        <f>H97*N97</f>
        <v/>
      </c>
      <c r="S97">
        <f>Q97+R97</f>
        <v/>
      </c>
      <c r="T97">
        <f>Q97*O97</f>
        <v/>
      </c>
      <c r="U97">
        <f>R97*O97</f>
        <v/>
      </c>
      <c r="V97">
        <f>SUMPRODUCT(S98:S543,O98:O543)/(N97*O97)</f>
        <v/>
      </c>
    </row>
    <row r="98">
      <c r="A98" t="n">
        <v>95</v>
      </c>
      <c r="B98">
        <f>A98/Inputs!$B$6</f>
        <v/>
      </c>
      <c r="C98">
        <f>Inputs!$B$3+B98</f>
        <v/>
      </c>
      <c r="D98">
        <f>INT(C98)</f>
        <v/>
      </c>
      <c r="E98">
        <f>Inputs!$B$7+1+INT((A98-1)/Inputs!$B$6)</f>
        <v/>
      </c>
      <c r="F98">
        <f>IFERROR(INDEX(IndexScenario!$B$4:$B$544,MATCH(A98,IndexScenario!$A$4:$A$544,0)),"")</f>
        <v/>
      </c>
      <c r="G98">
        <f>G97*F98/F97</f>
        <v/>
      </c>
      <c r="H98">
        <f>H97*(1+Inputs!$B$17)^(1/12)</f>
        <v/>
      </c>
      <c r="I98">
        <f>IFERROR(INDEX(BaseQx!$B:$B,MATCH(D98,BaseQx!$A:$A,0)),"")</f>
        <v/>
      </c>
      <c r="J98">
        <f>IF(Inputs!$B$13="rp_mp",SUMIFS(MP2016_Long!$C:$C,MP2016_Long!$A:$A,D98,MP2016_Long!$B:$B,"&gt;=2014",MP2016_Long!$B:$B,"&lt;"&amp;E98),0)</f>
        <v/>
      </c>
      <c r="K98">
        <f>MIN(0.999999,MAX(0,I98*EXP(J98)))</f>
        <v/>
      </c>
      <c r="L98">
        <f>-LN(1-K98)</f>
        <v/>
      </c>
      <c r="M98">
        <f>EXP(-L98/Inputs!$B$6)</f>
        <v/>
      </c>
      <c r="N98">
        <f>N97*M98</f>
        <v/>
      </c>
      <c r="O98">
        <f>IFERROR(INDEX(MonthlyCurve!$L:$L,MATCH(A98,MonthlyCurve!$A:$A,0)),"")</f>
        <v/>
      </c>
      <c r="P98">
        <f>IF(B98&gt;0,-LN(O98)/B98,"")</f>
        <v/>
      </c>
      <c r="Q98">
        <f>G98*N98</f>
        <v/>
      </c>
      <c r="R98">
        <f>H98*N98</f>
        <v/>
      </c>
      <c r="S98">
        <f>Q98+R98</f>
        <v/>
      </c>
      <c r="T98">
        <f>Q98*O98</f>
        <v/>
      </c>
      <c r="U98">
        <f>R98*O98</f>
        <v/>
      </c>
      <c r="V98">
        <f>SUMPRODUCT(S99:S543,O99:O543)/(N98*O98)</f>
        <v/>
      </c>
    </row>
    <row r="99">
      <c r="A99" t="n">
        <v>96</v>
      </c>
      <c r="B99">
        <f>A99/Inputs!$B$6</f>
        <v/>
      </c>
      <c r="C99">
        <f>Inputs!$B$3+B99</f>
        <v/>
      </c>
      <c r="D99">
        <f>INT(C99)</f>
        <v/>
      </c>
      <c r="E99">
        <f>Inputs!$B$7+1+INT((A99-1)/Inputs!$B$6)</f>
        <v/>
      </c>
      <c r="F99">
        <f>IFERROR(INDEX(IndexScenario!$B$4:$B$544,MATCH(A99,IndexScenario!$A$4:$A$544,0)),"")</f>
        <v/>
      </c>
      <c r="G99">
        <f>G98*F99/F98</f>
        <v/>
      </c>
      <c r="H99">
        <f>H98*(1+Inputs!$B$17)^(1/12)</f>
        <v/>
      </c>
      <c r="I99">
        <f>IFERROR(INDEX(BaseQx!$B:$B,MATCH(D99,BaseQx!$A:$A,0)),"")</f>
        <v/>
      </c>
      <c r="J99">
        <f>IF(Inputs!$B$13="rp_mp",SUMIFS(MP2016_Long!$C:$C,MP2016_Long!$A:$A,D99,MP2016_Long!$B:$B,"&gt;=2014",MP2016_Long!$B:$B,"&lt;"&amp;E99),0)</f>
        <v/>
      </c>
      <c r="K99">
        <f>MIN(0.999999,MAX(0,I99*EXP(J99)))</f>
        <v/>
      </c>
      <c r="L99">
        <f>-LN(1-K99)</f>
        <v/>
      </c>
      <c r="M99">
        <f>EXP(-L99/Inputs!$B$6)</f>
        <v/>
      </c>
      <c r="N99">
        <f>N98*M99</f>
        <v/>
      </c>
      <c r="O99">
        <f>IFERROR(INDEX(MonthlyCurve!$L:$L,MATCH(A99,MonthlyCurve!$A:$A,0)),"")</f>
        <v/>
      </c>
      <c r="P99">
        <f>IF(B99&gt;0,-LN(O99)/B99,"")</f>
        <v/>
      </c>
      <c r="Q99">
        <f>G99*N99</f>
        <v/>
      </c>
      <c r="R99">
        <f>H99*N99</f>
        <v/>
      </c>
      <c r="S99">
        <f>Q99+R99</f>
        <v/>
      </c>
      <c r="T99">
        <f>Q99*O99</f>
        <v/>
      </c>
      <c r="U99">
        <f>R99*O99</f>
        <v/>
      </c>
      <c r="V99">
        <f>SUMPRODUCT(S100:S543,O100:O543)/(N99*O99)</f>
        <v/>
      </c>
    </row>
    <row r="100">
      <c r="A100" t="n">
        <v>97</v>
      </c>
      <c r="B100">
        <f>A100/Inputs!$B$6</f>
        <v/>
      </c>
      <c r="C100">
        <f>Inputs!$B$3+B100</f>
        <v/>
      </c>
      <c r="D100">
        <f>INT(C100)</f>
        <v/>
      </c>
      <c r="E100">
        <f>Inputs!$B$7+1+INT((A100-1)/Inputs!$B$6)</f>
        <v/>
      </c>
      <c r="F100">
        <f>IFERROR(INDEX(IndexScenario!$B$4:$B$544,MATCH(A100,IndexScenario!$A$4:$A$544,0)),"")</f>
        <v/>
      </c>
      <c r="G100">
        <f>G99*F100/F99</f>
        <v/>
      </c>
      <c r="H100">
        <f>H99*(1+Inputs!$B$17)^(1/12)</f>
        <v/>
      </c>
      <c r="I100">
        <f>IFERROR(INDEX(BaseQx!$B:$B,MATCH(D100,BaseQx!$A:$A,0)),"")</f>
        <v/>
      </c>
      <c r="J100">
        <f>IF(Inputs!$B$13="rp_mp",SUMIFS(MP2016_Long!$C:$C,MP2016_Long!$A:$A,D100,MP2016_Long!$B:$B,"&gt;=2014",MP2016_Long!$B:$B,"&lt;"&amp;E100),0)</f>
        <v/>
      </c>
      <c r="K100">
        <f>MIN(0.999999,MAX(0,I100*EXP(J100)))</f>
        <v/>
      </c>
      <c r="L100">
        <f>-LN(1-K100)</f>
        <v/>
      </c>
      <c r="M100">
        <f>EXP(-L100/Inputs!$B$6)</f>
        <v/>
      </c>
      <c r="N100">
        <f>N99*M100</f>
        <v/>
      </c>
      <c r="O100">
        <f>IFERROR(INDEX(MonthlyCurve!$L:$L,MATCH(A100,MonthlyCurve!$A:$A,0)),"")</f>
        <v/>
      </c>
      <c r="P100">
        <f>IF(B100&gt;0,-LN(O100)/B100,"")</f>
        <v/>
      </c>
      <c r="Q100">
        <f>G100*N100</f>
        <v/>
      </c>
      <c r="R100">
        <f>H100*N100</f>
        <v/>
      </c>
      <c r="S100">
        <f>Q100+R100</f>
        <v/>
      </c>
      <c r="T100">
        <f>Q100*O100</f>
        <v/>
      </c>
      <c r="U100">
        <f>R100*O100</f>
        <v/>
      </c>
      <c r="V100">
        <f>SUMPRODUCT(S101:S543,O101:O543)/(N100*O100)</f>
        <v/>
      </c>
    </row>
    <row r="101">
      <c r="A101" t="n">
        <v>98</v>
      </c>
      <c r="B101">
        <f>A101/Inputs!$B$6</f>
        <v/>
      </c>
      <c r="C101">
        <f>Inputs!$B$3+B101</f>
        <v/>
      </c>
      <c r="D101">
        <f>INT(C101)</f>
        <v/>
      </c>
      <c r="E101">
        <f>Inputs!$B$7+1+INT((A101-1)/Inputs!$B$6)</f>
        <v/>
      </c>
      <c r="F101">
        <f>IFERROR(INDEX(IndexScenario!$B$4:$B$544,MATCH(A101,IndexScenario!$A$4:$A$544,0)),"")</f>
        <v/>
      </c>
      <c r="G101">
        <f>G100*F101/F100</f>
        <v/>
      </c>
      <c r="H101">
        <f>H100*(1+Inputs!$B$17)^(1/12)</f>
        <v/>
      </c>
      <c r="I101">
        <f>IFERROR(INDEX(BaseQx!$B:$B,MATCH(D101,BaseQx!$A:$A,0)),"")</f>
        <v/>
      </c>
      <c r="J101">
        <f>IF(Inputs!$B$13="rp_mp",SUMIFS(MP2016_Long!$C:$C,MP2016_Long!$A:$A,D101,MP2016_Long!$B:$B,"&gt;=2014",MP2016_Long!$B:$B,"&lt;"&amp;E101),0)</f>
        <v/>
      </c>
      <c r="K101">
        <f>MIN(0.999999,MAX(0,I101*EXP(J101)))</f>
        <v/>
      </c>
      <c r="L101">
        <f>-LN(1-K101)</f>
        <v/>
      </c>
      <c r="M101">
        <f>EXP(-L101/Inputs!$B$6)</f>
        <v/>
      </c>
      <c r="N101">
        <f>N100*M101</f>
        <v/>
      </c>
      <c r="O101">
        <f>IFERROR(INDEX(MonthlyCurve!$L:$L,MATCH(A101,MonthlyCurve!$A:$A,0)),"")</f>
        <v/>
      </c>
      <c r="P101">
        <f>IF(B101&gt;0,-LN(O101)/B101,"")</f>
        <v/>
      </c>
      <c r="Q101">
        <f>G101*N101</f>
        <v/>
      </c>
      <c r="R101">
        <f>H101*N101</f>
        <v/>
      </c>
      <c r="S101">
        <f>Q101+R101</f>
        <v/>
      </c>
      <c r="T101">
        <f>Q101*O101</f>
        <v/>
      </c>
      <c r="U101">
        <f>R101*O101</f>
        <v/>
      </c>
      <c r="V101">
        <f>SUMPRODUCT(S102:S543,O102:O543)/(N101*O101)</f>
        <v/>
      </c>
    </row>
    <row r="102">
      <c r="A102" t="n">
        <v>99</v>
      </c>
      <c r="B102">
        <f>A102/Inputs!$B$6</f>
        <v/>
      </c>
      <c r="C102">
        <f>Inputs!$B$3+B102</f>
        <v/>
      </c>
      <c r="D102">
        <f>INT(C102)</f>
        <v/>
      </c>
      <c r="E102">
        <f>Inputs!$B$7+1+INT((A102-1)/Inputs!$B$6)</f>
        <v/>
      </c>
      <c r="F102">
        <f>IFERROR(INDEX(IndexScenario!$B$4:$B$544,MATCH(A102,IndexScenario!$A$4:$A$544,0)),"")</f>
        <v/>
      </c>
      <c r="G102">
        <f>G101*F102/F101</f>
        <v/>
      </c>
      <c r="H102">
        <f>H101*(1+Inputs!$B$17)^(1/12)</f>
        <v/>
      </c>
      <c r="I102">
        <f>IFERROR(INDEX(BaseQx!$B:$B,MATCH(D102,BaseQx!$A:$A,0)),"")</f>
        <v/>
      </c>
      <c r="J102">
        <f>IF(Inputs!$B$13="rp_mp",SUMIFS(MP2016_Long!$C:$C,MP2016_Long!$A:$A,D102,MP2016_Long!$B:$B,"&gt;=2014",MP2016_Long!$B:$B,"&lt;"&amp;E102),0)</f>
        <v/>
      </c>
      <c r="K102">
        <f>MIN(0.999999,MAX(0,I102*EXP(J102)))</f>
        <v/>
      </c>
      <c r="L102">
        <f>-LN(1-K102)</f>
        <v/>
      </c>
      <c r="M102">
        <f>EXP(-L102/Inputs!$B$6)</f>
        <v/>
      </c>
      <c r="N102">
        <f>N101*M102</f>
        <v/>
      </c>
      <c r="O102">
        <f>IFERROR(INDEX(MonthlyCurve!$L:$L,MATCH(A102,MonthlyCurve!$A:$A,0)),"")</f>
        <v/>
      </c>
      <c r="P102">
        <f>IF(B102&gt;0,-LN(O102)/B102,"")</f>
        <v/>
      </c>
      <c r="Q102">
        <f>G102*N102</f>
        <v/>
      </c>
      <c r="R102">
        <f>H102*N102</f>
        <v/>
      </c>
      <c r="S102">
        <f>Q102+R102</f>
        <v/>
      </c>
      <c r="T102">
        <f>Q102*O102</f>
        <v/>
      </c>
      <c r="U102">
        <f>R102*O102</f>
        <v/>
      </c>
      <c r="V102">
        <f>SUMPRODUCT(S103:S543,O103:O543)/(N102*O102)</f>
        <v/>
      </c>
    </row>
    <row r="103">
      <c r="A103" t="n">
        <v>100</v>
      </c>
      <c r="B103">
        <f>A103/Inputs!$B$6</f>
        <v/>
      </c>
      <c r="C103">
        <f>Inputs!$B$3+B103</f>
        <v/>
      </c>
      <c r="D103">
        <f>INT(C103)</f>
        <v/>
      </c>
      <c r="E103">
        <f>Inputs!$B$7+1+INT((A103-1)/Inputs!$B$6)</f>
        <v/>
      </c>
      <c r="F103">
        <f>IFERROR(INDEX(IndexScenario!$B$4:$B$544,MATCH(A103,IndexScenario!$A$4:$A$544,0)),"")</f>
        <v/>
      </c>
      <c r="G103">
        <f>G102*F103/F102</f>
        <v/>
      </c>
      <c r="H103">
        <f>H102*(1+Inputs!$B$17)^(1/12)</f>
        <v/>
      </c>
      <c r="I103">
        <f>IFERROR(INDEX(BaseQx!$B:$B,MATCH(D103,BaseQx!$A:$A,0)),"")</f>
        <v/>
      </c>
      <c r="J103">
        <f>IF(Inputs!$B$13="rp_mp",SUMIFS(MP2016_Long!$C:$C,MP2016_Long!$A:$A,D103,MP2016_Long!$B:$B,"&gt;=2014",MP2016_Long!$B:$B,"&lt;"&amp;E103),0)</f>
        <v/>
      </c>
      <c r="K103">
        <f>MIN(0.999999,MAX(0,I103*EXP(J103)))</f>
        <v/>
      </c>
      <c r="L103">
        <f>-LN(1-K103)</f>
        <v/>
      </c>
      <c r="M103">
        <f>EXP(-L103/Inputs!$B$6)</f>
        <v/>
      </c>
      <c r="N103">
        <f>N102*M103</f>
        <v/>
      </c>
      <c r="O103">
        <f>IFERROR(INDEX(MonthlyCurve!$L:$L,MATCH(A103,MonthlyCurve!$A:$A,0)),"")</f>
        <v/>
      </c>
      <c r="P103">
        <f>IF(B103&gt;0,-LN(O103)/B103,"")</f>
        <v/>
      </c>
      <c r="Q103">
        <f>G103*N103</f>
        <v/>
      </c>
      <c r="R103">
        <f>H103*N103</f>
        <v/>
      </c>
      <c r="S103">
        <f>Q103+R103</f>
        <v/>
      </c>
      <c r="T103">
        <f>Q103*O103</f>
        <v/>
      </c>
      <c r="U103">
        <f>R103*O103</f>
        <v/>
      </c>
      <c r="V103">
        <f>SUMPRODUCT(S104:S543,O104:O543)/(N103*O103)</f>
        <v/>
      </c>
    </row>
    <row r="104">
      <c r="A104" t="n">
        <v>101</v>
      </c>
      <c r="B104">
        <f>A104/Inputs!$B$6</f>
        <v/>
      </c>
      <c r="C104">
        <f>Inputs!$B$3+B104</f>
        <v/>
      </c>
      <c r="D104">
        <f>INT(C104)</f>
        <v/>
      </c>
      <c r="E104">
        <f>Inputs!$B$7+1+INT((A104-1)/Inputs!$B$6)</f>
        <v/>
      </c>
      <c r="F104">
        <f>IFERROR(INDEX(IndexScenario!$B$4:$B$544,MATCH(A104,IndexScenario!$A$4:$A$544,0)),"")</f>
        <v/>
      </c>
      <c r="G104">
        <f>G103*F104/F103</f>
        <v/>
      </c>
      <c r="H104">
        <f>H103*(1+Inputs!$B$17)^(1/12)</f>
        <v/>
      </c>
      <c r="I104">
        <f>IFERROR(INDEX(BaseQx!$B:$B,MATCH(D104,BaseQx!$A:$A,0)),"")</f>
        <v/>
      </c>
      <c r="J104">
        <f>IF(Inputs!$B$13="rp_mp",SUMIFS(MP2016_Long!$C:$C,MP2016_Long!$A:$A,D104,MP2016_Long!$B:$B,"&gt;=2014",MP2016_Long!$B:$B,"&lt;"&amp;E104),0)</f>
        <v/>
      </c>
      <c r="K104">
        <f>MIN(0.999999,MAX(0,I104*EXP(J104)))</f>
        <v/>
      </c>
      <c r="L104">
        <f>-LN(1-K104)</f>
        <v/>
      </c>
      <c r="M104">
        <f>EXP(-L104/Inputs!$B$6)</f>
        <v/>
      </c>
      <c r="N104">
        <f>N103*M104</f>
        <v/>
      </c>
      <c r="O104">
        <f>IFERROR(INDEX(MonthlyCurve!$L:$L,MATCH(A104,MonthlyCurve!$A:$A,0)),"")</f>
        <v/>
      </c>
      <c r="P104">
        <f>IF(B104&gt;0,-LN(O104)/B104,"")</f>
        <v/>
      </c>
      <c r="Q104">
        <f>G104*N104</f>
        <v/>
      </c>
      <c r="R104">
        <f>H104*N104</f>
        <v/>
      </c>
      <c r="S104">
        <f>Q104+R104</f>
        <v/>
      </c>
      <c r="T104">
        <f>Q104*O104</f>
        <v/>
      </c>
      <c r="U104">
        <f>R104*O104</f>
        <v/>
      </c>
      <c r="V104">
        <f>SUMPRODUCT(S105:S543,O105:O543)/(N104*O104)</f>
        <v/>
      </c>
    </row>
    <row r="105">
      <c r="A105" t="n">
        <v>102</v>
      </c>
      <c r="B105">
        <f>A105/Inputs!$B$6</f>
        <v/>
      </c>
      <c r="C105">
        <f>Inputs!$B$3+B105</f>
        <v/>
      </c>
      <c r="D105">
        <f>INT(C105)</f>
        <v/>
      </c>
      <c r="E105">
        <f>Inputs!$B$7+1+INT((A105-1)/Inputs!$B$6)</f>
        <v/>
      </c>
      <c r="F105">
        <f>IFERROR(INDEX(IndexScenario!$B$4:$B$544,MATCH(A105,IndexScenario!$A$4:$A$544,0)),"")</f>
        <v/>
      </c>
      <c r="G105">
        <f>G104*F105/F104</f>
        <v/>
      </c>
      <c r="H105">
        <f>H104*(1+Inputs!$B$17)^(1/12)</f>
        <v/>
      </c>
      <c r="I105">
        <f>IFERROR(INDEX(BaseQx!$B:$B,MATCH(D105,BaseQx!$A:$A,0)),"")</f>
        <v/>
      </c>
      <c r="J105">
        <f>IF(Inputs!$B$13="rp_mp",SUMIFS(MP2016_Long!$C:$C,MP2016_Long!$A:$A,D105,MP2016_Long!$B:$B,"&gt;=2014",MP2016_Long!$B:$B,"&lt;"&amp;E105),0)</f>
        <v/>
      </c>
      <c r="K105">
        <f>MIN(0.999999,MAX(0,I105*EXP(J105)))</f>
        <v/>
      </c>
      <c r="L105">
        <f>-LN(1-K105)</f>
        <v/>
      </c>
      <c r="M105">
        <f>EXP(-L105/Inputs!$B$6)</f>
        <v/>
      </c>
      <c r="N105">
        <f>N104*M105</f>
        <v/>
      </c>
      <c r="O105">
        <f>IFERROR(INDEX(MonthlyCurve!$L:$L,MATCH(A105,MonthlyCurve!$A:$A,0)),"")</f>
        <v/>
      </c>
      <c r="P105">
        <f>IF(B105&gt;0,-LN(O105)/B105,"")</f>
        <v/>
      </c>
      <c r="Q105">
        <f>G105*N105</f>
        <v/>
      </c>
      <c r="R105">
        <f>H105*N105</f>
        <v/>
      </c>
      <c r="S105">
        <f>Q105+R105</f>
        <v/>
      </c>
      <c r="T105">
        <f>Q105*O105</f>
        <v/>
      </c>
      <c r="U105">
        <f>R105*O105</f>
        <v/>
      </c>
      <c r="V105">
        <f>SUMPRODUCT(S106:S543,O106:O543)/(N105*O105)</f>
        <v/>
      </c>
    </row>
    <row r="106">
      <c r="A106" t="n">
        <v>103</v>
      </c>
      <c r="B106">
        <f>A106/Inputs!$B$6</f>
        <v/>
      </c>
      <c r="C106">
        <f>Inputs!$B$3+B106</f>
        <v/>
      </c>
      <c r="D106">
        <f>INT(C106)</f>
        <v/>
      </c>
      <c r="E106">
        <f>Inputs!$B$7+1+INT((A106-1)/Inputs!$B$6)</f>
        <v/>
      </c>
      <c r="F106">
        <f>IFERROR(INDEX(IndexScenario!$B$4:$B$544,MATCH(A106,IndexScenario!$A$4:$A$544,0)),"")</f>
        <v/>
      </c>
      <c r="G106">
        <f>G105*F106/F105</f>
        <v/>
      </c>
      <c r="H106">
        <f>H105*(1+Inputs!$B$17)^(1/12)</f>
        <v/>
      </c>
      <c r="I106">
        <f>IFERROR(INDEX(BaseQx!$B:$B,MATCH(D106,BaseQx!$A:$A,0)),"")</f>
        <v/>
      </c>
      <c r="J106">
        <f>IF(Inputs!$B$13="rp_mp",SUMIFS(MP2016_Long!$C:$C,MP2016_Long!$A:$A,D106,MP2016_Long!$B:$B,"&gt;=2014",MP2016_Long!$B:$B,"&lt;"&amp;E106),0)</f>
        <v/>
      </c>
      <c r="K106">
        <f>MIN(0.999999,MAX(0,I106*EXP(J106)))</f>
        <v/>
      </c>
      <c r="L106">
        <f>-LN(1-K106)</f>
        <v/>
      </c>
      <c r="M106">
        <f>EXP(-L106/Inputs!$B$6)</f>
        <v/>
      </c>
      <c r="N106">
        <f>N105*M106</f>
        <v/>
      </c>
      <c r="O106">
        <f>IFERROR(INDEX(MonthlyCurve!$L:$L,MATCH(A106,MonthlyCurve!$A:$A,0)),"")</f>
        <v/>
      </c>
      <c r="P106">
        <f>IF(B106&gt;0,-LN(O106)/B106,"")</f>
        <v/>
      </c>
      <c r="Q106">
        <f>G106*N106</f>
        <v/>
      </c>
      <c r="R106">
        <f>H106*N106</f>
        <v/>
      </c>
      <c r="S106">
        <f>Q106+R106</f>
        <v/>
      </c>
      <c r="T106">
        <f>Q106*O106</f>
        <v/>
      </c>
      <c r="U106">
        <f>R106*O106</f>
        <v/>
      </c>
      <c r="V106">
        <f>SUMPRODUCT(S107:S543,O107:O543)/(N106*O106)</f>
        <v/>
      </c>
    </row>
    <row r="107">
      <c r="A107" t="n">
        <v>104</v>
      </c>
      <c r="B107">
        <f>A107/Inputs!$B$6</f>
        <v/>
      </c>
      <c r="C107">
        <f>Inputs!$B$3+B107</f>
        <v/>
      </c>
      <c r="D107">
        <f>INT(C107)</f>
        <v/>
      </c>
      <c r="E107">
        <f>Inputs!$B$7+1+INT((A107-1)/Inputs!$B$6)</f>
        <v/>
      </c>
      <c r="F107">
        <f>IFERROR(INDEX(IndexScenario!$B$4:$B$544,MATCH(A107,IndexScenario!$A$4:$A$544,0)),"")</f>
        <v/>
      </c>
      <c r="G107">
        <f>G106*F107/F106</f>
        <v/>
      </c>
      <c r="H107">
        <f>H106*(1+Inputs!$B$17)^(1/12)</f>
        <v/>
      </c>
      <c r="I107">
        <f>IFERROR(INDEX(BaseQx!$B:$B,MATCH(D107,BaseQx!$A:$A,0)),"")</f>
        <v/>
      </c>
      <c r="J107">
        <f>IF(Inputs!$B$13="rp_mp",SUMIFS(MP2016_Long!$C:$C,MP2016_Long!$A:$A,D107,MP2016_Long!$B:$B,"&gt;=2014",MP2016_Long!$B:$B,"&lt;"&amp;E107),0)</f>
        <v/>
      </c>
      <c r="K107">
        <f>MIN(0.999999,MAX(0,I107*EXP(J107)))</f>
        <v/>
      </c>
      <c r="L107">
        <f>-LN(1-K107)</f>
        <v/>
      </c>
      <c r="M107">
        <f>EXP(-L107/Inputs!$B$6)</f>
        <v/>
      </c>
      <c r="N107">
        <f>N106*M107</f>
        <v/>
      </c>
      <c r="O107">
        <f>IFERROR(INDEX(MonthlyCurve!$L:$L,MATCH(A107,MonthlyCurve!$A:$A,0)),"")</f>
        <v/>
      </c>
      <c r="P107">
        <f>IF(B107&gt;0,-LN(O107)/B107,"")</f>
        <v/>
      </c>
      <c r="Q107">
        <f>G107*N107</f>
        <v/>
      </c>
      <c r="R107">
        <f>H107*N107</f>
        <v/>
      </c>
      <c r="S107">
        <f>Q107+R107</f>
        <v/>
      </c>
      <c r="T107">
        <f>Q107*O107</f>
        <v/>
      </c>
      <c r="U107">
        <f>R107*O107</f>
        <v/>
      </c>
      <c r="V107">
        <f>SUMPRODUCT(S108:S543,O108:O543)/(N107*O107)</f>
        <v/>
      </c>
    </row>
    <row r="108">
      <c r="A108" t="n">
        <v>105</v>
      </c>
      <c r="B108">
        <f>A108/Inputs!$B$6</f>
        <v/>
      </c>
      <c r="C108">
        <f>Inputs!$B$3+B108</f>
        <v/>
      </c>
      <c r="D108">
        <f>INT(C108)</f>
        <v/>
      </c>
      <c r="E108">
        <f>Inputs!$B$7+1+INT((A108-1)/Inputs!$B$6)</f>
        <v/>
      </c>
      <c r="F108">
        <f>IFERROR(INDEX(IndexScenario!$B$4:$B$544,MATCH(A108,IndexScenario!$A$4:$A$544,0)),"")</f>
        <v/>
      </c>
      <c r="G108">
        <f>G107*F108/F107</f>
        <v/>
      </c>
      <c r="H108">
        <f>H107*(1+Inputs!$B$17)^(1/12)</f>
        <v/>
      </c>
      <c r="I108">
        <f>IFERROR(INDEX(BaseQx!$B:$B,MATCH(D108,BaseQx!$A:$A,0)),"")</f>
        <v/>
      </c>
      <c r="J108">
        <f>IF(Inputs!$B$13="rp_mp",SUMIFS(MP2016_Long!$C:$C,MP2016_Long!$A:$A,D108,MP2016_Long!$B:$B,"&gt;=2014",MP2016_Long!$B:$B,"&lt;"&amp;E108),0)</f>
        <v/>
      </c>
      <c r="K108">
        <f>MIN(0.999999,MAX(0,I108*EXP(J108)))</f>
        <v/>
      </c>
      <c r="L108">
        <f>-LN(1-K108)</f>
        <v/>
      </c>
      <c r="M108">
        <f>EXP(-L108/Inputs!$B$6)</f>
        <v/>
      </c>
      <c r="N108">
        <f>N107*M108</f>
        <v/>
      </c>
      <c r="O108">
        <f>IFERROR(INDEX(MonthlyCurve!$L:$L,MATCH(A108,MonthlyCurve!$A:$A,0)),"")</f>
        <v/>
      </c>
      <c r="P108">
        <f>IF(B108&gt;0,-LN(O108)/B108,"")</f>
        <v/>
      </c>
      <c r="Q108">
        <f>G108*N108</f>
        <v/>
      </c>
      <c r="R108">
        <f>H108*N108</f>
        <v/>
      </c>
      <c r="S108">
        <f>Q108+R108</f>
        <v/>
      </c>
      <c r="T108">
        <f>Q108*O108</f>
        <v/>
      </c>
      <c r="U108">
        <f>R108*O108</f>
        <v/>
      </c>
      <c r="V108">
        <f>SUMPRODUCT(S109:S543,O109:O543)/(N108*O108)</f>
        <v/>
      </c>
    </row>
    <row r="109">
      <c r="A109" t="n">
        <v>106</v>
      </c>
      <c r="B109">
        <f>A109/Inputs!$B$6</f>
        <v/>
      </c>
      <c r="C109">
        <f>Inputs!$B$3+B109</f>
        <v/>
      </c>
      <c r="D109">
        <f>INT(C109)</f>
        <v/>
      </c>
      <c r="E109">
        <f>Inputs!$B$7+1+INT((A109-1)/Inputs!$B$6)</f>
        <v/>
      </c>
      <c r="F109">
        <f>IFERROR(INDEX(IndexScenario!$B$4:$B$544,MATCH(A109,IndexScenario!$A$4:$A$544,0)),"")</f>
        <v/>
      </c>
      <c r="G109">
        <f>G108*F109/F108</f>
        <v/>
      </c>
      <c r="H109">
        <f>H108*(1+Inputs!$B$17)^(1/12)</f>
        <v/>
      </c>
      <c r="I109">
        <f>IFERROR(INDEX(BaseQx!$B:$B,MATCH(D109,BaseQx!$A:$A,0)),"")</f>
        <v/>
      </c>
      <c r="J109">
        <f>IF(Inputs!$B$13="rp_mp",SUMIFS(MP2016_Long!$C:$C,MP2016_Long!$A:$A,D109,MP2016_Long!$B:$B,"&gt;=2014",MP2016_Long!$B:$B,"&lt;"&amp;E109),0)</f>
        <v/>
      </c>
      <c r="K109">
        <f>MIN(0.999999,MAX(0,I109*EXP(J109)))</f>
        <v/>
      </c>
      <c r="L109">
        <f>-LN(1-K109)</f>
        <v/>
      </c>
      <c r="M109">
        <f>EXP(-L109/Inputs!$B$6)</f>
        <v/>
      </c>
      <c r="N109">
        <f>N108*M109</f>
        <v/>
      </c>
      <c r="O109">
        <f>IFERROR(INDEX(MonthlyCurve!$L:$L,MATCH(A109,MonthlyCurve!$A:$A,0)),"")</f>
        <v/>
      </c>
      <c r="P109">
        <f>IF(B109&gt;0,-LN(O109)/B109,"")</f>
        <v/>
      </c>
      <c r="Q109">
        <f>G109*N109</f>
        <v/>
      </c>
      <c r="R109">
        <f>H109*N109</f>
        <v/>
      </c>
      <c r="S109">
        <f>Q109+R109</f>
        <v/>
      </c>
      <c r="T109">
        <f>Q109*O109</f>
        <v/>
      </c>
      <c r="U109">
        <f>R109*O109</f>
        <v/>
      </c>
      <c r="V109">
        <f>SUMPRODUCT(S110:S543,O110:O543)/(N109*O109)</f>
        <v/>
      </c>
    </row>
    <row r="110">
      <c r="A110" t="n">
        <v>107</v>
      </c>
      <c r="B110">
        <f>A110/Inputs!$B$6</f>
        <v/>
      </c>
      <c r="C110">
        <f>Inputs!$B$3+B110</f>
        <v/>
      </c>
      <c r="D110">
        <f>INT(C110)</f>
        <v/>
      </c>
      <c r="E110">
        <f>Inputs!$B$7+1+INT((A110-1)/Inputs!$B$6)</f>
        <v/>
      </c>
      <c r="F110">
        <f>IFERROR(INDEX(IndexScenario!$B$4:$B$544,MATCH(A110,IndexScenario!$A$4:$A$544,0)),"")</f>
        <v/>
      </c>
      <c r="G110">
        <f>G109*F110/F109</f>
        <v/>
      </c>
      <c r="H110">
        <f>H109*(1+Inputs!$B$17)^(1/12)</f>
        <v/>
      </c>
      <c r="I110">
        <f>IFERROR(INDEX(BaseQx!$B:$B,MATCH(D110,BaseQx!$A:$A,0)),"")</f>
        <v/>
      </c>
      <c r="J110">
        <f>IF(Inputs!$B$13="rp_mp",SUMIFS(MP2016_Long!$C:$C,MP2016_Long!$A:$A,D110,MP2016_Long!$B:$B,"&gt;=2014",MP2016_Long!$B:$B,"&lt;"&amp;E110),0)</f>
        <v/>
      </c>
      <c r="K110">
        <f>MIN(0.999999,MAX(0,I110*EXP(J110)))</f>
        <v/>
      </c>
      <c r="L110">
        <f>-LN(1-K110)</f>
        <v/>
      </c>
      <c r="M110">
        <f>EXP(-L110/Inputs!$B$6)</f>
        <v/>
      </c>
      <c r="N110">
        <f>N109*M110</f>
        <v/>
      </c>
      <c r="O110">
        <f>IFERROR(INDEX(MonthlyCurve!$L:$L,MATCH(A110,MonthlyCurve!$A:$A,0)),"")</f>
        <v/>
      </c>
      <c r="P110">
        <f>IF(B110&gt;0,-LN(O110)/B110,"")</f>
        <v/>
      </c>
      <c r="Q110">
        <f>G110*N110</f>
        <v/>
      </c>
      <c r="R110">
        <f>H110*N110</f>
        <v/>
      </c>
      <c r="S110">
        <f>Q110+R110</f>
        <v/>
      </c>
      <c r="T110">
        <f>Q110*O110</f>
        <v/>
      </c>
      <c r="U110">
        <f>R110*O110</f>
        <v/>
      </c>
      <c r="V110">
        <f>SUMPRODUCT(S111:S543,O111:O543)/(N110*O110)</f>
        <v/>
      </c>
    </row>
    <row r="111">
      <c r="A111" t="n">
        <v>108</v>
      </c>
      <c r="B111">
        <f>A111/Inputs!$B$6</f>
        <v/>
      </c>
      <c r="C111">
        <f>Inputs!$B$3+B111</f>
        <v/>
      </c>
      <c r="D111">
        <f>INT(C111)</f>
        <v/>
      </c>
      <c r="E111">
        <f>Inputs!$B$7+1+INT((A111-1)/Inputs!$B$6)</f>
        <v/>
      </c>
      <c r="F111">
        <f>IFERROR(INDEX(IndexScenario!$B$4:$B$544,MATCH(A111,IndexScenario!$A$4:$A$544,0)),"")</f>
        <v/>
      </c>
      <c r="G111">
        <f>G110*F111/F110</f>
        <v/>
      </c>
      <c r="H111">
        <f>H110*(1+Inputs!$B$17)^(1/12)</f>
        <v/>
      </c>
      <c r="I111">
        <f>IFERROR(INDEX(BaseQx!$B:$B,MATCH(D111,BaseQx!$A:$A,0)),"")</f>
        <v/>
      </c>
      <c r="J111">
        <f>IF(Inputs!$B$13="rp_mp",SUMIFS(MP2016_Long!$C:$C,MP2016_Long!$A:$A,D111,MP2016_Long!$B:$B,"&gt;=2014",MP2016_Long!$B:$B,"&lt;"&amp;E111),0)</f>
        <v/>
      </c>
      <c r="K111">
        <f>MIN(0.999999,MAX(0,I111*EXP(J111)))</f>
        <v/>
      </c>
      <c r="L111">
        <f>-LN(1-K111)</f>
        <v/>
      </c>
      <c r="M111">
        <f>EXP(-L111/Inputs!$B$6)</f>
        <v/>
      </c>
      <c r="N111">
        <f>N110*M111</f>
        <v/>
      </c>
      <c r="O111">
        <f>IFERROR(INDEX(MonthlyCurve!$L:$L,MATCH(A111,MonthlyCurve!$A:$A,0)),"")</f>
        <v/>
      </c>
      <c r="P111">
        <f>IF(B111&gt;0,-LN(O111)/B111,"")</f>
        <v/>
      </c>
      <c r="Q111">
        <f>G111*N111</f>
        <v/>
      </c>
      <c r="R111">
        <f>H111*N111</f>
        <v/>
      </c>
      <c r="S111">
        <f>Q111+R111</f>
        <v/>
      </c>
      <c r="T111">
        <f>Q111*O111</f>
        <v/>
      </c>
      <c r="U111">
        <f>R111*O111</f>
        <v/>
      </c>
      <c r="V111">
        <f>SUMPRODUCT(S112:S543,O112:O543)/(N111*O111)</f>
        <v/>
      </c>
    </row>
    <row r="112">
      <c r="A112" t="n">
        <v>109</v>
      </c>
      <c r="B112">
        <f>A112/Inputs!$B$6</f>
        <v/>
      </c>
      <c r="C112">
        <f>Inputs!$B$3+B112</f>
        <v/>
      </c>
      <c r="D112">
        <f>INT(C112)</f>
        <v/>
      </c>
      <c r="E112">
        <f>Inputs!$B$7+1+INT((A112-1)/Inputs!$B$6)</f>
        <v/>
      </c>
      <c r="F112">
        <f>IFERROR(INDEX(IndexScenario!$B$4:$B$544,MATCH(A112,IndexScenario!$A$4:$A$544,0)),"")</f>
        <v/>
      </c>
      <c r="G112">
        <f>G111*F112/F111</f>
        <v/>
      </c>
      <c r="H112">
        <f>H111*(1+Inputs!$B$17)^(1/12)</f>
        <v/>
      </c>
      <c r="I112">
        <f>IFERROR(INDEX(BaseQx!$B:$B,MATCH(D112,BaseQx!$A:$A,0)),"")</f>
        <v/>
      </c>
      <c r="J112">
        <f>IF(Inputs!$B$13="rp_mp",SUMIFS(MP2016_Long!$C:$C,MP2016_Long!$A:$A,D112,MP2016_Long!$B:$B,"&gt;=2014",MP2016_Long!$B:$B,"&lt;"&amp;E112),0)</f>
        <v/>
      </c>
      <c r="K112">
        <f>MIN(0.999999,MAX(0,I112*EXP(J112)))</f>
        <v/>
      </c>
      <c r="L112">
        <f>-LN(1-K112)</f>
        <v/>
      </c>
      <c r="M112">
        <f>EXP(-L112/Inputs!$B$6)</f>
        <v/>
      </c>
      <c r="N112">
        <f>N111*M112</f>
        <v/>
      </c>
      <c r="O112">
        <f>IFERROR(INDEX(MonthlyCurve!$L:$L,MATCH(A112,MonthlyCurve!$A:$A,0)),"")</f>
        <v/>
      </c>
      <c r="P112">
        <f>IF(B112&gt;0,-LN(O112)/B112,"")</f>
        <v/>
      </c>
      <c r="Q112">
        <f>G112*N112</f>
        <v/>
      </c>
      <c r="R112">
        <f>H112*N112</f>
        <v/>
      </c>
      <c r="S112">
        <f>Q112+R112</f>
        <v/>
      </c>
      <c r="T112">
        <f>Q112*O112</f>
        <v/>
      </c>
      <c r="U112">
        <f>R112*O112</f>
        <v/>
      </c>
      <c r="V112">
        <f>SUMPRODUCT(S113:S543,O113:O543)/(N112*O112)</f>
        <v/>
      </c>
    </row>
    <row r="113">
      <c r="A113" t="n">
        <v>110</v>
      </c>
      <c r="B113">
        <f>A113/Inputs!$B$6</f>
        <v/>
      </c>
      <c r="C113">
        <f>Inputs!$B$3+B113</f>
        <v/>
      </c>
      <c r="D113">
        <f>INT(C113)</f>
        <v/>
      </c>
      <c r="E113">
        <f>Inputs!$B$7+1+INT((A113-1)/Inputs!$B$6)</f>
        <v/>
      </c>
      <c r="F113">
        <f>IFERROR(INDEX(IndexScenario!$B$4:$B$544,MATCH(A113,IndexScenario!$A$4:$A$544,0)),"")</f>
        <v/>
      </c>
      <c r="G113">
        <f>G112*F113/F112</f>
        <v/>
      </c>
      <c r="H113">
        <f>H112*(1+Inputs!$B$17)^(1/12)</f>
        <v/>
      </c>
      <c r="I113">
        <f>IFERROR(INDEX(BaseQx!$B:$B,MATCH(D113,BaseQx!$A:$A,0)),"")</f>
        <v/>
      </c>
      <c r="J113">
        <f>IF(Inputs!$B$13="rp_mp",SUMIFS(MP2016_Long!$C:$C,MP2016_Long!$A:$A,D113,MP2016_Long!$B:$B,"&gt;=2014",MP2016_Long!$B:$B,"&lt;"&amp;E113),0)</f>
        <v/>
      </c>
      <c r="K113">
        <f>MIN(0.999999,MAX(0,I113*EXP(J113)))</f>
        <v/>
      </c>
      <c r="L113">
        <f>-LN(1-K113)</f>
        <v/>
      </c>
      <c r="M113">
        <f>EXP(-L113/Inputs!$B$6)</f>
        <v/>
      </c>
      <c r="N113">
        <f>N112*M113</f>
        <v/>
      </c>
      <c r="O113">
        <f>IFERROR(INDEX(MonthlyCurve!$L:$L,MATCH(A113,MonthlyCurve!$A:$A,0)),"")</f>
        <v/>
      </c>
      <c r="P113">
        <f>IF(B113&gt;0,-LN(O113)/B113,"")</f>
        <v/>
      </c>
      <c r="Q113">
        <f>G113*N113</f>
        <v/>
      </c>
      <c r="R113">
        <f>H113*N113</f>
        <v/>
      </c>
      <c r="S113">
        <f>Q113+R113</f>
        <v/>
      </c>
      <c r="T113">
        <f>Q113*O113</f>
        <v/>
      </c>
      <c r="U113">
        <f>R113*O113</f>
        <v/>
      </c>
      <c r="V113">
        <f>SUMPRODUCT(S114:S543,O114:O543)/(N113*O113)</f>
        <v/>
      </c>
    </row>
    <row r="114">
      <c r="A114" t="n">
        <v>111</v>
      </c>
      <c r="B114">
        <f>A114/Inputs!$B$6</f>
        <v/>
      </c>
      <c r="C114">
        <f>Inputs!$B$3+B114</f>
        <v/>
      </c>
      <c r="D114">
        <f>INT(C114)</f>
        <v/>
      </c>
      <c r="E114">
        <f>Inputs!$B$7+1+INT((A114-1)/Inputs!$B$6)</f>
        <v/>
      </c>
      <c r="F114">
        <f>IFERROR(INDEX(IndexScenario!$B$4:$B$544,MATCH(A114,IndexScenario!$A$4:$A$544,0)),"")</f>
        <v/>
      </c>
      <c r="G114">
        <f>G113*F114/F113</f>
        <v/>
      </c>
      <c r="H114">
        <f>H113*(1+Inputs!$B$17)^(1/12)</f>
        <v/>
      </c>
      <c r="I114">
        <f>IFERROR(INDEX(BaseQx!$B:$B,MATCH(D114,BaseQx!$A:$A,0)),"")</f>
        <v/>
      </c>
      <c r="J114">
        <f>IF(Inputs!$B$13="rp_mp",SUMIFS(MP2016_Long!$C:$C,MP2016_Long!$A:$A,D114,MP2016_Long!$B:$B,"&gt;=2014",MP2016_Long!$B:$B,"&lt;"&amp;E114),0)</f>
        <v/>
      </c>
      <c r="K114">
        <f>MIN(0.999999,MAX(0,I114*EXP(J114)))</f>
        <v/>
      </c>
      <c r="L114">
        <f>-LN(1-K114)</f>
        <v/>
      </c>
      <c r="M114">
        <f>EXP(-L114/Inputs!$B$6)</f>
        <v/>
      </c>
      <c r="N114">
        <f>N113*M114</f>
        <v/>
      </c>
      <c r="O114">
        <f>IFERROR(INDEX(MonthlyCurve!$L:$L,MATCH(A114,MonthlyCurve!$A:$A,0)),"")</f>
        <v/>
      </c>
      <c r="P114">
        <f>IF(B114&gt;0,-LN(O114)/B114,"")</f>
        <v/>
      </c>
      <c r="Q114">
        <f>G114*N114</f>
        <v/>
      </c>
      <c r="R114">
        <f>H114*N114</f>
        <v/>
      </c>
      <c r="S114">
        <f>Q114+R114</f>
        <v/>
      </c>
      <c r="T114">
        <f>Q114*O114</f>
        <v/>
      </c>
      <c r="U114">
        <f>R114*O114</f>
        <v/>
      </c>
      <c r="V114">
        <f>SUMPRODUCT(S115:S543,O115:O543)/(N114*O114)</f>
        <v/>
      </c>
    </row>
    <row r="115">
      <c r="A115" t="n">
        <v>112</v>
      </c>
      <c r="B115">
        <f>A115/Inputs!$B$6</f>
        <v/>
      </c>
      <c r="C115">
        <f>Inputs!$B$3+B115</f>
        <v/>
      </c>
      <c r="D115">
        <f>INT(C115)</f>
        <v/>
      </c>
      <c r="E115">
        <f>Inputs!$B$7+1+INT((A115-1)/Inputs!$B$6)</f>
        <v/>
      </c>
      <c r="F115">
        <f>IFERROR(INDEX(IndexScenario!$B$4:$B$544,MATCH(A115,IndexScenario!$A$4:$A$544,0)),"")</f>
        <v/>
      </c>
      <c r="G115">
        <f>G114*F115/F114</f>
        <v/>
      </c>
      <c r="H115">
        <f>H114*(1+Inputs!$B$17)^(1/12)</f>
        <v/>
      </c>
      <c r="I115">
        <f>IFERROR(INDEX(BaseQx!$B:$B,MATCH(D115,BaseQx!$A:$A,0)),"")</f>
        <v/>
      </c>
      <c r="J115">
        <f>IF(Inputs!$B$13="rp_mp",SUMIFS(MP2016_Long!$C:$C,MP2016_Long!$A:$A,D115,MP2016_Long!$B:$B,"&gt;=2014",MP2016_Long!$B:$B,"&lt;"&amp;E115),0)</f>
        <v/>
      </c>
      <c r="K115">
        <f>MIN(0.999999,MAX(0,I115*EXP(J115)))</f>
        <v/>
      </c>
      <c r="L115">
        <f>-LN(1-K115)</f>
        <v/>
      </c>
      <c r="M115">
        <f>EXP(-L115/Inputs!$B$6)</f>
        <v/>
      </c>
      <c r="N115">
        <f>N114*M115</f>
        <v/>
      </c>
      <c r="O115">
        <f>IFERROR(INDEX(MonthlyCurve!$L:$L,MATCH(A115,MonthlyCurve!$A:$A,0)),"")</f>
        <v/>
      </c>
      <c r="P115">
        <f>IF(B115&gt;0,-LN(O115)/B115,"")</f>
        <v/>
      </c>
      <c r="Q115">
        <f>G115*N115</f>
        <v/>
      </c>
      <c r="R115">
        <f>H115*N115</f>
        <v/>
      </c>
      <c r="S115">
        <f>Q115+R115</f>
        <v/>
      </c>
      <c r="T115">
        <f>Q115*O115</f>
        <v/>
      </c>
      <c r="U115">
        <f>R115*O115</f>
        <v/>
      </c>
      <c r="V115">
        <f>SUMPRODUCT(S116:S543,O116:O543)/(N115*O115)</f>
        <v/>
      </c>
    </row>
    <row r="116">
      <c r="A116" t="n">
        <v>113</v>
      </c>
      <c r="B116">
        <f>A116/Inputs!$B$6</f>
        <v/>
      </c>
      <c r="C116">
        <f>Inputs!$B$3+B116</f>
        <v/>
      </c>
      <c r="D116">
        <f>INT(C116)</f>
        <v/>
      </c>
      <c r="E116">
        <f>Inputs!$B$7+1+INT((A116-1)/Inputs!$B$6)</f>
        <v/>
      </c>
      <c r="F116">
        <f>IFERROR(INDEX(IndexScenario!$B$4:$B$544,MATCH(A116,IndexScenario!$A$4:$A$544,0)),"")</f>
        <v/>
      </c>
      <c r="G116">
        <f>G115*F116/F115</f>
        <v/>
      </c>
      <c r="H116">
        <f>H115*(1+Inputs!$B$17)^(1/12)</f>
        <v/>
      </c>
      <c r="I116">
        <f>IFERROR(INDEX(BaseQx!$B:$B,MATCH(D116,BaseQx!$A:$A,0)),"")</f>
        <v/>
      </c>
      <c r="J116">
        <f>IF(Inputs!$B$13="rp_mp",SUMIFS(MP2016_Long!$C:$C,MP2016_Long!$A:$A,D116,MP2016_Long!$B:$B,"&gt;=2014",MP2016_Long!$B:$B,"&lt;"&amp;E116),0)</f>
        <v/>
      </c>
      <c r="K116">
        <f>MIN(0.999999,MAX(0,I116*EXP(J116)))</f>
        <v/>
      </c>
      <c r="L116">
        <f>-LN(1-K116)</f>
        <v/>
      </c>
      <c r="M116">
        <f>EXP(-L116/Inputs!$B$6)</f>
        <v/>
      </c>
      <c r="N116">
        <f>N115*M116</f>
        <v/>
      </c>
      <c r="O116">
        <f>IFERROR(INDEX(MonthlyCurve!$L:$L,MATCH(A116,MonthlyCurve!$A:$A,0)),"")</f>
        <v/>
      </c>
      <c r="P116">
        <f>IF(B116&gt;0,-LN(O116)/B116,"")</f>
        <v/>
      </c>
      <c r="Q116">
        <f>G116*N116</f>
        <v/>
      </c>
      <c r="R116">
        <f>H116*N116</f>
        <v/>
      </c>
      <c r="S116">
        <f>Q116+R116</f>
        <v/>
      </c>
      <c r="T116">
        <f>Q116*O116</f>
        <v/>
      </c>
      <c r="U116">
        <f>R116*O116</f>
        <v/>
      </c>
      <c r="V116">
        <f>SUMPRODUCT(S117:S543,O117:O543)/(N116*O116)</f>
        <v/>
      </c>
    </row>
    <row r="117">
      <c r="A117" t="n">
        <v>114</v>
      </c>
      <c r="B117">
        <f>A117/Inputs!$B$6</f>
        <v/>
      </c>
      <c r="C117">
        <f>Inputs!$B$3+B117</f>
        <v/>
      </c>
      <c r="D117">
        <f>INT(C117)</f>
        <v/>
      </c>
      <c r="E117">
        <f>Inputs!$B$7+1+INT((A117-1)/Inputs!$B$6)</f>
        <v/>
      </c>
      <c r="F117">
        <f>IFERROR(INDEX(IndexScenario!$B$4:$B$544,MATCH(A117,IndexScenario!$A$4:$A$544,0)),"")</f>
        <v/>
      </c>
      <c r="G117">
        <f>G116*F117/F116</f>
        <v/>
      </c>
      <c r="H117">
        <f>H116*(1+Inputs!$B$17)^(1/12)</f>
        <v/>
      </c>
      <c r="I117">
        <f>IFERROR(INDEX(BaseQx!$B:$B,MATCH(D117,BaseQx!$A:$A,0)),"")</f>
        <v/>
      </c>
      <c r="J117">
        <f>IF(Inputs!$B$13="rp_mp",SUMIFS(MP2016_Long!$C:$C,MP2016_Long!$A:$A,D117,MP2016_Long!$B:$B,"&gt;=2014",MP2016_Long!$B:$B,"&lt;"&amp;E117),0)</f>
        <v/>
      </c>
      <c r="K117">
        <f>MIN(0.999999,MAX(0,I117*EXP(J117)))</f>
        <v/>
      </c>
      <c r="L117">
        <f>-LN(1-K117)</f>
        <v/>
      </c>
      <c r="M117">
        <f>EXP(-L117/Inputs!$B$6)</f>
        <v/>
      </c>
      <c r="N117">
        <f>N116*M117</f>
        <v/>
      </c>
      <c r="O117">
        <f>IFERROR(INDEX(MonthlyCurve!$L:$L,MATCH(A117,MonthlyCurve!$A:$A,0)),"")</f>
        <v/>
      </c>
      <c r="P117">
        <f>IF(B117&gt;0,-LN(O117)/B117,"")</f>
        <v/>
      </c>
      <c r="Q117">
        <f>G117*N117</f>
        <v/>
      </c>
      <c r="R117">
        <f>H117*N117</f>
        <v/>
      </c>
      <c r="S117">
        <f>Q117+R117</f>
        <v/>
      </c>
      <c r="T117">
        <f>Q117*O117</f>
        <v/>
      </c>
      <c r="U117">
        <f>R117*O117</f>
        <v/>
      </c>
      <c r="V117">
        <f>SUMPRODUCT(S118:S543,O118:O543)/(N117*O117)</f>
        <v/>
      </c>
    </row>
    <row r="118">
      <c r="A118" t="n">
        <v>115</v>
      </c>
      <c r="B118">
        <f>A118/Inputs!$B$6</f>
        <v/>
      </c>
      <c r="C118">
        <f>Inputs!$B$3+B118</f>
        <v/>
      </c>
      <c r="D118">
        <f>INT(C118)</f>
        <v/>
      </c>
      <c r="E118">
        <f>Inputs!$B$7+1+INT((A118-1)/Inputs!$B$6)</f>
        <v/>
      </c>
      <c r="F118">
        <f>IFERROR(INDEX(IndexScenario!$B$4:$B$544,MATCH(A118,IndexScenario!$A$4:$A$544,0)),"")</f>
        <v/>
      </c>
      <c r="G118">
        <f>G117*F118/F117</f>
        <v/>
      </c>
      <c r="H118">
        <f>H117*(1+Inputs!$B$17)^(1/12)</f>
        <v/>
      </c>
      <c r="I118">
        <f>IFERROR(INDEX(BaseQx!$B:$B,MATCH(D118,BaseQx!$A:$A,0)),"")</f>
        <v/>
      </c>
      <c r="J118">
        <f>IF(Inputs!$B$13="rp_mp",SUMIFS(MP2016_Long!$C:$C,MP2016_Long!$A:$A,D118,MP2016_Long!$B:$B,"&gt;=2014",MP2016_Long!$B:$B,"&lt;"&amp;E118),0)</f>
        <v/>
      </c>
      <c r="K118">
        <f>MIN(0.999999,MAX(0,I118*EXP(J118)))</f>
        <v/>
      </c>
      <c r="L118">
        <f>-LN(1-K118)</f>
        <v/>
      </c>
      <c r="M118">
        <f>EXP(-L118/Inputs!$B$6)</f>
        <v/>
      </c>
      <c r="N118">
        <f>N117*M118</f>
        <v/>
      </c>
      <c r="O118">
        <f>IFERROR(INDEX(MonthlyCurve!$L:$L,MATCH(A118,MonthlyCurve!$A:$A,0)),"")</f>
        <v/>
      </c>
      <c r="P118">
        <f>IF(B118&gt;0,-LN(O118)/B118,"")</f>
        <v/>
      </c>
      <c r="Q118">
        <f>G118*N118</f>
        <v/>
      </c>
      <c r="R118">
        <f>H118*N118</f>
        <v/>
      </c>
      <c r="S118">
        <f>Q118+R118</f>
        <v/>
      </c>
      <c r="T118">
        <f>Q118*O118</f>
        <v/>
      </c>
      <c r="U118">
        <f>R118*O118</f>
        <v/>
      </c>
      <c r="V118">
        <f>SUMPRODUCT(S119:S543,O119:O543)/(N118*O118)</f>
        <v/>
      </c>
    </row>
    <row r="119">
      <c r="A119" t="n">
        <v>116</v>
      </c>
      <c r="B119">
        <f>A119/Inputs!$B$6</f>
        <v/>
      </c>
      <c r="C119">
        <f>Inputs!$B$3+B119</f>
        <v/>
      </c>
      <c r="D119">
        <f>INT(C119)</f>
        <v/>
      </c>
      <c r="E119">
        <f>Inputs!$B$7+1+INT((A119-1)/Inputs!$B$6)</f>
        <v/>
      </c>
      <c r="F119">
        <f>IFERROR(INDEX(IndexScenario!$B$4:$B$544,MATCH(A119,IndexScenario!$A$4:$A$544,0)),"")</f>
        <v/>
      </c>
      <c r="G119">
        <f>G118*F119/F118</f>
        <v/>
      </c>
      <c r="H119">
        <f>H118*(1+Inputs!$B$17)^(1/12)</f>
        <v/>
      </c>
      <c r="I119">
        <f>IFERROR(INDEX(BaseQx!$B:$B,MATCH(D119,BaseQx!$A:$A,0)),"")</f>
        <v/>
      </c>
      <c r="J119">
        <f>IF(Inputs!$B$13="rp_mp",SUMIFS(MP2016_Long!$C:$C,MP2016_Long!$A:$A,D119,MP2016_Long!$B:$B,"&gt;=2014",MP2016_Long!$B:$B,"&lt;"&amp;E119),0)</f>
        <v/>
      </c>
      <c r="K119">
        <f>MIN(0.999999,MAX(0,I119*EXP(J119)))</f>
        <v/>
      </c>
      <c r="L119">
        <f>-LN(1-K119)</f>
        <v/>
      </c>
      <c r="M119">
        <f>EXP(-L119/Inputs!$B$6)</f>
        <v/>
      </c>
      <c r="N119">
        <f>N118*M119</f>
        <v/>
      </c>
      <c r="O119">
        <f>IFERROR(INDEX(MonthlyCurve!$L:$L,MATCH(A119,MonthlyCurve!$A:$A,0)),"")</f>
        <v/>
      </c>
      <c r="P119">
        <f>IF(B119&gt;0,-LN(O119)/B119,"")</f>
        <v/>
      </c>
      <c r="Q119">
        <f>G119*N119</f>
        <v/>
      </c>
      <c r="R119">
        <f>H119*N119</f>
        <v/>
      </c>
      <c r="S119">
        <f>Q119+R119</f>
        <v/>
      </c>
      <c r="T119">
        <f>Q119*O119</f>
        <v/>
      </c>
      <c r="U119">
        <f>R119*O119</f>
        <v/>
      </c>
      <c r="V119">
        <f>SUMPRODUCT(S120:S543,O120:O543)/(N119*O119)</f>
        <v/>
      </c>
    </row>
    <row r="120">
      <c r="A120" t="n">
        <v>117</v>
      </c>
      <c r="B120">
        <f>A120/Inputs!$B$6</f>
        <v/>
      </c>
      <c r="C120">
        <f>Inputs!$B$3+B120</f>
        <v/>
      </c>
      <c r="D120">
        <f>INT(C120)</f>
        <v/>
      </c>
      <c r="E120">
        <f>Inputs!$B$7+1+INT((A120-1)/Inputs!$B$6)</f>
        <v/>
      </c>
      <c r="F120">
        <f>IFERROR(INDEX(IndexScenario!$B$4:$B$544,MATCH(A120,IndexScenario!$A$4:$A$544,0)),"")</f>
        <v/>
      </c>
      <c r="G120">
        <f>G119*F120/F119</f>
        <v/>
      </c>
      <c r="H120">
        <f>H119*(1+Inputs!$B$17)^(1/12)</f>
        <v/>
      </c>
      <c r="I120">
        <f>IFERROR(INDEX(BaseQx!$B:$B,MATCH(D120,BaseQx!$A:$A,0)),"")</f>
        <v/>
      </c>
      <c r="J120">
        <f>IF(Inputs!$B$13="rp_mp",SUMIFS(MP2016_Long!$C:$C,MP2016_Long!$A:$A,D120,MP2016_Long!$B:$B,"&gt;=2014",MP2016_Long!$B:$B,"&lt;"&amp;E120),0)</f>
        <v/>
      </c>
      <c r="K120">
        <f>MIN(0.999999,MAX(0,I120*EXP(J120)))</f>
        <v/>
      </c>
      <c r="L120">
        <f>-LN(1-K120)</f>
        <v/>
      </c>
      <c r="M120">
        <f>EXP(-L120/Inputs!$B$6)</f>
        <v/>
      </c>
      <c r="N120">
        <f>N119*M120</f>
        <v/>
      </c>
      <c r="O120">
        <f>IFERROR(INDEX(MonthlyCurve!$L:$L,MATCH(A120,MonthlyCurve!$A:$A,0)),"")</f>
        <v/>
      </c>
      <c r="P120">
        <f>IF(B120&gt;0,-LN(O120)/B120,"")</f>
        <v/>
      </c>
      <c r="Q120">
        <f>G120*N120</f>
        <v/>
      </c>
      <c r="R120">
        <f>H120*N120</f>
        <v/>
      </c>
      <c r="S120">
        <f>Q120+R120</f>
        <v/>
      </c>
      <c r="T120">
        <f>Q120*O120</f>
        <v/>
      </c>
      <c r="U120">
        <f>R120*O120</f>
        <v/>
      </c>
      <c r="V120">
        <f>SUMPRODUCT(S121:S543,O121:O543)/(N120*O120)</f>
        <v/>
      </c>
    </row>
    <row r="121">
      <c r="A121" t="n">
        <v>118</v>
      </c>
      <c r="B121">
        <f>A121/Inputs!$B$6</f>
        <v/>
      </c>
      <c r="C121">
        <f>Inputs!$B$3+B121</f>
        <v/>
      </c>
      <c r="D121">
        <f>INT(C121)</f>
        <v/>
      </c>
      <c r="E121">
        <f>Inputs!$B$7+1+INT((A121-1)/Inputs!$B$6)</f>
        <v/>
      </c>
      <c r="F121">
        <f>IFERROR(INDEX(IndexScenario!$B$4:$B$544,MATCH(A121,IndexScenario!$A$4:$A$544,0)),"")</f>
        <v/>
      </c>
      <c r="G121">
        <f>G120*F121/F120</f>
        <v/>
      </c>
      <c r="H121">
        <f>H120*(1+Inputs!$B$17)^(1/12)</f>
        <v/>
      </c>
      <c r="I121">
        <f>IFERROR(INDEX(BaseQx!$B:$B,MATCH(D121,BaseQx!$A:$A,0)),"")</f>
        <v/>
      </c>
      <c r="J121">
        <f>IF(Inputs!$B$13="rp_mp",SUMIFS(MP2016_Long!$C:$C,MP2016_Long!$A:$A,D121,MP2016_Long!$B:$B,"&gt;=2014",MP2016_Long!$B:$B,"&lt;"&amp;E121),0)</f>
        <v/>
      </c>
      <c r="K121">
        <f>MIN(0.999999,MAX(0,I121*EXP(J121)))</f>
        <v/>
      </c>
      <c r="L121">
        <f>-LN(1-K121)</f>
        <v/>
      </c>
      <c r="M121">
        <f>EXP(-L121/Inputs!$B$6)</f>
        <v/>
      </c>
      <c r="N121">
        <f>N120*M121</f>
        <v/>
      </c>
      <c r="O121">
        <f>IFERROR(INDEX(MonthlyCurve!$L:$L,MATCH(A121,MonthlyCurve!$A:$A,0)),"")</f>
        <v/>
      </c>
      <c r="P121">
        <f>IF(B121&gt;0,-LN(O121)/B121,"")</f>
        <v/>
      </c>
      <c r="Q121">
        <f>G121*N121</f>
        <v/>
      </c>
      <c r="R121">
        <f>H121*N121</f>
        <v/>
      </c>
      <c r="S121">
        <f>Q121+R121</f>
        <v/>
      </c>
      <c r="T121">
        <f>Q121*O121</f>
        <v/>
      </c>
      <c r="U121">
        <f>R121*O121</f>
        <v/>
      </c>
      <c r="V121">
        <f>SUMPRODUCT(S122:S543,O122:O543)/(N121*O121)</f>
        <v/>
      </c>
    </row>
    <row r="122">
      <c r="A122" t="n">
        <v>119</v>
      </c>
      <c r="B122">
        <f>A122/Inputs!$B$6</f>
        <v/>
      </c>
      <c r="C122">
        <f>Inputs!$B$3+B122</f>
        <v/>
      </c>
      <c r="D122">
        <f>INT(C122)</f>
        <v/>
      </c>
      <c r="E122">
        <f>Inputs!$B$7+1+INT((A122-1)/Inputs!$B$6)</f>
        <v/>
      </c>
      <c r="F122">
        <f>IFERROR(INDEX(IndexScenario!$B$4:$B$544,MATCH(A122,IndexScenario!$A$4:$A$544,0)),"")</f>
        <v/>
      </c>
      <c r="G122">
        <f>G121*F122/F121</f>
        <v/>
      </c>
      <c r="H122">
        <f>H121*(1+Inputs!$B$17)^(1/12)</f>
        <v/>
      </c>
      <c r="I122">
        <f>IFERROR(INDEX(BaseQx!$B:$B,MATCH(D122,BaseQx!$A:$A,0)),"")</f>
        <v/>
      </c>
      <c r="J122">
        <f>IF(Inputs!$B$13="rp_mp",SUMIFS(MP2016_Long!$C:$C,MP2016_Long!$A:$A,D122,MP2016_Long!$B:$B,"&gt;=2014",MP2016_Long!$B:$B,"&lt;"&amp;E122),0)</f>
        <v/>
      </c>
      <c r="K122">
        <f>MIN(0.999999,MAX(0,I122*EXP(J122)))</f>
        <v/>
      </c>
      <c r="L122">
        <f>-LN(1-K122)</f>
        <v/>
      </c>
      <c r="M122">
        <f>EXP(-L122/Inputs!$B$6)</f>
        <v/>
      </c>
      <c r="N122">
        <f>N121*M122</f>
        <v/>
      </c>
      <c r="O122">
        <f>IFERROR(INDEX(MonthlyCurve!$L:$L,MATCH(A122,MonthlyCurve!$A:$A,0)),"")</f>
        <v/>
      </c>
      <c r="P122">
        <f>IF(B122&gt;0,-LN(O122)/B122,"")</f>
        <v/>
      </c>
      <c r="Q122">
        <f>G122*N122</f>
        <v/>
      </c>
      <c r="R122">
        <f>H122*N122</f>
        <v/>
      </c>
      <c r="S122">
        <f>Q122+R122</f>
        <v/>
      </c>
      <c r="T122">
        <f>Q122*O122</f>
        <v/>
      </c>
      <c r="U122">
        <f>R122*O122</f>
        <v/>
      </c>
      <c r="V122">
        <f>SUMPRODUCT(S123:S543,O123:O543)/(N122*O122)</f>
        <v/>
      </c>
    </row>
    <row r="123">
      <c r="A123" t="n">
        <v>120</v>
      </c>
      <c r="B123">
        <f>A123/Inputs!$B$6</f>
        <v/>
      </c>
      <c r="C123">
        <f>Inputs!$B$3+B123</f>
        <v/>
      </c>
      <c r="D123">
        <f>INT(C123)</f>
        <v/>
      </c>
      <c r="E123">
        <f>Inputs!$B$7+1+INT((A123-1)/Inputs!$B$6)</f>
        <v/>
      </c>
      <c r="F123">
        <f>IFERROR(INDEX(IndexScenario!$B$4:$B$544,MATCH(A123,IndexScenario!$A$4:$A$544,0)),"")</f>
        <v/>
      </c>
      <c r="G123">
        <f>G122*F123/F122</f>
        <v/>
      </c>
      <c r="H123">
        <f>H122*(1+Inputs!$B$17)^(1/12)</f>
        <v/>
      </c>
      <c r="I123">
        <f>IFERROR(INDEX(BaseQx!$B:$B,MATCH(D123,BaseQx!$A:$A,0)),"")</f>
        <v/>
      </c>
      <c r="J123">
        <f>IF(Inputs!$B$13="rp_mp",SUMIFS(MP2016_Long!$C:$C,MP2016_Long!$A:$A,D123,MP2016_Long!$B:$B,"&gt;=2014",MP2016_Long!$B:$B,"&lt;"&amp;E123),0)</f>
        <v/>
      </c>
      <c r="K123">
        <f>MIN(0.999999,MAX(0,I123*EXP(J123)))</f>
        <v/>
      </c>
      <c r="L123">
        <f>-LN(1-K123)</f>
        <v/>
      </c>
      <c r="M123">
        <f>EXP(-L123/Inputs!$B$6)</f>
        <v/>
      </c>
      <c r="N123">
        <f>N122*M123</f>
        <v/>
      </c>
      <c r="O123">
        <f>IFERROR(INDEX(MonthlyCurve!$L:$L,MATCH(A123,MonthlyCurve!$A:$A,0)),"")</f>
        <v/>
      </c>
      <c r="P123">
        <f>IF(B123&gt;0,-LN(O123)/B123,"")</f>
        <v/>
      </c>
      <c r="Q123">
        <f>G123*N123</f>
        <v/>
      </c>
      <c r="R123">
        <f>H123*N123</f>
        <v/>
      </c>
      <c r="S123">
        <f>Q123+R123</f>
        <v/>
      </c>
      <c r="T123">
        <f>Q123*O123</f>
        <v/>
      </c>
      <c r="U123">
        <f>R123*O123</f>
        <v/>
      </c>
      <c r="V123">
        <f>SUMPRODUCT(S124:S543,O124:O543)/(N123*O123)</f>
        <v/>
      </c>
    </row>
    <row r="124">
      <c r="A124" t="n">
        <v>121</v>
      </c>
      <c r="B124">
        <f>A124/Inputs!$B$6</f>
        <v/>
      </c>
      <c r="C124">
        <f>Inputs!$B$3+B124</f>
        <v/>
      </c>
      <c r="D124">
        <f>INT(C124)</f>
        <v/>
      </c>
      <c r="E124">
        <f>Inputs!$B$7+1+INT((A124-1)/Inputs!$B$6)</f>
        <v/>
      </c>
      <c r="F124">
        <f>IFERROR(INDEX(IndexScenario!$B$4:$B$544,MATCH(A124,IndexScenario!$A$4:$A$544,0)),"")</f>
        <v/>
      </c>
      <c r="G124">
        <f>G123*F124/F123</f>
        <v/>
      </c>
      <c r="H124">
        <f>H123*(1+Inputs!$B$17)^(1/12)</f>
        <v/>
      </c>
      <c r="I124">
        <f>IFERROR(INDEX(BaseQx!$B:$B,MATCH(D124,BaseQx!$A:$A,0)),"")</f>
        <v/>
      </c>
      <c r="J124">
        <f>IF(Inputs!$B$13="rp_mp",SUMIFS(MP2016_Long!$C:$C,MP2016_Long!$A:$A,D124,MP2016_Long!$B:$B,"&gt;=2014",MP2016_Long!$B:$B,"&lt;"&amp;E124),0)</f>
        <v/>
      </c>
      <c r="K124">
        <f>MIN(0.999999,MAX(0,I124*EXP(J124)))</f>
        <v/>
      </c>
      <c r="L124">
        <f>-LN(1-K124)</f>
        <v/>
      </c>
      <c r="M124">
        <f>EXP(-L124/Inputs!$B$6)</f>
        <v/>
      </c>
      <c r="N124">
        <f>N123*M124</f>
        <v/>
      </c>
      <c r="O124">
        <f>IFERROR(INDEX(MonthlyCurve!$L:$L,MATCH(A124,MonthlyCurve!$A:$A,0)),"")</f>
        <v/>
      </c>
      <c r="P124">
        <f>IF(B124&gt;0,-LN(O124)/B124,"")</f>
        <v/>
      </c>
      <c r="Q124">
        <f>G124*N124</f>
        <v/>
      </c>
      <c r="R124">
        <f>H124*N124</f>
        <v/>
      </c>
      <c r="S124">
        <f>Q124+R124</f>
        <v/>
      </c>
      <c r="T124">
        <f>Q124*O124</f>
        <v/>
      </c>
      <c r="U124">
        <f>R124*O124</f>
        <v/>
      </c>
      <c r="V124">
        <f>SUMPRODUCT(S125:S543,O125:O543)/(N124*O124)</f>
        <v/>
      </c>
    </row>
    <row r="125">
      <c r="A125" t="n">
        <v>122</v>
      </c>
      <c r="B125">
        <f>A125/Inputs!$B$6</f>
        <v/>
      </c>
      <c r="C125">
        <f>Inputs!$B$3+B125</f>
        <v/>
      </c>
      <c r="D125">
        <f>INT(C125)</f>
        <v/>
      </c>
      <c r="E125">
        <f>Inputs!$B$7+1+INT((A125-1)/Inputs!$B$6)</f>
        <v/>
      </c>
      <c r="F125">
        <f>IFERROR(INDEX(IndexScenario!$B$4:$B$544,MATCH(A125,IndexScenario!$A$4:$A$544,0)),"")</f>
        <v/>
      </c>
      <c r="G125">
        <f>G124*F125/F124</f>
        <v/>
      </c>
      <c r="H125">
        <f>H124*(1+Inputs!$B$17)^(1/12)</f>
        <v/>
      </c>
      <c r="I125">
        <f>IFERROR(INDEX(BaseQx!$B:$B,MATCH(D125,BaseQx!$A:$A,0)),"")</f>
        <v/>
      </c>
      <c r="J125">
        <f>IF(Inputs!$B$13="rp_mp",SUMIFS(MP2016_Long!$C:$C,MP2016_Long!$A:$A,D125,MP2016_Long!$B:$B,"&gt;=2014",MP2016_Long!$B:$B,"&lt;"&amp;E125),0)</f>
        <v/>
      </c>
      <c r="K125">
        <f>MIN(0.999999,MAX(0,I125*EXP(J125)))</f>
        <v/>
      </c>
      <c r="L125">
        <f>-LN(1-K125)</f>
        <v/>
      </c>
      <c r="M125">
        <f>EXP(-L125/Inputs!$B$6)</f>
        <v/>
      </c>
      <c r="N125">
        <f>N124*M125</f>
        <v/>
      </c>
      <c r="O125">
        <f>IFERROR(INDEX(MonthlyCurve!$L:$L,MATCH(A125,MonthlyCurve!$A:$A,0)),"")</f>
        <v/>
      </c>
      <c r="P125">
        <f>IF(B125&gt;0,-LN(O125)/B125,"")</f>
        <v/>
      </c>
      <c r="Q125">
        <f>G125*N125</f>
        <v/>
      </c>
      <c r="R125">
        <f>H125*N125</f>
        <v/>
      </c>
      <c r="S125">
        <f>Q125+R125</f>
        <v/>
      </c>
      <c r="T125">
        <f>Q125*O125</f>
        <v/>
      </c>
      <c r="U125">
        <f>R125*O125</f>
        <v/>
      </c>
      <c r="V125">
        <f>SUMPRODUCT(S126:S543,O126:O543)/(N125*O125)</f>
        <v/>
      </c>
    </row>
    <row r="126">
      <c r="A126" t="n">
        <v>123</v>
      </c>
      <c r="B126">
        <f>A126/Inputs!$B$6</f>
        <v/>
      </c>
      <c r="C126">
        <f>Inputs!$B$3+B126</f>
        <v/>
      </c>
      <c r="D126">
        <f>INT(C126)</f>
        <v/>
      </c>
      <c r="E126">
        <f>Inputs!$B$7+1+INT((A126-1)/Inputs!$B$6)</f>
        <v/>
      </c>
      <c r="F126">
        <f>IFERROR(INDEX(IndexScenario!$B$4:$B$544,MATCH(A126,IndexScenario!$A$4:$A$544,0)),"")</f>
        <v/>
      </c>
      <c r="G126">
        <f>G125*F126/F125</f>
        <v/>
      </c>
      <c r="H126">
        <f>H125*(1+Inputs!$B$17)^(1/12)</f>
        <v/>
      </c>
      <c r="I126">
        <f>IFERROR(INDEX(BaseQx!$B:$B,MATCH(D126,BaseQx!$A:$A,0)),"")</f>
        <v/>
      </c>
      <c r="J126">
        <f>IF(Inputs!$B$13="rp_mp",SUMIFS(MP2016_Long!$C:$C,MP2016_Long!$A:$A,D126,MP2016_Long!$B:$B,"&gt;=2014",MP2016_Long!$B:$B,"&lt;"&amp;E126),0)</f>
        <v/>
      </c>
      <c r="K126">
        <f>MIN(0.999999,MAX(0,I126*EXP(J126)))</f>
        <v/>
      </c>
      <c r="L126">
        <f>-LN(1-K126)</f>
        <v/>
      </c>
      <c r="M126">
        <f>EXP(-L126/Inputs!$B$6)</f>
        <v/>
      </c>
      <c r="N126">
        <f>N125*M126</f>
        <v/>
      </c>
      <c r="O126">
        <f>IFERROR(INDEX(MonthlyCurve!$L:$L,MATCH(A126,MonthlyCurve!$A:$A,0)),"")</f>
        <v/>
      </c>
      <c r="P126">
        <f>IF(B126&gt;0,-LN(O126)/B126,"")</f>
        <v/>
      </c>
      <c r="Q126">
        <f>G126*N126</f>
        <v/>
      </c>
      <c r="R126">
        <f>H126*N126</f>
        <v/>
      </c>
      <c r="S126">
        <f>Q126+R126</f>
        <v/>
      </c>
      <c r="T126">
        <f>Q126*O126</f>
        <v/>
      </c>
      <c r="U126">
        <f>R126*O126</f>
        <v/>
      </c>
      <c r="V126">
        <f>SUMPRODUCT(S127:S543,O127:O543)/(N126*O126)</f>
        <v/>
      </c>
    </row>
    <row r="127">
      <c r="A127" t="n">
        <v>124</v>
      </c>
      <c r="B127">
        <f>A127/Inputs!$B$6</f>
        <v/>
      </c>
      <c r="C127">
        <f>Inputs!$B$3+B127</f>
        <v/>
      </c>
      <c r="D127">
        <f>INT(C127)</f>
        <v/>
      </c>
      <c r="E127">
        <f>Inputs!$B$7+1+INT((A127-1)/Inputs!$B$6)</f>
        <v/>
      </c>
      <c r="F127">
        <f>IFERROR(INDEX(IndexScenario!$B$4:$B$544,MATCH(A127,IndexScenario!$A$4:$A$544,0)),"")</f>
        <v/>
      </c>
      <c r="G127">
        <f>G126*F127/F126</f>
        <v/>
      </c>
      <c r="H127">
        <f>H126*(1+Inputs!$B$17)^(1/12)</f>
        <v/>
      </c>
      <c r="I127">
        <f>IFERROR(INDEX(BaseQx!$B:$B,MATCH(D127,BaseQx!$A:$A,0)),"")</f>
        <v/>
      </c>
      <c r="J127">
        <f>IF(Inputs!$B$13="rp_mp",SUMIFS(MP2016_Long!$C:$C,MP2016_Long!$A:$A,D127,MP2016_Long!$B:$B,"&gt;=2014",MP2016_Long!$B:$B,"&lt;"&amp;E127),0)</f>
        <v/>
      </c>
      <c r="K127">
        <f>MIN(0.999999,MAX(0,I127*EXP(J127)))</f>
        <v/>
      </c>
      <c r="L127">
        <f>-LN(1-K127)</f>
        <v/>
      </c>
      <c r="M127">
        <f>EXP(-L127/Inputs!$B$6)</f>
        <v/>
      </c>
      <c r="N127">
        <f>N126*M127</f>
        <v/>
      </c>
      <c r="O127">
        <f>IFERROR(INDEX(MonthlyCurve!$L:$L,MATCH(A127,MonthlyCurve!$A:$A,0)),"")</f>
        <v/>
      </c>
      <c r="P127">
        <f>IF(B127&gt;0,-LN(O127)/B127,"")</f>
        <v/>
      </c>
      <c r="Q127">
        <f>G127*N127</f>
        <v/>
      </c>
      <c r="R127">
        <f>H127*N127</f>
        <v/>
      </c>
      <c r="S127">
        <f>Q127+R127</f>
        <v/>
      </c>
      <c r="T127">
        <f>Q127*O127</f>
        <v/>
      </c>
      <c r="U127">
        <f>R127*O127</f>
        <v/>
      </c>
      <c r="V127">
        <f>SUMPRODUCT(S128:S543,O128:O543)/(N127*O127)</f>
        <v/>
      </c>
    </row>
    <row r="128">
      <c r="A128" t="n">
        <v>125</v>
      </c>
      <c r="B128">
        <f>A128/Inputs!$B$6</f>
        <v/>
      </c>
      <c r="C128">
        <f>Inputs!$B$3+B128</f>
        <v/>
      </c>
      <c r="D128">
        <f>INT(C128)</f>
        <v/>
      </c>
      <c r="E128">
        <f>Inputs!$B$7+1+INT((A128-1)/Inputs!$B$6)</f>
        <v/>
      </c>
      <c r="F128">
        <f>IFERROR(INDEX(IndexScenario!$B$4:$B$544,MATCH(A128,IndexScenario!$A$4:$A$544,0)),"")</f>
        <v/>
      </c>
      <c r="G128">
        <f>G127*F128/F127</f>
        <v/>
      </c>
      <c r="H128">
        <f>H127*(1+Inputs!$B$17)^(1/12)</f>
        <v/>
      </c>
      <c r="I128">
        <f>IFERROR(INDEX(BaseQx!$B:$B,MATCH(D128,BaseQx!$A:$A,0)),"")</f>
        <v/>
      </c>
      <c r="J128">
        <f>IF(Inputs!$B$13="rp_mp",SUMIFS(MP2016_Long!$C:$C,MP2016_Long!$A:$A,D128,MP2016_Long!$B:$B,"&gt;=2014",MP2016_Long!$B:$B,"&lt;"&amp;E128),0)</f>
        <v/>
      </c>
      <c r="K128">
        <f>MIN(0.999999,MAX(0,I128*EXP(J128)))</f>
        <v/>
      </c>
      <c r="L128">
        <f>-LN(1-K128)</f>
        <v/>
      </c>
      <c r="M128">
        <f>EXP(-L128/Inputs!$B$6)</f>
        <v/>
      </c>
      <c r="N128">
        <f>N127*M128</f>
        <v/>
      </c>
      <c r="O128">
        <f>IFERROR(INDEX(MonthlyCurve!$L:$L,MATCH(A128,MonthlyCurve!$A:$A,0)),"")</f>
        <v/>
      </c>
      <c r="P128">
        <f>IF(B128&gt;0,-LN(O128)/B128,"")</f>
        <v/>
      </c>
      <c r="Q128">
        <f>G128*N128</f>
        <v/>
      </c>
      <c r="R128">
        <f>H128*N128</f>
        <v/>
      </c>
      <c r="S128">
        <f>Q128+R128</f>
        <v/>
      </c>
      <c r="T128">
        <f>Q128*O128</f>
        <v/>
      </c>
      <c r="U128">
        <f>R128*O128</f>
        <v/>
      </c>
      <c r="V128">
        <f>SUMPRODUCT(S129:S543,O129:O543)/(N128*O128)</f>
        <v/>
      </c>
    </row>
    <row r="129">
      <c r="A129" t="n">
        <v>126</v>
      </c>
      <c r="B129">
        <f>A129/Inputs!$B$6</f>
        <v/>
      </c>
      <c r="C129">
        <f>Inputs!$B$3+B129</f>
        <v/>
      </c>
      <c r="D129">
        <f>INT(C129)</f>
        <v/>
      </c>
      <c r="E129">
        <f>Inputs!$B$7+1+INT((A129-1)/Inputs!$B$6)</f>
        <v/>
      </c>
      <c r="F129">
        <f>IFERROR(INDEX(IndexScenario!$B$4:$B$544,MATCH(A129,IndexScenario!$A$4:$A$544,0)),"")</f>
        <v/>
      </c>
      <c r="G129">
        <f>G128*F129/F128</f>
        <v/>
      </c>
      <c r="H129">
        <f>H128*(1+Inputs!$B$17)^(1/12)</f>
        <v/>
      </c>
      <c r="I129">
        <f>IFERROR(INDEX(BaseQx!$B:$B,MATCH(D129,BaseQx!$A:$A,0)),"")</f>
        <v/>
      </c>
      <c r="J129">
        <f>IF(Inputs!$B$13="rp_mp",SUMIFS(MP2016_Long!$C:$C,MP2016_Long!$A:$A,D129,MP2016_Long!$B:$B,"&gt;=2014",MP2016_Long!$B:$B,"&lt;"&amp;E129),0)</f>
        <v/>
      </c>
      <c r="K129">
        <f>MIN(0.999999,MAX(0,I129*EXP(J129)))</f>
        <v/>
      </c>
      <c r="L129">
        <f>-LN(1-K129)</f>
        <v/>
      </c>
      <c r="M129">
        <f>EXP(-L129/Inputs!$B$6)</f>
        <v/>
      </c>
      <c r="N129">
        <f>N128*M129</f>
        <v/>
      </c>
      <c r="O129">
        <f>IFERROR(INDEX(MonthlyCurve!$L:$L,MATCH(A129,MonthlyCurve!$A:$A,0)),"")</f>
        <v/>
      </c>
      <c r="P129">
        <f>IF(B129&gt;0,-LN(O129)/B129,"")</f>
        <v/>
      </c>
      <c r="Q129">
        <f>G129*N129</f>
        <v/>
      </c>
      <c r="R129">
        <f>H129*N129</f>
        <v/>
      </c>
      <c r="S129">
        <f>Q129+R129</f>
        <v/>
      </c>
      <c r="T129">
        <f>Q129*O129</f>
        <v/>
      </c>
      <c r="U129">
        <f>R129*O129</f>
        <v/>
      </c>
      <c r="V129">
        <f>SUMPRODUCT(S130:S543,O130:O543)/(N129*O129)</f>
        <v/>
      </c>
    </row>
    <row r="130">
      <c r="A130" t="n">
        <v>127</v>
      </c>
      <c r="B130">
        <f>A130/Inputs!$B$6</f>
        <v/>
      </c>
      <c r="C130">
        <f>Inputs!$B$3+B130</f>
        <v/>
      </c>
      <c r="D130">
        <f>INT(C130)</f>
        <v/>
      </c>
      <c r="E130">
        <f>Inputs!$B$7+1+INT((A130-1)/Inputs!$B$6)</f>
        <v/>
      </c>
      <c r="F130">
        <f>IFERROR(INDEX(IndexScenario!$B$4:$B$544,MATCH(A130,IndexScenario!$A$4:$A$544,0)),"")</f>
        <v/>
      </c>
      <c r="G130">
        <f>G129*F130/F129</f>
        <v/>
      </c>
      <c r="H130">
        <f>H129*(1+Inputs!$B$17)^(1/12)</f>
        <v/>
      </c>
      <c r="I130">
        <f>IFERROR(INDEX(BaseQx!$B:$B,MATCH(D130,BaseQx!$A:$A,0)),"")</f>
        <v/>
      </c>
      <c r="J130">
        <f>IF(Inputs!$B$13="rp_mp",SUMIFS(MP2016_Long!$C:$C,MP2016_Long!$A:$A,D130,MP2016_Long!$B:$B,"&gt;=2014",MP2016_Long!$B:$B,"&lt;"&amp;E130),0)</f>
        <v/>
      </c>
      <c r="K130">
        <f>MIN(0.999999,MAX(0,I130*EXP(J130)))</f>
        <v/>
      </c>
      <c r="L130">
        <f>-LN(1-K130)</f>
        <v/>
      </c>
      <c r="M130">
        <f>EXP(-L130/Inputs!$B$6)</f>
        <v/>
      </c>
      <c r="N130">
        <f>N129*M130</f>
        <v/>
      </c>
      <c r="O130">
        <f>IFERROR(INDEX(MonthlyCurve!$L:$L,MATCH(A130,MonthlyCurve!$A:$A,0)),"")</f>
        <v/>
      </c>
      <c r="P130">
        <f>IF(B130&gt;0,-LN(O130)/B130,"")</f>
        <v/>
      </c>
      <c r="Q130">
        <f>G130*N130</f>
        <v/>
      </c>
      <c r="R130">
        <f>H130*N130</f>
        <v/>
      </c>
      <c r="S130">
        <f>Q130+R130</f>
        <v/>
      </c>
      <c r="T130">
        <f>Q130*O130</f>
        <v/>
      </c>
      <c r="U130">
        <f>R130*O130</f>
        <v/>
      </c>
      <c r="V130">
        <f>SUMPRODUCT(S131:S543,O131:O543)/(N130*O130)</f>
        <v/>
      </c>
    </row>
    <row r="131">
      <c r="A131" t="n">
        <v>128</v>
      </c>
      <c r="B131">
        <f>A131/Inputs!$B$6</f>
        <v/>
      </c>
      <c r="C131">
        <f>Inputs!$B$3+B131</f>
        <v/>
      </c>
      <c r="D131">
        <f>INT(C131)</f>
        <v/>
      </c>
      <c r="E131">
        <f>Inputs!$B$7+1+INT((A131-1)/Inputs!$B$6)</f>
        <v/>
      </c>
      <c r="F131">
        <f>IFERROR(INDEX(IndexScenario!$B$4:$B$544,MATCH(A131,IndexScenario!$A$4:$A$544,0)),"")</f>
        <v/>
      </c>
      <c r="G131">
        <f>G130*F131/F130</f>
        <v/>
      </c>
      <c r="H131">
        <f>H130*(1+Inputs!$B$17)^(1/12)</f>
        <v/>
      </c>
      <c r="I131">
        <f>IFERROR(INDEX(BaseQx!$B:$B,MATCH(D131,BaseQx!$A:$A,0)),"")</f>
        <v/>
      </c>
      <c r="J131">
        <f>IF(Inputs!$B$13="rp_mp",SUMIFS(MP2016_Long!$C:$C,MP2016_Long!$A:$A,D131,MP2016_Long!$B:$B,"&gt;=2014",MP2016_Long!$B:$B,"&lt;"&amp;E131),0)</f>
        <v/>
      </c>
      <c r="K131">
        <f>MIN(0.999999,MAX(0,I131*EXP(J131)))</f>
        <v/>
      </c>
      <c r="L131">
        <f>-LN(1-K131)</f>
        <v/>
      </c>
      <c r="M131">
        <f>EXP(-L131/Inputs!$B$6)</f>
        <v/>
      </c>
      <c r="N131">
        <f>N130*M131</f>
        <v/>
      </c>
      <c r="O131">
        <f>IFERROR(INDEX(MonthlyCurve!$L:$L,MATCH(A131,MonthlyCurve!$A:$A,0)),"")</f>
        <v/>
      </c>
      <c r="P131">
        <f>IF(B131&gt;0,-LN(O131)/B131,"")</f>
        <v/>
      </c>
      <c r="Q131">
        <f>G131*N131</f>
        <v/>
      </c>
      <c r="R131">
        <f>H131*N131</f>
        <v/>
      </c>
      <c r="S131">
        <f>Q131+R131</f>
        <v/>
      </c>
      <c r="T131">
        <f>Q131*O131</f>
        <v/>
      </c>
      <c r="U131">
        <f>R131*O131</f>
        <v/>
      </c>
      <c r="V131">
        <f>SUMPRODUCT(S132:S543,O132:O543)/(N131*O131)</f>
        <v/>
      </c>
    </row>
    <row r="132">
      <c r="A132" t="n">
        <v>129</v>
      </c>
      <c r="B132">
        <f>A132/Inputs!$B$6</f>
        <v/>
      </c>
      <c r="C132">
        <f>Inputs!$B$3+B132</f>
        <v/>
      </c>
      <c r="D132">
        <f>INT(C132)</f>
        <v/>
      </c>
      <c r="E132">
        <f>Inputs!$B$7+1+INT((A132-1)/Inputs!$B$6)</f>
        <v/>
      </c>
      <c r="F132">
        <f>IFERROR(INDEX(IndexScenario!$B$4:$B$544,MATCH(A132,IndexScenario!$A$4:$A$544,0)),"")</f>
        <v/>
      </c>
      <c r="G132">
        <f>G131*F132/F131</f>
        <v/>
      </c>
      <c r="H132">
        <f>H131*(1+Inputs!$B$17)^(1/12)</f>
        <v/>
      </c>
      <c r="I132">
        <f>IFERROR(INDEX(BaseQx!$B:$B,MATCH(D132,BaseQx!$A:$A,0)),"")</f>
        <v/>
      </c>
      <c r="J132">
        <f>IF(Inputs!$B$13="rp_mp",SUMIFS(MP2016_Long!$C:$C,MP2016_Long!$A:$A,D132,MP2016_Long!$B:$B,"&gt;=2014",MP2016_Long!$B:$B,"&lt;"&amp;E132),0)</f>
        <v/>
      </c>
      <c r="K132">
        <f>MIN(0.999999,MAX(0,I132*EXP(J132)))</f>
        <v/>
      </c>
      <c r="L132">
        <f>-LN(1-K132)</f>
        <v/>
      </c>
      <c r="M132">
        <f>EXP(-L132/Inputs!$B$6)</f>
        <v/>
      </c>
      <c r="N132">
        <f>N131*M132</f>
        <v/>
      </c>
      <c r="O132">
        <f>IFERROR(INDEX(MonthlyCurve!$L:$L,MATCH(A132,MonthlyCurve!$A:$A,0)),"")</f>
        <v/>
      </c>
      <c r="P132">
        <f>IF(B132&gt;0,-LN(O132)/B132,"")</f>
        <v/>
      </c>
      <c r="Q132">
        <f>G132*N132</f>
        <v/>
      </c>
      <c r="R132">
        <f>H132*N132</f>
        <v/>
      </c>
      <c r="S132">
        <f>Q132+R132</f>
        <v/>
      </c>
      <c r="T132">
        <f>Q132*O132</f>
        <v/>
      </c>
      <c r="U132">
        <f>R132*O132</f>
        <v/>
      </c>
      <c r="V132">
        <f>SUMPRODUCT(S133:S543,O133:O543)/(N132*O132)</f>
        <v/>
      </c>
    </row>
    <row r="133">
      <c r="A133" t="n">
        <v>130</v>
      </c>
      <c r="B133">
        <f>A133/Inputs!$B$6</f>
        <v/>
      </c>
      <c r="C133">
        <f>Inputs!$B$3+B133</f>
        <v/>
      </c>
      <c r="D133">
        <f>INT(C133)</f>
        <v/>
      </c>
      <c r="E133">
        <f>Inputs!$B$7+1+INT((A133-1)/Inputs!$B$6)</f>
        <v/>
      </c>
      <c r="F133">
        <f>IFERROR(INDEX(IndexScenario!$B$4:$B$544,MATCH(A133,IndexScenario!$A$4:$A$544,0)),"")</f>
        <v/>
      </c>
      <c r="G133">
        <f>G132*F133/F132</f>
        <v/>
      </c>
      <c r="H133">
        <f>H132*(1+Inputs!$B$17)^(1/12)</f>
        <v/>
      </c>
      <c r="I133">
        <f>IFERROR(INDEX(BaseQx!$B:$B,MATCH(D133,BaseQx!$A:$A,0)),"")</f>
        <v/>
      </c>
      <c r="J133">
        <f>IF(Inputs!$B$13="rp_mp",SUMIFS(MP2016_Long!$C:$C,MP2016_Long!$A:$A,D133,MP2016_Long!$B:$B,"&gt;=2014",MP2016_Long!$B:$B,"&lt;"&amp;E133),0)</f>
        <v/>
      </c>
      <c r="K133">
        <f>MIN(0.999999,MAX(0,I133*EXP(J133)))</f>
        <v/>
      </c>
      <c r="L133">
        <f>-LN(1-K133)</f>
        <v/>
      </c>
      <c r="M133">
        <f>EXP(-L133/Inputs!$B$6)</f>
        <v/>
      </c>
      <c r="N133">
        <f>N132*M133</f>
        <v/>
      </c>
      <c r="O133">
        <f>IFERROR(INDEX(MonthlyCurve!$L:$L,MATCH(A133,MonthlyCurve!$A:$A,0)),"")</f>
        <v/>
      </c>
      <c r="P133">
        <f>IF(B133&gt;0,-LN(O133)/B133,"")</f>
        <v/>
      </c>
      <c r="Q133">
        <f>G133*N133</f>
        <v/>
      </c>
      <c r="R133">
        <f>H133*N133</f>
        <v/>
      </c>
      <c r="S133">
        <f>Q133+R133</f>
        <v/>
      </c>
      <c r="T133">
        <f>Q133*O133</f>
        <v/>
      </c>
      <c r="U133">
        <f>R133*O133</f>
        <v/>
      </c>
      <c r="V133">
        <f>SUMPRODUCT(S134:S543,O134:O543)/(N133*O133)</f>
        <v/>
      </c>
    </row>
    <row r="134">
      <c r="A134" t="n">
        <v>131</v>
      </c>
      <c r="B134">
        <f>A134/Inputs!$B$6</f>
        <v/>
      </c>
      <c r="C134">
        <f>Inputs!$B$3+B134</f>
        <v/>
      </c>
      <c r="D134">
        <f>INT(C134)</f>
        <v/>
      </c>
      <c r="E134">
        <f>Inputs!$B$7+1+INT((A134-1)/Inputs!$B$6)</f>
        <v/>
      </c>
      <c r="F134">
        <f>IFERROR(INDEX(IndexScenario!$B$4:$B$544,MATCH(A134,IndexScenario!$A$4:$A$544,0)),"")</f>
        <v/>
      </c>
      <c r="G134">
        <f>G133*F134/F133</f>
        <v/>
      </c>
      <c r="H134">
        <f>H133*(1+Inputs!$B$17)^(1/12)</f>
        <v/>
      </c>
      <c r="I134">
        <f>IFERROR(INDEX(BaseQx!$B:$B,MATCH(D134,BaseQx!$A:$A,0)),"")</f>
        <v/>
      </c>
      <c r="J134">
        <f>IF(Inputs!$B$13="rp_mp",SUMIFS(MP2016_Long!$C:$C,MP2016_Long!$A:$A,D134,MP2016_Long!$B:$B,"&gt;=2014",MP2016_Long!$B:$B,"&lt;"&amp;E134),0)</f>
        <v/>
      </c>
      <c r="K134">
        <f>MIN(0.999999,MAX(0,I134*EXP(J134)))</f>
        <v/>
      </c>
      <c r="L134">
        <f>-LN(1-K134)</f>
        <v/>
      </c>
      <c r="M134">
        <f>EXP(-L134/Inputs!$B$6)</f>
        <v/>
      </c>
      <c r="N134">
        <f>N133*M134</f>
        <v/>
      </c>
      <c r="O134">
        <f>IFERROR(INDEX(MonthlyCurve!$L:$L,MATCH(A134,MonthlyCurve!$A:$A,0)),"")</f>
        <v/>
      </c>
      <c r="P134">
        <f>IF(B134&gt;0,-LN(O134)/B134,"")</f>
        <v/>
      </c>
      <c r="Q134">
        <f>G134*N134</f>
        <v/>
      </c>
      <c r="R134">
        <f>H134*N134</f>
        <v/>
      </c>
      <c r="S134">
        <f>Q134+R134</f>
        <v/>
      </c>
      <c r="T134">
        <f>Q134*O134</f>
        <v/>
      </c>
      <c r="U134">
        <f>R134*O134</f>
        <v/>
      </c>
      <c r="V134">
        <f>SUMPRODUCT(S135:S543,O135:O543)/(N134*O134)</f>
        <v/>
      </c>
    </row>
    <row r="135">
      <c r="A135" t="n">
        <v>132</v>
      </c>
      <c r="B135">
        <f>A135/Inputs!$B$6</f>
        <v/>
      </c>
      <c r="C135">
        <f>Inputs!$B$3+B135</f>
        <v/>
      </c>
      <c r="D135">
        <f>INT(C135)</f>
        <v/>
      </c>
      <c r="E135">
        <f>Inputs!$B$7+1+INT((A135-1)/Inputs!$B$6)</f>
        <v/>
      </c>
      <c r="F135">
        <f>IFERROR(INDEX(IndexScenario!$B$4:$B$544,MATCH(A135,IndexScenario!$A$4:$A$544,0)),"")</f>
        <v/>
      </c>
      <c r="G135">
        <f>G134*F135/F134</f>
        <v/>
      </c>
      <c r="H135">
        <f>H134*(1+Inputs!$B$17)^(1/12)</f>
        <v/>
      </c>
      <c r="I135">
        <f>IFERROR(INDEX(BaseQx!$B:$B,MATCH(D135,BaseQx!$A:$A,0)),"")</f>
        <v/>
      </c>
      <c r="J135">
        <f>IF(Inputs!$B$13="rp_mp",SUMIFS(MP2016_Long!$C:$C,MP2016_Long!$A:$A,D135,MP2016_Long!$B:$B,"&gt;=2014",MP2016_Long!$B:$B,"&lt;"&amp;E135),0)</f>
        <v/>
      </c>
      <c r="K135">
        <f>MIN(0.999999,MAX(0,I135*EXP(J135)))</f>
        <v/>
      </c>
      <c r="L135">
        <f>-LN(1-K135)</f>
        <v/>
      </c>
      <c r="M135">
        <f>EXP(-L135/Inputs!$B$6)</f>
        <v/>
      </c>
      <c r="N135">
        <f>N134*M135</f>
        <v/>
      </c>
      <c r="O135">
        <f>IFERROR(INDEX(MonthlyCurve!$L:$L,MATCH(A135,MonthlyCurve!$A:$A,0)),"")</f>
        <v/>
      </c>
      <c r="P135">
        <f>IF(B135&gt;0,-LN(O135)/B135,"")</f>
        <v/>
      </c>
      <c r="Q135">
        <f>G135*N135</f>
        <v/>
      </c>
      <c r="R135">
        <f>H135*N135</f>
        <v/>
      </c>
      <c r="S135">
        <f>Q135+R135</f>
        <v/>
      </c>
      <c r="T135">
        <f>Q135*O135</f>
        <v/>
      </c>
      <c r="U135">
        <f>R135*O135</f>
        <v/>
      </c>
      <c r="V135">
        <f>SUMPRODUCT(S136:S543,O136:O543)/(N135*O135)</f>
        <v/>
      </c>
    </row>
    <row r="136">
      <c r="A136" t="n">
        <v>133</v>
      </c>
      <c r="B136">
        <f>A136/Inputs!$B$6</f>
        <v/>
      </c>
      <c r="C136">
        <f>Inputs!$B$3+B136</f>
        <v/>
      </c>
      <c r="D136">
        <f>INT(C136)</f>
        <v/>
      </c>
      <c r="E136">
        <f>Inputs!$B$7+1+INT((A136-1)/Inputs!$B$6)</f>
        <v/>
      </c>
      <c r="F136">
        <f>IFERROR(INDEX(IndexScenario!$B$4:$B$544,MATCH(A136,IndexScenario!$A$4:$A$544,0)),"")</f>
        <v/>
      </c>
      <c r="G136">
        <f>G135*F136/F135</f>
        <v/>
      </c>
      <c r="H136">
        <f>H135*(1+Inputs!$B$17)^(1/12)</f>
        <v/>
      </c>
      <c r="I136">
        <f>IFERROR(INDEX(BaseQx!$B:$B,MATCH(D136,BaseQx!$A:$A,0)),"")</f>
        <v/>
      </c>
      <c r="J136">
        <f>IF(Inputs!$B$13="rp_mp",SUMIFS(MP2016_Long!$C:$C,MP2016_Long!$A:$A,D136,MP2016_Long!$B:$B,"&gt;=2014",MP2016_Long!$B:$B,"&lt;"&amp;E136),0)</f>
        <v/>
      </c>
      <c r="K136">
        <f>MIN(0.999999,MAX(0,I136*EXP(J136)))</f>
        <v/>
      </c>
      <c r="L136">
        <f>-LN(1-K136)</f>
        <v/>
      </c>
      <c r="M136">
        <f>EXP(-L136/Inputs!$B$6)</f>
        <v/>
      </c>
      <c r="N136">
        <f>N135*M136</f>
        <v/>
      </c>
      <c r="O136">
        <f>IFERROR(INDEX(MonthlyCurve!$L:$L,MATCH(A136,MonthlyCurve!$A:$A,0)),"")</f>
        <v/>
      </c>
      <c r="P136">
        <f>IF(B136&gt;0,-LN(O136)/B136,"")</f>
        <v/>
      </c>
      <c r="Q136">
        <f>G136*N136</f>
        <v/>
      </c>
      <c r="R136">
        <f>H136*N136</f>
        <v/>
      </c>
      <c r="S136">
        <f>Q136+R136</f>
        <v/>
      </c>
      <c r="T136">
        <f>Q136*O136</f>
        <v/>
      </c>
      <c r="U136">
        <f>R136*O136</f>
        <v/>
      </c>
      <c r="V136">
        <f>SUMPRODUCT(S137:S543,O137:O543)/(N136*O136)</f>
        <v/>
      </c>
    </row>
    <row r="137">
      <c r="A137" t="n">
        <v>134</v>
      </c>
      <c r="B137">
        <f>A137/Inputs!$B$6</f>
        <v/>
      </c>
      <c r="C137">
        <f>Inputs!$B$3+B137</f>
        <v/>
      </c>
      <c r="D137">
        <f>INT(C137)</f>
        <v/>
      </c>
      <c r="E137">
        <f>Inputs!$B$7+1+INT((A137-1)/Inputs!$B$6)</f>
        <v/>
      </c>
      <c r="F137">
        <f>IFERROR(INDEX(IndexScenario!$B$4:$B$544,MATCH(A137,IndexScenario!$A$4:$A$544,0)),"")</f>
        <v/>
      </c>
      <c r="G137">
        <f>G136*F137/F136</f>
        <v/>
      </c>
      <c r="H137">
        <f>H136*(1+Inputs!$B$17)^(1/12)</f>
        <v/>
      </c>
      <c r="I137">
        <f>IFERROR(INDEX(BaseQx!$B:$B,MATCH(D137,BaseQx!$A:$A,0)),"")</f>
        <v/>
      </c>
      <c r="J137">
        <f>IF(Inputs!$B$13="rp_mp",SUMIFS(MP2016_Long!$C:$C,MP2016_Long!$A:$A,D137,MP2016_Long!$B:$B,"&gt;=2014",MP2016_Long!$B:$B,"&lt;"&amp;E137),0)</f>
        <v/>
      </c>
      <c r="K137">
        <f>MIN(0.999999,MAX(0,I137*EXP(J137)))</f>
        <v/>
      </c>
      <c r="L137">
        <f>-LN(1-K137)</f>
        <v/>
      </c>
      <c r="M137">
        <f>EXP(-L137/Inputs!$B$6)</f>
        <v/>
      </c>
      <c r="N137">
        <f>N136*M137</f>
        <v/>
      </c>
      <c r="O137">
        <f>IFERROR(INDEX(MonthlyCurve!$L:$L,MATCH(A137,MonthlyCurve!$A:$A,0)),"")</f>
        <v/>
      </c>
      <c r="P137">
        <f>IF(B137&gt;0,-LN(O137)/B137,"")</f>
        <v/>
      </c>
      <c r="Q137">
        <f>G137*N137</f>
        <v/>
      </c>
      <c r="R137">
        <f>H137*N137</f>
        <v/>
      </c>
      <c r="S137">
        <f>Q137+R137</f>
        <v/>
      </c>
      <c r="T137">
        <f>Q137*O137</f>
        <v/>
      </c>
      <c r="U137">
        <f>R137*O137</f>
        <v/>
      </c>
      <c r="V137">
        <f>SUMPRODUCT(S138:S543,O138:O543)/(N137*O137)</f>
        <v/>
      </c>
    </row>
    <row r="138">
      <c r="A138" t="n">
        <v>135</v>
      </c>
      <c r="B138">
        <f>A138/Inputs!$B$6</f>
        <v/>
      </c>
      <c r="C138">
        <f>Inputs!$B$3+B138</f>
        <v/>
      </c>
      <c r="D138">
        <f>INT(C138)</f>
        <v/>
      </c>
      <c r="E138">
        <f>Inputs!$B$7+1+INT((A138-1)/Inputs!$B$6)</f>
        <v/>
      </c>
      <c r="F138">
        <f>IFERROR(INDEX(IndexScenario!$B$4:$B$544,MATCH(A138,IndexScenario!$A$4:$A$544,0)),"")</f>
        <v/>
      </c>
      <c r="G138">
        <f>G137*F138/F137</f>
        <v/>
      </c>
      <c r="H138">
        <f>H137*(1+Inputs!$B$17)^(1/12)</f>
        <v/>
      </c>
      <c r="I138">
        <f>IFERROR(INDEX(BaseQx!$B:$B,MATCH(D138,BaseQx!$A:$A,0)),"")</f>
        <v/>
      </c>
      <c r="J138">
        <f>IF(Inputs!$B$13="rp_mp",SUMIFS(MP2016_Long!$C:$C,MP2016_Long!$A:$A,D138,MP2016_Long!$B:$B,"&gt;=2014",MP2016_Long!$B:$B,"&lt;"&amp;E138),0)</f>
        <v/>
      </c>
      <c r="K138">
        <f>MIN(0.999999,MAX(0,I138*EXP(J138)))</f>
        <v/>
      </c>
      <c r="L138">
        <f>-LN(1-K138)</f>
        <v/>
      </c>
      <c r="M138">
        <f>EXP(-L138/Inputs!$B$6)</f>
        <v/>
      </c>
      <c r="N138">
        <f>N137*M138</f>
        <v/>
      </c>
      <c r="O138">
        <f>IFERROR(INDEX(MonthlyCurve!$L:$L,MATCH(A138,MonthlyCurve!$A:$A,0)),"")</f>
        <v/>
      </c>
      <c r="P138">
        <f>IF(B138&gt;0,-LN(O138)/B138,"")</f>
        <v/>
      </c>
      <c r="Q138">
        <f>G138*N138</f>
        <v/>
      </c>
      <c r="R138">
        <f>H138*N138</f>
        <v/>
      </c>
      <c r="S138">
        <f>Q138+R138</f>
        <v/>
      </c>
      <c r="T138">
        <f>Q138*O138</f>
        <v/>
      </c>
      <c r="U138">
        <f>R138*O138</f>
        <v/>
      </c>
      <c r="V138">
        <f>SUMPRODUCT(S139:S543,O139:O543)/(N138*O138)</f>
        <v/>
      </c>
    </row>
    <row r="139">
      <c r="A139" t="n">
        <v>136</v>
      </c>
      <c r="B139">
        <f>A139/Inputs!$B$6</f>
        <v/>
      </c>
      <c r="C139">
        <f>Inputs!$B$3+B139</f>
        <v/>
      </c>
      <c r="D139">
        <f>INT(C139)</f>
        <v/>
      </c>
      <c r="E139">
        <f>Inputs!$B$7+1+INT((A139-1)/Inputs!$B$6)</f>
        <v/>
      </c>
      <c r="F139">
        <f>IFERROR(INDEX(IndexScenario!$B$4:$B$544,MATCH(A139,IndexScenario!$A$4:$A$544,0)),"")</f>
        <v/>
      </c>
      <c r="G139">
        <f>G138*F139/F138</f>
        <v/>
      </c>
      <c r="H139">
        <f>H138*(1+Inputs!$B$17)^(1/12)</f>
        <v/>
      </c>
      <c r="I139">
        <f>IFERROR(INDEX(BaseQx!$B:$B,MATCH(D139,BaseQx!$A:$A,0)),"")</f>
        <v/>
      </c>
      <c r="J139">
        <f>IF(Inputs!$B$13="rp_mp",SUMIFS(MP2016_Long!$C:$C,MP2016_Long!$A:$A,D139,MP2016_Long!$B:$B,"&gt;=2014",MP2016_Long!$B:$B,"&lt;"&amp;E139),0)</f>
        <v/>
      </c>
      <c r="K139">
        <f>MIN(0.999999,MAX(0,I139*EXP(J139)))</f>
        <v/>
      </c>
      <c r="L139">
        <f>-LN(1-K139)</f>
        <v/>
      </c>
      <c r="M139">
        <f>EXP(-L139/Inputs!$B$6)</f>
        <v/>
      </c>
      <c r="N139">
        <f>N138*M139</f>
        <v/>
      </c>
      <c r="O139">
        <f>IFERROR(INDEX(MonthlyCurve!$L:$L,MATCH(A139,MonthlyCurve!$A:$A,0)),"")</f>
        <v/>
      </c>
      <c r="P139">
        <f>IF(B139&gt;0,-LN(O139)/B139,"")</f>
        <v/>
      </c>
      <c r="Q139">
        <f>G139*N139</f>
        <v/>
      </c>
      <c r="R139">
        <f>H139*N139</f>
        <v/>
      </c>
      <c r="S139">
        <f>Q139+R139</f>
        <v/>
      </c>
      <c r="T139">
        <f>Q139*O139</f>
        <v/>
      </c>
      <c r="U139">
        <f>R139*O139</f>
        <v/>
      </c>
      <c r="V139">
        <f>SUMPRODUCT(S140:S543,O140:O543)/(N139*O139)</f>
        <v/>
      </c>
    </row>
    <row r="140">
      <c r="A140" t="n">
        <v>137</v>
      </c>
      <c r="B140">
        <f>A140/Inputs!$B$6</f>
        <v/>
      </c>
      <c r="C140">
        <f>Inputs!$B$3+B140</f>
        <v/>
      </c>
      <c r="D140">
        <f>INT(C140)</f>
        <v/>
      </c>
      <c r="E140">
        <f>Inputs!$B$7+1+INT((A140-1)/Inputs!$B$6)</f>
        <v/>
      </c>
      <c r="F140">
        <f>IFERROR(INDEX(IndexScenario!$B$4:$B$544,MATCH(A140,IndexScenario!$A$4:$A$544,0)),"")</f>
        <v/>
      </c>
      <c r="G140">
        <f>G139*F140/F139</f>
        <v/>
      </c>
      <c r="H140">
        <f>H139*(1+Inputs!$B$17)^(1/12)</f>
        <v/>
      </c>
      <c r="I140">
        <f>IFERROR(INDEX(BaseQx!$B:$B,MATCH(D140,BaseQx!$A:$A,0)),"")</f>
        <v/>
      </c>
      <c r="J140">
        <f>IF(Inputs!$B$13="rp_mp",SUMIFS(MP2016_Long!$C:$C,MP2016_Long!$A:$A,D140,MP2016_Long!$B:$B,"&gt;=2014",MP2016_Long!$B:$B,"&lt;"&amp;E140),0)</f>
        <v/>
      </c>
      <c r="K140">
        <f>MIN(0.999999,MAX(0,I140*EXP(J140)))</f>
        <v/>
      </c>
      <c r="L140">
        <f>-LN(1-K140)</f>
        <v/>
      </c>
      <c r="M140">
        <f>EXP(-L140/Inputs!$B$6)</f>
        <v/>
      </c>
      <c r="N140">
        <f>N139*M140</f>
        <v/>
      </c>
      <c r="O140">
        <f>IFERROR(INDEX(MonthlyCurve!$L:$L,MATCH(A140,MonthlyCurve!$A:$A,0)),"")</f>
        <v/>
      </c>
      <c r="P140">
        <f>IF(B140&gt;0,-LN(O140)/B140,"")</f>
        <v/>
      </c>
      <c r="Q140">
        <f>G140*N140</f>
        <v/>
      </c>
      <c r="R140">
        <f>H140*N140</f>
        <v/>
      </c>
      <c r="S140">
        <f>Q140+R140</f>
        <v/>
      </c>
      <c r="T140">
        <f>Q140*O140</f>
        <v/>
      </c>
      <c r="U140">
        <f>R140*O140</f>
        <v/>
      </c>
      <c r="V140">
        <f>SUMPRODUCT(S141:S543,O141:O543)/(N140*O140)</f>
        <v/>
      </c>
    </row>
    <row r="141">
      <c r="A141" t="n">
        <v>138</v>
      </c>
      <c r="B141">
        <f>A141/Inputs!$B$6</f>
        <v/>
      </c>
      <c r="C141">
        <f>Inputs!$B$3+B141</f>
        <v/>
      </c>
      <c r="D141">
        <f>INT(C141)</f>
        <v/>
      </c>
      <c r="E141">
        <f>Inputs!$B$7+1+INT((A141-1)/Inputs!$B$6)</f>
        <v/>
      </c>
      <c r="F141">
        <f>IFERROR(INDEX(IndexScenario!$B$4:$B$544,MATCH(A141,IndexScenario!$A$4:$A$544,0)),"")</f>
        <v/>
      </c>
      <c r="G141">
        <f>G140*F141/F140</f>
        <v/>
      </c>
      <c r="H141">
        <f>H140*(1+Inputs!$B$17)^(1/12)</f>
        <v/>
      </c>
      <c r="I141">
        <f>IFERROR(INDEX(BaseQx!$B:$B,MATCH(D141,BaseQx!$A:$A,0)),"")</f>
        <v/>
      </c>
      <c r="J141">
        <f>IF(Inputs!$B$13="rp_mp",SUMIFS(MP2016_Long!$C:$C,MP2016_Long!$A:$A,D141,MP2016_Long!$B:$B,"&gt;=2014",MP2016_Long!$B:$B,"&lt;"&amp;E141),0)</f>
        <v/>
      </c>
      <c r="K141">
        <f>MIN(0.999999,MAX(0,I141*EXP(J141)))</f>
        <v/>
      </c>
      <c r="L141">
        <f>-LN(1-K141)</f>
        <v/>
      </c>
      <c r="M141">
        <f>EXP(-L141/Inputs!$B$6)</f>
        <v/>
      </c>
      <c r="N141">
        <f>N140*M141</f>
        <v/>
      </c>
      <c r="O141">
        <f>IFERROR(INDEX(MonthlyCurve!$L:$L,MATCH(A141,MonthlyCurve!$A:$A,0)),"")</f>
        <v/>
      </c>
      <c r="P141">
        <f>IF(B141&gt;0,-LN(O141)/B141,"")</f>
        <v/>
      </c>
      <c r="Q141">
        <f>G141*N141</f>
        <v/>
      </c>
      <c r="R141">
        <f>H141*N141</f>
        <v/>
      </c>
      <c r="S141">
        <f>Q141+R141</f>
        <v/>
      </c>
      <c r="T141">
        <f>Q141*O141</f>
        <v/>
      </c>
      <c r="U141">
        <f>R141*O141</f>
        <v/>
      </c>
      <c r="V141">
        <f>SUMPRODUCT(S142:S543,O142:O543)/(N141*O141)</f>
        <v/>
      </c>
    </row>
    <row r="142">
      <c r="A142" t="n">
        <v>139</v>
      </c>
      <c r="B142">
        <f>A142/Inputs!$B$6</f>
        <v/>
      </c>
      <c r="C142">
        <f>Inputs!$B$3+B142</f>
        <v/>
      </c>
      <c r="D142">
        <f>INT(C142)</f>
        <v/>
      </c>
      <c r="E142">
        <f>Inputs!$B$7+1+INT((A142-1)/Inputs!$B$6)</f>
        <v/>
      </c>
      <c r="F142">
        <f>IFERROR(INDEX(IndexScenario!$B$4:$B$544,MATCH(A142,IndexScenario!$A$4:$A$544,0)),"")</f>
        <v/>
      </c>
      <c r="G142">
        <f>G141*F142/F141</f>
        <v/>
      </c>
      <c r="H142">
        <f>H141*(1+Inputs!$B$17)^(1/12)</f>
        <v/>
      </c>
      <c r="I142">
        <f>IFERROR(INDEX(BaseQx!$B:$B,MATCH(D142,BaseQx!$A:$A,0)),"")</f>
        <v/>
      </c>
      <c r="J142">
        <f>IF(Inputs!$B$13="rp_mp",SUMIFS(MP2016_Long!$C:$C,MP2016_Long!$A:$A,D142,MP2016_Long!$B:$B,"&gt;=2014",MP2016_Long!$B:$B,"&lt;"&amp;E142),0)</f>
        <v/>
      </c>
      <c r="K142">
        <f>MIN(0.999999,MAX(0,I142*EXP(J142)))</f>
        <v/>
      </c>
      <c r="L142">
        <f>-LN(1-K142)</f>
        <v/>
      </c>
      <c r="M142">
        <f>EXP(-L142/Inputs!$B$6)</f>
        <v/>
      </c>
      <c r="N142">
        <f>N141*M142</f>
        <v/>
      </c>
      <c r="O142">
        <f>IFERROR(INDEX(MonthlyCurve!$L:$L,MATCH(A142,MonthlyCurve!$A:$A,0)),"")</f>
        <v/>
      </c>
      <c r="P142">
        <f>IF(B142&gt;0,-LN(O142)/B142,"")</f>
        <v/>
      </c>
      <c r="Q142">
        <f>G142*N142</f>
        <v/>
      </c>
      <c r="R142">
        <f>H142*N142</f>
        <v/>
      </c>
      <c r="S142">
        <f>Q142+R142</f>
        <v/>
      </c>
      <c r="T142">
        <f>Q142*O142</f>
        <v/>
      </c>
      <c r="U142">
        <f>R142*O142</f>
        <v/>
      </c>
      <c r="V142">
        <f>SUMPRODUCT(S143:S543,O143:O543)/(N142*O142)</f>
        <v/>
      </c>
    </row>
    <row r="143">
      <c r="A143" t="n">
        <v>140</v>
      </c>
      <c r="B143">
        <f>A143/Inputs!$B$6</f>
        <v/>
      </c>
      <c r="C143">
        <f>Inputs!$B$3+B143</f>
        <v/>
      </c>
      <c r="D143">
        <f>INT(C143)</f>
        <v/>
      </c>
      <c r="E143">
        <f>Inputs!$B$7+1+INT((A143-1)/Inputs!$B$6)</f>
        <v/>
      </c>
      <c r="F143">
        <f>IFERROR(INDEX(IndexScenario!$B$4:$B$544,MATCH(A143,IndexScenario!$A$4:$A$544,0)),"")</f>
        <v/>
      </c>
      <c r="G143">
        <f>G142*F143/F142</f>
        <v/>
      </c>
      <c r="H143">
        <f>H142*(1+Inputs!$B$17)^(1/12)</f>
        <v/>
      </c>
      <c r="I143">
        <f>IFERROR(INDEX(BaseQx!$B:$B,MATCH(D143,BaseQx!$A:$A,0)),"")</f>
        <v/>
      </c>
      <c r="J143">
        <f>IF(Inputs!$B$13="rp_mp",SUMIFS(MP2016_Long!$C:$C,MP2016_Long!$A:$A,D143,MP2016_Long!$B:$B,"&gt;=2014",MP2016_Long!$B:$B,"&lt;"&amp;E143),0)</f>
        <v/>
      </c>
      <c r="K143">
        <f>MIN(0.999999,MAX(0,I143*EXP(J143)))</f>
        <v/>
      </c>
      <c r="L143">
        <f>-LN(1-K143)</f>
        <v/>
      </c>
      <c r="M143">
        <f>EXP(-L143/Inputs!$B$6)</f>
        <v/>
      </c>
      <c r="N143">
        <f>N142*M143</f>
        <v/>
      </c>
      <c r="O143">
        <f>IFERROR(INDEX(MonthlyCurve!$L:$L,MATCH(A143,MonthlyCurve!$A:$A,0)),"")</f>
        <v/>
      </c>
      <c r="P143">
        <f>IF(B143&gt;0,-LN(O143)/B143,"")</f>
        <v/>
      </c>
      <c r="Q143">
        <f>G143*N143</f>
        <v/>
      </c>
      <c r="R143">
        <f>H143*N143</f>
        <v/>
      </c>
      <c r="S143">
        <f>Q143+R143</f>
        <v/>
      </c>
      <c r="T143">
        <f>Q143*O143</f>
        <v/>
      </c>
      <c r="U143">
        <f>R143*O143</f>
        <v/>
      </c>
      <c r="V143">
        <f>SUMPRODUCT(S144:S543,O144:O543)/(N143*O143)</f>
        <v/>
      </c>
    </row>
    <row r="144">
      <c r="A144" t="n">
        <v>141</v>
      </c>
      <c r="B144">
        <f>A144/Inputs!$B$6</f>
        <v/>
      </c>
      <c r="C144">
        <f>Inputs!$B$3+B144</f>
        <v/>
      </c>
      <c r="D144">
        <f>INT(C144)</f>
        <v/>
      </c>
      <c r="E144">
        <f>Inputs!$B$7+1+INT((A144-1)/Inputs!$B$6)</f>
        <v/>
      </c>
      <c r="F144">
        <f>IFERROR(INDEX(IndexScenario!$B$4:$B$544,MATCH(A144,IndexScenario!$A$4:$A$544,0)),"")</f>
        <v/>
      </c>
      <c r="G144">
        <f>G143*F144/F143</f>
        <v/>
      </c>
      <c r="H144">
        <f>H143*(1+Inputs!$B$17)^(1/12)</f>
        <v/>
      </c>
      <c r="I144">
        <f>IFERROR(INDEX(BaseQx!$B:$B,MATCH(D144,BaseQx!$A:$A,0)),"")</f>
        <v/>
      </c>
      <c r="J144">
        <f>IF(Inputs!$B$13="rp_mp",SUMIFS(MP2016_Long!$C:$C,MP2016_Long!$A:$A,D144,MP2016_Long!$B:$B,"&gt;=2014",MP2016_Long!$B:$B,"&lt;"&amp;E144),0)</f>
        <v/>
      </c>
      <c r="K144">
        <f>MIN(0.999999,MAX(0,I144*EXP(J144)))</f>
        <v/>
      </c>
      <c r="L144">
        <f>-LN(1-K144)</f>
        <v/>
      </c>
      <c r="M144">
        <f>EXP(-L144/Inputs!$B$6)</f>
        <v/>
      </c>
      <c r="N144">
        <f>N143*M144</f>
        <v/>
      </c>
      <c r="O144">
        <f>IFERROR(INDEX(MonthlyCurve!$L:$L,MATCH(A144,MonthlyCurve!$A:$A,0)),"")</f>
        <v/>
      </c>
      <c r="P144">
        <f>IF(B144&gt;0,-LN(O144)/B144,"")</f>
        <v/>
      </c>
      <c r="Q144">
        <f>G144*N144</f>
        <v/>
      </c>
      <c r="R144">
        <f>H144*N144</f>
        <v/>
      </c>
      <c r="S144">
        <f>Q144+R144</f>
        <v/>
      </c>
      <c r="T144">
        <f>Q144*O144</f>
        <v/>
      </c>
      <c r="U144">
        <f>R144*O144</f>
        <v/>
      </c>
      <c r="V144">
        <f>SUMPRODUCT(S145:S543,O145:O543)/(N144*O144)</f>
        <v/>
      </c>
    </row>
    <row r="145">
      <c r="A145" t="n">
        <v>142</v>
      </c>
      <c r="B145">
        <f>A145/Inputs!$B$6</f>
        <v/>
      </c>
      <c r="C145">
        <f>Inputs!$B$3+B145</f>
        <v/>
      </c>
      <c r="D145">
        <f>INT(C145)</f>
        <v/>
      </c>
      <c r="E145">
        <f>Inputs!$B$7+1+INT((A145-1)/Inputs!$B$6)</f>
        <v/>
      </c>
      <c r="F145">
        <f>IFERROR(INDEX(IndexScenario!$B$4:$B$544,MATCH(A145,IndexScenario!$A$4:$A$544,0)),"")</f>
        <v/>
      </c>
      <c r="G145">
        <f>G144*F145/F144</f>
        <v/>
      </c>
      <c r="H145">
        <f>H144*(1+Inputs!$B$17)^(1/12)</f>
        <v/>
      </c>
      <c r="I145">
        <f>IFERROR(INDEX(BaseQx!$B:$B,MATCH(D145,BaseQx!$A:$A,0)),"")</f>
        <v/>
      </c>
      <c r="J145">
        <f>IF(Inputs!$B$13="rp_mp",SUMIFS(MP2016_Long!$C:$C,MP2016_Long!$A:$A,D145,MP2016_Long!$B:$B,"&gt;=2014",MP2016_Long!$B:$B,"&lt;"&amp;E145),0)</f>
        <v/>
      </c>
      <c r="K145">
        <f>MIN(0.999999,MAX(0,I145*EXP(J145)))</f>
        <v/>
      </c>
      <c r="L145">
        <f>-LN(1-K145)</f>
        <v/>
      </c>
      <c r="M145">
        <f>EXP(-L145/Inputs!$B$6)</f>
        <v/>
      </c>
      <c r="N145">
        <f>N144*M145</f>
        <v/>
      </c>
      <c r="O145">
        <f>IFERROR(INDEX(MonthlyCurve!$L:$L,MATCH(A145,MonthlyCurve!$A:$A,0)),"")</f>
        <v/>
      </c>
      <c r="P145">
        <f>IF(B145&gt;0,-LN(O145)/B145,"")</f>
        <v/>
      </c>
      <c r="Q145">
        <f>G145*N145</f>
        <v/>
      </c>
      <c r="R145">
        <f>H145*N145</f>
        <v/>
      </c>
      <c r="S145">
        <f>Q145+R145</f>
        <v/>
      </c>
      <c r="T145">
        <f>Q145*O145</f>
        <v/>
      </c>
      <c r="U145">
        <f>R145*O145</f>
        <v/>
      </c>
      <c r="V145">
        <f>SUMPRODUCT(S146:S543,O146:O543)/(N145*O145)</f>
        <v/>
      </c>
    </row>
    <row r="146">
      <c r="A146" t="n">
        <v>143</v>
      </c>
      <c r="B146">
        <f>A146/Inputs!$B$6</f>
        <v/>
      </c>
      <c r="C146">
        <f>Inputs!$B$3+B146</f>
        <v/>
      </c>
      <c r="D146">
        <f>INT(C146)</f>
        <v/>
      </c>
      <c r="E146">
        <f>Inputs!$B$7+1+INT((A146-1)/Inputs!$B$6)</f>
        <v/>
      </c>
      <c r="F146">
        <f>IFERROR(INDEX(IndexScenario!$B$4:$B$544,MATCH(A146,IndexScenario!$A$4:$A$544,0)),"")</f>
        <v/>
      </c>
      <c r="G146">
        <f>G145*F146/F145</f>
        <v/>
      </c>
      <c r="H146">
        <f>H145*(1+Inputs!$B$17)^(1/12)</f>
        <v/>
      </c>
      <c r="I146">
        <f>IFERROR(INDEX(BaseQx!$B:$B,MATCH(D146,BaseQx!$A:$A,0)),"")</f>
        <v/>
      </c>
      <c r="J146">
        <f>IF(Inputs!$B$13="rp_mp",SUMIFS(MP2016_Long!$C:$C,MP2016_Long!$A:$A,D146,MP2016_Long!$B:$B,"&gt;=2014",MP2016_Long!$B:$B,"&lt;"&amp;E146),0)</f>
        <v/>
      </c>
      <c r="K146">
        <f>MIN(0.999999,MAX(0,I146*EXP(J146)))</f>
        <v/>
      </c>
      <c r="L146">
        <f>-LN(1-K146)</f>
        <v/>
      </c>
      <c r="M146">
        <f>EXP(-L146/Inputs!$B$6)</f>
        <v/>
      </c>
      <c r="N146">
        <f>N145*M146</f>
        <v/>
      </c>
      <c r="O146">
        <f>IFERROR(INDEX(MonthlyCurve!$L:$L,MATCH(A146,MonthlyCurve!$A:$A,0)),"")</f>
        <v/>
      </c>
      <c r="P146">
        <f>IF(B146&gt;0,-LN(O146)/B146,"")</f>
        <v/>
      </c>
      <c r="Q146">
        <f>G146*N146</f>
        <v/>
      </c>
      <c r="R146">
        <f>H146*N146</f>
        <v/>
      </c>
      <c r="S146">
        <f>Q146+R146</f>
        <v/>
      </c>
      <c r="T146">
        <f>Q146*O146</f>
        <v/>
      </c>
      <c r="U146">
        <f>R146*O146</f>
        <v/>
      </c>
      <c r="V146">
        <f>SUMPRODUCT(S147:S543,O147:O543)/(N146*O146)</f>
        <v/>
      </c>
    </row>
    <row r="147">
      <c r="A147" t="n">
        <v>144</v>
      </c>
      <c r="B147">
        <f>A147/Inputs!$B$6</f>
        <v/>
      </c>
      <c r="C147">
        <f>Inputs!$B$3+B147</f>
        <v/>
      </c>
      <c r="D147">
        <f>INT(C147)</f>
        <v/>
      </c>
      <c r="E147">
        <f>Inputs!$B$7+1+INT((A147-1)/Inputs!$B$6)</f>
        <v/>
      </c>
      <c r="F147">
        <f>IFERROR(INDEX(IndexScenario!$B$4:$B$544,MATCH(A147,IndexScenario!$A$4:$A$544,0)),"")</f>
        <v/>
      </c>
      <c r="G147">
        <f>G146*F147/F146</f>
        <v/>
      </c>
      <c r="H147">
        <f>H146*(1+Inputs!$B$17)^(1/12)</f>
        <v/>
      </c>
      <c r="I147">
        <f>IFERROR(INDEX(BaseQx!$B:$B,MATCH(D147,BaseQx!$A:$A,0)),"")</f>
        <v/>
      </c>
      <c r="J147">
        <f>IF(Inputs!$B$13="rp_mp",SUMIFS(MP2016_Long!$C:$C,MP2016_Long!$A:$A,D147,MP2016_Long!$B:$B,"&gt;=2014",MP2016_Long!$B:$B,"&lt;"&amp;E147),0)</f>
        <v/>
      </c>
      <c r="K147">
        <f>MIN(0.999999,MAX(0,I147*EXP(J147)))</f>
        <v/>
      </c>
      <c r="L147">
        <f>-LN(1-K147)</f>
        <v/>
      </c>
      <c r="M147">
        <f>EXP(-L147/Inputs!$B$6)</f>
        <v/>
      </c>
      <c r="N147">
        <f>N146*M147</f>
        <v/>
      </c>
      <c r="O147">
        <f>IFERROR(INDEX(MonthlyCurve!$L:$L,MATCH(A147,MonthlyCurve!$A:$A,0)),"")</f>
        <v/>
      </c>
      <c r="P147">
        <f>IF(B147&gt;0,-LN(O147)/B147,"")</f>
        <v/>
      </c>
      <c r="Q147">
        <f>G147*N147</f>
        <v/>
      </c>
      <c r="R147">
        <f>H147*N147</f>
        <v/>
      </c>
      <c r="S147">
        <f>Q147+R147</f>
        <v/>
      </c>
      <c r="T147">
        <f>Q147*O147</f>
        <v/>
      </c>
      <c r="U147">
        <f>R147*O147</f>
        <v/>
      </c>
      <c r="V147">
        <f>SUMPRODUCT(S148:S543,O148:O543)/(N147*O147)</f>
        <v/>
      </c>
    </row>
    <row r="148">
      <c r="A148" t="n">
        <v>145</v>
      </c>
      <c r="B148">
        <f>A148/Inputs!$B$6</f>
        <v/>
      </c>
      <c r="C148">
        <f>Inputs!$B$3+B148</f>
        <v/>
      </c>
      <c r="D148">
        <f>INT(C148)</f>
        <v/>
      </c>
      <c r="E148">
        <f>Inputs!$B$7+1+INT((A148-1)/Inputs!$B$6)</f>
        <v/>
      </c>
      <c r="F148">
        <f>IFERROR(INDEX(IndexScenario!$B$4:$B$544,MATCH(A148,IndexScenario!$A$4:$A$544,0)),"")</f>
        <v/>
      </c>
      <c r="G148">
        <f>G147*F148/F147</f>
        <v/>
      </c>
      <c r="H148">
        <f>H147*(1+Inputs!$B$17)^(1/12)</f>
        <v/>
      </c>
      <c r="I148">
        <f>IFERROR(INDEX(BaseQx!$B:$B,MATCH(D148,BaseQx!$A:$A,0)),"")</f>
        <v/>
      </c>
      <c r="J148">
        <f>IF(Inputs!$B$13="rp_mp",SUMIFS(MP2016_Long!$C:$C,MP2016_Long!$A:$A,D148,MP2016_Long!$B:$B,"&gt;=2014",MP2016_Long!$B:$B,"&lt;"&amp;E148),0)</f>
        <v/>
      </c>
      <c r="K148">
        <f>MIN(0.999999,MAX(0,I148*EXP(J148)))</f>
        <v/>
      </c>
      <c r="L148">
        <f>-LN(1-K148)</f>
        <v/>
      </c>
      <c r="M148">
        <f>EXP(-L148/Inputs!$B$6)</f>
        <v/>
      </c>
      <c r="N148">
        <f>N147*M148</f>
        <v/>
      </c>
      <c r="O148">
        <f>IFERROR(INDEX(MonthlyCurve!$L:$L,MATCH(A148,MonthlyCurve!$A:$A,0)),"")</f>
        <v/>
      </c>
      <c r="P148">
        <f>IF(B148&gt;0,-LN(O148)/B148,"")</f>
        <v/>
      </c>
      <c r="Q148">
        <f>G148*N148</f>
        <v/>
      </c>
      <c r="R148">
        <f>H148*N148</f>
        <v/>
      </c>
      <c r="S148">
        <f>Q148+R148</f>
        <v/>
      </c>
      <c r="T148">
        <f>Q148*O148</f>
        <v/>
      </c>
      <c r="U148">
        <f>R148*O148</f>
        <v/>
      </c>
      <c r="V148">
        <f>SUMPRODUCT(S149:S543,O149:O543)/(N148*O148)</f>
        <v/>
      </c>
    </row>
    <row r="149">
      <c r="A149" t="n">
        <v>146</v>
      </c>
      <c r="B149">
        <f>A149/Inputs!$B$6</f>
        <v/>
      </c>
      <c r="C149">
        <f>Inputs!$B$3+B149</f>
        <v/>
      </c>
      <c r="D149">
        <f>INT(C149)</f>
        <v/>
      </c>
      <c r="E149">
        <f>Inputs!$B$7+1+INT((A149-1)/Inputs!$B$6)</f>
        <v/>
      </c>
      <c r="F149">
        <f>IFERROR(INDEX(IndexScenario!$B$4:$B$544,MATCH(A149,IndexScenario!$A$4:$A$544,0)),"")</f>
        <v/>
      </c>
      <c r="G149">
        <f>G148*F149/F148</f>
        <v/>
      </c>
      <c r="H149">
        <f>H148*(1+Inputs!$B$17)^(1/12)</f>
        <v/>
      </c>
      <c r="I149">
        <f>IFERROR(INDEX(BaseQx!$B:$B,MATCH(D149,BaseQx!$A:$A,0)),"")</f>
        <v/>
      </c>
      <c r="J149">
        <f>IF(Inputs!$B$13="rp_mp",SUMIFS(MP2016_Long!$C:$C,MP2016_Long!$A:$A,D149,MP2016_Long!$B:$B,"&gt;=2014",MP2016_Long!$B:$B,"&lt;"&amp;E149),0)</f>
        <v/>
      </c>
      <c r="K149">
        <f>MIN(0.999999,MAX(0,I149*EXP(J149)))</f>
        <v/>
      </c>
      <c r="L149">
        <f>-LN(1-K149)</f>
        <v/>
      </c>
      <c r="M149">
        <f>EXP(-L149/Inputs!$B$6)</f>
        <v/>
      </c>
      <c r="N149">
        <f>N148*M149</f>
        <v/>
      </c>
      <c r="O149">
        <f>IFERROR(INDEX(MonthlyCurve!$L:$L,MATCH(A149,MonthlyCurve!$A:$A,0)),"")</f>
        <v/>
      </c>
      <c r="P149">
        <f>IF(B149&gt;0,-LN(O149)/B149,"")</f>
        <v/>
      </c>
      <c r="Q149">
        <f>G149*N149</f>
        <v/>
      </c>
      <c r="R149">
        <f>H149*N149</f>
        <v/>
      </c>
      <c r="S149">
        <f>Q149+R149</f>
        <v/>
      </c>
      <c r="T149">
        <f>Q149*O149</f>
        <v/>
      </c>
      <c r="U149">
        <f>R149*O149</f>
        <v/>
      </c>
      <c r="V149">
        <f>SUMPRODUCT(S150:S543,O150:O543)/(N149*O149)</f>
        <v/>
      </c>
    </row>
    <row r="150">
      <c r="A150" t="n">
        <v>147</v>
      </c>
      <c r="B150">
        <f>A150/Inputs!$B$6</f>
        <v/>
      </c>
      <c r="C150">
        <f>Inputs!$B$3+B150</f>
        <v/>
      </c>
      <c r="D150">
        <f>INT(C150)</f>
        <v/>
      </c>
      <c r="E150">
        <f>Inputs!$B$7+1+INT((A150-1)/Inputs!$B$6)</f>
        <v/>
      </c>
      <c r="F150">
        <f>IFERROR(INDEX(IndexScenario!$B$4:$B$544,MATCH(A150,IndexScenario!$A$4:$A$544,0)),"")</f>
        <v/>
      </c>
      <c r="G150">
        <f>G149*F150/F149</f>
        <v/>
      </c>
      <c r="H150">
        <f>H149*(1+Inputs!$B$17)^(1/12)</f>
        <v/>
      </c>
      <c r="I150">
        <f>IFERROR(INDEX(BaseQx!$B:$B,MATCH(D150,BaseQx!$A:$A,0)),"")</f>
        <v/>
      </c>
      <c r="J150">
        <f>IF(Inputs!$B$13="rp_mp",SUMIFS(MP2016_Long!$C:$C,MP2016_Long!$A:$A,D150,MP2016_Long!$B:$B,"&gt;=2014",MP2016_Long!$B:$B,"&lt;"&amp;E150),0)</f>
        <v/>
      </c>
      <c r="K150">
        <f>MIN(0.999999,MAX(0,I150*EXP(J150)))</f>
        <v/>
      </c>
      <c r="L150">
        <f>-LN(1-K150)</f>
        <v/>
      </c>
      <c r="M150">
        <f>EXP(-L150/Inputs!$B$6)</f>
        <v/>
      </c>
      <c r="N150">
        <f>N149*M150</f>
        <v/>
      </c>
      <c r="O150">
        <f>IFERROR(INDEX(MonthlyCurve!$L:$L,MATCH(A150,MonthlyCurve!$A:$A,0)),"")</f>
        <v/>
      </c>
      <c r="P150">
        <f>IF(B150&gt;0,-LN(O150)/B150,"")</f>
        <v/>
      </c>
      <c r="Q150">
        <f>G150*N150</f>
        <v/>
      </c>
      <c r="R150">
        <f>H150*N150</f>
        <v/>
      </c>
      <c r="S150">
        <f>Q150+R150</f>
        <v/>
      </c>
      <c r="T150">
        <f>Q150*O150</f>
        <v/>
      </c>
      <c r="U150">
        <f>R150*O150</f>
        <v/>
      </c>
      <c r="V150">
        <f>SUMPRODUCT(S151:S543,O151:O543)/(N150*O150)</f>
        <v/>
      </c>
    </row>
    <row r="151">
      <c r="A151" t="n">
        <v>148</v>
      </c>
      <c r="B151">
        <f>A151/Inputs!$B$6</f>
        <v/>
      </c>
      <c r="C151">
        <f>Inputs!$B$3+B151</f>
        <v/>
      </c>
      <c r="D151">
        <f>INT(C151)</f>
        <v/>
      </c>
      <c r="E151">
        <f>Inputs!$B$7+1+INT((A151-1)/Inputs!$B$6)</f>
        <v/>
      </c>
      <c r="F151">
        <f>IFERROR(INDEX(IndexScenario!$B$4:$B$544,MATCH(A151,IndexScenario!$A$4:$A$544,0)),"")</f>
        <v/>
      </c>
      <c r="G151">
        <f>G150*F151/F150</f>
        <v/>
      </c>
      <c r="H151">
        <f>H150*(1+Inputs!$B$17)^(1/12)</f>
        <v/>
      </c>
      <c r="I151">
        <f>IFERROR(INDEX(BaseQx!$B:$B,MATCH(D151,BaseQx!$A:$A,0)),"")</f>
        <v/>
      </c>
      <c r="J151">
        <f>IF(Inputs!$B$13="rp_mp",SUMIFS(MP2016_Long!$C:$C,MP2016_Long!$A:$A,D151,MP2016_Long!$B:$B,"&gt;=2014",MP2016_Long!$B:$B,"&lt;"&amp;E151),0)</f>
        <v/>
      </c>
      <c r="K151">
        <f>MIN(0.999999,MAX(0,I151*EXP(J151)))</f>
        <v/>
      </c>
      <c r="L151">
        <f>-LN(1-K151)</f>
        <v/>
      </c>
      <c r="M151">
        <f>EXP(-L151/Inputs!$B$6)</f>
        <v/>
      </c>
      <c r="N151">
        <f>N150*M151</f>
        <v/>
      </c>
      <c r="O151">
        <f>IFERROR(INDEX(MonthlyCurve!$L:$L,MATCH(A151,MonthlyCurve!$A:$A,0)),"")</f>
        <v/>
      </c>
      <c r="P151">
        <f>IF(B151&gt;0,-LN(O151)/B151,"")</f>
        <v/>
      </c>
      <c r="Q151">
        <f>G151*N151</f>
        <v/>
      </c>
      <c r="R151">
        <f>H151*N151</f>
        <v/>
      </c>
      <c r="S151">
        <f>Q151+R151</f>
        <v/>
      </c>
      <c r="T151">
        <f>Q151*O151</f>
        <v/>
      </c>
      <c r="U151">
        <f>R151*O151</f>
        <v/>
      </c>
      <c r="V151">
        <f>SUMPRODUCT(S152:S543,O152:O543)/(N151*O151)</f>
        <v/>
      </c>
    </row>
    <row r="152">
      <c r="A152" t="n">
        <v>149</v>
      </c>
      <c r="B152">
        <f>A152/Inputs!$B$6</f>
        <v/>
      </c>
      <c r="C152">
        <f>Inputs!$B$3+B152</f>
        <v/>
      </c>
      <c r="D152">
        <f>INT(C152)</f>
        <v/>
      </c>
      <c r="E152">
        <f>Inputs!$B$7+1+INT((A152-1)/Inputs!$B$6)</f>
        <v/>
      </c>
      <c r="F152">
        <f>IFERROR(INDEX(IndexScenario!$B$4:$B$544,MATCH(A152,IndexScenario!$A$4:$A$544,0)),"")</f>
        <v/>
      </c>
      <c r="G152">
        <f>G151*F152/F151</f>
        <v/>
      </c>
      <c r="H152">
        <f>H151*(1+Inputs!$B$17)^(1/12)</f>
        <v/>
      </c>
      <c r="I152">
        <f>IFERROR(INDEX(BaseQx!$B:$B,MATCH(D152,BaseQx!$A:$A,0)),"")</f>
        <v/>
      </c>
      <c r="J152">
        <f>IF(Inputs!$B$13="rp_mp",SUMIFS(MP2016_Long!$C:$C,MP2016_Long!$A:$A,D152,MP2016_Long!$B:$B,"&gt;=2014",MP2016_Long!$B:$B,"&lt;"&amp;E152),0)</f>
        <v/>
      </c>
      <c r="K152">
        <f>MIN(0.999999,MAX(0,I152*EXP(J152)))</f>
        <v/>
      </c>
      <c r="L152">
        <f>-LN(1-K152)</f>
        <v/>
      </c>
      <c r="M152">
        <f>EXP(-L152/Inputs!$B$6)</f>
        <v/>
      </c>
      <c r="N152">
        <f>N151*M152</f>
        <v/>
      </c>
      <c r="O152">
        <f>IFERROR(INDEX(MonthlyCurve!$L:$L,MATCH(A152,MonthlyCurve!$A:$A,0)),"")</f>
        <v/>
      </c>
      <c r="P152">
        <f>IF(B152&gt;0,-LN(O152)/B152,"")</f>
        <v/>
      </c>
      <c r="Q152">
        <f>G152*N152</f>
        <v/>
      </c>
      <c r="R152">
        <f>H152*N152</f>
        <v/>
      </c>
      <c r="S152">
        <f>Q152+R152</f>
        <v/>
      </c>
      <c r="T152">
        <f>Q152*O152</f>
        <v/>
      </c>
      <c r="U152">
        <f>R152*O152</f>
        <v/>
      </c>
      <c r="V152">
        <f>SUMPRODUCT(S153:S543,O153:O543)/(N152*O152)</f>
        <v/>
      </c>
    </row>
    <row r="153">
      <c r="A153" t="n">
        <v>150</v>
      </c>
      <c r="B153">
        <f>A153/Inputs!$B$6</f>
        <v/>
      </c>
      <c r="C153">
        <f>Inputs!$B$3+B153</f>
        <v/>
      </c>
      <c r="D153">
        <f>INT(C153)</f>
        <v/>
      </c>
      <c r="E153">
        <f>Inputs!$B$7+1+INT((A153-1)/Inputs!$B$6)</f>
        <v/>
      </c>
      <c r="F153">
        <f>IFERROR(INDEX(IndexScenario!$B$4:$B$544,MATCH(A153,IndexScenario!$A$4:$A$544,0)),"")</f>
        <v/>
      </c>
      <c r="G153">
        <f>G152*F153/F152</f>
        <v/>
      </c>
      <c r="H153">
        <f>H152*(1+Inputs!$B$17)^(1/12)</f>
        <v/>
      </c>
      <c r="I153">
        <f>IFERROR(INDEX(BaseQx!$B:$B,MATCH(D153,BaseQx!$A:$A,0)),"")</f>
        <v/>
      </c>
      <c r="J153">
        <f>IF(Inputs!$B$13="rp_mp",SUMIFS(MP2016_Long!$C:$C,MP2016_Long!$A:$A,D153,MP2016_Long!$B:$B,"&gt;=2014",MP2016_Long!$B:$B,"&lt;"&amp;E153),0)</f>
        <v/>
      </c>
      <c r="K153">
        <f>MIN(0.999999,MAX(0,I153*EXP(J153)))</f>
        <v/>
      </c>
      <c r="L153">
        <f>-LN(1-K153)</f>
        <v/>
      </c>
      <c r="M153">
        <f>EXP(-L153/Inputs!$B$6)</f>
        <v/>
      </c>
      <c r="N153">
        <f>N152*M153</f>
        <v/>
      </c>
      <c r="O153">
        <f>IFERROR(INDEX(MonthlyCurve!$L:$L,MATCH(A153,MonthlyCurve!$A:$A,0)),"")</f>
        <v/>
      </c>
      <c r="P153">
        <f>IF(B153&gt;0,-LN(O153)/B153,"")</f>
        <v/>
      </c>
      <c r="Q153">
        <f>G153*N153</f>
        <v/>
      </c>
      <c r="R153">
        <f>H153*N153</f>
        <v/>
      </c>
      <c r="S153">
        <f>Q153+R153</f>
        <v/>
      </c>
      <c r="T153">
        <f>Q153*O153</f>
        <v/>
      </c>
      <c r="U153">
        <f>R153*O153</f>
        <v/>
      </c>
      <c r="V153">
        <f>SUMPRODUCT(S154:S543,O154:O543)/(N153*O153)</f>
        <v/>
      </c>
    </row>
    <row r="154">
      <c r="A154" t="n">
        <v>151</v>
      </c>
      <c r="B154">
        <f>A154/Inputs!$B$6</f>
        <v/>
      </c>
      <c r="C154">
        <f>Inputs!$B$3+B154</f>
        <v/>
      </c>
      <c r="D154">
        <f>INT(C154)</f>
        <v/>
      </c>
      <c r="E154">
        <f>Inputs!$B$7+1+INT((A154-1)/Inputs!$B$6)</f>
        <v/>
      </c>
      <c r="F154">
        <f>IFERROR(INDEX(IndexScenario!$B$4:$B$544,MATCH(A154,IndexScenario!$A$4:$A$544,0)),"")</f>
        <v/>
      </c>
      <c r="G154">
        <f>G153*F154/F153</f>
        <v/>
      </c>
      <c r="H154">
        <f>H153*(1+Inputs!$B$17)^(1/12)</f>
        <v/>
      </c>
      <c r="I154">
        <f>IFERROR(INDEX(BaseQx!$B:$B,MATCH(D154,BaseQx!$A:$A,0)),"")</f>
        <v/>
      </c>
      <c r="J154">
        <f>IF(Inputs!$B$13="rp_mp",SUMIFS(MP2016_Long!$C:$C,MP2016_Long!$A:$A,D154,MP2016_Long!$B:$B,"&gt;=2014",MP2016_Long!$B:$B,"&lt;"&amp;E154),0)</f>
        <v/>
      </c>
      <c r="K154">
        <f>MIN(0.999999,MAX(0,I154*EXP(J154)))</f>
        <v/>
      </c>
      <c r="L154">
        <f>-LN(1-K154)</f>
        <v/>
      </c>
      <c r="M154">
        <f>EXP(-L154/Inputs!$B$6)</f>
        <v/>
      </c>
      <c r="N154">
        <f>N153*M154</f>
        <v/>
      </c>
      <c r="O154">
        <f>IFERROR(INDEX(MonthlyCurve!$L:$L,MATCH(A154,MonthlyCurve!$A:$A,0)),"")</f>
        <v/>
      </c>
      <c r="P154">
        <f>IF(B154&gt;0,-LN(O154)/B154,"")</f>
        <v/>
      </c>
      <c r="Q154">
        <f>G154*N154</f>
        <v/>
      </c>
      <c r="R154">
        <f>H154*N154</f>
        <v/>
      </c>
      <c r="S154">
        <f>Q154+R154</f>
        <v/>
      </c>
      <c r="T154">
        <f>Q154*O154</f>
        <v/>
      </c>
      <c r="U154">
        <f>R154*O154</f>
        <v/>
      </c>
      <c r="V154">
        <f>SUMPRODUCT(S155:S543,O155:O543)/(N154*O154)</f>
        <v/>
      </c>
    </row>
    <row r="155">
      <c r="A155" t="n">
        <v>152</v>
      </c>
      <c r="B155">
        <f>A155/Inputs!$B$6</f>
        <v/>
      </c>
      <c r="C155">
        <f>Inputs!$B$3+B155</f>
        <v/>
      </c>
      <c r="D155">
        <f>INT(C155)</f>
        <v/>
      </c>
      <c r="E155">
        <f>Inputs!$B$7+1+INT((A155-1)/Inputs!$B$6)</f>
        <v/>
      </c>
      <c r="F155">
        <f>IFERROR(INDEX(IndexScenario!$B$4:$B$544,MATCH(A155,IndexScenario!$A$4:$A$544,0)),"")</f>
        <v/>
      </c>
      <c r="G155">
        <f>G154*F155/F154</f>
        <v/>
      </c>
      <c r="H155">
        <f>H154*(1+Inputs!$B$17)^(1/12)</f>
        <v/>
      </c>
      <c r="I155">
        <f>IFERROR(INDEX(BaseQx!$B:$B,MATCH(D155,BaseQx!$A:$A,0)),"")</f>
        <v/>
      </c>
      <c r="J155">
        <f>IF(Inputs!$B$13="rp_mp",SUMIFS(MP2016_Long!$C:$C,MP2016_Long!$A:$A,D155,MP2016_Long!$B:$B,"&gt;=2014",MP2016_Long!$B:$B,"&lt;"&amp;E155),0)</f>
        <v/>
      </c>
      <c r="K155">
        <f>MIN(0.999999,MAX(0,I155*EXP(J155)))</f>
        <v/>
      </c>
      <c r="L155">
        <f>-LN(1-K155)</f>
        <v/>
      </c>
      <c r="M155">
        <f>EXP(-L155/Inputs!$B$6)</f>
        <v/>
      </c>
      <c r="N155">
        <f>N154*M155</f>
        <v/>
      </c>
      <c r="O155">
        <f>IFERROR(INDEX(MonthlyCurve!$L:$L,MATCH(A155,MonthlyCurve!$A:$A,0)),"")</f>
        <v/>
      </c>
      <c r="P155">
        <f>IF(B155&gt;0,-LN(O155)/B155,"")</f>
        <v/>
      </c>
      <c r="Q155">
        <f>G155*N155</f>
        <v/>
      </c>
      <c r="R155">
        <f>H155*N155</f>
        <v/>
      </c>
      <c r="S155">
        <f>Q155+R155</f>
        <v/>
      </c>
      <c r="T155">
        <f>Q155*O155</f>
        <v/>
      </c>
      <c r="U155">
        <f>R155*O155</f>
        <v/>
      </c>
      <c r="V155">
        <f>SUMPRODUCT(S156:S543,O156:O543)/(N155*O155)</f>
        <v/>
      </c>
    </row>
    <row r="156">
      <c r="A156" t="n">
        <v>153</v>
      </c>
      <c r="B156">
        <f>A156/Inputs!$B$6</f>
        <v/>
      </c>
      <c r="C156">
        <f>Inputs!$B$3+B156</f>
        <v/>
      </c>
      <c r="D156">
        <f>INT(C156)</f>
        <v/>
      </c>
      <c r="E156">
        <f>Inputs!$B$7+1+INT((A156-1)/Inputs!$B$6)</f>
        <v/>
      </c>
      <c r="F156">
        <f>IFERROR(INDEX(IndexScenario!$B$4:$B$544,MATCH(A156,IndexScenario!$A$4:$A$544,0)),"")</f>
        <v/>
      </c>
      <c r="G156">
        <f>G155*F156/F155</f>
        <v/>
      </c>
      <c r="H156">
        <f>H155*(1+Inputs!$B$17)^(1/12)</f>
        <v/>
      </c>
      <c r="I156">
        <f>IFERROR(INDEX(BaseQx!$B:$B,MATCH(D156,BaseQx!$A:$A,0)),"")</f>
        <v/>
      </c>
      <c r="J156">
        <f>IF(Inputs!$B$13="rp_mp",SUMIFS(MP2016_Long!$C:$C,MP2016_Long!$A:$A,D156,MP2016_Long!$B:$B,"&gt;=2014",MP2016_Long!$B:$B,"&lt;"&amp;E156),0)</f>
        <v/>
      </c>
      <c r="K156">
        <f>MIN(0.999999,MAX(0,I156*EXP(J156)))</f>
        <v/>
      </c>
      <c r="L156">
        <f>-LN(1-K156)</f>
        <v/>
      </c>
      <c r="M156">
        <f>EXP(-L156/Inputs!$B$6)</f>
        <v/>
      </c>
      <c r="N156">
        <f>N155*M156</f>
        <v/>
      </c>
      <c r="O156">
        <f>IFERROR(INDEX(MonthlyCurve!$L:$L,MATCH(A156,MonthlyCurve!$A:$A,0)),"")</f>
        <v/>
      </c>
      <c r="P156">
        <f>IF(B156&gt;0,-LN(O156)/B156,"")</f>
        <v/>
      </c>
      <c r="Q156">
        <f>G156*N156</f>
        <v/>
      </c>
      <c r="R156">
        <f>H156*N156</f>
        <v/>
      </c>
      <c r="S156">
        <f>Q156+R156</f>
        <v/>
      </c>
      <c r="T156">
        <f>Q156*O156</f>
        <v/>
      </c>
      <c r="U156">
        <f>R156*O156</f>
        <v/>
      </c>
      <c r="V156">
        <f>SUMPRODUCT(S157:S543,O157:O543)/(N156*O156)</f>
        <v/>
      </c>
    </row>
    <row r="157">
      <c r="A157" t="n">
        <v>154</v>
      </c>
      <c r="B157">
        <f>A157/Inputs!$B$6</f>
        <v/>
      </c>
      <c r="C157">
        <f>Inputs!$B$3+B157</f>
        <v/>
      </c>
      <c r="D157">
        <f>INT(C157)</f>
        <v/>
      </c>
      <c r="E157">
        <f>Inputs!$B$7+1+INT((A157-1)/Inputs!$B$6)</f>
        <v/>
      </c>
      <c r="F157">
        <f>IFERROR(INDEX(IndexScenario!$B$4:$B$544,MATCH(A157,IndexScenario!$A$4:$A$544,0)),"")</f>
        <v/>
      </c>
      <c r="G157">
        <f>G156*F157/F156</f>
        <v/>
      </c>
      <c r="H157">
        <f>H156*(1+Inputs!$B$17)^(1/12)</f>
        <v/>
      </c>
      <c r="I157">
        <f>IFERROR(INDEX(BaseQx!$B:$B,MATCH(D157,BaseQx!$A:$A,0)),"")</f>
        <v/>
      </c>
      <c r="J157">
        <f>IF(Inputs!$B$13="rp_mp",SUMIFS(MP2016_Long!$C:$C,MP2016_Long!$A:$A,D157,MP2016_Long!$B:$B,"&gt;=2014",MP2016_Long!$B:$B,"&lt;"&amp;E157),0)</f>
        <v/>
      </c>
      <c r="K157">
        <f>MIN(0.999999,MAX(0,I157*EXP(J157)))</f>
        <v/>
      </c>
      <c r="L157">
        <f>-LN(1-K157)</f>
        <v/>
      </c>
      <c r="M157">
        <f>EXP(-L157/Inputs!$B$6)</f>
        <v/>
      </c>
      <c r="N157">
        <f>N156*M157</f>
        <v/>
      </c>
      <c r="O157">
        <f>IFERROR(INDEX(MonthlyCurve!$L:$L,MATCH(A157,MonthlyCurve!$A:$A,0)),"")</f>
        <v/>
      </c>
      <c r="P157">
        <f>IF(B157&gt;0,-LN(O157)/B157,"")</f>
        <v/>
      </c>
      <c r="Q157">
        <f>G157*N157</f>
        <v/>
      </c>
      <c r="R157">
        <f>H157*N157</f>
        <v/>
      </c>
      <c r="S157">
        <f>Q157+R157</f>
        <v/>
      </c>
      <c r="T157">
        <f>Q157*O157</f>
        <v/>
      </c>
      <c r="U157">
        <f>R157*O157</f>
        <v/>
      </c>
      <c r="V157">
        <f>SUMPRODUCT(S158:S543,O158:O543)/(N157*O157)</f>
        <v/>
      </c>
    </row>
    <row r="158">
      <c r="A158" t="n">
        <v>155</v>
      </c>
      <c r="B158">
        <f>A158/Inputs!$B$6</f>
        <v/>
      </c>
      <c r="C158">
        <f>Inputs!$B$3+B158</f>
        <v/>
      </c>
      <c r="D158">
        <f>INT(C158)</f>
        <v/>
      </c>
      <c r="E158">
        <f>Inputs!$B$7+1+INT((A158-1)/Inputs!$B$6)</f>
        <v/>
      </c>
      <c r="F158">
        <f>IFERROR(INDEX(IndexScenario!$B$4:$B$544,MATCH(A158,IndexScenario!$A$4:$A$544,0)),"")</f>
        <v/>
      </c>
      <c r="G158">
        <f>G157*F158/F157</f>
        <v/>
      </c>
      <c r="H158">
        <f>H157*(1+Inputs!$B$17)^(1/12)</f>
        <v/>
      </c>
      <c r="I158">
        <f>IFERROR(INDEX(BaseQx!$B:$B,MATCH(D158,BaseQx!$A:$A,0)),"")</f>
        <v/>
      </c>
      <c r="J158">
        <f>IF(Inputs!$B$13="rp_mp",SUMIFS(MP2016_Long!$C:$C,MP2016_Long!$A:$A,D158,MP2016_Long!$B:$B,"&gt;=2014",MP2016_Long!$B:$B,"&lt;"&amp;E158),0)</f>
        <v/>
      </c>
      <c r="K158">
        <f>MIN(0.999999,MAX(0,I158*EXP(J158)))</f>
        <v/>
      </c>
      <c r="L158">
        <f>-LN(1-K158)</f>
        <v/>
      </c>
      <c r="M158">
        <f>EXP(-L158/Inputs!$B$6)</f>
        <v/>
      </c>
      <c r="N158">
        <f>N157*M158</f>
        <v/>
      </c>
      <c r="O158">
        <f>IFERROR(INDEX(MonthlyCurve!$L:$L,MATCH(A158,MonthlyCurve!$A:$A,0)),"")</f>
        <v/>
      </c>
      <c r="P158">
        <f>IF(B158&gt;0,-LN(O158)/B158,"")</f>
        <v/>
      </c>
      <c r="Q158">
        <f>G158*N158</f>
        <v/>
      </c>
      <c r="R158">
        <f>H158*N158</f>
        <v/>
      </c>
      <c r="S158">
        <f>Q158+R158</f>
        <v/>
      </c>
      <c r="T158">
        <f>Q158*O158</f>
        <v/>
      </c>
      <c r="U158">
        <f>R158*O158</f>
        <v/>
      </c>
      <c r="V158">
        <f>SUMPRODUCT(S159:S543,O159:O543)/(N158*O158)</f>
        <v/>
      </c>
    </row>
    <row r="159">
      <c r="A159" t="n">
        <v>156</v>
      </c>
      <c r="B159">
        <f>A159/Inputs!$B$6</f>
        <v/>
      </c>
      <c r="C159">
        <f>Inputs!$B$3+B159</f>
        <v/>
      </c>
      <c r="D159">
        <f>INT(C159)</f>
        <v/>
      </c>
      <c r="E159">
        <f>Inputs!$B$7+1+INT((A159-1)/Inputs!$B$6)</f>
        <v/>
      </c>
      <c r="F159">
        <f>IFERROR(INDEX(IndexScenario!$B$4:$B$544,MATCH(A159,IndexScenario!$A$4:$A$544,0)),"")</f>
        <v/>
      </c>
      <c r="G159">
        <f>G158*F159/F158</f>
        <v/>
      </c>
      <c r="H159">
        <f>H158*(1+Inputs!$B$17)^(1/12)</f>
        <v/>
      </c>
      <c r="I159">
        <f>IFERROR(INDEX(BaseQx!$B:$B,MATCH(D159,BaseQx!$A:$A,0)),"")</f>
        <v/>
      </c>
      <c r="J159">
        <f>IF(Inputs!$B$13="rp_mp",SUMIFS(MP2016_Long!$C:$C,MP2016_Long!$A:$A,D159,MP2016_Long!$B:$B,"&gt;=2014",MP2016_Long!$B:$B,"&lt;"&amp;E159),0)</f>
        <v/>
      </c>
      <c r="K159">
        <f>MIN(0.999999,MAX(0,I159*EXP(J159)))</f>
        <v/>
      </c>
      <c r="L159">
        <f>-LN(1-K159)</f>
        <v/>
      </c>
      <c r="M159">
        <f>EXP(-L159/Inputs!$B$6)</f>
        <v/>
      </c>
      <c r="N159">
        <f>N158*M159</f>
        <v/>
      </c>
      <c r="O159">
        <f>IFERROR(INDEX(MonthlyCurve!$L:$L,MATCH(A159,MonthlyCurve!$A:$A,0)),"")</f>
        <v/>
      </c>
      <c r="P159">
        <f>IF(B159&gt;0,-LN(O159)/B159,"")</f>
        <v/>
      </c>
      <c r="Q159">
        <f>G159*N159</f>
        <v/>
      </c>
      <c r="R159">
        <f>H159*N159</f>
        <v/>
      </c>
      <c r="S159">
        <f>Q159+R159</f>
        <v/>
      </c>
      <c r="T159">
        <f>Q159*O159</f>
        <v/>
      </c>
      <c r="U159">
        <f>R159*O159</f>
        <v/>
      </c>
      <c r="V159">
        <f>SUMPRODUCT(S160:S543,O160:O543)/(N159*O159)</f>
        <v/>
      </c>
    </row>
    <row r="160">
      <c r="A160" t="n">
        <v>157</v>
      </c>
      <c r="B160">
        <f>A160/Inputs!$B$6</f>
        <v/>
      </c>
      <c r="C160">
        <f>Inputs!$B$3+B160</f>
        <v/>
      </c>
      <c r="D160">
        <f>INT(C160)</f>
        <v/>
      </c>
      <c r="E160">
        <f>Inputs!$B$7+1+INT((A160-1)/Inputs!$B$6)</f>
        <v/>
      </c>
      <c r="F160">
        <f>IFERROR(INDEX(IndexScenario!$B$4:$B$544,MATCH(A160,IndexScenario!$A$4:$A$544,0)),"")</f>
        <v/>
      </c>
      <c r="G160">
        <f>G159*F160/F159</f>
        <v/>
      </c>
      <c r="H160">
        <f>H159*(1+Inputs!$B$17)^(1/12)</f>
        <v/>
      </c>
      <c r="I160">
        <f>IFERROR(INDEX(BaseQx!$B:$B,MATCH(D160,BaseQx!$A:$A,0)),"")</f>
        <v/>
      </c>
      <c r="J160">
        <f>IF(Inputs!$B$13="rp_mp",SUMIFS(MP2016_Long!$C:$C,MP2016_Long!$A:$A,D160,MP2016_Long!$B:$B,"&gt;=2014",MP2016_Long!$B:$B,"&lt;"&amp;E160),0)</f>
        <v/>
      </c>
      <c r="K160">
        <f>MIN(0.999999,MAX(0,I160*EXP(J160)))</f>
        <v/>
      </c>
      <c r="L160">
        <f>-LN(1-K160)</f>
        <v/>
      </c>
      <c r="M160">
        <f>EXP(-L160/Inputs!$B$6)</f>
        <v/>
      </c>
      <c r="N160">
        <f>N159*M160</f>
        <v/>
      </c>
      <c r="O160">
        <f>IFERROR(INDEX(MonthlyCurve!$L:$L,MATCH(A160,MonthlyCurve!$A:$A,0)),"")</f>
        <v/>
      </c>
      <c r="P160">
        <f>IF(B160&gt;0,-LN(O160)/B160,"")</f>
        <v/>
      </c>
      <c r="Q160">
        <f>G160*N160</f>
        <v/>
      </c>
      <c r="R160">
        <f>H160*N160</f>
        <v/>
      </c>
      <c r="S160">
        <f>Q160+R160</f>
        <v/>
      </c>
      <c r="T160">
        <f>Q160*O160</f>
        <v/>
      </c>
      <c r="U160">
        <f>R160*O160</f>
        <v/>
      </c>
      <c r="V160">
        <f>SUMPRODUCT(S161:S543,O161:O543)/(N160*O160)</f>
        <v/>
      </c>
    </row>
    <row r="161">
      <c r="A161" t="n">
        <v>158</v>
      </c>
      <c r="B161">
        <f>A161/Inputs!$B$6</f>
        <v/>
      </c>
      <c r="C161">
        <f>Inputs!$B$3+B161</f>
        <v/>
      </c>
      <c r="D161">
        <f>INT(C161)</f>
        <v/>
      </c>
      <c r="E161">
        <f>Inputs!$B$7+1+INT((A161-1)/Inputs!$B$6)</f>
        <v/>
      </c>
      <c r="F161">
        <f>IFERROR(INDEX(IndexScenario!$B$4:$B$544,MATCH(A161,IndexScenario!$A$4:$A$544,0)),"")</f>
        <v/>
      </c>
      <c r="G161">
        <f>G160*F161/F160</f>
        <v/>
      </c>
      <c r="H161">
        <f>H160*(1+Inputs!$B$17)^(1/12)</f>
        <v/>
      </c>
      <c r="I161">
        <f>IFERROR(INDEX(BaseQx!$B:$B,MATCH(D161,BaseQx!$A:$A,0)),"")</f>
        <v/>
      </c>
      <c r="J161">
        <f>IF(Inputs!$B$13="rp_mp",SUMIFS(MP2016_Long!$C:$C,MP2016_Long!$A:$A,D161,MP2016_Long!$B:$B,"&gt;=2014",MP2016_Long!$B:$B,"&lt;"&amp;E161),0)</f>
        <v/>
      </c>
      <c r="K161">
        <f>MIN(0.999999,MAX(0,I161*EXP(J161)))</f>
        <v/>
      </c>
      <c r="L161">
        <f>-LN(1-K161)</f>
        <v/>
      </c>
      <c r="M161">
        <f>EXP(-L161/Inputs!$B$6)</f>
        <v/>
      </c>
      <c r="N161">
        <f>N160*M161</f>
        <v/>
      </c>
      <c r="O161">
        <f>IFERROR(INDEX(MonthlyCurve!$L:$L,MATCH(A161,MonthlyCurve!$A:$A,0)),"")</f>
        <v/>
      </c>
      <c r="P161">
        <f>IF(B161&gt;0,-LN(O161)/B161,"")</f>
        <v/>
      </c>
      <c r="Q161">
        <f>G161*N161</f>
        <v/>
      </c>
      <c r="R161">
        <f>H161*N161</f>
        <v/>
      </c>
      <c r="S161">
        <f>Q161+R161</f>
        <v/>
      </c>
      <c r="T161">
        <f>Q161*O161</f>
        <v/>
      </c>
      <c r="U161">
        <f>R161*O161</f>
        <v/>
      </c>
      <c r="V161">
        <f>SUMPRODUCT(S162:S543,O162:O543)/(N161*O161)</f>
        <v/>
      </c>
    </row>
    <row r="162">
      <c r="A162" t="n">
        <v>159</v>
      </c>
      <c r="B162">
        <f>A162/Inputs!$B$6</f>
        <v/>
      </c>
      <c r="C162">
        <f>Inputs!$B$3+B162</f>
        <v/>
      </c>
      <c r="D162">
        <f>INT(C162)</f>
        <v/>
      </c>
      <c r="E162">
        <f>Inputs!$B$7+1+INT((A162-1)/Inputs!$B$6)</f>
        <v/>
      </c>
      <c r="F162">
        <f>IFERROR(INDEX(IndexScenario!$B$4:$B$544,MATCH(A162,IndexScenario!$A$4:$A$544,0)),"")</f>
        <v/>
      </c>
      <c r="G162">
        <f>G161*F162/F161</f>
        <v/>
      </c>
      <c r="H162">
        <f>H161*(1+Inputs!$B$17)^(1/12)</f>
        <v/>
      </c>
      <c r="I162">
        <f>IFERROR(INDEX(BaseQx!$B:$B,MATCH(D162,BaseQx!$A:$A,0)),"")</f>
        <v/>
      </c>
      <c r="J162">
        <f>IF(Inputs!$B$13="rp_mp",SUMIFS(MP2016_Long!$C:$C,MP2016_Long!$A:$A,D162,MP2016_Long!$B:$B,"&gt;=2014",MP2016_Long!$B:$B,"&lt;"&amp;E162),0)</f>
        <v/>
      </c>
      <c r="K162">
        <f>MIN(0.999999,MAX(0,I162*EXP(J162)))</f>
        <v/>
      </c>
      <c r="L162">
        <f>-LN(1-K162)</f>
        <v/>
      </c>
      <c r="M162">
        <f>EXP(-L162/Inputs!$B$6)</f>
        <v/>
      </c>
      <c r="N162">
        <f>N161*M162</f>
        <v/>
      </c>
      <c r="O162">
        <f>IFERROR(INDEX(MonthlyCurve!$L:$L,MATCH(A162,MonthlyCurve!$A:$A,0)),"")</f>
        <v/>
      </c>
      <c r="P162">
        <f>IF(B162&gt;0,-LN(O162)/B162,"")</f>
        <v/>
      </c>
      <c r="Q162">
        <f>G162*N162</f>
        <v/>
      </c>
      <c r="R162">
        <f>H162*N162</f>
        <v/>
      </c>
      <c r="S162">
        <f>Q162+R162</f>
        <v/>
      </c>
      <c r="T162">
        <f>Q162*O162</f>
        <v/>
      </c>
      <c r="U162">
        <f>R162*O162</f>
        <v/>
      </c>
      <c r="V162">
        <f>SUMPRODUCT(S163:S543,O163:O543)/(N162*O162)</f>
        <v/>
      </c>
    </row>
    <row r="163">
      <c r="A163" t="n">
        <v>160</v>
      </c>
      <c r="B163">
        <f>A163/Inputs!$B$6</f>
        <v/>
      </c>
      <c r="C163">
        <f>Inputs!$B$3+B163</f>
        <v/>
      </c>
      <c r="D163">
        <f>INT(C163)</f>
        <v/>
      </c>
      <c r="E163">
        <f>Inputs!$B$7+1+INT((A163-1)/Inputs!$B$6)</f>
        <v/>
      </c>
      <c r="F163">
        <f>IFERROR(INDEX(IndexScenario!$B$4:$B$544,MATCH(A163,IndexScenario!$A$4:$A$544,0)),"")</f>
        <v/>
      </c>
      <c r="G163">
        <f>G162*F163/F162</f>
        <v/>
      </c>
      <c r="H163">
        <f>H162*(1+Inputs!$B$17)^(1/12)</f>
        <v/>
      </c>
      <c r="I163">
        <f>IFERROR(INDEX(BaseQx!$B:$B,MATCH(D163,BaseQx!$A:$A,0)),"")</f>
        <v/>
      </c>
      <c r="J163">
        <f>IF(Inputs!$B$13="rp_mp",SUMIFS(MP2016_Long!$C:$C,MP2016_Long!$A:$A,D163,MP2016_Long!$B:$B,"&gt;=2014",MP2016_Long!$B:$B,"&lt;"&amp;E163),0)</f>
        <v/>
      </c>
      <c r="K163">
        <f>MIN(0.999999,MAX(0,I163*EXP(J163)))</f>
        <v/>
      </c>
      <c r="L163">
        <f>-LN(1-K163)</f>
        <v/>
      </c>
      <c r="M163">
        <f>EXP(-L163/Inputs!$B$6)</f>
        <v/>
      </c>
      <c r="N163">
        <f>N162*M163</f>
        <v/>
      </c>
      <c r="O163">
        <f>IFERROR(INDEX(MonthlyCurve!$L:$L,MATCH(A163,MonthlyCurve!$A:$A,0)),"")</f>
        <v/>
      </c>
      <c r="P163">
        <f>IF(B163&gt;0,-LN(O163)/B163,"")</f>
        <v/>
      </c>
      <c r="Q163">
        <f>G163*N163</f>
        <v/>
      </c>
      <c r="R163">
        <f>H163*N163</f>
        <v/>
      </c>
      <c r="S163">
        <f>Q163+R163</f>
        <v/>
      </c>
      <c r="T163">
        <f>Q163*O163</f>
        <v/>
      </c>
      <c r="U163">
        <f>R163*O163</f>
        <v/>
      </c>
      <c r="V163">
        <f>SUMPRODUCT(S164:S543,O164:O543)/(N163*O163)</f>
        <v/>
      </c>
    </row>
    <row r="164">
      <c r="A164" t="n">
        <v>161</v>
      </c>
      <c r="B164">
        <f>A164/Inputs!$B$6</f>
        <v/>
      </c>
      <c r="C164">
        <f>Inputs!$B$3+B164</f>
        <v/>
      </c>
      <c r="D164">
        <f>INT(C164)</f>
        <v/>
      </c>
      <c r="E164">
        <f>Inputs!$B$7+1+INT((A164-1)/Inputs!$B$6)</f>
        <v/>
      </c>
      <c r="F164">
        <f>IFERROR(INDEX(IndexScenario!$B$4:$B$544,MATCH(A164,IndexScenario!$A$4:$A$544,0)),"")</f>
        <v/>
      </c>
      <c r="G164">
        <f>G163*F164/F163</f>
        <v/>
      </c>
      <c r="H164">
        <f>H163*(1+Inputs!$B$17)^(1/12)</f>
        <v/>
      </c>
      <c r="I164">
        <f>IFERROR(INDEX(BaseQx!$B:$B,MATCH(D164,BaseQx!$A:$A,0)),"")</f>
        <v/>
      </c>
      <c r="J164">
        <f>IF(Inputs!$B$13="rp_mp",SUMIFS(MP2016_Long!$C:$C,MP2016_Long!$A:$A,D164,MP2016_Long!$B:$B,"&gt;=2014",MP2016_Long!$B:$B,"&lt;"&amp;E164),0)</f>
        <v/>
      </c>
      <c r="K164">
        <f>MIN(0.999999,MAX(0,I164*EXP(J164)))</f>
        <v/>
      </c>
      <c r="L164">
        <f>-LN(1-K164)</f>
        <v/>
      </c>
      <c r="M164">
        <f>EXP(-L164/Inputs!$B$6)</f>
        <v/>
      </c>
      <c r="N164">
        <f>N163*M164</f>
        <v/>
      </c>
      <c r="O164">
        <f>IFERROR(INDEX(MonthlyCurve!$L:$L,MATCH(A164,MonthlyCurve!$A:$A,0)),"")</f>
        <v/>
      </c>
      <c r="P164">
        <f>IF(B164&gt;0,-LN(O164)/B164,"")</f>
        <v/>
      </c>
      <c r="Q164">
        <f>G164*N164</f>
        <v/>
      </c>
      <c r="R164">
        <f>H164*N164</f>
        <v/>
      </c>
      <c r="S164">
        <f>Q164+R164</f>
        <v/>
      </c>
      <c r="T164">
        <f>Q164*O164</f>
        <v/>
      </c>
      <c r="U164">
        <f>R164*O164</f>
        <v/>
      </c>
      <c r="V164">
        <f>SUMPRODUCT(S165:S543,O165:O543)/(N164*O164)</f>
        <v/>
      </c>
    </row>
    <row r="165">
      <c r="A165" t="n">
        <v>162</v>
      </c>
      <c r="B165">
        <f>A165/Inputs!$B$6</f>
        <v/>
      </c>
      <c r="C165">
        <f>Inputs!$B$3+B165</f>
        <v/>
      </c>
      <c r="D165">
        <f>INT(C165)</f>
        <v/>
      </c>
      <c r="E165">
        <f>Inputs!$B$7+1+INT((A165-1)/Inputs!$B$6)</f>
        <v/>
      </c>
      <c r="F165">
        <f>IFERROR(INDEX(IndexScenario!$B$4:$B$544,MATCH(A165,IndexScenario!$A$4:$A$544,0)),"")</f>
        <v/>
      </c>
      <c r="G165">
        <f>G164*F165/F164</f>
        <v/>
      </c>
      <c r="H165">
        <f>H164*(1+Inputs!$B$17)^(1/12)</f>
        <v/>
      </c>
      <c r="I165">
        <f>IFERROR(INDEX(BaseQx!$B:$B,MATCH(D165,BaseQx!$A:$A,0)),"")</f>
        <v/>
      </c>
      <c r="J165">
        <f>IF(Inputs!$B$13="rp_mp",SUMIFS(MP2016_Long!$C:$C,MP2016_Long!$A:$A,D165,MP2016_Long!$B:$B,"&gt;=2014",MP2016_Long!$B:$B,"&lt;"&amp;E165),0)</f>
        <v/>
      </c>
      <c r="K165">
        <f>MIN(0.999999,MAX(0,I165*EXP(J165)))</f>
        <v/>
      </c>
      <c r="L165">
        <f>-LN(1-K165)</f>
        <v/>
      </c>
      <c r="M165">
        <f>EXP(-L165/Inputs!$B$6)</f>
        <v/>
      </c>
      <c r="N165">
        <f>N164*M165</f>
        <v/>
      </c>
      <c r="O165">
        <f>IFERROR(INDEX(MonthlyCurve!$L:$L,MATCH(A165,MonthlyCurve!$A:$A,0)),"")</f>
        <v/>
      </c>
      <c r="P165">
        <f>IF(B165&gt;0,-LN(O165)/B165,"")</f>
        <v/>
      </c>
      <c r="Q165">
        <f>G165*N165</f>
        <v/>
      </c>
      <c r="R165">
        <f>H165*N165</f>
        <v/>
      </c>
      <c r="S165">
        <f>Q165+R165</f>
        <v/>
      </c>
      <c r="T165">
        <f>Q165*O165</f>
        <v/>
      </c>
      <c r="U165">
        <f>R165*O165</f>
        <v/>
      </c>
      <c r="V165">
        <f>SUMPRODUCT(S166:S543,O166:O543)/(N165*O165)</f>
        <v/>
      </c>
    </row>
    <row r="166">
      <c r="A166" t="n">
        <v>163</v>
      </c>
      <c r="B166">
        <f>A166/Inputs!$B$6</f>
        <v/>
      </c>
      <c r="C166">
        <f>Inputs!$B$3+B166</f>
        <v/>
      </c>
      <c r="D166">
        <f>INT(C166)</f>
        <v/>
      </c>
      <c r="E166">
        <f>Inputs!$B$7+1+INT((A166-1)/Inputs!$B$6)</f>
        <v/>
      </c>
      <c r="F166">
        <f>IFERROR(INDEX(IndexScenario!$B$4:$B$544,MATCH(A166,IndexScenario!$A$4:$A$544,0)),"")</f>
        <v/>
      </c>
      <c r="G166">
        <f>G165*F166/F165</f>
        <v/>
      </c>
      <c r="H166">
        <f>H165*(1+Inputs!$B$17)^(1/12)</f>
        <v/>
      </c>
      <c r="I166">
        <f>IFERROR(INDEX(BaseQx!$B:$B,MATCH(D166,BaseQx!$A:$A,0)),"")</f>
        <v/>
      </c>
      <c r="J166">
        <f>IF(Inputs!$B$13="rp_mp",SUMIFS(MP2016_Long!$C:$C,MP2016_Long!$A:$A,D166,MP2016_Long!$B:$B,"&gt;=2014",MP2016_Long!$B:$B,"&lt;"&amp;E166),0)</f>
        <v/>
      </c>
      <c r="K166">
        <f>MIN(0.999999,MAX(0,I166*EXP(J166)))</f>
        <v/>
      </c>
      <c r="L166">
        <f>-LN(1-K166)</f>
        <v/>
      </c>
      <c r="M166">
        <f>EXP(-L166/Inputs!$B$6)</f>
        <v/>
      </c>
      <c r="N166">
        <f>N165*M166</f>
        <v/>
      </c>
      <c r="O166">
        <f>IFERROR(INDEX(MonthlyCurve!$L:$L,MATCH(A166,MonthlyCurve!$A:$A,0)),"")</f>
        <v/>
      </c>
      <c r="P166">
        <f>IF(B166&gt;0,-LN(O166)/B166,"")</f>
        <v/>
      </c>
      <c r="Q166">
        <f>G166*N166</f>
        <v/>
      </c>
      <c r="R166">
        <f>H166*N166</f>
        <v/>
      </c>
      <c r="S166">
        <f>Q166+R166</f>
        <v/>
      </c>
      <c r="T166">
        <f>Q166*O166</f>
        <v/>
      </c>
      <c r="U166">
        <f>R166*O166</f>
        <v/>
      </c>
      <c r="V166">
        <f>SUMPRODUCT(S167:S543,O167:O543)/(N166*O166)</f>
        <v/>
      </c>
    </row>
    <row r="167">
      <c r="A167" t="n">
        <v>164</v>
      </c>
      <c r="B167">
        <f>A167/Inputs!$B$6</f>
        <v/>
      </c>
      <c r="C167">
        <f>Inputs!$B$3+B167</f>
        <v/>
      </c>
      <c r="D167">
        <f>INT(C167)</f>
        <v/>
      </c>
      <c r="E167">
        <f>Inputs!$B$7+1+INT((A167-1)/Inputs!$B$6)</f>
        <v/>
      </c>
      <c r="F167">
        <f>IFERROR(INDEX(IndexScenario!$B$4:$B$544,MATCH(A167,IndexScenario!$A$4:$A$544,0)),"")</f>
        <v/>
      </c>
      <c r="G167">
        <f>G166*F167/F166</f>
        <v/>
      </c>
      <c r="H167">
        <f>H166*(1+Inputs!$B$17)^(1/12)</f>
        <v/>
      </c>
      <c r="I167">
        <f>IFERROR(INDEX(BaseQx!$B:$B,MATCH(D167,BaseQx!$A:$A,0)),"")</f>
        <v/>
      </c>
      <c r="J167">
        <f>IF(Inputs!$B$13="rp_mp",SUMIFS(MP2016_Long!$C:$C,MP2016_Long!$A:$A,D167,MP2016_Long!$B:$B,"&gt;=2014",MP2016_Long!$B:$B,"&lt;"&amp;E167),0)</f>
        <v/>
      </c>
      <c r="K167">
        <f>MIN(0.999999,MAX(0,I167*EXP(J167)))</f>
        <v/>
      </c>
      <c r="L167">
        <f>-LN(1-K167)</f>
        <v/>
      </c>
      <c r="M167">
        <f>EXP(-L167/Inputs!$B$6)</f>
        <v/>
      </c>
      <c r="N167">
        <f>N166*M167</f>
        <v/>
      </c>
      <c r="O167">
        <f>IFERROR(INDEX(MonthlyCurve!$L:$L,MATCH(A167,MonthlyCurve!$A:$A,0)),"")</f>
        <v/>
      </c>
      <c r="P167">
        <f>IF(B167&gt;0,-LN(O167)/B167,"")</f>
        <v/>
      </c>
      <c r="Q167">
        <f>G167*N167</f>
        <v/>
      </c>
      <c r="R167">
        <f>H167*N167</f>
        <v/>
      </c>
      <c r="S167">
        <f>Q167+R167</f>
        <v/>
      </c>
      <c r="T167">
        <f>Q167*O167</f>
        <v/>
      </c>
      <c r="U167">
        <f>R167*O167</f>
        <v/>
      </c>
      <c r="V167">
        <f>SUMPRODUCT(S168:S543,O168:O543)/(N167*O167)</f>
        <v/>
      </c>
    </row>
    <row r="168">
      <c r="A168" t="n">
        <v>165</v>
      </c>
      <c r="B168">
        <f>A168/Inputs!$B$6</f>
        <v/>
      </c>
      <c r="C168">
        <f>Inputs!$B$3+B168</f>
        <v/>
      </c>
      <c r="D168">
        <f>INT(C168)</f>
        <v/>
      </c>
      <c r="E168">
        <f>Inputs!$B$7+1+INT((A168-1)/Inputs!$B$6)</f>
        <v/>
      </c>
      <c r="F168">
        <f>IFERROR(INDEX(IndexScenario!$B$4:$B$544,MATCH(A168,IndexScenario!$A$4:$A$544,0)),"")</f>
        <v/>
      </c>
      <c r="G168">
        <f>G167*F168/F167</f>
        <v/>
      </c>
      <c r="H168">
        <f>H167*(1+Inputs!$B$17)^(1/12)</f>
        <v/>
      </c>
      <c r="I168">
        <f>IFERROR(INDEX(BaseQx!$B:$B,MATCH(D168,BaseQx!$A:$A,0)),"")</f>
        <v/>
      </c>
      <c r="J168">
        <f>IF(Inputs!$B$13="rp_mp",SUMIFS(MP2016_Long!$C:$C,MP2016_Long!$A:$A,D168,MP2016_Long!$B:$B,"&gt;=2014",MP2016_Long!$B:$B,"&lt;"&amp;E168),0)</f>
        <v/>
      </c>
      <c r="K168">
        <f>MIN(0.999999,MAX(0,I168*EXP(J168)))</f>
        <v/>
      </c>
      <c r="L168">
        <f>-LN(1-K168)</f>
        <v/>
      </c>
      <c r="M168">
        <f>EXP(-L168/Inputs!$B$6)</f>
        <v/>
      </c>
      <c r="N168">
        <f>N167*M168</f>
        <v/>
      </c>
      <c r="O168">
        <f>IFERROR(INDEX(MonthlyCurve!$L:$L,MATCH(A168,MonthlyCurve!$A:$A,0)),"")</f>
        <v/>
      </c>
      <c r="P168">
        <f>IF(B168&gt;0,-LN(O168)/B168,"")</f>
        <v/>
      </c>
      <c r="Q168">
        <f>G168*N168</f>
        <v/>
      </c>
      <c r="R168">
        <f>H168*N168</f>
        <v/>
      </c>
      <c r="S168">
        <f>Q168+R168</f>
        <v/>
      </c>
      <c r="T168">
        <f>Q168*O168</f>
        <v/>
      </c>
      <c r="U168">
        <f>R168*O168</f>
        <v/>
      </c>
      <c r="V168">
        <f>SUMPRODUCT(S169:S543,O169:O543)/(N168*O168)</f>
        <v/>
      </c>
    </row>
    <row r="169">
      <c r="A169" t="n">
        <v>166</v>
      </c>
      <c r="B169">
        <f>A169/Inputs!$B$6</f>
        <v/>
      </c>
      <c r="C169">
        <f>Inputs!$B$3+B169</f>
        <v/>
      </c>
      <c r="D169">
        <f>INT(C169)</f>
        <v/>
      </c>
      <c r="E169">
        <f>Inputs!$B$7+1+INT((A169-1)/Inputs!$B$6)</f>
        <v/>
      </c>
      <c r="F169">
        <f>IFERROR(INDEX(IndexScenario!$B$4:$B$544,MATCH(A169,IndexScenario!$A$4:$A$544,0)),"")</f>
        <v/>
      </c>
      <c r="G169">
        <f>G168*F169/F168</f>
        <v/>
      </c>
      <c r="H169">
        <f>H168*(1+Inputs!$B$17)^(1/12)</f>
        <v/>
      </c>
      <c r="I169">
        <f>IFERROR(INDEX(BaseQx!$B:$B,MATCH(D169,BaseQx!$A:$A,0)),"")</f>
        <v/>
      </c>
      <c r="J169">
        <f>IF(Inputs!$B$13="rp_mp",SUMIFS(MP2016_Long!$C:$C,MP2016_Long!$A:$A,D169,MP2016_Long!$B:$B,"&gt;=2014",MP2016_Long!$B:$B,"&lt;"&amp;E169),0)</f>
        <v/>
      </c>
      <c r="K169">
        <f>MIN(0.999999,MAX(0,I169*EXP(J169)))</f>
        <v/>
      </c>
      <c r="L169">
        <f>-LN(1-K169)</f>
        <v/>
      </c>
      <c r="M169">
        <f>EXP(-L169/Inputs!$B$6)</f>
        <v/>
      </c>
      <c r="N169">
        <f>N168*M169</f>
        <v/>
      </c>
      <c r="O169">
        <f>IFERROR(INDEX(MonthlyCurve!$L:$L,MATCH(A169,MonthlyCurve!$A:$A,0)),"")</f>
        <v/>
      </c>
      <c r="P169">
        <f>IF(B169&gt;0,-LN(O169)/B169,"")</f>
        <v/>
      </c>
      <c r="Q169">
        <f>G169*N169</f>
        <v/>
      </c>
      <c r="R169">
        <f>H169*N169</f>
        <v/>
      </c>
      <c r="S169">
        <f>Q169+R169</f>
        <v/>
      </c>
      <c r="T169">
        <f>Q169*O169</f>
        <v/>
      </c>
      <c r="U169">
        <f>R169*O169</f>
        <v/>
      </c>
      <c r="V169">
        <f>SUMPRODUCT(S170:S543,O170:O543)/(N169*O169)</f>
        <v/>
      </c>
    </row>
    <row r="170">
      <c r="A170" t="n">
        <v>167</v>
      </c>
      <c r="B170">
        <f>A170/Inputs!$B$6</f>
        <v/>
      </c>
      <c r="C170">
        <f>Inputs!$B$3+B170</f>
        <v/>
      </c>
      <c r="D170">
        <f>INT(C170)</f>
        <v/>
      </c>
      <c r="E170">
        <f>Inputs!$B$7+1+INT((A170-1)/Inputs!$B$6)</f>
        <v/>
      </c>
      <c r="F170">
        <f>IFERROR(INDEX(IndexScenario!$B$4:$B$544,MATCH(A170,IndexScenario!$A$4:$A$544,0)),"")</f>
        <v/>
      </c>
      <c r="G170">
        <f>G169*F170/F169</f>
        <v/>
      </c>
      <c r="H170">
        <f>H169*(1+Inputs!$B$17)^(1/12)</f>
        <v/>
      </c>
      <c r="I170">
        <f>IFERROR(INDEX(BaseQx!$B:$B,MATCH(D170,BaseQx!$A:$A,0)),"")</f>
        <v/>
      </c>
      <c r="J170">
        <f>IF(Inputs!$B$13="rp_mp",SUMIFS(MP2016_Long!$C:$C,MP2016_Long!$A:$A,D170,MP2016_Long!$B:$B,"&gt;=2014",MP2016_Long!$B:$B,"&lt;"&amp;E170),0)</f>
        <v/>
      </c>
      <c r="K170">
        <f>MIN(0.999999,MAX(0,I170*EXP(J170)))</f>
        <v/>
      </c>
      <c r="L170">
        <f>-LN(1-K170)</f>
        <v/>
      </c>
      <c r="M170">
        <f>EXP(-L170/Inputs!$B$6)</f>
        <v/>
      </c>
      <c r="N170">
        <f>N169*M170</f>
        <v/>
      </c>
      <c r="O170">
        <f>IFERROR(INDEX(MonthlyCurve!$L:$L,MATCH(A170,MonthlyCurve!$A:$A,0)),"")</f>
        <v/>
      </c>
      <c r="P170">
        <f>IF(B170&gt;0,-LN(O170)/B170,"")</f>
        <v/>
      </c>
      <c r="Q170">
        <f>G170*N170</f>
        <v/>
      </c>
      <c r="R170">
        <f>H170*N170</f>
        <v/>
      </c>
      <c r="S170">
        <f>Q170+R170</f>
        <v/>
      </c>
      <c r="T170">
        <f>Q170*O170</f>
        <v/>
      </c>
      <c r="U170">
        <f>R170*O170</f>
        <v/>
      </c>
      <c r="V170">
        <f>SUMPRODUCT(S171:S543,O171:O543)/(N170*O170)</f>
        <v/>
      </c>
    </row>
    <row r="171">
      <c r="A171" t="n">
        <v>168</v>
      </c>
      <c r="B171">
        <f>A171/Inputs!$B$6</f>
        <v/>
      </c>
      <c r="C171">
        <f>Inputs!$B$3+B171</f>
        <v/>
      </c>
      <c r="D171">
        <f>INT(C171)</f>
        <v/>
      </c>
      <c r="E171">
        <f>Inputs!$B$7+1+INT((A171-1)/Inputs!$B$6)</f>
        <v/>
      </c>
      <c r="F171">
        <f>IFERROR(INDEX(IndexScenario!$B$4:$B$544,MATCH(A171,IndexScenario!$A$4:$A$544,0)),"")</f>
        <v/>
      </c>
      <c r="G171">
        <f>G170*F171/F170</f>
        <v/>
      </c>
      <c r="H171">
        <f>H170*(1+Inputs!$B$17)^(1/12)</f>
        <v/>
      </c>
      <c r="I171">
        <f>IFERROR(INDEX(BaseQx!$B:$B,MATCH(D171,BaseQx!$A:$A,0)),"")</f>
        <v/>
      </c>
      <c r="J171">
        <f>IF(Inputs!$B$13="rp_mp",SUMIFS(MP2016_Long!$C:$C,MP2016_Long!$A:$A,D171,MP2016_Long!$B:$B,"&gt;=2014",MP2016_Long!$B:$B,"&lt;"&amp;E171),0)</f>
        <v/>
      </c>
      <c r="K171">
        <f>MIN(0.999999,MAX(0,I171*EXP(J171)))</f>
        <v/>
      </c>
      <c r="L171">
        <f>-LN(1-K171)</f>
        <v/>
      </c>
      <c r="M171">
        <f>EXP(-L171/Inputs!$B$6)</f>
        <v/>
      </c>
      <c r="N171">
        <f>N170*M171</f>
        <v/>
      </c>
      <c r="O171">
        <f>IFERROR(INDEX(MonthlyCurve!$L:$L,MATCH(A171,MonthlyCurve!$A:$A,0)),"")</f>
        <v/>
      </c>
      <c r="P171">
        <f>IF(B171&gt;0,-LN(O171)/B171,"")</f>
        <v/>
      </c>
      <c r="Q171">
        <f>G171*N171</f>
        <v/>
      </c>
      <c r="R171">
        <f>H171*N171</f>
        <v/>
      </c>
      <c r="S171">
        <f>Q171+R171</f>
        <v/>
      </c>
      <c r="T171">
        <f>Q171*O171</f>
        <v/>
      </c>
      <c r="U171">
        <f>R171*O171</f>
        <v/>
      </c>
      <c r="V171">
        <f>SUMPRODUCT(S172:S543,O172:O543)/(N171*O171)</f>
        <v/>
      </c>
    </row>
    <row r="172">
      <c r="A172" t="n">
        <v>169</v>
      </c>
      <c r="B172">
        <f>A172/Inputs!$B$6</f>
        <v/>
      </c>
      <c r="C172">
        <f>Inputs!$B$3+B172</f>
        <v/>
      </c>
      <c r="D172">
        <f>INT(C172)</f>
        <v/>
      </c>
      <c r="E172">
        <f>Inputs!$B$7+1+INT((A172-1)/Inputs!$B$6)</f>
        <v/>
      </c>
      <c r="F172">
        <f>IFERROR(INDEX(IndexScenario!$B$4:$B$544,MATCH(A172,IndexScenario!$A$4:$A$544,0)),"")</f>
        <v/>
      </c>
      <c r="G172">
        <f>G171*F172/F171</f>
        <v/>
      </c>
      <c r="H172">
        <f>H171*(1+Inputs!$B$17)^(1/12)</f>
        <v/>
      </c>
      <c r="I172">
        <f>IFERROR(INDEX(BaseQx!$B:$B,MATCH(D172,BaseQx!$A:$A,0)),"")</f>
        <v/>
      </c>
      <c r="J172">
        <f>IF(Inputs!$B$13="rp_mp",SUMIFS(MP2016_Long!$C:$C,MP2016_Long!$A:$A,D172,MP2016_Long!$B:$B,"&gt;=2014",MP2016_Long!$B:$B,"&lt;"&amp;E172),0)</f>
        <v/>
      </c>
      <c r="K172">
        <f>MIN(0.999999,MAX(0,I172*EXP(J172)))</f>
        <v/>
      </c>
      <c r="L172">
        <f>-LN(1-K172)</f>
        <v/>
      </c>
      <c r="M172">
        <f>EXP(-L172/Inputs!$B$6)</f>
        <v/>
      </c>
      <c r="N172">
        <f>N171*M172</f>
        <v/>
      </c>
      <c r="O172">
        <f>IFERROR(INDEX(MonthlyCurve!$L:$L,MATCH(A172,MonthlyCurve!$A:$A,0)),"")</f>
        <v/>
      </c>
      <c r="P172">
        <f>IF(B172&gt;0,-LN(O172)/B172,"")</f>
        <v/>
      </c>
      <c r="Q172">
        <f>G172*N172</f>
        <v/>
      </c>
      <c r="R172">
        <f>H172*N172</f>
        <v/>
      </c>
      <c r="S172">
        <f>Q172+R172</f>
        <v/>
      </c>
      <c r="T172">
        <f>Q172*O172</f>
        <v/>
      </c>
      <c r="U172">
        <f>R172*O172</f>
        <v/>
      </c>
      <c r="V172">
        <f>SUMPRODUCT(S173:S543,O173:O543)/(N172*O172)</f>
        <v/>
      </c>
    </row>
    <row r="173">
      <c r="A173" t="n">
        <v>170</v>
      </c>
      <c r="B173">
        <f>A173/Inputs!$B$6</f>
        <v/>
      </c>
      <c r="C173">
        <f>Inputs!$B$3+B173</f>
        <v/>
      </c>
      <c r="D173">
        <f>INT(C173)</f>
        <v/>
      </c>
      <c r="E173">
        <f>Inputs!$B$7+1+INT((A173-1)/Inputs!$B$6)</f>
        <v/>
      </c>
      <c r="F173">
        <f>IFERROR(INDEX(IndexScenario!$B$4:$B$544,MATCH(A173,IndexScenario!$A$4:$A$544,0)),"")</f>
        <v/>
      </c>
      <c r="G173">
        <f>G172*F173/F172</f>
        <v/>
      </c>
      <c r="H173">
        <f>H172*(1+Inputs!$B$17)^(1/12)</f>
        <v/>
      </c>
      <c r="I173">
        <f>IFERROR(INDEX(BaseQx!$B:$B,MATCH(D173,BaseQx!$A:$A,0)),"")</f>
        <v/>
      </c>
      <c r="J173">
        <f>IF(Inputs!$B$13="rp_mp",SUMIFS(MP2016_Long!$C:$C,MP2016_Long!$A:$A,D173,MP2016_Long!$B:$B,"&gt;=2014",MP2016_Long!$B:$B,"&lt;"&amp;E173),0)</f>
        <v/>
      </c>
      <c r="K173">
        <f>MIN(0.999999,MAX(0,I173*EXP(J173)))</f>
        <v/>
      </c>
      <c r="L173">
        <f>-LN(1-K173)</f>
        <v/>
      </c>
      <c r="M173">
        <f>EXP(-L173/Inputs!$B$6)</f>
        <v/>
      </c>
      <c r="N173">
        <f>N172*M173</f>
        <v/>
      </c>
      <c r="O173">
        <f>IFERROR(INDEX(MonthlyCurve!$L:$L,MATCH(A173,MonthlyCurve!$A:$A,0)),"")</f>
        <v/>
      </c>
      <c r="P173">
        <f>IF(B173&gt;0,-LN(O173)/B173,"")</f>
        <v/>
      </c>
      <c r="Q173">
        <f>G173*N173</f>
        <v/>
      </c>
      <c r="R173">
        <f>H173*N173</f>
        <v/>
      </c>
      <c r="S173">
        <f>Q173+R173</f>
        <v/>
      </c>
      <c r="T173">
        <f>Q173*O173</f>
        <v/>
      </c>
      <c r="U173">
        <f>R173*O173</f>
        <v/>
      </c>
      <c r="V173">
        <f>SUMPRODUCT(S174:S543,O174:O543)/(N173*O173)</f>
        <v/>
      </c>
    </row>
    <row r="174">
      <c r="A174" t="n">
        <v>171</v>
      </c>
      <c r="B174">
        <f>A174/Inputs!$B$6</f>
        <v/>
      </c>
      <c r="C174">
        <f>Inputs!$B$3+B174</f>
        <v/>
      </c>
      <c r="D174">
        <f>INT(C174)</f>
        <v/>
      </c>
      <c r="E174">
        <f>Inputs!$B$7+1+INT((A174-1)/Inputs!$B$6)</f>
        <v/>
      </c>
      <c r="F174">
        <f>IFERROR(INDEX(IndexScenario!$B$4:$B$544,MATCH(A174,IndexScenario!$A$4:$A$544,0)),"")</f>
        <v/>
      </c>
      <c r="G174">
        <f>G173*F174/F173</f>
        <v/>
      </c>
      <c r="H174">
        <f>H173*(1+Inputs!$B$17)^(1/12)</f>
        <v/>
      </c>
      <c r="I174">
        <f>IFERROR(INDEX(BaseQx!$B:$B,MATCH(D174,BaseQx!$A:$A,0)),"")</f>
        <v/>
      </c>
      <c r="J174">
        <f>IF(Inputs!$B$13="rp_mp",SUMIFS(MP2016_Long!$C:$C,MP2016_Long!$A:$A,D174,MP2016_Long!$B:$B,"&gt;=2014",MP2016_Long!$B:$B,"&lt;"&amp;E174),0)</f>
        <v/>
      </c>
      <c r="K174">
        <f>MIN(0.999999,MAX(0,I174*EXP(J174)))</f>
        <v/>
      </c>
      <c r="L174">
        <f>-LN(1-K174)</f>
        <v/>
      </c>
      <c r="M174">
        <f>EXP(-L174/Inputs!$B$6)</f>
        <v/>
      </c>
      <c r="N174">
        <f>N173*M174</f>
        <v/>
      </c>
      <c r="O174">
        <f>IFERROR(INDEX(MonthlyCurve!$L:$L,MATCH(A174,MonthlyCurve!$A:$A,0)),"")</f>
        <v/>
      </c>
      <c r="P174">
        <f>IF(B174&gt;0,-LN(O174)/B174,"")</f>
        <v/>
      </c>
      <c r="Q174">
        <f>G174*N174</f>
        <v/>
      </c>
      <c r="R174">
        <f>H174*N174</f>
        <v/>
      </c>
      <c r="S174">
        <f>Q174+R174</f>
        <v/>
      </c>
      <c r="T174">
        <f>Q174*O174</f>
        <v/>
      </c>
      <c r="U174">
        <f>R174*O174</f>
        <v/>
      </c>
      <c r="V174">
        <f>SUMPRODUCT(S175:S543,O175:O543)/(N174*O174)</f>
        <v/>
      </c>
    </row>
    <row r="175">
      <c r="A175" t="n">
        <v>172</v>
      </c>
      <c r="B175">
        <f>A175/Inputs!$B$6</f>
        <v/>
      </c>
      <c r="C175">
        <f>Inputs!$B$3+B175</f>
        <v/>
      </c>
      <c r="D175">
        <f>INT(C175)</f>
        <v/>
      </c>
      <c r="E175">
        <f>Inputs!$B$7+1+INT((A175-1)/Inputs!$B$6)</f>
        <v/>
      </c>
      <c r="F175">
        <f>IFERROR(INDEX(IndexScenario!$B$4:$B$544,MATCH(A175,IndexScenario!$A$4:$A$544,0)),"")</f>
        <v/>
      </c>
      <c r="G175">
        <f>G174*F175/F174</f>
        <v/>
      </c>
      <c r="H175">
        <f>H174*(1+Inputs!$B$17)^(1/12)</f>
        <v/>
      </c>
      <c r="I175">
        <f>IFERROR(INDEX(BaseQx!$B:$B,MATCH(D175,BaseQx!$A:$A,0)),"")</f>
        <v/>
      </c>
      <c r="J175">
        <f>IF(Inputs!$B$13="rp_mp",SUMIFS(MP2016_Long!$C:$C,MP2016_Long!$A:$A,D175,MP2016_Long!$B:$B,"&gt;=2014",MP2016_Long!$B:$B,"&lt;"&amp;E175),0)</f>
        <v/>
      </c>
      <c r="K175">
        <f>MIN(0.999999,MAX(0,I175*EXP(J175)))</f>
        <v/>
      </c>
      <c r="L175">
        <f>-LN(1-K175)</f>
        <v/>
      </c>
      <c r="M175">
        <f>EXP(-L175/Inputs!$B$6)</f>
        <v/>
      </c>
      <c r="N175">
        <f>N174*M175</f>
        <v/>
      </c>
      <c r="O175">
        <f>IFERROR(INDEX(MonthlyCurve!$L:$L,MATCH(A175,MonthlyCurve!$A:$A,0)),"")</f>
        <v/>
      </c>
      <c r="P175">
        <f>IF(B175&gt;0,-LN(O175)/B175,"")</f>
        <v/>
      </c>
      <c r="Q175">
        <f>G175*N175</f>
        <v/>
      </c>
      <c r="R175">
        <f>H175*N175</f>
        <v/>
      </c>
      <c r="S175">
        <f>Q175+R175</f>
        <v/>
      </c>
      <c r="T175">
        <f>Q175*O175</f>
        <v/>
      </c>
      <c r="U175">
        <f>R175*O175</f>
        <v/>
      </c>
      <c r="V175">
        <f>SUMPRODUCT(S176:S543,O176:O543)/(N175*O175)</f>
        <v/>
      </c>
    </row>
    <row r="176">
      <c r="A176" t="n">
        <v>173</v>
      </c>
      <c r="B176">
        <f>A176/Inputs!$B$6</f>
        <v/>
      </c>
      <c r="C176">
        <f>Inputs!$B$3+B176</f>
        <v/>
      </c>
      <c r="D176">
        <f>INT(C176)</f>
        <v/>
      </c>
      <c r="E176">
        <f>Inputs!$B$7+1+INT((A176-1)/Inputs!$B$6)</f>
        <v/>
      </c>
      <c r="F176">
        <f>IFERROR(INDEX(IndexScenario!$B$4:$B$544,MATCH(A176,IndexScenario!$A$4:$A$544,0)),"")</f>
        <v/>
      </c>
      <c r="G176">
        <f>G175*F176/F175</f>
        <v/>
      </c>
      <c r="H176">
        <f>H175*(1+Inputs!$B$17)^(1/12)</f>
        <v/>
      </c>
      <c r="I176">
        <f>IFERROR(INDEX(BaseQx!$B:$B,MATCH(D176,BaseQx!$A:$A,0)),"")</f>
        <v/>
      </c>
      <c r="J176">
        <f>IF(Inputs!$B$13="rp_mp",SUMIFS(MP2016_Long!$C:$C,MP2016_Long!$A:$A,D176,MP2016_Long!$B:$B,"&gt;=2014",MP2016_Long!$B:$B,"&lt;"&amp;E176),0)</f>
        <v/>
      </c>
      <c r="K176">
        <f>MIN(0.999999,MAX(0,I176*EXP(J176)))</f>
        <v/>
      </c>
      <c r="L176">
        <f>-LN(1-K176)</f>
        <v/>
      </c>
      <c r="M176">
        <f>EXP(-L176/Inputs!$B$6)</f>
        <v/>
      </c>
      <c r="N176">
        <f>N175*M176</f>
        <v/>
      </c>
      <c r="O176">
        <f>IFERROR(INDEX(MonthlyCurve!$L:$L,MATCH(A176,MonthlyCurve!$A:$A,0)),"")</f>
        <v/>
      </c>
      <c r="P176">
        <f>IF(B176&gt;0,-LN(O176)/B176,"")</f>
        <v/>
      </c>
      <c r="Q176">
        <f>G176*N176</f>
        <v/>
      </c>
      <c r="R176">
        <f>H176*N176</f>
        <v/>
      </c>
      <c r="S176">
        <f>Q176+R176</f>
        <v/>
      </c>
      <c r="T176">
        <f>Q176*O176</f>
        <v/>
      </c>
      <c r="U176">
        <f>R176*O176</f>
        <v/>
      </c>
      <c r="V176">
        <f>SUMPRODUCT(S177:S543,O177:O543)/(N176*O176)</f>
        <v/>
      </c>
    </row>
    <row r="177">
      <c r="A177" t="n">
        <v>174</v>
      </c>
      <c r="B177">
        <f>A177/Inputs!$B$6</f>
        <v/>
      </c>
      <c r="C177">
        <f>Inputs!$B$3+B177</f>
        <v/>
      </c>
      <c r="D177">
        <f>INT(C177)</f>
        <v/>
      </c>
      <c r="E177">
        <f>Inputs!$B$7+1+INT((A177-1)/Inputs!$B$6)</f>
        <v/>
      </c>
      <c r="F177">
        <f>IFERROR(INDEX(IndexScenario!$B$4:$B$544,MATCH(A177,IndexScenario!$A$4:$A$544,0)),"")</f>
        <v/>
      </c>
      <c r="G177">
        <f>G176*F177/F176</f>
        <v/>
      </c>
      <c r="H177">
        <f>H176*(1+Inputs!$B$17)^(1/12)</f>
        <v/>
      </c>
      <c r="I177">
        <f>IFERROR(INDEX(BaseQx!$B:$B,MATCH(D177,BaseQx!$A:$A,0)),"")</f>
        <v/>
      </c>
      <c r="J177">
        <f>IF(Inputs!$B$13="rp_mp",SUMIFS(MP2016_Long!$C:$C,MP2016_Long!$A:$A,D177,MP2016_Long!$B:$B,"&gt;=2014",MP2016_Long!$B:$B,"&lt;"&amp;E177),0)</f>
        <v/>
      </c>
      <c r="K177">
        <f>MIN(0.999999,MAX(0,I177*EXP(J177)))</f>
        <v/>
      </c>
      <c r="L177">
        <f>-LN(1-K177)</f>
        <v/>
      </c>
      <c r="M177">
        <f>EXP(-L177/Inputs!$B$6)</f>
        <v/>
      </c>
      <c r="N177">
        <f>N176*M177</f>
        <v/>
      </c>
      <c r="O177">
        <f>IFERROR(INDEX(MonthlyCurve!$L:$L,MATCH(A177,MonthlyCurve!$A:$A,0)),"")</f>
        <v/>
      </c>
      <c r="P177">
        <f>IF(B177&gt;0,-LN(O177)/B177,"")</f>
        <v/>
      </c>
      <c r="Q177">
        <f>G177*N177</f>
        <v/>
      </c>
      <c r="R177">
        <f>H177*N177</f>
        <v/>
      </c>
      <c r="S177">
        <f>Q177+R177</f>
        <v/>
      </c>
      <c r="T177">
        <f>Q177*O177</f>
        <v/>
      </c>
      <c r="U177">
        <f>R177*O177</f>
        <v/>
      </c>
      <c r="V177">
        <f>SUMPRODUCT(S178:S543,O178:O543)/(N177*O177)</f>
        <v/>
      </c>
    </row>
    <row r="178">
      <c r="A178" t="n">
        <v>175</v>
      </c>
      <c r="B178">
        <f>A178/Inputs!$B$6</f>
        <v/>
      </c>
      <c r="C178">
        <f>Inputs!$B$3+B178</f>
        <v/>
      </c>
      <c r="D178">
        <f>INT(C178)</f>
        <v/>
      </c>
      <c r="E178">
        <f>Inputs!$B$7+1+INT((A178-1)/Inputs!$B$6)</f>
        <v/>
      </c>
      <c r="F178">
        <f>IFERROR(INDEX(IndexScenario!$B$4:$B$544,MATCH(A178,IndexScenario!$A$4:$A$544,0)),"")</f>
        <v/>
      </c>
      <c r="G178">
        <f>G177*F178/F177</f>
        <v/>
      </c>
      <c r="H178">
        <f>H177*(1+Inputs!$B$17)^(1/12)</f>
        <v/>
      </c>
      <c r="I178">
        <f>IFERROR(INDEX(BaseQx!$B:$B,MATCH(D178,BaseQx!$A:$A,0)),"")</f>
        <v/>
      </c>
      <c r="J178">
        <f>IF(Inputs!$B$13="rp_mp",SUMIFS(MP2016_Long!$C:$C,MP2016_Long!$A:$A,D178,MP2016_Long!$B:$B,"&gt;=2014",MP2016_Long!$B:$B,"&lt;"&amp;E178),0)</f>
        <v/>
      </c>
      <c r="K178">
        <f>MIN(0.999999,MAX(0,I178*EXP(J178)))</f>
        <v/>
      </c>
      <c r="L178">
        <f>-LN(1-K178)</f>
        <v/>
      </c>
      <c r="M178">
        <f>EXP(-L178/Inputs!$B$6)</f>
        <v/>
      </c>
      <c r="N178">
        <f>N177*M178</f>
        <v/>
      </c>
      <c r="O178">
        <f>IFERROR(INDEX(MonthlyCurve!$L:$L,MATCH(A178,MonthlyCurve!$A:$A,0)),"")</f>
        <v/>
      </c>
      <c r="P178">
        <f>IF(B178&gt;0,-LN(O178)/B178,"")</f>
        <v/>
      </c>
      <c r="Q178">
        <f>G178*N178</f>
        <v/>
      </c>
      <c r="R178">
        <f>H178*N178</f>
        <v/>
      </c>
      <c r="S178">
        <f>Q178+R178</f>
        <v/>
      </c>
      <c r="T178">
        <f>Q178*O178</f>
        <v/>
      </c>
      <c r="U178">
        <f>R178*O178</f>
        <v/>
      </c>
      <c r="V178">
        <f>SUMPRODUCT(S179:S543,O179:O543)/(N178*O178)</f>
        <v/>
      </c>
    </row>
    <row r="179">
      <c r="A179" t="n">
        <v>176</v>
      </c>
      <c r="B179">
        <f>A179/Inputs!$B$6</f>
        <v/>
      </c>
      <c r="C179">
        <f>Inputs!$B$3+B179</f>
        <v/>
      </c>
      <c r="D179">
        <f>INT(C179)</f>
        <v/>
      </c>
      <c r="E179">
        <f>Inputs!$B$7+1+INT((A179-1)/Inputs!$B$6)</f>
        <v/>
      </c>
      <c r="F179">
        <f>IFERROR(INDEX(IndexScenario!$B$4:$B$544,MATCH(A179,IndexScenario!$A$4:$A$544,0)),"")</f>
        <v/>
      </c>
      <c r="G179">
        <f>G178*F179/F178</f>
        <v/>
      </c>
      <c r="H179">
        <f>H178*(1+Inputs!$B$17)^(1/12)</f>
        <v/>
      </c>
      <c r="I179">
        <f>IFERROR(INDEX(BaseQx!$B:$B,MATCH(D179,BaseQx!$A:$A,0)),"")</f>
        <v/>
      </c>
      <c r="J179">
        <f>IF(Inputs!$B$13="rp_mp",SUMIFS(MP2016_Long!$C:$C,MP2016_Long!$A:$A,D179,MP2016_Long!$B:$B,"&gt;=2014",MP2016_Long!$B:$B,"&lt;"&amp;E179),0)</f>
        <v/>
      </c>
      <c r="K179">
        <f>MIN(0.999999,MAX(0,I179*EXP(J179)))</f>
        <v/>
      </c>
      <c r="L179">
        <f>-LN(1-K179)</f>
        <v/>
      </c>
      <c r="M179">
        <f>EXP(-L179/Inputs!$B$6)</f>
        <v/>
      </c>
      <c r="N179">
        <f>N178*M179</f>
        <v/>
      </c>
      <c r="O179">
        <f>IFERROR(INDEX(MonthlyCurve!$L:$L,MATCH(A179,MonthlyCurve!$A:$A,0)),"")</f>
        <v/>
      </c>
      <c r="P179">
        <f>IF(B179&gt;0,-LN(O179)/B179,"")</f>
        <v/>
      </c>
      <c r="Q179">
        <f>G179*N179</f>
        <v/>
      </c>
      <c r="R179">
        <f>H179*N179</f>
        <v/>
      </c>
      <c r="S179">
        <f>Q179+R179</f>
        <v/>
      </c>
      <c r="T179">
        <f>Q179*O179</f>
        <v/>
      </c>
      <c r="U179">
        <f>R179*O179</f>
        <v/>
      </c>
      <c r="V179">
        <f>SUMPRODUCT(S180:S543,O180:O543)/(N179*O179)</f>
        <v/>
      </c>
    </row>
    <row r="180">
      <c r="A180" t="n">
        <v>177</v>
      </c>
      <c r="B180">
        <f>A180/Inputs!$B$6</f>
        <v/>
      </c>
      <c r="C180">
        <f>Inputs!$B$3+B180</f>
        <v/>
      </c>
      <c r="D180">
        <f>INT(C180)</f>
        <v/>
      </c>
      <c r="E180">
        <f>Inputs!$B$7+1+INT((A180-1)/Inputs!$B$6)</f>
        <v/>
      </c>
      <c r="F180">
        <f>IFERROR(INDEX(IndexScenario!$B$4:$B$544,MATCH(A180,IndexScenario!$A$4:$A$544,0)),"")</f>
        <v/>
      </c>
      <c r="G180">
        <f>G179*F180/F179</f>
        <v/>
      </c>
      <c r="H180">
        <f>H179*(1+Inputs!$B$17)^(1/12)</f>
        <v/>
      </c>
      <c r="I180">
        <f>IFERROR(INDEX(BaseQx!$B:$B,MATCH(D180,BaseQx!$A:$A,0)),"")</f>
        <v/>
      </c>
      <c r="J180">
        <f>IF(Inputs!$B$13="rp_mp",SUMIFS(MP2016_Long!$C:$C,MP2016_Long!$A:$A,D180,MP2016_Long!$B:$B,"&gt;=2014",MP2016_Long!$B:$B,"&lt;"&amp;E180),0)</f>
        <v/>
      </c>
      <c r="K180">
        <f>MIN(0.999999,MAX(0,I180*EXP(J180)))</f>
        <v/>
      </c>
      <c r="L180">
        <f>-LN(1-K180)</f>
        <v/>
      </c>
      <c r="M180">
        <f>EXP(-L180/Inputs!$B$6)</f>
        <v/>
      </c>
      <c r="N180">
        <f>N179*M180</f>
        <v/>
      </c>
      <c r="O180">
        <f>IFERROR(INDEX(MonthlyCurve!$L:$L,MATCH(A180,MonthlyCurve!$A:$A,0)),"")</f>
        <v/>
      </c>
      <c r="P180">
        <f>IF(B180&gt;0,-LN(O180)/B180,"")</f>
        <v/>
      </c>
      <c r="Q180">
        <f>G180*N180</f>
        <v/>
      </c>
      <c r="R180">
        <f>H180*N180</f>
        <v/>
      </c>
      <c r="S180">
        <f>Q180+R180</f>
        <v/>
      </c>
      <c r="T180">
        <f>Q180*O180</f>
        <v/>
      </c>
      <c r="U180">
        <f>R180*O180</f>
        <v/>
      </c>
      <c r="V180">
        <f>SUMPRODUCT(S181:S543,O181:O543)/(N180*O180)</f>
        <v/>
      </c>
    </row>
    <row r="181">
      <c r="A181" t="n">
        <v>178</v>
      </c>
      <c r="B181">
        <f>A181/Inputs!$B$6</f>
        <v/>
      </c>
      <c r="C181">
        <f>Inputs!$B$3+B181</f>
        <v/>
      </c>
      <c r="D181">
        <f>INT(C181)</f>
        <v/>
      </c>
      <c r="E181">
        <f>Inputs!$B$7+1+INT((A181-1)/Inputs!$B$6)</f>
        <v/>
      </c>
      <c r="F181">
        <f>IFERROR(INDEX(IndexScenario!$B$4:$B$544,MATCH(A181,IndexScenario!$A$4:$A$544,0)),"")</f>
        <v/>
      </c>
      <c r="G181">
        <f>G180*F181/F180</f>
        <v/>
      </c>
      <c r="H181">
        <f>H180*(1+Inputs!$B$17)^(1/12)</f>
        <v/>
      </c>
      <c r="I181">
        <f>IFERROR(INDEX(BaseQx!$B:$B,MATCH(D181,BaseQx!$A:$A,0)),"")</f>
        <v/>
      </c>
      <c r="J181">
        <f>IF(Inputs!$B$13="rp_mp",SUMIFS(MP2016_Long!$C:$C,MP2016_Long!$A:$A,D181,MP2016_Long!$B:$B,"&gt;=2014",MP2016_Long!$B:$B,"&lt;"&amp;E181),0)</f>
        <v/>
      </c>
      <c r="K181">
        <f>MIN(0.999999,MAX(0,I181*EXP(J181)))</f>
        <v/>
      </c>
      <c r="L181">
        <f>-LN(1-K181)</f>
        <v/>
      </c>
      <c r="M181">
        <f>EXP(-L181/Inputs!$B$6)</f>
        <v/>
      </c>
      <c r="N181">
        <f>N180*M181</f>
        <v/>
      </c>
      <c r="O181">
        <f>IFERROR(INDEX(MonthlyCurve!$L:$L,MATCH(A181,MonthlyCurve!$A:$A,0)),"")</f>
        <v/>
      </c>
      <c r="P181">
        <f>IF(B181&gt;0,-LN(O181)/B181,"")</f>
        <v/>
      </c>
      <c r="Q181">
        <f>G181*N181</f>
        <v/>
      </c>
      <c r="R181">
        <f>H181*N181</f>
        <v/>
      </c>
      <c r="S181">
        <f>Q181+R181</f>
        <v/>
      </c>
      <c r="T181">
        <f>Q181*O181</f>
        <v/>
      </c>
      <c r="U181">
        <f>R181*O181</f>
        <v/>
      </c>
      <c r="V181">
        <f>SUMPRODUCT(S182:S543,O182:O543)/(N181*O181)</f>
        <v/>
      </c>
    </row>
    <row r="182">
      <c r="A182" t="n">
        <v>179</v>
      </c>
      <c r="B182">
        <f>A182/Inputs!$B$6</f>
        <v/>
      </c>
      <c r="C182">
        <f>Inputs!$B$3+B182</f>
        <v/>
      </c>
      <c r="D182">
        <f>INT(C182)</f>
        <v/>
      </c>
      <c r="E182">
        <f>Inputs!$B$7+1+INT((A182-1)/Inputs!$B$6)</f>
        <v/>
      </c>
      <c r="F182">
        <f>IFERROR(INDEX(IndexScenario!$B$4:$B$544,MATCH(A182,IndexScenario!$A$4:$A$544,0)),"")</f>
        <v/>
      </c>
      <c r="G182">
        <f>G181*F182/F181</f>
        <v/>
      </c>
      <c r="H182">
        <f>H181*(1+Inputs!$B$17)^(1/12)</f>
        <v/>
      </c>
      <c r="I182">
        <f>IFERROR(INDEX(BaseQx!$B:$B,MATCH(D182,BaseQx!$A:$A,0)),"")</f>
        <v/>
      </c>
      <c r="J182">
        <f>IF(Inputs!$B$13="rp_mp",SUMIFS(MP2016_Long!$C:$C,MP2016_Long!$A:$A,D182,MP2016_Long!$B:$B,"&gt;=2014",MP2016_Long!$B:$B,"&lt;"&amp;E182),0)</f>
        <v/>
      </c>
      <c r="K182">
        <f>MIN(0.999999,MAX(0,I182*EXP(J182)))</f>
        <v/>
      </c>
      <c r="L182">
        <f>-LN(1-K182)</f>
        <v/>
      </c>
      <c r="M182">
        <f>EXP(-L182/Inputs!$B$6)</f>
        <v/>
      </c>
      <c r="N182">
        <f>N181*M182</f>
        <v/>
      </c>
      <c r="O182">
        <f>IFERROR(INDEX(MonthlyCurve!$L:$L,MATCH(A182,MonthlyCurve!$A:$A,0)),"")</f>
        <v/>
      </c>
      <c r="P182">
        <f>IF(B182&gt;0,-LN(O182)/B182,"")</f>
        <v/>
      </c>
      <c r="Q182">
        <f>G182*N182</f>
        <v/>
      </c>
      <c r="R182">
        <f>H182*N182</f>
        <v/>
      </c>
      <c r="S182">
        <f>Q182+R182</f>
        <v/>
      </c>
      <c r="T182">
        <f>Q182*O182</f>
        <v/>
      </c>
      <c r="U182">
        <f>R182*O182</f>
        <v/>
      </c>
      <c r="V182">
        <f>SUMPRODUCT(S183:S543,O183:O543)/(N182*O182)</f>
        <v/>
      </c>
    </row>
    <row r="183">
      <c r="A183" t="n">
        <v>180</v>
      </c>
      <c r="B183">
        <f>A183/Inputs!$B$6</f>
        <v/>
      </c>
      <c r="C183">
        <f>Inputs!$B$3+B183</f>
        <v/>
      </c>
      <c r="D183">
        <f>INT(C183)</f>
        <v/>
      </c>
      <c r="E183">
        <f>Inputs!$B$7+1+INT((A183-1)/Inputs!$B$6)</f>
        <v/>
      </c>
      <c r="F183">
        <f>IFERROR(INDEX(IndexScenario!$B$4:$B$544,MATCH(A183,IndexScenario!$A$4:$A$544,0)),"")</f>
        <v/>
      </c>
      <c r="G183">
        <f>G182*F183/F182</f>
        <v/>
      </c>
      <c r="H183">
        <f>H182*(1+Inputs!$B$17)^(1/12)</f>
        <v/>
      </c>
      <c r="I183">
        <f>IFERROR(INDEX(BaseQx!$B:$B,MATCH(D183,BaseQx!$A:$A,0)),"")</f>
        <v/>
      </c>
      <c r="J183">
        <f>IF(Inputs!$B$13="rp_mp",SUMIFS(MP2016_Long!$C:$C,MP2016_Long!$A:$A,D183,MP2016_Long!$B:$B,"&gt;=2014",MP2016_Long!$B:$B,"&lt;"&amp;E183),0)</f>
        <v/>
      </c>
      <c r="K183">
        <f>MIN(0.999999,MAX(0,I183*EXP(J183)))</f>
        <v/>
      </c>
      <c r="L183">
        <f>-LN(1-K183)</f>
        <v/>
      </c>
      <c r="M183">
        <f>EXP(-L183/Inputs!$B$6)</f>
        <v/>
      </c>
      <c r="N183">
        <f>N182*M183</f>
        <v/>
      </c>
      <c r="O183">
        <f>IFERROR(INDEX(MonthlyCurve!$L:$L,MATCH(A183,MonthlyCurve!$A:$A,0)),"")</f>
        <v/>
      </c>
      <c r="P183">
        <f>IF(B183&gt;0,-LN(O183)/B183,"")</f>
        <v/>
      </c>
      <c r="Q183">
        <f>G183*N183</f>
        <v/>
      </c>
      <c r="R183">
        <f>H183*N183</f>
        <v/>
      </c>
      <c r="S183">
        <f>Q183+R183</f>
        <v/>
      </c>
      <c r="T183">
        <f>Q183*O183</f>
        <v/>
      </c>
      <c r="U183">
        <f>R183*O183</f>
        <v/>
      </c>
      <c r="V183">
        <f>SUMPRODUCT(S184:S543,O184:O543)/(N183*O183)</f>
        <v/>
      </c>
    </row>
    <row r="184">
      <c r="A184" t="n">
        <v>181</v>
      </c>
      <c r="B184">
        <f>A184/Inputs!$B$6</f>
        <v/>
      </c>
      <c r="C184">
        <f>Inputs!$B$3+B184</f>
        <v/>
      </c>
      <c r="D184">
        <f>INT(C184)</f>
        <v/>
      </c>
      <c r="E184">
        <f>Inputs!$B$7+1+INT((A184-1)/Inputs!$B$6)</f>
        <v/>
      </c>
      <c r="F184">
        <f>IFERROR(INDEX(IndexScenario!$B$4:$B$544,MATCH(A184,IndexScenario!$A$4:$A$544,0)),"")</f>
        <v/>
      </c>
      <c r="G184">
        <f>G183*F184/F183</f>
        <v/>
      </c>
      <c r="H184">
        <f>H183*(1+Inputs!$B$17)^(1/12)</f>
        <v/>
      </c>
      <c r="I184">
        <f>IFERROR(INDEX(BaseQx!$B:$B,MATCH(D184,BaseQx!$A:$A,0)),"")</f>
        <v/>
      </c>
      <c r="J184">
        <f>IF(Inputs!$B$13="rp_mp",SUMIFS(MP2016_Long!$C:$C,MP2016_Long!$A:$A,D184,MP2016_Long!$B:$B,"&gt;=2014",MP2016_Long!$B:$B,"&lt;"&amp;E184),0)</f>
        <v/>
      </c>
      <c r="K184">
        <f>MIN(0.999999,MAX(0,I184*EXP(J184)))</f>
        <v/>
      </c>
      <c r="L184">
        <f>-LN(1-K184)</f>
        <v/>
      </c>
      <c r="M184">
        <f>EXP(-L184/Inputs!$B$6)</f>
        <v/>
      </c>
      <c r="N184">
        <f>N183*M184</f>
        <v/>
      </c>
      <c r="O184">
        <f>IFERROR(INDEX(MonthlyCurve!$L:$L,MATCH(A184,MonthlyCurve!$A:$A,0)),"")</f>
        <v/>
      </c>
      <c r="P184">
        <f>IF(B184&gt;0,-LN(O184)/B184,"")</f>
        <v/>
      </c>
      <c r="Q184">
        <f>G184*N184</f>
        <v/>
      </c>
      <c r="R184">
        <f>H184*N184</f>
        <v/>
      </c>
      <c r="S184">
        <f>Q184+R184</f>
        <v/>
      </c>
      <c r="T184">
        <f>Q184*O184</f>
        <v/>
      </c>
      <c r="U184">
        <f>R184*O184</f>
        <v/>
      </c>
      <c r="V184">
        <f>SUMPRODUCT(S185:S543,O185:O543)/(N184*O184)</f>
        <v/>
      </c>
    </row>
    <row r="185">
      <c r="A185" t="n">
        <v>182</v>
      </c>
      <c r="B185">
        <f>A185/Inputs!$B$6</f>
        <v/>
      </c>
      <c r="C185">
        <f>Inputs!$B$3+B185</f>
        <v/>
      </c>
      <c r="D185">
        <f>INT(C185)</f>
        <v/>
      </c>
      <c r="E185">
        <f>Inputs!$B$7+1+INT((A185-1)/Inputs!$B$6)</f>
        <v/>
      </c>
      <c r="F185">
        <f>IFERROR(INDEX(IndexScenario!$B$4:$B$544,MATCH(A185,IndexScenario!$A$4:$A$544,0)),"")</f>
        <v/>
      </c>
      <c r="G185">
        <f>G184*F185/F184</f>
        <v/>
      </c>
      <c r="H185">
        <f>H184*(1+Inputs!$B$17)^(1/12)</f>
        <v/>
      </c>
      <c r="I185">
        <f>IFERROR(INDEX(BaseQx!$B:$B,MATCH(D185,BaseQx!$A:$A,0)),"")</f>
        <v/>
      </c>
      <c r="J185">
        <f>IF(Inputs!$B$13="rp_mp",SUMIFS(MP2016_Long!$C:$C,MP2016_Long!$A:$A,D185,MP2016_Long!$B:$B,"&gt;=2014",MP2016_Long!$B:$B,"&lt;"&amp;E185),0)</f>
        <v/>
      </c>
      <c r="K185">
        <f>MIN(0.999999,MAX(0,I185*EXP(J185)))</f>
        <v/>
      </c>
      <c r="L185">
        <f>-LN(1-K185)</f>
        <v/>
      </c>
      <c r="M185">
        <f>EXP(-L185/Inputs!$B$6)</f>
        <v/>
      </c>
      <c r="N185">
        <f>N184*M185</f>
        <v/>
      </c>
      <c r="O185">
        <f>IFERROR(INDEX(MonthlyCurve!$L:$L,MATCH(A185,MonthlyCurve!$A:$A,0)),"")</f>
        <v/>
      </c>
      <c r="P185">
        <f>IF(B185&gt;0,-LN(O185)/B185,"")</f>
        <v/>
      </c>
      <c r="Q185">
        <f>G185*N185</f>
        <v/>
      </c>
      <c r="R185">
        <f>H185*N185</f>
        <v/>
      </c>
      <c r="S185">
        <f>Q185+R185</f>
        <v/>
      </c>
      <c r="T185">
        <f>Q185*O185</f>
        <v/>
      </c>
      <c r="U185">
        <f>R185*O185</f>
        <v/>
      </c>
      <c r="V185">
        <f>SUMPRODUCT(S186:S543,O186:O543)/(N185*O185)</f>
        <v/>
      </c>
    </row>
    <row r="186">
      <c r="A186" t="n">
        <v>183</v>
      </c>
      <c r="B186">
        <f>A186/Inputs!$B$6</f>
        <v/>
      </c>
      <c r="C186">
        <f>Inputs!$B$3+B186</f>
        <v/>
      </c>
      <c r="D186">
        <f>INT(C186)</f>
        <v/>
      </c>
      <c r="E186">
        <f>Inputs!$B$7+1+INT((A186-1)/Inputs!$B$6)</f>
        <v/>
      </c>
      <c r="F186">
        <f>IFERROR(INDEX(IndexScenario!$B$4:$B$544,MATCH(A186,IndexScenario!$A$4:$A$544,0)),"")</f>
        <v/>
      </c>
      <c r="G186">
        <f>G185*F186/F185</f>
        <v/>
      </c>
      <c r="H186">
        <f>H185*(1+Inputs!$B$17)^(1/12)</f>
        <v/>
      </c>
      <c r="I186">
        <f>IFERROR(INDEX(BaseQx!$B:$B,MATCH(D186,BaseQx!$A:$A,0)),"")</f>
        <v/>
      </c>
      <c r="J186">
        <f>IF(Inputs!$B$13="rp_mp",SUMIFS(MP2016_Long!$C:$C,MP2016_Long!$A:$A,D186,MP2016_Long!$B:$B,"&gt;=2014",MP2016_Long!$B:$B,"&lt;"&amp;E186),0)</f>
        <v/>
      </c>
      <c r="K186">
        <f>MIN(0.999999,MAX(0,I186*EXP(J186)))</f>
        <v/>
      </c>
      <c r="L186">
        <f>-LN(1-K186)</f>
        <v/>
      </c>
      <c r="M186">
        <f>EXP(-L186/Inputs!$B$6)</f>
        <v/>
      </c>
      <c r="N186">
        <f>N185*M186</f>
        <v/>
      </c>
      <c r="O186">
        <f>IFERROR(INDEX(MonthlyCurve!$L:$L,MATCH(A186,MonthlyCurve!$A:$A,0)),"")</f>
        <v/>
      </c>
      <c r="P186">
        <f>IF(B186&gt;0,-LN(O186)/B186,"")</f>
        <v/>
      </c>
      <c r="Q186">
        <f>G186*N186</f>
        <v/>
      </c>
      <c r="R186">
        <f>H186*N186</f>
        <v/>
      </c>
      <c r="S186">
        <f>Q186+R186</f>
        <v/>
      </c>
      <c r="T186">
        <f>Q186*O186</f>
        <v/>
      </c>
      <c r="U186">
        <f>R186*O186</f>
        <v/>
      </c>
      <c r="V186">
        <f>SUMPRODUCT(S187:S543,O187:O543)/(N186*O186)</f>
        <v/>
      </c>
    </row>
    <row r="187">
      <c r="A187" t="n">
        <v>184</v>
      </c>
      <c r="B187">
        <f>A187/Inputs!$B$6</f>
        <v/>
      </c>
      <c r="C187">
        <f>Inputs!$B$3+B187</f>
        <v/>
      </c>
      <c r="D187">
        <f>INT(C187)</f>
        <v/>
      </c>
      <c r="E187">
        <f>Inputs!$B$7+1+INT((A187-1)/Inputs!$B$6)</f>
        <v/>
      </c>
      <c r="F187">
        <f>IFERROR(INDEX(IndexScenario!$B$4:$B$544,MATCH(A187,IndexScenario!$A$4:$A$544,0)),"")</f>
        <v/>
      </c>
      <c r="G187">
        <f>G186*F187/F186</f>
        <v/>
      </c>
      <c r="H187">
        <f>H186*(1+Inputs!$B$17)^(1/12)</f>
        <v/>
      </c>
      <c r="I187">
        <f>IFERROR(INDEX(BaseQx!$B:$B,MATCH(D187,BaseQx!$A:$A,0)),"")</f>
        <v/>
      </c>
      <c r="J187">
        <f>IF(Inputs!$B$13="rp_mp",SUMIFS(MP2016_Long!$C:$C,MP2016_Long!$A:$A,D187,MP2016_Long!$B:$B,"&gt;=2014",MP2016_Long!$B:$B,"&lt;"&amp;E187),0)</f>
        <v/>
      </c>
      <c r="K187">
        <f>MIN(0.999999,MAX(0,I187*EXP(J187)))</f>
        <v/>
      </c>
      <c r="L187">
        <f>-LN(1-K187)</f>
        <v/>
      </c>
      <c r="M187">
        <f>EXP(-L187/Inputs!$B$6)</f>
        <v/>
      </c>
      <c r="N187">
        <f>N186*M187</f>
        <v/>
      </c>
      <c r="O187">
        <f>IFERROR(INDEX(MonthlyCurve!$L:$L,MATCH(A187,MonthlyCurve!$A:$A,0)),"")</f>
        <v/>
      </c>
      <c r="P187">
        <f>IF(B187&gt;0,-LN(O187)/B187,"")</f>
        <v/>
      </c>
      <c r="Q187">
        <f>G187*N187</f>
        <v/>
      </c>
      <c r="R187">
        <f>H187*N187</f>
        <v/>
      </c>
      <c r="S187">
        <f>Q187+R187</f>
        <v/>
      </c>
      <c r="T187">
        <f>Q187*O187</f>
        <v/>
      </c>
      <c r="U187">
        <f>R187*O187</f>
        <v/>
      </c>
      <c r="V187">
        <f>SUMPRODUCT(S188:S543,O188:O543)/(N187*O187)</f>
        <v/>
      </c>
    </row>
    <row r="188">
      <c r="A188" t="n">
        <v>185</v>
      </c>
      <c r="B188">
        <f>A188/Inputs!$B$6</f>
        <v/>
      </c>
      <c r="C188">
        <f>Inputs!$B$3+B188</f>
        <v/>
      </c>
      <c r="D188">
        <f>INT(C188)</f>
        <v/>
      </c>
      <c r="E188">
        <f>Inputs!$B$7+1+INT((A188-1)/Inputs!$B$6)</f>
        <v/>
      </c>
      <c r="F188">
        <f>IFERROR(INDEX(IndexScenario!$B$4:$B$544,MATCH(A188,IndexScenario!$A$4:$A$544,0)),"")</f>
        <v/>
      </c>
      <c r="G188">
        <f>G187*F188/F187</f>
        <v/>
      </c>
      <c r="H188">
        <f>H187*(1+Inputs!$B$17)^(1/12)</f>
        <v/>
      </c>
      <c r="I188">
        <f>IFERROR(INDEX(BaseQx!$B:$B,MATCH(D188,BaseQx!$A:$A,0)),"")</f>
        <v/>
      </c>
      <c r="J188">
        <f>IF(Inputs!$B$13="rp_mp",SUMIFS(MP2016_Long!$C:$C,MP2016_Long!$A:$A,D188,MP2016_Long!$B:$B,"&gt;=2014",MP2016_Long!$B:$B,"&lt;"&amp;E188),0)</f>
        <v/>
      </c>
      <c r="K188">
        <f>MIN(0.999999,MAX(0,I188*EXP(J188)))</f>
        <v/>
      </c>
      <c r="L188">
        <f>-LN(1-K188)</f>
        <v/>
      </c>
      <c r="M188">
        <f>EXP(-L188/Inputs!$B$6)</f>
        <v/>
      </c>
      <c r="N188">
        <f>N187*M188</f>
        <v/>
      </c>
      <c r="O188">
        <f>IFERROR(INDEX(MonthlyCurve!$L:$L,MATCH(A188,MonthlyCurve!$A:$A,0)),"")</f>
        <v/>
      </c>
      <c r="P188">
        <f>IF(B188&gt;0,-LN(O188)/B188,"")</f>
        <v/>
      </c>
      <c r="Q188">
        <f>G188*N188</f>
        <v/>
      </c>
      <c r="R188">
        <f>H188*N188</f>
        <v/>
      </c>
      <c r="S188">
        <f>Q188+R188</f>
        <v/>
      </c>
      <c r="T188">
        <f>Q188*O188</f>
        <v/>
      </c>
      <c r="U188">
        <f>R188*O188</f>
        <v/>
      </c>
      <c r="V188">
        <f>SUMPRODUCT(S189:S543,O189:O543)/(N188*O188)</f>
        <v/>
      </c>
    </row>
    <row r="189">
      <c r="A189" t="n">
        <v>186</v>
      </c>
      <c r="B189">
        <f>A189/Inputs!$B$6</f>
        <v/>
      </c>
      <c r="C189">
        <f>Inputs!$B$3+B189</f>
        <v/>
      </c>
      <c r="D189">
        <f>INT(C189)</f>
        <v/>
      </c>
      <c r="E189">
        <f>Inputs!$B$7+1+INT((A189-1)/Inputs!$B$6)</f>
        <v/>
      </c>
      <c r="F189">
        <f>IFERROR(INDEX(IndexScenario!$B$4:$B$544,MATCH(A189,IndexScenario!$A$4:$A$544,0)),"")</f>
        <v/>
      </c>
      <c r="G189">
        <f>G188*F189/F188</f>
        <v/>
      </c>
      <c r="H189">
        <f>H188*(1+Inputs!$B$17)^(1/12)</f>
        <v/>
      </c>
      <c r="I189">
        <f>IFERROR(INDEX(BaseQx!$B:$B,MATCH(D189,BaseQx!$A:$A,0)),"")</f>
        <v/>
      </c>
      <c r="J189">
        <f>IF(Inputs!$B$13="rp_mp",SUMIFS(MP2016_Long!$C:$C,MP2016_Long!$A:$A,D189,MP2016_Long!$B:$B,"&gt;=2014",MP2016_Long!$B:$B,"&lt;"&amp;E189),0)</f>
        <v/>
      </c>
      <c r="K189">
        <f>MIN(0.999999,MAX(0,I189*EXP(J189)))</f>
        <v/>
      </c>
      <c r="L189">
        <f>-LN(1-K189)</f>
        <v/>
      </c>
      <c r="M189">
        <f>EXP(-L189/Inputs!$B$6)</f>
        <v/>
      </c>
      <c r="N189">
        <f>N188*M189</f>
        <v/>
      </c>
      <c r="O189">
        <f>IFERROR(INDEX(MonthlyCurve!$L:$L,MATCH(A189,MonthlyCurve!$A:$A,0)),"")</f>
        <v/>
      </c>
      <c r="P189">
        <f>IF(B189&gt;0,-LN(O189)/B189,"")</f>
        <v/>
      </c>
      <c r="Q189">
        <f>G189*N189</f>
        <v/>
      </c>
      <c r="R189">
        <f>H189*N189</f>
        <v/>
      </c>
      <c r="S189">
        <f>Q189+R189</f>
        <v/>
      </c>
      <c r="T189">
        <f>Q189*O189</f>
        <v/>
      </c>
      <c r="U189">
        <f>R189*O189</f>
        <v/>
      </c>
      <c r="V189">
        <f>SUMPRODUCT(S190:S543,O190:O543)/(N189*O189)</f>
        <v/>
      </c>
    </row>
    <row r="190">
      <c r="A190" t="n">
        <v>187</v>
      </c>
      <c r="B190">
        <f>A190/Inputs!$B$6</f>
        <v/>
      </c>
      <c r="C190">
        <f>Inputs!$B$3+B190</f>
        <v/>
      </c>
      <c r="D190">
        <f>INT(C190)</f>
        <v/>
      </c>
      <c r="E190">
        <f>Inputs!$B$7+1+INT((A190-1)/Inputs!$B$6)</f>
        <v/>
      </c>
      <c r="F190">
        <f>IFERROR(INDEX(IndexScenario!$B$4:$B$544,MATCH(A190,IndexScenario!$A$4:$A$544,0)),"")</f>
        <v/>
      </c>
      <c r="G190">
        <f>G189*F190/F189</f>
        <v/>
      </c>
      <c r="H190">
        <f>H189*(1+Inputs!$B$17)^(1/12)</f>
        <v/>
      </c>
      <c r="I190">
        <f>IFERROR(INDEX(BaseQx!$B:$B,MATCH(D190,BaseQx!$A:$A,0)),"")</f>
        <v/>
      </c>
      <c r="J190">
        <f>IF(Inputs!$B$13="rp_mp",SUMIFS(MP2016_Long!$C:$C,MP2016_Long!$A:$A,D190,MP2016_Long!$B:$B,"&gt;=2014",MP2016_Long!$B:$B,"&lt;"&amp;E190),0)</f>
        <v/>
      </c>
      <c r="K190">
        <f>MIN(0.999999,MAX(0,I190*EXP(J190)))</f>
        <v/>
      </c>
      <c r="L190">
        <f>-LN(1-K190)</f>
        <v/>
      </c>
      <c r="M190">
        <f>EXP(-L190/Inputs!$B$6)</f>
        <v/>
      </c>
      <c r="N190">
        <f>N189*M190</f>
        <v/>
      </c>
      <c r="O190">
        <f>IFERROR(INDEX(MonthlyCurve!$L:$L,MATCH(A190,MonthlyCurve!$A:$A,0)),"")</f>
        <v/>
      </c>
      <c r="P190">
        <f>IF(B190&gt;0,-LN(O190)/B190,"")</f>
        <v/>
      </c>
      <c r="Q190">
        <f>G190*N190</f>
        <v/>
      </c>
      <c r="R190">
        <f>H190*N190</f>
        <v/>
      </c>
      <c r="S190">
        <f>Q190+R190</f>
        <v/>
      </c>
      <c r="T190">
        <f>Q190*O190</f>
        <v/>
      </c>
      <c r="U190">
        <f>R190*O190</f>
        <v/>
      </c>
      <c r="V190">
        <f>SUMPRODUCT(S191:S543,O191:O543)/(N190*O190)</f>
        <v/>
      </c>
    </row>
    <row r="191">
      <c r="A191" t="n">
        <v>188</v>
      </c>
      <c r="B191">
        <f>A191/Inputs!$B$6</f>
        <v/>
      </c>
      <c r="C191">
        <f>Inputs!$B$3+B191</f>
        <v/>
      </c>
      <c r="D191">
        <f>INT(C191)</f>
        <v/>
      </c>
      <c r="E191">
        <f>Inputs!$B$7+1+INT((A191-1)/Inputs!$B$6)</f>
        <v/>
      </c>
      <c r="F191">
        <f>IFERROR(INDEX(IndexScenario!$B$4:$B$544,MATCH(A191,IndexScenario!$A$4:$A$544,0)),"")</f>
        <v/>
      </c>
      <c r="G191">
        <f>G190*F191/F190</f>
        <v/>
      </c>
      <c r="H191">
        <f>H190*(1+Inputs!$B$17)^(1/12)</f>
        <v/>
      </c>
      <c r="I191">
        <f>IFERROR(INDEX(BaseQx!$B:$B,MATCH(D191,BaseQx!$A:$A,0)),"")</f>
        <v/>
      </c>
      <c r="J191">
        <f>IF(Inputs!$B$13="rp_mp",SUMIFS(MP2016_Long!$C:$C,MP2016_Long!$A:$A,D191,MP2016_Long!$B:$B,"&gt;=2014",MP2016_Long!$B:$B,"&lt;"&amp;E191),0)</f>
        <v/>
      </c>
      <c r="K191">
        <f>MIN(0.999999,MAX(0,I191*EXP(J191)))</f>
        <v/>
      </c>
      <c r="L191">
        <f>-LN(1-K191)</f>
        <v/>
      </c>
      <c r="M191">
        <f>EXP(-L191/Inputs!$B$6)</f>
        <v/>
      </c>
      <c r="N191">
        <f>N190*M191</f>
        <v/>
      </c>
      <c r="O191">
        <f>IFERROR(INDEX(MonthlyCurve!$L:$L,MATCH(A191,MonthlyCurve!$A:$A,0)),"")</f>
        <v/>
      </c>
      <c r="P191">
        <f>IF(B191&gt;0,-LN(O191)/B191,"")</f>
        <v/>
      </c>
      <c r="Q191">
        <f>G191*N191</f>
        <v/>
      </c>
      <c r="R191">
        <f>H191*N191</f>
        <v/>
      </c>
      <c r="S191">
        <f>Q191+R191</f>
        <v/>
      </c>
      <c r="T191">
        <f>Q191*O191</f>
        <v/>
      </c>
      <c r="U191">
        <f>R191*O191</f>
        <v/>
      </c>
      <c r="V191">
        <f>SUMPRODUCT(S192:S543,O192:O543)/(N191*O191)</f>
        <v/>
      </c>
    </row>
    <row r="192">
      <c r="A192" t="n">
        <v>189</v>
      </c>
      <c r="B192">
        <f>A192/Inputs!$B$6</f>
        <v/>
      </c>
      <c r="C192">
        <f>Inputs!$B$3+B192</f>
        <v/>
      </c>
      <c r="D192">
        <f>INT(C192)</f>
        <v/>
      </c>
      <c r="E192">
        <f>Inputs!$B$7+1+INT((A192-1)/Inputs!$B$6)</f>
        <v/>
      </c>
      <c r="F192">
        <f>IFERROR(INDEX(IndexScenario!$B$4:$B$544,MATCH(A192,IndexScenario!$A$4:$A$544,0)),"")</f>
        <v/>
      </c>
      <c r="G192">
        <f>G191*F192/F191</f>
        <v/>
      </c>
      <c r="H192">
        <f>H191*(1+Inputs!$B$17)^(1/12)</f>
        <v/>
      </c>
      <c r="I192">
        <f>IFERROR(INDEX(BaseQx!$B:$B,MATCH(D192,BaseQx!$A:$A,0)),"")</f>
        <v/>
      </c>
      <c r="J192">
        <f>IF(Inputs!$B$13="rp_mp",SUMIFS(MP2016_Long!$C:$C,MP2016_Long!$A:$A,D192,MP2016_Long!$B:$B,"&gt;=2014",MP2016_Long!$B:$B,"&lt;"&amp;E192),0)</f>
        <v/>
      </c>
      <c r="K192">
        <f>MIN(0.999999,MAX(0,I192*EXP(J192)))</f>
        <v/>
      </c>
      <c r="L192">
        <f>-LN(1-K192)</f>
        <v/>
      </c>
      <c r="M192">
        <f>EXP(-L192/Inputs!$B$6)</f>
        <v/>
      </c>
      <c r="N192">
        <f>N191*M192</f>
        <v/>
      </c>
      <c r="O192">
        <f>IFERROR(INDEX(MonthlyCurve!$L:$L,MATCH(A192,MonthlyCurve!$A:$A,0)),"")</f>
        <v/>
      </c>
      <c r="P192">
        <f>IF(B192&gt;0,-LN(O192)/B192,"")</f>
        <v/>
      </c>
      <c r="Q192">
        <f>G192*N192</f>
        <v/>
      </c>
      <c r="R192">
        <f>H192*N192</f>
        <v/>
      </c>
      <c r="S192">
        <f>Q192+R192</f>
        <v/>
      </c>
      <c r="T192">
        <f>Q192*O192</f>
        <v/>
      </c>
      <c r="U192">
        <f>R192*O192</f>
        <v/>
      </c>
      <c r="V192">
        <f>SUMPRODUCT(S193:S543,O193:O543)/(N192*O192)</f>
        <v/>
      </c>
    </row>
    <row r="193">
      <c r="A193" t="n">
        <v>190</v>
      </c>
      <c r="B193">
        <f>A193/Inputs!$B$6</f>
        <v/>
      </c>
      <c r="C193">
        <f>Inputs!$B$3+B193</f>
        <v/>
      </c>
      <c r="D193">
        <f>INT(C193)</f>
        <v/>
      </c>
      <c r="E193">
        <f>Inputs!$B$7+1+INT((A193-1)/Inputs!$B$6)</f>
        <v/>
      </c>
      <c r="F193">
        <f>IFERROR(INDEX(IndexScenario!$B$4:$B$544,MATCH(A193,IndexScenario!$A$4:$A$544,0)),"")</f>
        <v/>
      </c>
      <c r="G193">
        <f>G192*F193/F192</f>
        <v/>
      </c>
      <c r="H193">
        <f>H192*(1+Inputs!$B$17)^(1/12)</f>
        <v/>
      </c>
      <c r="I193">
        <f>IFERROR(INDEX(BaseQx!$B:$B,MATCH(D193,BaseQx!$A:$A,0)),"")</f>
        <v/>
      </c>
      <c r="J193">
        <f>IF(Inputs!$B$13="rp_mp",SUMIFS(MP2016_Long!$C:$C,MP2016_Long!$A:$A,D193,MP2016_Long!$B:$B,"&gt;=2014",MP2016_Long!$B:$B,"&lt;"&amp;E193),0)</f>
        <v/>
      </c>
      <c r="K193">
        <f>MIN(0.999999,MAX(0,I193*EXP(J193)))</f>
        <v/>
      </c>
      <c r="L193">
        <f>-LN(1-K193)</f>
        <v/>
      </c>
      <c r="M193">
        <f>EXP(-L193/Inputs!$B$6)</f>
        <v/>
      </c>
      <c r="N193">
        <f>N192*M193</f>
        <v/>
      </c>
      <c r="O193">
        <f>IFERROR(INDEX(MonthlyCurve!$L:$L,MATCH(A193,MonthlyCurve!$A:$A,0)),"")</f>
        <v/>
      </c>
      <c r="P193">
        <f>IF(B193&gt;0,-LN(O193)/B193,"")</f>
        <v/>
      </c>
      <c r="Q193">
        <f>G193*N193</f>
        <v/>
      </c>
      <c r="R193">
        <f>H193*N193</f>
        <v/>
      </c>
      <c r="S193">
        <f>Q193+R193</f>
        <v/>
      </c>
      <c r="T193">
        <f>Q193*O193</f>
        <v/>
      </c>
      <c r="U193">
        <f>R193*O193</f>
        <v/>
      </c>
      <c r="V193">
        <f>SUMPRODUCT(S194:S543,O194:O543)/(N193*O193)</f>
        <v/>
      </c>
    </row>
    <row r="194">
      <c r="A194" t="n">
        <v>191</v>
      </c>
      <c r="B194">
        <f>A194/Inputs!$B$6</f>
        <v/>
      </c>
      <c r="C194">
        <f>Inputs!$B$3+B194</f>
        <v/>
      </c>
      <c r="D194">
        <f>INT(C194)</f>
        <v/>
      </c>
      <c r="E194">
        <f>Inputs!$B$7+1+INT((A194-1)/Inputs!$B$6)</f>
        <v/>
      </c>
      <c r="F194">
        <f>IFERROR(INDEX(IndexScenario!$B$4:$B$544,MATCH(A194,IndexScenario!$A$4:$A$544,0)),"")</f>
        <v/>
      </c>
      <c r="G194">
        <f>G193*F194/F193</f>
        <v/>
      </c>
      <c r="H194">
        <f>H193*(1+Inputs!$B$17)^(1/12)</f>
        <v/>
      </c>
      <c r="I194">
        <f>IFERROR(INDEX(BaseQx!$B:$B,MATCH(D194,BaseQx!$A:$A,0)),"")</f>
        <v/>
      </c>
      <c r="J194">
        <f>IF(Inputs!$B$13="rp_mp",SUMIFS(MP2016_Long!$C:$C,MP2016_Long!$A:$A,D194,MP2016_Long!$B:$B,"&gt;=2014",MP2016_Long!$B:$B,"&lt;"&amp;E194),0)</f>
        <v/>
      </c>
      <c r="K194">
        <f>MIN(0.999999,MAX(0,I194*EXP(J194)))</f>
        <v/>
      </c>
      <c r="L194">
        <f>-LN(1-K194)</f>
        <v/>
      </c>
      <c r="M194">
        <f>EXP(-L194/Inputs!$B$6)</f>
        <v/>
      </c>
      <c r="N194">
        <f>N193*M194</f>
        <v/>
      </c>
      <c r="O194">
        <f>IFERROR(INDEX(MonthlyCurve!$L:$L,MATCH(A194,MonthlyCurve!$A:$A,0)),"")</f>
        <v/>
      </c>
      <c r="P194">
        <f>IF(B194&gt;0,-LN(O194)/B194,"")</f>
        <v/>
      </c>
      <c r="Q194">
        <f>G194*N194</f>
        <v/>
      </c>
      <c r="R194">
        <f>H194*N194</f>
        <v/>
      </c>
      <c r="S194">
        <f>Q194+R194</f>
        <v/>
      </c>
      <c r="T194">
        <f>Q194*O194</f>
        <v/>
      </c>
      <c r="U194">
        <f>R194*O194</f>
        <v/>
      </c>
      <c r="V194">
        <f>SUMPRODUCT(S195:S543,O195:O543)/(N194*O194)</f>
        <v/>
      </c>
    </row>
    <row r="195">
      <c r="A195" t="n">
        <v>192</v>
      </c>
      <c r="B195">
        <f>A195/Inputs!$B$6</f>
        <v/>
      </c>
      <c r="C195">
        <f>Inputs!$B$3+B195</f>
        <v/>
      </c>
      <c r="D195">
        <f>INT(C195)</f>
        <v/>
      </c>
      <c r="E195">
        <f>Inputs!$B$7+1+INT((A195-1)/Inputs!$B$6)</f>
        <v/>
      </c>
      <c r="F195">
        <f>IFERROR(INDEX(IndexScenario!$B$4:$B$544,MATCH(A195,IndexScenario!$A$4:$A$544,0)),"")</f>
        <v/>
      </c>
      <c r="G195">
        <f>G194*F195/F194</f>
        <v/>
      </c>
      <c r="H195">
        <f>H194*(1+Inputs!$B$17)^(1/12)</f>
        <v/>
      </c>
      <c r="I195">
        <f>IFERROR(INDEX(BaseQx!$B:$B,MATCH(D195,BaseQx!$A:$A,0)),"")</f>
        <v/>
      </c>
      <c r="J195">
        <f>IF(Inputs!$B$13="rp_mp",SUMIFS(MP2016_Long!$C:$C,MP2016_Long!$A:$A,D195,MP2016_Long!$B:$B,"&gt;=2014",MP2016_Long!$B:$B,"&lt;"&amp;E195),0)</f>
        <v/>
      </c>
      <c r="K195">
        <f>MIN(0.999999,MAX(0,I195*EXP(J195)))</f>
        <v/>
      </c>
      <c r="L195">
        <f>-LN(1-K195)</f>
        <v/>
      </c>
      <c r="M195">
        <f>EXP(-L195/Inputs!$B$6)</f>
        <v/>
      </c>
      <c r="N195">
        <f>N194*M195</f>
        <v/>
      </c>
      <c r="O195">
        <f>IFERROR(INDEX(MonthlyCurve!$L:$L,MATCH(A195,MonthlyCurve!$A:$A,0)),"")</f>
        <v/>
      </c>
      <c r="P195">
        <f>IF(B195&gt;0,-LN(O195)/B195,"")</f>
        <v/>
      </c>
      <c r="Q195">
        <f>G195*N195</f>
        <v/>
      </c>
      <c r="R195">
        <f>H195*N195</f>
        <v/>
      </c>
      <c r="S195">
        <f>Q195+R195</f>
        <v/>
      </c>
      <c r="T195">
        <f>Q195*O195</f>
        <v/>
      </c>
      <c r="U195">
        <f>R195*O195</f>
        <v/>
      </c>
      <c r="V195">
        <f>SUMPRODUCT(S196:S543,O196:O543)/(N195*O195)</f>
        <v/>
      </c>
    </row>
    <row r="196">
      <c r="A196" t="n">
        <v>193</v>
      </c>
      <c r="B196">
        <f>A196/Inputs!$B$6</f>
        <v/>
      </c>
      <c r="C196">
        <f>Inputs!$B$3+B196</f>
        <v/>
      </c>
      <c r="D196">
        <f>INT(C196)</f>
        <v/>
      </c>
      <c r="E196">
        <f>Inputs!$B$7+1+INT((A196-1)/Inputs!$B$6)</f>
        <v/>
      </c>
      <c r="F196">
        <f>IFERROR(INDEX(IndexScenario!$B$4:$B$544,MATCH(A196,IndexScenario!$A$4:$A$544,0)),"")</f>
        <v/>
      </c>
      <c r="G196">
        <f>G195*F196/F195</f>
        <v/>
      </c>
      <c r="H196">
        <f>H195*(1+Inputs!$B$17)^(1/12)</f>
        <v/>
      </c>
      <c r="I196">
        <f>IFERROR(INDEX(BaseQx!$B:$B,MATCH(D196,BaseQx!$A:$A,0)),"")</f>
        <v/>
      </c>
      <c r="J196">
        <f>IF(Inputs!$B$13="rp_mp",SUMIFS(MP2016_Long!$C:$C,MP2016_Long!$A:$A,D196,MP2016_Long!$B:$B,"&gt;=2014",MP2016_Long!$B:$B,"&lt;"&amp;E196),0)</f>
        <v/>
      </c>
      <c r="K196">
        <f>MIN(0.999999,MAX(0,I196*EXP(J196)))</f>
        <v/>
      </c>
      <c r="L196">
        <f>-LN(1-K196)</f>
        <v/>
      </c>
      <c r="M196">
        <f>EXP(-L196/Inputs!$B$6)</f>
        <v/>
      </c>
      <c r="N196">
        <f>N195*M196</f>
        <v/>
      </c>
      <c r="O196">
        <f>IFERROR(INDEX(MonthlyCurve!$L:$L,MATCH(A196,MonthlyCurve!$A:$A,0)),"")</f>
        <v/>
      </c>
      <c r="P196">
        <f>IF(B196&gt;0,-LN(O196)/B196,"")</f>
        <v/>
      </c>
      <c r="Q196">
        <f>G196*N196</f>
        <v/>
      </c>
      <c r="R196">
        <f>H196*N196</f>
        <v/>
      </c>
      <c r="S196">
        <f>Q196+R196</f>
        <v/>
      </c>
      <c r="T196">
        <f>Q196*O196</f>
        <v/>
      </c>
      <c r="U196">
        <f>R196*O196</f>
        <v/>
      </c>
      <c r="V196">
        <f>SUMPRODUCT(S197:S543,O197:O543)/(N196*O196)</f>
        <v/>
      </c>
    </row>
    <row r="197">
      <c r="A197" t="n">
        <v>194</v>
      </c>
      <c r="B197">
        <f>A197/Inputs!$B$6</f>
        <v/>
      </c>
      <c r="C197">
        <f>Inputs!$B$3+B197</f>
        <v/>
      </c>
      <c r="D197">
        <f>INT(C197)</f>
        <v/>
      </c>
      <c r="E197">
        <f>Inputs!$B$7+1+INT((A197-1)/Inputs!$B$6)</f>
        <v/>
      </c>
      <c r="F197">
        <f>IFERROR(INDEX(IndexScenario!$B$4:$B$544,MATCH(A197,IndexScenario!$A$4:$A$544,0)),"")</f>
        <v/>
      </c>
      <c r="G197">
        <f>G196*F197/F196</f>
        <v/>
      </c>
      <c r="H197">
        <f>H196*(1+Inputs!$B$17)^(1/12)</f>
        <v/>
      </c>
      <c r="I197">
        <f>IFERROR(INDEX(BaseQx!$B:$B,MATCH(D197,BaseQx!$A:$A,0)),"")</f>
        <v/>
      </c>
      <c r="J197">
        <f>IF(Inputs!$B$13="rp_mp",SUMIFS(MP2016_Long!$C:$C,MP2016_Long!$A:$A,D197,MP2016_Long!$B:$B,"&gt;=2014",MP2016_Long!$B:$B,"&lt;"&amp;E197),0)</f>
        <v/>
      </c>
      <c r="K197">
        <f>MIN(0.999999,MAX(0,I197*EXP(J197)))</f>
        <v/>
      </c>
      <c r="L197">
        <f>-LN(1-K197)</f>
        <v/>
      </c>
      <c r="M197">
        <f>EXP(-L197/Inputs!$B$6)</f>
        <v/>
      </c>
      <c r="N197">
        <f>N196*M197</f>
        <v/>
      </c>
      <c r="O197">
        <f>IFERROR(INDEX(MonthlyCurve!$L:$L,MATCH(A197,MonthlyCurve!$A:$A,0)),"")</f>
        <v/>
      </c>
      <c r="P197">
        <f>IF(B197&gt;0,-LN(O197)/B197,"")</f>
        <v/>
      </c>
      <c r="Q197">
        <f>G197*N197</f>
        <v/>
      </c>
      <c r="R197">
        <f>H197*N197</f>
        <v/>
      </c>
      <c r="S197">
        <f>Q197+R197</f>
        <v/>
      </c>
      <c r="T197">
        <f>Q197*O197</f>
        <v/>
      </c>
      <c r="U197">
        <f>R197*O197</f>
        <v/>
      </c>
      <c r="V197">
        <f>SUMPRODUCT(S198:S543,O198:O543)/(N197*O197)</f>
        <v/>
      </c>
    </row>
    <row r="198">
      <c r="A198" t="n">
        <v>195</v>
      </c>
      <c r="B198">
        <f>A198/Inputs!$B$6</f>
        <v/>
      </c>
      <c r="C198">
        <f>Inputs!$B$3+B198</f>
        <v/>
      </c>
      <c r="D198">
        <f>INT(C198)</f>
        <v/>
      </c>
      <c r="E198">
        <f>Inputs!$B$7+1+INT((A198-1)/Inputs!$B$6)</f>
        <v/>
      </c>
      <c r="F198">
        <f>IFERROR(INDEX(IndexScenario!$B$4:$B$544,MATCH(A198,IndexScenario!$A$4:$A$544,0)),"")</f>
        <v/>
      </c>
      <c r="G198">
        <f>G197*F198/F197</f>
        <v/>
      </c>
      <c r="H198">
        <f>H197*(1+Inputs!$B$17)^(1/12)</f>
        <v/>
      </c>
      <c r="I198">
        <f>IFERROR(INDEX(BaseQx!$B:$B,MATCH(D198,BaseQx!$A:$A,0)),"")</f>
        <v/>
      </c>
      <c r="J198">
        <f>IF(Inputs!$B$13="rp_mp",SUMIFS(MP2016_Long!$C:$C,MP2016_Long!$A:$A,D198,MP2016_Long!$B:$B,"&gt;=2014",MP2016_Long!$B:$B,"&lt;"&amp;E198),0)</f>
        <v/>
      </c>
      <c r="K198">
        <f>MIN(0.999999,MAX(0,I198*EXP(J198)))</f>
        <v/>
      </c>
      <c r="L198">
        <f>-LN(1-K198)</f>
        <v/>
      </c>
      <c r="M198">
        <f>EXP(-L198/Inputs!$B$6)</f>
        <v/>
      </c>
      <c r="N198">
        <f>N197*M198</f>
        <v/>
      </c>
      <c r="O198">
        <f>IFERROR(INDEX(MonthlyCurve!$L:$L,MATCH(A198,MonthlyCurve!$A:$A,0)),"")</f>
        <v/>
      </c>
      <c r="P198">
        <f>IF(B198&gt;0,-LN(O198)/B198,"")</f>
        <v/>
      </c>
      <c r="Q198">
        <f>G198*N198</f>
        <v/>
      </c>
      <c r="R198">
        <f>H198*N198</f>
        <v/>
      </c>
      <c r="S198">
        <f>Q198+R198</f>
        <v/>
      </c>
      <c r="T198">
        <f>Q198*O198</f>
        <v/>
      </c>
      <c r="U198">
        <f>R198*O198</f>
        <v/>
      </c>
      <c r="V198">
        <f>SUMPRODUCT(S199:S543,O199:O543)/(N198*O198)</f>
        <v/>
      </c>
    </row>
    <row r="199">
      <c r="A199" t="n">
        <v>196</v>
      </c>
      <c r="B199">
        <f>A199/Inputs!$B$6</f>
        <v/>
      </c>
      <c r="C199">
        <f>Inputs!$B$3+B199</f>
        <v/>
      </c>
      <c r="D199">
        <f>INT(C199)</f>
        <v/>
      </c>
      <c r="E199">
        <f>Inputs!$B$7+1+INT((A199-1)/Inputs!$B$6)</f>
        <v/>
      </c>
      <c r="F199">
        <f>IFERROR(INDEX(IndexScenario!$B$4:$B$544,MATCH(A199,IndexScenario!$A$4:$A$544,0)),"")</f>
        <v/>
      </c>
      <c r="G199">
        <f>G198*F199/F198</f>
        <v/>
      </c>
      <c r="H199">
        <f>H198*(1+Inputs!$B$17)^(1/12)</f>
        <v/>
      </c>
      <c r="I199">
        <f>IFERROR(INDEX(BaseQx!$B:$B,MATCH(D199,BaseQx!$A:$A,0)),"")</f>
        <v/>
      </c>
      <c r="J199">
        <f>IF(Inputs!$B$13="rp_mp",SUMIFS(MP2016_Long!$C:$C,MP2016_Long!$A:$A,D199,MP2016_Long!$B:$B,"&gt;=2014",MP2016_Long!$B:$B,"&lt;"&amp;E199),0)</f>
        <v/>
      </c>
      <c r="K199">
        <f>MIN(0.999999,MAX(0,I199*EXP(J199)))</f>
        <v/>
      </c>
      <c r="L199">
        <f>-LN(1-K199)</f>
        <v/>
      </c>
      <c r="M199">
        <f>EXP(-L199/Inputs!$B$6)</f>
        <v/>
      </c>
      <c r="N199">
        <f>N198*M199</f>
        <v/>
      </c>
      <c r="O199">
        <f>IFERROR(INDEX(MonthlyCurve!$L:$L,MATCH(A199,MonthlyCurve!$A:$A,0)),"")</f>
        <v/>
      </c>
      <c r="P199">
        <f>IF(B199&gt;0,-LN(O199)/B199,"")</f>
        <v/>
      </c>
      <c r="Q199">
        <f>G199*N199</f>
        <v/>
      </c>
      <c r="R199">
        <f>H199*N199</f>
        <v/>
      </c>
      <c r="S199">
        <f>Q199+R199</f>
        <v/>
      </c>
      <c r="T199">
        <f>Q199*O199</f>
        <v/>
      </c>
      <c r="U199">
        <f>R199*O199</f>
        <v/>
      </c>
      <c r="V199">
        <f>SUMPRODUCT(S200:S543,O200:O543)/(N199*O199)</f>
        <v/>
      </c>
    </row>
    <row r="200">
      <c r="A200" t="n">
        <v>197</v>
      </c>
      <c r="B200">
        <f>A200/Inputs!$B$6</f>
        <v/>
      </c>
      <c r="C200">
        <f>Inputs!$B$3+B200</f>
        <v/>
      </c>
      <c r="D200">
        <f>INT(C200)</f>
        <v/>
      </c>
      <c r="E200">
        <f>Inputs!$B$7+1+INT((A200-1)/Inputs!$B$6)</f>
        <v/>
      </c>
      <c r="F200">
        <f>IFERROR(INDEX(IndexScenario!$B$4:$B$544,MATCH(A200,IndexScenario!$A$4:$A$544,0)),"")</f>
        <v/>
      </c>
      <c r="G200">
        <f>G199*F200/F199</f>
        <v/>
      </c>
      <c r="H200">
        <f>H199*(1+Inputs!$B$17)^(1/12)</f>
        <v/>
      </c>
      <c r="I200">
        <f>IFERROR(INDEX(BaseQx!$B:$B,MATCH(D200,BaseQx!$A:$A,0)),"")</f>
        <v/>
      </c>
      <c r="J200">
        <f>IF(Inputs!$B$13="rp_mp",SUMIFS(MP2016_Long!$C:$C,MP2016_Long!$A:$A,D200,MP2016_Long!$B:$B,"&gt;=2014",MP2016_Long!$B:$B,"&lt;"&amp;E200),0)</f>
        <v/>
      </c>
      <c r="K200">
        <f>MIN(0.999999,MAX(0,I200*EXP(J200)))</f>
        <v/>
      </c>
      <c r="L200">
        <f>-LN(1-K200)</f>
        <v/>
      </c>
      <c r="M200">
        <f>EXP(-L200/Inputs!$B$6)</f>
        <v/>
      </c>
      <c r="N200">
        <f>N199*M200</f>
        <v/>
      </c>
      <c r="O200">
        <f>IFERROR(INDEX(MonthlyCurve!$L:$L,MATCH(A200,MonthlyCurve!$A:$A,0)),"")</f>
        <v/>
      </c>
      <c r="P200">
        <f>IF(B200&gt;0,-LN(O200)/B200,"")</f>
        <v/>
      </c>
      <c r="Q200">
        <f>G200*N200</f>
        <v/>
      </c>
      <c r="R200">
        <f>H200*N200</f>
        <v/>
      </c>
      <c r="S200">
        <f>Q200+R200</f>
        <v/>
      </c>
      <c r="T200">
        <f>Q200*O200</f>
        <v/>
      </c>
      <c r="U200">
        <f>R200*O200</f>
        <v/>
      </c>
      <c r="V200">
        <f>SUMPRODUCT(S201:S543,O201:O543)/(N200*O200)</f>
        <v/>
      </c>
    </row>
    <row r="201">
      <c r="A201" t="n">
        <v>198</v>
      </c>
      <c r="B201">
        <f>A201/Inputs!$B$6</f>
        <v/>
      </c>
      <c r="C201">
        <f>Inputs!$B$3+B201</f>
        <v/>
      </c>
      <c r="D201">
        <f>INT(C201)</f>
        <v/>
      </c>
      <c r="E201">
        <f>Inputs!$B$7+1+INT((A201-1)/Inputs!$B$6)</f>
        <v/>
      </c>
      <c r="F201">
        <f>IFERROR(INDEX(IndexScenario!$B$4:$B$544,MATCH(A201,IndexScenario!$A$4:$A$544,0)),"")</f>
        <v/>
      </c>
      <c r="G201">
        <f>G200*F201/F200</f>
        <v/>
      </c>
      <c r="H201">
        <f>H200*(1+Inputs!$B$17)^(1/12)</f>
        <v/>
      </c>
      <c r="I201">
        <f>IFERROR(INDEX(BaseQx!$B:$B,MATCH(D201,BaseQx!$A:$A,0)),"")</f>
        <v/>
      </c>
      <c r="J201">
        <f>IF(Inputs!$B$13="rp_mp",SUMIFS(MP2016_Long!$C:$C,MP2016_Long!$A:$A,D201,MP2016_Long!$B:$B,"&gt;=2014",MP2016_Long!$B:$B,"&lt;"&amp;E201),0)</f>
        <v/>
      </c>
      <c r="K201">
        <f>MIN(0.999999,MAX(0,I201*EXP(J201)))</f>
        <v/>
      </c>
      <c r="L201">
        <f>-LN(1-K201)</f>
        <v/>
      </c>
      <c r="M201">
        <f>EXP(-L201/Inputs!$B$6)</f>
        <v/>
      </c>
      <c r="N201">
        <f>N200*M201</f>
        <v/>
      </c>
      <c r="O201">
        <f>IFERROR(INDEX(MonthlyCurve!$L:$L,MATCH(A201,MonthlyCurve!$A:$A,0)),"")</f>
        <v/>
      </c>
      <c r="P201">
        <f>IF(B201&gt;0,-LN(O201)/B201,"")</f>
        <v/>
      </c>
      <c r="Q201">
        <f>G201*N201</f>
        <v/>
      </c>
      <c r="R201">
        <f>H201*N201</f>
        <v/>
      </c>
      <c r="S201">
        <f>Q201+R201</f>
        <v/>
      </c>
      <c r="T201">
        <f>Q201*O201</f>
        <v/>
      </c>
      <c r="U201">
        <f>R201*O201</f>
        <v/>
      </c>
      <c r="V201">
        <f>SUMPRODUCT(S202:S543,O202:O543)/(N201*O201)</f>
        <v/>
      </c>
    </row>
    <row r="202">
      <c r="A202" t="n">
        <v>199</v>
      </c>
      <c r="B202">
        <f>A202/Inputs!$B$6</f>
        <v/>
      </c>
      <c r="C202">
        <f>Inputs!$B$3+B202</f>
        <v/>
      </c>
      <c r="D202">
        <f>INT(C202)</f>
        <v/>
      </c>
      <c r="E202">
        <f>Inputs!$B$7+1+INT((A202-1)/Inputs!$B$6)</f>
        <v/>
      </c>
      <c r="F202">
        <f>IFERROR(INDEX(IndexScenario!$B$4:$B$544,MATCH(A202,IndexScenario!$A$4:$A$544,0)),"")</f>
        <v/>
      </c>
      <c r="G202">
        <f>G201*F202/F201</f>
        <v/>
      </c>
      <c r="H202">
        <f>H201*(1+Inputs!$B$17)^(1/12)</f>
        <v/>
      </c>
      <c r="I202">
        <f>IFERROR(INDEX(BaseQx!$B:$B,MATCH(D202,BaseQx!$A:$A,0)),"")</f>
        <v/>
      </c>
      <c r="J202">
        <f>IF(Inputs!$B$13="rp_mp",SUMIFS(MP2016_Long!$C:$C,MP2016_Long!$A:$A,D202,MP2016_Long!$B:$B,"&gt;=2014",MP2016_Long!$B:$B,"&lt;"&amp;E202),0)</f>
        <v/>
      </c>
      <c r="K202">
        <f>MIN(0.999999,MAX(0,I202*EXP(J202)))</f>
        <v/>
      </c>
      <c r="L202">
        <f>-LN(1-K202)</f>
        <v/>
      </c>
      <c r="M202">
        <f>EXP(-L202/Inputs!$B$6)</f>
        <v/>
      </c>
      <c r="N202">
        <f>N201*M202</f>
        <v/>
      </c>
      <c r="O202">
        <f>IFERROR(INDEX(MonthlyCurve!$L:$L,MATCH(A202,MonthlyCurve!$A:$A,0)),"")</f>
        <v/>
      </c>
      <c r="P202">
        <f>IF(B202&gt;0,-LN(O202)/B202,"")</f>
        <v/>
      </c>
      <c r="Q202">
        <f>G202*N202</f>
        <v/>
      </c>
      <c r="R202">
        <f>H202*N202</f>
        <v/>
      </c>
      <c r="S202">
        <f>Q202+R202</f>
        <v/>
      </c>
      <c r="T202">
        <f>Q202*O202</f>
        <v/>
      </c>
      <c r="U202">
        <f>R202*O202</f>
        <v/>
      </c>
      <c r="V202">
        <f>SUMPRODUCT(S203:S543,O203:O543)/(N202*O202)</f>
        <v/>
      </c>
    </row>
    <row r="203">
      <c r="A203" t="n">
        <v>200</v>
      </c>
      <c r="B203">
        <f>A203/Inputs!$B$6</f>
        <v/>
      </c>
      <c r="C203">
        <f>Inputs!$B$3+B203</f>
        <v/>
      </c>
      <c r="D203">
        <f>INT(C203)</f>
        <v/>
      </c>
      <c r="E203">
        <f>Inputs!$B$7+1+INT((A203-1)/Inputs!$B$6)</f>
        <v/>
      </c>
      <c r="F203">
        <f>IFERROR(INDEX(IndexScenario!$B$4:$B$544,MATCH(A203,IndexScenario!$A$4:$A$544,0)),"")</f>
        <v/>
      </c>
      <c r="G203">
        <f>G202*F203/F202</f>
        <v/>
      </c>
      <c r="H203">
        <f>H202*(1+Inputs!$B$17)^(1/12)</f>
        <v/>
      </c>
      <c r="I203">
        <f>IFERROR(INDEX(BaseQx!$B:$B,MATCH(D203,BaseQx!$A:$A,0)),"")</f>
        <v/>
      </c>
      <c r="J203">
        <f>IF(Inputs!$B$13="rp_mp",SUMIFS(MP2016_Long!$C:$C,MP2016_Long!$A:$A,D203,MP2016_Long!$B:$B,"&gt;=2014",MP2016_Long!$B:$B,"&lt;"&amp;E203),0)</f>
        <v/>
      </c>
      <c r="K203">
        <f>MIN(0.999999,MAX(0,I203*EXP(J203)))</f>
        <v/>
      </c>
      <c r="L203">
        <f>-LN(1-K203)</f>
        <v/>
      </c>
      <c r="M203">
        <f>EXP(-L203/Inputs!$B$6)</f>
        <v/>
      </c>
      <c r="N203">
        <f>N202*M203</f>
        <v/>
      </c>
      <c r="O203">
        <f>IFERROR(INDEX(MonthlyCurve!$L:$L,MATCH(A203,MonthlyCurve!$A:$A,0)),"")</f>
        <v/>
      </c>
      <c r="P203">
        <f>IF(B203&gt;0,-LN(O203)/B203,"")</f>
        <v/>
      </c>
      <c r="Q203">
        <f>G203*N203</f>
        <v/>
      </c>
      <c r="R203">
        <f>H203*N203</f>
        <v/>
      </c>
      <c r="S203">
        <f>Q203+R203</f>
        <v/>
      </c>
      <c r="T203">
        <f>Q203*O203</f>
        <v/>
      </c>
      <c r="U203">
        <f>R203*O203</f>
        <v/>
      </c>
      <c r="V203">
        <f>SUMPRODUCT(S204:S543,O204:O543)/(N203*O203)</f>
        <v/>
      </c>
    </row>
    <row r="204">
      <c r="A204" t="n">
        <v>201</v>
      </c>
      <c r="B204">
        <f>A204/Inputs!$B$6</f>
        <v/>
      </c>
      <c r="C204">
        <f>Inputs!$B$3+B204</f>
        <v/>
      </c>
      <c r="D204">
        <f>INT(C204)</f>
        <v/>
      </c>
      <c r="E204">
        <f>Inputs!$B$7+1+INT((A204-1)/Inputs!$B$6)</f>
        <v/>
      </c>
      <c r="F204">
        <f>IFERROR(INDEX(IndexScenario!$B$4:$B$544,MATCH(A204,IndexScenario!$A$4:$A$544,0)),"")</f>
        <v/>
      </c>
      <c r="G204">
        <f>G203*F204/F203</f>
        <v/>
      </c>
      <c r="H204">
        <f>H203*(1+Inputs!$B$17)^(1/12)</f>
        <v/>
      </c>
      <c r="I204">
        <f>IFERROR(INDEX(BaseQx!$B:$B,MATCH(D204,BaseQx!$A:$A,0)),"")</f>
        <v/>
      </c>
      <c r="J204">
        <f>IF(Inputs!$B$13="rp_mp",SUMIFS(MP2016_Long!$C:$C,MP2016_Long!$A:$A,D204,MP2016_Long!$B:$B,"&gt;=2014",MP2016_Long!$B:$B,"&lt;"&amp;E204),0)</f>
        <v/>
      </c>
      <c r="K204">
        <f>MIN(0.999999,MAX(0,I204*EXP(J204)))</f>
        <v/>
      </c>
      <c r="L204">
        <f>-LN(1-K204)</f>
        <v/>
      </c>
      <c r="M204">
        <f>EXP(-L204/Inputs!$B$6)</f>
        <v/>
      </c>
      <c r="N204">
        <f>N203*M204</f>
        <v/>
      </c>
      <c r="O204">
        <f>IFERROR(INDEX(MonthlyCurve!$L:$L,MATCH(A204,MonthlyCurve!$A:$A,0)),"")</f>
        <v/>
      </c>
      <c r="P204">
        <f>IF(B204&gt;0,-LN(O204)/B204,"")</f>
        <v/>
      </c>
      <c r="Q204">
        <f>G204*N204</f>
        <v/>
      </c>
      <c r="R204">
        <f>H204*N204</f>
        <v/>
      </c>
      <c r="S204">
        <f>Q204+R204</f>
        <v/>
      </c>
      <c r="T204">
        <f>Q204*O204</f>
        <v/>
      </c>
      <c r="U204">
        <f>R204*O204</f>
        <v/>
      </c>
      <c r="V204">
        <f>SUMPRODUCT(S205:S543,O205:O543)/(N204*O204)</f>
        <v/>
      </c>
    </row>
    <row r="205">
      <c r="A205" t="n">
        <v>202</v>
      </c>
      <c r="B205">
        <f>A205/Inputs!$B$6</f>
        <v/>
      </c>
      <c r="C205">
        <f>Inputs!$B$3+B205</f>
        <v/>
      </c>
      <c r="D205">
        <f>INT(C205)</f>
        <v/>
      </c>
      <c r="E205">
        <f>Inputs!$B$7+1+INT((A205-1)/Inputs!$B$6)</f>
        <v/>
      </c>
      <c r="F205">
        <f>IFERROR(INDEX(IndexScenario!$B$4:$B$544,MATCH(A205,IndexScenario!$A$4:$A$544,0)),"")</f>
        <v/>
      </c>
      <c r="G205">
        <f>G204*F205/F204</f>
        <v/>
      </c>
      <c r="H205">
        <f>H204*(1+Inputs!$B$17)^(1/12)</f>
        <v/>
      </c>
      <c r="I205">
        <f>IFERROR(INDEX(BaseQx!$B:$B,MATCH(D205,BaseQx!$A:$A,0)),"")</f>
        <v/>
      </c>
      <c r="J205">
        <f>IF(Inputs!$B$13="rp_mp",SUMIFS(MP2016_Long!$C:$C,MP2016_Long!$A:$A,D205,MP2016_Long!$B:$B,"&gt;=2014",MP2016_Long!$B:$B,"&lt;"&amp;E205),0)</f>
        <v/>
      </c>
      <c r="K205">
        <f>MIN(0.999999,MAX(0,I205*EXP(J205)))</f>
        <v/>
      </c>
      <c r="L205">
        <f>-LN(1-K205)</f>
        <v/>
      </c>
      <c r="M205">
        <f>EXP(-L205/Inputs!$B$6)</f>
        <v/>
      </c>
      <c r="N205">
        <f>N204*M205</f>
        <v/>
      </c>
      <c r="O205">
        <f>IFERROR(INDEX(MonthlyCurve!$L:$L,MATCH(A205,MonthlyCurve!$A:$A,0)),"")</f>
        <v/>
      </c>
      <c r="P205">
        <f>IF(B205&gt;0,-LN(O205)/B205,"")</f>
        <v/>
      </c>
      <c r="Q205">
        <f>G205*N205</f>
        <v/>
      </c>
      <c r="R205">
        <f>H205*N205</f>
        <v/>
      </c>
      <c r="S205">
        <f>Q205+R205</f>
        <v/>
      </c>
      <c r="T205">
        <f>Q205*O205</f>
        <v/>
      </c>
      <c r="U205">
        <f>R205*O205</f>
        <v/>
      </c>
      <c r="V205">
        <f>SUMPRODUCT(S206:S543,O206:O543)/(N205*O205)</f>
        <v/>
      </c>
    </row>
    <row r="206">
      <c r="A206" t="n">
        <v>203</v>
      </c>
      <c r="B206">
        <f>A206/Inputs!$B$6</f>
        <v/>
      </c>
      <c r="C206">
        <f>Inputs!$B$3+B206</f>
        <v/>
      </c>
      <c r="D206">
        <f>INT(C206)</f>
        <v/>
      </c>
      <c r="E206">
        <f>Inputs!$B$7+1+INT((A206-1)/Inputs!$B$6)</f>
        <v/>
      </c>
      <c r="F206">
        <f>IFERROR(INDEX(IndexScenario!$B$4:$B$544,MATCH(A206,IndexScenario!$A$4:$A$544,0)),"")</f>
        <v/>
      </c>
      <c r="G206">
        <f>G205*F206/F205</f>
        <v/>
      </c>
      <c r="H206">
        <f>H205*(1+Inputs!$B$17)^(1/12)</f>
        <v/>
      </c>
      <c r="I206">
        <f>IFERROR(INDEX(BaseQx!$B:$B,MATCH(D206,BaseQx!$A:$A,0)),"")</f>
        <v/>
      </c>
      <c r="J206">
        <f>IF(Inputs!$B$13="rp_mp",SUMIFS(MP2016_Long!$C:$C,MP2016_Long!$A:$A,D206,MP2016_Long!$B:$B,"&gt;=2014",MP2016_Long!$B:$B,"&lt;"&amp;E206),0)</f>
        <v/>
      </c>
      <c r="K206">
        <f>MIN(0.999999,MAX(0,I206*EXP(J206)))</f>
        <v/>
      </c>
      <c r="L206">
        <f>-LN(1-K206)</f>
        <v/>
      </c>
      <c r="M206">
        <f>EXP(-L206/Inputs!$B$6)</f>
        <v/>
      </c>
      <c r="N206">
        <f>N205*M206</f>
        <v/>
      </c>
      <c r="O206">
        <f>IFERROR(INDEX(MonthlyCurve!$L:$L,MATCH(A206,MonthlyCurve!$A:$A,0)),"")</f>
        <v/>
      </c>
      <c r="P206">
        <f>IF(B206&gt;0,-LN(O206)/B206,"")</f>
        <v/>
      </c>
      <c r="Q206">
        <f>G206*N206</f>
        <v/>
      </c>
      <c r="R206">
        <f>H206*N206</f>
        <v/>
      </c>
      <c r="S206">
        <f>Q206+R206</f>
        <v/>
      </c>
      <c r="T206">
        <f>Q206*O206</f>
        <v/>
      </c>
      <c r="U206">
        <f>R206*O206</f>
        <v/>
      </c>
      <c r="V206">
        <f>SUMPRODUCT(S207:S543,O207:O543)/(N206*O206)</f>
        <v/>
      </c>
    </row>
    <row r="207">
      <c r="A207" t="n">
        <v>204</v>
      </c>
      <c r="B207">
        <f>A207/Inputs!$B$6</f>
        <v/>
      </c>
      <c r="C207">
        <f>Inputs!$B$3+B207</f>
        <v/>
      </c>
      <c r="D207">
        <f>INT(C207)</f>
        <v/>
      </c>
      <c r="E207">
        <f>Inputs!$B$7+1+INT((A207-1)/Inputs!$B$6)</f>
        <v/>
      </c>
      <c r="F207">
        <f>IFERROR(INDEX(IndexScenario!$B$4:$B$544,MATCH(A207,IndexScenario!$A$4:$A$544,0)),"")</f>
        <v/>
      </c>
      <c r="G207">
        <f>G206*F207/F206</f>
        <v/>
      </c>
      <c r="H207">
        <f>H206*(1+Inputs!$B$17)^(1/12)</f>
        <v/>
      </c>
      <c r="I207">
        <f>IFERROR(INDEX(BaseQx!$B:$B,MATCH(D207,BaseQx!$A:$A,0)),"")</f>
        <v/>
      </c>
      <c r="J207">
        <f>IF(Inputs!$B$13="rp_mp",SUMIFS(MP2016_Long!$C:$C,MP2016_Long!$A:$A,D207,MP2016_Long!$B:$B,"&gt;=2014",MP2016_Long!$B:$B,"&lt;"&amp;E207),0)</f>
        <v/>
      </c>
      <c r="K207">
        <f>MIN(0.999999,MAX(0,I207*EXP(J207)))</f>
        <v/>
      </c>
      <c r="L207">
        <f>-LN(1-K207)</f>
        <v/>
      </c>
      <c r="M207">
        <f>EXP(-L207/Inputs!$B$6)</f>
        <v/>
      </c>
      <c r="N207">
        <f>N206*M207</f>
        <v/>
      </c>
      <c r="O207">
        <f>IFERROR(INDEX(MonthlyCurve!$L:$L,MATCH(A207,MonthlyCurve!$A:$A,0)),"")</f>
        <v/>
      </c>
      <c r="P207">
        <f>IF(B207&gt;0,-LN(O207)/B207,"")</f>
        <v/>
      </c>
      <c r="Q207">
        <f>G207*N207</f>
        <v/>
      </c>
      <c r="R207">
        <f>H207*N207</f>
        <v/>
      </c>
      <c r="S207">
        <f>Q207+R207</f>
        <v/>
      </c>
      <c r="T207">
        <f>Q207*O207</f>
        <v/>
      </c>
      <c r="U207">
        <f>R207*O207</f>
        <v/>
      </c>
      <c r="V207">
        <f>SUMPRODUCT(S208:S543,O208:O543)/(N207*O207)</f>
        <v/>
      </c>
    </row>
    <row r="208">
      <c r="A208" t="n">
        <v>205</v>
      </c>
      <c r="B208">
        <f>A208/Inputs!$B$6</f>
        <v/>
      </c>
      <c r="C208">
        <f>Inputs!$B$3+B208</f>
        <v/>
      </c>
      <c r="D208">
        <f>INT(C208)</f>
        <v/>
      </c>
      <c r="E208">
        <f>Inputs!$B$7+1+INT((A208-1)/Inputs!$B$6)</f>
        <v/>
      </c>
      <c r="F208">
        <f>IFERROR(INDEX(IndexScenario!$B$4:$B$544,MATCH(A208,IndexScenario!$A$4:$A$544,0)),"")</f>
        <v/>
      </c>
      <c r="G208">
        <f>G207*F208/F207</f>
        <v/>
      </c>
      <c r="H208">
        <f>H207*(1+Inputs!$B$17)^(1/12)</f>
        <v/>
      </c>
      <c r="I208">
        <f>IFERROR(INDEX(BaseQx!$B:$B,MATCH(D208,BaseQx!$A:$A,0)),"")</f>
        <v/>
      </c>
      <c r="J208">
        <f>IF(Inputs!$B$13="rp_mp",SUMIFS(MP2016_Long!$C:$C,MP2016_Long!$A:$A,D208,MP2016_Long!$B:$B,"&gt;=2014",MP2016_Long!$B:$B,"&lt;"&amp;E208),0)</f>
        <v/>
      </c>
      <c r="K208">
        <f>MIN(0.999999,MAX(0,I208*EXP(J208)))</f>
        <v/>
      </c>
      <c r="L208">
        <f>-LN(1-K208)</f>
        <v/>
      </c>
      <c r="M208">
        <f>EXP(-L208/Inputs!$B$6)</f>
        <v/>
      </c>
      <c r="N208">
        <f>N207*M208</f>
        <v/>
      </c>
      <c r="O208">
        <f>IFERROR(INDEX(MonthlyCurve!$L:$L,MATCH(A208,MonthlyCurve!$A:$A,0)),"")</f>
        <v/>
      </c>
      <c r="P208">
        <f>IF(B208&gt;0,-LN(O208)/B208,"")</f>
        <v/>
      </c>
      <c r="Q208">
        <f>G208*N208</f>
        <v/>
      </c>
      <c r="R208">
        <f>H208*N208</f>
        <v/>
      </c>
      <c r="S208">
        <f>Q208+R208</f>
        <v/>
      </c>
      <c r="T208">
        <f>Q208*O208</f>
        <v/>
      </c>
      <c r="U208">
        <f>R208*O208</f>
        <v/>
      </c>
      <c r="V208">
        <f>SUMPRODUCT(S209:S543,O209:O543)/(N208*O208)</f>
        <v/>
      </c>
    </row>
    <row r="209">
      <c r="A209" t="n">
        <v>206</v>
      </c>
      <c r="B209">
        <f>A209/Inputs!$B$6</f>
        <v/>
      </c>
      <c r="C209">
        <f>Inputs!$B$3+B209</f>
        <v/>
      </c>
      <c r="D209">
        <f>INT(C209)</f>
        <v/>
      </c>
      <c r="E209">
        <f>Inputs!$B$7+1+INT((A209-1)/Inputs!$B$6)</f>
        <v/>
      </c>
      <c r="F209">
        <f>IFERROR(INDEX(IndexScenario!$B$4:$B$544,MATCH(A209,IndexScenario!$A$4:$A$544,0)),"")</f>
        <v/>
      </c>
      <c r="G209">
        <f>G208*F209/F208</f>
        <v/>
      </c>
      <c r="H209">
        <f>H208*(1+Inputs!$B$17)^(1/12)</f>
        <v/>
      </c>
      <c r="I209">
        <f>IFERROR(INDEX(BaseQx!$B:$B,MATCH(D209,BaseQx!$A:$A,0)),"")</f>
        <v/>
      </c>
      <c r="J209">
        <f>IF(Inputs!$B$13="rp_mp",SUMIFS(MP2016_Long!$C:$C,MP2016_Long!$A:$A,D209,MP2016_Long!$B:$B,"&gt;=2014",MP2016_Long!$B:$B,"&lt;"&amp;E209),0)</f>
        <v/>
      </c>
      <c r="K209">
        <f>MIN(0.999999,MAX(0,I209*EXP(J209)))</f>
        <v/>
      </c>
      <c r="L209">
        <f>-LN(1-K209)</f>
        <v/>
      </c>
      <c r="M209">
        <f>EXP(-L209/Inputs!$B$6)</f>
        <v/>
      </c>
      <c r="N209">
        <f>N208*M209</f>
        <v/>
      </c>
      <c r="O209">
        <f>IFERROR(INDEX(MonthlyCurve!$L:$L,MATCH(A209,MonthlyCurve!$A:$A,0)),"")</f>
        <v/>
      </c>
      <c r="P209">
        <f>IF(B209&gt;0,-LN(O209)/B209,"")</f>
        <v/>
      </c>
      <c r="Q209">
        <f>G209*N209</f>
        <v/>
      </c>
      <c r="R209">
        <f>H209*N209</f>
        <v/>
      </c>
      <c r="S209">
        <f>Q209+R209</f>
        <v/>
      </c>
      <c r="T209">
        <f>Q209*O209</f>
        <v/>
      </c>
      <c r="U209">
        <f>R209*O209</f>
        <v/>
      </c>
      <c r="V209">
        <f>SUMPRODUCT(S210:S543,O210:O543)/(N209*O209)</f>
        <v/>
      </c>
    </row>
    <row r="210">
      <c r="A210" t="n">
        <v>207</v>
      </c>
      <c r="B210">
        <f>A210/Inputs!$B$6</f>
        <v/>
      </c>
      <c r="C210">
        <f>Inputs!$B$3+B210</f>
        <v/>
      </c>
      <c r="D210">
        <f>INT(C210)</f>
        <v/>
      </c>
      <c r="E210">
        <f>Inputs!$B$7+1+INT((A210-1)/Inputs!$B$6)</f>
        <v/>
      </c>
      <c r="F210">
        <f>IFERROR(INDEX(IndexScenario!$B$4:$B$544,MATCH(A210,IndexScenario!$A$4:$A$544,0)),"")</f>
        <v/>
      </c>
      <c r="G210">
        <f>G209*F210/F209</f>
        <v/>
      </c>
      <c r="H210">
        <f>H209*(1+Inputs!$B$17)^(1/12)</f>
        <v/>
      </c>
      <c r="I210">
        <f>IFERROR(INDEX(BaseQx!$B:$B,MATCH(D210,BaseQx!$A:$A,0)),"")</f>
        <v/>
      </c>
      <c r="J210">
        <f>IF(Inputs!$B$13="rp_mp",SUMIFS(MP2016_Long!$C:$C,MP2016_Long!$A:$A,D210,MP2016_Long!$B:$B,"&gt;=2014",MP2016_Long!$B:$B,"&lt;"&amp;E210),0)</f>
        <v/>
      </c>
      <c r="K210">
        <f>MIN(0.999999,MAX(0,I210*EXP(J210)))</f>
        <v/>
      </c>
      <c r="L210">
        <f>-LN(1-K210)</f>
        <v/>
      </c>
      <c r="M210">
        <f>EXP(-L210/Inputs!$B$6)</f>
        <v/>
      </c>
      <c r="N210">
        <f>N209*M210</f>
        <v/>
      </c>
      <c r="O210">
        <f>IFERROR(INDEX(MonthlyCurve!$L:$L,MATCH(A210,MonthlyCurve!$A:$A,0)),"")</f>
        <v/>
      </c>
      <c r="P210">
        <f>IF(B210&gt;0,-LN(O210)/B210,"")</f>
        <v/>
      </c>
      <c r="Q210">
        <f>G210*N210</f>
        <v/>
      </c>
      <c r="R210">
        <f>H210*N210</f>
        <v/>
      </c>
      <c r="S210">
        <f>Q210+R210</f>
        <v/>
      </c>
      <c r="T210">
        <f>Q210*O210</f>
        <v/>
      </c>
      <c r="U210">
        <f>R210*O210</f>
        <v/>
      </c>
      <c r="V210">
        <f>SUMPRODUCT(S211:S543,O211:O543)/(N210*O210)</f>
        <v/>
      </c>
    </row>
    <row r="211">
      <c r="A211" t="n">
        <v>208</v>
      </c>
      <c r="B211">
        <f>A211/Inputs!$B$6</f>
        <v/>
      </c>
      <c r="C211">
        <f>Inputs!$B$3+B211</f>
        <v/>
      </c>
      <c r="D211">
        <f>INT(C211)</f>
        <v/>
      </c>
      <c r="E211">
        <f>Inputs!$B$7+1+INT((A211-1)/Inputs!$B$6)</f>
        <v/>
      </c>
      <c r="F211">
        <f>IFERROR(INDEX(IndexScenario!$B$4:$B$544,MATCH(A211,IndexScenario!$A$4:$A$544,0)),"")</f>
        <v/>
      </c>
      <c r="G211">
        <f>G210*F211/F210</f>
        <v/>
      </c>
      <c r="H211">
        <f>H210*(1+Inputs!$B$17)^(1/12)</f>
        <v/>
      </c>
      <c r="I211">
        <f>IFERROR(INDEX(BaseQx!$B:$B,MATCH(D211,BaseQx!$A:$A,0)),"")</f>
        <v/>
      </c>
      <c r="J211">
        <f>IF(Inputs!$B$13="rp_mp",SUMIFS(MP2016_Long!$C:$C,MP2016_Long!$A:$A,D211,MP2016_Long!$B:$B,"&gt;=2014",MP2016_Long!$B:$B,"&lt;"&amp;E211),0)</f>
        <v/>
      </c>
      <c r="K211">
        <f>MIN(0.999999,MAX(0,I211*EXP(J211)))</f>
        <v/>
      </c>
      <c r="L211">
        <f>-LN(1-K211)</f>
        <v/>
      </c>
      <c r="M211">
        <f>EXP(-L211/Inputs!$B$6)</f>
        <v/>
      </c>
      <c r="N211">
        <f>N210*M211</f>
        <v/>
      </c>
      <c r="O211">
        <f>IFERROR(INDEX(MonthlyCurve!$L:$L,MATCH(A211,MonthlyCurve!$A:$A,0)),"")</f>
        <v/>
      </c>
      <c r="P211">
        <f>IF(B211&gt;0,-LN(O211)/B211,"")</f>
        <v/>
      </c>
      <c r="Q211">
        <f>G211*N211</f>
        <v/>
      </c>
      <c r="R211">
        <f>H211*N211</f>
        <v/>
      </c>
      <c r="S211">
        <f>Q211+R211</f>
        <v/>
      </c>
      <c r="T211">
        <f>Q211*O211</f>
        <v/>
      </c>
      <c r="U211">
        <f>R211*O211</f>
        <v/>
      </c>
      <c r="V211">
        <f>SUMPRODUCT(S212:S543,O212:O543)/(N211*O211)</f>
        <v/>
      </c>
    </row>
    <row r="212">
      <c r="A212" t="n">
        <v>209</v>
      </c>
      <c r="B212">
        <f>A212/Inputs!$B$6</f>
        <v/>
      </c>
      <c r="C212">
        <f>Inputs!$B$3+B212</f>
        <v/>
      </c>
      <c r="D212">
        <f>INT(C212)</f>
        <v/>
      </c>
      <c r="E212">
        <f>Inputs!$B$7+1+INT((A212-1)/Inputs!$B$6)</f>
        <v/>
      </c>
      <c r="F212">
        <f>IFERROR(INDEX(IndexScenario!$B$4:$B$544,MATCH(A212,IndexScenario!$A$4:$A$544,0)),"")</f>
        <v/>
      </c>
      <c r="G212">
        <f>G211*F212/F211</f>
        <v/>
      </c>
      <c r="H212">
        <f>H211*(1+Inputs!$B$17)^(1/12)</f>
        <v/>
      </c>
      <c r="I212">
        <f>IFERROR(INDEX(BaseQx!$B:$B,MATCH(D212,BaseQx!$A:$A,0)),"")</f>
        <v/>
      </c>
      <c r="J212">
        <f>IF(Inputs!$B$13="rp_mp",SUMIFS(MP2016_Long!$C:$C,MP2016_Long!$A:$A,D212,MP2016_Long!$B:$B,"&gt;=2014",MP2016_Long!$B:$B,"&lt;"&amp;E212),0)</f>
        <v/>
      </c>
      <c r="K212">
        <f>MIN(0.999999,MAX(0,I212*EXP(J212)))</f>
        <v/>
      </c>
      <c r="L212">
        <f>-LN(1-K212)</f>
        <v/>
      </c>
      <c r="M212">
        <f>EXP(-L212/Inputs!$B$6)</f>
        <v/>
      </c>
      <c r="N212">
        <f>N211*M212</f>
        <v/>
      </c>
      <c r="O212">
        <f>IFERROR(INDEX(MonthlyCurve!$L:$L,MATCH(A212,MonthlyCurve!$A:$A,0)),"")</f>
        <v/>
      </c>
      <c r="P212">
        <f>IF(B212&gt;0,-LN(O212)/B212,"")</f>
        <v/>
      </c>
      <c r="Q212">
        <f>G212*N212</f>
        <v/>
      </c>
      <c r="R212">
        <f>H212*N212</f>
        <v/>
      </c>
      <c r="S212">
        <f>Q212+R212</f>
        <v/>
      </c>
      <c r="T212">
        <f>Q212*O212</f>
        <v/>
      </c>
      <c r="U212">
        <f>R212*O212</f>
        <v/>
      </c>
      <c r="V212">
        <f>SUMPRODUCT(S213:S543,O213:O543)/(N212*O212)</f>
        <v/>
      </c>
    </row>
    <row r="213">
      <c r="A213" t="n">
        <v>210</v>
      </c>
      <c r="B213">
        <f>A213/Inputs!$B$6</f>
        <v/>
      </c>
      <c r="C213">
        <f>Inputs!$B$3+B213</f>
        <v/>
      </c>
      <c r="D213">
        <f>INT(C213)</f>
        <v/>
      </c>
      <c r="E213">
        <f>Inputs!$B$7+1+INT((A213-1)/Inputs!$B$6)</f>
        <v/>
      </c>
      <c r="F213">
        <f>IFERROR(INDEX(IndexScenario!$B$4:$B$544,MATCH(A213,IndexScenario!$A$4:$A$544,0)),"")</f>
        <v/>
      </c>
      <c r="G213">
        <f>G212*F213/F212</f>
        <v/>
      </c>
      <c r="H213">
        <f>H212*(1+Inputs!$B$17)^(1/12)</f>
        <v/>
      </c>
      <c r="I213">
        <f>IFERROR(INDEX(BaseQx!$B:$B,MATCH(D213,BaseQx!$A:$A,0)),"")</f>
        <v/>
      </c>
      <c r="J213">
        <f>IF(Inputs!$B$13="rp_mp",SUMIFS(MP2016_Long!$C:$C,MP2016_Long!$A:$A,D213,MP2016_Long!$B:$B,"&gt;=2014",MP2016_Long!$B:$B,"&lt;"&amp;E213),0)</f>
        <v/>
      </c>
      <c r="K213">
        <f>MIN(0.999999,MAX(0,I213*EXP(J213)))</f>
        <v/>
      </c>
      <c r="L213">
        <f>-LN(1-K213)</f>
        <v/>
      </c>
      <c r="M213">
        <f>EXP(-L213/Inputs!$B$6)</f>
        <v/>
      </c>
      <c r="N213">
        <f>N212*M213</f>
        <v/>
      </c>
      <c r="O213">
        <f>IFERROR(INDEX(MonthlyCurve!$L:$L,MATCH(A213,MonthlyCurve!$A:$A,0)),"")</f>
        <v/>
      </c>
      <c r="P213">
        <f>IF(B213&gt;0,-LN(O213)/B213,"")</f>
        <v/>
      </c>
      <c r="Q213">
        <f>G213*N213</f>
        <v/>
      </c>
      <c r="R213">
        <f>H213*N213</f>
        <v/>
      </c>
      <c r="S213">
        <f>Q213+R213</f>
        <v/>
      </c>
      <c r="T213">
        <f>Q213*O213</f>
        <v/>
      </c>
      <c r="U213">
        <f>R213*O213</f>
        <v/>
      </c>
      <c r="V213">
        <f>SUMPRODUCT(S214:S543,O214:O543)/(N213*O213)</f>
        <v/>
      </c>
    </row>
    <row r="214">
      <c r="A214" t="n">
        <v>211</v>
      </c>
      <c r="B214">
        <f>A214/Inputs!$B$6</f>
        <v/>
      </c>
      <c r="C214">
        <f>Inputs!$B$3+B214</f>
        <v/>
      </c>
      <c r="D214">
        <f>INT(C214)</f>
        <v/>
      </c>
      <c r="E214">
        <f>Inputs!$B$7+1+INT((A214-1)/Inputs!$B$6)</f>
        <v/>
      </c>
      <c r="F214">
        <f>IFERROR(INDEX(IndexScenario!$B$4:$B$544,MATCH(A214,IndexScenario!$A$4:$A$544,0)),"")</f>
        <v/>
      </c>
      <c r="G214">
        <f>G213*F214/F213</f>
        <v/>
      </c>
      <c r="H214">
        <f>H213*(1+Inputs!$B$17)^(1/12)</f>
        <v/>
      </c>
      <c r="I214">
        <f>IFERROR(INDEX(BaseQx!$B:$B,MATCH(D214,BaseQx!$A:$A,0)),"")</f>
        <v/>
      </c>
      <c r="J214">
        <f>IF(Inputs!$B$13="rp_mp",SUMIFS(MP2016_Long!$C:$C,MP2016_Long!$A:$A,D214,MP2016_Long!$B:$B,"&gt;=2014",MP2016_Long!$B:$B,"&lt;"&amp;E214),0)</f>
        <v/>
      </c>
      <c r="K214">
        <f>MIN(0.999999,MAX(0,I214*EXP(J214)))</f>
        <v/>
      </c>
      <c r="L214">
        <f>-LN(1-K214)</f>
        <v/>
      </c>
      <c r="M214">
        <f>EXP(-L214/Inputs!$B$6)</f>
        <v/>
      </c>
      <c r="N214">
        <f>N213*M214</f>
        <v/>
      </c>
      <c r="O214">
        <f>IFERROR(INDEX(MonthlyCurve!$L:$L,MATCH(A214,MonthlyCurve!$A:$A,0)),"")</f>
        <v/>
      </c>
      <c r="P214">
        <f>IF(B214&gt;0,-LN(O214)/B214,"")</f>
        <v/>
      </c>
      <c r="Q214">
        <f>G214*N214</f>
        <v/>
      </c>
      <c r="R214">
        <f>H214*N214</f>
        <v/>
      </c>
      <c r="S214">
        <f>Q214+R214</f>
        <v/>
      </c>
      <c r="T214">
        <f>Q214*O214</f>
        <v/>
      </c>
      <c r="U214">
        <f>R214*O214</f>
        <v/>
      </c>
      <c r="V214">
        <f>SUMPRODUCT(S215:S543,O215:O543)/(N214*O214)</f>
        <v/>
      </c>
    </row>
    <row r="215">
      <c r="A215" t="n">
        <v>212</v>
      </c>
      <c r="B215">
        <f>A215/Inputs!$B$6</f>
        <v/>
      </c>
      <c r="C215">
        <f>Inputs!$B$3+B215</f>
        <v/>
      </c>
      <c r="D215">
        <f>INT(C215)</f>
        <v/>
      </c>
      <c r="E215">
        <f>Inputs!$B$7+1+INT((A215-1)/Inputs!$B$6)</f>
        <v/>
      </c>
      <c r="F215">
        <f>IFERROR(INDEX(IndexScenario!$B$4:$B$544,MATCH(A215,IndexScenario!$A$4:$A$544,0)),"")</f>
        <v/>
      </c>
      <c r="G215">
        <f>G214*F215/F214</f>
        <v/>
      </c>
      <c r="H215">
        <f>H214*(1+Inputs!$B$17)^(1/12)</f>
        <v/>
      </c>
      <c r="I215">
        <f>IFERROR(INDEX(BaseQx!$B:$B,MATCH(D215,BaseQx!$A:$A,0)),"")</f>
        <v/>
      </c>
      <c r="J215">
        <f>IF(Inputs!$B$13="rp_mp",SUMIFS(MP2016_Long!$C:$C,MP2016_Long!$A:$A,D215,MP2016_Long!$B:$B,"&gt;=2014",MP2016_Long!$B:$B,"&lt;"&amp;E215),0)</f>
        <v/>
      </c>
      <c r="K215">
        <f>MIN(0.999999,MAX(0,I215*EXP(J215)))</f>
        <v/>
      </c>
      <c r="L215">
        <f>-LN(1-K215)</f>
        <v/>
      </c>
      <c r="M215">
        <f>EXP(-L215/Inputs!$B$6)</f>
        <v/>
      </c>
      <c r="N215">
        <f>N214*M215</f>
        <v/>
      </c>
      <c r="O215">
        <f>IFERROR(INDEX(MonthlyCurve!$L:$L,MATCH(A215,MonthlyCurve!$A:$A,0)),"")</f>
        <v/>
      </c>
      <c r="P215">
        <f>IF(B215&gt;0,-LN(O215)/B215,"")</f>
        <v/>
      </c>
      <c r="Q215">
        <f>G215*N215</f>
        <v/>
      </c>
      <c r="R215">
        <f>H215*N215</f>
        <v/>
      </c>
      <c r="S215">
        <f>Q215+R215</f>
        <v/>
      </c>
      <c r="T215">
        <f>Q215*O215</f>
        <v/>
      </c>
      <c r="U215">
        <f>R215*O215</f>
        <v/>
      </c>
      <c r="V215">
        <f>SUMPRODUCT(S216:S543,O216:O543)/(N215*O215)</f>
        <v/>
      </c>
    </row>
    <row r="216">
      <c r="A216" t="n">
        <v>213</v>
      </c>
      <c r="B216">
        <f>A216/Inputs!$B$6</f>
        <v/>
      </c>
      <c r="C216">
        <f>Inputs!$B$3+B216</f>
        <v/>
      </c>
      <c r="D216">
        <f>INT(C216)</f>
        <v/>
      </c>
      <c r="E216">
        <f>Inputs!$B$7+1+INT((A216-1)/Inputs!$B$6)</f>
        <v/>
      </c>
      <c r="F216">
        <f>IFERROR(INDEX(IndexScenario!$B$4:$B$544,MATCH(A216,IndexScenario!$A$4:$A$544,0)),"")</f>
        <v/>
      </c>
      <c r="G216">
        <f>G215*F216/F215</f>
        <v/>
      </c>
      <c r="H216">
        <f>H215*(1+Inputs!$B$17)^(1/12)</f>
        <v/>
      </c>
      <c r="I216">
        <f>IFERROR(INDEX(BaseQx!$B:$B,MATCH(D216,BaseQx!$A:$A,0)),"")</f>
        <v/>
      </c>
      <c r="J216">
        <f>IF(Inputs!$B$13="rp_mp",SUMIFS(MP2016_Long!$C:$C,MP2016_Long!$A:$A,D216,MP2016_Long!$B:$B,"&gt;=2014",MP2016_Long!$B:$B,"&lt;"&amp;E216),0)</f>
        <v/>
      </c>
      <c r="K216">
        <f>MIN(0.999999,MAX(0,I216*EXP(J216)))</f>
        <v/>
      </c>
      <c r="L216">
        <f>-LN(1-K216)</f>
        <v/>
      </c>
      <c r="M216">
        <f>EXP(-L216/Inputs!$B$6)</f>
        <v/>
      </c>
      <c r="N216">
        <f>N215*M216</f>
        <v/>
      </c>
      <c r="O216">
        <f>IFERROR(INDEX(MonthlyCurve!$L:$L,MATCH(A216,MonthlyCurve!$A:$A,0)),"")</f>
        <v/>
      </c>
      <c r="P216">
        <f>IF(B216&gt;0,-LN(O216)/B216,"")</f>
        <v/>
      </c>
      <c r="Q216">
        <f>G216*N216</f>
        <v/>
      </c>
      <c r="R216">
        <f>H216*N216</f>
        <v/>
      </c>
      <c r="S216">
        <f>Q216+R216</f>
        <v/>
      </c>
      <c r="T216">
        <f>Q216*O216</f>
        <v/>
      </c>
      <c r="U216">
        <f>R216*O216</f>
        <v/>
      </c>
      <c r="V216">
        <f>SUMPRODUCT(S217:S543,O217:O543)/(N216*O216)</f>
        <v/>
      </c>
    </row>
    <row r="217">
      <c r="A217" t="n">
        <v>214</v>
      </c>
      <c r="B217">
        <f>A217/Inputs!$B$6</f>
        <v/>
      </c>
      <c r="C217">
        <f>Inputs!$B$3+B217</f>
        <v/>
      </c>
      <c r="D217">
        <f>INT(C217)</f>
        <v/>
      </c>
      <c r="E217">
        <f>Inputs!$B$7+1+INT((A217-1)/Inputs!$B$6)</f>
        <v/>
      </c>
      <c r="F217">
        <f>IFERROR(INDEX(IndexScenario!$B$4:$B$544,MATCH(A217,IndexScenario!$A$4:$A$544,0)),"")</f>
        <v/>
      </c>
      <c r="G217">
        <f>G216*F217/F216</f>
        <v/>
      </c>
      <c r="H217">
        <f>H216*(1+Inputs!$B$17)^(1/12)</f>
        <v/>
      </c>
      <c r="I217">
        <f>IFERROR(INDEX(BaseQx!$B:$B,MATCH(D217,BaseQx!$A:$A,0)),"")</f>
        <v/>
      </c>
      <c r="J217">
        <f>IF(Inputs!$B$13="rp_mp",SUMIFS(MP2016_Long!$C:$C,MP2016_Long!$A:$A,D217,MP2016_Long!$B:$B,"&gt;=2014",MP2016_Long!$B:$B,"&lt;"&amp;E217),0)</f>
        <v/>
      </c>
      <c r="K217">
        <f>MIN(0.999999,MAX(0,I217*EXP(J217)))</f>
        <v/>
      </c>
      <c r="L217">
        <f>-LN(1-K217)</f>
        <v/>
      </c>
      <c r="M217">
        <f>EXP(-L217/Inputs!$B$6)</f>
        <v/>
      </c>
      <c r="N217">
        <f>N216*M217</f>
        <v/>
      </c>
      <c r="O217">
        <f>IFERROR(INDEX(MonthlyCurve!$L:$L,MATCH(A217,MonthlyCurve!$A:$A,0)),"")</f>
        <v/>
      </c>
      <c r="P217">
        <f>IF(B217&gt;0,-LN(O217)/B217,"")</f>
        <v/>
      </c>
      <c r="Q217">
        <f>G217*N217</f>
        <v/>
      </c>
      <c r="R217">
        <f>H217*N217</f>
        <v/>
      </c>
      <c r="S217">
        <f>Q217+R217</f>
        <v/>
      </c>
      <c r="T217">
        <f>Q217*O217</f>
        <v/>
      </c>
      <c r="U217">
        <f>R217*O217</f>
        <v/>
      </c>
      <c r="V217">
        <f>SUMPRODUCT(S218:S543,O218:O543)/(N217*O217)</f>
        <v/>
      </c>
    </row>
    <row r="218">
      <c r="A218" t="n">
        <v>215</v>
      </c>
      <c r="B218">
        <f>A218/Inputs!$B$6</f>
        <v/>
      </c>
      <c r="C218">
        <f>Inputs!$B$3+B218</f>
        <v/>
      </c>
      <c r="D218">
        <f>INT(C218)</f>
        <v/>
      </c>
      <c r="E218">
        <f>Inputs!$B$7+1+INT((A218-1)/Inputs!$B$6)</f>
        <v/>
      </c>
      <c r="F218">
        <f>IFERROR(INDEX(IndexScenario!$B$4:$B$544,MATCH(A218,IndexScenario!$A$4:$A$544,0)),"")</f>
        <v/>
      </c>
      <c r="G218">
        <f>G217*F218/F217</f>
        <v/>
      </c>
      <c r="H218">
        <f>H217*(1+Inputs!$B$17)^(1/12)</f>
        <v/>
      </c>
      <c r="I218">
        <f>IFERROR(INDEX(BaseQx!$B:$B,MATCH(D218,BaseQx!$A:$A,0)),"")</f>
        <v/>
      </c>
      <c r="J218">
        <f>IF(Inputs!$B$13="rp_mp",SUMIFS(MP2016_Long!$C:$C,MP2016_Long!$A:$A,D218,MP2016_Long!$B:$B,"&gt;=2014",MP2016_Long!$B:$B,"&lt;"&amp;E218),0)</f>
        <v/>
      </c>
      <c r="K218">
        <f>MIN(0.999999,MAX(0,I218*EXP(J218)))</f>
        <v/>
      </c>
      <c r="L218">
        <f>-LN(1-K218)</f>
        <v/>
      </c>
      <c r="M218">
        <f>EXP(-L218/Inputs!$B$6)</f>
        <v/>
      </c>
      <c r="N218">
        <f>N217*M218</f>
        <v/>
      </c>
      <c r="O218">
        <f>IFERROR(INDEX(MonthlyCurve!$L:$L,MATCH(A218,MonthlyCurve!$A:$A,0)),"")</f>
        <v/>
      </c>
      <c r="P218">
        <f>IF(B218&gt;0,-LN(O218)/B218,"")</f>
        <v/>
      </c>
      <c r="Q218">
        <f>G218*N218</f>
        <v/>
      </c>
      <c r="R218">
        <f>H218*N218</f>
        <v/>
      </c>
      <c r="S218">
        <f>Q218+R218</f>
        <v/>
      </c>
      <c r="T218">
        <f>Q218*O218</f>
        <v/>
      </c>
      <c r="U218">
        <f>R218*O218</f>
        <v/>
      </c>
      <c r="V218">
        <f>SUMPRODUCT(S219:S543,O219:O543)/(N218*O218)</f>
        <v/>
      </c>
    </row>
    <row r="219">
      <c r="A219" t="n">
        <v>216</v>
      </c>
      <c r="B219">
        <f>A219/Inputs!$B$6</f>
        <v/>
      </c>
      <c r="C219">
        <f>Inputs!$B$3+B219</f>
        <v/>
      </c>
      <c r="D219">
        <f>INT(C219)</f>
        <v/>
      </c>
      <c r="E219">
        <f>Inputs!$B$7+1+INT((A219-1)/Inputs!$B$6)</f>
        <v/>
      </c>
      <c r="F219">
        <f>IFERROR(INDEX(IndexScenario!$B$4:$B$544,MATCH(A219,IndexScenario!$A$4:$A$544,0)),"")</f>
        <v/>
      </c>
      <c r="G219">
        <f>G218*F219/F218</f>
        <v/>
      </c>
      <c r="H219">
        <f>H218*(1+Inputs!$B$17)^(1/12)</f>
        <v/>
      </c>
      <c r="I219">
        <f>IFERROR(INDEX(BaseQx!$B:$B,MATCH(D219,BaseQx!$A:$A,0)),"")</f>
        <v/>
      </c>
      <c r="J219">
        <f>IF(Inputs!$B$13="rp_mp",SUMIFS(MP2016_Long!$C:$C,MP2016_Long!$A:$A,D219,MP2016_Long!$B:$B,"&gt;=2014",MP2016_Long!$B:$B,"&lt;"&amp;E219),0)</f>
        <v/>
      </c>
      <c r="K219">
        <f>MIN(0.999999,MAX(0,I219*EXP(J219)))</f>
        <v/>
      </c>
      <c r="L219">
        <f>-LN(1-K219)</f>
        <v/>
      </c>
      <c r="M219">
        <f>EXP(-L219/Inputs!$B$6)</f>
        <v/>
      </c>
      <c r="N219">
        <f>N218*M219</f>
        <v/>
      </c>
      <c r="O219">
        <f>IFERROR(INDEX(MonthlyCurve!$L:$L,MATCH(A219,MonthlyCurve!$A:$A,0)),"")</f>
        <v/>
      </c>
      <c r="P219">
        <f>IF(B219&gt;0,-LN(O219)/B219,"")</f>
        <v/>
      </c>
      <c r="Q219">
        <f>G219*N219</f>
        <v/>
      </c>
      <c r="R219">
        <f>H219*N219</f>
        <v/>
      </c>
      <c r="S219">
        <f>Q219+R219</f>
        <v/>
      </c>
      <c r="T219">
        <f>Q219*O219</f>
        <v/>
      </c>
      <c r="U219">
        <f>R219*O219</f>
        <v/>
      </c>
      <c r="V219">
        <f>SUMPRODUCT(S220:S543,O220:O543)/(N219*O219)</f>
        <v/>
      </c>
    </row>
    <row r="220">
      <c r="A220" t="n">
        <v>217</v>
      </c>
      <c r="B220">
        <f>A220/Inputs!$B$6</f>
        <v/>
      </c>
      <c r="C220">
        <f>Inputs!$B$3+B220</f>
        <v/>
      </c>
      <c r="D220">
        <f>INT(C220)</f>
        <v/>
      </c>
      <c r="E220">
        <f>Inputs!$B$7+1+INT((A220-1)/Inputs!$B$6)</f>
        <v/>
      </c>
      <c r="F220">
        <f>IFERROR(INDEX(IndexScenario!$B$4:$B$544,MATCH(A220,IndexScenario!$A$4:$A$544,0)),"")</f>
        <v/>
      </c>
      <c r="G220">
        <f>G219*F220/F219</f>
        <v/>
      </c>
      <c r="H220">
        <f>H219*(1+Inputs!$B$17)^(1/12)</f>
        <v/>
      </c>
      <c r="I220">
        <f>IFERROR(INDEX(BaseQx!$B:$B,MATCH(D220,BaseQx!$A:$A,0)),"")</f>
        <v/>
      </c>
      <c r="J220">
        <f>IF(Inputs!$B$13="rp_mp",SUMIFS(MP2016_Long!$C:$C,MP2016_Long!$A:$A,D220,MP2016_Long!$B:$B,"&gt;=2014",MP2016_Long!$B:$B,"&lt;"&amp;E220),0)</f>
        <v/>
      </c>
      <c r="K220">
        <f>MIN(0.999999,MAX(0,I220*EXP(J220)))</f>
        <v/>
      </c>
      <c r="L220">
        <f>-LN(1-K220)</f>
        <v/>
      </c>
      <c r="M220">
        <f>EXP(-L220/Inputs!$B$6)</f>
        <v/>
      </c>
      <c r="N220">
        <f>N219*M220</f>
        <v/>
      </c>
      <c r="O220">
        <f>IFERROR(INDEX(MonthlyCurve!$L:$L,MATCH(A220,MonthlyCurve!$A:$A,0)),"")</f>
        <v/>
      </c>
      <c r="P220">
        <f>IF(B220&gt;0,-LN(O220)/B220,"")</f>
        <v/>
      </c>
      <c r="Q220">
        <f>G220*N220</f>
        <v/>
      </c>
      <c r="R220">
        <f>H220*N220</f>
        <v/>
      </c>
      <c r="S220">
        <f>Q220+R220</f>
        <v/>
      </c>
      <c r="T220">
        <f>Q220*O220</f>
        <v/>
      </c>
      <c r="U220">
        <f>R220*O220</f>
        <v/>
      </c>
      <c r="V220">
        <f>SUMPRODUCT(S221:S543,O221:O543)/(N220*O220)</f>
        <v/>
      </c>
    </row>
    <row r="221">
      <c r="A221" t="n">
        <v>218</v>
      </c>
      <c r="B221">
        <f>A221/Inputs!$B$6</f>
        <v/>
      </c>
      <c r="C221">
        <f>Inputs!$B$3+B221</f>
        <v/>
      </c>
      <c r="D221">
        <f>INT(C221)</f>
        <v/>
      </c>
      <c r="E221">
        <f>Inputs!$B$7+1+INT((A221-1)/Inputs!$B$6)</f>
        <v/>
      </c>
      <c r="F221">
        <f>IFERROR(INDEX(IndexScenario!$B$4:$B$544,MATCH(A221,IndexScenario!$A$4:$A$544,0)),"")</f>
        <v/>
      </c>
      <c r="G221">
        <f>G220*F221/F220</f>
        <v/>
      </c>
      <c r="H221">
        <f>H220*(1+Inputs!$B$17)^(1/12)</f>
        <v/>
      </c>
      <c r="I221">
        <f>IFERROR(INDEX(BaseQx!$B:$B,MATCH(D221,BaseQx!$A:$A,0)),"")</f>
        <v/>
      </c>
      <c r="J221">
        <f>IF(Inputs!$B$13="rp_mp",SUMIFS(MP2016_Long!$C:$C,MP2016_Long!$A:$A,D221,MP2016_Long!$B:$B,"&gt;=2014",MP2016_Long!$B:$B,"&lt;"&amp;E221),0)</f>
        <v/>
      </c>
      <c r="K221">
        <f>MIN(0.999999,MAX(0,I221*EXP(J221)))</f>
        <v/>
      </c>
      <c r="L221">
        <f>-LN(1-K221)</f>
        <v/>
      </c>
      <c r="M221">
        <f>EXP(-L221/Inputs!$B$6)</f>
        <v/>
      </c>
      <c r="N221">
        <f>N220*M221</f>
        <v/>
      </c>
      <c r="O221">
        <f>IFERROR(INDEX(MonthlyCurve!$L:$L,MATCH(A221,MonthlyCurve!$A:$A,0)),"")</f>
        <v/>
      </c>
      <c r="P221">
        <f>IF(B221&gt;0,-LN(O221)/B221,"")</f>
        <v/>
      </c>
      <c r="Q221">
        <f>G221*N221</f>
        <v/>
      </c>
      <c r="R221">
        <f>H221*N221</f>
        <v/>
      </c>
      <c r="S221">
        <f>Q221+R221</f>
        <v/>
      </c>
      <c r="T221">
        <f>Q221*O221</f>
        <v/>
      </c>
      <c r="U221">
        <f>R221*O221</f>
        <v/>
      </c>
      <c r="V221">
        <f>SUMPRODUCT(S222:S543,O222:O543)/(N221*O221)</f>
        <v/>
      </c>
    </row>
    <row r="222">
      <c r="A222" t="n">
        <v>219</v>
      </c>
      <c r="B222">
        <f>A222/Inputs!$B$6</f>
        <v/>
      </c>
      <c r="C222">
        <f>Inputs!$B$3+B222</f>
        <v/>
      </c>
      <c r="D222">
        <f>INT(C222)</f>
        <v/>
      </c>
      <c r="E222">
        <f>Inputs!$B$7+1+INT((A222-1)/Inputs!$B$6)</f>
        <v/>
      </c>
      <c r="F222">
        <f>IFERROR(INDEX(IndexScenario!$B$4:$B$544,MATCH(A222,IndexScenario!$A$4:$A$544,0)),"")</f>
        <v/>
      </c>
      <c r="G222">
        <f>G221*F222/F221</f>
        <v/>
      </c>
      <c r="H222">
        <f>H221*(1+Inputs!$B$17)^(1/12)</f>
        <v/>
      </c>
      <c r="I222">
        <f>IFERROR(INDEX(BaseQx!$B:$B,MATCH(D222,BaseQx!$A:$A,0)),"")</f>
        <v/>
      </c>
      <c r="J222">
        <f>IF(Inputs!$B$13="rp_mp",SUMIFS(MP2016_Long!$C:$C,MP2016_Long!$A:$A,D222,MP2016_Long!$B:$B,"&gt;=2014",MP2016_Long!$B:$B,"&lt;"&amp;E222),0)</f>
        <v/>
      </c>
      <c r="K222">
        <f>MIN(0.999999,MAX(0,I222*EXP(J222)))</f>
        <v/>
      </c>
      <c r="L222">
        <f>-LN(1-K222)</f>
        <v/>
      </c>
      <c r="M222">
        <f>EXP(-L222/Inputs!$B$6)</f>
        <v/>
      </c>
      <c r="N222">
        <f>N221*M222</f>
        <v/>
      </c>
      <c r="O222">
        <f>IFERROR(INDEX(MonthlyCurve!$L:$L,MATCH(A222,MonthlyCurve!$A:$A,0)),"")</f>
        <v/>
      </c>
      <c r="P222">
        <f>IF(B222&gt;0,-LN(O222)/B222,"")</f>
        <v/>
      </c>
      <c r="Q222">
        <f>G222*N222</f>
        <v/>
      </c>
      <c r="R222">
        <f>H222*N222</f>
        <v/>
      </c>
      <c r="S222">
        <f>Q222+R222</f>
        <v/>
      </c>
      <c r="T222">
        <f>Q222*O222</f>
        <v/>
      </c>
      <c r="U222">
        <f>R222*O222</f>
        <v/>
      </c>
      <c r="V222">
        <f>SUMPRODUCT(S223:S543,O223:O543)/(N222*O222)</f>
        <v/>
      </c>
    </row>
    <row r="223">
      <c r="A223" t="n">
        <v>220</v>
      </c>
      <c r="B223">
        <f>A223/Inputs!$B$6</f>
        <v/>
      </c>
      <c r="C223">
        <f>Inputs!$B$3+B223</f>
        <v/>
      </c>
      <c r="D223">
        <f>INT(C223)</f>
        <v/>
      </c>
      <c r="E223">
        <f>Inputs!$B$7+1+INT((A223-1)/Inputs!$B$6)</f>
        <v/>
      </c>
      <c r="F223">
        <f>IFERROR(INDEX(IndexScenario!$B$4:$B$544,MATCH(A223,IndexScenario!$A$4:$A$544,0)),"")</f>
        <v/>
      </c>
      <c r="G223">
        <f>G222*F223/F222</f>
        <v/>
      </c>
      <c r="H223">
        <f>H222*(1+Inputs!$B$17)^(1/12)</f>
        <v/>
      </c>
      <c r="I223">
        <f>IFERROR(INDEX(BaseQx!$B:$B,MATCH(D223,BaseQx!$A:$A,0)),"")</f>
        <v/>
      </c>
      <c r="J223">
        <f>IF(Inputs!$B$13="rp_mp",SUMIFS(MP2016_Long!$C:$C,MP2016_Long!$A:$A,D223,MP2016_Long!$B:$B,"&gt;=2014",MP2016_Long!$B:$B,"&lt;"&amp;E223),0)</f>
        <v/>
      </c>
      <c r="K223">
        <f>MIN(0.999999,MAX(0,I223*EXP(J223)))</f>
        <v/>
      </c>
      <c r="L223">
        <f>-LN(1-K223)</f>
        <v/>
      </c>
      <c r="M223">
        <f>EXP(-L223/Inputs!$B$6)</f>
        <v/>
      </c>
      <c r="N223">
        <f>N222*M223</f>
        <v/>
      </c>
      <c r="O223">
        <f>IFERROR(INDEX(MonthlyCurve!$L:$L,MATCH(A223,MonthlyCurve!$A:$A,0)),"")</f>
        <v/>
      </c>
      <c r="P223">
        <f>IF(B223&gt;0,-LN(O223)/B223,"")</f>
        <v/>
      </c>
      <c r="Q223">
        <f>G223*N223</f>
        <v/>
      </c>
      <c r="R223">
        <f>H223*N223</f>
        <v/>
      </c>
      <c r="S223">
        <f>Q223+R223</f>
        <v/>
      </c>
      <c r="T223">
        <f>Q223*O223</f>
        <v/>
      </c>
      <c r="U223">
        <f>R223*O223</f>
        <v/>
      </c>
      <c r="V223">
        <f>SUMPRODUCT(S224:S543,O224:O543)/(N223*O223)</f>
        <v/>
      </c>
    </row>
    <row r="224">
      <c r="A224" t="n">
        <v>221</v>
      </c>
      <c r="B224">
        <f>A224/Inputs!$B$6</f>
        <v/>
      </c>
      <c r="C224">
        <f>Inputs!$B$3+B224</f>
        <v/>
      </c>
      <c r="D224">
        <f>INT(C224)</f>
        <v/>
      </c>
      <c r="E224">
        <f>Inputs!$B$7+1+INT((A224-1)/Inputs!$B$6)</f>
        <v/>
      </c>
      <c r="F224">
        <f>IFERROR(INDEX(IndexScenario!$B$4:$B$544,MATCH(A224,IndexScenario!$A$4:$A$544,0)),"")</f>
        <v/>
      </c>
      <c r="G224">
        <f>G223*F224/F223</f>
        <v/>
      </c>
      <c r="H224">
        <f>H223*(1+Inputs!$B$17)^(1/12)</f>
        <v/>
      </c>
      <c r="I224">
        <f>IFERROR(INDEX(BaseQx!$B:$B,MATCH(D224,BaseQx!$A:$A,0)),"")</f>
        <v/>
      </c>
      <c r="J224">
        <f>IF(Inputs!$B$13="rp_mp",SUMIFS(MP2016_Long!$C:$C,MP2016_Long!$A:$A,D224,MP2016_Long!$B:$B,"&gt;=2014",MP2016_Long!$B:$B,"&lt;"&amp;E224),0)</f>
        <v/>
      </c>
      <c r="K224">
        <f>MIN(0.999999,MAX(0,I224*EXP(J224)))</f>
        <v/>
      </c>
      <c r="L224">
        <f>-LN(1-K224)</f>
        <v/>
      </c>
      <c r="M224">
        <f>EXP(-L224/Inputs!$B$6)</f>
        <v/>
      </c>
      <c r="N224">
        <f>N223*M224</f>
        <v/>
      </c>
      <c r="O224">
        <f>IFERROR(INDEX(MonthlyCurve!$L:$L,MATCH(A224,MonthlyCurve!$A:$A,0)),"")</f>
        <v/>
      </c>
      <c r="P224">
        <f>IF(B224&gt;0,-LN(O224)/B224,"")</f>
        <v/>
      </c>
      <c r="Q224">
        <f>G224*N224</f>
        <v/>
      </c>
      <c r="R224">
        <f>H224*N224</f>
        <v/>
      </c>
      <c r="S224">
        <f>Q224+R224</f>
        <v/>
      </c>
      <c r="T224">
        <f>Q224*O224</f>
        <v/>
      </c>
      <c r="U224">
        <f>R224*O224</f>
        <v/>
      </c>
      <c r="V224">
        <f>SUMPRODUCT(S225:S543,O225:O543)/(N224*O224)</f>
        <v/>
      </c>
    </row>
    <row r="225">
      <c r="A225" t="n">
        <v>222</v>
      </c>
      <c r="B225">
        <f>A225/Inputs!$B$6</f>
        <v/>
      </c>
      <c r="C225">
        <f>Inputs!$B$3+B225</f>
        <v/>
      </c>
      <c r="D225">
        <f>INT(C225)</f>
        <v/>
      </c>
      <c r="E225">
        <f>Inputs!$B$7+1+INT((A225-1)/Inputs!$B$6)</f>
        <v/>
      </c>
      <c r="F225">
        <f>IFERROR(INDEX(IndexScenario!$B$4:$B$544,MATCH(A225,IndexScenario!$A$4:$A$544,0)),"")</f>
        <v/>
      </c>
      <c r="G225">
        <f>G224*F225/F224</f>
        <v/>
      </c>
      <c r="H225">
        <f>H224*(1+Inputs!$B$17)^(1/12)</f>
        <v/>
      </c>
      <c r="I225">
        <f>IFERROR(INDEX(BaseQx!$B:$B,MATCH(D225,BaseQx!$A:$A,0)),"")</f>
        <v/>
      </c>
      <c r="J225">
        <f>IF(Inputs!$B$13="rp_mp",SUMIFS(MP2016_Long!$C:$C,MP2016_Long!$A:$A,D225,MP2016_Long!$B:$B,"&gt;=2014",MP2016_Long!$B:$B,"&lt;"&amp;E225),0)</f>
        <v/>
      </c>
      <c r="K225">
        <f>MIN(0.999999,MAX(0,I225*EXP(J225)))</f>
        <v/>
      </c>
      <c r="L225">
        <f>-LN(1-K225)</f>
        <v/>
      </c>
      <c r="M225">
        <f>EXP(-L225/Inputs!$B$6)</f>
        <v/>
      </c>
      <c r="N225">
        <f>N224*M225</f>
        <v/>
      </c>
      <c r="O225">
        <f>IFERROR(INDEX(MonthlyCurve!$L:$L,MATCH(A225,MonthlyCurve!$A:$A,0)),"")</f>
        <v/>
      </c>
      <c r="P225">
        <f>IF(B225&gt;0,-LN(O225)/B225,"")</f>
        <v/>
      </c>
      <c r="Q225">
        <f>G225*N225</f>
        <v/>
      </c>
      <c r="R225">
        <f>H225*N225</f>
        <v/>
      </c>
      <c r="S225">
        <f>Q225+R225</f>
        <v/>
      </c>
      <c r="T225">
        <f>Q225*O225</f>
        <v/>
      </c>
      <c r="U225">
        <f>R225*O225</f>
        <v/>
      </c>
      <c r="V225">
        <f>SUMPRODUCT(S226:S543,O226:O543)/(N225*O225)</f>
        <v/>
      </c>
    </row>
    <row r="226">
      <c r="A226" t="n">
        <v>223</v>
      </c>
      <c r="B226">
        <f>A226/Inputs!$B$6</f>
        <v/>
      </c>
      <c r="C226">
        <f>Inputs!$B$3+B226</f>
        <v/>
      </c>
      <c r="D226">
        <f>INT(C226)</f>
        <v/>
      </c>
      <c r="E226">
        <f>Inputs!$B$7+1+INT((A226-1)/Inputs!$B$6)</f>
        <v/>
      </c>
      <c r="F226">
        <f>IFERROR(INDEX(IndexScenario!$B$4:$B$544,MATCH(A226,IndexScenario!$A$4:$A$544,0)),"")</f>
        <v/>
      </c>
      <c r="G226">
        <f>G225*F226/F225</f>
        <v/>
      </c>
      <c r="H226">
        <f>H225*(1+Inputs!$B$17)^(1/12)</f>
        <v/>
      </c>
      <c r="I226">
        <f>IFERROR(INDEX(BaseQx!$B:$B,MATCH(D226,BaseQx!$A:$A,0)),"")</f>
        <v/>
      </c>
      <c r="J226">
        <f>IF(Inputs!$B$13="rp_mp",SUMIFS(MP2016_Long!$C:$C,MP2016_Long!$A:$A,D226,MP2016_Long!$B:$B,"&gt;=2014",MP2016_Long!$B:$B,"&lt;"&amp;E226),0)</f>
        <v/>
      </c>
      <c r="K226">
        <f>MIN(0.999999,MAX(0,I226*EXP(J226)))</f>
        <v/>
      </c>
      <c r="L226">
        <f>-LN(1-K226)</f>
        <v/>
      </c>
      <c r="M226">
        <f>EXP(-L226/Inputs!$B$6)</f>
        <v/>
      </c>
      <c r="N226">
        <f>N225*M226</f>
        <v/>
      </c>
      <c r="O226">
        <f>IFERROR(INDEX(MonthlyCurve!$L:$L,MATCH(A226,MonthlyCurve!$A:$A,0)),"")</f>
        <v/>
      </c>
      <c r="P226">
        <f>IF(B226&gt;0,-LN(O226)/B226,"")</f>
        <v/>
      </c>
      <c r="Q226">
        <f>G226*N226</f>
        <v/>
      </c>
      <c r="R226">
        <f>H226*N226</f>
        <v/>
      </c>
      <c r="S226">
        <f>Q226+R226</f>
        <v/>
      </c>
      <c r="T226">
        <f>Q226*O226</f>
        <v/>
      </c>
      <c r="U226">
        <f>R226*O226</f>
        <v/>
      </c>
      <c r="V226">
        <f>SUMPRODUCT(S227:S543,O227:O543)/(N226*O226)</f>
        <v/>
      </c>
    </row>
    <row r="227">
      <c r="A227" t="n">
        <v>224</v>
      </c>
      <c r="B227">
        <f>A227/Inputs!$B$6</f>
        <v/>
      </c>
      <c r="C227">
        <f>Inputs!$B$3+B227</f>
        <v/>
      </c>
      <c r="D227">
        <f>INT(C227)</f>
        <v/>
      </c>
      <c r="E227">
        <f>Inputs!$B$7+1+INT((A227-1)/Inputs!$B$6)</f>
        <v/>
      </c>
      <c r="F227">
        <f>IFERROR(INDEX(IndexScenario!$B$4:$B$544,MATCH(A227,IndexScenario!$A$4:$A$544,0)),"")</f>
        <v/>
      </c>
      <c r="G227">
        <f>G226*F227/F226</f>
        <v/>
      </c>
      <c r="H227">
        <f>H226*(1+Inputs!$B$17)^(1/12)</f>
        <v/>
      </c>
      <c r="I227">
        <f>IFERROR(INDEX(BaseQx!$B:$B,MATCH(D227,BaseQx!$A:$A,0)),"")</f>
        <v/>
      </c>
      <c r="J227">
        <f>IF(Inputs!$B$13="rp_mp",SUMIFS(MP2016_Long!$C:$C,MP2016_Long!$A:$A,D227,MP2016_Long!$B:$B,"&gt;=2014",MP2016_Long!$B:$B,"&lt;"&amp;E227),0)</f>
        <v/>
      </c>
      <c r="K227">
        <f>MIN(0.999999,MAX(0,I227*EXP(J227)))</f>
        <v/>
      </c>
      <c r="L227">
        <f>-LN(1-K227)</f>
        <v/>
      </c>
      <c r="M227">
        <f>EXP(-L227/Inputs!$B$6)</f>
        <v/>
      </c>
      <c r="N227">
        <f>N226*M227</f>
        <v/>
      </c>
      <c r="O227">
        <f>IFERROR(INDEX(MonthlyCurve!$L:$L,MATCH(A227,MonthlyCurve!$A:$A,0)),"")</f>
        <v/>
      </c>
      <c r="P227">
        <f>IF(B227&gt;0,-LN(O227)/B227,"")</f>
        <v/>
      </c>
      <c r="Q227">
        <f>G227*N227</f>
        <v/>
      </c>
      <c r="R227">
        <f>H227*N227</f>
        <v/>
      </c>
      <c r="S227">
        <f>Q227+R227</f>
        <v/>
      </c>
      <c r="T227">
        <f>Q227*O227</f>
        <v/>
      </c>
      <c r="U227">
        <f>R227*O227</f>
        <v/>
      </c>
      <c r="V227">
        <f>SUMPRODUCT(S228:S543,O228:O543)/(N227*O227)</f>
        <v/>
      </c>
    </row>
    <row r="228">
      <c r="A228" t="n">
        <v>225</v>
      </c>
      <c r="B228">
        <f>A228/Inputs!$B$6</f>
        <v/>
      </c>
      <c r="C228">
        <f>Inputs!$B$3+B228</f>
        <v/>
      </c>
      <c r="D228">
        <f>INT(C228)</f>
        <v/>
      </c>
      <c r="E228">
        <f>Inputs!$B$7+1+INT((A228-1)/Inputs!$B$6)</f>
        <v/>
      </c>
      <c r="F228">
        <f>IFERROR(INDEX(IndexScenario!$B$4:$B$544,MATCH(A228,IndexScenario!$A$4:$A$544,0)),"")</f>
        <v/>
      </c>
      <c r="G228">
        <f>G227*F228/F227</f>
        <v/>
      </c>
      <c r="H228">
        <f>H227*(1+Inputs!$B$17)^(1/12)</f>
        <v/>
      </c>
      <c r="I228">
        <f>IFERROR(INDEX(BaseQx!$B:$B,MATCH(D228,BaseQx!$A:$A,0)),"")</f>
        <v/>
      </c>
      <c r="J228">
        <f>IF(Inputs!$B$13="rp_mp",SUMIFS(MP2016_Long!$C:$C,MP2016_Long!$A:$A,D228,MP2016_Long!$B:$B,"&gt;=2014",MP2016_Long!$B:$B,"&lt;"&amp;E228),0)</f>
        <v/>
      </c>
      <c r="K228">
        <f>MIN(0.999999,MAX(0,I228*EXP(J228)))</f>
        <v/>
      </c>
      <c r="L228">
        <f>-LN(1-K228)</f>
        <v/>
      </c>
      <c r="M228">
        <f>EXP(-L228/Inputs!$B$6)</f>
        <v/>
      </c>
      <c r="N228">
        <f>N227*M228</f>
        <v/>
      </c>
      <c r="O228">
        <f>IFERROR(INDEX(MonthlyCurve!$L:$L,MATCH(A228,MonthlyCurve!$A:$A,0)),"")</f>
        <v/>
      </c>
      <c r="P228">
        <f>IF(B228&gt;0,-LN(O228)/B228,"")</f>
        <v/>
      </c>
      <c r="Q228">
        <f>G228*N228</f>
        <v/>
      </c>
      <c r="R228">
        <f>H228*N228</f>
        <v/>
      </c>
      <c r="S228">
        <f>Q228+R228</f>
        <v/>
      </c>
      <c r="T228">
        <f>Q228*O228</f>
        <v/>
      </c>
      <c r="U228">
        <f>R228*O228</f>
        <v/>
      </c>
      <c r="V228">
        <f>SUMPRODUCT(S229:S543,O229:O543)/(N228*O228)</f>
        <v/>
      </c>
    </row>
    <row r="229">
      <c r="A229" t="n">
        <v>226</v>
      </c>
      <c r="B229">
        <f>A229/Inputs!$B$6</f>
        <v/>
      </c>
      <c r="C229">
        <f>Inputs!$B$3+B229</f>
        <v/>
      </c>
      <c r="D229">
        <f>INT(C229)</f>
        <v/>
      </c>
      <c r="E229">
        <f>Inputs!$B$7+1+INT((A229-1)/Inputs!$B$6)</f>
        <v/>
      </c>
      <c r="F229">
        <f>IFERROR(INDEX(IndexScenario!$B$4:$B$544,MATCH(A229,IndexScenario!$A$4:$A$544,0)),"")</f>
        <v/>
      </c>
      <c r="G229">
        <f>G228*F229/F228</f>
        <v/>
      </c>
      <c r="H229">
        <f>H228*(1+Inputs!$B$17)^(1/12)</f>
        <v/>
      </c>
      <c r="I229">
        <f>IFERROR(INDEX(BaseQx!$B:$B,MATCH(D229,BaseQx!$A:$A,0)),"")</f>
        <v/>
      </c>
      <c r="J229">
        <f>IF(Inputs!$B$13="rp_mp",SUMIFS(MP2016_Long!$C:$C,MP2016_Long!$A:$A,D229,MP2016_Long!$B:$B,"&gt;=2014",MP2016_Long!$B:$B,"&lt;"&amp;E229),0)</f>
        <v/>
      </c>
      <c r="K229">
        <f>MIN(0.999999,MAX(0,I229*EXP(J229)))</f>
        <v/>
      </c>
      <c r="L229">
        <f>-LN(1-K229)</f>
        <v/>
      </c>
      <c r="M229">
        <f>EXP(-L229/Inputs!$B$6)</f>
        <v/>
      </c>
      <c r="N229">
        <f>N228*M229</f>
        <v/>
      </c>
      <c r="O229">
        <f>IFERROR(INDEX(MonthlyCurve!$L:$L,MATCH(A229,MonthlyCurve!$A:$A,0)),"")</f>
        <v/>
      </c>
      <c r="P229">
        <f>IF(B229&gt;0,-LN(O229)/B229,"")</f>
        <v/>
      </c>
      <c r="Q229">
        <f>G229*N229</f>
        <v/>
      </c>
      <c r="R229">
        <f>H229*N229</f>
        <v/>
      </c>
      <c r="S229">
        <f>Q229+R229</f>
        <v/>
      </c>
      <c r="T229">
        <f>Q229*O229</f>
        <v/>
      </c>
      <c r="U229">
        <f>R229*O229</f>
        <v/>
      </c>
      <c r="V229">
        <f>SUMPRODUCT(S230:S543,O230:O543)/(N229*O229)</f>
        <v/>
      </c>
    </row>
    <row r="230">
      <c r="A230" t="n">
        <v>227</v>
      </c>
      <c r="B230">
        <f>A230/Inputs!$B$6</f>
        <v/>
      </c>
      <c r="C230">
        <f>Inputs!$B$3+B230</f>
        <v/>
      </c>
      <c r="D230">
        <f>INT(C230)</f>
        <v/>
      </c>
      <c r="E230">
        <f>Inputs!$B$7+1+INT((A230-1)/Inputs!$B$6)</f>
        <v/>
      </c>
      <c r="F230">
        <f>IFERROR(INDEX(IndexScenario!$B$4:$B$544,MATCH(A230,IndexScenario!$A$4:$A$544,0)),"")</f>
        <v/>
      </c>
      <c r="G230">
        <f>G229*F230/F229</f>
        <v/>
      </c>
      <c r="H230">
        <f>H229*(1+Inputs!$B$17)^(1/12)</f>
        <v/>
      </c>
      <c r="I230">
        <f>IFERROR(INDEX(BaseQx!$B:$B,MATCH(D230,BaseQx!$A:$A,0)),"")</f>
        <v/>
      </c>
      <c r="J230">
        <f>IF(Inputs!$B$13="rp_mp",SUMIFS(MP2016_Long!$C:$C,MP2016_Long!$A:$A,D230,MP2016_Long!$B:$B,"&gt;=2014",MP2016_Long!$B:$B,"&lt;"&amp;E230),0)</f>
        <v/>
      </c>
      <c r="K230">
        <f>MIN(0.999999,MAX(0,I230*EXP(J230)))</f>
        <v/>
      </c>
      <c r="L230">
        <f>-LN(1-K230)</f>
        <v/>
      </c>
      <c r="M230">
        <f>EXP(-L230/Inputs!$B$6)</f>
        <v/>
      </c>
      <c r="N230">
        <f>N229*M230</f>
        <v/>
      </c>
      <c r="O230">
        <f>IFERROR(INDEX(MonthlyCurve!$L:$L,MATCH(A230,MonthlyCurve!$A:$A,0)),"")</f>
        <v/>
      </c>
      <c r="P230">
        <f>IF(B230&gt;0,-LN(O230)/B230,"")</f>
        <v/>
      </c>
      <c r="Q230">
        <f>G230*N230</f>
        <v/>
      </c>
      <c r="R230">
        <f>H230*N230</f>
        <v/>
      </c>
      <c r="S230">
        <f>Q230+R230</f>
        <v/>
      </c>
      <c r="T230">
        <f>Q230*O230</f>
        <v/>
      </c>
      <c r="U230">
        <f>R230*O230</f>
        <v/>
      </c>
      <c r="V230">
        <f>SUMPRODUCT(S231:S543,O231:O543)/(N230*O230)</f>
        <v/>
      </c>
    </row>
    <row r="231">
      <c r="A231" t="n">
        <v>228</v>
      </c>
      <c r="B231">
        <f>A231/Inputs!$B$6</f>
        <v/>
      </c>
      <c r="C231">
        <f>Inputs!$B$3+B231</f>
        <v/>
      </c>
      <c r="D231">
        <f>INT(C231)</f>
        <v/>
      </c>
      <c r="E231">
        <f>Inputs!$B$7+1+INT((A231-1)/Inputs!$B$6)</f>
        <v/>
      </c>
      <c r="F231">
        <f>IFERROR(INDEX(IndexScenario!$B$4:$B$544,MATCH(A231,IndexScenario!$A$4:$A$544,0)),"")</f>
        <v/>
      </c>
      <c r="G231">
        <f>G230*F231/F230</f>
        <v/>
      </c>
      <c r="H231">
        <f>H230*(1+Inputs!$B$17)^(1/12)</f>
        <v/>
      </c>
      <c r="I231">
        <f>IFERROR(INDEX(BaseQx!$B:$B,MATCH(D231,BaseQx!$A:$A,0)),"")</f>
        <v/>
      </c>
      <c r="J231">
        <f>IF(Inputs!$B$13="rp_mp",SUMIFS(MP2016_Long!$C:$C,MP2016_Long!$A:$A,D231,MP2016_Long!$B:$B,"&gt;=2014",MP2016_Long!$B:$B,"&lt;"&amp;E231),0)</f>
        <v/>
      </c>
      <c r="K231">
        <f>MIN(0.999999,MAX(0,I231*EXP(J231)))</f>
        <v/>
      </c>
      <c r="L231">
        <f>-LN(1-K231)</f>
        <v/>
      </c>
      <c r="M231">
        <f>EXP(-L231/Inputs!$B$6)</f>
        <v/>
      </c>
      <c r="N231">
        <f>N230*M231</f>
        <v/>
      </c>
      <c r="O231">
        <f>IFERROR(INDEX(MonthlyCurve!$L:$L,MATCH(A231,MonthlyCurve!$A:$A,0)),"")</f>
        <v/>
      </c>
      <c r="P231">
        <f>IF(B231&gt;0,-LN(O231)/B231,"")</f>
        <v/>
      </c>
      <c r="Q231">
        <f>G231*N231</f>
        <v/>
      </c>
      <c r="R231">
        <f>H231*N231</f>
        <v/>
      </c>
      <c r="S231">
        <f>Q231+R231</f>
        <v/>
      </c>
      <c r="T231">
        <f>Q231*O231</f>
        <v/>
      </c>
      <c r="U231">
        <f>R231*O231</f>
        <v/>
      </c>
      <c r="V231">
        <f>SUMPRODUCT(S232:S543,O232:O543)/(N231*O231)</f>
        <v/>
      </c>
    </row>
    <row r="232">
      <c r="A232" t="n">
        <v>229</v>
      </c>
      <c r="B232">
        <f>A232/Inputs!$B$6</f>
        <v/>
      </c>
      <c r="C232">
        <f>Inputs!$B$3+B232</f>
        <v/>
      </c>
      <c r="D232">
        <f>INT(C232)</f>
        <v/>
      </c>
      <c r="E232">
        <f>Inputs!$B$7+1+INT((A232-1)/Inputs!$B$6)</f>
        <v/>
      </c>
      <c r="F232">
        <f>IFERROR(INDEX(IndexScenario!$B$4:$B$544,MATCH(A232,IndexScenario!$A$4:$A$544,0)),"")</f>
        <v/>
      </c>
      <c r="G232">
        <f>G231*F232/F231</f>
        <v/>
      </c>
      <c r="H232">
        <f>H231*(1+Inputs!$B$17)^(1/12)</f>
        <v/>
      </c>
      <c r="I232">
        <f>IFERROR(INDEX(BaseQx!$B:$B,MATCH(D232,BaseQx!$A:$A,0)),"")</f>
        <v/>
      </c>
      <c r="J232">
        <f>IF(Inputs!$B$13="rp_mp",SUMIFS(MP2016_Long!$C:$C,MP2016_Long!$A:$A,D232,MP2016_Long!$B:$B,"&gt;=2014",MP2016_Long!$B:$B,"&lt;"&amp;E232),0)</f>
        <v/>
      </c>
      <c r="K232">
        <f>MIN(0.999999,MAX(0,I232*EXP(J232)))</f>
        <v/>
      </c>
      <c r="L232">
        <f>-LN(1-K232)</f>
        <v/>
      </c>
      <c r="M232">
        <f>EXP(-L232/Inputs!$B$6)</f>
        <v/>
      </c>
      <c r="N232">
        <f>N231*M232</f>
        <v/>
      </c>
      <c r="O232">
        <f>IFERROR(INDEX(MonthlyCurve!$L:$L,MATCH(A232,MonthlyCurve!$A:$A,0)),"")</f>
        <v/>
      </c>
      <c r="P232">
        <f>IF(B232&gt;0,-LN(O232)/B232,"")</f>
        <v/>
      </c>
      <c r="Q232">
        <f>G232*N232</f>
        <v/>
      </c>
      <c r="R232">
        <f>H232*N232</f>
        <v/>
      </c>
      <c r="S232">
        <f>Q232+R232</f>
        <v/>
      </c>
      <c r="T232">
        <f>Q232*O232</f>
        <v/>
      </c>
      <c r="U232">
        <f>R232*O232</f>
        <v/>
      </c>
      <c r="V232">
        <f>SUMPRODUCT(S233:S543,O233:O543)/(N232*O232)</f>
        <v/>
      </c>
    </row>
    <row r="233">
      <c r="A233" t="n">
        <v>230</v>
      </c>
      <c r="B233">
        <f>A233/Inputs!$B$6</f>
        <v/>
      </c>
      <c r="C233">
        <f>Inputs!$B$3+B233</f>
        <v/>
      </c>
      <c r="D233">
        <f>INT(C233)</f>
        <v/>
      </c>
      <c r="E233">
        <f>Inputs!$B$7+1+INT((A233-1)/Inputs!$B$6)</f>
        <v/>
      </c>
      <c r="F233">
        <f>IFERROR(INDEX(IndexScenario!$B$4:$B$544,MATCH(A233,IndexScenario!$A$4:$A$544,0)),"")</f>
        <v/>
      </c>
      <c r="G233">
        <f>G232*F233/F232</f>
        <v/>
      </c>
      <c r="H233">
        <f>H232*(1+Inputs!$B$17)^(1/12)</f>
        <v/>
      </c>
      <c r="I233">
        <f>IFERROR(INDEX(BaseQx!$B:$B,MATCH(D233,BaseQx!$A:$A,0)),"")</f>
        <v/>
      </c>
      <c r="J233">
        <f>IF(Inputs!$B$13="rp_mp",SUMIFS(MP2016_Long!$C:$C,MP2016_Long!$A:$A,D233,MP2016_Long!$B:$B,"&gt;=2014",MP2016_Long!$B:$B,"&lt;"&amp;E233),0)</f>
        <v/>
      </c>
      <c r="K233">
        <f>MIN(0.999999,MAX(0,I233*EXP(J233)))</f>
        <v/>
      </c>
      <c r="L233">
        <f>-LN(1-K233)</f>
        <v/>
      </c>
      <c r="M233">
        <f>EXP(-L233/Inputs!$B$6)</f>
        <v/>
      </c>
      <c r="N233">
        <f>N232*M233</f>
        <v/>
      </c>
      <c r="O233">
        <f>IFERROR(INDEX(MonthlyCurve!$L:$L,MATCH(A233,MonthlyCurve!$A:$A,0)),"")</f>
        <v/>
      </c>
      <c r="P233">
        <f>IF(B233&gt;0,-LN(O233)/B233,"")</f>
        <v/>
      </c>
      <c r="Q233">
        <f>G233*N233</f>
        <v/>
      </c>
      <c r="R233">
        <f>H233*N233</f>
        <v/>
      </c>
      <c r="S233">
        <f>Q233+R233</f>
        <v/>
      </c>
      <c r="T233">
        <f>Q233*O233</f>
        <v/>
      </c>
      <c r="U233">
        <f>R233*O233</f>
        <v/>
      </c>
      <c r="V233">
        <f>SUMPRODUCT(S234:S543,O234:O543)/(N233*O233)</f>
        <v/>
      </c>
    </row>
    <row r="234">
      <c r="A234" t="n">
        <v>231</v>
      </c>
      <c r="B234">
        <f>A234/Inputs!$B$6</f>
        <v/>
      </c>
      <c r="C234">
        <f>Inputs!$B$3+B234</f>
        <v/>
      </c>
      <c r="D234">
        <f>INT(C234)</f>
        <v/>
      </c>
      <c r="E234">
        <f>Inputs!$B$7+1+INT((A234-1)/Inputs!$B$6)</f>
        <v/>
      </c>
      <c r="F234">
        <f>IFERROR(INDEX(IndexScenario!$B$4:$B$544,MATCH(A234,IndexScenario!$A$4:$A$544,0)),"")</f>
        <v/>
      </c>
      <c r="G234">
        <f>G233*F234/F233</f>
        <v/>
      </c>
      <c r="H234">
        <f>H233*(1+Inputs!$B$17)^(1/12)</f>
        <v/>
      </c>
      <c r="I234">
        <f>IFERROR(INDEX(BaseQx!$B:$B,MATCH(D234,BaseQx!$A:$A,0)),"")</f>
        <v/>
      </c>
      <c r="J234">
        <f>IF(Inputs!$B$13="rp_mp",SUMIFS(MP2016_Long!$C:$C,MP2016_Long!$A:$A,D234,MP2016_Long!$B:$B,"&gt;=2014",MP2016_Long!$B:$B,"&lt;"&amp;E234),0)</f>
        <v/>
      </c>
      <c r="K234">
        <f>MIN(0.999999,MAX(0,I234*EXP(J234)))</f>
        <v/>
      </c>
      <c r="L234">
        <f>-LN(1-K234)</f>
        <v/>
      </c>
      <c r="M234">
        <f>EXP(-L234/Inputs!$B$6)</f>
        <v/>
      </c>
      <c r="N234">
        <f>N233*M234</f>
        <v/>
      </c>
      <c r="O234">
        <f>IFERROR(INDEX(MonthlyCurve!$L:$L,MATCH(A234,MonthlyCurve!$A:$A,0)),"")</f>
        <v/>
      </c>
      <c r="P234">
        <f>IF(B234&gt;0,-LN(O234)/B234,"")</f>
        <v/>
      </c>
      <c r="Q234">
        <f>G234*N234</f>
        <v/>
      </c>
      <c r="R234">
        <f>H234*N234</f>
        <v/>
      </c>
      <c r="S234">
        <f>Q234+R234</f>
        <v/>
      </c>
      <c r="T234">
        <f>Q234*O234</f>
        <v/>
      </c>
      <c r="U234">
        <f>R234*O234</f>
        <v/>
      </c>
      <c r="V234">
        <f>SUMPRODUCT(S235:S543,O235:O543)/(N234*O234)</f>
        <v/>
      </c>
    </row>
    <row r="235">
      <c r="A235" t="n">
        <v>232</v>
      </c>
      <c r="B235">
        <f>A235/Inputs!$B$6</f>
        <v/>
      </c>
      <c r="C235">
        <f>Inputs!$B$3+B235</f>
        <v/>
      </c>
      <c r="D235">
        <f>INT(C235)</f>
        <v/>
      </c>
      <c r="E235">
        <f>Inputs!$B$7+1+INT((A235-1)/Inputs!$B$6)</f>
        <v/>
      </c>
      <c r="F235">
        <f>IFERROR(INDEX(IndexScenario!$B$4:$B$544,MATCH(A235,IndexScenario!$A$4:$A$544,0)),"")</f>
        <v/>
      </c>
      <c r="G235">
        <f>G234*F235/F234</f>
        <v/>
      </c>
      <c r="H235">
        <f>H234*(1+Inputs!$B$17)^(1/12)</f>
        <v/>
      </c>
      <c r="I235">
        <f>IFERROR(INDEX(BaseQx!$B:$B,MATCH(D235,BaseQx!$A:$A,0)),"")</f>
        <v/>
      </c>
      <c r="J235">
        <f>IF(Inputs!$B$13="rp_mp",SUMIFS(MP2016_Long!$C:$C,MP2016_Long!$A:$A,D235,MP2016_Long!$B:$B,"&gt;=2014",MP2016_Long!$B:$B,"&lt;"&amp;E235),0)</f>
        <v/>
      </c>
      <c r="K235">
        <f>MIN(0.999999,MAX(0,I235*EXP(J235)))</f>
        <v/>
      </c>
      <c r="L235">
        <f>-LN(1-K235)</f>
        <v/>
      </c>
      <c r="M235">
        <f>EXP(-L235/Inputs!$B$6)</f>
        <v/>
      </c>
      <c r="N235">
        <f>N234*M235</f>
        <v/>
      </c>
      <c r="O235">
        <f>IFERROR(INDEX(MonthlyCurve!$L:$L,MATCH(A235,MonthlyCurve!$A:$A,0)),"")</f>
        <v/>
      </c>
      <c r="P235">
        <f>IF(B235&gt;0,-LN(O235)/B235,"")</f>
        <v/>
      </c>
      <c r="Q235">
        <f>G235*N235</f>
        <v/>
      </c>
      <c r="R235">
        <f>H235*N235</f>
        <v/>
      </c>
      <c r="S235">
        <f>Q235+R235</f>
        <v/>
      </c>
      <c r="T235">
        <f>Q235*O235</f>
        <v/>
      </c>
      <c r="U235">
        <f>R235*O235</f>
        <v/>
      </c>
      <c r="V235">
        <f>SUMPRODUCT(S236:S543,O236:O543)/(N235*O235)</f>
        <v/>
      </c>
    </row>
    <row r="236">
      <c r="A236" t="n">
        <v>233</v>
      </c>
      <c r="B236">
        <f>A236/Inputs!$B$6</f>
        <v/>
      </c>
      <c r="C236">
        <f>Inputs!$B$3+B236</f>
        <v/>
      </c>
      <c r="D236">
        <f>INT(C236)</f>
        <v/>
      </c>
      <c r="E236">
        <f>Inputs!$B$7+1+INT((A236-1)/Inputs!$B$6)</f>
        <v/>
      </c>
      <c r="F236">
        <f>IFERROR(INDEX(IndexScenario!$B$4:$B$544,MATCH(A236,IndexScenario!$A$4:$A$544,0)),"")</f>
        <v/>
      </c>
      <c r="G236">
        <f>G235*F236/F235</f>
        <v/>
      </c>
      <c r="H236">
        <f>H235*(1+Inputs!$B$17)^(1/12)</f>
        <v/>
      </c>
      <c r="I236">
        <f>IFERROR(INDEX(BaseQx!$B:$B,MATCH(D236,BaseQx!$A:$A,0)),"")</f>
        <v/>
      </c>
      <c r="J236">
        <f>IF(Inputs!$B$13="rp_mp",SUMIFS(MP2016_Long!$C:$C,MP2016_Long!$A:$A,D236,MP2016_Long!$B:$B,"&gt;=2014",MP2016_Long!$B:$B,"&lt;"&amp;E236),0)</f>
        <v/>
      </c>
      <c r="K236">
        <f>MIN(0.999999,MAX(0,I236*EXP(J236)))</f>
        <v/>
      </c>
      <c r="L236">
        <f>-LN(1-K236)</f>
        <v/>
      </c>
      <c r="M236">
        <f>EXP(-L236/Inputs!$B$6)</f>
        <v/>
      </c>
      <c r="N236">
        <f>N235*M236</f>
        <v/>
      </c>
      <c r="O236">
        <f>IFERROR(INDEX(MonthlyCurve!$L:$L,MATCH(A236,MonthlyCurve!$A:$A,0)),"")</f>
        <v/>
      </c>
      <c r="P236">
        <f>IF(B236&gt;0,-LN(O236)/B236,"")</f>
        <v/>
      </c>
      <c r="Q236">
        <f>G236*N236</f>
        <v/>
      </c>
      <c r="R236">
        <f>H236*N236</f>
        <v/>
      </c>
      <c r="S236">
        <f>Q236+R236</f>
        <v/>
      </c>
      <c r="T236">
        <f>Q236*O236</f>
        <v/>
      </c>
      <c r="U236">
        <f>R236*O236</f>
        <v/>
      </c>
      <c r="V236">
        <f>SUMPRODUCT(S237:S543,O237:O543)/(N236*O236)</f>
        <v/>
      </c>
    </row>
    <row r="237">
      <c r="A237" t="n">
        <v>234</v>
      </c>
      <c r="B237">
        <f>A237/Inputs!$B$6</f>
        <v/>
      </c>
      <c r="C237">
        <f>Inputs!$B$3+B237</f>
        <v/>
      </c>
      <c r="D237">
        <f>INT(C237)</f>
        <v/>
      </c>
      <c r="E237">
        <f>Inputs!$B$7+1+INT((A237-1)/Inputs!$B$6)</f>
        <v/>
      </c>
      <c r="F237">
        <f>IFERROR(INDEX(IndexScenario!$B$4:$B$544,MATCH(A237,IndexScenario!$A$4:$A$544,0)),"")</f>
        <v/>
      </c>
      <c r="G237">
        <f>G236*F237/F236</f>
        <v/>
      </c>
      <c r="H237">
        <f>H236*(1+Inputs!$B$17)^(1/12)</f>
        <v/>
      </c>
      <c r="I237">
        <f>IFERROR(INDEX(BaseQx!$B:$B,MATCH(D237,BaseQx!$A:$A,0)),"")</f>
        <v/>
      </c>
      <c r="J237">
        <f>IF(Inputs!$B$13="rp_mp",SUMIFS(MP2016_Long!$C:$C,MP2016_Long!$A:$A,D237,MP2016_Long!$B:$B,"&gt;=2014",MP2016_Long!$B:$B,"&lt;"&amp;E237),0)</f>
        <v/>
      </c>
      <c r="K237">
        <f>MIN(0.999999,MAX(0,I237*EXP(J237)))</f>
        <v/>
      </c>
      <c r="L237">
        <f>-LN(1-K237)</f>
        <v/>
      </c>
      <c r="M237">
        <f>EXP(-L237/Inputs!$B$6)</f>
        <v/>
      </c>
      <c r="N237">
        <f>N236*M237</f>
        <v/>
      </c>
      <c r="O237">
        <f>IFERROR(INDEX(MonthlyCurve!$L:$L,MATCH(A237,MonthlyCurve!$A:$A,0)),"")</f>
        <v/>
      </c>
      <c r="P237">
        <f>IF(B237&gt;0,-LN(O237)/B237,"")</f>
        <v/>
      </c>
      <c r="Q237">
        <f>G237*N237</f>
        <v/>
      </c>
      <c r="R237">
        <f>H237*N237</f>
        <v/>
      </c>
      <c r="S237">
        <f>Q237+R237</f>
        <v/>
      </c>
      <c r="T237">
        <f>Q237*O237</f>
        <v/>
      </c>
      <c r="U237">
        <f>R237*O237</f>
        <v/>
      </c>
      <c r="V237">
        <f>SUMPRODUCT(S238:S543,O238:O543)/(N237*O237)</f>
        <v/>
      </c>
    </row>
    <row r="238">
      <c r="A238" t="n">
        <v>235</v>
      </c>
      <c r="B238">
        <f>A238/Inputs!$B$6</f>
        <v/>
      </c>
      <c r="C238">
        <f>Inputs!$B$3+B238</f>
        <v/>
      </c>
      <c r="D238">
        <f>INT(C238)</f>
        <v/>
      </c>
      <c r="E238">
        <f>Inputs!$B$7+1+INT((A238-1)/Inputs!$B$6)</f>
        <v/>
      </c>
      <c r="F238">
        <f>IFERROR(INDEX(IndexScenario!$B$4:$B$544,MATCH(A238,IndexScenario!$A$4:$A$544,0)),"")</f>
        <v/>
      </c>
      <c r="G238">
        <f>G237*F238/F237</f>
        <v/>
      </c>
      <c r="H238">
        <f>H237*(1+Inputs!$B$17)^(1/12)</f>
        <v/>
      </c>
      <c r="I238">
        <f>IFERROR(INDEX(BaseQx!$B:$B,MATCH(D238,BaseQx!$A:$A,0)),"")</f>
        <v/>
      </c>
      <c r="J238">
        <f>IF(Inputs!$B$13="rp_mp",SUMIFS(MP2016_Long!$C:$C,MP2016_Long!$A:$A,D238,MP2016_Long!$B:$B,"&gt;=2014",MP2016_Long!$B:$B,"&lt;"&amp;E238),0)</f>
        <v/>
      </c>
      <c r="K238">
        <f>MIN(0.999999,MAX(0,I238*EXP(J238)))</f>
        <v/>
      </c>
      <c r="L238">
        <f>-LN(1-K238)</f>
        <v/>
      </c>
      <c r="M238">
        <f>EXP(-L238/Inputs!$B$6)</f>
        <v/>
      </c>
      <c r="N238">
        <f>N237*M238</f>
        <v/>
      </c>
      <c r="O238">
        <f>IFERROR(INDEX(MonthlyCurve!$L:$L,MATCH(A238,MonthlyCurve!$A:$A,0)),"")</f>
        <v/>
      </c>
      <c r="P238">
        <f>IF(B238&gt;0,-LN(O238)/B238,"")</f>
        <v/>
      </c>
      <c r="Q238">
        <f>G238*N238</f>
        <v/>
      </c>
      <c r="R238">
        <f>H238*N238</f>
        <v/>
      </c>
      <c r="S238">
        <f>Q238+R238</f>
        <v/>
      </c>
      <c r="T238">
        <f>Q238*O238</f>
        <v/>
      </c>
      <c r="U238">
        <f>R238*O238</f>
        <v/>
      </c>
      <c r="V238">
        <f>SUMPRODUCT(S239:S543,O239:O543)/(N238*O238)</f>
        <v/>
      </c>
    </row>
    <row r="239">
      <c r="A239" t="n">
        <v>236</v>
      </c>
      <c r="B239">
        <f>A239/Inputs!$B$6</f>
        <v/>
      </c>
      <c r="C239">
        <f>Inputs!$B$3+B239</f>
        <v/>
      </c>
      <c r="D239">
        <f>INT(C239)</f>
        <v/>
      </c>
      <c r="E239">
        <f>Inputs!$B$7+1+INT((A239-1)/Inputs!$B$6)</f>
        <v/>
      </c>
      <c r="F239">
        <f>IFERROR(INDEX(IndexScenario!$B$4:$B$544,MATCH(A239,IndexScenario!$A$4:$A$544,0)),"")</f>
        <v/>
      </c>
      <c r="G239">
        <f>G238*F239/F238</f>
        <v/>
      </c>
      <c r="H239">
        <f>H238*(1+Inputs!$B$17)^(1/12)</f>
        <v/>
      </c>
      <c r="I239">
        <f>IFERROR(INDEX(BaseQx!$B:$B,MATCH(D239,BaseQx!$A:$A,0)),"")</f>
        <v/>
      </c>
      <c r="J239">
        <f>IF(Inputs!$B$13="rp_mp",SUMIFS(MP2016_Long!$C:$C,MP2016_Long!$A:$A,D239,MP2016_Long!$B:$B,"&gt;=2014",MP2016_Long!$B:$B,"&lt;"&amp;E239),0)</f>
        <v/>
      </c>
      <c r="K239">
        <f>MIN(0.999999,MAX(0,I239*EXP(J239)))</f>
        <v/>
      </c>
      <c r="L239">
        <f>-LN(1-K239)</f>
        <v/>
      </c>
      <c r="M239">
        <f>EXP(-L239/Inputs!$B$6)</f>
        <v/>
      </c>
      <c r="N239">
        <f>N238*M239</f>
        <v/>
      </c>
      <c r="O239">
        <f>IFERROR(INDEX(MonthlyCurve!$L:$L,MATCH(A239,MonthlyCurve!$A:$A,0)),"")</f>
        <v/>
      </c>
      <c r="P239">
        <f>IF(B239&gt;0,-LN(O239)/B239,"")</f>
        <v/>
      </c>
      <c r="Q239">
        <f>G239*N239</f>
        <v/>
      </c>
      <c r="R239">
        <f>H239*N239</f>
        <v/>
      </c>
      <c r="S239">
        <f>Q239+R239</f>
        <v/>
      </c>
      <c r="T239">
        <f>Q239*O239</f>
        <v/>
      </c>
      <c r="U239">
        <f>R239*O239</f>
        <v/>
      </c>
      <c r="V239">
        <f>SUMPRODUCT(S240:S543,O240:O543)/(N239*O239)</f>
        <v/>
      </c>
    </row>
    <row r="240">
      <c r="A240" t="n">
        <v>237</v>
      </c>
      <c r="B240">
        <f>A240/Inputs!$B$6</f>
        <v/>
      </c>
      <c r="C240">
        <f>Inputs!$B$3+B240</f>
        <v/>
      </c>
      <c r="D240">
        <f>INT(C240)</f>
        <v/>
      </c>
      <c r="E240">
        <f>Inputs!$B$7+1+INT((A240-1)/Inputs!$B$6)</f>
        <v/>
      </c>
      <c r="F240">
        <f>IFERROR(INDEX(IndexScenario!$B$4:$B$544,MATCH(A240,IndexScenario!$A$4:$A$544,0)),"")</f>
        <v/>
      </c>
      <c r="G240">
        <f>G239*F240/F239</f>
        <v/>
      </c>
      <c r="H240">
        <f>H239*(1+Inputs!$B$17)^(1/12)</f>
        <v/>
      </c>
      <c r="I240">
        <f>IFERROR(INDEX(BaseQx!$B:$B,MATCH(D240,BaseQx!$A:$A,0)),"")</f>
        <v/>
      </c>
      <c r="J240">
        <f>IF(Inputs!$B$13="rp_mp",SUMIFS(MP2016_Long!$C:$C,MP2016_Long!$A:$A,D240,MP2016_Long!$B:$B,"&gt;=2014",MP2016_Long!$B:$B,"&lt;"&amp;E240),0)</f>
        <v/>
      </c>
      <c r="K240">
        <f>MIN(0.999999,MAX(0,I240*EXP(J240)))</f>
        <v/>
      </c>
      <c r="L240">
        <f>-LN(1-K240)</f>
        <v/>
      </c>
      <c r="M240">
        <f>EXP(-L240/Inputs!$B$6)</f>
        <v/>
      </c>
      <c r="N240">
        <f>N239*M240</f>
        <v/>
      </c>
      <c r="O240">
        <f>IFERROR(INDEX(MonthlyCurve!$L:$L,MATCH(A240,MonthlyCurve!$A:$A,0)),"")</f>
        <v/>
      </c>
      <c r="P240">
        <f>IF(B240&gt;0,-LN(O240)/B240,"")</f>
        <v/>
      </c>
      <c r="Q240">
        <f>G240*N240</f>
        <v/>
      </c>
      <c r="R240">
        <f>H240*N240</f>
        <v/>
      </c>
      <c r="S240">
        <f>Q240+R240</f>
        <v/>
      </c>
      <c r="T240">
        <f>Q240*O240</f>
        <v/>
      </c>
      <c r="U240">
        <f>R240*O240</f>
        <v/>
      </c>
      <c r="V240">
        <f>SUMPRODUCT(S241:S543,O241:O543)/(N240*O240)</f>
        <v/>
      </c>
    </row>
    <row r="241">
      <c r="A241" t="n">
        <v>238</v>
      </c>
      <c r="B241">
        <f>A241/Inputs!$B$6</f>
        <v/>
      </c>
      <c r="C241">
        <f>Inputs!$B$3+B241</f>
        <v/>
      </c>
      <c r="D241">
        <f>INT(C241)</f>
        <v/>
      </c>
      <c r="E241">
        <f>Inputs!$B$7+1+INT((A241-1)/Inputs!$B$6)</f>
        <v/>
      </c>
      <c r="F241">
        <f>IFERROR(INDEX(IndexScenario!$B$4:$B$544,MATCH(A241,IndexScenario!$A$4:$A$544,0)),"")</f>
        <v/>
      </c>
      <c r="G241">
        <f>G240*F241/F240</f>
        <v/>
      </c>
      <c r="H241">
        <f>H240*(1+Inputs!$B$17)^(1/12)</f>
        <v/>
      </c>
      <c r="I241">
        <f>IFERROR(INDEX(BaseQx!$B:$B,MATCH(D241,BaseQx!$A:$A,0)),"")</f>
        <v/>
      </c>
      <c r="J241">
        <f>IF(Inputs!$B$13="rp_mp",SUMIFS(MP2016_Long!$C:$C,MP2016_Long!$A:$A,D241,MP2016_Long!$B:$B,"&gt;=2014",MP2016_Long!$B:$B,"&lt;"&amp;E241),0)</f>
        <v/>
      </c>
      <c r="K241">
        <f>MIN(0.999999,MAX(0,I241*EXP(J241)))</f>
        <v/>
      </c>
      <c r="L241">
        <f>-LN(1-K241)</f>
        <v/>
      </c>
      <c r="M241">
        <f>EXP(-L241/Inputs!$B$6)</f>
        <v/>
      </c>
      <c r="N241">
        <f>N240*M241</f>
        <v/>
      </c>
      <c r="O241">
        <f>IFERROR(INDEX(MonthlyCurve!$L:$L,MATCH(A241,MonthlyCurve!$A:$A,0)),"")</f>
        <v/>
      </c>
      <c r="P241">
        <f>IF(B241&gt;0,-LN(O241)/B241,"")</f>
        <v/>
      </c>
      <c r="Q241">
        <f>G241*N241</f>
        <v/>
      </c>
      <c r="R241">
        <f>H241*N241</f>
        <v/>
      </c>
      <c r="S241">
        <f>Q241+R241</f>
        <v/>
      </c>
      <c r="T241">
        <f>Q241*O241</f>
        <v/>
      </c>
      <c r="U241">
        <f>R241*O241</f>
        <v/>
      </c>
      <c r="V241">
        <f>SUMPRODUCT(S242:S543,O242:O543)/(N241*O241)</f>
        <v/>
      </c>
    </row>
    <row r="242">
      <c r="A242" t="n">
        <v>239</v>
      </c>
      <c r="B242">
        <f>A242/Inputs!$B$6</f>
        <v/>
      </c>
      <c r="C242">
        <f>Inputs!$B$3+B242</f>
        <v/>
      </c>
      <c r="D242">
        <f>INT(C242)</f>
        <v/>
      </c>
      <c r="E242">
        <f>Inputs!$B$7+1+INT((A242-1)/Inputs!$B$6)</f>
        <v/>
      </c>
      <c r="F242">
        <f>IFERROR(INDEX(IndexScenario!$B$4:$B$544,MATCH(A242,IndexScenario!$A$4:$A$544,0)),"")</f>
        <v/>
      </c>
      <c r="G242">
        <f>G241*F242/F241</f>
        <v/>
      </c>
      <c r="H242">
        <f>H241*(1+Inputs!$B$17)^(1/12)</f>
        <v/>
      </c>
      <c r="I242">
        <f>IFERROR(INDEX(BaseQx!$B:$B,MATCH(D242,BaseQx!$A:$A,0)),"")</f>
        <v/>
      </c>
      <c r="J242">
        <f>IF(Inputs!$B$13="rp_mp",SUMIFS(MP2016_Long!$C:$C,MP2016_Long!$A:$A,D242,MP2016_Long!$B:$B,"&gt;=2014",MP2016_Long!$B:$B,"&lt;"&amp;E242),0)</f>
        <v/>
      </c>
      <c r="K242">
        <f>MIN(0.999999,MAX(0,I242*EXP(J242)))</f>
        <v/>
      </c>
      <c r="L242">
        <f>-LN(1-K242)</f>
        <v/>
      </c>
      <c r="M242">
        <f>EXP(-L242/Inputs!$B$6)</f>
        <v/>
      </c>
      <c r="N242">
        <f>N241*M242</f>
        <v/>
      </c>
      <c r="O242">
        <f>IFERROR(INDEX(MonthlyCurve!$L:$L,MATCH(A242,MonthlyCurve!$A:$A,0)),"")</f>
        <v/>
      </c>
      <c r="P242">
        <f>IF(B242&gt;0,-LN(O242)/B242,"")</f>
        <v/>
      </c>
      <c r="Q242">
        <f>G242*N242</f>
        <v/>
      </c>
      <c r="R242">
        <f>H242*N242</f>
        <v/>
      </c>
      <c r="S242">
        <f>Q242+R242</f>
        <v/>
      </c>
      <c r="T242">
        <f>Q242*O242</f>
        <v/>
      </c>
      <c r="U242">
        <f>R242*O242</f>
        <v/>
      </c>
      <c r="V242">
        <f>SUMPRODUCT(S243:S543,O243:O543)/(N242*O242)</f>
        <v/>
      </c>
    </row>
    <row r="243">
      <c r="A243" t="n">
        <v>240</v>
      </c>
      <c r="B243">
        <f>A243/Inputs!$B$6</f>
        <v/>
      </c>
      <c r="C243">
        <f>Inputs!$B$3+B243</f>
        <v/>
      </c>
      <c r="D243">
        <f>INT(C243)</f>
        <v/>
      </c>
      <c r="E243">
        <f>Inputs!$B$7+1+INT((A243-1)/Inputs!$B$6)</f>
        <v/>
      </c>
      <c r="F243">
        <f>IFERROR(INDEX(IndexScenario!$B$4:$B$544,MATCH(A243,IndexScenario!$A$4:$A$544,0)),"")</f>
        <v/>
      </c>
      <c r="G243">
        <f>G242*F243/F242</f>
        <v/>
      </c>
      <c r="H243">
        <f>H242*(1+Inputs!$B$17)^(1/12)</f>
        <v/>
      </c>
      <c r="I243">
        <f>IFERROR(INDEX(BaseQx!$B:$B,MATCH(D243,BaseQx!$A:$A,0)),"")</f>
        <v/>
      </c>
      <c r="J243">
        <f>IF(Inputs!$B$13="rp_mp",SUMIFS(MP2016_Long!$C:$C,MP2016_Long!$A:$A,D243,MP2016_Long!$B:$B,"&gt;=2014",MP2016_Long!$B:$B,"&lt;"&amp;E243),0)</f>
        <v/>
      </c>
      <c r="K243">
        <f>MIN(0.999999,MAX(0,I243*EXP(J243)))</f>
        <v/>
      </c>
      <c r="L243">
        <f>-LN(1-K243)</f>
        <v/>
      </c>
      <c r="M243">
        <f>EXP(-L243/Inputs!$B$6)</f>
        <v/>
      </c>
      <c r="N243">
        <f>N242*M243</f>
        <v/>
      </c>
      <c r="O243">
        <f>IFERROR(INDEX(MonthlyCurve!$L:$L,MATCH(A243,MonthlyCurve!$A:$A,0)),"")</f>
        <v/>
      </c>
      <c r="P243">
        <f>IF(B243&gt;0,-LN(O243)/B243,"")</f>
        <v/>
      </c>
      <c r="Q243">
        <f>G243*N243</f>
        <v/>
      </c>
      <c r="R243">
        <f>H243*N243</f>
        <v/>
      </c>
      <c r="S243">
        <f>Q243+R243</f>
        <v/>
      </c>
      <c r="T243">
        <f>Q243*O243</f>
        <v/>
      </c>
      <c r="U243">
        <f>R243*O243</f>
        <v/>
      </c>
      <c r="V243">
        <f>SUMPRODUCT(S244:S543,O244:O543)/(N243*O243)</f>
        <v/>
      </c>
    </row>
    <row r="244">
      <c r="A244" t="n">
        <v>241</v>
      </c>
      <c r="B244">
        <f>A244/Inputs!$B$6</f>
        <v/>
      </c>
      <c r="C244">
        <f>Inputs!$B$3+B244</f>
        <v/>
      </c>
      <c r="D244">
        <f>INT(C244)</f>
        <v/>
      </c>
      <c r="E244">
        <f>Inputs!$B$7+1+INT((A244-1)/Inputs!$B$6)</f>
        <v/>
      </c>
      <c r="F244">
        <f>IFERROR(INDEX(IndexScenario!$B$4:$B$544,MATCH(A244,IndexScenario!$A$4:$A$544,0)),"")</f>
        <v/>
      </c>
      <c r="G244">
        <f>G243*F244/F243</f>
        <v/>
      </c>
      <c r="H244">
        <f>H243*(1+Inputs!$B$17)^(1/12)</f>
        <v/>
      </c>
      <c r="I244">
        <f>IFERROR(INDEX(BaseQx!$B:$B,MATCH(D244,BaseQx!$A:$A,0)),"")</f>
        <v/>
      </c>
      <c r="J244">
        <f>IF(Inputs!$B$13="rp_mp",SUMIFS(MP2016_Long!$C:$C,MP2016_Long!$A:$A,D244,MP2016_Long!$B:$B,"&gt;=2014",MP2016_Long!$B:$B,"&lt;"&amp;E244),0)</f>
        <v/>
      </c>
      <c r="K244">
        <f>MIN(0.999999,MAX(0,I244*EXP(J244)))</f>
        <v/>
      </c>
      <c r="L244">
        <f>-LN(1-K244)</f>
        <v/>
      </c>
      <c r="M244">
        <f>EXP(-L244/Inputs!$B$6)</f>
        <v/>
      </c>
      <c r="N244">
        <f>N243*M244</f>
        <v/>
      </c>
      <c r="O244">
        <f>IFERROR(INDEX(MonthlyCurve!$L:$L,MATCH(A244,MonthlyCurve!$A:$A,0)),"")</f>
        <v/>
      </c>
      <c r="P244">
        <f>IF(B244&gt;0,-LN(O244)/B244,"")</f>
        <v/>
      </c>
      <c r="Q244">
        <f>G244*N244</f>
        <v/>
      </c>
      <c r="R244">
        <f>H244*N244</f>
        <v/>
      </c>
      <c r="S244">
        <f>Q244+R244</f>
        <v/>
      </c>
      <c r="T244">
        <f>Q244*O244</f>
        <v/>
      </c>
      <c r="U244">
        <f>R244*O244</f>
        <v/>
      </c>
      <c r="V244">
        <f>SUMPRODUCT(S245:S543,O245:O543)/(N244*O244)</f>
        <v/>
      </c>
    </row>
    <row r="245">
      <c r="A245" t="n">
        <v>242</v>
      </c>
      <c r="B245">
        <f>A245/Inputs!$B$6</f>
        <v/>
      </c>
      <c r="C245">
        <f>Inputs!$B$3+B245</f>
        <v/>
      </c>
      <c r="D245">
        <f>INT(C245)</f>
        <v/>
      </c>
      <c r="E245">
        <f>Inputs!$B$7+1+INT((A245-1)/Inputs!$B$6)</f>
        <v/>
      </c>
      <c r="F245">
        <f>IFERROR(INDEX(IndexScenario!$B$4:$B$544,MATCH(A245,IndexScenario!$A$4:$A$544,0)),"")</f>
        <v/>
      </c>
      <c r="G245">
        <f>G244*F245/F244</f>
        <v/>
      </c>
      <c r="H245">
        <f>H244*(1+Inputs!$B$17)^(1/12)</f>
        <v/>
      </c>
      <c r="I245">
        <f>IFERROR(INDEX(BaseQx!$B:$B,MATCH(D245,BaseQx!$A:$A,0)),"")</f>
        <v/>
      </c>
      <c r="J245">
        <f>IF(Inputs!$B$13="rp_mp",SUMIFS(MP2016_Long!$C:$C,MP2016_Long!$A:$A,D245,MP2016_Long!$B:$B,"&gt;=2014",MP2016_Long!$B:$B,"&lt;"&amp;E245),0)</f>
        <v/>
      </c>
      <c r="K245">
        <f>MIN(0.999999,MAX(0,I245*EXP(J245)))</f>
        <v/>
      </c>
      <c r="L245">
        <f>-LN(1-K245)</f>
        <v/>
      </c>
      <c r="M245">
        <f>EXP(-L245/Inputs!$B$6)</f>
        <v/>
      </c>
      <c r="N245">
        <f>N244*M245</f>
        <v/>
      </c>
      <c r="O245">
        <f>IFERROR(INDEX(MonthlyCurve!$L:$L,MATCH(A245,MonthlyCurve!$A:$A,0)),"")</f>
        <v/>
      </c>
      <c r="P245">
        <f>IF(B245&gt;0,-LN(O245)/B245,"")</f>
        <v/>
      </c>
      <c r="Q245">
        <f>G245*N245</f>
        <v/>
      </c>
      <c r="R245">
        <f>H245*N245</f>
        <v/>
      </c>
      <c r="S245">
        <f>Q245+R245</f>
        <v/>
      </c>
      <c r="T245">
        <f>Q245*O245</f>
        <v/>
      </c>
      <c r="U245">
        <f>R245*O245</f>
        <v/>
      </c>
      <c r="V245">
        <f>SUMPRODUCT(S246:S543,O246:O543)/(N245*O245)</f>
        <v/>
      </c>
    </row>
    <row r="246">
      <c r="A246" t="n">
        <v>243</v>
      </c>
      <c r="B246">
        <f>A246/Inputs!$B$6</f>
        <v/>
      </c>
      <c r="C246">
        <f>Inputs!$B$3+B246</f>
        <v/>
      </c>
      <c r="D246">
        <f>INT(C246)</f>
        <v/>
      </c>
      <c r="E246">
        <f>Inputs!$B$7+1+INT((A246-1)/Inputs!$B$6)</f>
        <v/>
      </c>
      <c r="F246">
        <f>IFERROR(INDEX(IndexScenario!$B$4:$B$544,MATCH(A246,IndexScenario!$A$4:$A$544,0)),"")</f>
        <v/>
      </c>
      <c r="G246">
        <f>G245*F246/F245</f>
        <v/>
      </c>
      <c r="H246">
        <f>H245*(1+Inputs!$B$17)^(1/12)</f>
        <v/>
      </c>
      <c r="I246">
        <f>IFERROR(INDEX(BaseQx!$B:$B,MATCH(D246,BaseQx!$A:$A,0)),"")</f>
        <v/>
      </c>
      <c r="J246">
        <f>IF(Inputs!$B$13="rp_mp",SUMIFS(MP2016_Long!$C:$C,MP2016_Long!$A:$A,D246,MP2016_Long!$B:$B,"&gt;=2014",MP2016_Long!$B:$B,"&lt;"&amp;E246),0)</f>
        <v/>
      </c>
      <c r="K246">
        <f>MIN(0.999999,MAX(0,I246*EXP(J246)))</f>
        <v/>
      </c>
      <c r="L246">
        <f>-LN(1-K246)</f>
        <v/>
      </c>
      <c r="M246">
        <f>EXP(-L246/Inputs!$B$6)</f>
        <v/>
      </c>
      <c r="N246">
        <f>N245*M246</f>
        <v/>
      </c>
      <c r="O246">
        <f>IFERROR(INDEX(MonthlyCurve!$L:$L,MATCH(A246,MonthlyCurve!$A:$A,0)),"")</f>
        <v/>
      </c>
      <c r="P246">
        <f>IF(B246&gt;0,-LN(O246)/B246,"")</f>
        <v/>
      </c>
      <c r="Q246">
        <f>G246*N246</f>
        <v/>
      </c>
      <c r="R246">
        <f>H246*N246</f>
        <v/>
      </c>
      <c r="S246">
        <f>Q246+R246</f>
        <v/>
      </c>
      <c r="T246">
        <f>Q246*O246</f>
        <v/>
      </c>
      <c r="U246">
        <f>R246*O246</f>
        <v/>
      </c>
      <c r="V246">
        <f>SUMPRODUCT(S247:S543,O247:O543)/(N246*O246)</f>
        <v/>
      </c>
    </row>
    <row r="247">
      <c r="A247" t="n">
        <v>244</v>
      </c>
      <c r="B247">
        <f>A247/Inputs!$B$6</f>
        <v/>
      </c>
      <c r="C247">
        <f>Inputs!$B$3+B247</f>
        <v/>
      </c>
      <c r="D247">
        <f>INT(C247)</f>
        <v/>
      </c>
      <c r="E247">
        <f>Inputs!$B$7+1+INT((A247-1)/Inputs!$B$6)</f>
        <v/>
      </c>
      <c r="F247">
        <f>IFERROR(INDEX(IndexScenario!$B$4:$B$544,MATCH(A247,IndexScenario!$A$4:$A$544,0)),"")</f>
        <v/>
      </c>
      <c r="G247">
        <f>G246*F247/F246</f>
        <v/>
      </c>
      <c r="H247">
        <f>H246*(1+Inputs!$B$17)^(1/12)</f>
        <v/>
      </c>
      <c r="I247">
        <f>IFERROR(INDEX(BaseQx!$B:$B,MATCH(D247,BaseQx!$A:$A,0)),"")</f>
        <v/>
      </c>
      <c r="J247">
        <f>IF(Inputs!$B$13="rp_mp",SUMIFS(MP2016_Long!$C:$C,MP2016_Long!$A:$A,D247,MP2016_Long!$B:$B,"&gt;=2014",MP2016_Long!$B:$B,"&lt;"&amp;E247),0)</f>
        <v/>
      </c>
      <c r="K247">
        <f>MIN(0.999999,MAX(0,I247*EXP(J247)))</f>
        <v/>
      </c>
      <c r="L247">
        <f>-LN(1-K247)</f>
        <v/>
      </c>
      <c r="M247">
        <f>EXP(-L247/Inputs!$B$6)</f>
        <v/>
      </c>
      <c r="N247">
        <f>N246*M247</f>
        <v/>
      </c>
      <c r="O247">
        <f>IFERROR(INDEX(MonthlyCurve!$L:$L,MATCH(A247,MonthlyCurve!$A:$A,0)),"")</f>
        <v/>
      </c>
      <c r="P247">
        <f>IF(B247&gt;0,-LN(O247)/B247,"")</f>
        <v/>
      </c>
      <c r="Q247">
        <f>G247*N247</f>
        <v/>
      </c>
      <c r="R247">
        <f>H247*N247</f>
        <v/>
      </c>
      <c r="S247">
        <f>Q247+R247</f>
        <v/>
      </c>
      <c r="T247">
        <f>Q247*O247</f>
        <v/>
      </c>
      <c r="U247">
        <f>R247*O247</f>
        <v/>
      </c>
      <c r="V247">
        <f>SUMPRODUCT(S248:S543,O248:O543)/(N247*O247)</f>
        <v/>
      </c>
    </row>
    <row r="248">
      <c r="A248" t="n">
        <v>245</v>
      </c>
      <c r="B248">
        <f>A248/Inputs!$B$6</f>
        <v/>
      </c>
      <c r="C248">
        <f>Inputs!$B$3+B248</f>
        <v/>
      </c>
      <c r="D248">
        <f>INT(C248)</f>
        <v/>
      </c>
      <c r="E248">
        <f>Inputs!$B$7+1+INT((A248-1)/Inputs!$B$6)</f>
        <v/>
      </c>
      <c r="F248">
        <f>IFERROR(INDEX(IndexScenario!$B$4:$B$544,MATCH(A248,IndexScenario!$A$4:$A$544,0)),"")</f>
        <v/>
      </c>
      <c r="G248">
        <f>G247*F248/F247</f>
        <v/>
      </c>
      <c r="H248">
        <f>H247*(1+Inputs!$B$17)^(1/12)</f>
        <v/>
      </c>
      <c r="I248">
        <f>IFERROR(INDEX(BaseQx!$B:$B,MATCH(D248,BaseQx!$A:$A,0)),"")</f>
        <v/>
      </c>
      <c r="J248">
        <f>IF(Inputs!$B$13="rp_mp",SUMIFS(MP2016_Long!$C:$C,MP2016_Long!$A:$A,D248,MP2016_Long!$B:$B,"&gt;=2014",MP2016_Long!$B:$B,"&lt;"&amp;E248),0)</f>
        <v/>
      </c>
      <c r="K248">
        <f>MIN(0.999999,MAX(0,I248*EXP(J248)))</f>
        <v/>
      </c>
      <c r="L248">
        <f>-LN(1-K248)</f>
        <v/>
      </c>
      <c r="M248">
        <f>EXP(-L248/Inputs!$B$6)</f>
        <v/>
      </c>
      <c r="N248">
        <f>N247*M248</f>
        <v/>
      </c>
      <c r="O248">
        <f>IFERROR(INDEX(MonthlyCurve!$L:$L,MATCH(A248,MonthlyCurve!$A:$A,0)),"")</f>
        <v/>
      </c>
      <c r="P248">
        <f>IF(B248&gt;0,-LN(O248)/B248,"")</f>
        <v/>
      </c>
      <c r="Q248">
        <f>G248*N248</f>
        <v/>
      </c>
      <c r="R248">
        <f>H248*N248</f>
        <v/>
      </c>
      <c r="S248">
        <f>Q248+R248</f>
        <v/>
      </c>
      <c r="T248">
        <f>Q248*O248</f>
        <v/>
      </c>
      <c r="U248">
        <f>R248*O248</f>
        <v/>
      </c>
      <c r="V248">
        <f>SUMPRODUCT(S249:S543,O249:O543)/(N248*O248)</f>
        <v/>
      </c>
    </row>
    <row r="249">
      <c r="A249" t="n">
        <v>246</v>
      </c>
      <c r="B249">
        <f>A249/Inputs!$B$6</f>
        <v/>
      </c>
      <c r="C249">
        <f>Inputs!$B$3+B249</f>
        <v/>
      </c>
      <c r="D249">
        <f>INT(C249)</f>
        <v/>
      </c>
      <c r="E249">
        <f>Inputs!$B$7+1+INT((A249-1)/Inputs!$B$6)</f>
        <v/>
      </c>
      <c r="F249">
        <f>IFERROR(INDEX(IndexScenario!$B$4:$B$544,MATCH(A249,IndexScenario!$A$4:$A$544,0)),"")</f>
        <v/>
      </c>
      <c r="G249">
        <f>G248*F249/F248</f>
        <v/>
      </c>
      <c r="H249">
        <f>H248*(1+Inputs!$B$17)^(1/12)</f>
        <v/>
      </c>
      <c r="I249">
        <f>IFERROR(INDEX(BaseQx!$B:$B,MATCH(D249,BaseQx!$A:$A,0)),"")</f>
        <v/>
      </c>
      <c r="J249">
        <f>IF(Inputs!$B$13="rp_mp",SUMIFS(MP2016_Long!$C:$C,MP2016_Long!$A:$A,D249,MP2016_Long!$B:$B,"&gt;=2014",MP2016_Long!$B:$B,"&lt;"&amp;E249),0)</f>
        <v/>
      </c>
      <c r="K249">
        <f>MIN(0.999999,MAX(0,I249*EXP(J249)))</f>
        <v/>
      </c>
      <c r="L249">
        <f>-LN(1-K249)</f>
        <v/>
      </c>
      <c r="M249">
        <f>EXP(-L249/Inputs!$B$6)</f>
        <v/>
      </c>
      <c r="N249">
        <f>N248*M249</f>
        <v/>
      </c>
      <c r="O249">
        <f>IFERROR(INDEX(MonthlyCurve!$L:$L,MATCH(A249,MonthlyCurve!$A:$A,0)),"")</f>
        <v/>
      </c>
      <c r="P249">
        <f>IF(B249&gt;0,-LN(O249)/B249,"")</f>
        <v/>
      </c>
      <c r="Q249">
        <f>G249*N249</f>
        <v/>
      </c>
      <c r="R249">
        <f>H249*N249</f>
        <v/>
      </c>
      <c r="S249">
        <f>Q249+R249</f>
        <v/>
      </c>
      <c r="T249">
        <f>Q249*O249</f>
        <v/>
      </c>
      <c r="U249">
        <f>R249*O249</f>
        <v/>
      </c>
      <c r="V249">
        <f>SUMPRODUCT(S250:S543,O250:O543)/(N249*O249)</f>
        <v/>
      </c>
    </row>
    <row r="250">
      <c r="A250" t="n">
        <v>247</v>
      </c>
      <c r="B250">
        <f>A250/Inputs!$B$6</f>
        <v/>
      </c>
      <c r="C250">
        <f>Inputs!$B$3+B250</f>
        <v/>
      </c>
      <c r="D250">
        <f>INT(C250)</f>
        <v/>
      </c>
      <c r="E250">
        <f>Inputs!$B$7+1+INT((A250-1)/Inputs!$B$6)</f>
        <v/>
      </c>
      <c r="F250">
        <f>IFERROR(INDEX(IndexScenario!$B$4:$B$544,MATCH(A250,IndexScenario!$A$4:$A$544,0)),"")</f>
        <v/>
      </c>
      <c r="G250">
        <f>G249*F250/F249</f>
        <v/>
      </c>
      <c r="H250">
        <f>H249*(1+Inputs!$B$17)^(1/12)</f>
        <v/>
      </c>
      <c r="I250">
        <f>IFERROR(INDEX(BaseQx!$B:$B,MATCH(D250,BaseQx!$A:$A,0)),"")</f>
        <v/>
      </c>
      <c r="J250">
        <f>IF(Inputs!$B$13="rp_mp",SUMIFS(MP2016_Long!$C:$C,MP2016_Long!$A:$A,D250,MP2016_Long!$B:$B,"&gt;=2014",MP2016_Long!$B:$B,"&lt;"&amp;E250),0)</f>
        <v/>
      </c>
      <c r="K250">
        <f>MIN(0.999999,MAX(0,I250*EXP(J250)))</f>
        <v/>
      </c>
      <c r="L250">
        <f>-LN(1-K250)</f>
        <v/>
      </c>
      <c r="M250">
        <f>EXP(-L250/Inputs!$B$6)</f>
        <v/>
      </c>
      <c r="N250">
        <f>N249*M250</f>
        <v/>
      </c>
      <c r="O250">
        <f>IFERROR(INDEX(MonthlyCurve!$L:$L,MATCH(A250,MonthlyCurve!$A:$A,0)),"")</f>
        <v/>
      </c>
      <c r="P250">
        <f>IF(B250&gt;0,-LN(O250)/B250,"")</f>
        <v/>
      </c>
      <c r="Q250">
        <f>G250*N250</f>
        <v/>
      </c>
      <c r="R250">
        <f>H250*N250</f>
        <v/>
      </c>
      <c r="S250">
        <f>Q250+R250</f>
        <v/>
      </c>
      <c r="T250">
        <f>Q250*O250</f>
        <v/>
      </c>
      <c r="U250">
        <f>R250*O250</f>
        <v/>
      </c>
      <c r="V250">
        <f>SUMPRODUCT(S251:S543,O251:O543)/(N250*O250)</f>
        <v/>
      </c>
    </row>
    <row r="251">
      <c r="A251" t="n">
        <v>248</v>
      </c>
      <c r="B251">
        <f>A251/Inputs!$B$6</f>
        <v/>
      </c>
      <c r="C251">
        <f>Inputs!$B$3+B251</f>
        <v/>
      </c>
      <c r="D251">
        <f>INT(C251)</f>
        <v/>
      </c>
      <c r="E251">
        <f>Inputs!$B$7+1+INT((A251-1)/Inputs!$B$6)</f>
        <v/>
      </c>
      <c r="F251">
        <f>IFERROR(INDEX(IndexScenario!$B$4:$B$544,MATCH(A251,IndexScenario!$A$4:$A$544,0)),"")</f>
        <v/>
      </c>
      <c r="G251">
        <f>G250*F251/F250</f>
        <v/>
      </c>
      <c r="H251">
        <f>H250*(1+Inputs!$B$17)^(1/12)</f>
        <v/>
      </c>
      <c r="I251">
        <f>IFERROR(INDEX(BaseQx!$B:$B,MATCH(D251,BaseQx!$A:$A,0)),"")</f>
        <v/>
      </c>
      <c r="J251">
        <f>IF(Inputs!$B$13="rp_mp",SUMIFS(MP2016_Long!$C:$C,MP2016_Long!$A:$A,D251,MP2016_Long!$B:$B,"&gt;=2014",MP2016_Long!$B:$B,"&lt;"&amp;E251),0)</f>
        <v/>
      </c>
      <c r="K251">
        <f>MIN(0.999999,MAX(0,I251*EXP(J251)))</f>
        <v/>
      </c>
      <c r="L251">
        <f>-LN(1-K251)</f>
        <v/>
      </c>
      <c r="M251">
        <f>EXP(-L251/Inputs!$B$6)</f>
        <v/>
      </c>
      <c r="N251">
        <f>N250*M251</f>
        <v/>
      </c>
      <c r="O251">
        <f>IFERROR(INDEX(MonthlyCurve!$L:$L,MATCH(A251,MonthlyCurve!$A:$A,0)),"")</f>
        <v/>
      </c>
      <c r="P251">
        <f>IF(B251&gt;0,-LN(O251)/B251,"")</f>
        <v/>
      </c>
      <c r="Q251">
        <f>G251*N251</f>
        <v/>
      </c>
      <c r="R251">
        <f>H251*N251</f>
        <v/>
      </c>
      <c r="S251">
        <f>Q251+R251</f>
        <v/>
      </c>
      <c r="T251">
        <f>Q251*O251</f>
        <v/>
      </c>
      <c r="U251">
        <f>R251*O251</f>
        <v/>
      </c>
      <c r="V251">
        <f>SUMPRODUCT(S252:S543,O252:O543)/(N251*O251)</f>
        <v/>
      </c>
    </row>
    <row r="252">
      <c r="A252" t="n">
        <v>249</v>
      </c>
      <c r="B252">
        <f>A252/Inputs!$B$6</f>
        <v/>
      </c>
      <c r="C252">
        <f>Inputs!$B$3+B252</f>
        <v/>
      </c>
      <c r="D252">
        <f>INT(C252)</f>
        <v/>
      </c>
      <c r="E252">
        <f>Inputs!$B$7+1+INT((A252-1)/Inputs!$B$6)</f>
        <v/>
      </c>
      <c r="F252">
        <f>IFERROR(INDEX(IndexScenario!$B$4:$B$544,MATCH(A252,IndexScenario!$A$4:$A$544,0)),"")</f>
        <v/>
      </c>
      <c r="G252">
        <f>G251*F252/F251</f>
        <v/>
      </c>
      <c r="H252">
        <f>H251*(1+Inputs!$B$17)^(1/12)</f>
        <v/>
      </c>
      <c r="I252">
        <f>IFERROR(INDEX(BaseQx!$B:$B,MATCH(D252,BaseQx!$A:$A,0)),"")</f>
        <v/>
      </c>
      <c r="J252">
        <f>IF(Inputs!$B$13="rp_mp",SUMIFS(MP2016_Long!$C:$C,MP2016_Long!$A:$A,D252,MP2016_Long!$B:$B,"&gt;=2014",MP2016_Long!$B:$B,"&lt;"&amp;E252),0)</f>
        <v/>
      </c>
      <c r="K252">
        <f>MIN(0.999999,MAX(0,I252*EXP(J252)))</f>
        <v/>
      </c>
      <c r="L252">
        <f>-LN(1-K252)</f>
        <v/>
      </c>
      <c r="M252">
        <f>EXP(-L252/Inputs!$B$6)</f>
        <v/>
      </c>
      <c r="N252">
        <f>N251*M252</f>
        <v/>
      </c>
      <c r="O252">
        <f>IFERROR(INDEX(MonthlyCurve!$L:$L,MATCH(A252,MonthlyCurve!$A:$A,0)),"")</f>
        <v/>
      </c>
      <c r="P252">
        <f>IF(B252&gt;0,-LN(O252)/B252,"")</f>
        <v/>
      </c>
      <c r="Q252">
        <f>G252*N252</f>
        <v/>
      </c>
      <c r="R252">
        <f>H252*N252</f>
        <v/>
      </c>
      <c r="S252">
        <f>Q252+R252</f>
        <v/>
      </c>
      <c r="T252">
        <f>Q252*O252</f>
        <v/>
      </c>
      <c r="U252">
        <f>R252*O252</f>
        <v/>
      </c>
      <c r="V252">
        <f>SUMPRODUCT(S253:S543,O253:O543)/(N252*O252)</f>
        <v/>
      </c>
    </row>
    <row r="253">
      <c r="A253" t="n">
        <v>250</v>
      </c>
      <c r="B253">
        <f>A253/Inputs!$B$6</f>
        <v/>
      </c>
      <c r="C253">
        <f>Inputs!$B$3+B253</f>
        <v/>
      </c>
      <c r="D253">
        <f>INT(C253)</f>
        <v/>
      </c>
      <c r="E253">
        <f>Inputs!$B$7+1+INT((A253-1)/Inputs!$B$6)</f>
        <v/>
      </c>
      <c r="F253">
        <f>IFERROR(INDEX(IndexScenario!$B$4:$B$544,MATCH(A253,IndexScenario!$A$4:$A$544,0)),"")</f>
        <v/>
      </c>
      <c r="G253">
        <f>G252*F253/F252</f>
        <v/>
      </c>
      <c r="H253">
        <f>H252*(1+Inputs!$B$17)^(1/12)</f>
        <v/>
      </c>
      <c r="I253">
        <f>IFERROR(INDEX(BaseQx!$B:$B,MATCH(D253,BaseQx!$A:$A,0)),"")</f>
        <v/>
      </c>
      <c r="J253">
        <f>IF(Inputs!$B$13="rp_mp",SUMIFS(MP2016_Long!$C:$C,MP2016_Long!$A:$A,D253,MP2016_Long!$B:$B,"&gt;=2014",MP2016_Long!$B:$B,"&lt;"&amp;E253),0)</f>
        <v/>
      </c>
      <c r="K253">
        <f>MIN(0.999999,MAX(0,I253*EXP(J253)))</f>
        <v/>
      </c>
      <c r="L253">
        <f>-LN(1-K253)</f>
        <v/>
      </c>
      <c r="M253">
        <f>EXP(-L253/Inputs!$B$6)</f>
        <v/>
      </c>
      <c r="N253">
        <f>N252*M253</f>
        <v/>
      </c>
      <c r="O253">
        <f>IFERROR(INDEX(MonthlyCurve!$L:$L,MATCH(A253,MonthlyCurve!$A:$A,0)),"")</f>
        <v/>
      </c>
      <c r="P253">
        <f>IF(B253&gt;0,-LN(O253)/B253,"")</f>
        <v/>
      </c>
      <c r="Q253">
        <f>G253*N253</f>
        <v/>
      </c>
      <c r="R253">
        <f>H253*N253</f>
        <v/>
      </c>
      <c r="S253">
        <f>Q253+R253</f>
        <v/>
      </c>
      <c r="T253">
        <f>Q253*O253</f>
        <v/>
      </c>
      <c r="U253">
        <f>R253*O253</f>
        <v/>
      </c>
      <c r="V253">
        <f>SUMPRODUCT(S254:S543,O254:O543)/(N253*O253)</f>
        <v/>
      </c>
    </row>
    <row r="254">
      <c r="A254" t="n">
        <v>251</v>
      </c>
      <c r="B254">
        <f>A254/Inputs!$B$6</f>
        <v/>
      </c>
      <c r="C254">
        <f>Inputs!$B$3+B254</f>
        <v/>
      </c>
      <c r="D254">
        <f>INT(C254)</f>
        <v/>
      </c>
      <c r="E254">
        <f>Inputs!$B$7+1+INT((A254-1)/Inputs!$B$6)</f>
        <v/>
      </c>
      <c r="F254">
        <f>IFERROR(INDEX(IndexScenario!$B$4:$B$544,MATCH(A254,IndexScenario!$A$4:$A$544,0)),"")</f>
        <v/>
      </c>
      <c r="G254">
        <f>G253*F254/F253</f>
        <v/>
      </c>
      <c r="H254">
        <f>H253*(1+Inputs!$B$17)^(1/12)</f>
        <v/>
      </c>
      <c r="I254">
        <f>IFERROR(INDEX(BaseQx!$B:$B,MATCH(D254,BaseQx!$A:$A,0)),"")</f>
        <v/>
      </c>
      <c r="J254">
        <f>IF(Inputs!$B$13="rp_mp",SUMIFS(MP2016_Long!$C:$C,MP2016_Long!$A:$A,D254,MP2016_Long!$B:$B,"&gt;=2014",MP2016_Long!$B:$B,"&lt;"&amp;E254),0)</f>
        <v/>
      </c>
      <c r="K254">
        <f>MIN(0.999999,MAX(0,I254*EXP(J254)))</f>
        <v/>
      </c>
      <c r="L254">
        <f>-LN(1-K254)</f>
        <v/>
      </c>
      <c r="M254">
        <f>EXP(-L254/Inputs!$B$6)</f>
        <v/>
      </c>
      <c r="N254">
        <f>N253*M254</f>
        <v/>
      </c>
      <c r="O254">
        <f>IFERROR(INDEX(MonthlyCurve!$L:$L,MATCH(A254,MonthlyCurve!$A:$A,0)),"")</f>
        <v/>
      </c>
      <c r="P254">
        <f>IF(B254&gt;0,-LN(O254)/B254,"")</f>
        <v/>
      </c>
      <c r="Q254">
        <f>G254*N254</f>
        <v/>
      </c>
      <c r="R254">
        <f>H254*N254</f>
        <v/>
      </c>
      <c r="S254">
        <f>Q254+R254</f>
        <v/>
      </c>
      <c r="T254">
        <f>Q254*O254</f>
        <v/>
      </c>
      <c r="U254">
        <f>R254*O254</f>
        <v/>
      </c>
      <c r="V254">
        <f>SUMPRODUCT(S255:S543,O255:O543)/(N254*O254)</f>
        <v/>
      </c>
    </row>
    <row r="255">
      <c r="A255" t="n">
        <v>252</v>
      </c>
      <c r="B255">
        <f>A255/Inputs!$B$6</f>
        <v/>
      </c>
      <c r="C255">
        <f>Inputs!$B$3+B255</f>
        <v/>
      </c>
      <c r="D255">
        <f>INT(C255)</f>
        <v/>
      </c>
      <c r="E255">
        <f>Inputs!$B$7+1+INT((A255-1)/Inputs!$B$6)</f>
        <v/>
      </c>
      <c r="F255">
        <f>IFERROR(INDEX(IndexScenario!$B$4:$B$544,MATCH(A255,IndexScenario!$A$4:$A$544,0)),"")</f>
        <v/>
      </c>
      <c r="G255">
        <f>G254*F255/F254</f>
        <v/>
      </c>
      <c r="H255">
        <f>H254*(1+Inputs!$B$17)^(1/12)</f>
        <v/>
      </c>
      <c r="I255">
        <f>IFERROR(INDEX(BaseQx!$B:$B,MATCH(D255,BaseQx!$A:$A,0)),"")</f>
        <v/>
      </c>
      <c r="J255">
        <f>IF(Inputs!$B$13="rp_mp",SUMIFS(MP2016_Long!$C:$C,MP2016_Long!$A:$A,D255,MP2016_Long!$B:$B,"&gt;=2014",MP2016_Long!$B:$B,"&lt;"&amp;E255),0)</f>
        <v/>
      </c>
      <c r="K255">
        <f>MIN(0.999999,MAX(0,I255*EXP(J255)))</f>
        <v/>
      </c>
      <c r="L255">
        <f>-LN(1-K255)</f>
        <v/>
      </c>
      <c r="M255">
        <f>EXP(-L255/Inputs!$B$6)</f>
        <v/>
      </c>
      <c r="N255">
        <f>N254*M255</f>
        <v/>
      </c>
      <c r="O255">
        <f>IFERROR(INDEX(MonthlyCurve!$L:$L,MATCH(A255,MonthlyCurve!$A:$A,0)),"")</f>
        <v/>
      </c>
      <c r="P255">
        <f>IF(B255&gt;0,-LN(O255)/B255,"")</f>
        <v/>
      </c>
      <c r="Q255">
        <f>G255*N255</f>
        <v/>
      </c>
      <c r="R255">
        <f>H255*N255</f>
        <v/>
      </c>
      <c r="S255">
        <f>Q255+R255</f>
        <v/>
      </c>
      <c r="T255">
        <f>Q255*O255</f>
        <v/>
      </c>
      <c r="U255">
        <f>R255*O255</f>
        <v/>
      </c>
      <c r="V255">
        <f>SUMPRODUCT(S256:S543,O256:O543)/(N255*O255)</f>
        <v/>
      </c>
    </row>
    <row r="256">
      <c r="A256" t="n">
        <v>253</v>
      </c>
      <c r="B256">
        <f>A256/Inputs!$B$6</f>
        <v/>
      </c>
      <c r="C256">
        <f>Inputs!$B$3+B256</f>
        <v/>
      </c>
      <c r="D256">
        <f>INT(C256)</f>
        <v/>
      </c>
      <c r="E256">
        <f>Inputs!$B$7+1+INT((A256-1)/Inputs!$B$6)</f>
        <v/>
      </c>
      <c r="F256">
        <f>IFERROR(INDEX(IndexScenario!$B$4:$B$544,MATCH(A256,IndexScenario!$A$4:$A$544,0)),"")</f>
        <v/>
      </c>
      <c r="G256">
        <f>G255*F256/F255</f>
        <v/>
      </c>
      <c r="H256">
        <f>H255*(1+Inputs!$B$17)^(1/12)</f>
        <v/>
      </c>
      <c r="I256">
        <f>IFERROR(INDEX(BaseQx!$B:$B,MATCH(D256,BaseQx!$A:$A,0)),"")</f>
        <v/>
      </c>
      <c r="J256">
        <f>IF(Inputs!$B$13="rp_mp",SUMIFS(MP2016_Long!$C:$C,MP2016_Long!$A:$A,D256,MP2016_Long!$B:$B,"&gt;=2014",MP2016_Long!$B:$B,"&lt;"&amp;E256),0)</f>
        <v/>
      </c>
      <c r="K256">
        <f>MIN(0.999999,MAX(0,I256*EXP(J256)))</f>
        <v/>
      </c>
      <c r="L256">
        <f>-LN(1-K256)</f>
        <v/>
      </c>
      <c r="M256">
        <f>EXP(-L256/Inputs!$B$6)</f>
        <v/>
      </c>
      <c r="N256">
        <f>N255*M256</f>
        <v/>
      </c>
      <c r="O256">
        <f>IFERROR(INDEX(MonthlyCurve!$L:$L,MATCH(A256,MonthlyCurve!$A:$A,0)),"")</f>
        <v/>
      </c>
      <c r="P256">
        <f>IF(B256&gt;0,-LN(O256)/B256,"")</f>
        <v/>
      </c>
      <c r="Q256">
        <f>G256*N256</f>
        <v/>
      </c>
      <c r="R256">
        <f>H256*N256</f>
        <v/>
      </c>
      <c r="S256">
        <f>Q256+R256</f>
        <v/>
      </c>
      <c r="T256">
        <f>Q256*O256</f>
        <v/>
      </c>
      <c r="U256">
        <f>R256*O256</f>
        <v/>
      </c>
      <c r="V256">
        <f>SUMPRODUCT(S257:S543,O257:O543)/(N256*O256)</f>
        <v/>
      </c>
    </row>
    <row r="257">
      <c r="A257" t="n">
        <v>254</v>
      </c>
      <c r="B257">
        <f>A257/Inputs!$B$6</f>
        <v/>
      </c>
      <c r="C257">
        <f>Inputs!$B$3+B257</f>
        <v/>
      </c>
      <c r="D257">
        <f>INT(C257)</f>
        <v/>
      </c>
      <c r="E257">
        <f>Inputs!$B$7+1+INT((A257-1)/Inputs!$B$6)</f>
        <v/>
      </c>
      <c r="F257">
        <f>IFERROR(INDEX(IndexScenario!$B$4:$B$544,MATCH(A257,IndexScenario!$A$4:$A$544,0)),"")</f>
        <v/>
      </c>
      <c r="G257">
        <f>G256*F257/F256</f>
        <v/>
      </c>
      <c r="H257">
        <f>H256*(1+Inputs!$B$17)^(1/12)</f>
        <v/>
      </c>
      <c r="I257">
        <f>IFERROR(INDEX(BaseQx!$B:$B,MATCH(D257,BaseQx!$A:$A,0)),"")</f>
        <v/>
      </c>
      <c r="J257">
        <f>IF(Inputs!$B$13="rp_mp",SUMIFS(MP2016_Long!$C:$C,MP2016_Long!$A:$A,D257,MP2016_Long!$B:$B,"&gt;=2014",MP2016_Long!$B:$B,"&lt;"&amp;E257),0)</f>
        <v/>
      </c>
      <c r="K257">
        <f>MIN(0.999999,MAX(0,I257*EXP(J257)))</f>
        <v/>
      </c>
      <c r="L257">
        <f>-LN(1-K257)</f>
        <v/>
      </c>
      <c r="M257">
        <f>EXP(-L257/Inputs!$B$6)</f>
        <v/>
      </c>
      <c r="N257">
        <f>N256*M257</f>
        <v/>
      </c>
      <c r="O257">
        <f>IFERROR(INDEX(MonthlyCurve!$L:$L,MATCH(A257,MonthlyCurve!$A:$A,0)),"")</f>
        <v/>
      </c>
      <c r="P257">
        <f>IF(B257&gt;0,-LN(O257)/B257,"")</f>
        <v/>
      </c>
      <c r="Q257">
        <f>G257*N257</f>
        <v/>
      </c>
      <c r="R257">
        <f>H257*N257</f>
        <v/>
      </c>
      <c r="S257">
        <f>Q257+R257</f>
        <v/>
      </c>
      <c r="T257">
        <f>Q257*O257</f>
        <v/>
      </c>
      <c r="U257">
        <f>R257*O257</f>
        <v/>
      </c>
      <c r="V257">
        <f>SUMPRODUCT(S258:S543,O258:O543)/(N257*O257)</f>
        <v/>
      </c>
    </row>
    <row r="258">
      <c r="A258" t="n">
        <v>255</v>
      </c>
      <c r="B258">
        <f>A258/Inputs!$B$6</f>
        <v/>
      </c>
      <c r="C258">
        <f>Inputs!$B$3+B258</f>
        <v/>
      </c>
      <c r="D258">
        <f>INT(C258)</f>
        <v/>
      </c>
      <c r="E258">
        <f>Inputs!$B$7+1+INT((A258-1)/Inputs!$B$6)</f>
        <v/>
      </c>
      <c r="F258">
        <f>IFERROR(INDEX(IndexScenario!$B$4:$B$544,MATCH(A258,IndexScenario!$A$4:$A$544,0)),"")</f>
        <v/>
      </c>
      <c r="G258">
        <f>G257*F258/F257</f>
        <v/>
      </c>
      <c r="H258">
        <f>H257*(1+Inputs!$B$17)^(1/12)</f>
        <v/>
      </c>
      <c r="I258">
        <f>IFERROR(INDEX(BaseQx!$B:$B,MATCH(D258,BaseQx!$A:$A,0)),"")</f>
        <v/>
      </c>
      <c r="J258">
        <f>IF(Inputs!$B$13="rp_mp",SUMIFS(MP2016_Long!$C:$C,MP2016_Long!$A:$A,D258,MP2016_Long!$B:$B,"&gt;=2014",MP2016_Long!$B:$B,"&lt;"&amp;E258),0)</f>
        <v/>
      </c>
      <c r="K258">
        <f>MIN(0.999999,MAX(0,I258*EXP(J258)))</f>
        <v/>
      </c>
      <c r="L258">
        <f>-LN(1-K258)</f>
        <v/>
      </c>
      <c r="M258">
        <f>EXP(-L258/Inputs!$B$6)</f>
        <v/>
      </c>
      <c r="N258">
        <f>N257*M258</f>
        <v/>
      </c>
      <c r="O258">
        <f>IFERROR(INDEX(MonthlyCurve!$L:$L,MATCH(A258,MonthlyCurve!$A:$A,0)),"")</f>
        <v/>
      </c>
      <c r="P258">
        <f>IF(B258&gt;0,-LN(O258)/B258,"")</f>
        <v/>
      </c>
      <c r="Q258">
        <f>G258*N258</f>
        <v/>
      </c>
      <c r="R258">
        <f>H258*N258</f>
        <v/>
      </c>
      <c r="S258">
        <f>Q258+R258</f>
        <v/>
      </c>
      <c r="T258">
        <f>Q258*O258</f>
        <v/>
      </c>
      <c r="U258">
        <f>R258*O258</f>
        <v/>
      </c>
      <c r="V258">
        <f>SUMPRODUCT(S259:S543,O259:O543)/(N258*O258)</f>
        <v/>
      </c>
    </row>
    <row r="259">
      <c r="A259" t="n">
        <v>256</v>
      </c>
      <c r="B259">
        <f>A259/Inputs!$B$6</f>
        <v/>
      </c>
      <c r="C259">
        <f>Inputs!$B$3+B259</f>
        <v/>
      </c>
      <c r="D259">
        <f>INT(C259)</f>
        <v/>
      </c>
      <c r="E259">
        <f>Inputs!$B$7+1+INT((A259-1)/Inputs!$B$6)</f>
        <v/>
      </c>
      <c r="F259">
        <f>IFERROR(INDEX(IndexScenario!$B$4:$B$544,MATCH(A259,IndexScenario!$A$4:$A$544,0)),"")</f>
        <v/>
      </c>
      <c r="G259">
        <f>G258*F259/F258</f>
        <v/>
      </c>
      <c r="H259">
        <f>H258*(1+Inputs!$B$17)^(1/12)</f>
        <v/>
      </c>
      <c r="I259">
        <f>IFERROR(INDEX(BaseQx!$B:$B,MATCH(D259,BaseQx!$A:$A,0)),"")</f>
        <v/>
      </c>
      <c r="J259">
        <f>IF(Inputs!$B$13="rp_mp",SUMIFS(MP2016_Long!$C:$C,MP2016_Long!$A:$A,D259,MP2016_Long!$B:$B,"&gt;=2014",MP2016_Long!$B:$B,"&lt;"&amp;E259),0)</f>
        <v/>
      </c>
      <c r="K259">
        <f>MIN(0.999999,MAX(0,I259*EXP(J259)))</f>
        <v/>
      </c>
      <c r="L259">
        <f>-LN(1-K259)</f>
        <v/>
      </c>
      <c r="M259">
        <f>EXP(-L259/Inputs!$B$6)</f>
        <v/>
      </c>
      <c r="N259">
        <f>N258*M259</f>
        <v/>
      </c>
      <c r="O259">
        <f>IFERROR(INDEX(MonthlyCurve!$L:$L,MATCH(A259,MonthlyCurve!$A:$A,0)),"")</f>
        <v/>
      </c>
      <c r="P259">
        <f>IF(B259&gt;0,-LN(O259)/B259,"")</f>
        <v/>
      </c>
      <c r="Q259">
        <f>G259*N259</f>
        <v/>
      </c>
      <c r="R259">
        <f>H259*N259</f>
        <v/>
      </c>
      <c r="S259">
        <f>Q259+R259</f>
        <v/>
      </c>
      <c r="T259">
        <f>Q259*O259</f>
        <v/>
      </c>
      <c r="U259">
        <f>R259*O259</f>
        <v/>
      </c>
      <c r="V259">
        <f>SUMPRODUCT(S260:S543,O260:O543)/(N259*O259)</f>
        <v/>
      </c>
    </row>
    <row r="260">
      <c r="A260" t="n">
        <v>257</v>
      </c>
      <c r="B260">
        <f>A260/Inputs!$B$6</f>
        <v/>
      </c>
      <c r="C260">
        <f>Inputs!$B$3+B260</f>
        <v/>
      </c>
      <c r="D260">
        <f>INT(C260)</f>
        <v/>
      </c>
      <c r="E260">
        <f>Inputs!$B$7+1+INT((A260-1)/Inputs!$B$6)</f>
        <v/>
      </c>
      <c r="F260">
        <f>IFERROR(INDEX(IndexScenario!$B$4:$B$544,MATCH(A260,IndexScenario!$A$4:$A$544,0)),"")</f>
        <v/>
      </c>
      <c r="G260">
        <f>G259*F260/F259</f>
        <v/>
      </c>
      <c r="H260">
        <f>H259*(1+Inputs!$B$17)^(1/12)</f>
        <v/>
      </c>
      <c r="I260">
        <f>IFERROR(INDEX(BaseQx!$B:$B,MATCH(D260,BaseQx!$A:$A,0)),"")</f>
        <v/>
      </c>
      <c r="J260">
        <f>IF(Inputs!$B$13="rp_mp",SUMIFS(MP2016_Long!$C:$C,MP2016_Long!$A:$A,D260,MP2016_Long!$B:$B,"&gt;=2014",MP2016_Long!$B:$B,"&lt;"&amp;E260),0)</f>
        <v/>
      </c>
      <c r="K260">
        <f>MIN(0.999999,MAX(0,I260*EXP(J260)))</f>
        <v/>
      </c>
      <c r="L260">
        <f>-LN(1-K260)</f>
        <v/>
      </c>
      <c r="M260">
        <f>EXP(-L260/Inputs!$B$6)</f>
        <v/>
      </c>
      <c r="N260">
        <f>N259*M260</f>
        <v/>
      </c>
      <c r="O260">
        <f>IFERROR(INDEX(MonthlyCurve!$L:$L,MATCH(A260,MonthlyCurve!$A:$A,0)),"")</f>
        <v/>
      </c>
      <c r="P260">
        <f>IF(B260&gt;0,-LN(O260)/B260,"")</f>
        <v/>
      </c>
      <c r="Q260">
        <f>G260*N260</f>
        <v/>
      </c>
      <c r="R260">
        <f>H260*N260</f>
        <v/>
      </c>
      <c r="S260">
        <f>Q260+R260</f>
        <v/>
      </c>
      <c r="T260">
        <f>Q260*O260</f>
        <v/>
      </c>
      <c r="U260">
        <f>R260*O260</f>
        <v/>
      </c>
      <c r="V260">
        <f>SUMPRODUCT(S261:S543,O261:O543)/(N260*O260)</f>
        <v/>
      </c>
    </row>
    <row r="261">
      <c r="A261" t="n">
        <v>258</v>
      </c>
      <c r="B261">
        <f>A261/Inputs!$B$6</f>
        <v/>
      </c>
      <c r="C261">
        <f>Inputs!$B$3+B261</f>
        <v/>
      </c>
      <c r="D261">
        <f>INT(C261)</f>
        <v/>
      </c>
      <c r="E261">
        <f>Inputs!$B$7+1+INT((A261-1)/Inputs!$B$6)</f>
        <v/>
      </c>
      <c r="F261">
        <f>IFERROR(INDEX(IndexScenario!$B$4:$B$544,MATCH(A261,IndexScenario!$A$4:$A$544,0)),"")</f>
        <v/>
      </c>
      <c r="G261">
        <f>G260*F261/F260</f>
        <v/>
      </c>
      <c r="H261">
        <f>H260*(1+Inputs!$B$17)^(1/12)</f>
        <v/>
      </c>
      <c r="I261">
        <f>IFERROR(INDEX(BaseQx!$B:$B,MATCH(D261,BaseQx!$A:$A,0)),"")</f>
        <v/>
      </c>
      <c r="J261">
        <f>IF(Inputs!$B$13="rp_mp",SUMIFS(MP2016_Long!$C:$C,MP2016_Long!$A:$A,D261,MP2016_Long!$B:$B,"&gt;=2014",MP2016_Long!$B:$B,"&lt;"&amp;E261),0)</f>
        <v/>
      </c>
      <c r="K261">
        <f>MIN(0.999999,MAX(0,I261*EXP(J261)))</f>
        <v/>
      </c>
      <c r="L261">
        <f>-LN(1-K261)</f>
        <v/>
      </c>
      <c r="M261">
        <f>EXP(-L261/Inputs!$B$6)</f>
        <v/>
      </c>
      <c r="N261">
        <f>N260*M261</f>
        <v/>
      </c>
      <c r="O261">
        <f>IFERROR(INDEX(MonthlyCurve!$L:$L,MATCH(A261,MonthlyCurve!$A:$A,0)),"")</f>
        <v/>
      </c>
      <c r="P261">
        <f>IF(B261&gt;0,-LN(O261)/B261,"")</f>
        <v/>
      </c>
      <c r="Q261">
        <f>G261*N261</f>
        <v/>
      </c>
      <c r="R261">
        <f>H261*N261</f>
        <v/>
      </c>
      <c r="S261">
        <f>Q261+R261</f>
        <v/>
      </c>
      <c r="T261">
        <f>Q261*O261</f>
        <v/>
      </c>
      <c r="U261">
        <f>R261*O261</f>
        <v/>
      </c>
      <c r="V261">
        <f>SUMPRODUCT(S262:S543,O262:O543)/(N261*O261)</f>
        <v/>
      </c>
    </row>
    <row r="262">
      <c r="A262" t="n">
        <v>259</v>
      </c>
      <c r="B262">
        <f>A262/Inputs!$B$6</f>
        <v/>
      </c>
      <c r="C262">
        <f>Inputs!$B$3+B262</f>
        <v/>
      </c>
      <c r="D262">
        <f>INT(C262)</f>
        <v/>
      </c>
      <c r="E262">
        <f>Inputs!$B$7+1+INT((A262-1)/Inputs!$B$6)</f>
        <v/>
      </c>
      <c r="F262">
        <f>IFERROR(INDEX(IndexScenario!$B$4:$B$544,MATCH(A262,IndexScenario!$A$4:$A$544,0)),"")</f>
        <v/>
      </c>
      <c r="G262">
        <f>G261*F262/F261</f>
        <v/>
      </c>
      <c r="H262">
        <f>H261*(1+Inputs!$B$17)^(1/12)</f>
        <v/>
      </c>
      <c r="I262">
        <f>IFERROR(INDEX(BaseQx!$B:$B,MATCH(D262,BaseQx!$A:$A,0)),"")</f>
        <v/>
      </c>
      <c r="J262">
        <f>IF(Inputs!$B$13="rp_mp",SUMIFS(MP2016_Long!$C:$C,MP2016_Long!$A:$A,D262,MP2016_Long!$B:$B,"&gt;=2014",MP2016_Long!$B:$B,"&lt;"&amp;E262),0)</f>
        <v/>
      </c>
      <c r="K262">
        <f>MIN(0.999999,MAX(0,I262*EXP(J262)))</f>
        <v/>
      </c>
      <c r="L262">
        <f>-LN(1-K262)</f>
        <v/>
      </c>
      <c r="M262">
        <f>EXP(-L262/Inputs!$B$6)</f>
        <v/>
      </c>
      <c r="N262">
        <f>N261*M262</f>
        <v/>
      </c>
      <c r="O262">
        <f>IFERROR(INDEX(MonthlyCurve!$L:$L,MATCH(A262,MonthlyCurve!$A:$A,0)),"")</f>
        <v/>
      </c>
      <c r="P262">
        <f>IF(B262&gt;0,-LN(O262)/B262,"")</f>
        <v/>
      </c>
      <c r="Q262">
        <f>G262*N262</f>
        <v/>
      </c>
      <c r="R262">
        <f>H262*N262</f>
        <v/>
      </c>
      <c r="S262">
        <f>Q262+R262</f>
        <v/>
      </c>
      <c r="T262">
        <f>Q262*O262</f>
        <v/>
      </c>
      <c r="U262">
        <f>R262*O262</f>
        <v/>
      </c>
      <c r="V262">
        <f>SUMPRODUCT(S263:S543,O263:O543)/(N262*O262)</f>
        <v/>
      </c>
    </row>
    <row r="263">
      <c r="A263" t="n">
        <v>260</v>
      </c>
      <c r="B263">
        <f>A263/Inputs!$B$6</f>
        <v/>
      </c>
      <c r="C263">
        <f>Inputs!$B$3+B263</f>
        <v/>
      </c>
      <c r="D263">
        <f>INT(C263)</f>
        <v/>
      </c>
      <c r="E263">
        <f>Inputs!$B$7+1+INT((A263-1)/Inputs!$B$6)</f>
        <v/>
      </c>
      <c r="F263">
        <f>IFERROR(INDEX(IndexScenario!$B$4:$B$544,MATCH(A263,IndexScenario!$A$4:$A$544,0)),"")</f>
        <v/>
      </c>
      <c r="G263">
        <f>G262*F263/F262</f>
        <v/>
      </c>
      <c r="H263">
        <f>H262*(1+Inputs!$B$17)^(1/12)</f>
        <v/>
      </c>
      <c r="I263">
        <f>IFERROR(INDEX(BaseQx!$B:$B,MATCH(D263,BaseQx!$A:$A,0)),"")</f>
        <v/>
      </c>
      <c r="J263">
        <f>IF(Inputs!$B$13="rp_mp",SUMIFS(MP2016_Long!$C:$C,MP2016_Long!$A:$A,D263,MP2016_Long!$B:$B,"&gt;=2014",MP2016_Long!$B:$B,"&lt;"&amp;E263),0)</f>
        <v/>
      </c>
      <c r="K263">
        <f>MIN(0.999999,MAX(0,I263*EXP(J263)))</f>
        <v/>
      </c>
      <c r="L263">
        <f>-LN(1-K263)</f>
        <v/>
      </c>
      <c r="M263">
        <f>EXP(-L263/Inputs!$B$6)</f>
        <v/>
      </c>
      <c r="N263">
        <f>N262*M263</f>
        <v/>
      </c>
      <c r="O263">
        <f>IFERROR(INDEX(MonthlyCurve!$L:$L,MATCH(A263,MonthlyCurve!$A:$A,0)),"")</f>
        <v/>
      </c>
      <c r="P263">
        <f>IF(B263&gt;0,-LN(O263)/B263,"")</f>
        <v/>
      </c>
      <c r="Q263">
        <f>G263*N263</f>
        <v/>
      </c>
      <c r="R263">
        <f>H263*N263</f>
        <v/>
      </c>
      <c r="S263">
        <f>Q263+R263</f>
        <v/>
      </c>
      <c r="T263">
        <f>Q263*O263</f>
        <v/>
      </c>
      <c r="U263">
        <f>R263*O263</f>
        <v/>
      </c>
      <c r="V263">
        <f>SUMPRODUCT(S264:S543,O264:O543)/(N263*O263)</f>
        <v/>
      </c>
    </row>
    <row r="264">
      <c r="A264" t="n">
        <v>261</v>
      </c>
      <c r="B264">
        <f>A264/Inputs!$B$6</f>
        <v/>
      </c>
      <c r="C264">
        <f>Inputs!$B$3+B264</f>
        <v/>
      </c>
      <c r="D264">
        <f>INT(C264)</f>
        <v/>
      </c>
      <c r="E264">
        <f>Inputs!$B$7+1+INT((A264-1)/Inputs!$B$6)</f>
        <v/>
      </c>
      <c r="F264">
        <f>IFERROR(INDEX(IndexScenario!$B$4:$B$544,MATCH(A264,IndexScenario!$A$4:$A$544,0)),"")</f>
        <v/>
      </c>
      <c r="G264">
        <f>G263*F264/F263</f>
        <v/>
      </c>
      <c r="H264">
        <f>H263*(1+Inputs!$B$17)^(1/12)</f>
        <v/>
      </c>
      <c r="I264">
        <f>IFERROR(INDEX(BaseQx!$B:$B,MATCH(D264,BaseQx!$A:$A,0)),"")</f>
        <v/>
      </c>
      <c r="J264">
        <f>IF(Inputs!$B$13="rp_mp",SUMIFS(MP2016_Long!$C:$C,MP2016_Long!$A:$A,D264,MP2016_Long!$B:$B,"&gt;=2014",MP2016_Long!$B:$B,"&lt;"&amp;E264),0)</f>
        <v/>
      </c>
      <c r="K264">
        <f>MIN(0.999999,MAX(0,I264*EXP(J264)))</f>
        <v/>
      </c>
      <c r="L264">
        <f>-LN(1-K264)</f>
        <v/>
      </c>
      <c r="M264">
        <f>EXP(-L264/Inputs!$B$6)</f>
        <v/>
      </c>
      <c r="N264">
        <f>N263*M264</f>
        <v/>
      </c>
      <c r="O264">
        <f>IFERROR(INDEX(MonthlyCurve!$L:$L,MATCH(A264,MonthlyCurve!$A:$A,0)),"")</f>
        <v/>
      </c>
      <c r="P264">
        <f>IF(B264&gt;0,-LN(O264)/B264,"")</f>
        <v/>
      </c>
      <c r="Q264">
        <f>G264*N264</f>
        <v/>
      </c>
      <c r="R264">
        <f>H264*N264</f>
        <v/>
      </c>
      <c r="S264">
        <f>Q264+R264</f>
        <v/>
      </c>
      <c r="T264">
        <f>Q264*O264</f>
        <v/>
      </c>
      <c r="U264">
        <f>R264*O264</f>
        <v/>
      </c>
      <c r="V264">
        <f>SUMPRODUCT(S265:S543,O265:O543)/(N264*O264)</f>
        <v/>
      </c>
    </row>
    <row r="265">
      <c r="A265" t="n">
        <v>262</v>
      </c>
      <c r="B265">
        <f>A265/Inputs!$B$6</f>
        <v/>
      </c>
      <c r="C265">
        <f>Inputs!$B$3+B265</f>
        <v/>
      </c>
      <c r="D265">
        <f>INT(C265)</f>
        <v/>
      </c>
      <c r="E265">
        <f>Inputs!$B$7+1+INT((A265-1)/Inputs!$B$6)</f>
        <v/>
      </c>
      <c r="F265">
        <f>IFERROR(INDEX(IndexScenario!$B$4:$B$544,MATCH(A265,IndexScenario!$A$4:$A$544,0)),"")</f>
        <v/>
      </c>
      <c r="G265">
        <f>G264*F265/F264</f>
        <v/>
      </c>
      <c r="H265">
        <f>H264*(1+Inputs!$B$17)^(1/12)</f>
        <v/>
      </c>
      <c r="I265">
        <f>IFERROR(INDEX(BaseQx!$B:$B,MATCH(D265,BaseQx!$A:$A,0)),"")</f>
        <v/>
      </c>
      <c r="J265">
        <f>IF(Inputs!$B$13="rp_mp",SUMIFS(MP2016_Long!$C:$C,MP2016_Long!$A:$A,D265,MP2016_Long!$B:$B,"&gt;=2014",MP2016_Long!$B:$B,"&lt;"&amp;E265),0)</f>
        <v/>
      </c>
      <c r="K265">
        <f>MIN(0.999999,MAX(0,I265*EXP(J265)))</f>
        <v/>
      </c>
      <c r="L265">
        <f>-LN(1-K265)</f>
        <v/>
      </c>
      <c r="M265">
        <f>EXP(-L265/Inputs!$B$6)</f>
        <v/>
      </c>
      <c r="N265">
        <f>N264*M265</f>
        <v/>
      </c>
      <c r="O265">
        <f>IFERROR(INDEX(MonthlyCurve!$L:$L,MATCH(A265,MonthlyCurve!$A:$A,0)),"")</f>
        <v/>
      </c>
      <c r="P265">
        <f>IF(B265&gt;0,-LN(O265)/B265,"")</f>
        <v/>
      </c>
      <c r="Q265">
        <f>G265*N265</f>
        <v/>
      </c>
      <c r="R265">
        <f>H265*N265</f>
        <v/>
      </c>
      <c r="S265">
        <f>Q265+R265</f>
        <v/>
      </c>
      <c r="T265">
        <f>Q265*O265</f>
        <v/>
      </c>
      <c r="U265">
        <f>R265*O265</f>
        <v/>
      </c>
      <c r="V265">
        <f>SUMPRODUCT(S266:S543,O266:O543)/(N265*O265)</f>
        <v/>
      </c>
    </row>
    <row r="266">
      <c r="A266" t="n">
        <v>263</v>
      </c>
      <c r="B266">
        <f>A266/Inputs!$B$6</f>
        <v/>
      </c>
      <c r="C266">
        <f>Inputs!$B$3+B266</f>
        <v/>
      </c>
      <c r="D266">
        <f>INT(C266)</f>
        <v/>
      </c>
      <c r="E266">
        <f>Inputs!$B$7+1+INT((A266-1)/Inputs!$B$6)</f>
        <v/>
      </c>
      <c r="F266">
        <f>IFERROR(INDEX(IndexScenario!$B$4:$B$544,MATCH(A266,IndexScenario!$A$4:$A$544,0)),"")</f>
        <v/>
      </c>
      <c r="G266">
        <f>G265*F266/F265</f>
        <v/>
      </c>
      <c r="H266">
        <f>H265*(1+Inputs!$B$17)^(1/12)</f>
        <v/>
      </c>
      <c r="I266">
        <f>IFERROR(INDEX(BaseQx!$B:$B,MATCH(D266,BaseQx!$A:$A,0)),"")</f>
        <v/>
      </c>
      <c r="J266">
        <f>IF(Inputs!$B$13="rp_mp",SUMIFS(MP2016_Long!$C:$C,MP2016_Long!$A:$A,D266,MP2016_Long!$B:$B,"&gt;=2014",MP2016_Long!$B:$B,"&lt;"&amp;E266),0)</f>
        <v/>
      </c>
      <c r="K266">
        <f>MIN(0.999999,MAX(0,I266*EXP(J266)))</f>
        <v/>
      </c>
      <c r="L266">
        <f>-LN(1-K266)</f>
        <v/>
      </c>
      <c r="M266">
        <f>EXP(-L266/Inputs!$B$6)</f>
        <v/>
      </c>
      <c r="N266">
        <f>N265*M266</f>
        <v/>
      </c>
      <c r="O266">
        <f>IFERROR(INDEX(MonthlyCurve!$L:$L,MATCH(A266,MonthlyCurve!$A:$A,0)),"")</f>
        <v/>
      </c>
      <c r="P266">
        <f>IF(B266&gt;0,-LN(O266)/B266,"")</f>
        <v/>
      </c>
      <c r="Q266">
        <f>G266*N266</f>
        <v/>
      </c>
      <c r="R266">
        <f>H266*N266</f>
        <v/>
      </c>
      <c r="S266">
        <f>Q266+R266</f>
        <v/>
      </c>
      <c r="T266">
        <f>Q266*O266</f>
        <v/>
      </c>
      <c r="U266">
        <f>R266*O266</f>
        <v/>
      </c>
      <c r="V266">
        <f>SUMPRODUCT(S267:S543,O267:O543)/(N266*O266)</f>
        <v/>
      </c>
    </row>
    <row r="267">
      <c r="A267" t="n">
        <v>264</v>
      </c>
      <c r="B267">
        <f>A267/Inputs!$B$6</f>
        <v/>
      </c>
      <c r="C267">
        <f>Inputs!$B$3+B267</f>
        <v/>
      </c>
      <c r="D267">
        <f>INT(C267)</f>
        <v/>
      </c>
      <c r="E267">
        <f>Inputs!$B$7+1+INT((A267-1)/Inputs!$B$6)</f>
        <v/>
      </c>
      <c r="F267">
        <f>IFERROR(INDEX(IndexScenario!$B$4:$B$544,MATCH(A267,IndexScenario!$A$4:$A$544,0)),"")</f>
        <v/>
      </c>
      <c r="G267">
        <f>G266*F267/F266</f>
        <v/>
      </c>
      <c r="H267">
        <f>H266*(1+Inputs!$B$17)^(1/12)</f>
        <v/>
      </c>
      <c r="I267">
        <f>IFERROR(INDEX(BaseQx!$B:$B,MATCH(D267,BaseQx!$A:$A,0)),"")</f>
        <v/>
      </c>
      <c r="J267">
        <f>IF(Inputs!$B$13="rp_mp",SUMIFS(MP2016_Long!$C:$C,MP2016_Long!$A:$A,D267,MP2016_Long!$B:$B,"&gt;=2014",MP2016_Long!$B:$B,"&lt;"&amp;E267),0)</f>
        <v/>
      </c>
      <c r="K267">
        <f>MIN(0.999999,MAX(0,I267*EXP(J267)))</f>
        <v/>
      </c>
      <c r="L267">
        <f>-LN(1-K267)</f>
        <v/>
      </c>
      <c r="M267">
        <f>EXP(-L267/Inputs!$B$6)</f>
        <v/>
      </c>
      <c r="N267">
        <f>N266*M267</f>
        <v/>
      </c>
      <c r="O267">
        <f>IFERROR(INDEX(MonthlyCurve!$L:$L,MATCH(A267,MonthlyCurve!$A:$A,0)),"")</f>
        <v/>
      </c>
      <c r="P267">
        <f>IF(B267&gt;0,-LN(O267)/B267,"")</f>
        <v/>
      </c>
      <c r="Q267">
        <f>G267*N267</f>
        <v/>
      </c>
      <c r="R267">
        <f>H267*N267</f>
        <v/>
      </c>
      <c r="S267">
        <f>Q267+R267</f>
        <v/>
      </c>
      <c r="T267">
        <f>Q267*O267</f>
        <v/>
      </c>
      <c r="U267">
        <f>R267*O267</f>
        <v/>
      </c>
      <c r="V267">
        <f>SUMPRODUCT(S268:S543,O268:O543)/(N267*O267)</f>
        <v/>
      </c>
    </row>
    <row r="268">
      <c r="A268" t="n">
        <v>265</v>
      </c>
      <c r="B268">
        <f>A268/Inputs!$B$6</f>
        <v/>
      </c>
      <c r="C268">
        <f>Inputs!$B$3+B268</f>
        <v/>
      </c>
      <c r="D268">
        <f>INT(C268)</f>
        <v/>
      </c>
      <c r="E268">
        <f>Inputs!$B$7+1+INT((A268-1)/Inputs!$B$6)</f>
        <v/>
      </c>
      <c r="F268">
        <f>IFERROR(INDEX(IndexScenario!$B$4:$B$544,MATCH(A268,IndexScenario!$A$4:$A$544,0)),"")</f>
        <v/>
      </c>
      <c r="G268">
        <f>G267*F268/F267</f>
        <v/>
      </c>
      <c r="H268">
        <f>H267*(1+Inputs!$B$17)^(1/12)</f>
        <v/>
      </c>
      <c r="I268">
        <f>IFERROR(INDEX(BaseQx!$B:$B,MATCH(D268,BaseQx!$A:$A,0)),"")</f>
        <v/>
      </c>
      <c r="J268">
        <f>IF(Inputs!$B$13="rp_mp",SUMIFS(MP2016_Long!$C:$C,MP2016_Long!$A:$A,D268,MP2016_Long!$B:$B,"&gt;=2014",MP2016_Long!$B:$B,"&lt;"&amp;E268),0)</f>
        <v/>
      </c>
      <c r="K268">
        <f>MIN(0.999999,MAX(0,I268*EXP(J268)))</f>
        <v/>
      </c>
      <c r="L268">
        <f>-LN(1-K268)</f>
        <v/>
      </c>
      <c r="M268">
        <f>EXP(-L268/Inputs!$B$6)</f>
        <v/>
      </c>
      <c r="N268">
        <f>N267*M268</f>
        <v/>
      </c>
      <c r="O268">
        <f>IFERROR(INDEX(MonthlyCurve!$L:$L,MATCH(A268,MonthlyCurve!$A:$A,0)),"")</f>
        <v/>
      </c>
      <c r="P268">
        <f>IF(B268&gt;0,-LN(O268)/B268,"")</f>
        <v/>
      </c>
      <c r="Q268">
        <f>G268*N268</f>
        <v/>
      </c>
      <c r="R268">
        <f>H268*N268</f>
        <v/>
      </c>
      <c r="S268">
        <f>Q268+R268</f>
        <v/>
      </c>
      <c r="T268">
        <f>Q268*O268</f>
        <v/>
      </c>
      <c r="U268">
        <f>R268*O268</f>
        <v/>
      </c>
      <c r="V268">
        <f>SUMPRODUCT(S269:S543,O269:O543)/(N268*O268)</f>
        <v/>
      </c>
    </row>
    <row r="269">
      <c r="A269" t="n">
        <v>266</v>
      </c>
      <c r="B269">
        <f>A269/Inputs!$B$6</f>
        <v/>
      </c>
      <c r="C269">
        <f>Inputs!$B$3+B269</f>
        <v/>
      </c>
      <c r="D269">
        <f>INT(C269)</f>
        <v/>
      </c>
      <c r="E269">
        <f>Inputs!$B$7+1+INT((A269-1)/Inputs!$B$6)</f>
        <v/>
      </c>
      <c r="F269">
        <f>IFERROR(INDEX(IndexScenario!$B$4:$B$544,MATCH(A269,IndexScenario!$A$4:$A$544,0)),"")</f>
        <v/>
      </c>
      <c r="G269">
        <f>G268*F269/F268</f>
        <v/>
      </c>
      <c r="H269">
        <f>H268*(1+Inputs!$B$17)^(1/12)</f>
        <v/>
      </c>
      <c r="I269">
        <f>IFERROR(INDEX(BaseQx!$B:$B,MATCH(D269,BaseQx!$A:$A,0)),"")</f>
        <v/>
      </c>
      <c r="J269">
        <f>IF(Inputs!$B$13="rp_mp",SUMIFS(MP2016_Long!$C:$C,MP2016_Long!$A:$A,D269,MP2016_Long!$B:$B,"&gt;=2014",MP2016_Long!$B:$B,"&lt;"&amp;E269),0)</f>
        <v/>
      </c>
      <c r="K269">
        <f>MIN(0.999999,MAX(0,I269*EXP(J269)))</f>
        <v/>
      </c>
      <c r="L269">
        <f>-LN(1-K269)</f>
        <v/>
      </c>
      <c r="M269">
        <f>EXP(-L269/Inputs!$B$6)</f>
        <v/>
      </c>
      <c r="N269">
        <f>N268*M269</f>
        <v/>
      </c>
      <c r="O269">
        <f>IFERROR(INDEX(MonthlyCurve!$L:$L,MATCH(A269,MonthlyCurve!$A:$A,0)),"")</f>
        <v/>
      </c>
      <c r="P269">
        <f>IF(B269&gt;0,-LN(O269)/B269,"")</f>
        <v/>
      </c>
      <c r="Q269">
        <f>G269*N269</f>
        <v/>
      </c>
      <c r="R269">
        <f>H269*N269</f>
        <v/>
      </c>
      <c r="S269">
        <f>Q269+R269</f>
        <v/>
      </c>
      <c r="T269">
        <f>Q269*O269</f>
        <v/>
      </c>
      <c r="U269">
        <f>R269*O269</f>
        <v/>
      </c>
      <c r="V269">
        <f>SUMPRODUCT(S270:S543,O270:O543)/(N269*O269)</f>
        <v/>
      </c>
    </row>
    <row r="270">
      <c r="A270" t="n">
        <v>267</v>
      </c>
      <c r="B270">
        <f>A270/Inputs!$B$6</f>
        <v/>
      </c>
      <c r="C270">
        <f>Inputs!$B$3+B270</f>
        <v/>
      </c>
      <c r="D270">
        <f>INT(C270)</f>
        <v/>
      </c>
      <c r="E270">
        <f>Inputs!$B$7+1+INT((A270-1)/Inputs!$B$6)</f>
        <v/>
      </c>
      <c r="F270">
        <f>IFERROR(INDEX(IndexScenario!$B$4:$B$544,MATCH(A270,IndexScenario!$A$4:$A$544,0)),"")</f>
        <v/>
      </c>
      <c r="G270">
        <f>G269*F270/F269</f>
        <v/>
      </c>
      <c r="H270">
        <f>H269*(1+Inputs!$B$17)^(1/12)</f>
        <v/>
      </c>
      <c r="I270">
        <f>IFERROR(INDEX(BaseQx!$B:$B,MATCH(D270,BaseQx!$A:$A,0)),"")</f>
        <v/>
      </c>
      <c r="J270">
        <f>IF(Inputs!$B$13="rp_mp",SUMIFS(MP2016_Long!$C:$C,MP2016_Long!$A:$A,D270,MP2016_Long!$B:$B,"&gt;=2014",MP2016_Long!$B:$B,"&lt;"&amp;E270),0)</f>
        <v/>
      </c>
      <c r="K270">
        <f>MIN(0.999999,MAX(0,I270*EXP(J270)))</f>
        <v/>
      </c>
      <c r="L270">
        <f>-LN(1-K270)</f>
        <v/>
      </c>
      <c r="M270">
        <f>EXP(-L270/Inputs!$B$6)</f>
        <v/>
      </c>
      <c r="N270">
        <f>N269*M270</f>
        <v/>
      </c>
      <c r="O270">
        <f>IFERROR(INDEX(MonthlyCurve!$L:$L,MATCH(A270,MonthlyCurve!$A:$A,0)),"")</f>
        <v/>
      </c>
      <c r="P270">
        <f>IF(B270&gt;0,-LN(O270)/B270,"")</f>
        <v/>
      </c>
      <c r="Q270">
        <f>G270*N270</f>
        <v/>
      </c>
      <c r="R270">
        <f>H270*N270</f>
        <v/>
      </c>
      <c r="S270">
        <f>Q270+R270</f>
        <v/>
      </c>
      <c r="T270">
        <f>Q270*O270</f>
        <v/>
      </c>
      <c r="U270">
        <f>R270*O270</f>
        <v/>
      </c>
      <c r="V270">
        <f>SUMPRODUCT(S271:S543,O271:O543)/(N270*O270)</f>
        <v/>
      </c>
    </row>
    <row r="271">
      <c r="A271" t="n">
        <v>268</v>
      </c>
      <c r="B271">
        <f>A271/Inputs!$B$6</f>
        <v/>
      </c>
      <c r="C271">
        <f>Inputs!$B$3+B271</f>
        <v/>
      </c>
      <c r="D271">
        <f>INT(C271)</f>
        <v/>
      </c>
      <c r="E271">
        <f>Inputs!$B$7+1+INT((A271-1)/Inputs!$B$6)</f>
        <v/>
      </c>
      <c r="F271">
        <f>IFERROR(INDEX(IndexScenario!$B$4:$B$544,MATCH(A271,IndexScenario!$A$4:$A$544,0)),"")</f>
        <v/>
      </c>
      <c r="G271">
        <f>G270*F271/F270</f>
        <v/>
      </c>
      <c r="H271">
        <f>H270*(1+Inputs!$B$17)^(1/12)</f>
        <v/>
      </c>
      <c r="I271">
        <f>IFERROR(INDEX(BaseQx!$B:$B,MATCH(D271,BaseQx!$A:$A,0)),"")</f>
        <v/>
      </c>
      <c r="J271">
        <f>IF(Inputs!$B$13="rp_mp",SUMIFS(MP2016_Long!$C:$C,MP2016_Long!$A:$A,D271,MP2016_Long!$B:$B,"&gt;=2014",MP2016_Long!$B:$B,"&lt;"&amp;E271),0)</f>
        <v/>
      </c>
      <c r="K271">
        <f>MIN(0.999999,MAX(0,I271*EXP(J271)))</f>
        <v/>
      </c>
      <c r="L271">
        <f>-LN(1-K271)</f>
        <v/>
      </c>
      <c r="M271">
        <f>EXP(-L271/Inputs!$B$6)</f>
        <v/>
      </c>
      <c r="N271">
        <f>N270*M271</f>
        <v/>
      </c>
      <c r="O271">
        <f>IFERROR(INDEX(MonthlyCurve!$L:$L,MATCH(A271,MonthlyCurve!$A:$A,0)),"")</f>
        <v/>
      </c>
      <c r="P271">
        <f>IF(B271&gt;0,-LN(O271)/B271,"")</f>
        <v/>
      </c>
      <c r="Q271">
        <f>G271*N271</f>
        <v/>
      </c>
      <c r="R271">
        <f>H271*N271</f>
        <v/>
      </c>
      <c r="S271">
        <f>Q271+R271</f>
        <v/>
      </c>
      <c r="T271">
        <f>Q271*O271</f>
        <v/>
      </c>
      <c r="U271">
        <f>R271*O271</f>
        <v/>
      </c>
      <c r="V271">
        <f>SUMPRODUCT(S272:S543,O272:O543)/(N271*O271)</f>
        <v/>
      </c>
    </row>
    <row r="272">
      <c r="A272" t="n">
        <v>269</v>
      </c>
      <c r="B272">
        <f>A272/Inputs!$B$6</f>
        <v/>
      </c>
      <c r="C272">
        <f>Inputs!$B$3+B272</f>
        <v/>
      </c>
      <c r="D272">
        <f>INT(C272)</f>
        <v/>
      </c>
      <c r="E272">
        <f>Inputs!$B$7+1+INT((A272-1)/Inputs!$B$6)</f>
        <v/>
      </c>
      <c r="F272">
        <f>IFERROR(INDEX(IndexScenario!$B$4:$B$544,MATCH(A272,IndexScenario!$A$4:$A$544,0)),"")</f>
        <v/>
      </c>
      <c r="G272">
        <f>G271*F272/F271</f>
        <v/>
      </c>
      <c r="H272">
        <f>H271*(1+Inputs!$B$17)^(1/12)</f>
        <v/>
      </c>
      <c r="I272">
        <f>IFERROR(INDEX(BaseQx!$B:$B,MATCH(D272,BaseQx!$A:$A,0)),"")</f>
        <v/>
      </c>
      <c r="J272">
        <f>IF(Inputs!$B$13="rp_mp",SUMIFS(MP2016_Long!$C:$C,MP2016_Long!$A:$A,D272,MP2016_Long!$B:$B,"&gt;=2014",MP2016_Long!$B:$B,"&lt;"&amp;E272),0)</f>
        <v/>
      </c>
      <c r="K272">
        <f>MIN(0.999999,MAX(0,I272*EXP(J272)))</f>
        <v/>
      </c>
      <c r="L272">
        <f>-LN(1-K272)</f>
        <v/>
      </c>
      <c r="M272">
        <f>EXP(-L272/Inputs!$B$6)</f>
        <v/>
      </c>
      <c r="N272">
        <f>N271*M272</f>
        <v/>
      </c>
      <c r="O272">
        <f>IFERROR(INDEX(MonthlyCurve!$L:$L,MATCH(A272,MonthlyCurve!$A:$A,0)),"")</f>
        <v/>
      </c>
      <c r="P272">
        <f>IF(B272&gt;0,-LN(O272)/B272,"")</f>
        <v/>
      </c>
      <c r="Q272">
        <f>G272*N272</f>
        <v/>
      </c>
      <c r="R272">
        <f>H272*N272</f>
        <v/>
      </c>
      <c r="S272">
        <f>Q272+R272</f>
        <v/>
      </c>
      <c r="T272">
        <f>Q272*O272</f>
        <v/>
      </c>
      <c r="U272">
        <f>R272*O272</f>
        <v/>
      </c>
      <c r="V272">
        <f>SUMPRODUCT(S273:S543,O273:O543)/(N272*O272)</f>
        <v/>
      </c>
    </row>
    <row r="273">
      <c r="A273" t="n">
        <v>270</v>
      </c>
      <c r="B273">
        <f>A273/Inputs!$B$6</f>
        <v/>
      </c>
      <c r="C273">
        <f>Inputs!$B$3+B273</f>
        <v/>
      </c>
      <c r="D273">
        <f>INT(C273)</f>
        <v/>
      </c>
      <c r="E273">
        <f>Inputs!$B$7+1+INT((A273-1)/Inputs!$B$6)</f>
        <v/>
      </c>
      <c r="F273">
        <f>IFERROR(INDEX(IndexScenario!$B$4:$B$544,MATCH(A273,IndexScenario!$A$4:$A$544,0)),"")</f>
        <v/>
      </c>
      <c r="G273">
        <f>G272*F273/F272</f>
        <v/>
      </c>
      <c r="H273">
        <f>H272*(1+Inputs!$B$17)^(1/12)</f>
        <v/>
      </c>
      <c r="I273">
        <f>IFERROR(INDEX(BaseQx!$B:$B,MATCH(D273,BaseQx!$A:$A,0)),"")</f>
        <v/>
      </c>
      <c r="J273">
        <f>IF(Inputs!$B$13="rp_mp",SUMIFS(MP2016_Long!$C:$C,MP2016_Long!$A:$A,D273,MP2016_Long!$B:$B,"&gt;=2014",MP2016_Long!$B:$B,"&lt;"&amp;E273),0)</f>
        <v/>
      </c>
      <c r="K273">
        <f>MIN(0.999999,MAX(0,I273*EXP(J273)))</f>
        <v/>
      </c>
      <c r="L273">
        <f>-LN(1-K273)</f>
        <v/>
      </c>
      <c r="M273">
        <f>EXP(-L273/Inputs!$B$6)</f>
        <v/>
      </c>
      <c r="N273">
        <f>N272*M273</f>
        <v/>
      </c>
      <c r="O273">
        <f>IFERROR(INDEX(MonthlyCurve!$L:$L,MATCH(A273,MonthlyCurve!$A:$A,0)),"")</f>
        <v/>
      </c>
      <c r="P273">
        <f>IF(B273&gt;0,-LN(O273)/B273,"")</f>
        <v/>
      </c>
      <c r="Q273">
        <f>G273*N273</f>
        <v/>
      </c>
      <c r="R273">
        <f>H273*N273</f>
        <v/>
      </c>
      <c r="S273">
        <f>Q273+R273</f>
        <v/>
      </c>
      <c r="T273">
        <f>Q273*O273</f>
        <v/>
      </c>
      <c r="U273">
        <f>R273*O273</f>
        <v/>
      </c>
      <c r="V273">
        <f>SUMPRODUCT(S274:S543,O274:O543)/(N273*O273)</f>
        <v/>
      </c>
    </row>
    <row r="274">
      <c r="A274" t="n">
        <v>271</v>
      </c>
      <c r="B274">
        <f>A274/Inputs!$B$6</f>
        <v/>
      </c>
      <c r="C274">
        <f>Inputs!$B$3+B274</f>
        <v/>
      </c>
      <c r="D274">
        <f>INT(C274)</f>
        <v/>
      </c>
      <c r="E274">
        <f>Inputs!$B$7+1+INT((A274-1)/Inputs!$B$6)</f>
        <v/>
      </c>
      <c r="F274">
        <f>IFERROR(INDEX(IndexScenario!$B$4:$B$544,MATCH(A274,IndexScenario!$A$4:$A$544,0)),"")</f>
        <v/>
      </c>
      <c r="G274">
        <f>G273*F274/F273</f>
        <v/>
      </c>
      <c r="H274">
        <f>H273*(1+Inputs!$B$17)^(1/12)</f>
        <v/>
      </c>
      <c r="I274">
        <f>IFERROR(INDEX(BaseQx!$B:$B,MATCH(D274,BaseQx!$A:$A,0)),"")</f>
        <v/>
      </c>
      <c r="J274">
        <f>IF(Inputs!$B$13="rp_mp",SUMIFS(MP2016_Long!$C:$C,MP2016_Long!$A:$A,D274,MP2016_Long!$B:$B,"&gt;=2014",MP2016_Long!$B:$B,"&lt;"&amp;E274),0)</f>
        <v/>
      </c>
      <c r="K274">
        <f>MIN(0.999999,MAX(0,I274*EXP(J274)))</f>
        <v/>
      </c>
      <c r="L274">
        <f>-LN(1-K274)</f>
        <v/>
      </c>
      <c r="M274">
        <f>EXP(-L274/Inputs!$B$6)</f>
        <v/>
      </c>
      <c r="N274">
        <f>N273*M274</f>
        <v/>
      </c>
      <c r="O274">
        <f>IFERROR(INDEX(MonthlyCurve!$L:$L,MATCH(A274,MonthlyCurve!$A:$A,0)),"")</f>
        <v/>
      </c>
      <c r="P274">
        <f>IF(B274&gt;0,-LN(O274)/B274,"")</f>
        <v/>
      </c>
      <c r="Q274">
        <f>G274*N274</f>
        <v/>
      </c>
      <c r="R274">
        <f>H274*N274</f>
        <v/>
      </c>
      <c r="S274">
        <f>Q274+R274</f>
        <v/>
      </c>
      <c r="T274">
        <f>Q274*O274</f>
        <v/>
      </c>
      <c r="U274">
        <f>R274*O274</f>
        <v/>
      </c>
      <c r="V274">
        <f>SUMPRODUCT(S275:S543,O275:O543)/(N274*O274)</f>
        <v/>
      </c>
    </row>
    <row r="275">
      <c r="A275" t="n">
        <v>272</v>
      </c>
      <c r="B275">
        <f>A275/Inputs!$B$6</f>
        <v/>
      </c>
      <c r="C275">
        <f>Inputs!$B$3+B275</f>
        <v/>
      </c>
      <c r="D275">
        <f>INT(C275)</f>
        <v/>
      </c>
      <c r="E275">
        <f>Inputs!$B$7+1+INT((A275-1)/Inputs!$B$6)</f>
        <v/>
      </c>
      <c r="F275">
        <f>IFERROR(INDEX(IndexScenario!$B$4:$B$544,MATCH(A275,IndexScenario!$A$4:$A$544,0)),"")</f>
        <v/>
      </c>
      <c r="G275">
        <f>G274*F275/F274</f>
        <v/>
      </c>
      <c r="H275">
        <f>H274*(1+Inputs!$B$17)^(1/12)</f>
        <v/>
      </c>
      <c r="I275">
        <f>IFERROR(INDEX(BaseQx!$B:$B,MATCH(D275,BaseQx!$A:$A,0)),"")</f>
        <v/>
      </c>
      <c r="J275">
        <f>IF(Inputs!$B$13="rp_mp",SUMIFS(MP2016_Long!$C:$C,MP2016_Long!$A:$A,D275,MP2016_Long!$B:$B,"&gt;=2014",MP2016_Long!$B:$B,"&lt;"&amp;E275),0)</f>
        <v/>
      </c>
      <c r="K275">
        <f>MIN(0.999999,MAX(0,I275*EXP(J275)))</f>
        <v/>
      </c>
      <c r="L275">
        <f>-LN(1-K275)</f>
        <v/>
      </c>
      <c r="M275">
        <f>EXP(-L275/Inputs!$B$6)</f>
        <v/>
      </c>
      <c r="N275">
        <f>N274*M275</f>
        <v/>
      </c>
      <c r="O275">
        <f>IFERROR(INDEX(MonthlyCurve!$L:$L,MATCH(A275,MonthlyCurve!$A:$A,0)),"")</f>
        <v/>
      </c>
      <c r="P275">
        <f>IF(B275&gt;0,-LN(O275)/B275,"")</f>
        <v/>
      </c>
      <c r="Q275">
        <f>G275*N275</f>
        <v/>
      </c>
      <c r="R275">
        <f>H275*N275</f>
        <v/>
      </c>
      <c r="S275">
        <f>Q275+R275</f>
        <v/>
      </c>
      <c r="T275">
        <f>Q275*O275</f>
        <v/>
      </c>
      <c r="U275">
        <f>R275*O275</f>
        <v/>
      </c>
      <c r="V275">
        <f>SUMPRODUCT(S276:S543,O276:O543)/(N275*O275)</f>
        <v/>
      </c>
    </row>
    <row r="276">
      <c r="A276" t="n">
        <v>273</v>
      </c>
      <c r="B276">
        <f>A276/Inputs!$B$6</f>
        <v/>
      </c>
      <c r="C276">
        <f>Inputs!$B$3+B276</f>
        <v/>
      </c>
      <c r="D276">
        <f>INT(C276)</f>
        <v/>
      </c>
      <c r="E276">
        <f>Inputs!$B$7+1+INT((A276-1)/Inputs!$B$6)</f>
        <v/>
      </c>
      <c r="F276">
        <f>IFERROR(INDEX(IndexScenario!$B$4:$B$544,MATCH(A276,IndexScenario!$A$4:$A$544,0)),"")</f>
        <v/>
      </c>
      <c r="G276">
        <f>G275*F276/F275</f>
        <v/>
      </c>
      <c r="H276">
        <f>H275*(1+Inputs!$B$17)^(1/12)</f>
        <v/>
      </c>
      <c r="I276">
        <f>IFERROR(INDEX(BaseQx!$B:$B,MATCH(D276,BaseQx!$A:$A,0)),"")</f>
        <v/>
      </c>
      <c r="J276">
        <f>IF(Inputs!$B$13="rp_mp",SUMIFS(MP2016_Long!$C:$C,MP2016_Long!$A:$A,D276,MP2016_Long!$B:$B,"&gt;=2014",MP2016_Long!$B:$B,"&lt;"&amp;E276),0)</f>
        <v/>
      </c>
      <c r="K276">
        <f>MIN(0.999999,MAX(0,I276*EXP(J276)))</f>
        <v/>
      </c>
      <c r="L276">
        <f>-LN(1-K276)</f>
        <v/>
      </c>
      <c r="M276">
        <f>EXP(-L276/Inputs!$B$6)</f>
        <v/>
      </c>
      <c r="N276">
        <f>N275*M276</f>
        <v/>
      </c>
      <c r="O276">
        <f>IFERROR(INDEX(MonthlyCurve!$L:$L,MATCH(A276,MonthlyCurve!$A:$A,0)),"")</f>
        <v/>
      </c>
      <c r="P276">
        <f>IF(B276&gt;0,-LN(O276)/B276,"")</f>
        <v/>
      </c>
      <c r="Q276">
        <f>G276*N276</f>
        <v/>
      </c>
      <c r="R276">
        <f>H276*N276</f>
        <v/>
      </c>
      <c r="S276">
        <f>Q276+R276</f>
        <v/>
      </c>
      <c r="T276">
        <f>Q276*O276</f>
        <v/>
      </c>
      <c r="U276">
        <f>R276*O276</f>
        <v/>
      </c>
      <c r="V276">
        <f>SUMPRODUCT(S277:S543,O277:O543)/(N276*O276)</f>
        <v/>
      </c>
    </row>
    <row r="277">
      <c r="A277" t="n">
        <v>274</v>
      </c>
      <c r="B277">
        <f>A277/Inputs!$B$6</f>
        <v/>
      </c>
      <c r="C277">
        <f>Inputs!$B$3+B277</f>
        <v/>
      </c>
      <c r="D277">
        <f>INT(C277)</f>
        <v/>
      </c>
      <c r="E277">
        <f>Inputs!$B$7+1+INT((A277-1)/Inputs!$B$6)</f>
        <v/>
      </c>
      <c r="F277">
        <f>IFERROR(INDEX(IndexScenario!$B$4:$B$544,MATCH(A277,IndexScenario!$A$4:$A$544,0)),"")</f>
        <v/>
      </c>
      <c r="G277">
        <f>G276*F277/F276</f>
        <v/>
      </c>
      <c r="H277">
        <f>H276*(1+Inputs!$B$17)^(1/12)</f>
        <v/>
      </c>
      <c r="I277">
        <f>IFERROR(INDEX(BaseQx!$B:$B,MATCH(D277,BaseQx!$A:$A,0)),"")</f>
        <v/>
      </c>
      <c r="J277">
        <f>IF(Inputs!$B$13="rp_mp",SUMIFS(MP2016_Long!$C:$C,MP2016_Long!$A:$A,D277,MP2016_Long!$B:$B,"&gt;=2014",MP2016_Long!$B:$B,"&lt;"&amp;E277),0)</f>
        <v/>
      </c>
      <c r="K277">
        <f>MIN(0.999999,MAX(0,I277*EXP(J277)))</f>
        <v/>
      </c>
      <c r="L277">
        <f>-LN(1-K277)</f>
        <v/>
      </c>
      <c r="M277">
        <f>EXP(-L277/Inputs!$B$6)</f>
        <v/>
      </c>
      <c r="N277">
        <f>N276*M277</f>
        <v/>
      </c>
      <c r="O277">
        <f>IFERROR(INDEX(MonthlyCurve!$L:$L,MATCH(A277,MonthlyCurve!$A:$A,0)),"")</f>
        <v/>
      </c>
      <c r="P277">
        <f>IF(B277&gt;0,-LN(O277)/B277,"")</f>
        <v/>
      </c>
      <c r="Q277">
        <f>G277*N277</f>
        <v/>
      </c>
      <c r="R277">
        <f>H277*N277</f>
        <v/>
      </c>
      <c r="S277">
        <f>Q277+R277</f>
        <v/>
      </c>
      <c r="T277">
        <f>Q277*O277</f>
        <v/>
      </c>
      <c r="U277">
        <f>R277*O277</f>
        <v/>
      </c>
      <c r="V277">
        <f>SUMPRODUCT(S278:S543,O278:O543)/(N277*O277)</f>
        <v/>
      </c>
    </row>
    <row r="278">
      <c r="A278" t="n">
        <v>275</v>
      </c>
      <c r="B278">
        <f>A278/Inputs!$B$6</f>
        <v/>
      </c>
      <c r="C278">
        <f>Inputs!$B$3+B278</f>
        <v/>
      </c>
      <c r="D278">
        <f>INT(C278)</f>
        <v/>
      </c>
      <c r="E278">
        <f>Inputs!$B$7+1+INT((A278-1)/Inputs!$B$6)</f>
        <v/>
      </c>
      <c r="F278">
        <f>IFERROR(INDEX(IndexScenario!$B$4:$B$544,MATCH(A278,IndexScenario!$A$4:$A$544,0)),"")</f>
        <v/>
      </c>
      <c r="G278">
        <f>G277*F278/F277</f>
        <v/>
      </c>
      <c r="H278">
        <f>H277*(1+Inputs!$B$17)^(1/12)</f>
        <v/>
      </c>
      <c r="I278">
        <f>IFERROR(INDEX(BaseQx!$B:$B,MATCH(D278,BaseQx!$A:$A,0)),"")</f>
        <v/>
      </c>
      <c r="J278">
        <f>IF(Inputs!$B$13="rp_mp",SUMIFS(MP2016_Long!$C:$C,MP2016_Long!$A:$A,D278,MP2016_Long!$B:$B,"&gt;=2014",MP2016_Long!$B:$B,"&lt;"&amp;E278),0)</f>
        <v/>
      </c>
      <c r="K278">
        <f>MIN(0.999999,MAX(0,I278*EXP(J278)))</f>
        <v/>
      </c>
      <c r="L278">
        <f>-LN(1-K278)</f>
        <v/>
      </c>
      <c r="M278">
        <f>EXP(-L278/Inputs!$B$6)</f>
        <v/>
      </c>
      <c r="N278">
        <f>N277*M278</f>
        <v/>
      </c>
      <c r="O278">
        <f>IFERROR(INDEX(MonthlyCurve!$L:$L,MATCH(A278,MonthlyCurve!$A:$A,0)),"")</f>
        <v/>
      </c>
      <c r="P278">
        <f>IF(B278&gt;0,-LN(O278)/B278,"")</f>
        <v/>
      </c>
      <c r="Q278">
        <f>G278*N278</f>
        <v/>
      </c>
      <c r="R278">
        <f>H278*N278</f>
        <v/>
      </c>
      <c r="S278">
        <f>Q278+R278</f>
        <v/>
      </c>
      <c r="T278">
        <f>Q278*O278</f>
        <v/>
      </c>
      <c r="U278">
        <f>R278*O278</f>
        <v/>
      </c>
      <c r="V278">
        <f>SUMPRODUCT(S279:S543,O279:O543)/(N278*O278)</f>
        <v/>
      </c>
    </row>
    <row r="279">
      <c r="A279" t="n">
        <v>276</v>
      </c>
      <c r="B279">
        <f>A279/Inputs!$B$6</f>
        <v/>
      </c>
      <c r="C279">
        <f>Inputs!$B$3+B279</f>
        <v/>
      </c>
      <c r="D279">
        <f>INT(C279)</f>
        <v/>
      </c>
      <c r="E279">
        <f>Inputs!$B$7+1+INT((A279-1)/Inputs!$B$6)</f>
        <v/>
      </c>
      <c r="F279">
        <f>IFERROR(INDEX(IndexScenario!$B$4:$B$544,MATCH(A279,IndexScenario!$A$4:$A$544,0)),"")</f>
        <v/>
      </c>
      <c r="G279">
        <f>G278*F279/F278</f>
        <v/>
      </c>
      <c r="H279">
        <f>H278*(1+Inputs!$B$17)^(1/12)</f>
        <v/>
      </c>
      <c r="I279">
        <f>IFERROR(INDEX(BaseQx!$B:$B,MATCH(D279,BaseQx!$A:$A,0)),"")</f>
        <v/>
      </c>
      <c r="J279">
        <f>IF(Inputs!$B$13="rp_mp",SUMIFS(MP2016_Long!$C:$C,MP2016_Long!$A:$A,D279,MP2016_Long!$B:$B,"&gt;=2014",MP2016_Long!$B:$B,"&lt;"&amp;E279),0)</f>
        <v/>
      </c>
      <c r="K279">
        <f>MIN(0.999999,MAX(0,I279*EXP(J279)))</f>
        <v/>
      </c>
      <c r="L279">
        <f>-LN(1-K279)</f>
        <v/>
      </c>
      <c r="M279">
        <f>EXP(-L279/Inputs!$B$6)</f>
        <v/>
      </c>
      <c r="N279">
        <f>N278*M279</f>
        <v/>
      </c>
      <c r="O279">
        <f>IFERROR(INDEX(MonthlyCurve!$L:$L,MATCH(A279,MonthlyCurve!$A:$A,0)),"")</f>
        <v/>
      </c>
      <c r="P279">
        <f>IF(B279&gt;0,-LN(O279)/B279,"")</f>
        <v/>
      </c>
      <c r="Q279">
        <f>G279*N279</f>
        <v/>
      </c>
      <c r="R279">
        <f>H279*N279</f>
        <v/>
      </c>
      <c r="S279">
        <f>Q279+R279</f>
        <v/>
      </c>
      <c r="T279">
        <f>Q279*O279</f>
        <v/>
      </c>
      <c r="U279">
        <f>R279*O279</f>
        <v/>
      </c>
      <c r="V279">
        <f>SUMPRODUCT(S280:S543,O280:O543)/(N279*O279)</f>
        <v/>
      </c>
    </row>
    <row r="280">
      <c r="A280" t="n">
        <v>277</v>
      </c>
      <c r="B280">
        <f>A280/Inputs!$B$6</f>
        <v/>
      </c>
      <c r="C280">
        <f>Inputs!$B$3+B280</f>
        <v/>
      </c>
      <c r="D280">
        <f>INT(C280)</f>
        <v/>
      </c>
      <c r="E280">
        <f>Inputs!$B$7+1+INT((A280-1)/Inputs!$B$6)</f>
        <v/>
      </c>
      <c r="F280">
        <f>IFERROR(INDEX(IndexScenario!$B$4:$B$544,MATCH(A280,IndexScenario!$A$4:$A$544,0)),"")</f>
        <v/>
      </c>
      <c r="G280">
        <f>G279*F280/F279</f>
        <v/>
      </c>
      <c r="H280">
        <f>H279*(1+Inputs!$B$17)^(1/12)</f>
        <v/>
      </c>
      <c r="I280">
        <f>IFERROR(INDEX(BaseQx!$B:$B,MATCH(D280,BaseQx!$A:$A,0)),"")</f>
        <v/>
      </c>
      <c r="J280">
        <f>IF(Inputs!$B$13="rp_mp",SUMIFS(MP2016_Long!$C:$C,MP2016_Long!$A:$A,D280,MP2016_Long!$B:$B,"&gt;=2014",MP2016_Long!$B:$B,"&lt;"&amp;E280),0)</f>
        <v/>
      </c>
      <c r="K280">
        <f>MIN(0.999999,MAX(0,I280*EXP(J280)))</f>
        <v/>
      </c>
      <c r="L280">
        <f>-LN(1-K280)</f>
        <v/>
      </c>
      <c r="M280">
        <f>EXP(-L280/Inputs!$B$6)</f>
        <v/>
      </c>
      <c r="N280">
        <f>N279*M280</f>
        <v/>
      </c>
      <c r="O280">
        <f>IFERROR(INDEX(MonthlyCurve!$L:$L,MATCH(A280,MonthlyCurve!$A:$A,0)),"")</f>
        <v/>
      </c>
      <c r="P280">
        <f>IF(B280&gt;0,-LN(O280)/B280,"")</f>
        <v/>
      </c>
      <c r="Q280">
        <f>G280*N280</f>
        <v/>
      </c>
      <c r="R280">
        <f>H280*N280</f>
        <v/>
      </c>
      <c r="S280">
        <f>Q280+R280</f>
        <v/>
      </c>
      <c r="T280">
        <f>Q280*O280</f>
        <v/>
      </c>
      <c r="U280">
        <f>R280*O280</f>
        <v/>
      </c>
      <c r="V280">
        <f>SUMPRODUCT(S281:S543,O281:O543)/(N280*O280)</f>
        <v/>
      </c>
    </row>
    <row r="281">
      <c r="A281" t="n">
        <v>278</v>
      </c>
      <c r="B281">
        <f>A281/Inputs!$B$6</f>
        <v/>
      </c>
      <c r="C281">
        <f>Inputs!$B$3+B281</f>
        <v/>
      </c>
      <c r="D281">
        <f>INT(C281)</f>
        <v/>
      </c>
      <c r="E281">
        <f>Inputs!$B$7+1+INT((A281-1)/Inputs!$B$6)</f>
        <v/>
      </c>
      <c r="F281">
        <f>IFERROR(INDEX(IndexScenario!$B$4:$B$544,MATCH(A281,IndexScenario!$A$4:$A$544,0)),"")</f>
        <v/>
      </c>
      <c r="G281">
        <f>G280*F281/F280</f>
        <v/>
      </c>
      <c r="H281">
        <f>H280*(1+Inputs!$B$17)^(1/12)</f>
        <v/>
      </c>
      <c r="I281">
        <f>IFERROR(INDEX(BaseQx!$B:$B,MATCH(D281,BaseQx!$A:$A,0)),"")</f>
        <v/>
      </c>
      <c r="J281">
        <f>IF(Inputs!$B$13="rp_mp",SUMIFS(MP2016_Long!$C:$C,MP2016_Long!$A:$A,D281,MP2016_Long!$B:$B,"&gt;=2014",MP2016_Long!$B:$B,"&lt;"&amp;E281),0)</f>
        <v/>
      </c>
      <c r="K281">
        <f>MIN(0.999999,MAX(0,I281*EXP(J281)))</f>
        <v/>
      </c>
      <c r="L281">
        <f>-LN(1-K281)</f>
        <v/>
      </c>
      <c r="M281">
        <f>EXP(-L281/Inputs!$B$6)</f>
        <v/>
      </c>
      <c r="N281">
        <f>N280*M281</f>
        <v/>
      </c>
      <c r="O281">
        <f>IFERROR(INDEX(MonthlyCurve!$L:$L,MATCH(A281,MonthlyCurve!$A:$A,0)),"")</f>
        <v/>
      </c>
      <c r="P281">
        <f>IF(B281&gt;0,-LN(O281)/B281,"")</f>
        <v/>
      </c>
      <c r="Q281">
        <f>G281*N281</f>
        <v/>
      </c>
      <c r="R281">
        <f>H281*N281</f>
        <v/>
      </c>
      <c r="S281">
        <f>Q281+R281</f>
        <v/>
      </c>
      <c r="T281">
        <f>Q281*O281</f>
        <v/>
      </c>
      <c r="U281">
        <f>R281*O281</f>
        <v/>
      </c>
      <c r="V281">
        <f>SUMPRODUCT(S282:S543,O282:O543)/(N281*O281)</f>
        <v/>
      </c>
    </row>
    <row r="282">
      <c r="A282" t="n">
        <v>279</v>
      </c>
      <c r="B282">
        <f>A282/Inputs!$B$6</f>
        <v/>
      </c>
      <c r="C282">
        <f>Inputs!$B$3+B282</f>
        <v/>
      </c>
      <c r="D282">
        <f>INT(C282)</f>
        <v/>
      </c>
      <c r="E282">
        <f>Inputs!$B$7+1+INT((A282-1)/Inputs!$B$6)</f>
        <v/>
      </c>
      <c r="F282">
        <f>IFERROR(INDEX(IndexScenario!$B$4:$B$544,MATCH(A282,IndexScenario!$A$4:$A$544,0)),"")</f>
        <v/>
      </c>
      <c r="G282">
        <f>G281*F282/F281</f>
        <v/>
      </c>
      <c r="H282">
        <f>H281*(1+Inputs!$B$17)^(1/12)</f>
        <v/>
      </c>
      <c r="I282">
        <f>IFERROR(INDEX(BaseQx!$B:$B,MATCH(D282,BaseQx!$A:$A,0)),"")</f>
        <v/>
      </c>
      <c r="J282">
        <f>IF(Inputs!$B$13="rp_mp",SUMIFS(MP2016_Long!$C:$C,MP2016_Long!$A:$A,D282,MP2016_Long!$B:$B,"&gt;=2014",MP2016_Long!$B:$B,"&lt;"&amp;E282),0)</f>
        <v/>
      </c>
      <c r="K282">
        <f>MIN(0.999999,MAX(0,I282*EXP(J282)))</f>
        <v/>
      </c>
      <c r="L282">
        <f>-LN(1-K282)</f>
        <v/>
      </c>
      <c r="M282">
        <f>EXP(-L282/Inputs!$B$6)</f>
        <v/>
      </c>
      <c r="N282">
        <f>N281*M282</f>
        <v/>
      </c>
      <c r="O282">
        <f>IFERROR(INDEX(MonthlyCurve!$L:$L,MATCH(A282,MonthlyCurve!$A:$A,0)),"")</f>
        <v/>
      </c>
      <c r="P282">
        <f>IF(B282&gt;0,-LN(O282)/B282,"")</f>
        <v/>
      </c>
      <c r="Q282">
        <f>G282*N282</f>
        <v/>
      </c>
      <c r="R282">
        <f>H282*N282</f>
        <v/>
      </c>
      <c r="S282">
        <f>Q282+R282</f>
        <v/>
      </c>
      <c r="T282">
        <f>Q282*O282</f>
        <v/>
      </c>
      <c r="U282">
        <f>R282*O282</f>
        <v/>
      </c>
      <c r="V282">
        <f>SUMPRODUCT(S283:S543,O283:O543)/(N282*O282)</f>
        <v/>
      </c>
    </row>
    <row r="283">
      <c r="A283" t="n">
        <v>280</v>
      </c>
      <c r="B283">
        <f>A283/Inputs!$B$6</f>
        <v/>
      </c>
      <c r="C283">
        <f>Inputs!$B$3+B283</f>
        <v/>
      </c>
      <c r="D283">
        <f>INT(C283)</f>
        <v/>
      </c>
      <c r="E283">
        <f>Inputs!$B$7+1+INT((A283-1)/Inputs!$B$6)</f>
        <v/>
      </c>
      <c r="F283">
        <f>IFERROR(INDEX(IndexScenario!$B$4:$B$544,MATCH(A283,IndexScenario!$A$4:$A$544,0)),"")</f>
        <v/>
      </c>
      <c r="G283">
        <f>G282*F283/F282</f>
        <v/>
      </c>
      <c r="H283">
        <f>H282*(1+Inputs!$B$17)^(1/12)</f>
        <v/>
      </c>
      <c r="I283">
        <f>IFERROR(INDEX(BaseQx!$B:$B,MATCH(D283,BaseQx!$A:$A,0)),"")</f>
        <v/>
      </c>
      <c r="J283">
        <f>IF(Inputs!$B$13="rp_mp",SUMIFS(MP2016_Long!$C:$C,MP2016_Long!$A:$A,D283,MP2016_Long!$B:$B,"&gt;=2014",MP2016_Long!$B:$B,"&lt;"&amp;E283),0)</f>
        <v/>
      </c>
      <c r="K283">
        <f>MIN(0.999999,MAX(0,I283*EXP(J283)))</f>
        <v/>
      </c>
      <c r="L283">
        <f>-LN(1-K283)</f>
        <v/>
      </c>
      <c r="M283">
        <f>EXP(-L283/Inputs!$B$6)</f>
        <v/>
      </c>
      <c r="N283">
        <f>N282*M283</f>
        <v/>
      </c>
      <c r="O283">
        <f>IFERROR(INDEX(MonthlyCurve!$L:$L,MATCH(A283,MonthlyCurve!$A:$A,0)),"")</f>
        <v/>
      </c>
      <c r="P283">
        <f>IF(B283&gt;0,-LN(O283)/B283,"")</f>
        <v/>
      </c>
      <c r="Q283">
        <f>G283*N283</f>
        <v/>
      </c>
      <c r="R283">
        <f>H283*N283</f>
        <v/>
      </c>
      <c r="S283">
        <f>Q283+R283</f>
        <v/>
      </c>
      <c r="T283">
        <f>Q283*O283</f>
        <v/>
      </c>
      <c r="U283">
        <f>R283*O283</f>
        <v/>
      </c>
      <c r="V283">
        <f>SUMPRODUCT(S284:S543,O284:O543)/(N283*O283)</f>
        <v/>
      </c>
    </row>
    <row r="284">
      <c r="A284" t="n">
        <v>281</v>
      </c>
      <c r="B284">
        <f>A284/Inputs!$B$6</f>
        <v/>
      </c>
      <c r="C284">
        <f>Inputs!$B$3+B284</f>
        <v/>
      </c>
      <c r="D284">
        <f>INT(C284)</f>
        <v/>
      </c>
      <c r="E284">
        <f>Inputs!$B$7+1+INT((A284-1)/Inputs!$B$6)</f>
        <v/>
      </c>
      <c r="F284">
        <f>IFERROR(INDEX(IndexScenario!$B$4:$B$544,MATCH(A284,IndexScenario!$A$4:$A$544,0)),"")</f>
        <v/>
      </c>
      <c r="G284">
        <f>G283*F284/F283</f>
        <v/>
      </c>
      <c r="H284">
        <f>H283*(1+Inputs!$B$17)^(1/12)</f>
        <v/>
      </c>
      <c r="I284">
        <f>IFERROR(INDEX(BaseQx!$B:$B,MATCH(D284,BaseQx!$A:$A,0)),"")</f>
        <v/>
      </c>
      <c r="J284">
        <f>IF(Inputs!$B$13="rp_mp",SUMIFS(MP2016_Long!$C:$C,MP2016_Long!$A:$A,D284,MP2016_Long!$B:$B,"&gt;=2014",MP2016_Long!$B:$B,"&lt;"&amp;E284),0)</f>
        <v/>
      </c>
      <c r="K284">
        <f>MIN(0.999999,MAX(0,I284*EXP(J284)))</f>
        <v/>
      </c>
      <c r="L284">
        <f>-LN(1-K284)</f>
        <v/>
      </c>
      <c r="M284">
        <f>EXP(-L284/Inputs!$B$6)</f>
        <v/>
      </c>
      <c r="N284">
        <f>N283*M284</f>
        <v/>
      </c>
      <c r="O284">
        <f>IFERROR(INDEX(MonthlyCurve!$L:$L,MATCH(A284,MonthlyCurve!$A:$A,0)),"")</f>
        <v/>
      </c>
      <c r="P284">
        <f>IF(B284&gt;0,-LN(O284)/B284,"")</f>
        <v/>
      </c>
      <c r="Q284">
        <f>G284*N284</f>
        <v/>
      </c>
      <c r="R284">
        <f>H284*N284</f>
        <v/>
      </c>
      <c r="S284">
        <f>Q284+R284</f>
        <v/>
      </c>
      <c r="T284">
        <f>Q284*O284</f>
        <v/>
      </c>
      <c r="U284">
        <f>R284*O284</f>
        <v/>
      </c>
      <c r="V284">
        <f>SUMPRODUCT(S285:S543,O285:O543)/(N284*O284)</f>
        <v/>
      </c>
    </row>
    <row r="285">
      <c r="A285" t="n">
        <v>282</v>
      </c>
      <c r="B285">
        <f>A285/Inputs!$B$6</f>
        <v/>
      </c>
      <c r="C285">
        <f>Inputs!$B$3+B285</f>
        <v/>
      </c>
      <c r="D285">
        <f>INT(C285)</f>
        <v/>
      </c>
      <c r="E285">
        <f>Inputs!$B$7+1+INT((A285-1)/Inputs!$B$6)</f>
        <v/>
      </c>
      <c r="F285">
        <f>IFERROR(INDEX(IndexScenario!$B$4:$B$544,MATCH(A285,IndexScenario!$A$4:$A$544,0)),"")</f>
        <v/>
      </c>
      <c r="G285">
        <f>G284*F285/F284</f>
        <v/>
      </c>
      <c r="H285">
        <f>H284*(1+Inputs!$B$17)^(1/12)</f>
        <v/>
      </c>
      <c r="I285">
        <f>IFERROR(INDEX(BaseQx!$B:$B,MATCH(D285,BaseQx!$A:$A,0)),"")</f>
        <v/>
      </c>
      <c r="J285">
        <f>IF(Inputs!$B$13="rp_mp",SUMIFS(MP2016_Long!$C:$C,MP2016_Long!$A:$A,D285,MP2016_Long!$B:$B,"&gt;=2014",MP2016_Long!$B:$B,"&lt;"&amp;E285),0)</f>
        <v/>
      </c>
      <c r="K285">
        <f>MIN(0.999999,MAX(0,I285*EXP(J285)))</f>
        <v/>
      </c>
      <c r="L285">
        <f>-LN(1-K285)</f>
        <v/>
      </c>
      <c r="M285">
        <f>EXP(-L285/Inputs!$B$6)</f>
        <v/>
      </c>
      <c r="N285">
        <f>N284*M285</f>
        <v/>
      </c>
      <c r="O285">
        <f>IFERROR(INDEX(MonthlyCurve!$L:$L,MATCH(A285,MonthlyCurve!$A:$A,0)),"")</f>
        <v/>
      </c>
      <c r="P285">
        <f>IF(B285&gt;0,-LN(O285)/B285,"")</f>
        <v/>
      </c>
      <c r="Q285">
        <f>G285*N285</f>
        <v/>
      </c>
      <c r="R285">
        <f>H285*N285</f>
        <v/>
      </c>
      <c r="S285">
        <f>Q285+R285</f>
        <v/>
      </c>
      <c r="T285">
        <f>Q285*O285</f>
        <v/>
      </c>
      <c r="U285">
        <f>R285*O285</f>
        <v/>
      </c>
      <c r="V285">
        <f>SUMPRODUCT(S286:S543,O286:O543)/(N285*O285)</f>
        <v/>
      </c>
    </row>
    <row r="286">
      <c r="A286" t="n">
        <v>283</v>
      </c>
      <c r="B286">
        <f>A286/Inputs!$B$6</f>
        <v/>
      </c>
      <c r="C286">
        <f>Inputs!$B$3+B286</f>
        <v/>
      </c>
      <c r="D286">
        <f>INT(C286)</f>
        <v/>
      </c>
      <c r="E286">
        <f>Inputs!$B$7+1+INT((A286-1)/Inputs!$B$6)</f>
        <v/>
      </c>
      <c r="F286">
        <f>IFERROR(INDEX(IndexScenario!$B$4:$B$544,MATCH(A286,IndexScenario!$A$4:$A$544,0)),"")</f>
        <v/>
      </c>
      <c r="G286">
        <f>G285*F286/F285</f>
        <v/>
      </c>
      <c r="H286">
        <f>H285*(1+Inputs!$B$17)^(1/12)</f>
        <v/>
      </c>
      <c r="I286">
        <f>IFERROR(INDEX(BaseQx!$B:$B,MATCH(D286,BaseQx!$A:$A,0)),"")</f>
        <v/>
      </c>
      <c r="J286">
        <f>IF(Inputs!$B$13="rp_mp",SUMIFS(MP2016_Long!$C:$C,MP2016_Long!$A:$A,D286,MP2016_Long!$B:$B,"&gt;=2014",MP2016_Long!$B:$B,"&lt;"&amp;E286),0)</f>
        <v/>
      </c>
      <c r="K286">
        <f>MIN(0.999999,MAX(0,I286*EXP(J286)))</f>
        <v/>
      </c>
      <c r="L286">
        <f>-LN(1-K286)</f>
        <v/>
      </c>
      <c r="M286">
        <f>EXP(-L286/Inputs!$B$6)</f>
        <v/>
      </c>
      <c r="N286">
        <f>N285*M286</f>
        <v/>
      </c>
      <c r="O286">
        <f>IFERROR(INDEX(MonthlyCurve!$L:$L,MATCH(A286,MonthlyCurve!$A:$A,0)),"")</f>
        <v/>
      </c>
      <c r="P286">
        <f>IF(B286&gt;0,-LN(O286)/B286,"")</f>
        <v/>
      </c>
      <c r="Q286">
        <f>G286*N286</f>
        <v/>
      </c>
      <c r="R286">
        <f>H286*N286</f>
        <v/>
      </c>
      <c r="S286">
        <f>Q286+R286</f>
        <v/>
      </c>
      <c r="T286">
        <f>Q286*O286</f>
        <v/>
      </c>
      <c r="U286">
        <f>R286*O286</f>
        <v/>
      </c>
      <c r="V286">
        <f>SUMPRODUCT(S287:S543,O287:O543)/(N286*O286)</f>
        <v/>
      </c>
    </row>
    <row r="287">
      <c r="A287" t="n">
        <v>284</v>
      </c>
      <c r="B287">
        <f>A287/Inputs!$B$6</f>
        <v/>
      </c>
      <c r="C287">
        <f>Inputs!$B$3+B287</f>
        <v/>
      </c>
      <c r="D287">
        <f>INT(C287)</f>
        <v/>
      </c>
      <c r="E287">
        <f>Inputs!$B$7+1+INT((A287-1)/Inputs!$B$6)</f>
        <v/>
      </c>
      <c r="F287">
        <f>IFERROR(INDEX(IndexScenario!$B$4:$B$544,MATCH(A287,IndexScenario!$A$4:$A$544,0)),"")</f>
        <v/>
      </c>
      <c r="G287">
        <f>G286*F287/F286</f>
        <v/>
      </c>
      <c r="H287">
        <f>H286*(1+Inputs!$B$17)^(1/12)</f>
        <v/>
      </c>
      <c r="I287">
        <f>IFERROR(INDEX(BaseQx!$B:$B,MATCH(D287,BaseQx!$A:$A,0)),"")</f>
        <v/>
      </c>
      <c r="J287">
        <f>IF(Inputs!$B$13="rp_mp",SUMIFS(MP2016_Long!$C:$C,MP2016_Long!$A:$A,D287,MP2016_Long!$B:$B,"&gt;=2014",MP2016_Long!$B:$B,"&lt;"&amp;E287),0)</f>
        <v/>
      </c>
      <c r="K287">
        <f>MIN(0.999999,MAX(0,I287*EXP(J287)))</f>
        <v/>
      </c>
      <c r="L287">
        <f>-LN(1-K287)</f>
        <v/>
      </c>
      <c r="M287">
        <f>EXP(-L287/Inputs!$B$6)</f>
        <v/>
      </c>
      <c r="N287">
        <f>N286*M287</f>
        <v/>
      </c>
      <c r="O287">
        <f>IFERROR(INDEX(MonthlyCurve!$L:$L,MATCH(A287,MonthlyCurve!$A:$A,0)),"")</f>
        <v/>
      </c>
      <c r="P287">
        <f>IF(B287&gt;0,-LN(O287)/B287,"")</f>
        <v/>
      </c>
      <c r="Q287">
        <f>G287*N287</f>
        <v/>
      </c>
      <c r="R287">
        <f>H287*N287</f>
        <v/>
      </c>
      <c r="S287">
        <f>Q287+R287</f>
        <v/>
      </c>
      <c r="T287">
        <f>Q287*O287</f>
        <v/>
      </c>
      <c r="U287">
        <f>R287*O287</f>
        <v/>
      </c>
      <c r="V287">
        <f>SUMPRODUCT(S288:S543,O288:O543)/(N287*O287)</f>
        <v/>
      </c>
    </row>
    <row r="288">
      <c r="A288" t="n">
        <v>285</v>
      </c>
      <c r="B288">
        <f>A288/Inputs!$B$6</f>
        <v/>
      </c>
      <c r="C288">
        <f>Inputs!$B$3+B288</f>
        <v/>
      </c>
      <c r="D288">
        <f>INT(C288)</f>
        <v/>
      </c>
      <c r="E288">
        <f>Inputs!$B$7+1+INT((A288-1)/Inputs!$B$6)</f>
        <v/>
      </c>
      <c r="F288">
        <f>IFERROR(INDEX(IndexScenario!$B$4:$B$544,MATCH(A288,IndexScenario!$A$4:$A$544,0)),"")</f>
        <v/>
      </c>
      <c r="G288">
        <f>G287*F288/F287</f>
        <v/>
      </c>
      <c r="H288">
        <f>H287*(1+Inputs!$B$17)^(1/12)</f>
        <v/>
      </c>
      <c r="I288">
        <f>IFERROR(INDEX(BaseQx!$B:$B,MATCH(D288,BaseQx!$A:$A,0)),"")</f>
        <v/>
      </c>
      <c r="J288">
        <f>IF(Inputs!$B$13="rp_mp",SUMIFS(MP2016_Long!$C:$C,MP2016_Long!$A:$A,D288,MP2016_Long!$B:$B,"&gt;=2014",MP2016_Long!$B:$B,"&lt;"&amp;E288),0)</f>
        <v/>
      </c>
      <c r="K288">
        <f>MIN(0.999999,MAX(0,I288*EXP(J288)))</f>
        <v/>
      </c>
      <c r="L288">
        <f>-LN(1-K288)</f>
        <v/>
      </c>
      <c r="M288">
        <f>EXP(-L288/Inputs!$B$6)</f>
        <v/>
      </c>
      <c r="N288">
        <f>N287*M288</f>
        <v/>
      </c>
      <c r="O288">
        <f>IFERROR(INDEX(MonthlyCurve!$L:$L,MATCH(A288,MonthlyCurve!$A:$A,0)),"")</f>
        <v/>
      </c>
      <c r="P288">
        <f>IF(B288&gt;0,-LN(O288)/B288,"")</f>
        <v/>
      </c>
      <c r="Q288">
        <f>G288*N288</f>
        <v/>
      </c>
      <c r="R288">
        <f>H288*N288</f>
        <v/>
      </c>
      <c r="S288">
        <f>Q288+R288</f>
        <v/>
      </c>
      <c r="T288">
        <f>Q288*O288</f>
        <v/>
      </c>
      <c r="U288">
        <f>R288*O288</f>
        <v/>
      </c>
      <c r="V288">
        <f>SUMPRODUCT(S289:S543,O289:O543)/(N288*O288)</f>
        <v/>
      </c>
    </row>
    <row r="289">
      <c r="A289" t="n">
        <v>286</v>
      </c>
      <c r="B289">
        <f>A289/Inputs!$B$6</f>
        <v/>
      </c>
      <c r="C289">
        <f>Inputs!$B$3+B289</f>
        <v/>
      </c>
      <c r="D289">
        <f>INT(C289)</f>
        <v/>
      </c>
      <c r="E289">
        <f>Inputs!$B$7+1+INT((A289-1)/Inputs!$B$6)</f>
        <v/>
      </c>
      <c r="F289">
        <f>IFERROR(INDEX(IndexScenario!$B$4:$B$544,MATCH(A289,IndexScenario!$A$4:$A$544,0)),"")</f>
        <v/>
      </c>
      <c r="G289">
        <f>G288*F289/F288</f>
        <v/>
      </c>
      <c r="H289">
        <f>H288*(1+Inputs!$B$17)^(1/12)</f>
        <v/>
      </c>
      <c r="I289">
        <f>IFERROR(INDEX(BaseQx!$B:$B,MATCH(D289,BaseQx!$A:$A,0)),"")</f>
        <v/>
      </c>
      <c r="J289">
        <f>IF(Inputs!$B$13="rp_mp",SUMIFS(MP2016_Long!$C:$C,MP2016_Long!$A:$A,D289,MP2016_Long!$B:$B,"&gt;=2014",MP2016_Long!$B:$B,"&lt;"&amp;E289),0)</f>
        <v/>
      </c>
      <c r="K289">
        <f>MIN(0.999999,MAX(0,I289*EXP(J289)))</f>
        <v/>
      </c>
      <c r="L289">
        <f>-LN(1-K289)</f>
        <v/>
      </c>
      <c r="M289">
        <f>EXP(-L289/Inputs!$B$6)</f>
        <v/>
      </c>
      <c r="N289">
        <f>N288*M289</f>
        <v/>
      </c>
      <c r="O289">
        <f>IFERROR(INDEX(MonthlyCurve!$L:$L,MATCH(A289,MonthlyCurve!$A:$A,0)),"")</f>
        <v/>
      </c>
      <c r="P289">
        <f>IF(B289&gt;0,-LN(O289)/B289,"")</f>
        <v/>
      </c>
      <c r="Q289">
        <f>G289*N289</f>
        <v/>
      </c>
      <c r="R289">
        <f>H289*N289</f>
        <v/>
      </c>
      <c r="S289">
        <f>Q289+R289</f>
        <v/>
      </c>
      <c r="T289">
        <f>Q289*O289</f>
        <v/>
      </c>
      <c r="U289">
        <f>R289*O289</f>
        <v/>
      </c>
      <c r="V289">
        <f>SUMPRODUCT(S290:S543,O290:O543)/(N289*O289)</f>
        <v/>
      </c>
    </row>
    <row r="290">
      <c r="A290" t="n">
        <v>287</v>
      </c>
      <c r="B290">
        <f>A290/Inputs!$B$6</f>
        <v/>
      </c>
      <c r="C290">
        <f>Inputs!$B$3+B290</f>
        <v/>
      </c>
      <c r="D290">
        <f>INT(C290)</f>
        <v/>
      </c>
      <c r="E290">
        <f>Inputs!$B$7+1+INT((A290-1)/Inputs!$B$6)</f>
        <v/>
      </c>
      <c r="F290">
        <f>IFERROR(INDEX(IndexScenario!$B$4:$B$544,MATCH(A290,IndexScenario!$A$4:$A$544,0)),"")</f>
        <v/>
      </c>
      <c r="G290">
        <f>G289*F290/F289</f>
        <v/>
      </c>
      <c r="H290">
        <f>H289*(1+Inputs!$B$17)^(1/12)</f>
        <v/>
      </c>
      <c r="I290">
        <f>IFERROR(INDEX(BaseQx!$B:$B,MATCH(D290,BaseQx!$A:$A,0)),"")</f>
        <v/>
      </c>
      <c r="J290">
        <f>IF(Inputs!$B$13="rp_mp",SUMIFS(MP2016_Long!$C:$C,MP2016_Long!$A:$A,D290,MP2016_Long!$B:$B,"&gt;=2014",MP2016_Long!$B:$B,"&lt;"&amp;E290),0)</f>
        <v/>
      </c>
      <c r="K290">
        <f>MIN(0.999999,MAX(0,I290*EXP(J290)))</f>
        <v/>
      </c>
      <c r="L290">
        <f>-LN(1-K290)</f>
        <v/>
      </c>
      <c r="M290">
        <f>EXP(-L290/Inputs!$B$6)</f>
        <v/>
      </c>
      <c r="N290">
        <f>N289*M290</f>
        <v/>
      </c>
      <c r="O290">
        <f>IFERROR(INDEX(MonthlyCurve!$L:$L,MATCH(A290,MonthlyCurve!$A:$A,0)),"")</f>
        <v/>
      </c>
      <c r="P290">
        <f>IF(B290&gt;0,-LN(O290)/B290,"")</f>
        <v/>
      </c>
      <c r="Q290">
        <f>G290*N290</f>
        <v/>
      </c>
      <c r="R290">
        <f>H290*N290</f>
        <v/>
      </c>
      <c r="S290">
        <f>Q290+R290</f>
        <v/>
      </c>
      <c r="T290">
        <f>Q290*O290</f>
        <v/>
      </c>
      <c r="U290">
        <f>R290*O290</f>
        <v/>
      </c>
      <c r="V290">
        <f>SUMPRODUCT(S291:S543,O291:O543)/(N290*O290)</f>
        <v/>
      </c>
    </row>
    <row r="291">
      <c r="A291" t="n">
        <v>288</v>
      </c>
      <c r="B291">
        <f>A291/Inputs!$B$6</f>
        <v/>
      </c>
      <c r="C291">
        <f>Inputs!$B$3+B291</f>
        <v/>
      </c>
      <c r="D291">
        <f>INT(C291)</f>
        <v/>
      </c>
      <c r="E291">
        <f>Inputs!$B$7+1+INT((A291-1)/Inputs!$B$6)</f>
        <v/>
      </c>
      <c r="F291">
        <f>IFERROR(INDEX(IndexScenario!$B$4:$B$544,MATCH(A291,IndexScenario!$A$4:$A$544,0)),"")</f>
        <v/>
      </c>
      <c r="G291">
        <f>G290*F291/F290</f>
        <v/>
      </c>
      <c r="H291">
        <f>H290*(1+Inputs!$B$17)^(1/12)</f>
        <v/>
      </c>
      <c r="I291">
        <f>IFERROR(INDEX(BaseQx!$B:$B,MATCH(D291,BaseQx!$A:$A,0)),"")</f>
        <v/>
      </c>
      <c r="J291">
        <f>IF(Inputs!$B$13="rp_mp",SUMIFS(MP2016_Long!$C:$C,MP2016_Long!$A:$A,D291,MP2016_Long!$B:$B,"&gt;=2014",MP2016_Long!$B:$B,"&lt;"&amp;E291),0)</f>
        <v/>
      </c>
      <c r="K291">
        <f>MIN(0.999999,MAX(0,I291*EXP(J291)))</f>
        <v/>
      </c>
      <c r="L291">
        <f>-LN(1-K291)</f>
        <v/>
      </c>
      <c r="M291">
        <f>EXP(-L291/Inputs!$B$6)</f>
        <v/>
      </c>
      <c r="N291">
        <f>N290*M291</f>
        <v/>
      </c>
      <c r="O291">
        <f>IFERROR(INDEX(MonthlyCurve!$L:$L,MATCH(A291,MonthlyCurve!$A:$A,0)),"")</f>
        <v/>
      </c>
      <c r="P291">
        <f>IF(B291&gt;0,-LN(O291)/B291,"")</f>
        <v/>
      </c>
      <c r="Q291">
        <f>G291*N291</f>
        <v/>
      </c>
      <c r="R291">
        <f>H291*N291</f>
        <v/>
      </c>
      <c r="S291">
        <f>Q291+R291</f>
        <v/>
      </c>
      <c r="T291">
        <f>Q291*O291</f>
        <v/>
      </c>
      <c r="U291">
        <f>R291*O291</f>
        <v/>
      </c>
      <c r="V291">
        <f>SUMPRODUCT(S292:S543,O292:O543)/(N291*O291)</f>
        <v/>
      </c>
    </row>
    <row r="292">
      <c r="A292" t="n">
        <v>289</v>
      </c>
      <c r="B292">
        <f>A292/Inputs!$B$6</f>
        <v/>
      </c>
      <c r="C292">
        <f>Inputs!$B$3+B292</f>
        <v/>
      </c>
      <c r="D292">
        <f>INT(C292)</f>
        <v/>
      </c>
      <c r="E292">
        <f>Inputs!$B$7+1+INT((A292-1)/Inputs!$B$6)</f>
        <v/>
      </c>
      <c r="F292">
        <f>IFERROR(INDEX(IndexScenario!$B$4:$B$544,MATCH(A292,IndexScenario!$A$4:$A$544,0)),"")</f>
        <v/>
      </c>
      <c r="G292">
        <f>G291*F292/F291</f>
        <v/>
      </c>
      <c r="H292">
        <f>H291*(1+Inputs!$B$17)^(1/12)</f>
        <v/>
      </c>
      <c r="I292">
        <f>IFERROR(INDEX(BaseQx!$B:$B,MATCH(D292,BaseQx!$A:$A,0)),"")</f>
        <v/>
      </c>
      <c r="J292">
        <f>IF(Inputs!$B$13="rp_mp",SUMIFS(MP2016_Long!$C:$C,MP2016_Long!$A:$A,D292,MP2016_Long!$B:$B,"&gt;=2014",MP2016_Long!$B:$B,"&lt;"&amp;E292),0)</f>
        <v/>
      </c>
      <c r="K292">
        <f>MIN(0.999999,MAX(0,I292*EXP(J292)))</f>
        <v/>
      </c>
      <c r="L292">
        <f>-LN(1-K292)</f>
        <v/>
      </c>
      <c r="M292">
        <f>EXP(-L292/Inputs!$B$6)</f>
        <v/>
      </c>
      <c r="N292">
        <f>N291*M292</f>
        <v/>
      </c>
      <c r="O292">
        <f>IFERROR(INDEX(MonthlyCurve!$L:$L,MATCH(A292,MonthlyCurve!$A:$A,0)),"")</f>
        <v/>
      </c>
      <c r="P292">
        <f>IF(B292&gt;0,-LN(O292)/B292,"")</f>
        <v/>
      </c>
      <c r="Q292">
        <f>G292*N292</f>
        <v/>
      </c>
      <c r="R292">
        <f>H292*N292</f>
        <v/>
      </c>
      <c r="S292">
        <f>Q292+R292</f>
        <v/>
      </c>
      <c r="T292">
        <f>Q292*O292</f>
        <v/>
      </c>
      <c r="U292">
        <f>R292*O292</f>
        <v/>
      </c>
      <c r="V292">
        <f>SUMPRODUCT(S293:S543,O293:O543)/(N292*O292)</f>
        <v/>
      </c>
    </row>
    <row r="293">
      <c r="A293" t="n">
        <v>290</v>
      </c>
      <c r="B293">
        <f>A293/Inputs!$B$6</f>
        <v/>
      </c>
      <c r="C293">
        <f>Inputs!$B$3+B293</f>
        <v/>
      </c>
      <c r="D293">
        <f>INT(C293)</f>
        <v/>
      </c>
      <c r="E293">
        <f>Inputs!$B$7+1+INT((A293-1)/Inputs!$B$6)</f>
        <v/>
      </c>
      <c r="F293">
        <f>IFERROR(INDEX(IndexScenario!$B$4:$B$544,MATCH(A293,IndexScenario!$A$4:$A$544,0)),"")</f>
        <v/>
      </c>
      <c r="G293">
        <f>G292*F293/F292</f>
        <v/>
      </c>
      <c r="H293">
        <f>H292*(1+Inputs!$B$17)^(1/12)</f>
        <v/>
      </c>
      <c r="I293">
        <f>IFERROR(INDEX(BaseQx!$B:$B,MATCH(D293,BaseQx!$A:$A,0)),"")</f>
        <v/>
      </c>
      <c r="J293">
        <f>IF(Inputs!$B$13="rp_mp",SUMIFS(MP2016_Long!$C:$C,MP2016_Long!$A:$A,D293,MP2016_Long!$B:$B,"&gt;=2014",MP2016_Long!$B:$B,"&lt;"&amp;E293),0)</f>
        <v/>
      </c>
      <c r="K293">
        <f>MIN(0.999999,MAX(0,I293*EXP(J293)))</f>
        <v/>
      </c>
      <c r="L293">
        <f>-LN(1-K293)</f>
        <v/>
      </c>
      <c r="M293">
        <f>EXP(-L293/Inputs!$B$6)</f>
        <v/>
      </c>
      <c r="N293">
        <f>N292*M293</f>
        <v/>
      </c>
      <c r="O293">
        <f>IFERROR(INDEX(MonthlyCurve!$L:$L,MATCH(A293,MonthlyCurve!$A:$A,0)),"")</f>
        <v/>
      </c>
      <c r="P293">
        <f>IF(B293&gt;0,-LN(O293)/B293,"")</f>
        <v/>
      </c>
      <c r="Q293">
        <f>G293*N293</f>
        <v/>
      </c>
      <c r="R293">
        <f>H293*N293</f>
        <v/>
      </c>
      <c r="S293">
        <f>Q293+R293</f>
        <v/>
      </c>
      <c r="T293">
        <f>Q293*O293</f>
        <v/>
      </c>
      <c r="U293">
        <f>R293*O293</f>
        <v/>
      </c>
      <c r="V293">
        <f>SUMPRODUCT(S294:S543,O294:O543)/(N293*O293)</f>
        <v/>
      </c>
    </row>
    <row r="294">
      <c r="A294" t="n">
        <v>291</v>
      </c>
      <c r="B294">
        <f>A294/Inputs!$B$6</f>
        <v/>
      </c>
      <c r="C294">
        <f>Inputs!$B$3+B294</f>
        <v/>
      </c>
      <c r="D294">
        <f>INT(C294)</f>
        <v/>
      </c>
      <c r="E294">
        <f>Inputs!$B$7+1+INT((A294-1)/Inputs!$B$6)</f>
        <v/>
      </c>
      <c r="F294">
        <f>IFERROR(INDEX(IndexScenario!$B$4:$B$544,MATCH(A294,IndexScenario!$A$4:$A$544,0)),"")</f>
        <v/>
      </c>
      <c r="G294">
        <f>G293*F294/F293</f>
        <v/>
      </c>
      <c r="H294">
        <f>H293*(1+Inputs!$B$17)^(1/12)</f>
        <v/>
      </c>
      <c r="I294">
        <f>IFERROR(INDEX(BaseQx!$B:$B,MATCH(D294,BaseQx!$A:$A,0)),"")</f>
        <v/>
      </c>
      <c r="J294">
        <f>IF(Inputs!$B$13="rp_mp",SUMIFS(MP2016_Long!$C:$C,MP2016_Long!$A:$A,D294,MP2016_Long!$B:$B,"&gt;=2014",MP2016_Long!$B:$B,"&lt;"&amp;E294),0)</f>
        <v/>
      </c>
      <c r="K294">
        <f>MIN(0.999999,MAX(0,I294*EXP(J294)))</f>
        <v/>
      </c>
      <c r="L294">
        <f>-LN(1-K294)</f>
        <v/>
      </c>
      <c r="M294">
        <f>EXP(-L294/Inputs!$B$6)</f>
        <v/>
      </c>
      <c r="N294">
        <f>N293*M294</f>
        <v/>
      </c>
      <c r="O294">
        <f>IFERROR(INDEX(MonthlyCurve!$L:$L,MATCH(A294,MonthlyCurve!$A:$A,0)),"")</f>
        <v/>
      </c>
      <c r="P294">
        <f>IF(B294&gt;0,-LN(O294)/B294,"")</f>
        <v/>
      </c>
      <c r="Q294">
        <f>G294*N294</f>
        <v/>
      </c>
      <c r="R294">
        <f>H294*N294</f>
        <v/>
      </c>
      <c r="S294">
        <f>Q294+R294</f>
        <v/>
      </c>
      <c r="T294">
        <f>Q294*O294</f>
        <v/>
      </c>
      <c r="U294">
        <f>R294*O294</f>
        <v/>
      </c>
      <c r="V294">
        <f>SUMPRODUCT(S295:S543,O295:O543)/(N294*O294)</f>
        <v/>
      </c>
    </row>
    <row r="295">
      <c r="A295" t="n">
        <v>292</v>
      </c>
      <c r="B295">
        <f>A295/Inputs!$B$6</f>
        <v/>
      </c>
      <c r="C295">
        <f>Inputs!$B$3+B295</f>
        <v/>
      </c>
      <c r="D295">
        <f>INT(C295)</f>
        <v/>
      </c>
      <c r="E295">
        <f>Inputs!$B$7+1+INT((A295-1)/Inputs!$B$6)</f>
        <v/>
      </c>
      <c r="F295">
        <f>IFERROR(INDEX(IndexScenario!$B$4:$B$544,MATCH(A295,IndexScenario!$A$4:$A$544,0)),"")</f>
        <v/>
      </c>
      <c r="G295">
        <f>G294*F295/F294</f>
        <v/>
      </c>
      <c r="H295">
        <f>H294*(1+Inputs!$B$17)^(1/12)</f>
        <v/>
      </c>
      <c r="I295">
        <f>IFERROR(INDEX(BaseQx!$B:$B,MATCH(D295,BaseQx!$A:$A,0)),"")</f>
        <v/>
      </c>
      <c r="J295">
        <f>IF(Inputs!$B$13="rp_mp",SUMIFS(MP2016_Long!$C:$C,MP2016_Long!$A:$A,D295,MP2016_Long!$B:$B,"&gt;=2014",MP2016_Long!$B:$B,"&lt;"&amp;E295),0)</f>
        <v/>
      </c>
      <c r="K295">
        <f>MIN(0.999999,MAX(0,I295*EXP(J295)))</f>
        <v/>
      </c>
      <c r="L295">
        <f>-LN(1-K295)</f>
        <v/>
      </c>
      <c r="M295">
        <f>EXP(-L295/Inputs!$B$6)</f>
        <v/>
      </c>
      <c r="N295">
        <f>N294*M295</f>
        <v/>
      </c>
      <c r="O295">
        <f>IFERROR(INDEX(MonthlyCurve!$L:$L,MATCH(A295,MonthlyCurve!$A:$A,0)),"")</f>
        <v/>
      </c>
      <c r="P295">
        <f>IF(B295&gt;0,-LN(O295)/B295,"")</f>
        <v/>
      </c>
      <c r="Q295">
        <f>G295*N295</f>
        <v/>
      </c>
      <c r="R295">
        <f>H295*N295</f>
        <v/>
      </c>
      <c r="S295">
        <f>Q295+R295</f>
        <v/>
      </c>
      <c r="T295">
        <f>Q295*O295</f>
        <v/>
      </c>
      <c r="U295">
        <f>R295*O295</f>
        <v/>
      </c>
      <c r="V295">
        <f>SUMPRODUCT(S296:S543,O296:O543)/(N295*O295)</f>
        <v/>
      </c>
    </row>
    <row r="296">
      <c r="A296" t="n">
        <v>293</v>
      </c>
      <c r="B296">
        <f>A296/Inputs!$B$6</f>
        <v/>
      </c>
      <c r="C296">
        <f>Inputs!$B$3+B296</f>
        <v/>
      </c>
      <c r="D296">
        <f>INT(C296)</f>
        <v/>
      </c>
      <c r="E296">
        <f>Inputs!$B$7+1+INT((A296-1)/Inputs!$B$6)</f>
        <v/>
      </c>
      <c r="F296">
        <f>IFERROR(INDEX(IndexScenario!$B$4:$B$544,MATCH(A296,IndexScenario!$A$4:$A$544,0)),"")</f>
        <v/>
      </c>
      <c r="G296">
        <f>G295*F296/F295</f>
        <v/>
      </c>
      <c r="H296">
        <f>H295*(1+Inputs!$B$17)^(1/12)</f>
        <v/>
      </c>
      <c r="I296">
        <f>IFERROR(INDEX(BaseQx!$B:$B,MATCH(D296,BaseQx!$A:$A,0)),"")</f>
        <v/>
      </c>
      <c r="J296">
        <f>IF(Inputs!$B$13="rp_mp",SUMIFS(MP2016_Long!$C:$C,MP2016_Long!$A:$A,D296,MP2016_Long!$B:$B,"&gt;=2014",MP2016_Long!$B:$B,"&lt;"&amp;E296),0)</f>
        <v/>
      </c>
      <c r="K296">
        <f>MIN(0.999999,MAX(0,I296*EXP(J296)))</f>
        <v/>
      </c>
      <c r="L296">
        <f>-LN(1-K296)</f>
        <v/>
      </c>
      <c r="M296">
        <f>EXP(-L296/Inputs!$B$6)</f>
        <v/>
      </c>
      <c r="N296">
        <f>N295*M296</f>
        <v/>
      </c>
      <c r="O296">
        <f>IFERROR(INDEX(MonthlyCurve!$L:$L,MATCH(A296,MonthlyCurve!$A:$A,0)),"")</f>
        <v/>
      </c>
      <c r="P296">
        <f>IF(B296&gt;0,-LN(O296)/B296,"")</f>
        <v/>
      </c>
      <c r="Q296">
        <f>G296*N296</f>
        <v/>
      </c>
      <c r="R296">
        <f>H296*N296</f>
        <v/>
      </c>
      <c r="S296">
        <f>Q296+R296</f>
        <v/>
      </c>
      <c r="T296">
        <f>Q296*O296</f>
        <v/>
      </c>
      <c r="U296">
        <f>R296*O296</f>
        <v/>
      </c>
      <c r="V296">
        <f>SUMPRODUCT(S297:S543,O297:O543)/(N296*O296)</f>
        <v/>
      </c>
    </row>
    <row r="297">
      <c r="A297" t="n">
        <v>294</v>
      </c>
      <c r="B297">
        <f>A297/Inputs!$B$6</f>
        <v/>
      </c>
      <c r="C297">
        <f>Inputs!$B$3+B297</f>
        <v/>
      </c>
      <c r="D297">
        <f>INT(C297)</f>
        <v/>
      </c>
      <c r="E297">
        <f>Inputs!$B$7+1+INT((A297-1)/Inputs!$B$6)</f>
        <v/>
      </c>
      <c r="F297">
        <f>IFERROR(INDEX(IndexScenario!$B$4:$B$544,MATCH(A297,IndexScenario!$A$4:$A$544,0)),"")</f>
        <v/>
      </c>
      <c r="G297">
        <f>G296*F297/F296</f>
        <v/>
      </c>
      <c r="H297">
        <f>H296*(1+Inputs!$B$17)^(1/12)</f>
        <v/>
      </c>
      <c r="I297">
        <f>IFERROR(INDEX(BaseQx!$B:$B,MATCH(D297,BaseQx!$A:$A,0)),"")</f>
        <v/>
      </c>
      <c r="J297">
        <f>IF(Inputs!$B$13="rp_mp",SUMIFS(MP2016_Long!$C:$C,MP2016_Long!$A:$A,D297,MP2016_Long!$B:$B,"&gt;=2014",MP2016_Long!$B:$B,"&lt;"&amp;E297),0)</f>
        <v/>
      </c>
      <c r="K297">
        <f>MIN(0.999999,MAX(0,I297*EXP(J297)))</f>
        <v/>
      </c>
      <c r="L297">
        <f>-LN(1-K297)</f>
        <v/>
      </c>
      <c r="M297">
        <f>EXP(-L297/Inputs!$B$6)</f>
        <v/>
      </c>
      <c r="N297">
        <f>N296*M297</f>
        <v/>
      </c>
      <c r="O297">
        <f>IFERROR(INDEX(MonthlyCurve!$L:$L,MATCH(A297,MonthlyCurve!$A:$A,0)),"")</f>
        <v/>
      </c>
      <c r="P297">
        <f>IF(B297&gt;0,-LN(O297)/B297,"")</f>
        <v/>
      </c>
      <c r="Q297">
        <f>G297*N297</f>
        <v/>
      </c>
      <c r="R297">
        <f>H297*N297</f>
        <v/>
      </c>
      <c r="S297">
        <f>Q297+R297</f>
        <v/>
      </c>
      <c r="T297">
        <f>Q297*O297</f>
        <v/>
      </c>
      <c r="U297">
        <f>R297*O297</f>
        <v/>
      </c>
      <c r="V297">
        <f>SUMPRODUCT(S298:S543,O298:O543)/(N297*O297)</f>
        <v/>
      </c>
    </row>
    <row r="298">
      <c r="A298" t="n">
        <v>295</v>
      </c>
      <c r="B298">
        <f>A298/Inputs!$B$6</f>
        <v/>
      </c>
      <c r="C298">
        <f>Inputs!$B$3+B298</f>
        <v/>
      </c>
      <c r="D298">
        <f>INT(C298)</f>
        <v/>
      </c>
      <c r="E298">
        <f>Inputs!$B$7+1+INT((A298-1)/Inputs!$B$6)</f>
        <v/>
      </c>
      <c r="F298">
        <f>IFERROR(INDEX(IndexScenario!$B$4:$B$544,MATCH(A298,IndexScenario!$A$4:$A$544,0)),"")</f>
        <v/>
      </c>
      <c r="G298">
        <f>G297*F298/F297</f>
        <v/>
      </c>
      <c r="H298">
        <f>H297*(1+Inputs!$B$17)^(1/12)</f>
        <v/>
      </c>
      <c r="I298">
        <f>IFERROR(INDEX(BaseQx!$B:$B,MATCH(D298,BaseQx!$A:$A,0)),"")</f>
        <v/>
      </c>
      <c r="J298">
        <f>IF(Inputs!$B$13="rp_mp",SUMIFS(MP2016_Long!$C:$C,MP2016_Long!$A:$A,D298,MP2016_Long!$B:$B,"&gt;=2014",MP2016_Long!$B:$B,"&lt;"&amp;E298),0)</f>
        <v/>
      </c>
      <c r="K298">
        <f>MIN(0.999999,MAX(0,I298*EXP(J298)))</f>
        <v/>
      </c>
      <c r="L298">
        <f>-LN(1-K298)</f>
        <v/>
      </c>
      <c r="M298">
        <f>EXP(-L298/Inputs!$B$6)</f>
        <v/>
      </c>
      <c r="N298">
        <f>N297*M298</f>
        <v/>
      </c>
      <c r="O298">
        <f>IFERROR(INDEX(MonthlyCurve!$L:$L,MATCH(A298,MonthlyCurve!$A:$A,0)),"")</f>
        <v/>
      </c>
      <c r="P298">
        <f>IF(B298&gt;0,-LN(O298)/B298,"")</f>
        <v/>
      </c>
      <c r="Q298">
        <f>G298*N298</f>
        <v/>
      </c>
      <c r="R298">
        <f>H298*N298</f>
        <v/>
      </c>
      <c r="S298">
        <f>Q298+R298</f>
        <v/>
      </c>
      <c r="T298">
        <f>Q298*O298</f>
        <v/>
      </c>
      <c r="U298">
        <f>R298*O298</f>
        <v/>
      </c>
      <c r="V298">
        <f>SUMPRODUCT(S299:S543,O299:O543)/(N298*O298)</f>
        <v/>
      </c>
    </row>
    <row r="299">
      <c r="A299" t="n">
        <v>296</v>
      </c>
      <c r="B299">
        <f>A299/Inputs!$B$6</f>
        <v/>
      </c>
      <c r="C299">
        <f>Inputs!$B$3+B299</f>
        <v/>
      </c>
      <c r="D299">
        <f>INT(C299)</f>
        <v/>
      </c>
      <c r="E299">
        <f>Inputs!$B$7+1+INT((A299-1)/Inputs!$B$6)</f>
        <v/>
      </c>
      <c r="F299">
        <f>IFERROR(INDEX(IndexScenario!$B$4:$B$544,MATCH(A299,IndexScenario!$A$4:$A$544,0)),"")</f>
        <v/>
      </c>
      <c r="G299">
        <f>G298*F299/F298</f>
        <v/>
      </c>
      <c r="H299">
        <f>H298*(1+Inputs!$B$17)^(1/12)</f>
        <v/>
      </c>
      <c r="I299">
        <f>IFERROR(INDEX(BaseQx!$B:$B,MATCH(D299,BaseQx!$A:$A,0)),"")</f>
        <v/>
      </c>
      <c r="J299">
        <f>IF(Inputs!$B$13="rp_mp",SUMIFS(MP2016_Long!$C:$C,MP2016_Long!$A:$A,D299,MP2016_Long!$B:$B,"&gt;=2014",MP2016_Long!$B:$B,"&lt;"&amp;E299),0)</f>
        <v/>
      </c>
      <c r="K299">
        <f>MIN(0.999999,MAX(0,I299*EXP(J299)))</f>
        <v/>
      </c>
      <c r="L299">
        <f>-LN(1-K299)</f>
        <v/>
      </c>
      <c r="M299">
        <f>EXP(-L299/Inputs!$B$6)</f>
        <v/>
      </c>
      <c r="N299">
        <f>N298*M299</f>
        <v/>
      </c>
      <c r="O299">
        <f>IFERROR(INDEX(MonthlyCurve!$L:$L,MATCH(A299,MonthlyCurve!$A:$A,0)),"")</f>
        <v/>
      </c>
      <c r="P299">
        <f>IF(B299&gt;0,-LN(O299)/B299,"")</f>
        <v/>
      </c>
      <c r="Q299">
        <f>G299*N299</f>
        <v/>
      </c>
      <c r="R299">
        <f>H299*N299</f>
        <v/>
      </c>
      <c r="S299">
        <f>Q299+R299</f>
        <v/>
      </c>
      <c r="T299">
        <f>Q299*O299</f>
        <v/>
      </c>
      <c r="U299">
        <f>R299*O299</f>
        <v/>
      </c>
      <c r="V299">
        <f>SUMPRODUCT(S300:S543,O300:O543)/(N299*O299)</f>
        <v/>
      </c>
    </row>
    <row r="300">
      <c r="A300" t="n">
        <v>297</v>
      </c>
      <c r="B300">
        <f>A300/Inputs!$B$6</f>
        <v/>
      </c>
      <c r="C300">
        <f>Inputs!$B$3+B300</f>
        <v/>
      </c>
      <c r="D300">
        <f>INT(C300)</f>
        <v/>
      </c>
      <c r="E300">
        <f>Inputs!$B$7+1+INT((A300-1)/Inputs!$B$6)</f>
        <v/>
      </c>
      <c r="F300">
        <f>IFERROR(INDEX(IndexScenario!$B$4:$B$544,MATCH(A300,IndexScenario!$A$4:$A$544,0)),"")</f>
        <v/>
      </c>
      <c r="G300">
        <f>G299*F300/F299</f>
        <v/>
      </c>
      <c r="H300">
        <f>H299*(1+Inputs!$B$17)^(1/12)</f>
        <v/>
      </c>
      <c r="I300">
        <f>IFERROR(INDEX(BaseQx!$B:$B,MATCH(D300,BaseQx!$A:$A,0)),"")</f>
        <v/>
      </c>
      <c r="J300">
        <f>IF(Inputs!$B$13="rp_mp",SUMIFS(MP2016_Long!$C:$C,MP2016_Long!$A:$A,D300,MP2016_Long!$B:$B,"&gt;=2014",MP2016_Long!$B:$B,"&lt;"&amp;E300),0)</f>
        <v/>
      </c>
      <c r="K300">
        <f>MIN(0.999999,MAX(0,I300*EXP(J300)))</f>
        <v/>
      </c>
      <c r="L300">
        <f>-LN(1-K300)</f>
        <v/>
      </c>
      <c r="M300">
        <f>EXP(-L300/Inputs!$B$6)</f>
        <v/>
      </c>
      <c r="N300">
        <f>N299*M300</f>
        <v/>
      </c>
      <c r="O300">
        <f>IFERROR(INDEX(MonthlyCurve!$L:$L,MATCH(A300,MonthlyCurve!$A:$A,0)),"")</f>
        <v/>
      </c>
      <c r="P300">
        <f>IF(B300&gt;0,-LN(O300)/B300,"")</f>
        <v/>
      </c>
      <c r="Q300">
        <f>G300*N300</f>
        <v/>
      </c>
      <c r="R300">
        <f>H300*N300</f>
        <v/>
      </c>
      <c r="S300">
        <f>Q300+R300</f>
        <v/>
      </c>
      <c r="T300">
        <f>Q300*O300</f>
        <v/>
      </c>
      <c r="U300">
        <f>R300*O300</f>
        <v/>
      </c>
      <c r="V300">
        <f>SUMPRODUCT(S301:S543,O301:O543)/(N300*O300)</f>
        <v/>
      </c>
    </row>
    <row r="301">
      <c r="A301" t="n">
        <v>298</v>
      </c>
      <c r="B301">
        <f>A301/Inputs!$B$6</f>
        <v/>
      </c>
      <c r="C301">
        <f>Inputs!$B$3+B301</f>
        <v/>
      </c>
      <c r="D301">
        <f>INT(C301)</f>
        <v/>
      </c>
      <c r="E301">
        <f>Inputs!$B$7+1+INT((A301-1)/Inputs!$B$6)</f>
        <v/>
      </c>
      <c r="F301">
        <f>IFERROR(INDEX(IndexScenario!$B$4:$B$544,MATCH(A301,IndexScenario!$A$4:$A$544,0)),"")</f>
        <v/>
      </c>
      <c r="G301">
        <f>G300*F301/F300</f>
        <v/>
      </c>
      <c r="H301">
        <f>H300*(1+Inputs!$B$17)^(1/12)</f>
        <v/>
      </c>
      <c r="I301">
        <f>IFERROR(INDEX(BaseQx!$B:$B,MATCH(D301,BaseQx!$A:$A,0)),"")</f>
        <v/>
      </c>
      <c r="J301">
        <f>IF(Inputs!$B$13="rp_mp",SUMIFS(MP2016_Long!$C:$C,MP2016_Long!$A:$A,D301,MP2016_Long!$B:$B,"&gt;=2014",MP2016_Long!$B:$B,"&lt;"&amp;E301),0)</f>
        <v/>
      </c>
      <c r="K301">
        <f>MIN(0.999999,MAX(0,I301*EXP(J301)))</f>
        <v/>
      </c>
      <c r="L301">
        <f>-LN(1-K301)</f>
        <v/>
      </c>
      <c r="M301">
        <f>EXP(-L301/Inputs!$B$6)</f>
        <v/>
      </c>
      <c r="N301">
        <f>N300*M301</f>
        <v/>
      </c>
      <c r="O301">
        <f>IFERROR(INDEX(MonthlyCurve!$L:$L,MATCH(A301,MonthlyCurve!$A:$A,0)),"")</f>
        <v/>
      </c>
      <c r="P301">
        <f>IF(B301&gt;0,-LN(O301)/B301,"")</f>
        <v/>
      </c>
      <c r="Q301">
        <f>G301*N301</f>
        <v/>
      </c>
      <c r="R301">
        <f>H301*N301</f>
        <v/>
      </c>
      <c r="S301">
        <f>Q301+R301</f>
        <v/>
      </c>
      <c r="T301">
        <f>Q301*O301</f>
        <v/>
      </c>
      <c r="U301">
        <f>R301*O301</f>
        <v/>
      </c>
      <c r="V301">
        <f>SUMPRODUCT(S302:S543,O302:O543)/(N301*O301)</f>
        <v/>
      </c>
    </row>
    <row r="302">
      <c r="A302" t="n">
        <v>299</v>
      </c>
      <c r="B302">
        <f>A302/Inputs!$B$6</f>
        <v/>
      </c>
      <c r="C302">
        <f>Inputs!$B$3+B302</f>
        <v/>
      </c>
      <c r="D302">
        <f>INT(C302)</f>
        <v/>
      </c>
      <c r="E302">
        <f>Inputs!$B$7+1+INT((A302-1)/Inputs!$B$6)</f>
        <v/>
      </c>
      <c r="F302">
        <f>IFERROR(INDEX(IndexScenario!$B$4:$B$544,MATCH(A302,IndexScenario!$A$4:$A$544,0)),"")</f>
        <v/>
      </c>
      <c r="G302">
        <f>G301*F302/F301</f>
        <v/>
      </c>
      <c r="H302">
        <f>H301*(1+Inputs!$B$17)^(1/12)</f>
        <v/>
      </c>
      <c r="I302">
        <f>IFERROR(INDEX(BaseQx!$B:$B,MATCH(D302,BaseQx!$A:$A,0)),"")</f>
        <v/>
      </c>
      <c r="J302">
        <f>IF(Inputs!$B$13="rp_mp",SUMIFS(MP2016_Long!$C:$C,MP2016_Long!$A:$A,D302,MP2016_Long!$B:$B,"&gt;=2014",MP2016_Long!$B:$B,"&lt;"&amp;E302),0)</f>
        <v/>
      </c>
      <c r="K302">
        <f>MIN(0.999999,MAX(0,I302*EXP(J302)))</f>
        <v/>
      </c>
      <c r="L302">
        <f>-LN(1-K302)</f>
        <v/>
      </c>
      <c r="M302">
        <f>EXP(-L302/Inputs!$B$6)</f>
        <v/>
      </c>
      <c r="N302">
        <f>N301*M302</f>
        <v/>
      </c>
      <c r="O302">
        <f>IFERROR(INDEX(MonthlyCurve!$L:$L,MATCH(A302,MonthlyCurve!$A:$A,0)),"")</f>
        <v/>
      </c>
      <c r="P302">
        <f>IF(B302&gt;0,-LN(O302)/B302,"")</f>
        <v/>
      </c>
      <c r="Q302">
        <f>G302*N302</f>
        <v/>
      </c>
      <c r="R302">
        <f>H302*N302</f>
        <v/>
      </c>
      <c r="S302">
        <f>Q302+R302</f>
        <v/>
      </c>
      <c r="T302">
        <f>Q302*O302</f>
        <v/>
      </c>
      <c r="U302">
        <f>R302*O302</f>
        <v/>
      </c>
      <c r="V302">
        <f>SUMPRODUCT(S303:S543,O303:O543)/(N302*O302)</f>
        <v/>
      </c>
    </row>
    <row r="303">
      <c r="A303" t="n">
        <v>300</v>
      </c>
      <c r="B303">
        <f>A303/Inputs!$B$6</f>
        <v/>
      </c>
      <c r="C303">
        <f>Inputs!$B$3+B303</f>
        <v/>
      </c>
      <c r="D303">
        <f>INT(C303)</f>
        <v/>
      </c>
      <c r="E303">
        <f>Inputs!$B$7+1+INT((A303-1)/Inputs!$B$6)</f>
        <v/>
      </c>
      <c r="F303">
        <f>IFERROR(INDEX(IndexScenario!$B$4:$B$544,MATCH(A303,IndexScenario!$A$4:$A$544,0)),"")</f>
        <v/>
      </c>
      <c r="G303">
        <f>G302*F303/F302</f>
        <v/>
      </c>
      <c r="H303">
        <f>H302*(1+Inputs!$B$17)^(1/12)</f>
        <v/>
      </c>
      <c r="I303">
        <f>IFERROR(INDEX(BaseQx!$B:$B,MATCH(D303,BaseQx!$A:$A,0)),"")</f>
        <v/>
      </c>
      <c r="J303">
        <f>IF(Inputs!$B$13="rp_mp",SUMIFS(MP2016_Long!$C:$C,MP2016_Long!$A:$A,D303,MP2016_Long!$B:$B,"&gt;=2014",MP2016_Long!$B:$B,"&lt;"&amp;E303),0)</f>
        <v/>
      </c>
      <c r="K303">
        <f>MIN(0.999999,MAX(0,I303*EXP(J303)))</f>
        <v/>
      </c>
      <c r="L303">
        <f>-LN(1-K303)</f>
        <v/>
      </c>
      <c r="M303">
        <f>EXP(-L303/Inputs!$B$6)</f>
        <v/>
      </c>
      <c r="N303">
        <f>N302*M303</f>
        <v/>
      </c>
      <c r="O303">
        <f>IFERROR(INDEX(MonthlyCurve!$L:$L,MATCH(A303,MonthlyCurve!$A:$A,0)),"")</f>
        <v/>
      </c>
      <c r="P303">
        <f>IF(B303&gt;0,-LN(O303)/B303,"")</f>
        <v/>
      </c>
      <c r="Q303">
        <f>G303*N303</f>
        <v/>
      </c>
      <c r="R303">
        <f>H303*N303</f>
        <v/>
      </c>
      <c r="S303">
        <f>Q303+R303</f>
        <v/>
      </c>
      <c r="T303">
        <f>Q303*O303</f>
        <v/>
      </c>
      <c r="U303">
        <f>R303*O303</f>
        <v/>
      </c>
      <c r="V303">
        <f>SUMPRODUCT(S304:S543,O304:O543)/(N303*O303)</f>
        <v/>
      </c>
    </row>
    <row r="304">
      <c r="A304" t="n">
        <v>301</v>
      </c>
      <c r="B304">
        <f>A304/Inputs!$B$6</f>
        <v/>
      </c>
      <c r="C304">
        <f>Inputs!$B$3+B304</f>
        <v/>
      </c>
      <c r="D304">
        <f>INT(C304)</f>
        <v/>
      </c>
      <c r="E304">
        <f>Inputs!$B$7+1+INT((A304-1)/Inputs!$B$6)</f>
        <v/>
      </c>
      <c r="F304">
        <f>IFERROR(INDEX(IndexScenario!$B$4:$B$544,MATCH(A304,IndexScenario!$A$4:$A$544,0)),"")</f>
        <v/>
      </c>
      <c r="G304">
        <f>G303*F304/F303</f>
        <v/>
      </c>
      <c r="H304">
        <f>H303*(1+Inputs!$B$17)^(1/12)</f>
        <v/>
      </c>
      <c r="I304">
        <f>IFERROR(INDEX(BaseQx!$B:$B,MATCH(D304,BaseQx!$A:$A,0)),"")</f>
        <v/>
      </c>
      <c r="J304">
        <f>IF(Inputs!$B$13="rp_mp",SUMIFS(MP2016_Long!$C:$C,MP2016_Long!$A:$A,D304,MP2016_Long!$B:$B,"&gt;=2014",MP2016_Long!$B:$B,"&lt;"&amp;E304),0)</f>
        <v/>
      </c>
      <c r="K304">
        <f>MIN(0.999999,MAX(0,I304*EXP(J304)))</f>
        <v/>
      </c>
      <c r="L304">
        <f>-LN(1-K304)</f>
        <v/>
      </c>
      <c r="M304">
        <f>EXP(-L304/Inputs!$B$6)</f>
        <v/>
      </c>
      <c r="N304">
        <f>N303*M304</f>
        <v/>
      </c>
      <c r="O304">
        <f>IFERROR(INDEX(MonthlyCurve!$L:$L,MATCH(A304,MonthlyCurve!$A:$A,0)),"")</f>
        <v/>
      </c>
      <c r="P304">
        <f>IF(B304&gt;0,-LN(O304)/B304,"")</f>
        <v/>
      </c>
      <c r="Q304">
        <f>G304*N304</f>
        <v/>
      </c>
      <c r="R304">
        <f>H304*N304</f>
        <v/>
      </c>
      <c r="S304">
        <f>Q304+R304</f>
        <v/>
      </c>
      <c r="T304">
        <f>Q304*O304</f>
        <v/>
      </c>
      <c r="U304">
        <f>R304*O304</f>
        <v/>
      </c>
      <c r="V304">
        <f>SUMPRODUCT(S305:S543,O305:O543)/(N304*O304)</f>
        <v/>
      </c>
    </row>
    <row r="305">
      <c r="A305" t="n">
        <v>302</v>
      </c>
      <c r="B305">
        <f>A305/Inputs!$B$6</f>
        <v/>
      </c>
      <c r="C305">
        <f>Inputs!$B$3+B305</f>
        <v/>
      </c>
      <c r="D305">
        <f>INT(C305)</f>
        <v/>
      </c>
      <c r="E305">
        <f>Inputs!$B$7+1+INT((A305-1)/Inputs!$B$6)</f>
        <v/>
      </c>
      <c r="F305">
        <f>IFERROR(INDEX(IndexScenario!$B$4:$B$544,MATCH(A305,IndexScenario!$A$4:$A$544,0)),"")</f>
        <v/>
      </c>
      <c r="G305">
        <f>G304*F305/F304</f>
        <v/>
      </c>
      <c r="H305">
        <f>H304*(1+Inputs!$B$17)^(1/12)</f>
        <v/>
      </c>
      <c r="I305">
        <f>IFERROR(INDEX(BaseQx!$B:$B,MATCH(D305,BaseQx!$A:$A,0)),"")</f>
        <v/>
      </c>
      <c r="J305">
        <f>IF(Inputs!$B$13="rp_mp",SUMIFS(MP2016_Long!$C:$C,MP2016_Long!$A:$A,D305,MP2016_Long!$B:$B,"&gt;=2014",MP2016_Long!$B:$B,"&lt;"&amp;E305),0)</f>
        <v/>
      </c>
      <c r="K305">
        <f>MIN(0.999999,MAX(0,I305*EXP(J305)))</f>
        <v/>
      </c>
      <c r="L305">
        <f>-LN(1-K305)</f>
        <v/>
      </c>
      <c r="M305">
        <f>EXP(-L305/Inputs!$B$6)</f>
        <v/>
      </c>
      <c r="N305">
        <f>N304*M305</f>
        <v/>
      </c>
      <c r="O305">
        <f>IFERROR(INDEX(MonthlyCurve!$L:$L,MATCH(A305,MonthlyCurve!$A:$A,0)),"")</f>
        <v/>
      </c>
      <c r="P305">
        <f>IF(B305&gt;0,-LN(O305)/B305,"")</f>
        <v/>
      </c>
      <c r="Q305">
        <f>G305*N305</f>
        <v/>
      </c>
      <c r="R305">
        <f>H305*N305</f>
        <v/>
      </c>
      <c r="S305">
        <f>Q305+R305</f>
        <v/>
      </c>
      <c r="T305">
        <f>Q305*O305</f>
        <v/>
      </c>
      <c r="U305">
        <f>R305*O305</f>
        <v/>
      </c>
      <c r="V305">
        <f>SUMPRODUCT(S306:S543,O306:O543)/(N305*O305)</f>
        <v/>
      </c>
    </row>
    <row r="306">
      <c r="A306" t="n">
        <v>303</v>
      </c>
      <c r="B306">
        <f>A306/Inputs!$B$6</f>
        <v/>
      </c>
      <c r="C306">
        <f>Inputs!$B$3+B306</f>
        <v/>
      </c>
      <c r="D306">
        <f>INT(C306)</f>
        <v/>
      </c>
      <c r="E306">
        <f>Inputs!$B$7+1+INT((A306-1)/Inputs!$B$6)</f>
        <v/>
      </c>
      <c r="F306">
        <f>IFERROR(INDEX(IndexScenario!$B$4:$B$544,MATCH(A306,IndexScenario!$A$4:$A$544,0)),"")</f>
        <v/>
      </c>
      <c r="G306">
        <f>G305*F306/F305</f>
        <v/>
      </c>
      <c r="H306">
        <f>H305*(1+Inputs!$B$17)^(1/12)</f>
        <v/>
      </c>
      <c r="I306">
        <f>IFERROR(INDEX(BaseQx!$B:$B,MATCH(D306,BaseQx!$A:$A,0)),"")</f>
        <v/>
      </c>
      <c r="J306">
        <f>IF(Inputs!$B$13="rp_mp",SUMIFS(MP2016_Long!$C:$C,MP2016_Long!$A:$A,D306,MP2016_Long!$B:$B,"&gt;=2014",MP2016_Long!$B:$B,"&lt;"&amp;E306),0)</f>
        <v/>
      </c>
      <c r="K306">
        <f>MIN(0.999999,MAX(0,I306*EXP(J306)))</f>
        <v/>
      </c>
      <c r="L306">
        <f>-LN(1-K306)</f>
        <v/>
      </c>
      <c r="M306">
        <f>EXP(-L306/Inputs!$B$6)</f>
        <v/>
      </c>
      <c r="N306">
        <f>N305*M306</f>
        <v/>
      </c>
      <c r="O306">
        <f>IFERROR(INDEX(MonthlyCurve!$L:$L,MATCH(A306,MonthlyCurve!$A:$A,0)),"")</f>
        <v/>
      </c>
      <c r="P306">
        <f>IF(B306&gt;0,-LN(O306)/B306,"")</f>
        <v/>
      </c>
      <c r="Q306">
        <f>G306*N306</f>
        <v/>
      </c>
      <c r="R306">
        <f>H306*N306</f>
        <v/>
      </c>
      <c r="S306">
        <f>Q306+R306</f>
        <v/>
      </c>
      <c r="T306">
        <f>Q306*O306</f>
        <v/>
      </c>
      <c r="U306">
        <f>R306*O306</f>
        <v/>
      </c>
      <c r="V306">
        <f>SUMPRODUCT(S307:S543,O307:O543)/(N306*O306)</f>
        <v/>
      </c>
    </row>
    <row r="307">
      <c r="A307" t="n">
        <v>304</v>
      </c>
      <c r="B307">
        <f>A307/Inputs!$B$6</f>
        <v/>
      </c>
      <c r="C307">
        <f>Inputs!$B$3+B307</f>
        <v/>
      </c>
      <c r="D307">
        <f>INT(C307)</f>
        <v/>
      </c>
      <c r="E307">
        <f>Inputs!$B$7+1+INT((A307-1)/Inputs!$B$6)</f>
        <v/>
      </c>
      <c r="F307">
        <f>IFERROR(INDEX(IndexScenario!$B$4:$B$544,MATCH(A307,IndexScenario!$A$4:$A$544,0)),"")</f>
        <v/>
      </c>
      <c r="G307">
        <f>G306*F307/F306</f>
        <v/>
      </c>
      <c r="H307">
        <f>H306*(1+Inputs!$B$17)^(1/12)</f>
        <v/>
      </c>
      <c r="I307">
        <f>IFERROR(INDEX(BaseQx!$B:$B,MATCH(D307,BaseQx!$A:$A,0)),"")</f>
        <v/>
      </c>
      <c r="J307">
        <f>IF(Inputs!$B$13="rp_mp",SUMIFS(MP2016_Long!$C:$C,MP2016_Long!$A:$A,D307,MP2016_Long!$B:$B,"&gt;=2014",MP2016_Long!$B:$B,"&lt;"&amp;E307),0)</f>
        <v/>
      </c>
      <c r="K307">
        <f>MIN(0.999999,MAX(0,I307*EXP(J307)))</f>
        <v/>
      </c>
      <c r="L307">
        <f>-LN(1-K307)</f>
        <v/>
      </c>
      <c r="M307">
        <f>EXP(-L307/Inputs!$B$6)</f>
        <v/>
      </c>
      <c r="N307">
        <f>N306*M307</f>
        <v/>
      </c>
      <c r="O307">
        <f>IFERROR(INDEX(MonthlyCurve!$L:$L,MATCH(A307,MonthlyCurve!$A:$A,0)),"")</f>
        <v/>
      </c>
      <c r="P307">
        <f>IF(B307&gt;0,-LN(O307)/B307,"")</f>
        <v/>
      </c>
      <c r="Q307">
        <f>G307*N307</f>
        <v/>
      </c>
      <c r="R307">
        <f>H307*N307</f>
        <v/>
      </c>
      <c r="S307">
        <f>Q307+R307</f>
        <v/>
      </c>
      <c r="T307">
        <f>Q307*O307</f>
        <v/>
      </c>
      <c r="U307">
        <f>R307*O307</f>
        <v/>
      </c>
      <c r="V307">
        <f>SUMPRODUCT(S308:S543,O308:O543)/(N307*O307)</f>
        <v/>
      </c>
    </row>
    <row r="308">
      <c r="A308" t="n">
        <v>305</v>
      </c>
      <c r="B308">
        <f>A308/Inputs!$B$6</f>
        <v/>
      </c>
      <c r="C308">
        <f>Inputs!$B$3+B308</f>
        <v/>
      </c>
      <c r="D308">
        <f>INT(C308)</f>
        <v/>
      </c>
      <c r="E308">
        <f>Inputs!$B$7+1+INT((A308-1)/Inputs!$B$6)</f>
        <v/>
      </c>
      <c r="F308">
        <f>IFERROR(INDEX(IndexScenario!$B$4:$B$544,MATCH(A308,IndexScenario!$A$4:$A$544,0)),"")</f>
        <v/>
      </c>
      <c r="G308">
        <f>G307*F308/F307</f>
        <v/>
      </c>
      <c r="H308">
        <f>H307*(1+Inputs!$B$17)^(1/12)</f>
        <v/>
      </c>
      <c r="I308">
        <f>IFERROR(INDEX(BaseQx!$B:$B,MATCH(D308,BaseQx!$A:$A,0)),"")</f>
        <v/>
      </c>
      <c r="J308">
        <f>IF(Inputs!$B$13="rp_mp",SUMIFS(MP2016_Long!$C:$C,MP2016_Long!$A:$A,D308,MP2016_Long!$B:$B,"&gt;=2014",MP2016_Long!$B:$B,"&lt;"&amp;E308),0)</f>
        <v/>
      </c>
      <c r="K308">
        <f>MIN(0.999999,MAX(0,I308*EXP(J308)))</f>
        <v/>
      </c>
      <c r="L308">
        <f>-LN(1-K308)</f>
        <v/>
      </c>
      <c r="M308">
        <f>EXP(-L308/Inputs!$B$6)</f>
        <v/>
      </c>
      <c r="N308">
        <f>N307*M308</f>
        <v/>
      </c>
      <c r="O308">
        <f>IFERROR(INDEX(MonthlyCurve!$L:$L,MATCH(A308,MonthlyCurve!$A:$A,0)),"")</f>
        <v/>
      </c>
      <c r="P308">
        <f>IF(B308&gt;0,-LN(O308)/B308,"")</f>
        <v/>
      </c>
      <c r="Q308">
        <f>G308*N308</f>
        <v/>
      </c>
      <c r="R308">
        <f>H308*N308</f>
        <v/>
      </c>
      <c r="S308">
        <f>Q308+R308</f>
        <v/>
      </c>
      <c r="T308">
        <f>Q308*O308</f>
        <v/>
      </c>
      <c r="U308">
        <f>R308*O308</f>
        <v/>
      </c>
      <c r="V308">
        <f>SUMPRODUCT(S309:S543,O309:O543)/(N308*O308)</f>
        <v/>
      </c>
    </row>
    <row r="309">
      <c r="A309" t="n">
        <v>306</v>
      </c>
      <c r="B309">
        <f>A309/Inputs!$B$6</f>
        <v/>
      </c>
      <c r="C309">
        <f>Inputs!$B$3+B309</f>
        <v/>
      </c>
      <c r="D309">
        <f>INT(C309)</f>
        <v/>
      </c>
      <c r="E309">
        <f>Inputs!$B$7+1+INT((A309-1)/Inputs!$B$6)</f>
        <v/>
      </c>
      <c r="F309">
        <f>IFERROR(INDEX(IndexScenario!$B$4:$B$544,MATCH(A309,IndexScenario!$A$4:$A$544,0)),"")</f>
        <v/>
      </c>
      <c r="G309">
        <f>G308*F309/F308</f>
        <v/>
      </c>
      <c r="H309">
        <f>H308*(1+Inputs!$B$17)^(1/12)</f>
        <v/>
      </c>
      <c r="I309">
        <f>IFERROR(INDEX(BaseQx!$B:$B,MATCH(D309,BaseQx!$A:$A,0)),"")</f>
        <v/>
      </c>
      <c r="J309">
        <f>IF(Inputs!$B$13="rp_mp",SUMIFS(MP2016_Long!$C:$C,MP2016_Long!$A:$A,D309,MP2016_Long!$B:$B,"&gt;=2014",MP2016_Long!$B:$B,"&lt;"&amp;E309),0)</f>
        <v/>
      </c>
      <c r="K309">
        <f>MIN(0.999999,MAX(0,I309*EXP(J309)))</f>
        <v/>
      </c>
      <c r="L309">
        <f>-LN(1-K309)</f>
        <v/>
      </c>
      <c r="M309">
        <f>EXP(-L309/Inputs!$B$6)</f>
        <v/>
      </c>
      <c r="N309">
        <f>N308*M309</f>
        <v/>
      </c>
      <c r="O309">
        <f>IFERROR(INDEX(MonthlyCurve!$L:$L,MATCH(A309,MonthlyCurve!$A:$A,0)),"")</f>
        <v/>
      </c>
      <c r="P309">
        <f>IF(B309&gt;0,-LN(O309)/B309,"")</f>
        <v/>
      </c>
      <c r="Q309">
        <f>G309*N309</f>
        <v/>
      </c>
      <c r="R309">
        <f>H309*N309</f>
        <v/>
      </c>
      <c r="S309">
        <f>Q309+R309</f>
        <v/>
      </c>
      <c r="T309">
        <f>Q309*O309</f>
        <v/>
      </c>
      <c r="U309">
        <f>R309*O309</f>
        <v/>
      </c>
      <c r="V309">
        <f>SUMPRODUCT(S310:S543,O310:O543)/(N309*O309)</f>
        <v/>
      </c>
    </row>
    <row r="310">
      <c r="A310" t="n">
        <v>307</v>
      </c>
      <c r="B310">
        <f>A310/Inputs!$B$6</f>
        <v/>
      </c>
      <c r="C310">
        <f>Inputs!$B$3+B310</f>
        <v/>
      </c>
      <c r="D310">
        <f>INT(C310)</f>
        <v/>
      </c>
      <c r="E310">
        <f>Inputs!$B$7+1+INT((A310-1)/Inputs!$B$6)</f>
        <v/>
      </c>
      <c r="F310">
        <f>IFERROR(INDEX(IndexScenario!$B$4:$B$544,MATCH(A310,IndexScenario!$A$4:$A$544,0)),"")</f>
        <v/>
      </c>
      <c r="G310">
        <f>G309*F310/F309</f>
        <v/>
      </c>
      <c r="H310">
        <f>H309*(1+Inputs!$B$17)^(1/12)</f>
        <v/>
      </c>
      <c r="I310">
        <f>IFERROR(INDEX(BaseQx!$B:$B,MATCH(D310,BaseQx!$A:$A,0)),"")</f>
        <v/>
      </c>
      <c r="J310">
        <f>IF(Inputs!$B$13="rp_mp",SUMIFS(MP2016_Long!$C:$C,MP2016_Long!$A:$A,D310,MP2016_Long!$B:$B,"&gt;=2014",MP2016_Long!$B:$B,"&lt;"&amp;E310),0)</f>
        <v/>
      </c>
      <c r="K310">
        <f>MIN(0.999999,MAX(0,I310*EXP(J310)))</f>
        <v/>
      </c>
      <c r="L310">
        <f>-LN(1-K310)</f>
        <v/>
      </c>
      <c r="M310">
        <f>EXP(-L310/Inputs!$B$6)</f>
        <v/>
      </c>
      <c r="N310">
        <f>N309*M310</f>
        <v/>
      </c>
      <c r="O310">
        <f>IFERROR(INDEX(MonthlyCurve!$L:$L,MATCH(A310,MonthlyCurve!$A:$A,0)),"")</f>
        <v/>
      </c>
      <c r="P310">
        <f>IF(B310&gt;0,-LN(O310)/B310,"")</f>
        <v/>
      </c>
      <c r="Q310">
        <f>G310*N310</f>
        <v/>
      </c>
      <c r="R310">
        <f>H310*N310</f>
        <v/>
      </c>
      <c r="S310">
        <f>Q310+R310</f>
        <v/>
      </c>
      <c r="T310">
        <f>Q310*O310</f>
        <v/>
      </c>
      <c r="U310">
        <f>R310*O310</f>
        <v/>
      </c>
      <c r="V310">
        <f>SUMPRODUCT(S311:S543,O311:O543)/(N310*O310)</f>
        <v/>
      </c>
    </row>
    <row r="311">
      <c r="A311" t="n">
        <v>308</v>
      </c>
      <c r="B311">
        <f>A311/Inputs!$B$6</f>
        <v/>
      </c>
      <c r="C311">
        <f>Inputs!$B$3+B311</f>
        <v/>
      </c>
      <c r="D311">
        <f>INT(C311)</f>
        <v/>
      </c>
      <c r="E311">
        <f>Inputs!$B$7+1+INT((A311-1)/Inputs!$B$6)</f>
        <v/>
      </c>
      <c r="F311">
        <f>IFERROR(INDEX(IndexScenario!$B$4:$B$544,MATCH(A311,IndexScenario!$A$4:$A$544,0)),"")</f>
        <v/>
      </c>
      <c r="G311">
        <f>G310*F311/F310</f>
        <v/>
      </c>
      <c r="H311">
        <f>H310*(1+Inputs!$B$17)^(1/12)</f>
        <v/>
      </c>
      <c r="I311">
        <f>IFERROR(INDEX(BaseQx!$B:$B,MATCH(D311,BaseQx!$A:$A,0)),"")</f>
        <v/>
      </c>
      <c r="J311">
        <f>IF(Inputs!$B$13="rp_mp",SUMIFS(MP2016_Long!$C:$C,MP2016_Long!$A:$A,D311,MP2016_Long!$B:$B,"&gt;=2014",MP2016_Long!$B:$B,"&lt;"&amp;E311),0)</f>
        <v/>
      </c>
      <c r="K311">
        <f>MIN(0.999999,MAX(0,I311*EXP(J311)))</f>
        <v/>
      </c>
      <c r="L311">
        <f>-LN(1-K311)</f>
        <v/>
      </c>
      <c r="M311">
        <f>EXP(-L311/Inputs!$B$6)</f>
        <v/>
      </c>
      <c r="N311">
        <f>N310*M311</f>
        <v/>
      </c>
      <c r="O311">
        <f>IFERROR(INDEX(MonthlyCurve!$L:$L,MATCH(A311,MonthlyCurve!$A:$A,0)),"")</f>
        <v/>
      </c>
      <c r="P311">
        <f>IF(B311&gt;0,-LN(O311)/B311,"")</f>
        <v/>
      </c>
      <c r="Q311">
        <f>G311*N311</f>
        <v/>
      </c>
      <c r="R311">
        <f>H311*N311</f>
        <v/>
      </c>
      <c r="S311">
        <f>Q311+R311</f>
        <v/>
      </c>
      <c r="T311">
        <f>Q311*O311</f>
        <v/>
      </c>
      <c r="U311">
        <f>R311*O311</f>
        <v/>
      </c>
      <c r="V311">
        <f>SUMPRODUCT(S312:S543,O312:O543)/(N311*O311)</f>
        <v/>
      </c>
    </row>
    <row r="312">
      <c r="A312" t="n">
        <v>309</v>
      </c>
      <c r="B312">
        <f>A312/Inputs!$B$6</f>
        <v/>
      </c>
      <c r="C312">
        <f>Inputs!$B$3+B312</f>
        <v/>
      </c>
      <c r="D312">
        <f>INT(C312)</f>
        <v/>
      </c>
      <c r="E312">
        <f>Inputs!$B$7+1+INT((A312-1)/Inputs!$B$6)</f>
        <v/>
      </c>
      <c r="F312">
        <f>IFERROR(INDEX(IndexScenario!$B$4:$B$544,MATCH(A312,IndexScenario!$A$4:$A$544,0)),"")</f>
        <v/>
      </c>
      <c r="G312">
        <f>G311*F312/F311</f>
        <v/>
      </c>
      <c r="H312">
        <f>H311*(1+Inputs!$B$17)^(1/12)</f>
        <v/>
      </c>
      <c r="I312">
        <f>IFERROR(INDEX(BaseQx!$B:$B,MATCH(D312,BaseQx!$A:$A,0)),"")</f>
        <v/>
      </c>
      <c r="J312">
        <f>IF(Inputs!$B$13="rp_mp",SUMIFS(MP2016_Long!$C:$C,MP2016_Long!$A:$A,D312,MP2016_Long!$B:$B,"&gt;=2014",MP2016_Long!$B:$B,"&lt;"&amp;E312),0)</f>
        <v/>
      </c>
      <c r="K312">
        <f>MIN(0.999999,MAX(0,I312*EXP(J312)))</f>
        <v/>
      </c>
      <c r="L312">
        <f>-LN(1-K312)</f>
        <v/>
      </c>
      <c r="M312">
        <f>EXP(-L312/Inputs!$B$6)</f>
        <v/>
      </c>
      <c r="N312">
        <f>N311*M312</f>
        <v/>
      </c>
      <c r="O312">
        <f>IFERROR(INDEX(MonthlyCurve!$L:$L,MATCH(A312,MonthlyCurve!$A:$A,0)),"")</f>
        <v/>
      </c>
      <c r="P312">
        <f>IF(B312&gt;0,-LN(O312)/B312,"")</f>
        <v/>
      </c>
      <c r="Q312">
        <f>G312*N312</f>
        <v/>
      </c>
      <c r="R312">
        <f>H312*N312</f>
        <v/>
      </c>
      <c r="S312">
        <f>Q312+R312</f>
        <v/>
      </c>
      <c r="T312">
        <f>Q312*O312</f>
        <v/>
      </c>
      <c r="U312">
        <f>R312*O312</f>
        <v/>
      </c>
      <c r="V312">
        <f>SUMPRODUCT(S313:S543,O313:O543)/(N312*O312)</f>
        <v/>
      </c>
    </row>
    <row r="313">
      <c r="A313" t="n">
        <v>310</v>
      </c>
      <c r="B313">
        <f>A313/Inputs!$B$6</f>
        <v/>
      </c>
      <c r="C313">
        <f>Inputs!$B$3+B313</f>
        <v/>
      </c>
      <c r="D313">
        <f>INT(C313)</f>
        <v/>
      </c>
      <c r="E313">
        <f>Inputs!$B$7+1+INT((A313-1)/Inputs!$B$6)</f>
        <v/>
      </c>
      <c r="F313">
        <f>IFERROR(INDEX(IndexScenario!$B$4:$B$544,MATCH(A313,IndexScenario!$A$4:$A$544,0)),"")</f>
        <v/>
      </c>
      <c r="G313">
        <f>G312*F313/F312</f>
        <v/>
      </c>
      <c r="H313">
        <f>H312*(1+Inputs!$B$17)^(1/12)</f>
        <v/>
      </c>
      <c r="I313">
        <f>IFERROR(INDEX(BaseQx!$B:$B,MATCH(D313,BaseQx!$A:$A,0)),"")</f>
        <v/>
      </c>
      <c r="J313">
        <f>IF(Inputs!$B$13="rp_mp",SUMIFS(MP2016_Long!$C:$C,MP2016_Long!$A:$A,D313,MP2016_Long!$B:$B,"&gt;=2014",MP2016_Long!$B:$B,"&lt;"&amp;E313),0)</f>
        <v/>
      </c>
      <c r="K313">
        <f>MIN(0.999999,MAX(0,I313*EXP(J313)))</f>
        <v/>
      </c>
      <c r="L313">
        <f>-LN(1-K313)</f>
        <v/>
      </c>
      <c r="M313">
        <f>EXP(-L313/Inputs!$B$6)</f>
        <v/>
      </c>
      <c r="N313">
        <f>N312*M313</f>
        <v/>
      </c>
      <c r="O313">
        <f>IFERROR(INDEX(MonthlyCurve!$L:$L,MATCH(A313,MonthlyCurve!$A:$A,0)),"")</f>
        <v/>
      </c>
      <c r="P313">
        <f>IF(B313&gt;0,-LN(O313)/B313,"")</f>
        <v/>
      </c>
      <c r="Q313">
        <f>G313*N313</f>
        <v/>
      </c>
      <c r="R313">
        <f>H313*N313</f>
        <v/>
      </c>
      <c r="S313">
        <f>Q313+R313</f>
        <v/>
      </c>
      <c r="T313">
        <f>Q313*O313</f>
        <v/>
      </c>
      <c r="U313">
        <f>R313*O313</f>
        <v/>
      </c>
      <c r="V313">
        <f>SUMPRODUCT(S314:S543,O314:O543)/(N313*O313)</f>
        <v/>
      </c>
    </row>
    <row r="314">
      <c r="A314" t="n">
        <v>311</v>
      </c>
      <c r="B314">
        <f>A314/Inputs!$B$6</f>
        <v/>
      </c>
      <c r="C314">
        <f>Inputs!$B$3+B314</f>
        <v/>
      </c>
      <c r="D314">
        <f>INT(C314)</f>
        <v/>
      </c>
      <c r="E314">
        <f>Inputs!$B$7+1+INT((A314-1)/Inputs!$B$6)</f>
        <v/>
      </c>
      <c r="F314">
        <f>IFERROR(INDEX(IndexScenario!$B$4:$B$544,MATCH(A314,IndexScenario!$A$4:$A$544,0)),"")</f>
        <v/>
      </c>
      <c r="G314">
        <f>G313*F314/F313</f>
        <v/>
      </c>
      <c r="H314">
        <f>H313*(1+Inputs!$B$17)^(1/12)</f>
        <v/>
      </c>
      <c r="I314">
        <f>IFERROR(INDEX(BaseQx!$B:$B,MATCH(D314,BaseQx!$A:$A,0)),"")</f>
        <v/>
      </c>
      <c r="J314">
        <f>IF(Inputs!$B$13="rp_mp",SUMIFS(MP2016_Long!$C:$C,MP2016_Long!$A:$A,D314,MP2016_Long!$B:$B,"&gt;=2014",MP2016_Long!$B:$B,"&lt;"&amp;E314),0)</f>
        <v/>
      </c>
      <c r="K314">
        <f>MIN(0.999999,MAX(0,I314*EXP(J314)))</f>
        <v/>
      </c>
      <c r="L314">
        <f>-LN(1-K314)</f>
        <v/>
      </c>
      <c r="M314">
        <f>EXP(-L314/Inputs!$B$6)</f>
        <v/>
      </c>
      <c r="N314">
        <f>N313*M314</f>
        <v/>
      </c>
      <c r="O314">
        <f>IFERROR(INDEX(MonthlyCurve!$L:$L,MATCH(A314,MonthlyCurve!$A:$A,0)),"")</f>
        <v/>
      </c>
      <c r="P314">
        <f>IF(B314&gt;0,-LN(O314)/B314,"")</f>
        <v/>
      </c>
      <c r="Q314">
        <f>G314*N314</f>
        <v/>
      </c>
      <c r="R314">
        <f>H314*N314</f>
        <v/>
      </c>
      <c r="S314">
        <f>Q314+R314</f>
        <v/>
      </c>
      <c r="T314">
        <f>Q314*O314</f>
        <v/>
      </c>
      <c r="U314">
        <f>R314*O314</f>
        <v/>
      </c>
      <c r="V314">
        <f>SUMPRODUCT(S315:S543,O315:O543)/(N314*O314)</f>
        <v/>
      </c>
    </row>
    <row r="315">
      <c r="A315" t="n">
        <v>312</v>
      </c>
      <c r="B315">
        <f>A315/Inputs!$B$6</f>
        <v/>
      </c>
      <c r="C315">
        <f>Inputs!$B$3+B315</f>
        <v/>
      </c>
      <c r="D315">
        <f>INT(C315)</f>
        <v/>
      </c>
      <c r="E315">
        <f>Inputs!$B$7+1+INT((A315-1)/Inputs!$B$6)</f>
        <v/>
      </c>
      <c r="F315">
        <f>IFERROR(INDEX(IndexScenario!$B$4:$B$544,MATCH(A315,IndexScenario!$A$4:$A$544,0)),"")</f>
        <v/>
      </c>
      <c r="G315">
        <f>G314*F315/F314</f>
        <v/>
      </c>
      <c r="H315">
        <f>H314*(1+Inputs!$B$17)^(1/12)</f>
        <v/>
      </c>
      <c r="I315">
        <f>IFERROR(INDEX(BaseQx!$B:$B,MATCH(D315,BaseQx!$A:$A,0)),"")</f>
        <v/>
      </c>
      <c r="J315">
        <f>IF(Inputs!$B$13="rp_mp",SUMIFS(MP2016_Long!$C:$C,MP2016_Long!$A:$A,D315,MP2016_Long!$B:$B,"&gt;=2014",MP2016_Long!$B:$B,"&lt;"&amp;E315),0)</f>
        <v/>
      </c>
      <c r="K315">
        <f>MIN(0.999999,MAX(0,I315*EXP(J315)))</f>
        <v/>
      </c>
      <c r="L315">
        <f>-LN(1-K315)</f>
        <v/>
      </c>
      <c r="M315">
        <f>EXP(-L315/Inputs!$B$6)</f>
        <v/>
      </c>
      <c r="N315">
        <f>N314*M315</f>
        <v/>
      </c>
      <c r="O315">
        <f>IFERROR(INDEX(MonthlyCurve!$L:$L,MATCH(A315,MonthlyCurve!$A:$A,0)),"")</f>
        <v/>
      </c>
      <c r="P315">
        <f>IF(B315&gt;0,-LN(O315)/B315,"")</f>
        <v/>
      </c>
      <c r="Q315">
        <f>G315*N315</f>
        <v/>
      </c>
      <c r="R315">
        <f>H315*N315</f>
        <v/>
      </c>
      <c r="S315">
        <f>Q315+R315</f>
        <v/>
      </c>
      <c r="T315">
        <f>Q315*O315</f>
        <v/>
      </c>
      <c r="U315">
        <f>R315*O315</f>
        <v/>
      </c>
      <c r="V315">
        <f>SUMPRODUCT(S316:S543,O316:O543)/(N315*O315)</f>
        <v/>
      </c>
    </row>
    <row r="316">
      <c r="A316" t="n">
        <v>313</v>
      </c>
      <c r="B316">
        <f>A316/Inputs!$B$6</f>
        <v/>
      </c>
      <c r="C316">
        <f>Inputs!$B$3+B316</f>
        <v/>
      </c>
      <c r="D316">
        <f>INT(C316)</f>
        <v/>
      </c>
      <c r="E316">
        <f>Inputs!$B$7+1+INT((A316-1)/Inputs!$B$6)</f>
        <v/>
      </c>
      <c r="F316">
        <f>IFERROR(INDEX(IndexScenario!$B$4:$B$544,MATCH(A316,IndexScenario!$A$4:$A$544,0)),"")</f>
        <v/>
      </c>
      <c r="G316">
        <f>G315*F316/F315</f>
        <v/>
      </c>
      <c r="H316">
        <f>H315*(1+Inputs!$B$17)^(1/12)</f>
        <v/>
      </c>
      <c r="I316">
        <f>IFERROR(INDEX(BaseQx!$B:$B,MATCH(D316,BaseQx!$A:$A,0)),"")</f>
        <v/>
      </c>
      <c r="J316">
        <f>IF(Inputs!$B$13="rp_mp",SUMIFS(MP2016_Long!$C:$C,MP2016_Long!$A:$A,D316,MP2016_Long!$B:$B,"&gt;=2014",MP2016_Long!$B:$B,"&lt;"&amp;E316),0)</f>
        <v/>
      </c>
      <c r="K316">
        <f>MIN(0.999999,MAX(0,I316*EXP(J316)))</f>
        <v/>
      </c>
      <c r="L316">
        <f>-LN(1-K316)</f>
        <v/>
      </c>
      <c r="M316">
        <f>EXP(-L316/Inputs!$B$6)</f>
        <v/>
      </c>
      <c r="N316">
        <f>N315*M316</f>
        <v/>
      </c>
      <c r="O316">
        <f>IFERROR(INDEX(MonthlyCurve!$L:$L,MATCH(A316,MonthlyCurve!$A:$A,0)),"")</f>
        <v/>
      </c>
      <c r="P316">
        <f>IF(B316&gt;0,-LN(O316)/B316,"")</f>
        <v/>
      </c>
      <c r="Q316">
        <f>G316*N316</f>
        <v/>
      </c>
      <c r="R316">
        <f>H316*N316</f>
        <v/>
      </c>
      <c r="S316">
        <f>Q316+R316</f>
        <v/>
      </c>
      <c r="T316">
        <f>Q316*O316</f>
        <v/>
      </c>
      <c r="U316">
        <f>R316*O316</f>
        <v/>
      </c>
      <c r="V316">
        <f>SUMPRODUCT(S317:S543,O317:O543)/(N316*O316)</f>
        <v/>
      </c>
    </row>
    <row r="317">
      <c r="A317" t="n">
        <v>314</v>
      </c>
      <c r="B317">
        <f>A317/Inputs!$B$6</f>
        <v/>
      </c>
      <c r="C317">
        <f>Inputs!$B$3+B317</f>
        <v/>
      </c>
      <c r="D317">
        <f>INT(C317)</f>
        <v/>
      </c>
      <c r="E317">
        <f>Inputs!$B$7+1+INT((A317-1)/Inputs!$B$6)</f>
        <v/>
      </c>
      <c r="F317">
        <f>IFERROR(INDEX(IndexScenario!$B$4:$B$544,MATCH(A317,IndexScenario!$A$4:$A$544,0)),"")</f>
        <v/>
      </c>
      <c r="G317">
        <f>G316*F317/F316</f>
        <v/>
      </c>
      <c r="H317">
        <f>H316*(1+Inputs!$B$17)^(1/12)</f>
        <v/>
      </c>
      <c r="I317">
        <f>IFERROR(INDEX(BaseQx!$B:$B,MATCH(D317,BaseQx!$A:$A,0)),"")</f>
        <v/>
      </c>
      <c r="J317">
        <f>IF(Inputs!$B$13="rp_mp",SUMIFS(MP2016_Long!$C:$C,MP2016_Long!$A:$A,D317,MP2016_Long!$B:$B,"&gt;=2014",MP2016_Long!$B:$B,"&lt;"&amp;E317),0)</f>
        <v/>
      </c>
      <c r="K317">
        <f>MIN(0.999999,MAX(0,I317*EXP(J317)))</f>
        <v/>
      </c>
      <c r="L317">
        <f>-LN(1-K317)</f>
        <v/>
      </c>
      <c r="M317">
        <f>EXP(-L317/Inputs!$B$6)</f>
        <v/>
      </c>
      <c r="N317">
        <f>N316*M317</f>
        <v/>
      </c>
      <c r="O317">
        <f>IFERROR(INDEX(MonthlyCurve!$L:$L,MATCH(A317,MonthlyCurve!$A:$A,0)),"")</f>
        <v/>
      </c>
      <c r="P317">
        <f>IF(B317&gt;0,-LN(O317)/B317,"")</f>
        <v/>
      </c>
      <c r="Q317">
        <f>G317*N317</f>
        <v/>
      </c>
      <c r="R317">
        <f>H317*N317</f>
        <v/>
      </c>
      <c r="S317">
        <f>Q317+R317</f>
        <v/>
      </c>
      <c r="T317">
        <f>Q317*O317</f>
        <v/>
      </c>
      <c r="U317">
        <f>R317*O317</f>
        <v/>
      </c>
      <c r="V317">
        <f>SUMPRODUCT(S318:S543,O318:O543)/(N317*O317)</f>
        <v/>
      </c>
    </row>
    <row r="318">
      <c r="A318" t="n">
        <v>315</v>
      </c>
      <c r="B318">
        <f>A318/Inputs!$B$6</f>
        <v/>
      </c>
      <c r="C318">
        <f>Inputs!$B$3+B318</f>
        <v/>
      </c>
      <c r="D318">
        <f>INT(C318)</f>
        <v/>
      </c>
      <c r="E318">
        <f>Inputs!$B$7+1+INT((A318-1)/Inputs!$B$6)</f>
        <v/>
      </c>
      <c r="F318">
        <f>IFERROR(INDEX(IndexScenario!$B$4:$B$544,MATCH(A318,IndexScenario!$A$4:$A$544,0)),"")</f>
        <v/>
      </c>
      <c r="G318">
        <f>G317*F318/F317</f>
        <v/>
      </c>
      <c r="H318">
        <f>H317*(1+Inputs!$B$17)^(1/12)</f>
        <v/>
      </c>
      <c r="I318">
        <f>IFERROR(INDEX(BaseQx!$B:$B,MATCH(D318,BaseQx!$A:$A,0)),"")</f>
        <v/>
      </c>
      <c r="J318">
        <f>IF(Inputs!$B$13="rp_mp",SUMIFS(MP2016_Long!$C:$C,MP2016_Long!$A:$A,D318,MP2016_Long!$B:$B,"&gt;=2014",MP2016_Long!$B:$B,"&lt;"&amp;E318),0)</f>
        <v/>
      </c>
      <c r="K318">
        <f>MIN(0.999999,MAX(0,I318*EXP(J318)))</f>
        <v/>
      </c>
      <c r="L318">
        <f>-LN(1-K318)</f>
        <v/>
      </c>
      <c r="M318">
        <f>EXP(-L318/Inputs!$B$6)</f>
        <v/>
      </c>
      <c r="N318">
        <f>N317*M318</f>
        <v/>
      </c>
      <c r="O318">
        <f>IFERROR(INDEX(MonthlyCurve!$L:$L,MATCH(A318,MonthlyCurve!$A:$A,0)),"")</f>
        <v/>
      </c>
      <c r="P318">
        <f>IF(B318&gt;0,-LN(O318)/B318,"")</f>
        <v/>
      </c>
      <c r="Q318">
        <f>G318*N318</f>
        <v/>
      </c>
      <c r="R318">
        <f>H318*N318</f>
        <v/>
      </c>
      <c r="S318">
        <f>Q318+R318</f>
        <v/>
      </c>
      <c r="T318">
        <f>Q318*O318</f>
        <v/>
      </c>
      <c r="U318">
        <f>R318*O318</f>
        <v/>
      </c>
      <c r="V318">
        <f>SUMPRODUCT(S319:S543,O319:O543)/(N318*O318)</f>
        <v/>
      </c>
    </row>
    <row r="319">
      <c r="A319" t="n">
        <v>316</v>
      </c>
      <c r="B319">
        <f>A319/Inputs!$B$6</f>
        <v/>
      </c>
      <c r="C319">
        <f>Inputs!$B$3+B319</f>
        <v/>
      </c>
      <c r="D319">
        <f>INT(C319)</f>
        <v/>
      </c>
      <c r="E319">
        <f>Inputs!$B$7+1+INT((A319-1)/Inputs!$B$6)</f>
        <v/>
      </c>
      <c r="F319">
        <f>IFERROR(INDEX(IndexScenario!$B$4:$B$544,MATCH(A319,IndexScenario!$A$4:$A$544,0)),"")</f>
        <v/>
      </c>
      <c r="G319">
        <f>G318*F319/F318</f>
        <v/>
      </c>
      <c r="H319">
        <f>H318*(1+Inputs!$B$17)^(1/12)</f>
        <v/>
      </c>
      <c r="I319">
        <f>IFERROR(INDEX(BaseQx!$B:$B,MATCH(D319,BaseQx!$A:$A,0)),"")</f>
        <v/>
      </c>
      <c r="J319">
        <f>IF(Inputs!$B$13="rp_mp",SUMIFS(MP2016_Long!$C:$C,MP2016_Long!$A:$A,D319,MP2016_Long!$B:$B,"&gt;=2014",MP2016_Long!$B:$B,"&lt;"&amp;E319),0)</f>
        <v/>
      </c>
      <c r="K319">
        <f>MIN(0.999999,MAX(0,I319*EXP(J319)))</f>
        <v/>
      </c>
      <c r="L319">
        <f>-LN(1-K319)</f>
        <v/>
      </c>
      <c r="M319">
        <f>EXP(-L319/Inputs!$B$6)</f>
        <v/>
      </c>
      <c r="N319">
        <f>N318*M319</f>
        <v/>
      </c>
      <c r="O319">
        <f>IFERROR(INDEX(MonthlyCurve!$L:$L,MATCH(A319,MonthlyCurve!$A:$A,0)),"")</f>
        <v/>
      </c>
      <c r="P319">
        <f>IF(B319&gt;0,-LN(O319)/B319,"")</f>
        <v/>
      </c>
      <c r="Q319">
        <f>G319*N319</f>
        <v/>
      </c>
      <c r="R319">
        <f>H319*N319</f>
        <v/>
      </c>
      <c r="S319">
        <f>Q319+R319</f>
        <v/>
      </c>
      <c r="T319">
        <f>Q319*O319</f>
        <v/>
      </c>
      <c r="U319">
        <f>R319*O319</f>
        <v/>
      </c>
      <c r="V319">
        <f>SUMPRODUCT(S320:S543,O320:O543)/(N319*O319)</f>
        <v/>
      </c>
    </row>
    <row r="320">
      <c r="A320" t="n">
        <v>317</v>
      </c>
      <c r="B320">
        <f>A320/Inputs!$B$6</f>
        <v/>
      </c>
      <c r="C320">
        <f>Inputs!$B$3+B320</f>
        <v/>
      </c>
      <c r="D320">
        <f>INT(C320)</f>
        <v/>
      </c>
      <c r="E320">
        <f>Inputs!$B$7+1+INT((A320-1)/Inputs!$B$6)</f>
        <v/>
      </c>
      <c r="F320">
        <f>IFERROR(INDEX(IndexScenario!$B$4:$B$544,MATCH(A320,IndexScenario!$A$4:$A$544,0)),"")</f>
        <v/>
      </c>
      <c r="G320">
        <f>G319*F320/F319</f>
        <v/>
      </c>
      <c r="H320">
        <f>H319*(1+Inputs!$B$17)^(1/12)</f>
        <v/>
      </c>
      <c r="I320">
        <f>IFERROR(INDEX(BaseQx!$B:$B,MATCH(D320,BaseQx!$A:$A,0)),"")</f>
        <v/>
      </c>
      <c r="J320">
        <f>IF(Inputs!$B$13="rp_mp",SUMIFS(MP2016_Long!$C:$C,MP2016_Long!$A:$A,D320,MP2016_Long!$B:$B,"&gt;=2014",MP2016_Long!$B:$B,"&lt;"&amp;E320),0)</f>
        <v/>
      </c>
      <c r="K320">
        <f>MIN(0.999999,MAX(0,I320*EXP(J320)))</f>
        <v/>
      </c>
      <c r="L320">
        <f>-LN(1-K320)</f>
        <v/>
      </c>
      <c r="M320">
        <f>EXP(-L320/Inputs!$B$6)</f>
        <v/>
      </c>
      <c r="N320">
        <f>N319*M320</f>
        <v/>
      </c>
      <c r="O320">
        <f>IFERROR(INDEX(MonthlyCurve!$L:$L,MATCH(A320,MonthlyCurve!$A:$A,0)),"")</f>
        <v/>
      </c>
      <c r="P320">
        <f>IF(B320&gt;0,-LN(O320)/B320,"")</f>
        <v/>
      </c>
      <c r="Q320">
        <f>G320*N320</f>
        <v/>
      </c>
      <c r="R320">
        <f>H320*N320</f>
        <v/>
      </c>
      <c r="S320">
        <f>Q320+R320</f>
        <v/>
      </c>
      <c r="T320">
        <f>Q320*O320</f>
        <v/>
      </c>
      <c r="U320">
        <f>R320*O320</f>
        <v/>
      </c>
      <c r="V320">
        <f>SUMPRODUCT(S321:S543,O321:O543)/(N320*O320)</f>
        <v/>
      </c>
    </row>
    <row r="321">
      <c r="A321" t="n">
        <v>318</v>
      </c>
      <c r="B321">
        <f>A321/Inputs!$B$6</f>
        <v/>
      </c>
      <c r="C321">
        <f>Inputs!$B$3+B321</f>
        <v/>
      </c>
      <c r="D321">
        <f>INT(C321)</f>
        <v/>
      </c>
      <c r="E321">
        <f>Inputs!$B$7+1+INT((A321-1)/Inputs!$B$6)</f>
        <v/>
      </c>
      <c r="F321">
        <f>IFERROR(INDEX(IndexScenario!$B$4:$B$544,MATCH(A321,IndexScenario!$A$4:$A$544,0)),"")</f>
        <v/>
      </c>
      <c r="G321">
        <f>G320*F321/F320</f>
        <v/>
      </c>
      <c r="H321">
        <f>H320*(1+Inputs!$B$17)^(1/12)</f>
        <v/>
      </c>
      <c r="I321">
        <f>IFERROR(INDEX(BaseQx!$B:$B,MATCH(D321,BaseQx!$A:$A,0)),"")</f>
        <v/>
      </c>
      <c r="J321">
        <f>IF(Inputs!$B$13="rp_mp",SUMIFS(MP2016_Long!$C:$C,MP2016_Long!$A:$A,D321,MP2016_Long!$B:$B,"&gt;=2014",MP2016_Long!$B:$B,"&lt;"&amp;E321),0)</f>
        <v/>
      </c>
      <c r="K321">
        <f>MIN(0.999999,MAX(0,I321*EXP(J321)))</f>
        <v/>
      </c>
      <c r="L321">
        <f>-LN(1-K321)</f>
        <v/>
      </c>
      <c r="M321">
        <f>EXP(-L321/Inputs!$B$6)</f>
        <v/>
      </c>
      <c r="N321">
        <f>N320*M321</f>
        <v/>
      </c>
      <c r="O321">
        <f>IFERROR(INDEX(MonthlyCurve!$L:$L,MATCH(A321,MonthlyCurve!$A:$A,0)),"")</f>
        <v/>
      </c>
      <c r="P321">
        <f>IF(B321&gt;0,-LN(O321)/B321,"")</f>
        <v/>
      </c>
      <c r="Q321">
        <f>G321*N321</f>
        <v/>
      </c>
      <c r="R321">
        <f>H321*N321</f>
        <v/>
      </c>
      <c r="S321">
        <f>Q321+R321</f>
        <v/>
      </c>
      <c r="T321">
        <f>Q321*O321</f>
        <v/>
      </c>
      <c r="U321">
        <f>R321*O321</f>
        <v/>
      </c>
      <c r="V321">
        <f>SUMPRODUCT(S322:S543,O322:O543)/(N321*O321)</f>
        <v/>
      </c>
    </row>
    <row r="322">
      <c r="A322" t="n">
        <v>319</v>
      </c>
      <c r="B322">
        <f>A322/Inputs!$B$6</f>
        <v/>
      </c>
      <c r="C322">
        <f>Inputs!$B$3+B322</f>
        <v/>
      </c>
      <c r="D322">
        <f>INT(C322)</f>
        <v/>
      </c>
      <c r="E322">
        <f>Inputs!$B$7+1+INT((A322-1)/Inputs!$B$6)</f>
        <v/>
      </c>
      <c r="F322">
        <f>IFERROR(INDEX(IndexScenario!$B$4:$B$544,MATCH(A322,IndexScenario!$A$4:$A$544,0)),"")</f>
        <v/>
      </c>
      <c r="G322">
        <f>G321*F322/F321</f>
        <v/>
      </c>
      <c r="H322">
        <f>H321*(1+Inputs!$B$17)^(1/12)</f>
        <v/>
      </c>
      <c r="I322">
        <f>IFERROR(INDEX(BaseQx!$B:$B,MATCH(D322,BaseQx!$A:$A,0)),"")</f>
        <v/>
      </c>
      <c r="J322">
        <f>IF(Inputs!$B$13="rp_mp",SUMIFS(MP2016_Long!$C:$C,MP2016_Long!$A:$A,D322,MP2016_Long!$B:$B,"&gt;=2014",MP2016_Long!$B:$B,"&lt;"&amp;E322),0)</f>
        <v/>
      </c>
      <c r="K322">
        <f>MIN(0.999999,MAX(0,I322*EXP(J322)))</f>
        <v/>
      </c>
      <c r="L322">
        <f>-LN(1-K322)</f>
        <v/>
      </c>
      <c r="M322">
        <f>EXP(-L322/Inputs!$B$6)</f>
        <v/>
      </c>
      <c r="N322">
        <f>N321*M322</f>
        <v/>
      </c>
      <c r="O322">
        <f>IFERROR(INDEX(MonthlyCurve!$L:$L,MATCH(A322,MonthlyCurve!$A:$A,0)),"")</f>
        <v/>
      </c>
      <c r="P322">
        <f>IF(B322&gt;0,-LN(O322)/B322,"")</f>
        <v/>
      </c>
      <c r="Q322">
        <f>G322*N322</f>
        <v/>
      </c>
      <c r="R322">
        <f>H322*N322</f>
        <v/>
      </c>
      <c r="S322">
        <f>Q322+R322</f>
        <v/>
      </c>
      <c r="T322">
        <f>Q322*O322</f>
        <v/>
      </c>
      <c r="U322">
        <f>R322*O322</f>
        <v/>
      </c>
      <c r="V322">
        <f>SUMPRODUCT(S323:S543,O323:O543)/(N322*O322)</f>
        <v/>
      </c>
    </row>
    <row r="323">
      <c r="A323" t="n">
        <v>320</v>
      </c>
      <c r="B323">
        <f>A323/Inputs!$B$6</f>
        <v/>
      </c>
      <c r="C323">
        <f>Inputs!$B$3+B323</f>
        <v/>
      </c>
      <c r="D323">
        <f>INT(C323)</f>
        <v/>
      </c>
      <c r="E323">
        <f>Inputs!$B$7+1+INT((A323-1)/Inputs!$B$6)</f>
        <v/>
      </c>
      <c r="F323">
        <f>IFERROR(INDEX(IndexScenario!$B$4:$B$544,MATCH(A323,IndexScenario!$A$4:$A$544,0)),"")</f>
        <v/>
      </c>
      <c r="G323">
        <f>G322*F323/F322</f>
        <v/>
      </c>
      <c r="H323">
        <f>H322*(1+Inputs!$B$17)^(1/12)</f>
        <v/>
      </c>
      <c r="I323">
        <f>IFERROR(INDEX(BaseQx!$B:$B,MATCH(D323,BaseQx!$A:$A,0)),"")</f>
        <v/>
      </c>
      <c r="J323">
        <f>IF(Inputs!$B$13="rp_mp",SUMIFS(MP2016_Long!$C:$C,MP2016_Long!$A:$A,D323,MP2016_Long!$B:$B,"&gt;=2014",MP2016_Long!$B:$B,"&lt;"&amp;E323),0)</f>
        <v/>
      </c>
      <c r="K323">
        <f>MIN(0.999999,MAX(0,I323*EXP(J323)))</f>
        <v/>
      </c>
      <c r="L323">
        <f>-LN(1-K323)</f>
        <v/>
      </c>
      <c r="M323">
        <f>EXP(-L323/Inputs!$B$6)</f>
        <v/>
      </c>
      <c r="N323">
        <f>N322*M323</f>
        <v/>
      </c>
      <c r="O323">
        <f>IFERROR(INDEX(MonthlyCurve!$L:$L,MATCH(A323,MonthlyCurve!$A:$A,0)),"")</f>
        <v/>
      </c>
      <c r="P323">
        <f>IF(B323&gt;0,-LN(O323)/B323,"")</f>
        <v/>
      </c>
      <c r="Q323">
        <f>G323*N323</f>
        <v/>
      </c>
      <c r="R323">
        <f>H323*N323</f>
        <v/>
      </c>
      <c r="S323">
        <f>Q323+R323</f>
        <v/>
      </c>
      <c r="T323">
        <f>Q323*O323</f>
        <v/>
      </c>
      <c r="U323">
        <f>R323*O323</f>
        <v/>
      </c>
      <c r="V323">
        <f>SUMPRODUCT(S324:S543,O324:O543)/(N323*O323)</f>
        <v/>
      </c>
    </row>
    <row r="324">
      <c r="A324" t="n">
        <v>321</v>
      </c>
      <c r="B324">
        <f>A324/Inputs!$B$6</f>
        <v/>
      </c>
      <c r="C324">
        <f>Inputs!$B$3+B324</f>
        <v/>
      </c>
      <c r="D324">
        <f>INT(C324)</f>
        <v/>
      </c>
      <c r="E324">
        <f>Inputs!$B$7+1+INT((A324-1)/Inputs!$B$6)</f>
        <v/>
      </c>
      <c r="F324">
        <f>IFERROR(INDEX(IndexScenario!$B$4:$B$544,MATCH(A324,IndexScenario!$A$4:$A$544,0)),"")</f>
        <v/>
      </c>
      <c r="G324">
        <f>G323*F324/F323</f>
        <v/>
      </c>
      <c r="H324">
        <f>H323*(1+Inputs!$B$17)^(1/12)</f>
        <v/>
      </c>
      <c r="I324">
        <f>IFERROR(INDEX(BaseQx!$B:$B,MATCH(D324,BaseQx!$A:$A,0)),"")</f>
        <v/>
      </c>
      <c r="J324">
        <f>IF(Inputs!$B$13="rp_mp",SUMIFS(MP2016_Long!$C:$C,MP2016_Long!$A:$A,D324,MP2016_Long!$B:$B,"&gt;=2014",MP2016_Long!$B:$B,"&lt;"&amp;E324),0)</f>
        <v/>
      </c>
      <c r="K324">
        <f>MIN(0.999999,MAX(0,I324*EXP(J324)))</f>
        <v/>
      </c>
      <c r="L324">
        <f>-LN(1-K324)</f>
        <v/>
      </c>
      <c r="M324">
        <f>EXP(-L324/Inputs!$B$6)</f>
        <v/>
      </c>
      <c r="N324">
        <f>N323*M324</f>
        <v/>
      </c>
      <c r="O324">
        <f>IFERROR(INDEX(MonthlyCurve!$L:$L,MATCH(A324,MonthlyCurve!$A:$A,0)),"")</f>
        <v/>
      </c>
      <c r="P324">
        <f>IF(B324&gt;0,-LN(O324)/B324,"")</f>
        <v/>
      </c>
      <c r="Q324">
        <f>G324*N324</f>
        <v/>
      </c>
      <c r="R324">
        <f>H324*N324</f>
        <v/>
      </c>
      <c r="S324">
        <f>Q324+R324</f>
        <v/>
      </c>
      <c r="T324">
        <f>Q324*O324</f>
        <v/>
      </c>
      <c r="U324">
        <f>R324*O324</f>
        <v/>
      </c>
      <c r="V324">
        <f>SUMPRODUCT(S325:S543,O325:O543)/(N324*O324)</f>
        <v/>
      </c>
    </row>
    <row r="325">
      <c r="A325" t="n">
        <v>322</v>
      </c>
      <c r="B325">
        <f>A325/Inputs!$B$6</f>
        <v/>
      </c>
      <c r="C325">
        <f>Inputs!$B$3+B325</f>
        <v/>
      </c>
      <c r="D325">
        <f>INT(C325)</f>
        <v/>
      </c>
      <c r="E325">
        <f>Inputs!$B$7+1+INT((A325-1)/Inputs!$B$6)</f>
        <v/>
      </c>
      <c r="F325">
        <f>IFERROR(INDEX(IndexScenario!$B$4:$B$544,MATCH(A325,IndexScenario!$A$4:$A$544,0)),"")</f>
        <v/>
      </c>
      <c r="G325">
        <f>G324*F325/F324</f>
        <v/>
      </c>
      <c r="H325">
        <f>H324*(1+Inputs!$B$17)^(1/12)</f>
        <v/>
      </c>
      <c r="I325">
        <f>IFERROR(INDEX(BaseQx!$B:$B,MATCH(D325,BaseQx!$A:$A,0)),"")</f>
        <v/>
      </c>
      <c r="J325">
        <f>IF(Inputs!$B$13="rp_mp",SUMIFS(MP2016_Long!$C:$C,MP2016_Long!$A:$A,D325,MP2016_Long!$B:$B,"&gt;=2014",MP2016_Long!$B:$B,"&lt;"&amp;E325),0)</f>
        <v/>
      </c>
      <c r="K325">
        <f>MIN(0.999999,MAX(0,I325*EXP(J325)))</f>
        <v/>
      </c>
      <c r="L325">
        <f>-LN(1-K325)</f>
        <v/>
      </c>
      <c r="M325">
        <f>EXP(-L325/Inputs!$B$6)</f>
        <v/>
      </c>
      <c r="N325">
        <f>N324*M325</f>
        <v/>
      </c>
      <c r="O325">
        <f>IFERROR(INDEX(MonthlyCurve!$L:$L,MATCH(A325,MonthlyCurve!$A:$A,0)),"")</f>
        <v/>
      </c>
      <c r="P325">
        <f>IF(B325&gt;0,-LN(O325)/B325,"")</f>
        <v/>
      </c>
      <c r="Q325">
        <f>G325*N325</f>
        <v/>
      </c>
      <c r="R325">
        <f>H325*N325</f>
        <v/>
      </c>
      <c r="S325">
        <f>Q325+R325</f>
        <v/>
      </c>
      <c r="T325">
        <f>Q325*O325</f>
        <v/>
      </c>
      <c r="U325">
        <f>R325*O325</f>
        <v/>
      </c>
      <c r="V325">
        <f>SUMPRODUCT(S326:S543,O326:O543)/(N325*O325)</f>
        <v/>
      </c>
    </row>
    <row r="326">
      <c r="A326" t="n">
        <v>323</v>
      </c>
      <c r="B326">
        <f>A326/Inputs!$B$6</f>
        <v/>
      </c>
      <c r="C326">
        <f>Inputs!$B$3+B326</f>
        <v/>
      </c>
      <c r="D326">
        <f>INT(C326)</f>
        <v/>
      </c>
      <c r="E326">
        <f>Inputs!$B$7+1+INT((A326-1)/Inputs!$B$6)</f>
        <v/>
      </c>
      <c r="F326">
        <f>IFERROR(INDEX(IndexScenario!$B$4:$B$544,MATCH(A326,IndexScenario!$A$4:$A$544,0)),"")</f>
        <v/>
      </c>
      <c r="G326">
        <f>G325*F326/F325</f>
        <v/>
      </c>
      <c r="H326">
        <f>H325*(1+Inputs!$B$17)^(1/12)</f>
        <v/>
      </c>
      <c r="I326">
        <f>IFERROR(INDEX(BaseQx!$B:$B,MATCH(D326,BaseQx!$A:$A,0)),"")</f>
        <v/>
      </c>
      <c r="J326">
        <f>IF(Inputs!$B$13="rp_mp",SUMIFS(MP2016_Long!$C:$C,MP2016_Long!$A:$A,D326,MP2016_Long!$B:$B,"&gt;=2014",MP2016_Long!$B:$B,"&lt;"&amp;E326),0)</f>
        <v/>
      </c>
      <c r="K326">
        <f>MIN(0.999999,MAX(0,I326*EXP(J326)))</f>
        <v/>
      </c>
      <c r="L326">
        <f>-LN(1-K326)</f>
        <v/>
      </c>
      <c r="M326">
        <f>EXP(-L326/Inputs!$B$6)</f>
        <v/>
      </c>
      <c r="N326">
        <f>N325*M326</f>
        <v/>
      </c>
      <c r="O326">
        <f>IFERROR(INDEX(MonthlyCurve!$L:$L,MATCH(A326,MonthlyCurve!$A:$A,0)),"")</f>
        <v/>
      </c>
      <c r="P326">
        <f>IF(B326&gt;0,-LN(O326)/B326,"")</f>
        <v/>
      </c>
      <c r="Q326">
        <f>G326*N326</f>
        <v/>
      </c>
      <c r="R326">
        <f>H326*N326</f>
        <v/>
      </c>
      <c r="S326">
        <f>Q326+R326</f>
        <v/>
      </c>
      <c r="T326">
        <f>Q326*O326</f>
        <v/>
      </c>
      <c r="U326">
        <f>R326*O326</f>
        <v/>
      </c>
      <c r="V326">
        <f>SUMPRODUCT(S327:S543,O327:O543)/(N326*O326)</f>
        <v/>
      </c>
    </row>
    <row r="327">
      <c r="A327" t="n">
        <v>324</v>
      </c>
      <c r="B327">
        <f>A327/Inputs!$B$6</f>
        <v/>
      </c>
      <c r="C327">
        <f>Inputs!$B$3+B327</f>
        <v/>
      </c>
      <c r="D327">
        <f>INT(C327)</f>
        <v/>
      </c>
      <c r="E327">
        <f>Inputs!$B$7+1+INT((A327-1)/Inputs!$B$6)</f>
        <v/>
      </c>
      <c r="F327">
        <f>IFERROR(INDEX(IndexScenario!$B$4:$B$544,MATCH(A327,IndexScenario!$A$4:$A$544,0)),"")</f>
        <v/>
      </c>
      <c r="G327">
        <f>G326*F327/F326</f>
        <v/>
      </c>
      <c r="H327">
        <f>H326*(1+Inputs!$B$17)^(1/12)</f>
        <v/>
      </c>
      <c r="I327">
        <f>IFERROR(INDEX(BaseQx!$B:$B,MATCH(D327,BaseQx!$A:$A,0)),"")</f>
        <v/>
      </c>
      <c r="J327">
        <f>IF(Inputs!$B$13="rp_mp",SUMIFS(MP2016_Long!$C:$C,MP2016_Long!$A:$A,D327,MP2016_Long!$B:$B,"&gt;=2014",MP2016_Long!$B:$B,"&lt;"&amp;E327),0)</f>
        <v/>
      </c>
      <c r="K327">
        <f>MIN(0.999999,MAX(0,I327*EXP(J327)))</f>
        <v/>
      </c>
      <c r="L327">
        <f>-LN(1-K327)</f>
        <v/>
      </c>
      <c r="M327">
        <f>EXP(-L327/Inputs!$B$6)</f>
        <v/>
      </c>
      <c r="N327">
        <f>N326*M327</f>
        <v/>
      </c>
      <c r="O327">
        <f>IFERROR(INDEX(MonthlyCurve!$L:$L,MATCH(A327,MonthlyCurve!$A:$A,0)),"")</f>
        <v/>
      </c>
      <c r="P327">
        <f>IF(B327&gt;0,-LN(O327)/B327,"")</f>
        <v/>
      </c>
      <c r="Q327">
        <f>G327*N327</f>
        <v/>
      </c>
      <c r="R327">
        <f>H327*N327</f>
        <v/>
      </c>
      <c r="S327">
        <f>Q327+R327</f>
        <v/>
      </c>
      <c r="T327">
        <f>Q327*O327</f>
        <v/>
      </c>
      <c r="U327">
        <f>R327*O327</f>
        <v/>
      </c>
      <c r="V327">
        <f>SUMPRODUCT(S328:S543,O328:O543)/(N327*O327)</f>
        <v/>
      </c>
    </row>
    <row r="328">
      <c r="A328" t="n">
        <v>325</v>
      </c>
      <c r="B328">
        <f>A328/Inputs!$B$6</f>
        <v/>
      </c>
      <c r="C328">
        <f>Inputs!$B$3+B328</f>
        <v/>
      </c>
      <c r="D328">
        <f>INT(C328)</f>
        <v/>
      </c>
      <c r="E328">
        <f>Inputs!$B$7+1+INT((A328-1)/Inputs!$B$6)</f>
        <v/>
      </c>
      <c r="F328">
        <f>IFERROR(INDEX(IndexScenario!$B$4:$B$544,MATCH(A328,IndexScenario!$A$4:$A$544,0)),"")</f>
        <v/>
      </c>
      <c r="G328">
        <f>G327*F328/F327</f>
        <v/>
      </c>
      <c r="H328">
        <f>H327*(1+Inputs!$B$17)^(1/12)</f>
        <v/>
      </c>
      <c r="I328">
        <f>IFERROR(INDEX(BaseQx!$B:$B,MATCH(D328,BaseQx!$A:$A,0)),"")</f>
        <v/>
      </c>
      <c r="J328">
        <f>IF(Inputs!$B$13="rp_mp",SUMIFS(MP2016_Long!$C:$C,MP2016_Long!$A:$A,D328,MP2016_Long!$B:$B,"&gt;=2014",MP2016_Long!$B:$B,"&lt;"&amp;E328),0)</f>
        <v/>
      </c>
      <c r="K328">
        <f>MIN(0.999999,MAX(0,I328*EXP(J328)))</f>
        <v/>
      </c>
      <c r="L328">
        <f>-LN(1-K328)</f>
        <v/>
      </c>
      <c r="M328">
        <f>EXP(-L328/Inputs!$B$6)</f>
        <v/>
      </c>
      <c r="N328">
        <f>N327*M328</f>
        <v/>
      </c>
      <c r="O328">
        <f>IFERROR(INDEX(MonthlyCurve!$L:$L,MATCH(A328,MonthlyCurve!$A:$A,0)),"")</f>
        <v/>
      </c>
      <c r="P328">
        <f>IF(B328&gt;0,-LN(O328)/B328,"")</f>
        <v/>
      </c>
      <c r="Q328">
        <f>G328*N328</f>
        <v/>
      </c>
      <c r="R328">
        <f>H328*N328</f>
        <v/>
      </c>
      <c r="S328">
        <f>Q328+R328</f>
        <v/>
      </c>
      <c r="T328">
        <f>Q328*O328</f>
        <v/>
      </c>
      <c r="U328">
        <f>R328*O328</f>
        <v/>
      </c>
      <c r="V328">
        <f>SUMPRODUCT(S329:S543,O329:O543)/(N328*O328)</f>
        <v/>
      </c>
    </row>
    <row r="329">
      <c r="A329" t="n">
        <v>326</v>
      </c>
      <c r="B329">
        <f>A329/Inputs!$B$6</f>
        <v/>
      </c>
      <c r="C329">
        <f>Inputs!$B$3+B329</f>
        <v/>
      </c>
      <c r="D329">
        <f>INT(C329)</f>
        <v/>
      </c>
      <c r="E329">
        <f>Inputs!$B$7+1+INT((A329-1)/Inputs!$B$6)</f>
        <v/>
      </c>
      <c r="F329">
        <f>IFERROR(INDEX(IndexScenario!$B$4:$B$544,MATCH(A329,IndexScenario!$A$4:$A$544,0)),"")</f>
        <v/>
      </c>
      <c r="G329">
        <f>G328*F329/F328</f>
        <v/>
      </c>
      <c r="H329">
        <f>H328*(1+Inputs!$B$17)^(1/12)</f>
        <v/>
      </c>
      <c r="I329">
        <f>IFERROR(INDEX(BaseQx!$B:$B,MATCH(D329,BaseQx!$A:$A,0)),"")</f>
        <v/>
      </c>
      <c r="J329">
        <f>IF(Inputs!$B$13="rp_mp",SUMIFS(MP2016_Long!$C:$C,MP2016_Long!$A:$A,D329,MP2016_Long!$B:$B,"&gt;=2014",MP2016_Long!$B:$B,"&lt;"&amp;E329),0)</f>
        <v/>
      </c>
      <c r="K329">
        <f>MIN(0.999999,MAX(0,I329*EXP(J329)))</f>
        <v/>
      </c>
      <c r="L329">
        <f>-LN(1-K329)</f>
        <v/>
      </c>
      <c r="M329">
        <f>EXP(-L329/Inputs!$B$6)</f>
        <v/>
      </c>
      <c r="N329">
        <f>N328*M329</f>
        <v/>
      </c>
      <c r="O329">
        <f>IFERROR(INDEX(MonthlyCurve!$L:$L,MATCH(A329,MonthlyCurve!$A:$A,0)),"")</f>
        <v/>
      </c>
      <c r="P329">
        <f>IF(B329&gt;0,-LN(O329)/B329,"")</f>
        <v/>
      </c>
      <c r="Q329">
        <f>G329*N329</f>
        <v/>
      </c>
      <c r="R329">
        <f>H329*N329</f>
        <v/>
      </c>
      <c r="S329">
        <f>Q329+R329</f>
        <v/>
      </c>
      <c r="T329">
        <f>Q329*O329</f>
        <v/>
      </c>
      <c r="U329">
        <f>R329*O329</f>
        <v/>
      </c>
      <c r="V329">
        <f>SUMPRODUCT(S330:S543,O330:O543)/(N329*O329)</f>
        <v/>
      </c>
    </row>
    <row r="330">
      <c r="A330" t="n">
        <v>327</v>
      </c>
      <c r="B330">
        <f>A330/Inputs!$B$6</f>
        <v/>
      </c>
      <c r="C330">
        <f>Inputs!$B$3+B330</f>
        <v/>
      </c>
      <c r="D330">
        <f>INT(C330)</f>
        <v/>
      </c>
      <c r="E330">
        <f>Inputs!$B$7+1+INT((A330-1)/Inputs!$B$6)</f>
        <v/>
      </c>
      <c r="F330">
        <f>IFERROR(INDEX(IndexScenario!$B$4:$B$544,MATCH(A330,IndexScenario!$A$4:$A$544,0)),"")</f>
        <v/>
      </c>
      <c r="G330">
        <f>G329*F330/F329</f>
        <v/>
      </c>
      <c r="H330">
        <f>H329*(1+Inputs!$B$17)^(1/12)</f>
        <v/>
      </c>
      <c r="I330">
        <f>IFERROR(INDEX(BaseQx!$B:$B,MATCH(D330,BaseQx!$A:$A,0)),"")</f>
        <v/>
      </c>
      <c r="J330">
        <f>IF(Inputs!$B$13="rp_mp",SUMIFS(MP2016_Long!$C:$C,MP2016_Long!$A:$A,D330,MP2016_Long!$B:$B,"&gt;=2014",MP2016_Long!$B:$B,"&lt;"&amp;E330),0)</f>
        <v/>
      </c>
      <c r="K330">
        <f>MIN(0.999999,MAX(0,I330*EXP(J330)))</f>
        <v/>
      </c>
      <c r="L330">
        <f>-LN(1-K330)</f>
        <v/>
      </c>
      <c r="M330">
        <f>EXP(-L330/Inputs!$B$6)</f>
        <v/>
      </c>
      <c r="N330">
        <f>N329*M330</f>
        <v/>
      </c>
      <c r="O330">
        <f>IFERROR(INDEX(MonthlyCurve!$L:$L,MATCH(A330,MonthlyCurve!$A:$A,0)),"")</f>
        <v/>
      </c>
      <c r="P330">
        <f>IF(B330&gt;0,-LN(O330)/B330,"")</f>
        <v/>
      </c>
      <c r="Q330">
        <f>G330*N330</f>
        <v/>
      </c>
      <c r="R330">
        <f>H330*N330</f>
        <v/>
      </c>
      <c r="S330">
        <f>Q330+R330</f>
        <v/>
      </c>
      <c r="T330">
        <f>Q330*O330</f>
        <v/>
      </c>
      <c r="U330">
        <f>R330*O330</f>
        <v/>
      </c>
      <c r="V330">
        <f>SUMPRODUCT(S331:S543,O331:O543)/(N330*O330)</f>
        <v/>
      </c>
    </row>
    <row r="331">
      <c r="A331" t="n">
        <v>328</v>
      </c>
      <c r="B331">
        <f>A331/Inputs!$B$6</f>
        <v/>
      </c>
      <c r="C331">
        <f>Inputs!$B$3+B331</f>
        <v/>
      </c>
      <c r="D331">
        <f>INT(C331)</f>
        <v/>
      </c>
      <c r="E331">
        <f>Inputs!$B$7+1+INT((A331-1)/Inputs!$B$6)</f>
        <v/>
      </c>
      <c r="F331">
        <f>IFERROR(INDEX(IndexScenario!$B$4:$B$544,MATCH(A331,IndexScenario!$A$4:$A$544,0)),"")</f>
        <v/>
      </c>
      <c r="G331">
        <f>G330*F331/F330</f>
        <v/>
      </c>
      <c r="H331">
        <f>H330*(1+Inputs!$B$17)^(1/12)</f>
        <v/>
      </c>
      <c r="I331">
        <f>IFERROR(INDEX(BaseQx!$B:$B,MATCH(D331,BaseQx!$A:$A,0)),"")</f>
        <v/>
      </c>
      <c r="J331">
        <f>IF(Inputs!$B$13="rp_mp",SUMIFS(MP2016_Long!$C:$C,MP2016_Long!$A:$A,D331,MP2016_Long!$B:$B,"&gt;=2014",MP2016_Long!$B:$B,"&lt;"&amp;E331),0)</f>
        <v/>
      </c>
      <c r="K331">
        <f>MIN(0.999999,MAX(0,I331*EXP(J331)))</f>
        <v/>
      </c>
      <c r="L331">
        <f>-LN(1-K331)</f>
        <v/>
      </c>
      <c r="M331">
        <f>EXP(-L331/Inputs!$B$6)</f>
        <v/>
      </c>
      <c r="N331">
        <f>N330*M331</f>
        <v/>
      </c>
      <c r="O331">
        <f>IFERROR(INDEX(MonthlyCurve!$L:$L,MATCH(A331,MonthlyCurve!$A:$A,0)),"")</f>
        <v/>
      </c>
      <c r="P331">
        <f>IF(B331&gt;0,-LN(O331)/B331,"")</f>
        <v/>
      </c>
      <c r="Q331">
        <f>G331*N331</f>
        <v/>
      </c>
      <c r="R331">
        <f>H331*N331</f>
        <v/>
      </c>
      <c r="S331">
        <f>Q331+R331</f>
        <v/>
      </c>
      <c r="T331">
        <f>Q331*O331</f>
        <v/>
      </c>
      <c r="U331">
        <f>R331*O331</f>
        <v/>
      </c>
      <c r="V331">
        <f>SUMPRODUCT(S332:S543,O332:O543)/(N331*O331)</f>
        <v/>
      </c>
    </row>
    <row r="332">
      <c r="A332" t="n">
        <v>329</v>
      </c>
      <c r="B332">
        <f>A332/Inputs!$B$6</f>
        <v/>
      </c>
      <c r="C332">
        <f>Inputs!$B$3+B332</f>
        <v/>
      </c>
      <c r="D332">
        <f>INT(C332)</f>
        <v/>
      </c>
      <c r="E332">
        <f>Inputs!$B$7+1+INT((A332-1)/Inputs!$B$6)</f>
        <v/>
      </c>
      <c r="F332">
        <f>IFERROR(INDEX(IndexScenario!$B$4:$B$544,MATCH(A332,IndexScenario!$A$4:$A$544,0)),"")</f>
        <v/>
      </c>
      <c r="G332">
        <f>G331*F332/F331</f>
        <v/>
      </c>
      <c r="H332">
        <f>H331*(1+Inputs!$B$17)^(1/12)</f>
        <v/>
      </c>
      <c r="I332">
        <f>IFERROR(INDEX(BaseQx!$B:$B,MATCH(D332,BaseQx!$A:$A,0)),"")</f>
        <v/>
      </c>
      <c r="J332">
        <f>IF(Inputs!$B$13="rp_mp",SUMIFS(MP2016_Long!$C:$C,MP2016_Long!$A:$A,D332,MP2016_Long!$B:$B,"&gt;=2014",MP2016_Long!$B:$B,"&lt;"&amp;E332),0)</f>
        <v/>
      </c>
      <c r="K332">
        <f>MIN(0.999999,MAX(0,I332*EXP(J332)))</f>
        <v/>
      </c>
      <c r="L332">
        <f>-LN(1-K332)</f>
        <v/>
      </c>
      <c r="M332">
        <f>EXP(-L332/Inputs!$B$6)</f>
        <v/>
      </c>
      <c r="N332">
        <f>N331*M332</f>
        <v/>
      </c>
      <c r="O332">
        <f>IFERROR(INDEX(MonthlyCurve!$L:$L,MATCH(A332,MonthlyCurve!$A:$A,0)),"")</f>
        <v/>
      </c>
      <c r="P332">
        <f>IF(B332&gt;0,-LN(O332)/B332,"")</f>
        <v/>
      </c>
      <c r="Q332">
        <f>G332*N332</f>
        <v/>
      </c>
      <c r="R332">
        <f>H332*N332</f>
        <v/>
      </c>
      <c r="S332">
        <f>Q332+R332</f>
        <v/>
      </c>
      <c r="T332">
        <f>Q332*O332</f>
        <v/>
      </c>
      <c r="U332">
        <f>R332*O332</f>
        <v/>
      </c>
      <c r="V332">
        <f>SUMPRODUCT(S333:S543,O333:O543)/(N332*O332)</f>
        <v/>
      </c>
    </row>
    <row r="333">
      <c r="A333" t="n">
        <v>330</v>
      </c>
      <c r="B333">
        <f>A333/Inputs!$B$6</f>
        <v/>
      </c>
      <c r="C333">
        <f>Inputs!$B$3+B333</f>
        <v/>
      </c>
      <c r="D333">
        <f>INT(C333)</f>
        <v/>
      </c>
      <c r="E333">
        <f>Inputs!$B$7+1+INT((A333-1)/Inputs!$B$6)</f>
        <v/>
      </c>
      <c r="F333">
        <f>IFERROR(INDEX(IndexScenario!$B$4:$B$544,MATCH(A333,IndexScenario!$A$4:$A$544,0)),"")</f>
        <v/>
      </c>
      <c r="G333">
        <f>G332*F333/F332</f>
        <v/>
      </c>
      <c r="H333">
        <f>H332*(1+Inputs!$B$17)^(1/12)</f>
        <v/>
      </c>
      <c r="I333">
        <f>IFERROR(INDEX(BaseQx!$B:$B,MATCH(D333,BaseQx!$A:$A,0)),"")</f>
        <v/>
      </c>
      <c r="J333">
        <f>IF(Inputs!$B$13="rp_mp",SUMIFS(MP2016_Long!$C:$C,MP2016_Long!$A:$A,D333,MP2016_Long!$B:$B,"&gt;=2014",MP2016_Long!$B:$B,"&lt;"&amp;E333),0)</f>
        <v/>
      </c>
      <c r="K333">
        <f>MIN(0.999999,MAX(0,I333*EXP(J333)))</f>
        <v/>
      </c>
      <c r="L333">
        <f>-LN(1-K333)</f>
        <v/>
      </c>
      <c r="M333">
        <f>EXP(-L333/Inputs!$B$6)</f>
        <v/>
      </c>
      <c r="N333">
        <f>N332*M333</f>
        <v/>
      </c>
      <c r="O333">
        <f>IFERROR(INDEX(MonthlyCurve!$L:$L,MATCH(A333,MonthlyCurve!$A:$A,0)),"")</f>
        <v/>
      </c>
      <c r="P333">
        <f>IF(B333&gt;0,-LN(O333)/B333,"")</f>
        <v/>
      </c>
      <c r="Q333">
        <f>G333*N333</f>
        <v/>
      </c>
      <c r="R333">
        <f>H333*N333</f>
        <v/>
      </c>
      <c r="S333">
        <f>Q333+R333</f>
        <v/>
      </c>
      <c r="T333">
        <f>Q333*O333</f>
        <v/>
      </c>
      <c r="U333">
        <f>R333*O333</f>
        <v/>
      </c>
      <c r="V333">
        <f>SUMPRODUCT(S334:S543,O334:O543)/(N333*O333)</f>
        <v/>
      </c>
    </row>
    <row r="334">
      <c r="A334" t="n">
        <v>331</v>
      </c>
      <c r="B334">
        <f>A334/Inputs!$B$6</f>
        <v/>
      </c>
      <c r="C334">
        <f>Inputs!$B$3+B334</f>
        <v/>
      </c>
      <c r="D334">
        <f>INT(C334)</f>
        <v/>
      </c>
      <c r="E334">
        <f>Inputs!$B$7+1+INT((A334-1)/Inputs!$B$6)</f>
        <v/>
      </c>
      <c r="F334">
        <f>IFERROR(INDEX(IndexScenario!$B$4:$B$544,MATCH(A334,IndexScenario!$A$4:$A$544,0)),"")</f>
        <v/>
      </c>
      <c r="G334">
        <f>G333*F334/F333</f>
        <v/>
      </c>
      <c r="H334">
        <f>H333*(1+Inputs!$B$17)^(1/12)</f>
        <v/>
      </c>
      <c r="I334">
        <f>IFERROR(INDEX(BaseQx!$B:$B,MATCH(D334,BaseQx!$A:$A,0)),"")</f>
        <v/>
      </c>
      <c r="J334">
        <f>IF(Inputs!$B$13="rp_mp",SUMIFS(MP2016_Long!$C:$C,MP2016_Long!$A:$A,D334,MP2016_Long!$B:$B,"&gt;=2014",MP2016_Long!$B:$B,"&lt;"&amp;E334),0)</f>
        <v/>
      </c>
      <c r="K334">
        <f>MIN(0.999999,MAX(0,I334*EXP(J334)))</f>
        <v/>
      </c>
      <c r="L334">
        <f>-LN(1-K334)</f>
        <v/>
      </c>
      <c r="M334">
        <f>EXP(-L334/Inputs!$B$6)</f>
        <v/>
      </c>
      <c r="N334">
        <f>N333*M334</f>
        <v/>
      </c>
      <c r="O334">
        <f>IFERROR(INDEX(MonthlyCurve!$L:$L,MATCH(A334,MonthlyCurve!$A:$A,0)),"")</f>
        <v/>
      </c>
      <c r="P334">
        <f>IF(B334&gt;0,-LN(O334)/B334,"")</f>
        <v/>
      </c>
      <c r="Q334">
        <f>G334*N334</f>
        <v/>
      </c>
      <c r="R334">
        <f>H334*N334</f>
        <v/>
      </c>
      <c r="S334">
        <f>Q334+R334</f>
        <v/>
      </c>
      <c r="T334">
        <f>Q334*O334</f>
        <v/>
      </c>
      <c r="U334">
        <f>R334*O334</f>
        <v/>
      </c>
      <c r="V334">
        <f>SUMPRODUCT(S335:S543,O335:O543)/(N334*O334)</f>
        <v/>
      </c>
    </row>
    <row r="335">
      <c r="A335" t="n">
        <v>332</v>
      </c>
      <c r="B335">
        <f>A335/Inputs!$B$6</f>
        <v/>
      </c>
      <c r="C335">
        <f>Inputs!$B$3+B335</f>
        <v/>
      </c>
      <c r="D335">
        <f>INT(C335)</f>
        <v/>
      </c>
      <c r="E335">
        <f>Inputs!$B$7+1+INT((A335-1)/Inputs!$B$6)</f>
        <v/>
      </c>
      <c r="F335">
        <f>IFERROR(INDEX(IndexScenario!$B$4:$B$544,MATCH(A335,IndexScenario!$A$4:$A$544,0)),"")</f>
        <v/>
      </c>
      <c r="G335">
        <f>G334*F335/F334</f>
        <v/>
      </c>
      <c r="H335">
        <f>H334*(1+Inputs!$B$17)^(1/12)</f>
        <v/>
      </c>
      <c r="I335">
        <f>IFERROR(INDEX(BaseQx!$B:$B,MATCH(D335,BaseQx!$A:$A,0)),"")</f>
        <v/>
      </c>
      <c r="J335">
        <f>IF(Inputs!$B$13="rp_mp",SUMIFS(MP2016_Long!$C:$C,MP2016_Long!$A:$A,D335,MP2016_Long!$B:$B,"&gt;=2014",MP2016_Long!$B:$B,"&lt;"&amp;E335),0)</f>
        <v/>
      </c>
      <c r="K335">
        <f>MIN(0.999999,MAX(0,I335*EXP(J335)))</f>
        <v/>
      </c>
      <c r="L335">
        <f>-LN(1-K335)</f>
        <v/>
      </c>
      <c r="M335">
        <f>EXP(-L335/Inputs!$B$6)</f>
        <v/>
      </c>
      <c r="N335">
        <f>N334*M335</f>
        <v/>
      </c>
      <c r="O335">
        <f>IFERROR(INDEX(MonthlyCurve!$L:$L,MATCH(A335,MonthlyCurve!$A:$A,0)),"")</f>
        <v/>
      </c>
      <c r="P335">
        <f>IF(B335&gt;0,-LN(O335)/B335,"")</f>
        <v/>
      </c>
      <c r="Q335">
        <f>G335*N335</f>
        <v/>
      </c>
      <c r="R335">
        <f>H335*N335</f>
        <v/>
      </c>
      <c r="S335">
        <f>Q335+R335</f>
        <v/>
      </c>
      <c r="T335">
        <f>Q335*O335</f>
        <v/>
      </c>
      <c r="U335">
        <f>R335*O335</f>
        <v/>
      </c>
      <c r="V335">
        <f>SUMPRODUCT(S336:S543,O336:O543)/(N335*O335)</f>
        <v/>
      </c>
    </row>
    <row r="336">
      <c r="A336" t="n">
        <v>333</v>
      </c>
      <c r="B336">
        <f>A336/Inputs!$B$6</f>
        <v/>
      </c>
      <c r="C336">
        <f>Inputs!$B$3+B336</f>
        <v/>
      </c>
      <c r="D336">
        <f>INT(C336)</f>
        <v/>
      </c>
      <c r="E336">
        <f>Inputs!$B$7+1+INT((A336-1)/Inputs!$B$6)</f>
        <v/>
      </c>
      <c r="F336">
        <f>IFERROR(INDEX(IndexScenario!$B$4:$B$544,MATCH(A336,IndexScenario!$A$4:$A$544,0)),"")</f>
        <v/>
      </c>
      <c r="G336">
        <f>G335*F336/F335</f>
        <v/>
      </c>
      <c r="H336">
        <f>H335*(1+Inputs!$B$17)^(1/12)</f>
        <v/>
      </c>
      <c r="I336">
        <f>IFERROR(INDEX(BaseQx!$B:$B,MATCH(D336,BaseQx!$A:$A,0)),"")</f>
        <v/>
      </c>
      <c r="J336">
        <f>IF(Inputs!$B$13="rp_mp",SUMIFS(MP2016_Long!$C:$C,MP2016_Long!$A:$A,D336,MP2016_Long!$B:$B,"&gt;=2014",MP2016_Long!$B:$B,"&lt;"&amp;E336),0)</f>
        <v/>
      </c>
      <c r="K336">
        <f>MIN(0.999999,MAX(0,I336*EXP(J336)))</f>
        <v/>
      </c>
      <c r="L336">
        <f>-LN(1-K336)</f>
        <v/>
      </c>
      <c r="M336">
        <f>EXP(-L336/Inputs!$B$6)</f>
        <v/>
      </c>
      <c r="N336">
        <f>N335*M336</f>
        <v/>
      </c>
      <c r="O336">
        <f>IFERROR(INDEX(MonthlyCurve!$L:$L,MATCH(A336,MonthlyCurve!$A:$A,0)),"")</f>
        <v/>
      </c>
      <c r="P336">
        <f>IF(B336&gt;0,-LN(O336)/B336,"")</f>
        <v/>
      </c>
      <c r="Q336">
        <f>G336*N336</f>
        <v/>
      </c>
      <c r="R336">
        <f>H336*N336</f>
        <v/>
      </c>
      <c r="S336">
        <f>Q336+R336</f>
        <v/>
      </c>
      <c r="T336">
        <f>Q336*O336</f>
        <v/>
      </c>
      <c r="U336">
        <f>R336*O336</f>
        <v/>
      </c>
      <c r="V336">
        <f>SUMPRODUCT(S337:S543,O337:O543)/(N336*O336)</f>
        <v/>
      </c>
    </row>
    <row r="337">
      <c r="A337" t="n">
        <v>334</v>
      </c>
      <c r="B337">
        <f>A337/Inputs!$B$6</f>
        <v/>
      </c>
      <c r="C337">
        <f>Inputs!$B$3+B337</f>
        <v/>
      </c>
      <c r="D337">
        <f>INT(C337)</f>
        <v/>
      </c>
      <c r="E337">
        <f>Inputs!$B$7+1+INT((A337-1)/Inputs!$B$6)</f>
        <v/>
      </c>
      <c r="F337">
        <f>IFERROR(INDEX(IndexScenario!$B$4:$B$544,MATCH(A337,IndexScenario!$A$4:$A$544,0)),"")</f>
        <v/>
      </c>
      <c r="G337">
        <f>G336*F337/F336</f>
        <v/>
      </c>
      <c r="H337">
        <f>H336*(1+Inputs!$B$17)^(1/12)</f>
        <v/>
      </c>
      <c r="I337">
        <f>IFERROR(INDEX(BaseQx!$B:$B,MATCH(D337,BaseQx!$A:$A,0)),"")</f>
        <v/>
      </c>
      <c r="J337">
        <f>IF(Inputs!$B$13="rp_mp",SUMIFS(MP2016_Long!$C:$C,MP2016_Long!$A:$A,D337,MP2016_Long!$B:$B,"&gt;=2014",MP2016_Long!$B:$B,"&lt;"&amp;E337),0)</f>
        <v/>
      </c>
      <c r="K337">
        <f>MIN(0.999999,MAX(0,I337*EXP(J337)))</f>
        <v/>
      </c>
      <c r="L337">
        <f>-LN(1-K337)</f>
        <v/>
      </c>
      <c r="M337">
        <f>EXP(-L337/Inputs!$B$6)</f>
        <v/>
      </c>
      <c r="N337">
        <f>N336*M337</f>
        <v/>
      </c>
      <c r="O337">
        <f>IFERROR(INDEX(MonthlyCurve!$L:$L,MATCH(A337,MonthlyCurve!$A:$A,0)),"")</f>
        <v/>
      </c>
      <c r="P337">
        <f>IF(B337&gt;0,-LN(O337)/B337,"")</f>
        <v/>
      </c>
      <c r="Q337">
        <f>G337*N337</f>
        <v/>
      </c>
      <c r="R337">
        <f>H337*N337</f>
        <v/>
      </c>
      <c r="S337">
        <f>Q337+R337</f>
        <v/>
      </c>
      <c r="T337">
        <f>Q337*O337</f>
        <v/>
      </c>
      <c r="U337">
        <f>R337*O337</f>
        <v/>
      </c>
      <c r="V337">
        <f>SUMPRODUCT(S338:S543,O338:O543)/(N337*O337)</f>
        <v/>
      </c>
    </row>
    <row r="338">
      <c r="A338" t="n">
        <v>335</v>
      </c>
      <c r="B338">
        <f>A338/Inputs!$B$6</f>
        <v/>
      </c>
      <c r="C338">
        <f>Inputs!$B$3+B338</f>
        <v/>
      </c>
      <c r="D338">
        <f>INT(C338)</f>
        <v/>
      </c>
      <c r="E338">
        <f>Inputs!$B$7+1+INT((A338-1)/Inputs!$B$6)</f>
        <v/>
      </c>
      <c r="F338">
        <f>IFERROR(INDEX(IndexScenario!$B$4:$B$544,MATCH(A338,IndexScenario!$A$4:$A$544,0)),"")</f>
        <v/>
      </c>
      <c r="G338">
        <f>G337*F338/F337</f>
        <v/>
      </c>
      <c r="H338">
        <f>H337*(1+Inputs!$B$17)^(1/12)</f>
        <v/>
      </c>
      <c r="I338">
        <f>IFERROR(INDEX(BaseQx!$B:$B,MATCH(D338,BaseQx!$A:$A,0)),"")</f>
        <v/>
      </c>
      <c r="J338">
        <f>IF(Inputs!$B$13="rp_mp",SUMIFS(MP2016_Long!$C:$C,MP2016_Long!$A:$A,D338,MP2016_Long!$B:$B,"&gt;=2014",MP2016_Long!$B:$B,"&lt;"&amp;E338),0)</f>
        <v/>
      </c>
      <c r="K338">
        <f>MIN(0.999999,MAX(0,I338*EXP(J338)))</f>
        <v/>
      </c>
      <c r="L338">
        <f>-LN(1-K338)</f>
        <v/>
      </c>
      <c r="M338">
        <f>EXP(-L338/Inputs!$B$6)</f>
        <v/>
      </c>
      <c r="N338">
        <f>N337*M338</f>
        <v/>
      </c>
      <c r="O338">
        <f>IFERROR(INDEX(MonthlyCurve!$L:$L,MATCH(A338,MonthlyCurve!$A:$A,0)),"")</f>
        <v/>
      </c>
      <c r="P338">
        <f>IF(B338&gt;0,-LN(O338)/B338,"")</f>
        <v/>
      </c>
      <c r="Q338">
        <f>G338*N338</f>
        <v/>
      </c>
      <c r="R338">
        <f>H338*N338</f>
        <v/>
      </c>
      <c r="S338">
        <f>Q338+R338</f>
        <v/>
      </c>
      <c r="T338">
        <f>Q338*O338</f>
        <v/>
      </c>
      <c r="U338">
        <f>R338*O338</f>
        <v/>
      </c>
      <c r="V338">
        <f>SUMPRODUCT(S339:S543,O339:O543)/(N338*O338)</f>
        <v/>
      </c>
    </row>
    <row r="339">
      <c r="A339" t="n">
        <v>336</v>
      </c>
      <c r="B339">
        <f>A339/Inputs!$B$6</f>
        <v/>
      </c>
      <c r="C339">
        <f>Inputs!$B$3+B339</f>
        <v/>
      </c>
      <c r="D339">
        <f>INT(C339)</f>
        <v/>
      </c>
      <c r="E339">
        <f>Inputs!$B$7+1+INT((A339-1)/Inputs!$B$6)</f>
        <v/>
      </c>
      <c r="F339">
        <f>IFERROR(INDEX(IndexScenario!$B$4:$B$544,MATCH(A339,IndexScenario!$A$4:$A$544,0)),"")</f>
        <v/>
      </c>
      <c r="G339">
        <f>G338*F339/F338</f>
        <v/>
      </c>
      <c r="H339">
        <f>H338*(1+Inputs!$B$17)^(1/12)</f>
        <v/>
      </c>
      <c r="I339">
        <f>IFERROR(INDEX(BaseQx!$B:$B,MATCH(D339,BaseQx!$A:$A,0)),"")</f>
        <v/>
      </c>
      <c r="J339">
        <f>IF(Inputs!$B$13="rp_mp",SUMIFS(MP2016_Long!$C:$C,MP2016_Long!$A:$A,D339,MP2016_Long!$B:$B,"&gt;=2014",MP2016_Long!$B:$B,"&lt;"&amp;E339),0)</f>
        <v/>
      </c>
      <c r="K339">
        <f>MIN(0.999999,MAX(0,I339*EXP(J339)))</f>
        <v/>
      </c>
      <c r="L339">
        <f>-LN(1-K339)</f>
        <v/>
      </c>
      <c r="M339">
        <f>EXP(-L339/Inputs!$B$6)</f>
        <v/>
      </c>
      <c r="N339">
        <f>N338*M339</f>
        <v/>
      </c>
      <c r="O339">
        <f>IFERROR(INDEX(MonthlyCurve!$L:$L,MATCH(A339,MonthlyCurve!$A:$A,0)),"")</f>
        <v/>
      </c>
      <c r="P339">
        <f>IF(B339&gt;0,-LN(O339)/B339,"")</f>
        <v/>
      </c>
      <c r="Q339">
        <f>G339*N339</f>
        <v/>
      </c>
      <c r="R339">
        <f>H339*N339</f>
        <v/>
      </c>
      <c r="S339">
        <f>Q339+R339</f>
        <v/>
      </c>
      <c r="T339">
        <f>Q339*O339</f>
        <v/>
      </c>
      <c r="U339">
        <f>R339*O339</f>
        <v/>
      </c>
      <c r="V339">
        <f>SUMPRODUCT(S340:S543,O340:O543)/(N339*O339)</f>
        <v/>
      </c>
    </row>
    <row r="340">
      <c r="A340" t="n">
        <v>337</v>
      </c>
      <c r="B340">
        <f>A340/Inputs!$B$6</f>
        <v/>
      </c>
      <c r="C340">
        <f>Inputs!$B$3+B340</f>
        <v/>
      </c>
      <c r="D340">
        <f>INT(C340)</f>
        <v/>
      </c>
      <c r="E340">
        <f>Inputs!$B$7+1+INT((A340-1)/Inputs!$B$6)</f>
        <v/>
      </c>
      <c r="F340">
        <f>IFERROR(INDEX(IndexScenario!$B$4:$B$544,MATCH(A340,IndexScenario!$A$4:$A$544,0)),"")</f>
        <v/>
      </c>
      <c r="G340">
        <f>G339*F340/F339</f>
        <v/>
      </c>
      <c r="H340">
        <f>H339*(1+Inputs!$B$17)^(1/12)</f>
        <v/>
      </c>
      <c r="I340">
        <f>IFERROR(INDEX(BaseQx!$B:$B,MATCH(D340,BaseQx!$A:$A,0)),"")</f>
        <v/>
      </c>
      <c r="J340">
        <f>IF(Inputs!$B$13="rp_mp",SUMIFS(MP2016_Long!$C:$C,MP2016_Long!$A:$A,D340,MP2016_Long!$B:$B,"&gt;=2014",MP2016_Long!$B:$B,"&lt;"&amp;E340),0)</f>
        <v/>
      </c>
      <c r="K340">
        <f>MIN(0.999999,MAX(0,I340*EXP(J340)))</f>
        <v/>
      </c>
      <c r="L340">
        <f>-LN(1-K340)</f>
        <v/>
      </c>
      <c r="M340">
        <f>EXP(-L340/Inputs!$B$6)</f>
        <v/>
      </c>
      <c r="N340">
        <f>N339*M340</f>
        <v/>
      </c>
      <c r="O340">
        <f>IFERROR(INDEX(MonthlyCurve!$L:$L,MATCH(A340,MonthlyCurve!$A:$A,0)),"")</f>
        <v/>
      </c>
      <c r="P340">
        <f>IF(B340&gt;0,-LN(O340)/B340,"")</f>
        <v/>
      </c>
      <c r="Q340">
        <f>G340*N340</f>
        <v/>
      </c>
      <c r="R340">
        <f>H340*N340</f>
        <v/>
      </c>
      <c r="S340">
        <f>Q340+R340</f>
        <v/>
      </c>
      <c r="T340">
        <f>Q340*O340</f>
        <v/>
      </c>
      <c r="U340">
        <f>R340*O340</f>
        <v/>
      </c>
      <c r="V340">
        <f>SUMPRODUCT(S341:S543,O341:O543)/(N340*O340)</f>
        <v/>
      </c>
    </row>
    <row r="341">
      <c r="A341" t="n">
        <v>338</v>
      </c>
      <c r="B341">
        <f>A341/Inputs!$B$6</f>
        <v/>
      </c>
      <c r="C341">
        <f>Inputs!$B$3+B341</f>
        <v/>
      </c>
      <c r="D341">
        <f>INT(C341)</f>
        <v/>
      </c>
      <c r="E341">
        <f>Inputs!$B$7+1+INT((A341-1)/Inputs!$B$6)</f>
        <v/>
      </c>
      <c r="F341">
        <f>IFERROR(INDEX(IndexScenario!$B$4:$B$544,MATCH(A341,IndexScenario!$A$4:$A$544,0)),"")</f>
        <v/>
      </c>
      <c r="G341">
        <f>G340*F341/F340</f>
        <v/>
      </c>
      <c r="H341">
        <f>H340*(1+Inputs!$B$17)^(1/12)</f>
        <v/>
      </c>
      <c r="I341">
        <f>IFERROR(INDEX(BaseQx!$B:$B,MATCH(D341,BaseQx!$A:$A,0)),"")</f>
        <v/>
      </c>
      <c r="J341">
        <f>IF(Inputs!$B$13="rp_mp",SUMIFS(MP2016_Long!$C:$C,MP2016_Long!$A:$A,D341,MP2016_Long!$B:$B,"&gt;=2014",MP2016_Long!$B:$B,"&lt;"&amp;E341),0)</f>
        <v/>
      </c>
      <c r="K341">
        <f>MIN(0.999999,MAX(0,I341*EXP(J341)))</f>
        <v/>
      </c>
      <c r="L341">
        <f>-LN(1-K341)</f>
        <v/>
      </c>
      <c r="M341">
        <f>EXP(-L341/Inputs!$B$6)</f>
        <v/>
      </c>
      <c r="N341">
        <f>N340*M341</f>
        <v/>
      </c>
      <c r="O341">
        <f>IFERROR(INDEX(MonthlyCurve!$L:$L,MATCH(A341,MonthlyCurve!$A:$A,0)),"")</f>
        <v/>
      </c>
      <c r="P341">
        <f>IF(B341&gt;0,-LN(O341)/B341,"")</f>
        <v/>
      </c>
      <c r="Q341">
        <f>G341*N341</f>
        <v/>
      </c>
      <c r="R341">
        <f>H341*N341</f>
        <v/>
      </c>
      <c r="S341">
        <f>Q341+R341</f>
        <v/>
      </c>
      <c r="T341">
        <f>Q341*O341</f>
        <v/>
      </c>
      <c r="U341">
        <f>R341*O341</f>
        <v/>
      </c>
      <c r="V341">
        <f>SUMPRODUCT(S342:S543,O342:O543)/(N341*O341)</f>
        <v/>
      </c>
    </row>
    <row r="342">
      <c r="A342" t="n">
        <v>339</v>
      </c>
      <c r="B342">
        <f>A342/Inputs!$B$6</f>
        <v/>
      </c>
      <c r="C342">
        <f>Inputs!$B$3+B342</f>
        <v/>
      </c>
      <c r="D342">
        <f>INT(C342)</f>
        <v/>
      </c>
      <c r="E342">
        <f>Inputs!$B$7+1+INT((A342-1)/Inputs!$B$6)</f>
        <v/>
      </c>
      <c r="F342">
        <f>IFERROR(INDEX(IndexScenario!$B$4:$B$544,MATCH(A342,IndexScenario!$A$4:$A$544,0)),"")</f>
        <v/>
      </c>
      <c r="G342">
        <f>G341*F342/F341</f>
        <v/>
      </c>
      <c r="H342">
        <f>H341*(1+Inputs!$B$17)^(1/12)</f>
        <v/>
      </c>
      <c r="I342">
        <f>IFERROR(INDEX(BaseQx!$B:$B,MATCH(D342,BaseQx!$A:$A,0)),"")</f>
        <v/>
      </c>
      <c r="J342">
        <f>IF(Inputs!$B$13="rp_mp",SUMIFS(MP2016_Long!$C:$C,MP2016_Long!$A:$A,D342,MP2016_Long!$B:$B,"&gt;=2014",MP2016_Long!$B:$B,"&lt;"&amp;E342),0)</f>
        <v/>
      </c>
      <c r="K342">
        <f>MIN(0.999999,MAX(0,I342*EXP(J342)))</f>
        <v/>
      </c>
      <c r="L342">
        <f>-LN(1-K342)</f>
        <v/>
      </c>
      <c r="M342">
        <f>EXP(-L342/Inputs!$B$6)</f>
        <v/>
      </c>
      <c r="N342">
        <f>N341*M342</f>
        <v/>
      </c>
      <c r="O342">
        <f>IFERROR(INDEX(MonthlyCurve!$L:$L,MATCH(A342,MonthlyCurve!$A:$A,0)),"")</f>
        <v/>
      </c>
      <c r="P342">
        <f>IF(B342&gt;0,-LN(O342)/B342,"")</f>
        <v/>
      </c>
      <c r="Q342">
        <f>G342*N342</f>
        <v/>
      </c>
      <c r="R342">
        <f>H342*N342</f>
        <v/>
      </c>
      <c r="S342">
        <f>Q342+R342</f>
        <v/>
      </c>
      <c r="T342">
        <f>Q342*O342</f>
        <v/>
      </c>
      <c r="U342">
        <f>R342*O342</f>
        <v/>
      </c>
      <c r="V342">
        <f>SUMPRODUCT(S343:S543,O343:O543)/(N342*O342)</f>
        <v/>
      </c>
    </row>
    <row r="343">
      <c r="A343" t="n">
        <v>340</v>
      </c>
      <c r="B343">
        <f>A343/Inputs!$B$6</f>
        <v/>
      </c>
      <c r="C343">
        <f>Inputs!$B$3+B343</f>
        <v/>
      </c>
      <c r="D343">
        <f>INT(C343)</f>
        <v/>
      </c>
      <c r="E343">
        <f>Inputs!$B$7+1+INT((A343-1)/Inputs!$B$6)</f>
        <v/>
      </c>
      <c r="F343">
        <f>IFERROR(INDEX(IndexScenario!$B$4:$B$544,MATCH(A343,IndexScenario!$A$4:$A$544,0)),"")</f>
        <v/>
      </c>
      <c r="G343">
        <f>G342*F343/F342</f>
        <v/>
      </c>
      <c r="H343">
        <f>H342*(1+Inputs!$B$17)^(1/12)</f>
        <v/>
      </c>
      <c r="I343">
        <f>IFERROR(INDEX(BaseQx!$B:$B,MATCH(D343,BaseQx!$A:$A,0)),"")</f>
        <v/>
      </c>
      <c r="J343">
        <f>IF(Inputs!$B$13="rp_mp",SUMIFS(MP2016_Long!$C:$C,MP2016_Long!$A:$A,D343,MP2016_Long!$B:$B,"&gt;=2014",MP2016_Long!$B:$B,"&lt;"&amp;E343),0)</f>
        <v/>
      </c>
      <c r="K343">
        <f>MIN(0.999999,MAX(0,I343*EXP(J343)))</f>
        <v/>
      </c>
      <c r="L343">
        <f>-LN(1-K343)</f>
        <v/>
      </c>
      <c r="M343">
        <f>EXP(-L343/Inputs!$B$6)</f>
        <v/>
      </c>
      <c r="N343">
        <f>N342*M343</f>
        <v/>
      </c>
      <c r="O343">
        <f>IFERROR(INDEX(MonthlyCurve!$L:$L,MATCH(A343,MonthlyCurve!$A:$A,0)),"")</f>
        <v/>
      </c>
      <c r="P343">
        <f>IF(B343&gt;0,-LN(O343)/B343,"")</f>
        <v/>
      </c>
      <c r="Q343">
        <f>G343*N343</f>
        <v/>
      </c>
      <c r="R343">
        <f>H343*N343</f>
        <v/>
      </c>
      <c r="S343">
        <f>Q343+R343</f>
        <v/>
      </c>
      <c r="T343">
        <f>Q343*O343</f>
        <v/>
      </c>
      <c r="U343">
        <f>R343*O343</f>
        <v/>
      </c>
      <c r="V343">
        <f>SUMPRODUCT(S344:S543,O344:O543)/(N343*O343)</f>
        <v/>
      </c>
    </row>
    <row r="344">
      <c r="A344" t="n">
        <v>341</v>
      </c>
      <c r="B344">
        <f>A344/Inputs!$B$6</f>
        <v/>
      </c>
      <c r="C344">
        <f>Inputs!$B$3+B344</f>
        <v/>
      </c>
      <c r="D344">
        <f>INT(C344)</f>
        <v/>
      </c>
      <c r="E344">
        <f>Inputs!$B$7+1+INT((A344-1)/Inputs!$B$6)</f>
        <v/>
      </c>
      <c r="F344">
        <f>IFERROR(INDEX(IndexScenario!$B$4:$B$544,MATCH(A344,IndexScenario!$A$4:$A$544,0)),"")</f>
        <v/>
      </c>
      <c r="G344">
        <f>G343*F344/F343</f>
        <v/>
      </c>
      <c r="H344">
        <f>H343*(1+Inputs!$B$17)^(1/12)</f>
        <v/>
      </c>
      <c r="I344">
        <f>IFERROR(INDEX(BaseQx!$B:$B,MATCH(D344,BaseQx!$A:$A,0)),"")</f>
        <v/>
      </c>
      <c r="J344">
        <f>IF(Inputs!$B$13="rp_mp",SUMIFS(MP2016_Long!$C:$C,MP2016_Long!$A:$A,D344,MP2016_Long!$B:$B,"&gt;=2014",MP2016_Long!$B:$B,"&lt;"&amp;E344),0)</f>
        <v/>
      </c>
      <c r="K344">
        <f>MIN(0.999999,MAX(0,I344*EXP(J344)))</f>
        <v/>
      </c>
      <c r="L344">
        <f>-LN(1-K344)</f>
        <v/>
      </c>
      <c r="M344">
        <f>EXP(-L344/Inputs!$B$6)</f>
        <v/>
      </c>
      <c r="N344">
        <f>N343*M344</f>
        <v/>
      </c>
      <c r="O344">
        <f>IFERROR(INDEX(MonthlyCurve!$L:$L,MATCH(A344,MonthlyCurve!$A:$A,0)),"")</f>
        <v/>
      </c>
      <c r="P344">
        <f>IF(B344&gt;0,-LN(O344)/B344,"")</f>
        <v/>
      </c>
      <c r="Q344">
        <f>G344*N344</f>
        <v/>
      </c>
      <c r="R344">
        <f>H344*N344</f>
        <v/>
      </c>
      <c r="S344">
        <f>Q344+R344</f>
        <v/>
      </c>
      <c r="T344">
        <f>Q344*O344</f>
        <v/>
      </c>
      <c r="U344">
        <f>R344*O344</f>
        <v/>
      </c>
      <c r="V344">
        <f>SUMPRODUCT(S345:S543,O345:O543)/(N344*O344)</f>
        <v/>
      </c>
    </row>
    <row r="345">
      <c r="A345" t="n">
        <v>342</v>
      </c>
      <c r="B345">
        <f>A345/Inputs!$B$6</f>
        <v/>
      </c>
      <c r="C345">
        <f>Inputs!$B$3+B345</f>
        <v/>
      </c>
      <c r="D345">
        <f>INT(C345)</f>
        <v/>
      </c>
      <c r="E345">
        <f>Inputs!$B$7+1+INT((A345-1)/Inputs!$B$6)</f>
        <v/>
      </c>
      <c r="F345">
        <f>IFERROR(INDEX(IndexScenario!$B$4:$B$544,MATCH(A345,IndexScenario!$A$4:$A$544,0)),"")</f>
        <v/>
      </c>
      <c r="G345">
        <f>G344*F345/F344</f>
        <v/>
      </c>
      <c r="H345">
        <f>H344*(1+Inputs!$B$17)^(1/12)</f>
        <v/>
      </c>
      <c r="I345">
        <f>IFERROR(INDEX(BaseQx!$B:$B,MATCH(D345,BaseQx!$A:$A,0)),"")</f>
        <v/>
      </c>
      <c r="J345">
        <f>IF(Inputs!$B$13="rp_mp",SUMIFS(MP2016_Long!$C:$C,MP2016_Long!$A:$A,D345,MP2016_Long!$B:$B,"&gt;=2014",MP2016_Long!$B:$B,"&lt;"&amp;E345),0)</f>
        <v/>
      </c>
      <c r="K345">
        <f>MIN(0.999999,MAX(0,I345*EXP(J345)))</f>
        <v/>
      </c>
      <c r="L345">
        <f>-LN(1-K345)</f>
        <v/>
      </c>
      <c r="M345">
        <f>EXP(-L345/Inputs!$B$6)</f>
        <v/>
      </c>
      <c r="N345">
        <f>N344*M345</f>
        <v/>
      </c>
      <c r="O345">
        <f>IFERROR(INDEX(MonthlyCurve!$L:$L,MATCH(A345,MonthlyCurve!$A:$A,0)),"")</f>
        <v/>
      </c>
      <c r="P345">
        <f>IF(B345&gt;0,-LN(O345)/B345,"")</f>
        <v/>
      </c>
      <c r="Q345">
        <f>G345*N345</f>
        <v/>
      </c>
      <c r="R345">
        <f>H345*N345</f>
        <v/>
      </c>
      <c r="S345">
        <f>Q345+R345</f>
        <v/>
      </c>
      <c r="T345">
        <f>Q345*O345</f>
        <v/>
      </c>
      <c r="U345">
        <f>R345*O345</f>
        <v/>
      </c>
      <c r="V345">
        <f>SUMPRODUCT(S346:S543,O346:O543)/(N345*O345)</f>
        <v/>
      </c>
    </row>
    <row r="346">
      <c r="A346" t="n">
        <v>343</v>
      </c>
      <c r="B346">
        <f>A346/Inputs!$B$6</f>
        <v/>
      </c>
      <c r="C346">
        <f>Inputs!$B$3+B346</f>
        <v/>
      </c>
      <c r="D346">
        <f>INT(C346)</f>
        <v/>
      </c>
      <c r="E346">
        <f>Inputs!$B$7+1+INT((A346-1)/Inputs!$B$6)</f>
        <v/>
      </c>
      <c r="F346">
        <f>IFERROR(INDEX(IndexScenario!$B$4:$B$544,MATCH(A346,IndexScenario!$A$4:$A$544,0)),"")</f>
        <v/>
      </c>
      <c r="G346">
        <f>G345*F346/F345</f>
        <v/>
      </c>
      <c r="H346">
        <f>H345*(1+Inputs!$B$17)^(1/12)</f>
        <v/>
      </c>
      <c r="I346">
        <f>IFERROR(INDEX(BaseQx!$B:$B,MATCH(D346,BaseQx!$A:$A,0)),"")</f>
        <v/>
      </c>
      <c r="J346">
        <f>IF(Inputs!$B$13="rp_mp",SUMIFS(MP2016_Long!$C:$C,MP2016_Long!$A:$A,D346,MP2016_Long!$B:$B,"&gt;=2014",MP2016_Long!$B:$B,"&lt;"&amp;E346),0)</f>
        <v/>
      </c>
      <c r="K346">
        <f>MIN(0.999999,MAX(0,I346*EXP(J346)))</f>
        <v/>
      </c>
      <c r="L346">
        <f>-LN(1-K346)</f>
        <v/>
      </c>
      <c r="M346">
        <f>EXP(-L346/Inputs!$B$6)</f>
        <v/>
      </c>
      <c r="N346">
        <f>N345*M346</f>
        <v/>
      </c>
      <c r="O346">
        <f>IFERROR(INDEX(MonthlyCurve!$L:$L,MATCH(A346,MonthlyCurve!$A:$A,0)),"")</f>
        <v/>
      </c>
      <c r="P346">
        <f>IF(B346&gt;0,-LN(O346)/B346,"")</f>
        <v/>
      </c>
      <c r="Q346">
        <f>G346*N346</f>
        <v/>
      </c>
      <c r="R346">
        <f>H346*N346</f>
        <v/>
      </c>
      <c r="S346">
        <f>Q346+R346</f>
        <v/>
      </c>
      <c r="T346">
        <f>Q346*O346</f>
        <v/>
      </c>
      <c r="U346">
        <f>R346*O346</f>
        <v/>
      </c>
      <c r="V346">
        <f>SUMPRODUCT(S347:S543,O347:O543)/(N346*O346)</f>
        <v/>
      </c>
    </row>
    <row r="347">
      <c r="A347" t="n">
        <v>344</v>
      </c>
      <c r="B347">
        <f>A347/Inputs!$B$6</f>
        <v/>
      </c>
      <c r="C347">
        <f>Inputs!$B$3+B347</f>
        <v/>
      </c>
      <c r="D347">
        <f>INT(C347)</f>
        <v/>
      </c>
      <c r="E347">
        <f>Inputs!$B$7+1+INT((A347-1)/Inputs!$B$6)</f>
        <v/>
      </c>
      <c r="F347">
        <f>IFERROR(INDEX(IndexScenario!$B$4:$B$544,MATCH(A347,IndexScenario!$A$4:$A$544,0)),"")</f>
        <v/>
      </c>
      <c r="G347">
        <f>G346*F347/F346</f>
        <v/>
      </c>
      <c r="H347">
        <f>H346*(1+Inputs!$B$17)^(1/12)</f>
        <v/>
      </c>
      <c r="I347">
        <f>IFERROR(INDEX(BaseQx!$B:$B,MATCH(D347,BaseQx!$A:$A,0)),"")</f>
        <v/>
      </c>
      <c r="J347">
        <f>IF(Inputs!$B$13="rp_mp",SUMIFS(MP2016_Long!$C:$C,MP2016_Long!$A:$A,D347,MP2016_Long!$B:$B,"&gt;=2014",MP2016_Long!$B:$B,"&lt;"&amp;E347),0)</f>
        <v/>
      </c>
      <c r="K347">
        <f>MIN(0.999999,MAX(0,I347*EXP(J347)))</f>
        <v/>
      </c>
      <c r="L347">
        <f>-LN(1-K347)</f>
        <v/>
      </c>
      <c r="M347">
        <f>EXP(-L347/Inputs!$B$6)</f>
        <v/>
      </c>
      <c r="N347">
        <f>N346*M347</f>
        <v/>
      </c>
      <c r="O347">
        <f>IFERROR(INDEX(MonthlyCurve!$L:$L,MATCH(A347,MonthlyCurve!$A:$A,0)),"")</f>
        <v/>
      </c>
      <c r="P347">
        <f>IF(B347&gt;0,-LN(O347)/B347,"")</f>
        <v/>
      </c>
      <c r="Q347">
        <f>G347*N347</f>
        <v/>
      </c>
      <c r="R347">
        <f>H347*N347</f>
        <v/>
      </c>
      <c r="S347">
        <f>Q347+R347</f>
        <v/>
      </c>
      <c r="T347">
        <f>Q347*O347</f>
        <v/>
      </c>
      <c r="U347">
        <f>R347*O347</f>
        <v/>
      </c>
      <c r="V347">
        <f>SUMPRODUCT(S348:S543,O348:O543)/(N347*O347)</f>
        <v/>
      </c>
    </row>
    <row r="348">
      <c r="A348" t="n">
        <v>345</v>
      </c>
      <c r="B348">
        <f>A348/Inputs!$B$6</f>
        <v/>
      </c>
      <c r="C348">
        <f>Inputs!$B$3+B348</f>
        <v/>
      </c>
      <c r="D348">
        <f>INT(C348)</f>
        <v/>
      </c>
      <c r="E348">
        <f>Inputs!$B$7+1+INT((A348-1)/Inputs!$B$6)</f>
        <v/>
      </c>
      <c r="F348">
        <f>IFERROR(INDEX(IndexScenario!$B$4:$B$544,MATCH(A348,IndexScenario!$A$4:$A$544,0)),"")</f>
        <v/>
      </c>
      <c r="G348">
        <f>G347*F348/F347</f>
        <v/>
      </c>
      <c r="H348">
        <f>H347*(1+Inputs!$B$17)^(1/12)</f>
        <v/>
      </c>
      <c r="I348">
        <f>IFERROR(INDEX(BaseQx!$B:$B,MATCH(D348,BaseQx!$A:$A,0)),"")</f>
        <v/>
      </c>
      <c r="J348">
        <f>IF(Inputs!$B$13="rp_mp",SUMIFS(MP2016_Long!$C:$C,MP2016_Long!$A:$A,D348,MP2016_Long!$B:$B,"&gt;=2014",MP2016_Long!$B:$B,"&lt;"&amp;E348),0)</f>
        <v/>
      </c>
      <c r="K348">
        <f>MIN(0.999999,MAX(0,I348*EXP(J348)))</f>
        <v/>
      </c>
      <c r="L348">
        <f>-LN(1-K348)</f>
        <v/>
      </c>
      <c r="M348">
        <f>EXP(-L348/Inputs!$B$6)</f>
        <v/>
      </c>
      <c r="N348">
        <f>N347*M348</f>
        <v/>
      </c>
      <c r="O348">
        <f>IFERROR(INDEX(MonthlyCurve!$L:$L,MATCH(A348,MonthlyCurve!$A:$A,0)),"")</f>
        <v/>
      </c>
      <c r="P348">
        <f>IF(B348&gt;0,-LN(O348)/B348,"")</f>
        <v/>
      </c>
      <c r="Q348">
        <f>G348*N348</f>
        <v/>
      </c>
      <c r="R348">
        <f>H348*N348</f>
        <v/>
      </c>
      <c r="S348">
        <f>Q348+R348</f>
        <v/>
      </c>
      <c r="T348">
        <f>Q348*O348</f>
        <v/>
      </c>
      <c r="U348">
        <f>R348*O348</f>
        <v/>
      </c>
      <c r="V348">
        <f>SUMPRODUCT(S349:S543,O349:O543)/(N348*O348)</f>
        <v/>
      </c>
    </row>
    <row r="349">
      <c r="A349" t="n">
        <v>346</v>
      </c>
      <c r="B349">
        <f>A349/Inputs!$B$6</f>
        <v/>
      </c>
      <c r="C349">
        <f>Inputs!$B$3+B349</f>
        <v/>
      </c>
      <c r="D349">
        <f>INT(C349)</f>
        <v/>
      </c>
      <c r="E349">
        <f>Inputs!$B$7+1+INT((A349-1)/Inputs!$B$6)</f>
        <v/>
      </c>
      <c r="F349">
        <f>IFERROR(INDEX(IndexScenario!$B$4:$B$544,MATCH(A349,IndexScenario!$A$4:$A$544,0)),"")</f>
        <v/>
      </c>
      <c r="G349">
        <f>G348*F349/F348</f>
        <v/>
      </c>
      <c r="H349">
        <f>H348*(1+Inputs!$B$17)^(1/12)</f>
        <v/>
      </c>
      <c r="I349">
        <f>IFERROR(INDEX(BaseQx!$B:$B,MATCH(D349,BaseQx!$A:$A,0)),"")</f>
        <v/>
      </c>
      <c r="J349">
        <f>IF(Inputs!$B$13="rp_mp",SUMIFS(MP2016_Long!$C:$C,MP2016_Long!$A:$A,D349,MP2016_Long!$B:$B,"&gt;=2014",MP2016_Long!$B:$B,"&lt;"&amp;E349),0)</f>
        <v/>
      </c>
      <c r="K349">
        <f>MIN(0.999999,MAX(0,I349*EXP(J349)))</f>
        <v/>
      </c>
      <c r="L349">
        <f>-LN(1-K349)</f>
        <v/>
      </c>
      <c r="M349">
        <f>EXP(-L349/Inputs!$B$6)</f>
        <v/>
      </c>
      <c r="N349">
        <f>N348*M349</f>
        <v/>
      </c>
      <c r="O349">
        <f>IFERROR(INDEX(MonthlyCurve!$L:$L,MATCH(A349,MonthlyCurve!$A:$A,0)),"")</f>
        <v/>
      </c>
      <c r="P349">
        <f>IF(B349&gt;0,-LN(O349)/B349,"")</f>
        <v/>
      </c>
      <c r="Q349">
        <f>G349*N349</f>
        <v/>
      </c>
      <c r="R349">
        <f>H349*N349</f>
        <v/>
      </c>
      <c r="S349">
        <f>Q349+R349</f>
        <v/>
      </c>
      <c r="T349">
        <f>Q349*O349</f>
        <v/>
      </c>
      <c r="U349">
        <f>R349*O349</f>
        <v/>
      </c>
      <c r="V349">
        <f>SUMPRODUCT(S350:S543,O350:O543)/(N349*O349)</f>
        <v/>
      </c>
    </row>
    <row r="350">
      <c r="A350" t="n">
        <v>347</v>
      </c>
      <c r="B350">
        <f>A350/Inputs!$B$6</f>
        <v/>
      </c>
      <c r="C350">
        <f>Inputs!$B$3+B350</f>
        <v/>
      </c>
      <c r="D350">
        <f>INT(C350)</f>
        <v/>
      </c>
      <c r="E350">
        <f>Inputs!$B$7+1+INT((A350-1)/Inputs!$B$6)</f>
        <v/>
      </c>
      <c r="F350">
        <f>IFERROR(INDEX(IndexScenario!$B$4:$B$544,MATCH(A350,IndexScenario!$A$4:$A$544,0)),"")</f>
        <v/>
      </c>
      <c r="G350">
        <f>G349*F350/F349</f>
        <v/>
      </c>
      <c r="H350">
        <f>H349*(1+Inputs!$B$17)^(1/12)</f>
        <v/>
      </c>
      <c r="I350">
        <f>IFERROR(INDEX(BaseQx!$B:$B,MATCH(D350,BaseQx!$A:$A,0)),"")</f>
        <v/>
      </c>
      <c r="J350">
        <f>IF(Inputs!$B$13="rp_mp",SUMIFS(MP2016_Long!$C:$C,MP2016_Long!$A:$A,D350,MP2016_Long!$B:$B,"&gt;=2014",MP2016_Long!$B:$B,"&lt;"&amp;E350),0)</f>
        <v/>
      </c>
      <c r="K350">
        <f>MIN(0.999999,MAX(0,I350*EXP(J350)))</f>
        <v/>
      </c>
      <c r="L350">
        <f>-LN(1-K350)</f>
        <v/>
      </c>
      <c r="M350">
        <f>EXP(-L350/Inputs!$B$6)</f>
        <v/>
      </c>
      <c r="N350">
        <f>N349*M350</f>
        <v/>
      </c>
      <c r="O350">
        <f>IFERROR(INDEX(MonthlyCurve!$L:$L,MATCH(A350,MonthlyCurve!$A:$A,0)),"")</f>
        <v/>
      </c>
      <c r="P350">
        <f>IF(B350&gt;0,-LN(O350)/B350,"")</f>
        <v/>
      </c>
      <c r="Q350">
        <f>G350*N350</f>
        <v/>
      </c>
      <c r="R350">
        <f>H350*N350</f>
        <v/>
      </c>
      <c r="S350">
        <f>Q350+R350</f>
        <v/>
      </c>
      <c r="T350">
        <f>Q350*O350</f>
        <v/>
      </c>
      <c r="U350">
        <f>R350*O350</f>
        <v/>
      </c>
      <c r="V350">
        <f>SUMPRODUCT(S351:S543,O351:O543)/(N350*O350)</f>
        <v/>
      </c>
    </row>
    <row r="351">
      <c r="A351" t="n">
        <v>348</v>
      </c>
      <c r="B351">
        <f>A351/Inputs!$B$6</f>
        <v/>
      </c>
      <c r="C351">
        <f>Inputs!$B$3+B351</f>
        <v/>
      </c>
      <c r="D351">
        <f>INT(C351)</f>
        <v/>
      </c>
      <c r="E351">
        <f>Inputs!$B$7+1+INT((A351-1)/Inputs!$B$6)</f>
        <v/>
      </c>
      <c r="F351">
        <f>IFERROR(INDEX(IndexScenario!$B$4:$B$544,MATCH(A351,IndexScenario!$A$4:$A$544,0)),"")</f>
        <v/>
      </c>
      <c r="G351">
        <f>G350*F351/F350</f>
        <v/>
      </c>
      <c r="H351">
        <f>H350*(1+Inputs!$B$17)^(1/12)</f>
        <v/>
      </c>
      <c r="I351">
        <f>IFERROR(INDEX(BaseQx!$B:$B,MATCH(D351,BaseQx!$A:$A,0)),"")</f>
        <v/>
      </c>
      <c r="J351">
        <f>IF(Inputs!$B$13="rp_mp",SUMIFS(MP2016_Long!$C:$C,MP2016_Long!$A:$A,D351,MP2016_Long!$B:$B,"&gt;=2014",MP2016_Long!$B:$B,"&lt;"&amp;E351),0)</f>
        <v/>
      </c>
      <c r="K351">
        <f>MIN(0.999999,MAX(0,I351*EXP(J351)))</f>
        <v/>
      </c>
      <c r="L351">
        <f>-LN(1-K351)</f>
        <v/>
      </c>
      <c r="M351">
        <f>EXP(-L351/Inputs!$B$6)</f>
        <v/>
      </c>
      <c r="N351">
        <f>N350*M351</f>
        <v/>
      </c>
      <c r="O351">
        <f>IFERROR(INDEX(MonthlyCurve!$L:$L,MATCH(A351,MonthlyCurve!$A:$A,0)),"")</f>
        <v/>
      </c>
      <c r="P351">
        <f>IF(B351&gt;0,-LN(O351)/B351,"")</f>
        <v/>
      </c>
      <c r="Q351">
        <f>G351*N351</f>
        <v/>
      </c>
      <c r="R351">
        <f>H351*N351</f>
        <v/>
      </c>
      <c r="S351">
        <f>Q351+R351</f>
        <v/>
      </c>
      <c r="T351">
        <f>Q351*O351</f>
        <v/>
      </c>
      <c r="U351">
        <f>R351*O351</f>
        <v/>
      </c>
      <c r="V351">
        <f>SUMPRODUCT(S352:S543,O352:O543)/(N351*O351)</f>
        <v/>
      </c>
    </row>
    <row r="352">
      <c r="A352" t="n">
        <v>349</v>
      </c>
      <c r="B352">
        <f>A352/Inputs!$B$6</f>
        <v/>
      </c>
      <c r="C352">
        <f>Inputs!$B$3+B352</f>
        <v/>
      </c>
      <c r="D352">
        <f>INT(C352)</f>
        <v/>
      </c>
      <c r="E352">
        <f>Inputs!$B$7+1+INT((A352-1)/Inputs!$B$6)</f>
        <v/>
      </c>
      <c r="F352">
        <f>IFERROR(INDEX(IndexScenario!$B$4:$B$544,MATCH(A352,IndexScenario!$A$4:$A$544,0)),"")</f>
        <v/>
      </c>
      <c r="G352">
        <f>G351*F352/F351</f>
        <v/>
      </c>
      <c r="H352">
        <f>H351*(1+Inputs!$B$17)^(1/12)</f>
        <v/>
      </c>
      <c r="I352">
        <f>IFERROR(INDEX(BaseQx!$B:$B,MATCH(D352,BaseQx!$A:$A,0)),"")</f>
        <v/>
      </c>
      <c r="J352">
        <f>IF(Inputs!$B$13="rp_mp",SUMIFS(MP2016_Long!$C:$C,MP2016_Long!$A:$A,D352,MP2016_Long!$B:$B,"&gt;=2014",MP2016_Long!$B:$B,"&lt;"&amp;E352),0)</f>
        <v/>
      </c>
      <c r="K352">
        <f>MIN(0.999999,MAX(0,I352*EXP(J352)))</f>
        <v/>
      </c>
      <c r="L352">
        <f>-LN(1-K352)</f>
        <v/>
      </c>
      <c r="M352">
        <f>EXP(-L352/Inputs!$B$6)</f>
        <v/>
      </c>
      <c r="N352">
        <f>N351*M352</f>
        <v/>
      </c>
      <c r="O352">
        <f>IFERROR(INDEX(MonthlyCurve!$L:$L,MATCH(A352,MonthlyCurve!$A:$A,0)),"")</f>
        <v/>
      </c>
      <c r="P352">
        <f>IF(B352&gt;0,-LN(O352)/B352,"")</f>
        <v/>
      </c>
      <c r="Q352">
        <f>G352*N352</f>
        <v/>
      </c>
      <c r="R352">
        <f>H352*N352</f>
        <v/>
      </c>
      <c r="S352">
        <f>Q352+R352</f>
        <v/>
      </c>
      <c r="T352">
        <f>Q352*O352</f>
        <v/>
      </c>
      <c r="U352">
        <f>R352*O352</f>
        <v/>
      </c>
      <c r="V352">
        <f>SUMPRODUCT(S353:S543,O353:O543)/(N352*O352)</f>
        <v/>
      </c>
    </row>
    <row r="353">
      <c r="A353" t="n">
        <v>350</v>
      </c>
      <c r="B353">
        <f>A353/Inputs!$B$6</f>
        <v/>
      </c>
      <c r="C353">
        <f>Inputs!$B$3+B353</f>
        <v/>
      </c>
      <c r="D353">
        <f>INT(C353)</f>
        <v/>
      </c>
      <c r="E353">
        <f>Inputs!$B$7+1+INT((A353-1)/Inputs!$B$6)</f>
        <v/>
      </c>
      <c r="F353">
        <f>IFERROR(INDEX(IndexScenario!$B$4:$B$544,MATCH(A353,IndexScenario!$A$4:$A$544,0)),"")</f>
        <v/>
      </c>
      <c r="G353">
        <f>G352*F353/F352</f>
        <v/>
      </c>
      <c r="H353">
        <f>H352*(1+Inputs!$B$17)^(1/12)</f>
        <v/>
      </c>
      <c r="I353">
        <f>IFERROR(INDEX(BaseQx!$B:$B,MATCH(D353,BaseQx!$A:$A,0)),"")</f>
        <v/>
      </c>
      <c r="J353">
        <f>IF(Inputs!$B$13="rp_mp",SUMIFS(MP2016_Long!$C:$C,MP2016_Long!$A:$A,D353,MP2016_Long!$B:$B,"&gt;=2014",MP2016_Long!$B:$B,"&lt;"&amp;E353),0)</f>
        <v/>
      </c>
      <c r="K353">
        <f>MIN(0.999999,MAX(0,I353*EXP(J353)))</f>
        <v/>
      </c>
      <c r="L353">
        <f>-LN(1-K353)</f>
        <v/>
      </c>
      <c r="M353">
        <f>EXP(-L353/Inputs!$B$6)</f>
        <v/>
      </c>
      <c r="N353">
        <f>N352*M353</f>
        <v/>
      </c>
      <c r="O353">
        <f>IFERROR(INDEX(MonthlyCurve!$L:$L,MATCH(A353,MonthlyCurve!$A:$A,0)),"")</f>
        <v/>
      </c>
      <c r="P353">
        <f>IF(B353&gt;0,-LN(O353)/B353,"")</f>
        <v/>
      </c>
      <c r="Q353">
        <f>G353*N353</f>
        <v/>
      </c>
      <c r="R353">
        <f>H353*N353</f>
        <v/>
      </c>
      <c r="S353">
        <f>Q353+R353</f>
        <v/>
      </c>
      <c r="T353">
        <f>Q353*O353</f>
        <v/>
      </c>
      <c r="U353">
        <f>R353*O353</f>
        <v/>
      </c>
      <c r="V353">
        <f>SUMPRODUCT(S354:S543,O354:O543)/(N353*O353)</f>
        <v/>
      </c>
    </row>
    <row r="354">
      <c r="A354" t="n">
        <v>351</v>
      </c>
      <c r="B354">
        <f>A354/Inputs!$B$6</f>
        <v/>
      </c>
      <c r="C354">
        <f>Inputs!$B$3+B354</f>
        <v/>
      </c>
      <c r="D354">
        <f>INT(C354)</f>
        <v/>
      </c>
      <c r="E354">
        <f>Inputs!$B$7+1+INT((A354-1)/Inputs!$B$6)</f>
        <v/>
      </c>
      <c r="F354">
        <f>IFERROR(INDEX(IndexScenario!$B$4:$B$544,MATCH(A354,IndexScenario!$A$4:$A$544,0)),"")</f>
        <v/>
      </c>
      <c r="G354">
        <f>G353*F354/F353</f>
        <v/>
      </c>
      <c r="H354">
        <f>H353*(1+Inputs!$B$17)^(1/12)</f>
        <v/>
      </c>
      <c r="I354">
        <f>IFERROR(INDEX(BaseQx!$B:$B,MATCH(D354,BaseQx!$A:$A,0)),"")</f>
        <v/>
      </c>
      <c r="J354">
        <f>IF(Inputs!$B$13="rp_mp",SUMIFS(MP2016_Long!$C:$C,MP2016_Long!$A:$A,D354,MP2016_Long!$B:$B,"&gt;=2014",MP2016_Long!$B:$B,"&lt;"&amp;E354),0)</f>
        <v/>
      </c>
      <c r="K354">
        <f>MIN(0.999999,MAX(0,I354*EXP(J354)))</f>
        <v/>
      </c>
      <c r="L354">
        <f>-LN(1-K354)</f>
        <v/>
      </c>
      <c r="M354">
        <f>EXP(-L354/Inputs!$B$6)</f>
        <v/>
      </c>
      <c r="N354">
        <f>N353*M354</f>
        <v/>
      </c>
      <c r="O354">
        <f>IFERROR(INDEX(MonthlyCurve!$L:$L,MATCH(A354,MonthlyCurve!$A:$A,0)),"")</f>
        <v/>
      </c>
      <c r="P354">
        <f>IF(B354&gt;0,-LN(O354)/B354,"")</f>
        <v/>
      </c>
      <c r="Q354">
        <f>G354*N354</f>
        <v/>
      </c>
      <c r="R354">
        <f>H354*N354</f>
        <v/>
      </c>
      <c r="S354">
        <f>Q354+R354</f>
        <v/>
      </c>
      <c r="T354">
        <f>Q354*O354</f>
        <v/>
      </c>
      <c r="U354">
        <f>R354*O354</f>
        <v/>
      </c>
      <c r="V354">
        <f>SUMPRODUCT(S355:S543,O355:O543)/(N354*O354)</f>
        <v/>
      </c>
    </row>
    <row r="355">
      <c r="A355" t="n">
        <v>352</v>
      </c>
      <c r="B355">
        <f>A355/Inputs!$B$6</f>
        <v/>
      </c>
      <c r="C355">
        <f>Inputs!$B$3+B355</f>
        <v/>
      </c>
      <c r="D355">
        <f>INT(C355)</f>
        <v/>
      </c>
      <c r="E355">
        <f>Inputs!$B$7+1+INT((A355-1)/Inputs!$B$6)</f>
        <v/>
      </c>
      <c r="F355">
        <f>IFERROR(INDEX(IndexScenario!$B$4:$B$544,MATCH(A355,IndexScenario!$A$4:$A$544,0)),"")</f>
        <v/>
      </c>
      <c r="G355">
        <f>G354*F355/F354</f>
        <v/>
      </c>
      <c r="H355">
        <f>H354*(1+Inputs!$B$17)^(1/12)</f>
        <v/>
      </c>
      <c r="I355">
        <f>IFERROR(INDEX(BaseQx!$B:$B,MATCH(D355,BaseQx!$A:$A,0)),"")</f>
        <v/>
      </c>
      <c r="J355">
        <f>IF(Inputs!$B$13="rp_mp",SUMIFS(MP2016_Long!$C:$C,MP2016_Long!$A:$A,D355,MP2016_Long!$B:$B,"&gt;=2014",MP2016_Long!$B:$B,"&lt;"&amp;E355),0)</f>
        <v/>
      </c>
      <c r="K355">
        <f>MIN(0.999999,MAX(0,I355*EXP(J355)))</f>
        <v/>
      </c>
      <c r="L355">
        <f>-LN(1-K355)</f>
        <v/>
      </c>
      <c r="M355">
        <f>EXP(-L355/Inputs!$B$6)</f>
        <v/>
      </c>
      <c r="N355">
        <f>N354*M355</f>
        <v/>
      </c>
      <c r="O355">
        <f>IFERROR(INDEX(MonthlyCurve!$L:$L,MATCH(A355,MonthlyCurve!$A:$A,0)),"")</f>
        <v/>
      </c>
      <c r="P355">
        <f>IF(B355&gt;0,-LN(O355)/B355,"")</f>
        <v/>
      </c>
      <c r="Q355">
        <f>G355*N355</f>
        <v/>
      </c>
      <c r="R355">
        <f>H355*N355</f>
        <v/>
      </c>
      <c r="S355">
        <f>Q355+R355</f>
        <v/>
      </c>
      <c r="T355">
        <f>Q355*O355</f>
        <v/>
      </c>
      <c r="U355">
        <f>R355*O355</f>
        <v/>
      </c>
      <c r="V355">
        <f>SUMPRODUCT(S356:S543,O356:O543)/(N355*O355)</f>
        <v/>
      </c>
    </row>
    <row r="356">
      <c r="A356" t="n">
        <v>353</v>
      </c>
      <c r="B356">
        <f>A356/Inputs!$B$6</f>
        <v/>
      </c>
      <c r="C356">
        <f>Inputs!$B$3+B356</f>
        <v/>
      </c>
      <c r="D356">
        <f>INT(C356)</f>
        <v/>
      </c>
      <c r="E356">
        <f>Inputs!$B$7+1+INT((A356-1)/Inputs!$B$6)</f>
        <v/>
      </c>
      <c r="F356">
        <f>IFERROR(INDEX(IndexScenario!$B$4:$B$544,MATCH(A356,IndexScenario!$A$4:$A$544,0)),"")</f>
        <v/>
      </c>
      <c r="G356">
        <f>G355*F356/F355</f>
        <v/>
      </c>
      <c r="H356">
        <f>H355*(1+Inputs!$B$17)^(1/12)</f>
        <v/>
      </c>
      <c r="I356">
        <f>IFERROR(INDEX(BaseQx!$B:$B,MATCH(D356,BaseQx!$A:$A,0)),"")</f>
        <v/>
      </c>
      <c r="J356">
        <f>IF(Inputs!$B$13="rp_mp",SUMIFS(MP2016_Long!$C:$C,MP2016_Long!$A:$A,D356,MP2016_Long!$B:$B,"&gt;=2014",MP2016_Long!$B:$B,"&lt;"&amp;E356),0)</f>
        <v/>
      </c>
      <c r="K356">
        <f>MIN(0.999999,MAX(0,I356*EXP(J356)))</f>
        <v/>
      </c>
      <c r="L356">
        <f>-LN(1-K356)</f>
        <v/>
      </c>
      <c r="M356">
        <f>EXP(-L356/Inputs!$B$6)</f>
        <v/>
      </c>
      <c r="N356">
        <f>N355*M356</f>
        <v/>
      </c>
      <c r="O356">
        <f>IFERROR(INDEX(MonthlyCurve!$L:$L,MATCH(A356,MonthlyCurve!$A:$A,0)),"")</f>
        <v/>
      </c>
      <c r="P356">
        <f>IF(B356&gt;0,-LN(O356)/B356,"")</f>
        <v/>
      </c>
      <c r="Q356">
        <f>G356*N356</f>
        <v/>
      </c>
      <c r="R356">
        <f>H356*N356</f>
        <v/>
      </c>
      <c r="S356">
        <f>Q356+R356</f>
        <v/>
      </c>
      <c r="T356">
        <f>Q356*O356</f>
        <v/>
      </c>
      <c r="U356">
        <f>R356*O356</f>
        <v/>
      </c>
      <c r="V356">
        <f>SUMPRODUCT(S357:S543,O357:O543)/(N356*O356)</f>
        <v/>
      </c>
    </row>
    <row r="357">
      <c r="A357" t="n">
        <v>354</v>
      </c>
      <c r="B357">
        <f>A357/Inputs!$B$6</f>
        <v/>
      </c>
      <c r="C357">
        <f>Inputs!$B$3+B357</f>
        <v/>
      </c>
      <c r="D357">
        <f>INT(C357)</f>
        <v/>
      </c>
      <c r="E357">
        <f>Inputs!$B$7+1+INT((A357-1)/Inputs!$B$6)</f>
        <v/>
      </c>
      <c r="F357">
        <f>IFERROR(INDEX(IndexScenario!$B$4:$B$544,MATCH(A357,IndexScenario!$A$4:$A$544,0)),"")</f>
        <v/>
      </c>
      <c r="G357">
        <f>G356*F357/F356</f>
        <v/>
      </c>
      <c r="H357">
        <f>H356*(1+Inputs!$B$17)^(1/12)</f>
        <v/>
      </c>
      <c r="I357">
        <f>IFERROR(INDEX(BaseQx!$B:$B,MATCH(D357,BaseQx!$A:$A,0)),"")</f>
        <v/>
      </c>
      <c r="J357">
        <f>IF(Inputs!$B$13="rp_mp",SUMIFS(MP2016_Long!$C:$C,MP2016_Long!$A:$A,D357,MP2016_Long!$B:$B,"&gt;=2014",MP2016_Long!$B:$B,"&lt;"&amp;E357),0)</f>
        <v/>
      </c>
      <c r="K357">
        <f>MIN(0.999999,MAX(0,I357*EXP(J357)))</f>
        <v/>
      </c>
      <c r="L357">
        <f>-LN(1-K357)</f>
        <v/>
      </c>
      <c r="M357">
        <f>EXP(-L357/Inputs!$B$6)</f>
        <v/>
      </c>
      <c r="N357">
        <f>N356*M357</f>
        <v/>
      </c>
      <c r="O357">
        <f>IFERROR(INDEX(MonthlyCurve!$L:$L,MATCH(A357,MonthlyCurve!$A:$A,0)),"")</f>
        <v/>
      </c>
      <c r="P357">
        <f>IF(B357&gt;0,-LN(O357)/B357,"")</f>
        <v/>
      </c>
      <c r="Q357">
        <f>G357*N357</f>
        <v/>
      </c>
      <c r="R357">
        <f>H357*N357</f>
        <v/>
      </c>
      <c r="S357">
        <f>Q357+R357</f>
        <v/>
      </c>
      <c r="T357">
        <f>Q357*O357</f>
        <v/>
      </c>
      <c r="U357">
        <f>R357*O357</f>
        <v/>
      </c>
      <c r="V357">
        <f>SUMPRODUCT(S358:S543,O358:O543)/(N357*O357)</f>
        <v/>
      </c>
    </row>
    <row r="358">
      <c r="A358" t="n">
        <v>355</v>
      </c>
      <c r="B358">
        <f>A358/Inputs!$B$6</f>
        <v/>
      </c>
      <c r="C358">
        <f>Inputs!$B$3+B358</f>
        <v/>
      </c>
      <c r="D358">
        <f>INT(C358)</f>
        <v/>
      </c>
      <c r="E358">
        <f>Inputs!$B$7+1+INT((A358-1)/Inputs!$B$6)</f>
        <v/>
      </c>
      <c r="F358">
        <f>IFERROR(INDEX(IndexScenario!$B$4:$B$544,MATCH(A358,IndexScenario!$A$4:$A$544,0)),"")</f>
        <v/>
      </c>
      <c r="G358">
        <f>G357*F358/F357</f>
        <v/>
      </c>
      <c r="H358">
        <f>H357*(1+Inputs!$B$17)^(1/12)</f>
        <v/>
      </c>
      <c r="I358">
        <f>IFERROR(INDEX(BaseQx!$B:$B,MATCH(D358,BaseQx!$A:$A,0)),"")</f>
        <v/>
      </c>
      <c r="J358">
        <f>IF(Inputs!$B$13="rp_mp",SUMIFS(MP2016_Long!$C:$C,MP2016_Long!$A:$A,D358,MP2016_Long!$B:$B,"&gt;=2014",MP2016_Long!$B:$B,"&lt;"&amp;E358),0)</f>
        <v/>
      </c>
      <c r="K358">
        <f>MIN(0.999999,MAX(0,I358*EXP(J358)))</f>
        <v/>
      </c>
      <c r="L358">
        <f>-LN(1-K358)</f>
        <v/>
      </c>
      <c r="M358">
        <f>EXP(-L358/Inputs!$B$6)</f>
        <v/>
      </c>
      <c r="N358">
        <f>N357*M358</f>
        <v/>
      </c>
      <c r="O358">
        <f>IFERROR(INDEX(MonthlyCurve!$L:$L,MATCH(A358,MonthlyCurve!$A:$A,0)),"")</f>
        <v/>
      </c>
      <c r="P358">
        <f>IF(B358&gt;0,-LN(O358)/B358,"")</f>
        <v/>
      </c>
      <c r="Q358">
        <f>G358*N358</f>
        <v/>
      </c>
      <c r="R358">
        <f>H358*N358</f>
        <v/>
      </c>
      <c r="S358">
        <f>Q358+R358</f>
        <v/>
      </c>
      <c r="T358">
        <f>Q358*O358</f>
        <v/>
      </c>
      <c r="U358">
        <f>R358*O358</f>
        <v/>
      </c>
      <c r="V358">
        <f>SUMPRODUCT(S359:S543,O359:O543)/(N358*O358)</f>
        <v/>
      </c>
    </row>
    <row r="359">
      <c r="A359" t="n">
        <v>356</v>
      </c>
      <c r="B359">
        <f>A359/Inputs!$B$6</f>
        <v/>
      </c>
      <c r="C359">
        <f>Inputs!$B$3+B359</f>
        <v/>
      </c>
      <c r="D359">
        <f>INT(C359)</f>
        <v/>
      </c>
      <c r="E359">
        <f>Inputs!$B$7+1+INT((A359-1)/Inputs!$B$6)</f>
        <v/>
      </c>
      <c r="F359">
        <f>IFERROR(INDEX(IndexScenario!$B$4:$B$544,MATCH(A359,IndexScenario!$A$4:$A$544,0)),"")</f>
        <v/>
      </c>
      <c r="G359">
        <f>G358*F359/F358</f>
        <v/>
      </c>
      <c r="H359">
        <f>H358*(1+Inputs!$B$17)^(1/12)</f>
        <v/>
      </c>
      <c r="I359">
        <f>IFERROR(INDEX(BaseQx!$B:$B,MATCH(D359,BaseQx!$A:$A,0)),"")</f>
        <v/>
      </c>
      <c r="J359">
        <f>IF(Inputs!$B$13="rp_mp",SUMIFS(MP2016_Long!$C:$C,MP2016_Long!$A:$A,D359,MP2016_Long!$B:$B,"&gt;=2014",MP2016_Long!$B:$B,"&lt;"&amp;E359),0)</f>
        <v/>
      </c>
      <c r="K359">
        <f>MIN(0.999999,MAX(0,I359*EXP(J359)))</f>
        <v/>
      </c>
      <c r="L359">
        <f>-LN(1-K359)</f>
        <v/>
      </c>
      <c r="M359">
        <f>EXP(-L359/Inputs!$B$6)</f>
        <v/>
      </c>
      <c r="N359">
        <f>N358*M359</f>
        <v/>
      </c>
      <c r="O359">
        <f>IFERROR(INDEX(MonthlyCurve!$L:$L,MATCH(A359,MonthlyCurve!$A:$A,0)),"")</f>
        <v/>
      </c>
      <c r="P359">
        <f>IF(B359&gt;0,-LN(O359)/B359,"")</f>
        <v/>
      </c>
      <c r="Q359">
        <f>G359*N359</f>
        <v/>
      </c>
      <c r="R359">
        <f>H359*N359</f>
        <v/>
      </c>
      <c r="S359">
        <f>Q359+R359</f>
        <v/>
      </c>
      <c r="T359">
        <f>Q359*O359</f>
        <v/>
      </c>
      <c r="U359">
        <f>R359*O359</f>
        <v/>
      </c>
      <c r="V359">
        <f>SUMPRODUCT(S360:S543,O360:O543)/(N359*O359)</f>
        <v/>
      </c>
    </row>
    <row r="360">
      <c r="A360" t="n">
        <v>357</v>
      </c>
      <c r="B360">
        <f>A360/Inputs!$B$6</f>
        <v/>
      </c>
      <c r="C360">
        <f>Inputs!$B$3+B360</f>
        <v/>
      </c>
      <c r="D360">
        <f>INT(C360)</f>
        <v/>
      </c>
      <c r="E360">
        <f>Inputs!$B$7+1+INT((A360-1)/Inputs!$B$6)</f>
        <v/>
      </c>
      <c r="F360">
        <f>IFERROR(INDEX(IndexScenario!$B$4:$B$544,MATCH(A360,IndexScenario!$A$4:$A$544,0)),"")</f>
        <v/>
      </c>
      <c r="G360">
        <f>G359*F360/F359</f>
        <v/>
      </c>
      <c r="H360">
        <f>H359*(1+Inputs!$B$17)^(1/12)</f>
        <v/>
      </c>
      <c r="I360">
        <f>IFERROR(INDEX(BaseQx!$B:$B,MATCH(D360,BaseQx!$A:$A,0)),"")</f>
        <v/>
      </c>
      <c r="J360">
        <f>IF(Inputs!$B$13="rp_mp",SUMIFS(MP2016_Long!$C:$C,MP2016_Long!$A:$A,D360,MP2016_Long!$B:$B,"&gt;=2014",MP2016_Long!$B:$B,"&lt;"&amp;E360),0)</f>
        <v/>
      </c>
      <c r="K360">
        <f>MIN(0.999999,MAX(0,I360*EXP(J360)))</f>
        <v/>
      </c>
      <c r="L360">
        <f>-LN(1-K360)</f>
        <v/>
      </c>
      <c r="M360">
        <f>EXP(-L360/Inputs!$B$6)</f>
        <v/>
      </c>
      <c r="N360">
        <f>N359*M360</f>
        <v/>
      </c>
      <c r="O360">
        <f>IFERROR(INDEX(MonthlyCurve!$L:$L,MATCH(A360,MonthlyCurve!$A:$A,0)),"")</f>
        <v/>
      </c>
      <c r="P360">
        <f>IF(B360&gt;0,-LN(O360)/B360,"")</f>
        <v/>
      </c>
      <c r="Q360">
        <f>G360*N360</f>
        <v/>
      </c>
      <c r="R360">
        <f>H360*N360</f>
        <v/>
      </c>
      <c r="S360">
        <f>Q360+R360</f>
        <v/>
      </c>
      <c r="T360">
        <f>Q360*O360</f>
        <v/>
      </c>
      <c r="U360">
        <f>R360*O360</f>
        <v/>
      </c>
      <c r="V360">
        <f>SUMPRODUCT(S361:S543,O361:O543)/(N360*O360)</f>
        <v/>
      </c>
    </row>
    <row r="361">
      <c r="A361" t="n">
        <v>358</v>
      </c>
      <c r="B361">
        <f>A361/Inputs!$B$6</f>
        <v/>
      </c>
      <c r="C361">
        <f>Inputs!$B$3+B361</f>
        <v/>
      </c>
      <c r="D361">
        <f>INT(C361)</f>
        <v/>
      </c>
      <c r="E361">
        <f>Inputs!$B$7+1+INT((A361-1)/Inputs!$B$6)</f>
        <v/>
      </c>
      <c r="F361">
        <f>IFERROR(INDEX(IndexScenario!$B$4:$B$544,MATCH(A361,IndexScenario!$A$4:$A$544,0)),"")</f>
        <v/>
      </c>
      <c r="G361">
        <f>G360*F361/F360</f>
        <v/>
      </c>
      <c r="H361">
        <f>H360*(1+Inputs!$B$17)^(1/12)</f>
        <v/>
      </c>
      <c r="I361">
        <f>IFERROR(INDEX(BaseQx!$B:$B,MATCH(D361,BaseQx!$A:$A,0)),"")</f>
        <v/>
      </c>
      <c r="J361">
        <f>IF(Inputs!$B$13="rp_mp",SUMIFS(MP2016_Long!$C:$C,MP2016_Long!$A:$A,D361,MP2016_Long!$B:$B,"&gt;=2014",MP2016_Long!$B:$B,"&lt;"&amp;E361),0)</f>
        <v/>
      </c>
      <c r="K361">
        <f>MIN(0.999999,MAX(0,I361*EXP(J361)))</f>
        <v/>
      </c>
      <c r="L361">
        <f>-LN(1-K361)</f>
        <v/>
      </c>
      <c r="M361">
        <f>EXP(-L361/Inputs!$B$6)</f>
        <v/>
      </c>
      <c r="N361">
        <f>N360*M361</f>
        <v/>
      </c>
      <c r="O361">
        <f>IFERROR(INDEX(MonthlyCurve!$L:$L,MATCH(A361,MonthlyCurve!$A:$A,0)),"")</f>
        <v/>
      </c>
      <c r="P361">
        <f>IF(B361&gt;0,-LN(O361)/B361,"")</f>
        <v/>
      </c>
      <c r="Q361">
        <f>G361*N361</f>
        <v/>
      </c>
      <c r="R361">
        <f>H361*N361</f>
        <v/>
      </c>
      <c r="S361">
        <f>Q361+R361</f>
        <v/>
      </c>
      <c r="T361">
        <f>Q361*O361</f>
        <v/>
      </c>
      <c r="U361">
        <f>R361*O361</f>
        <v/>
      </c>
      <c r="V361">
        <f>SUMPRODUCT(S362:S543,O362:O543)/(N361*O361)</f>
        <v/>
      </c>
    </row>
    <row r="362">
      <c r="A362" t="n">
        <v>359</v>
      </c>
      <c r="B362">
        <f>A362/Inputs!$B$6</f>
        <v/>
      </c>
      <c r="C362">
        <f>Inputs!$B$3+B362</f>
        <v/>
      </c>
      <c r="D362">
        <f>INT(C362)</f>
        <v/>
      </c>
      <c r="E362">
        <f>Inputs!$B$7+1+INT((A362-1)/Inputs!$B$6)</f>
        <v/>
      </c>
      <c r="F362">
        <f>IFERROR(INDEX(IndexScenario!$B$4:$B$544,MATCH(A362,IndexScenario!$A$4:$A$544,0)),"")</f>
        <v/>
      </c>
      <c r="G362">
        <f>G361*F362/F361</f>
        <v/>
      </c>
      <c r="H362">
        <f>H361*(1+Inputs!$B$17)^(1/12)</f>
        <v/>
      </c>
      <c r="I362">
        <f>IFERROR(INDEX(BaseQx!$B:$B,MATCH(D362,BaseQx!$A:$A,0)),"")</f>
        <v/>
      </c>
      <c r="J362">
        <f>IF(Inputs!$B$13="rp_mp",SUMIFS(MP2016_Long!$C:$C,MP2016_Long!$A:$A,D362,MP2016_Long!$B:$B,"&gt;=2014",MP2016_Long!$B:$B,"&lt;"&amp;E362),0)</f>
        <v/>
      </c>
      <c r="K362">
        <f>MIN(0.999999,MAX(0,I362*EXP(J362)))</f>
        <v/>
      </c>
      <c r="L362">
        <f>-LN(1-K362)</f>
        <v/>
      </c>
      <c r="M362">
        <f>EXP(-L362/Inputs!$B$6)</f>
        <v/>
      </c>
      <c r="N362">
        <f>N361*M362</f>
        <v/>
      </c>
      <c r="O362">
        <f>IFERROR(INDEX(MonthlyCurve!$L:$L,MATCH(A362,MonthlyCurve!$A:$A,0)),"")</f>
        <v/>
      </c>
      <c r="P362">
        <f>IF(B362&gt;0,-LN(O362)/B362,"")</f>
        <v/>
      </c>
      <c r="Q362">
        <f>G362*N362</f>
        <v/>
      </c>
      <c r="R362">
        <f>H362*N362</f>
        <v/>
      </c>
      <c r="S362">
        <f>Q362+R362</f>
        <v/>
      </c>
      <c r="T362">
        <f>Q362*O362</f>
        <v/>
      </c>
      <c r="U362">
        <f>R362*O362</f>
        <v/>
      </c>
      <c r="V362">
        <f>SUMPRODUCT(S363:S543,O363:O543)/(N362*O362)</f>
        <v/>
      </c>
    </row>
    <row r="363">
      <c r="A363" t="n">
        <v>360</v>
      </c>
      <c r="B363">
        <f>A363/Inputs!$B$6</f>
        <v/>
      </c>
      <c r="C363">
        <f>Inputs!$B$3+B363</f>
        <v/>
      </c>
      <c r="D363">
        <f>INT(C363)</f>
        <v/>
      </c>
      <c r="E363">
        <f>Inputs!$B$7+1+INT((A363-1)/Inputs!$B$6)</f>
        <v/>
      </c>
      <c r="F363">
        <f>IFERROR(INDEX(IndexScenario!$B$4:$B$544,MATCH(A363,IndexScenario!$A$4:$A$544,0)),"")</f>
        <v/>
      </c>
      <c r="G363">
        <f>G362*F363/F362</f>
        <v/>
      </c>
      <c r="H363">
        <f>H362*(1+Inputs!$B$17)^(1/12)</f>
        <v/>
      </c>
      <c r="I363">
        <f>IFERROR(INDEX(BaseQx!$B:$B,MATCH(D363,BaseQx!$A:$A,0)),"")</f>
        <v/>
      </c>
      <c r="J363">
        <f>IF(Inputs!$B$13="rp_mp",SUMIFS(MP2016_Long!$C:$C,MP2016_Long!$A:$A,D363,MP2016_Long!$B:$B,"&gt;=2014",MP2016_Long!$B:$B,"&lt;"&amp;E363),0)</f>
        <v/>
      </c>
      <c r="K363">
        <f>MIN(0.999999,MAX(0,I363*EXP(J363)))</f>
        <v/>
      </c>
      <c r="L363">
        <f>-LN(1-K363)</f>
        <v/>
      </c>
      <c r="M363">
        <f>EXP(-L363/Inputs!$B$6)</f>
        <v/>
      </c>
      <c r="N363">
        <f>N362*M363</f>
        <v/>
      </c>
      <c r="O363">
        <f>IFERROR(INDEX(MonthlyCurve!$L:$L,MATCH(A363,MonthlyCurve!$A:$A,0)),"")</f>
        <v/>
      </c>
      <c r="P363">
        <f>IF(B363&gt;0,-LN(O363)/B363,"")</f>
        <v/>
      </c>
      <c r="Q363">
        <f>G363*N363</f>
        <v/>
      </c>
      <c r="R363">
        <f>H363*N363</f>
        <v/>
      </c>
      <c r="S363">
        <f>Q363+R363</f>
        <v/>
      </c>
      <c r="T363">
        <f>Q363*O363</f>
        <v/>
      </c>
      <c r="U363">
        <f>R363*O363</f>
        <v/>
      </c>
      <c r="V363">
        <f>SUMPRODUCT(S364:S543,O364:O543)/(N363*O363)</f>
        <v/>
      </c>
    </row>
    <row r="364">
      <c r="A364" t="n">
        <v>361</v>
      </c>
      <c r="B364">
        <f>A364/Inputs!$B$6</f>
        <v/>
      </c>
      <c r="C364">
        <f>Inputs!$B$3+B364</f>
        <v/>
      </c>
      <c r="D364">
        <f>INT(C364)</f>
        <v/>
      </c>
      <c r="E364">
        <f>Inputs!$B$7+1+INT((A364-1)/Inputs!$B$6)</f>
        <v/>
      </c>
      <c r="F364">
        <f>IFERROR(INDEX(IndexScenario!$B$4:$B$544,MATCH(A364,IndexScenario!$A$4:$A$544,0)),"")</f>
        <v/>
      </c>
      <c r="G364">
        <f>G363*F364/F363</f>
        <v/>
      </c>
      <c r="H364">
        <f>H363*(1+Inputs!$B$17)^(1/12)</f>
        <v/>
      </c>
      <c r="I364">
        <f>IFERROR(INDEX(BaseQx!$B:$B,MATCH(D364,BaseQx!$A:$A,0)),"")</f>
        <v/>
      </c>
      <c r="J364">
        <f>IF(Inputs!$B$13="rp_mp",SUMIFS(MP2016_Long!$C:$C,MP2016_Long!$A:$A,D364,MP2016_Long!$B:$B,"&gt;=2014",MP2016_Long!$B:$B,"&lt;"&amp;E364),0)</f>
        <v/>
      </c>
      <c r="K364">
        <f>MIN(0.999999,MAX(0,I364*EXP(J364)))</f>
        <v/>
      </c>
      <c r="L364">
        <f>-LN(1-K364)</f>
        <v/>
      </c>
      <c r="M364">
        <f>EXP(-L364/Inputs!$B$6)</f>
        <v/>
      </c>
      <c r="N364">
        <f>N363*M364</f>
        <v/>
      </c>
      <c r="O364">
        <f>IFERROR(INDEX(MonthlyCurve!$L:$L,MATCH(A364,MonthlyCurve!$A:$A,0)),"")</f>
        <v/>
      </c>
      <c r="P364">
        <f>IF(B364&gt;0,-LN(O364)/B364,"")</f>
        <v/>
      </c>
      <c r="Q364">
        <f>G364*N364</f>
        <v/>
      </c>
      <c r="R364">
        <f>H364*N364</f>
        <v/>
      </c>
      <c r="S364">
        <f>Q364+R364</f>
        <v/>
      </c>
      <c r="T364">
        <f>Q364*O364</f>
        <v/>
      </c>
      <c r="U364">
        <f>R364*O364</f>
        <v/>
      </c>
      <c r="V364">
        <f>SUMPRODUCT(S365:S543,O365:O543)/(N364*O364)</f>
        <v/>
      </c>
    </row>
    <row r="365">
      <c r="A365" t="n">
        <v>362</v>
      </c>
      <c r="B365">
        <f>A365/Inputs!$B$6</f>
        <v/>
      </c>
      <c r="C365">
        <f>Inputs!$B$3+B365</f>
        <v/>
      </c>
      <c r="D365">
        <f>INT(C365)</f>
        <v/>
      </c>
      <c r="E365">
        <f>Inputs!$B$7+1+INT((A365-1)/Inputs!$B$6)</f>
        <v/>
      </c>
      <c r="F365">
        <f>IFERROR(INDEX(IndexScenario!$B$4:$B$544,MATCH(A365,IndexScenario!$A$4:$A$544,0)),"")</f>
        <v/>
      </c>
      <c r="G365">
        <f>G364*F365/F364</f>
        <v/>
      </c>
      <c r="H365">
        <f>H364*(1+Inputs!$B$17)^(1/12)</f>
        <v/>
      </c>
      <c r="I365">
        <f>IFERROR(INDEX(BaseQx!$B:$B,MATCH(D365,BaseQx!$A:$A,0)),"")</f>
        <v/>
      </c>
      <c r="J365">
        <f>IF(Inputs!$B$13="rp_mp",SUMIFS(MP2016_Long!$C:$C,MP2016_Long!$A:$A,D365,MP2016_Long!$B:$B,"&gt;=2014",MP2016_Long!$B:$B,"&lt;"&amp;E365),0)</f>
        <v/>
      </c>
      <c r="K365">
        <f>MIN(0.999999,MAX(0,I365*EXP(J365)))</f>
        <v/>
      </c>
      <c r="L365">
        <f>-LN(1-K365)</f>
        <v/>
      </c>
      <c r="M365">
        <f>EXP(-L365/Inputs!$B$6)</f>
        <v/>
      </c>
      <c r="N365">
        <f>N364*M365</f>
        <v/>
      </c>
      <c r="O365">
        <f>IFERROR(INDEX(MonthlyCurve!$L:$L,MATCH(A365,MonthlyCurve!$A:$A,0)),"")</f>
        <v/>
      </c>
      <c r="P365">
        <f>IF(B365&gt;0,-LN(O365)/B365,"")</f>
        <v/>
      </c>
      <c r="Q365">
        <f>G365*N365</f>
        <v/>
      </c>
      <c r="R365">
        <f>H365*N365</f>
        <v/>
      </c>
      <c r="S365">
        <f>Q365+R365</f>
        <v/>
      </c>
      <c r="T365">
        <f>Q365*O365</f>
        <v/>
      </c>
      <c r="U365">
        <f>R365*O365</f>
        <v/>
      </c>
      <c r="V365">
        <f>SUMPRODUCT(S366:S543,O366:O543)/(N365*O365)</f>
        <v/>
      </c>
    </row>
    <row r="366">
      <c r="A366" t="n">
        <v>363</v>
      </c>
      <c r="B366">
        <f>A366/Inputs!$B$6</f>
        <v/>
      </c>
      <c r="C366">
        <f>Inputs!$B$3+B366</f>
        <v/>
      </c>
      <c r="D366">
        <f>INT(C366)</f>
        <v/>
      </c>
      <c r="E366">
        <f>Inputs!$B$7+1+INT((A366-1)/Inputs!$B$6)</f>
        <v/>
      </c>
      <c r="F366">
        <f>IFERROR(INDEX(IndexScenario!$B$4:$B$544,MATCH(A366,IndexScenario!$A$4:$A$544,0)),"")</f>
        <v/>
      </c>
      <c r="G366">
        <f>G365*F366/F365</f>
        <v/>
      </c>
      <c r="H366">
        <f>H365*(1+Inputs!$B$17)^(1/12)</f>
        <v/>
      </c>
      <c r="I366">
        <f>IFERROR(INDEX(BaseQx!$B:$B,MATCH(D366,BaseQx!$A:$A,0)),"")</f>
        <v/>
      </c>
      <c r="J366">
        <f>IF(Inputs!$B$13="rp_mp",SUMIFS(MP2016_Long!$C:$C,MP2016_Long!$A:$A,D366,MP2016_Long!$B:$B,"&gt;=2014",MP2016_Long!$B:$B,"&lt;"&amp;E366),0)</f>
        <v/>
      </c>
      <c r="K366">
        <f>MIN(0.999999,MAX(0,I366*EXP(J366)))</f>
        <v/>
      </c>
      <c r="L366">
        <f>-LN(1-K366)</f>
        <v/>
      </c>
      <c r="M366">
        <f>EXP(-L366/Inputs!$B$6)</f>
        <v/>
      </c>
      <c r="N366">
        <f>N365*M366</f>
        <v/>
      </c>
      <c r="O366">
        <f>IFERROR(INDEX(MonthlyCurve!$L:$L,MATCH(A366,MonthlyCurve!$A:$A,0)),"")</f>
        <v/>
      </c>
      <c r="P366">
        <f>IF(B366&gt;0,-LN(O366)/B366,"")</f>
        <v/>
      </c>
      <c r="Q366">
        <f>G366*N366</f>
        <v/>
      </c>
      <c r="R366">
        <f>H366*N366</f>
        <v/>
      </c>
      <c r="S366">
        <f>Q366+R366</f>
        <v/>
      </c>
      <c r="T366">
        <f>Q366*O366</f>
        <v/>
      </c>
      <c r="U366">
        <f>R366*O366</f>
        <v/>
      </c>
      <c r="V366">
        <f>SUMPRODUCT(S367:S543,O367:O543)/(N366*O366)</f>
        <v/>
      </c>
    </row>
    <row r="367">
      <c r="A367" t="n">
        <v>364</v>
      </c>
      <c r="B367">
        <f>A367/Inputs!$B$6</f>
        <v/>
      </c>
      <c r="C367">
        <f>Inputs!$B$3+B367</f>
        <v/>
      </c>
      <c r="D367">
        <f>INT(C367)</f>
        <v/>
      </c>
      <c r="E367">
        <f>Inputs!$B$7+1+INT((A367-1)/Inputs!$B$6)</f>
        <v/>
      </c>
      <c r="F367">
        <f>IFERROR(INDEX(IndexScenario!$B$4:$B$544,MATCH(A367,IndexScenario!$A$4:$A$544,0)),"")</f>
        <v/>
      </c>
      <c r="G367">
        <f>G366*F367/F366</f>
        <v/>
      </c>
      <c r="H367">
        <f>H366*(1+Inputs!$B$17)^(1/12)</f>
        <v/>
      </c>
      <c r="I367">
        <f>IFERROR(INDEX(BaseQx!$B:$B,MATCH(D367,BaseQx!$A:$A,0)),"")</f>
        <v/>
      </c>
      <c r="J367">
        <f>IF(Inputs!$B$13="rp_mp",SUMIFS(MP2016_Long!$C:$C,MP2016_Long!$A:$A,D367,MP2016_Long!$B:$B,"&gt;=2014",MP2016_Long!$B:$B,"&lt;"&amp;E367),0)</f>
        <v/>
      </c>
      <c r="K367">
        <f>MIN(0.999999,MAX(0,I367*EXP(J367)))</f>
        <v/>
      </c>
      <c r="L367">
        <f>-LN(1-K367)</f>
        <v/>
      </c>
      <c r="M367">
        <f>EXP(-L367/Inputs!$B$6)</f>
        <v/>
      </c>
      <c r="N367">
        <f>N366*M367</f>
        <v/>
      </c>
      <c r="O367">
        <f>IFERROR(INDEX(MonthlyCurve!$L:$L,MATCH(A367,MonthlyCurve!$A:$A,0)),"")</f>
        <v/>
      </c>
      <c r="P367">
        <f>IF(B367&gt;0,-LN(O367)/B367,"")</f>
        <v/>
      </c>
      <c r="Q367">
        <f>G367*N367</f>
        <v/>
      </c>
      <c r="R367">
        <f>H367*N367</f>
        <v/>
      </c>
      <c r="S367">
        <f>Q367+R367</f>
        <v/>
      </c>
      <c r="T367">
        <f>Q367*O367</f>
        <v/>
      </c>
      <c r="U367">
        <f>R367*O367</f>
        <v/>
      </c>
      <c r="V367">
        <f>SUMPRODUCT(S368:S543,O368:O543)/(N367*O367)</f>
        <v/>
      </c>
    </row>
    <row r="368">
      <c r="A368" t="n">
        <v>365</v>
      </c>
      <c r="B368">
        <f>A368/Inputs!$B$6</f>
        <v/>
      </c>
      <c r="C368">
        <f>Inputs!$B$3+B368</f>
        <v/>
      </c>
      <c r="D368">
        <f>INT(C368)</f>
        <v/>
      </c>
      <c r="E368">
        <f>Inputs!$B$7+1+INT((A368-1)/Inputs!$B$6)</f>
        <v/>
      </c>
      <c r="F368">
        <f>IFERROR(INDEX(IndexScenario!$B$4:$B$544,MATCH(A368,IndexScenario!$A$4:$A$544,0)),"")</f>
        <v/>
      </c>
      <c r="G368">
        <f>G367*F368/F367</f>
        <v/>
      </c>
      <c r="H368">
        <f>H367*(1+Inputs!$B$17)^(1/12)</f>
        <v/>
      </c>
      <c r="I368">
        <f>IFERROR(INDEX(BaseQx!$B:$B,MATCH(D368,BaseQx!$A:$A,0)),"")</f>
        <v/>
      </c>
      <c r="J368">
        <f>IF(Inputs!$B$13="rp_mp",SUMIFS(MP2016_Long!$C:$C,MP2016_Long!$A:$A,D368,MP2016_Long!$B:$B,"&gt;=2014",MP2016_Long!$B:$B,"&lt;"&amp;E368),0)</f>
        <v/>
      </c>
      <c r="K368">
        <f>MIN(0.999999,MAX(0,I368*EXP(J368)))</f>
        <v/>
      </c>
      <c r="L368">
        <f>-LN(1-K368)</f>
        <v/>
      </c>
      <c r="M368">
        <f>EXP(-L368/Inputs!$B$6)</f>
        <v/>
      </c>
      <c r="N368">
        <f>N367*M368</f>
        <v/>
      </c>
      <c r="O368">
        <f>IFERROR(INDEX(MonthlyCurve!$L:$L,MATCH(A368,MonthlyCurve!$A:$A,0)),"")</f>
        <v/>
      </c>
      <c r="P368">
        <f>IF(B368&gt;0,-LN(O368)/B368,"")</f>
        <v/>
      </c>
      <c r="Q368">
        <f>G368*N368</f>
        <v/>
      </c>
      <c r="R368">
        <f>H368*N368</f>
        <v/>
      </c>
      <c r="S368">
        <f>Q368+R368</f>
        <v/>
      </c>
      <c r="T368">
        <f>Q368*O368</f>
        <v/>
      </c>
      <c r="U368">
        <f>R368*O368</f>
        <v/>
      </c>
      <c r="V368">
        <f>SUMPRODUCT(S369:S543,O369:O543)/(N368*O368)</f>
        <v/>
      </c>
    </row>
    <row r="369">
      <c r="A369" t="n">
        <v>366</v>
      </c>
      <c r="B369">
        <f>A369/Inputs!$B$6</f>
        <v/>
      </c>
      <c r="C369">
        <f>Inputs!$B$3+B369</f>
        <v/>
      </c>
      <c r="D369">
        <f>INT(C369)</f>
        <v/>
      </c>
      <c r="E369">
        <f>Inputs!$B$7+1+INT((A369-1)/Inputs!$B$6)</f>
        <v/>
      </c>
      <c r="F369">
        <f>IFERROR(INDEX(IndexScenario!$B$4:$B$544,MATCH(A369,IndexScenario!$A$4:$A$544,0)),"")</f>
        <v/>
      </c>
      <c r="G369">
        <f>G368*F369/F368</f>
        <v/>
      </c>
      <c r="H369">
        <f>H368*(1+Inputs!$B$17)^(1/12)</f>
        <v/>
      </c>
      <c r="I369">
        <f>IFERROR(INDEX(BaseQx!$B:$B,MATCH(D369,BaseQx!$A:$A,0)),"")</f>
        <v/>
      </c>
      <c r="J369">
        <f>IF(Inputs!$B$13="rp_mp",SUMIFS(MP2016_Long!$C:$C,MP2016_Long!$A:$A,D369,MP2016_Long!$B:$B,"&gt;=2014",MP2016_Long!$B:$B,"&lt;"&amp;E369),0)</f>
        <v/>
      </c>
      <c r="K369">
        <f>MIN(0.999999,MAX(0,I369*EXP(J369)))</f>
        <v/>
      </c>
      <c r="L369">
        <f>-LN(1-K369)</f>
        <v/>
      </c>
      <c r="M369">
        <f>EXP(-L369/Inputs!$B$6)</f>
        <v/>
      </c>
      <c r="N369">
        <f>N368*M369</f>
        <v/>
      </c>
      <c r="O369">
        <f>IFERROR(INDEX(MonthlyCurve!$L:$L,MATCH(A369,MonthlyCurve!$A:$A,0)),"")</f>
        <v/>
      </c>
      <c r="P369">
        <f>IF(B369&gt;0,-LN(O369)/B369,"")</f>
        <v/>
      </c>
      <c r="Q369">
        <f>G369*N369</f>
        <v/>
      </c>
      <c r="R369">
        <f>H369*N369</f>
        <v/>
      </c>
      <c r="S369">
        <f>Q369+R369</f>
        <v/>
      </c>
      <c r="T369">
        <f>Q369*O369</f>
        <v/>
      </c>
      <c r="U369">
        <f>R369*O369</f>
        <v/>
      </c>
      <c r="V369">
        <f>SUMPRODUCT(S370:S543,O370:O543)/(N369*O369)</f>
        <v/>
      </c>
    </row>
    <row r="370">
      <c r="A370" t="n">
        <v>367</v>
      </c>
      <c r="B370">
        <f>A370/Inputs!$B$6</f>
        <v/>
      </c>
      <c r="C370">
        <f>Inputs!$B$3+B370</f>
        <v/>
      </c>
      <c r="D370">
        <f>INT(C370)</f>
        <v/>
      </c>
      <c r="E370">
        <f>Inputs!$B$7+1+INT((A370-1)/Inputs!$B$6)</f>
        <v/>
      </c>
      <c r="F370">
        <f>IFERROR(INDEX(IndexScenario!$B$4:$B$544,MATCH(A370,IndexScenario!$A$4:$A$544,0)),"")</f>
        <v/>
      </c>
      <c r="G370">
        <f>G369*F370/F369</f>
        <v/>
      </c>
      <c r="H370">
        <f>H369*(1+Inputs!$B$17)^(1/12)</f>
        <v/>
      </c>
      <c r="I370">
        <f>IFERROR(INDEX(BaseQx!$B:$B,MATCH(D370,BaseQx!$A:$A,0)),"")</f>
        <v/>
      </c>
      <c r="J370">
        <f>IF(Inputs!$B$13="rp_mp",SUMIFS(MP2016_Long!$C:$C,MP2016_Long!$A:$A,D370,MP2016_Long!$B:$B,"&gt;=2014",MP2016_Long!$B:$B,"&lt;"&amp;E370),0)</f>
        <v/>
      </c>
      <c r="K370">
        <f>MIN(0.999999,MAX(0,I370*EXP(J370)))</f>
        <v/>
      </c>
      <c r="L370">
        <f>-LN(1-K370)</f>
        <v/>
      </c>
      <c r="M370">
        <f>EXP(-L370/Inputs!$B$6)</f>
        <v/>
      </c>
      <c r="N370">
        <f>N369*M370</f>
        <v/>
      </c>
      <c r="O370">
        <f>IFERROR(INDEX(MonthlyCurve!$L:$L,MATCH(A370,MonthlyCurve!$A:$A,0)),"")</f>
        <v/>
      </c>
      <c r="P370">
        <f>IF(B370&gt;0,-LN(O370)/B370,"")</f>
        <v/>
      </c>
      <c r="Q370">
        <f>G370*N370</f>
        <v/>
      </c>
      <c r="R370">
        <f>H370*N370</f>
        <v/>
      </c>
      <c r="S370">
        <f>Q370+R370</f>
        <v/>
      </c>
      <c r="T370">
        <f>Q370*O370</f>
        <v/>
      </c>
      <c r="U370">
        <f>R370*O370</f>
        <v/>
      </c>
      <c r="V370">
        <f>SUMPRODUCT(S371:S543,O371:O543)/(N370*O370)</f>
        <v/>
      </c>
    </row>
    <row r="371">
      <c r="A371" t="n">
        <v>368</v>
      </c>
      <c r="B371">
        <f>A371/Inputs!$B$6</f>
        <v/>
      </c>
      <c r="C371">
        <f>Inputs!$B$3+B371</f>
        <v/>
      </c>
      <c r="D371">
        <f>INT(C371)</f>
        <v/>
      </c>
      <c r="E371">
        <f>Inputs!$B$7+1+INT((A371-1)/Inputs!$B$6)</f>
        <v/>
      </c>
      <c r="F371">
        <f>IFERROR(INDEX(IndexScenario!$B$4:$B$544,MATCH(A371,IndexScenario!$A$4:$A$544,0)),"")</f>
        <v/>
      </c>
      <c r="G371">
        <f>G370*F371/F370</f>
        <v/>
      </c>
      <c r="H371">
        <f>H370*(1+Inputs!$B$17)^(1/12)</f>
        <v/>
      </c>
      <c r="I371">
        <f>IFERROR(INDEX(BaseQx!$B:$B,MATCH(D371,BaseQx!$A:$A,0)),"")</f>
        <v/>
      </c>
      <c r="J371">
        <f>IF(Inputs!$B$13="rp_mp",SUMIFS(MP2016_Long!$C:$C,MP2016_Long!$A:$A,D371,MP2016_Long!$B:$B,"&gt;=2014",MP2016_Long!$B:$B,"&lt;"&amp;E371),0)</f>
        <v/>
      </c>
      <c r="K371">
        <f>MIN(0.999999,MAX(0,I371*EXP(J371)))</f>
        <v/>
      </c>
      <c r="L371">
        <f>-LN(1-K371)</f>
        <v/>
      </c>
      <c r="M371">
        <f>EXP(-L371/Inputs!$B$6)</f>
        <v/>
      </c>
      <c r="N371">
        <f>N370*M371</f>
        <v/>
      </c>
      <c r="O371">
        <f>IFERROR(INDEX(MonthlyCurve!$L:$L,MATCH(A371,MonthlyCurve!$A:$A,0)),"")</f>
        <v/>
      </c>
      <c r="P371">
        <f>IF(B371&gt;0,-LN(O371)/B371,"")</f>
        <v/>
      </c>
      <c r="Q371">
        <f>G371*N371</f>
        <v/>
      </c>
      <c r="R371">
        <f>H371*N371</f>
        <v/>
      </c>
      <c r="S371">
        <f>Q371+R371</f>
        <v/>
      </c>
      <c r="T371">
        <f>Q371*O371</f>
        <v/>
      </c>
      <c r="U371">
        <f>R371*O371</f>
        <v/>
      </c>
      <c r="V371">
        <f>SUMPRODUCT(S372:S543,O372:O543)/(N371*O371)</f>
        <v/>
      </c>
    </row>
    <row r="372">
      <c r="A372" t="n">
        <v>369</v>
      </c>
      <c r="B372">
        <f>A372/Inputs!$B$6</f>
        <v/>
      </c>
      <c r="C372">
        <f>Inputs!$B$3+B372</f>
        <v/>
      </c>
      <c r="D372">
        <f>INT(C372)</f>
        <v/>
      </c>
      <c r="E372">
        <f>Inputs!$B$7+1+INT((A372-1)/Inputs!$B$6)</f>
        <v/>
      </c>
      <c r="F372">
        <f>IFERROR(INDEX(IndexScenario!$B$4:$B$544,MATCH(A372,IndexScenario!$A$4:$A$544,0)),"")</f>
        <v/>
      </c>
      <c r="G372">
        <f>G371*F372/F371</f>
        <v/>
      </c>
      <c r="H372">
        <f>H371*(1+Inputs!$B$17)^(1/12)</f>
        <v/>
      </c>
      <c r="I372">
        <f>IFERROR(INDEX(BaseQx!$B:$B,MATCH(D372,BaseQx!$A:$A,0)),"")</f>
        <v/>
      </c>
      <c r="J372">
        <f>IF(Inputs!$B$13="rp_mp",SUMIFS(MP2016_Long!$C:$C,MP2016_Long!$A:$A,D372,MP2016_Long!$B:$B,"&gt;=2014",MP2016_Long!$B:$B,"&lt;"&amp;E372),0)</f>
        <v/>
      </c>
      <c r="K372">
        <f>MIN(0.999999,MAX(0,I372*EXP(J372)))</f>
        <v/>
      </c>
      <c r="L372">
        <f>-LN(1-K372)</f>
        <v/>
      </c>
      <c r="M372">
        <f>EXP(-L372/Inputs!$B$6)</f>
        <v/>
      </c>
      <c r="N372">
        <f>N371*M372</f>
        <v/>
      </c>
      <c r="O372">
        <f>IFERROR(INDEX(MonthlyCurve!$L:$L,MATCH(A372,MonthlyCurve!$A:$A,0)),"")</f>
        <v/>
      </c>
      <c r="P372">
        <f>IF(B372&gt;0,-LN(O372)/B372,"")</f>
        <v/>
      </c>
      <c r="Q372">
        <f>G372*N372</f>
        <v/>
      </c>
      <c r="R372">
        <f>H372*N372</f>
        <v/>
      </c>
      <c r="S372">
        <f>Q372+R372</f>
        <v/>
      </c>
      <c r="T372">
        <f>Q372*O372</f>
        <v/>
      </c>
      <c r="U372">
        <f>R372*O372</f>
        <v/>
      </c>
      <c r="V372">
        <f>SUMPRODUCT(S373:S543,O373:O543)/(N372*O372)</f>
        <v/>
      </c>
    </row>
    <row r="373">
      <c r="A373" t="n">
        <v>370</v>
      </c>
      <c r="B373">
        <f>A373/Inputs!$B$6</f>
        <v/>
      </c>
      <c r="C373">
        <f>Inputs!$B$3+B373</f>
        <v/>
      </c>
      <c r="D373">
        <f>INT(C373)</f>
        <v/>
      </c>
      <c r="E373">
        <f>Inputs!$B$7+1+INT((A373-1)/Inputs!$B$6)</f>
        <v/>
      </c>
      <c r="F373">
        <f>IFERROR(INDEX(IndexScenario!$B$4:$B$544,MATCH(A373,IndexScenario!$A$4:$A$544,0)),"")</f>
        <v/>
      </c>
      <c r="G373">
        <f>G372*F373/F372</f>
        <v/>
      </c>
      <c r="H373">
        <f>H372*(1+Inputs!$B$17)^(1/12)</f>
        <v/>
      </c>
      <c r="I373">
        <f>IFERROR(INDEX(BaseQx!$B:$B,MATCH(D373,BaseQx!$A:$A,0)),"")</f>
        <v/>
      </c>
      <c r="J373">
        <f>IF(Inputs!$B$13="rp_mp",SUMIFS(MP2016_Long!$C:$C,MP2016_Long!$A:$A,D373,MP2016_Long!$B:$B,"&gt;=2014",MP2016_Long!$B:$B,"&lt;"&amp;E373),0)</f>
        <v/>
      </c>
      <c r="K373">
        <f>MIN(0.999999,MAX(0,I373*EXP(J373)))</f>
        <v/>
      </c>
      <c r="L373">
        <f>-LN(1-K373)</f>
        <v/>
      </c>
      <c r="M373">
        <f>EXP(-L373/Inputs!$B$6)</f>
        <v/>
      </c>
      <c r="N373">
        <f>N372*M373</f>
        <v/>
      </c>
      <c r="O373">
        <f>IFERROR(INDEX(MonthlyCurve!$L:$L,MATCH(A373,MonthlyCurve!$A:$A,0)),"")</f>
        <v/>
      </c>
      <c r="P373">
        <f>IF(B373&gt;0,-LN(O373)/B373,"")</f>
        <v/>
      </c>
      <c r="Q373">
        <f>G373*N373</f>
        <v/>
      </c>
      <c r="R373">
        <f>H373*N373</f>
        <v/>
      </c>
      <c r="S373">
        <f>Q373+R373</f>
        <v/>
      </c>
      <c r="T373">
        <f>Q373*O373</f>
        <v/>
      </c>
      <c r="U373">
        <f>R373*O373</f>
        <v/>
      </c>
      <c r="V373">
        <f>SUMPRODUCT(S374:S543,O374:O543)/(N373*O373)</f>
        <v/>
      </c>
    </row>
    <row r="374">
      <c r="A374" t="n">
        <v>371</v>
      </c>
      <c r="B374">
        <f>A374/Inputs!$B$6</f>
        <v/>
      </c>
      <c r="C374">
        <f>Inputs!$B$3+B374</f>
        <v/>
      </c>
      <c r="D374">
        <f>INT(C374)</f>
        <v/>
      </c>
      <c r="E374">
        <f>Inputs!$B$7+1+INT((A374-1)/Inputs!$B$6)</f>
        <v/>
      </c>
      <c r="F374">
        <f>IFERROR(INDEX(IndexScenario!$B$4:$B$544,MATCH(A374,IndexScenario!$A$4:$A$544,0)),"")</f>
        <v/>
      </c>
      <c r="G374">
        <f>G373*F374/F373</f>
        <v/>
      </c>
      <c r="H374">
        <f>H373*(1+Inputs!$B$17)^(1/12)</f>
        <v/>
      </c>
      <c r="I374">
        <f>IFERROR(INDEX(BaseQx!$B:$B,MATCH(D374,BaseQx!$A:$A,0)),"")</f>
        <v/>
      </c>
      <c r="J374">
        <f>IF(Inputs!$B$13="rp_mp",SUMIFS(MP2016_Long!$C:$C,MP2016_Long!$A:$A,D374,MP2016_Long!$B:$B,"&gt;=2014",MP2016_Long!$B:$B,"&lt;"&amp;E374),0)</f>
        <v/>
      </c>
      <c r="K374">
        <f>MIN(0.999999,MAX(0,I374*EXP(J374)))</f>
        <v/>
      </c>
      <c r="L374">
        <f>-LN(1-K374)</f>
        <v/>
      </c>
      <c r="M374">
        <f>EXP(-L374/Inputs!$B$6)</f>
        <v/>
      </c>
      <c r="N374">
        <f>N373*M374</f>
        <v/>
      </c>
      <c r="O374">
        <f>IFERROR(INDEX(MonthlyCurve!$L:$L,MATCH(A374,MonthlyCurve!$A:$A,0)),"")</f>
        <v/>
      </c>
      <c r="P374">
        <f>IF(B374&gt;0,-LN(O374)/B374,"")</f>
        <v/>
      </c>
      <c r="Q374">
        <f>G374*N374</f>
        <v/>
      </c>
      <c r="R374">
        <f>H374*N374</f>
        <v/>
      </c>
      <c r="S374">
        <f>Q374+R374</f>
        <v/>
      </c>
      <c r="T374">
        <f>Q374*O374</f>
        <v/>
      </c>
      <c r="U374">
        <f>R374*O374</f>
        <v/>
      </c>
      <c r="V374">
        <f>SUMPRODUCT(S375:S543,O375:O543)/(N374*O374)</f>
        <v/>
      </c>
    </row>
    <row r="375">
      <c r="A375" t="n">
        <v>372</v>
      </c>
      <c r="B375">
        <f>A375/Inputs!$B$6</f>
        <v/>
      </c>
      <c r="C375">
        <f>Inputs!$B$3+B375</f>
        <v/>
      </c>
      <c r="D375">
        <f>INT(C375)</f>
        <v/>
      </c>
      <c r="E375">
        <f>Inputs!$B$7+1+INT((A375-1)/Inputs!$B$6)</f>
        <v/>
      </c>
      <c r="F375">
        <f>IFERROR(INDEX(IndexScenario!$B$4:$B$544,MATCH(A375,IndexScenario!$A$4:$A$544,0)),"")</f>
        <v/>
      </c>
      <c r="G375">
        <f>G374*F375/F374</f>
        <v/>
      </c>
      <c r="H375">
        <f>H374*(1+Inputs!$B$17)^(1/12)</f>
        <v/>
      </c>
      <c r="I375">
        <f>IFERROR(INDEX(BaseQx!$B:$B,MATCH(D375,BaseQx!$A:$A,0)),"")</f>
        <v/>
      </c>
      <c r="J375">
        <f>IF(Inputs!$B$13="rp_mp",SUMIFS(MP2016_Long!$C:$C,MP2016_Long!$A:$A,D375,MP2016_Long!$B:$B,"&gt;=2014",MP2016_Long!$B:$B,"&lt;"&amp;E375),0)</f>
        <v/>
      </c>
      <c r="K375">
        <f>MIN(0.999999,MAX(0,I375*EXP(J375)))</f>
        <v/>
      </c>
      <c r="L375">
        <f>-LN(1-K375)</f>
        <v/>
      </c>
      <c r="M375">
        <f>EXP(-L375/Inputs!$B$6)</f>
        <v/>
      </c>
      <c r="N375">
        <f>N374*M375</f>
        <v/>
      </c>
      <c r="O375">
        <f>IFERROR(INDEX(MonthlyCurve!$L:$L,MATCH(A375,MonthlyCurve!$A:$A,0)),"")</f>
        <v/>
      </c>
      <c r="P375">
        <f>IF(B375&gt;0,-LN(O375)/B375,"")</f>
        <v/>
      </c>
      <c r="Q375">
        <f>G375*N375</f>
        <v/>
      </c>
      <c r="R375">
        <f>H375*N375</f>
        <v/>
      </c>
      <c r="S375">
        <f>Q375+R375</f>
        <v/>
      </c>
      <c r="T375">
        <f>Q375*O375</f>
        <v/>
      </c>
      <c r="U375">
        <f>R375*O375</f>
        <v/>
      </c>
      <c r="V375">
        <f>SUMPRODUCT(S376:S543,O376:O543)/(N375*O375)</f>
        <v/>
      </c>
    </row>
    <row r="376">
      <c r="A376" t="n">
        <v>373</v>
      </c>
      <c r="B376">
        <f>A376/Inputs!$B$6</f>
        <v/>
      </c>
      <c r="C376">
        <f>Inputs!$B$3+B376</f>
        <v/>
      </c>
      <c r="D376">
        <f>INT(C376)</f>
        <v/>
      </c>
      <c r="E376">
        <f>Inputs!$B$7+1+INT((A376-1)/Inputs!$B$6)</f>
        <v/>
      </c>
      <c r="F376">
        <f>IFERROR(INDEX(IndexScenario!$B$4:$B$544,MATCH(A376,IndexScenario!$A$4:$A$544,0)),"")</f>
        <v/>
      </c>
      <c r="G376">
        <f>G375*F376/F375</f>
        <v/>
      </c>
      <c r="H376">
        <f>H375*(1+Inputs!$B$17)^(1/12)</f>
        <v/>
      </c>
      <c r="I376">
        <f>IFERROR(INDEX(BaseQx!$B:$B,MATCH(D376,BaseQx!$A:$A,0)),"")</f>
        <v/>
      </c>
      <c r="J376">
        <f>IF(Inputs!$B$13="rp_mp",SUMIFS(MP2016_Long!$C:$C,MP2016_Long!$A:$A,D376,MP2016_Long!$B:$B,"&gt;=2014",MP2016_Long!$B:$B,"&lt;"&amp;E376),0)</f>
        <v/>
      </c>
      <c r="K376">
        <f>MIN(0.999999,MAX(0,I376*EXP(J376)))</f>
        <v/>
      </c>
      <c r="L376">
        <f>-LN(1-K376)</f>
        <v/>
      </c>
      <c r="M376">
        <f>EXP(-L376/Inputs!$B$6)</f>
        <v/>
      </c>
      <c r="N376">
        <f>N375*M376</f>
        <v/>
      </c>
      <c r="O376">
        <f>IFERROR(INDEX(MonthlyCurve!$L:$L,MATCH(A376,MonthlyCurve!$A:$A,0)),"")</f>
        <v/>
      </c>
      <c r="P376">
        <f>IF(B376&gt;0,-LN(O376)/B376,"")</f>
        <v/>
      </c>
      <c r="Q376">
        <f>G376*N376</f>
        <v/>
      </c>
      <c r="R376">
        <f>H376*N376</f>
        <v/>
      </c>
      <c r="S376">
        <f>Q376+R376</f>
        <v/>
      </c>
      <c r="T376">
        <f>Q376*O376</f>
        <v/>
      </c>
      <c r="U376">
        <f>R376*O376</f>
        <v/>
      </c>
      <c r="V376">
        <f>SUMPRODUCT(S377:S543,O377:O543)/(N376*O376)</f>
        <v/>
      </c>
    </row>
    <row r="377">
      <c r="A377" t="n">
        <v>374</v>
      </c>
      <c r="B377">
        <f>A377/Inputs!$B$6</f>
        <v/>
      </c>
      <c r="C377">
        <f>Inputs!$B$3+B377</f>
        <v/>
      </c>
      <c r="D377">
        <f>INT(C377)</f>
        <v/>
      </c>
      <c r="E377">
        <f>Inputs!$B$7+1+INT((A377-1)/Inputs!$B$6)</f>
        <v/>
      </c>
      <c r="F377">
        <f>IFERROR(INDEX(IndexScenario!$B$4:$B$544,MATCH(A377,IndexScenario!$A$4:$A$544,0)),"")</f>
        <v/>
      </c>
      <c r="G377">
        <f>G376*F377/F376</f>
        <v/>
      </c>
      <c r="H377">
        <f>H376*(1+Inputs!$B$17)^(1/12)</f>
        <v/>
      </c>
      <c r="I377">
        <f>IFERROR(INDEX(BaseQx!$B:$B,MATCH(D377,BaseQx!$A:$A,0)),"")</f>
        <v/>
      </c>
      <c r="J377">
        <f>IF(Inputs!$B$13="rp_mp",SUMIFS(MP2016_Long!$C:$C,MP2016_Long!$A:$A,D377,MP2016_Long!$B:$B,"&gt;=2014",MP2016_Long!$B:$B,"&lt;"&amp;E377),0)</f>
        <v/>
      </c>
      <c r="K377">
        <f>MIN(0.999999,MAX(0,I377*EXP(J377)))</f>
        <v/>
      </c>
      <c r="L377">
        <f>-LN(1-K377)</f>
        <v/>
      </c>
      <c r="M377">
        <f>EXP(-L377/Inputs!$B$6)</f>
        <v/>
      </c>
      <c r="N377">
        <f>N376*M377</f>
        <v/>
      </c>
      <c r="O377">
        <f>IFERROR(INDEX(MonthlyCurve!$L:$L,MATCH(A377,MonthlyCurve!$A:$A,0)),"")</f>
        <v/>
      </c>
      <c r="P377">
        <f>IF(B377&gt;0,-LN(O377)/B377,"")</f>
        <v/>
      </c>
      <c r="Q377">
        <f>G377*N377</f>
        <v/>
      </c>
      <c r="R377">
        <f>H377*N377</f>
        <v/>
      </c>
      <c r="S377">
        <f>Q377+R377</f>
        <v/>
      </c>
      <c r="T377">
        <f>Q377*O377</f>
        <v/>
      </c>
      <c r="U377">
        <f>R377*O377</f>
        <v/>
      </c>
      <c r="V377">
        <f>SUMPRODUCT(S378:S543,O378:O543)/(N377*O377)</f>
        <v/>
      </c>
    </row>
    <row r="378">
      <c r="A378" t="n">
        <v>375</v>
      </c>
      <c r="B378">
        <f>A378/Inputs!$B$6</f>
        <v/>
      </c>
      <c r="C378">
        <f>Inputs!$B$3+B378</f>
        <v/>
      </c>
      <c r="D378">
        <f>INT(C378)</f>
        <v/>
      </c>
      <c r="E378">
        <f>Inputs!$B$7+1+INT((A378-1)/Inputs!$B$6)</f>
        <v/>
      </c>
      <c r="F378">
        <f>IFERROR(INDEX(IndexScenario!$B$4:$B$544,MATCH(A378,IndexScenario!$A$4:$A$544,0)),"")</f>
        <v/>
      </c>
      <c r="G378">
        <f>G377*F378/F377</f>
        <v/>
      </c>
      <c r="H378">
        <f>H377*(1+Inputs!$B$17)^(1/12)</f>
        <v/>
      </c>
      <c r="I378">
        <f>IFERROR(INDEX(BaseQx!$B:$B,MATCH(D378,BaseQx!$A:$A,0)),"")</f>
        <v/>
      </c>
      <c r="J378">
        <f>IF(Inputs!$B$13="rp_mp",SUMIFS(MP2016_Long!$C:$C,MP2016_Long!$A:$A,D378,MP2016_Long!$B:$B,"&gt;=2014",MP2016_Long!$B:$B,"&lt;"&amp;E378),0)</f>
        <v/>
      </c>
      <c r="K378">
        <f>MIN(0.999999,MAX(0,I378*EXP(J378)))</f>
        <v/>
      </c>
      <c r="L378">
        <f>-LN(1-K378)</f>
        <v/>
      </c>
      <c r="M378">
        <f>EXP(-L378/Inputs!$B$6)</f>
        <v/>
      </c>
      <c r="N378">
        <f>N377*M378</f>
        <v/>
      </c>
      <c r="O378">
        <f>IFERROR(INDEX(MonthlyCurve!$L:$L,MATCH(A378,MonthlyCurve!$A:$A,0)),"")</f>
        <v/>
      </c>
      <c r="P378">
        <f>IF(B378&gt;0,-LN(O378)/B378,"")</f>
        <v/>
      </c>
      <c r="Q378">
        <f>G378*N378</f>
        <v/>
      </c>
      <c r="R378">
        <f>H378*N378</f>
        <v/>
      </c>
      <c r="S378">
        <f>Q378+R378</f>
        <v/>
      </c>
      <c r="T378">
        <f>Q378*O378</f>
        <v/>
      </c>
      <c r="U378">
        <f>R378*O378</f>
        <v/>
      </c>
      <c r="V378">
        <f>SUMPRODUCT(S379:S543,O379:O543)/(N378*O378)</f>
        <v/>
      </c>
    </row>
    <row r="379">
      <c r="A379" t="n">
        <v>376</v>
      </c>
      <c r="B379">
        <f>A379/Inputs!$B$6</f>
        <v/>
      </c>
      <c r="C379">
        <f>Inputs!$B$3+B379</f>
        <v/>
      </c>
      <c r="D379">
        <f>INT(C379)</f>
        <v/>
      </c>
      <c r="E379">
        <f>Inputs!$B$7+1+INT((A379-1)/Inputs!$B$6)</f>
        <v/>
      </c>
      <c r="F379">
        <f>IFERROR(INDEX(IndexScenario!$B$4:$B$544,MATCH(A379,IndexScenario!$A$4:$A$544,0)),"")</f>
        <v/>
      </c>
      <c r="G379">
        <f>G378*F379/F378</f>
        <v/>
      </c>
      <c r="H379">
        <f>H378*(1+Inputs!$B$17)^(1/12)</f>
        <v/>
      </c>
      <c r="I379">
        <f>IFERROR(INDEX(BaseQx!$B:$B,MATCH(D379,BaseQx!$A:$A,0)),"")</f>
        <v/>
      </c>
      <c r="J379">
        <f>IF(Inputs!$B$13="rp_mp",SUMIFS(MP2016_Long!$C:$C,MP2016_Long!$A:$A,D379,MP2016_Long!$B:$B,"&gt;=2014",MP2016_Long!$B:$B,"&lt;"&amp;E379),0)</f>
        <v/>
      </c>
      <c r="K379">
        <f>MIN(0.999999,MAX(0,I379*EXP(J379)))</f>
        <v/>
      </c>
      <c r="L379">
        <f>-LN(1-K379)</f>
        <v/>
      </c>
      <c r="M379">
        <f>EXP(-L379/Inputs!$B$6)</f>
        <v/>
      </c>
      <c r="N379">
        <f>N378*M379</f>
        <v/>
      </c>
      <c r="O379">
        <f>IFERROR(INDEX(MonthlyCurve!$L:$L,MATCH(A379,MonthlyCurve!$A:$A,0)),"")</f>
        <v/>
      </c>
      <c r="P379">
        <f>IF(B379&gt;0,-LN(O379)/B379,"")</f>
        <v/>
      </c>
      <c r="Q379">
        <f>G379*N379</f>
        <v/>
      </c>
      <c r="R379">
        <f>H379*N379</f>
        <v/>
      </c>
      <c r="S379">
        <f>Q379+R379</f>
        <v/>
      </c>
      <c r="T379">
        <f>Q379*O379</f>
        <v/>
      </c>
      <c r="U379">
        <f>R379*O379</f>
        <v/>
      </c>
      <c r="V379">
        <f>SUMPRODUCT(S380:S543,O380:O543)/(N379*O379)</f>
        <v/>
      </c>
    </row>
    <row r="380">
      <c r="A380" t="n">
        <v>377</v>
      </c>
      <c r="B380">
        <f>A380/Inputs!$B$6</f>
        <v/>
      </c>
      <c r="C380">
        <f>Inputs!$B$3+B380</f>
        <v/>
      </c>
      <c r="D380">
        <f>INT(C380)</f>
        <v/>
      </c>
      <c r="E380">
        <f>Inputs!$B$7+1+INT((A380-1)/Inputs!$B$6)</f>
        <v/>
      </c>
      <c r="F380">
        <f>IFERROR(INDEX(IndexScenario!$B$4:$B$544,MATCH(A380,IndexScenario!$A$4:$A$544,0)),"")</f>
        <v/>
      </c>
      <c r="G380">
        <f>G379*F380/F379</f>
        <v/>
      </c>
      <c r="H380">
        <f>H379*(1+Inputs!$B$17)^(1/12)</f>
        <v/>
      </c>
      <c r="I380">
        <f>IFERROR(INDEX(BaseQx!$B:$B,MATCH(D380,BaseQx!$A:$A,0)),"")</f>
        <v/>
      </c>
      <c r="J380">
        <f>IF(Inputs!$B$13="rp_mp",SUMIFS(MP2016_Long!$C:$C,MP2016_Long!$A:$A,D380,MP2016_Long!$B:$B,"&gt;=2014",MP2016_Long!$B:$B,"&lt;"&amp;E380),0)</f>
        <v/>
      </c>
      <c r="K380">
        <f>MIN(0.999999,MAX(0,I380*EXP(J380)))</f>
        <v/>
      </c>
      <c r="L380">
        <f>-LN(1-K380)</f>
        <v/>
      </c>
      <c r="M380">
        <f>EXP(-L380/Inputs!$B$6)</f>
        <v/>
      </c>
      <c r="N380">
        <f>N379*M380</f>
        <v/>
      </c>
      <c r="O380">
        <f>IFERROR(INDEX(MonthlyCurve!$L:$L,MATCH(A380,MonthlyCurve!$A:$A,0)),"")</f>
        <v/>
      </c>
      <c r="P380">
        <f>IF(B380&gt;0,-LN(O380)/B380,"")</f>
        <v/>
      </c>
      <c r="Q380">
        <f>G380*N380</f>
        <v/>
      </c>
      <c r="R380">
        <f>H380*N380</f>
        <v/>
      </c>
      <c r="S380">
        <f>Q380+R380</f>
        <v/>
      </c>
      <c r="T380">
        <f>Q380*O380</f>
        <v/>
      </c>
      <c r="U380">
        <f>R380*O380</f>
        <v/>
      </c>
      <c r="V380">
        <f>SUMPRODUCT(S381:S543,O381:O543)/(N380*O380)</f>
        <v/>
      </c>
    </row>
    <row r="381">
      <c r="A381" t="n">
        <v>378</v>
      </c>
      <c r="B381">
        <f>A381/Inputs!$B$6</f>
        <v/>
      </c>
      <c r="C381">
        <f>Inputs!$B$3+B381</f>
        <v/>
      </c>
      <c r="D381">
        <f>INT(C381)</f>
        <v/>
      </c>
      <c r="E381">
        <f>Inputs!$B$7+1+INT((A381-1)/Inputs!$B$6)</f>
        <v/>
      </c>
      <c r="F381">
        <f>IFERROR(INDEX(IndexScenario!$B$4:$B$544,MATCH(A381,IndexScenario!$A$4:$A$544,0)),"")</f>
        <v/>
      </c>
      <c r="G381">
        <f>G380*F381/F380</f>
        <v/>
      </c>
      <c r="H381">
        <f>H380*(1+Inputs!$B$17)^(1/12)</f>
        <v/>
      </c>
      <c r="I381">
        <f>IFERROR(INDEX(BaseQx!$B:$B,MATCH(D381,BaseQx!$A:$A,0)),"")</f>
        <v/>
      </c>
      <c r="J381">
        <f>IF(Inputs!$B$13="rp_mp",SUMIFS(MP2016_Long!$C:$C,MP2016_Long!$A:$A,D381,MP2016_Long!$B:$B,"&gt;=2014",MP2016_Long!$B:$B,"&lt;"&amp;E381),0)</f>
        <v/>
      </c>
      <c r="K381">
        <f>MIN(0.999999,MAX(0,I381*EXP(J381)))</f>
        <v/>
      </c>
      <c r="L381">
        <f>-LN(1-K381)</f>
        <v/>
      </c>
      <c r="M381">
        <f>EXP(-L381/Inputs!$B$6)</f>
        <v/>
      </c>
      <c r="N381">
        <f>N380*M381</f>
        <v/>
      </c>
      <c r="O381">
        <f>IFERROR(INDEX(MonthlyCurve!$L:$L,MATCH(A381,MonthlyCurve!$A:$A,0)),"")</f>
        <v/>
      </c>
      <c r="P381">
        <f>IF(B381&gt;0,-LN(O381)/B381,"")</f>
        <v/>
      </c>
      <c r="Q381">
        <f>G381*N381</f>
        <v/>
      </c>
      <c r="R381">
        <f>H381*N381</f>
        <v/>
      </c>
      <c r="S381">
        <f>Q381+R381</f>
        <v/>
      </c>
      <c r="T381">
        <f>Q381*O381</f>
        <v/>
      </c>
      <c r="U381">
        <f>R381*O381</f>
        <v/>
      </c>
      <c r="V381">
        <f>SUMPRODUCT(S382:S543,O382:O543)/(N381*O381)</f>
        <v/>
      </c>
    </row>
    <row r="382">
      <c r="A382" t="n">
        <v>379</v>
      </c>
      <c r="B382">
        <f>A382/Inputs!$B$6</f>
        <v/>
      </c>
      <c r="C382">
        <f>Inputs!$B$3+B382</f>
        <v/>
      </c>
      <c r="D382">
        <f>INT(C382)</f>
        <v/>
      </c>
      <c r="E382">
        <f>Inputs!$B$7+1+INT((A382-1)/Inputs!$B$6)</f>
        <v/>
      </c>
      <c r="F382">
        <f>IFERROR(INDEX(IndexScenario!$B$4:$B$544,MATCH(A382,IndexScenario!$A$4:$A$544,0)),"")</f>
        <v/>
      </c>
      <c r="G382">
        <f>G381*F382/F381</f>
        <v/>
      </c>
      <c r="H382">
        <f>H381*(1+Inputs!$B$17)^(1/12)</f>
        <v/>
      </c>
      <c r="I382">
        <f>IFERROR(INDEX(BaseQx!$B:$B,MATCH(D382,BaseQx!$A:$A,0)),"")</f>
        <v/>
      </c>
      <c r="J382">
        <f>IF(Inputs!$B$13="rp_mp",SUMIFS(MP2016_Long!$C:$C,MP2016_Long!$A:$A,D382,MP2016_Long!$B:$B,"&gt;=2014",MP2016_Long!$B:$B,"&lt;"&amp;E382),0)</f>
        <v/>
      </c>
      <c r="K382">
        <f>MIN(0.999999,MAX(0,I382*EXP(J382)))</f>
        <v/>
      </c>
      <c r="L382">
        <f>-LN(1-K382)</f>
        <v/>
      </c>
      <c r="M382">
        <f>EXP(-L382/Inputs!$B$6)</f>
        <v/>
      </c>
      <c r="N382">
        <f>N381*M382</f>
        <v/>
      </c>
      <c r="O382">
        <f>IFERROR(INDEX(MonthlyCurve!$L:$L,MATCH(A382,MonthlyCurve!$A:$A,0)),"")</f>
        <v/>
      </c>
      <c r="P382">
        <f>IF(B382&gt;0,-LN(O382)/B382,"")</f>
        <v/>
      </c>
      <c r="Q382">
        <f>G382*N382</f>
        <v/>
      </c>
      <c r="R382">
        <f>H382*N382</f>
        <v/>
      </c>
      <c r="S382">
        <f>Q382+R382</f>
        <v/>
      </c>
      <c r="T382">
        <f>Q382*O382</f>
        <v/>
      </c>
      <c r="U382">
        <f>R382*O382</f>
        <v/>
      </c>
      <c r="V382">
        <f>SUMPRODUCT(S383:S543,O383:O543)/(N382*O382)</f>
        <v/>
      </c>
    </row>
    <row r="383">
      <c r="A383" t="n">
        <v>380</v>
      </c>
      <c r="B383">
        <f>A383/Inputs!$B$6</f>
        <v/>
      </c>
      <c r="C383">
        <f>Inputs!$B$3+B383</f>
        <v/>
      </c>
      <c r="D383">
        <f>INT(C383)</f>
        <v/>
      </c>
      <c r="E383">
        <f>Inputs!$B$7+1+INT((A383-1)/Inputs!$B$6)</f>
        <v/>
      </c>
      <c r="F383">
        <f>IFERROR(INDEX(IndexScenario!$B$4:$B$544,MATCH(A383,IndexScenario!$A$4:$A$544,0)),"")</f>
        <v/>
      </c>
      <c r="G383">
        <f>G382*F383/F382</f>
        <v/>
      </c>
      <c r="H383">
        <f>H382*(1+Inputs!$B$17)^(1/12)</f>
        <v/>
      </c>
      <c r="I383">
        <f>IFERROR(INDEX(BaseQx!$B:$B,MATCH(D383,BaseQx!$A:$A,0)),"")</f>
        <v/>
      </c>
      <c r="J383">
        <f>IF(Inputs!$B$13="rp_mp",SUMIFS(MP2016_Long!$C:$C,MP2016_Long!$A:$A,D383,MP2016_Long!$B:$B,"&gt;=2014",MP2016_Long!$B:$B,"&lt;"&amp;E383),0)</f>
        <v/>
      </c>
      <c r="K383">
        <f>MIN(0.999999,MAX(0,I383*EXP(J383)))</f>
        <v/>
      </c>
      <c r="L383">
        <f>-LN(1-K383)</f>
        <v/>
      </c>
      <c r="M383">
        <f>EXP(-L383/Inputs!$B$6)</f>
        <v/>
      </c>
      <c r="N383">
        <f>N382*M383</f>
        <v/>
      </c>
      <c r="O383">
        <f>IFERROR(INDEX(MonthlyCurve!$L:$L,MATCH(A383,MonthlyCurve!$A:$A,0)),"")</f>
        <v/>
      </c>
      <c r="P383">
        <f>IF(B383&gt;0,-LN(O383)/B383,"")</f>
        <v/>
      </c>
      <c r="Q383">
        <f>G383*N383</f>
        <v/>
      </c>
      <c r="R383">
        <f>H383*N383</f>
        <v/>
      </c>
      <c r="S383">
        <f>Q383+R383</f>
        <v/>
      </c>
      <c r="T383">
        <f>Q383*O383</f>
        <v/>
      </c>
      <c r="U383">
        <f>R383*O383</f>
        <v/>
      </c>
      <c r="V383">
        <f>SUMPRODUCT(S384:S543,O384:O543)/(N383*O383)</f>
        <v/>
      </c>
    </row>
    <row r="384">
      <c r="A384" t="n">
        <v>381</v>
      </c>
      <c r="B384">
        <f>A384/Inputs!$B$6</f>
        <v/>
      </c>
      <c r="C384">
        <f>Inputs!$B$3+B384</f>
        <v/>
      </c>
      <c r="D384">
        <f>INT(C384)</f>
        <v/>
      </c>
      <c r="E384">
        <f>Inputs!$B$7+1+INT((A384-1)/Inputs!$B$6)</f>
        <v/>
      </c>
      <c r="F384">
        <f>IFERROR(INDEX(IndexScenario!$B$4:$B$544,MATCH(A384,IndexScenario!$A$4:$A$544,0)),"")</f>
        <v/>
      </c>
      <c r="G384">
        <f>G383*F384/F383</f>
        <v/>
      </c>
      <c r="H384">
        <f>H383*(1+Inputs!$B$17)^(1/12)</f>
        <v/>
      </c>
      <c r="I384">
        <f>IFERROR(INDEX(BaseQx!$B:$B,MATCH(D384,BaseQx!$A:$A,0)),"")</f>
        <v/>
      </c>
      <c r="J384">
        <f>IF(Inputs!$B$13="rp_mp",SUMIFS(MP2016_Long!$C:$C,MP2016_Long!$A:$A,D384,MP2016_Long!$B:$B,"&gt;=2014",MP2016_Long!$B:$B,"&lt;"&amp;E384),0)</f>
        <v/>
      </c>
      <c r="K384">
        <f>MIN(0.999999,MAX(0,I384*EXP(J384)))</f>
        <v/>
      </c>
      <c r="L384">
        <f>-LN(1-K384)</f>
        <v/>
      </c>
      <c r="M384">
        <f>EXP(-L384/Inputs!$B$6)</f>
        <v/>
      </c>
      <c r="N384">
        <f>N383*M384</f>
        <v/>
      </c>
      <c r="O384">
        <f>IFERROR(INDEX(MonthlyCurve!$L:$L,MATCH(A384,MonthlyCurve!$A:$A,0)),"")</f>
        <v/>
      </c>
      <c r="P384">
        <f>IF(B384&gt;0,-LN(O384)/B384,"")</f>
        <v/>
      </c>
      <c r="Q384">
        <f>G384*N384</f>
        <v/>
      </c>
      <c r="R384">
        <f>H384*N384</f>
        <v/>
      </c>
      <c r="S384">
        <f>Q384+R384</f>
        <v/>
      </c>
      <c r="T384">
        <f>Q384*O384</f>
        <v/>
      </c>
      <c r="U384">
        <f>R384*O384</f>
        <v/>
      </c>
      <c r="V384">
        <f>SUMPRODUCT(S385:S543,O385:O543)/(N384*O384)</f>
        <v/>
      </c>
    </row>
    <row r="385">
      <c r="A385" t="n">
        <v>382</v>
      </c>
      <c r="B385">
        <f>A385/Inputs!$B$6</f>
        <v/>
      </c>
      <c r="C385">
        <f>Inputs!$B$3+B385</f>
        <v/>
      </c>
      <c r="D385">
        <f>INT(C385)</f>
        <v/>
      </c>
      <c r="E385">
        <f>Inputs!$B$7+1+INT((A385-1)/Inputs!$B$6)</f>
        <v/>
      </c>
      <c r="F385">
        <f>IFERROR(INDEX(IndexScenario!$B$4:$B$544,MATCH(A385,IndexScenario!$A$4:$A$544,0)),"")</f>
        <v/>
      </c>
      <c r="G385">
        <f>G384*F385/F384</f>
        <v/>
      </c>
      <c r="H385">
        <f>H384*(1+Inputs!$B$17)^(1/12)</f>
        <v/>
      </c>
      <c r="I385">
        <f>IFERROR(INDEX(BaseQx!$B:$B,MATCH(D385,BaseQx!$A:$A,0)),"")</f>
        <v/>
      </c>
      <c r="J385">
        <f>IF(Inputs!$B$13="rp_mp",SUMIFS(MP2016_Long!$C:$C,MP2016_Long!$A:$A,D385,MP2016_Long!$B:$B,"&gt;=2014",MP2016_Long!$B:$B,"&lt;"&amp;E385),0)</f>
        <v/>
      </c>
      <c r="K385">
        <f>MIN(0.999999,MAX(0,I385*EXP(J385)))</f>
        <v/>
      </c>
      <c r="L385">
        <f>-LN(1-K385)</f>
        <v/>
      </c>
      <c r="M385">
        <f>EXP(-L385/Inputs!$B$6)</f>
        <v/>
      </c>
      <c r="N385">
        <f>N384*M385</f>
        <v/>
      </c>
      <c r="O385">
        <f>IFERROR(INDEX(MonthlyCurve!$L:$L,MATCH(A385,MonthlyCurve!$A:$A,0)),"")</f>
        <v/>
      </c>
      <c r="P385">
        <f>IF(B385&gt;0,-LN(O385)/B385,"")</f>
        <v/>
      </c>
      <c r="Q385">
        <f>G385*N385</f>
        <v/>
      </c>
      <c r="R385">
        <f>H385*N385</f>
        <v/>
      </c>
      <c r="S385">
        <f>Q385+R385</f>
        <v/>
      </c>
      <c r="T385">
        <f>Q385*O385</f>
        <v/>
      </c>
      <c r="U385">
        <f>R385*O385</f>
        <v/>
      </c>
      <c r="V385">
        <f>SUMPRODUCT(S386:S543,O386:O543)/(N385*O385)</f>
        <v/>
      </c>
    </row>
    <row r="386">
      <c r="A386" t="n">
        <v>383</v>
      </c>
      <c r="B386">
        <f>A386/Inputs!$B$6</f>
        <v/>
      </c>
      <c r="C386">
        <f>Inputs!$B$3+B386</f>
        <v/>
      </c>
      <c r="D386">
        <f>INT(C386)</f>
        <v/>
      </c>
      <c r="E386">
        <f>Inputs!$B$7+1+INT((A386-1)/Inputs!$B$6)</f>
        <v/>
      </c>
      <c r="F386">
        <f>IFERROR(INDEX(IndexScenario!$B$4:$B$544,MATCH(A386,IndexScenario!$A$4:$A$544,0)),"")</f>
        <v/>
      </c>
      <c r="G386">
        <f>G385*F386/F385</f>
        <v/>
      </c>
      <c r="H386">
        <f>H385*(1+Inputs!$B$17)^(1/12)</f>
        <v/>
      </c>
      <c r="I386">
        <f>IFERROR(INDEX(BaseQx!$B:$B,MATCH(D386,BaseQx!$A:$A,0)),"")</f>
        <v/>
      </c>
      <c r="J386">
        <f>IF(Inputs!$B$13="rp_mp",SUMIFS(MP2016_Long!$C:$C,MP2016_Long!$A:$A,D386,MP2016_Long!$B:$B,"&gt;=2014",MP2016_Long!$B:$B,"&lt;"&amp;E386),0)</f>
        <v/>
      </c>
      <c r="K386">
        <f>MIN(0.999999,MAX(0,I386*EXP(J386)))</f>
        <v/>
      </c>
      <c r="L386">
        <f>-LN(1-K386)</f>
        <v/>
      </c>
      <c r="M386">
        <f>EXP(-L386/Inputs!$B$6)</f>
        <v/>
      </c>
      <c r="N386">
        <f>N385*M386</f>
        <v/>
      </c>
      <c r="O386">
        <f>IFERROR(INDEX(MonthlyCurve!$L:$L,MATCH(A386,MonthlyCurve!$A:$A,0)),"")</f>
        <v/>
      </c>
      <c r="P386">
        <f>IF(B386&gt;0,-LN(O386)/B386,"")</f>
        <v/>
      </c>
      <c r="Q386">
        <f>G386*N386</f>
        <v/>
      </c>
      <c r="R386">
        <f>H386*N386</f>
        <v/>
      </c>
      <c r="S386">
        <f>Q386+R386</f>
        <v/>
      </c>
      <c r="T386">
        <f>Q386*O386</f>
        <v/>
      </c>
      <c r="U386">
        <f>R386*O386</f>
        <v/>
      </c>
      <c r="V386">
        <f>SUMPRODUCT(S387:S543,O387:O543)/(N386*O386)</f>
        <v/>
      </c>
    </row>
    <row r="387">
      <c r="A387" t="n">
        <v>384</v>
      </c>
      <c r="B387">
        <f>A387/Inputs!$B$6</f>
        <v/>
      </c>
      <c r="C387">
        <f>Inputs!$B$3+B387</f>
        <v/>
      </c>
      <c r="D387">
        <f>INT(C387)</f>
        <v/>
      </c>
      <c r="E387">
        <f>Inputs!$B$7+1+INT((A387-1)/Inputs!$B$6)</f>
        <v/>
      </c>
      <c r="F387">
        <f>IFERROR(INDEX(IndexScenario!$B$4:$B$544,MATCH(A387,IndexScenario!$A$4:$A$544,0)),"")</f>
        <v/>
      </c>
      <c r="G387">
        <f>G386*F387/F386</f>
        <v/>
      </c>
      <c r="H387">
        <f>H386*(1+Inputs!$B$17)^(1/12)</f>
        <v/>
      </c>
      <c r="I387">
        <f>IFERROR(INDEX(BaseQx!$B:$B,MATCH(D387,BaseQx!$A:$A,0)),"")</f>
        <v/>
      </c>
      <c r="J387">
        <f>IF(Inputs!$B$13="rp_mp",SUMIFS(MP2016_Long!$C:$C,MP2016_Long!$A:$A,D387,MP2016_Long!$B:$B,"&gt;=2014",MP2016_Long!$B:$B,"&lt;"&amp;E387),0)</f>
        <v/>
      </c>
      <c r="K387">
        <f>MIN(0.999999,MAX(0,I387*EXP(J387)))</f>
        <v/>
      </c>
      <c r="L387">
        <f>-LN(1-K387)</f>
        <v/>
      </c>
      <c r="M387">
        <f>EXP(-L387/Inputs!$B$6)</f>
        <v/>
      </c>
      <c r="N387">
        <f>N386*M387</f>
        <v/>
      </c>
      <c r="O387">
        <f>IFERROR(INDEX(MonthlyCurve!$L:$L,MATCH(A387,MonthlyCurve!$A:$A,0)),"")</f>
        <v/>
      </c>
      <c r="P387">
        <f>IF(B387&gt;0,-LN(O387)/B387,"")</f>
        <v/>
      </c>
      <c r="Q387">
        <f>G387*N387</f>
        <v/>
      </c>
      <c r="R387">
        <f>H387*N387</f>
        <v/>
      </c>
      <c r="S387">
        <f>Q387+R387</f>
        <v/>
      </c>
      <c r="T387">
        <f>Q387*O387</f>
        <v/>
      </c>
      <c r="U387">
        <f>R387*O387</f>
        <v/>
      </c>
      <c r="V387">
        <f>SUMPRODUCT(S388:S543,O388:O543)/(N387*O387)</f>
        <v/>
      </c>
    </row>
    <row r="388">
      <c r="A388" t="n">
        <v>385</v>
      </c>
      <c r="B388">
        <f>A388/Inputs!$B$6</f>
        <v/>
      </c>
      <c r="C388">
        <f>Inputs!$B$3+B388</f>
        <v/>
      </c>
      <c r="D388">
        <f>INT(C388)</f>
        <v/>
      </c>
      <c r="E388">
        <f>Inputs!$B$7+1+INT((A388-1)/Inputs!$B$6)</f>
        <v/>
      </c>
      <c r="F388">
        <f>IFERROR(INDEX(IndexScenario!$B$4:$B$544,MATCH(A388,IndexScenario!$A$4:$A$544,0)),"")</f>
        <v/>
      </c>
      <c r="G388">
        <f>G387*F388/F387</f>
        <v/>
      </c>
      <c r="H388">
        <f>H387*(1+Inputs!$B$17)^(1/12)</f>
        <v/>
      </c>
      <c r="I388">
        <f>IFERROR(INDEX(BaseQx!$B:$B,MATCH(D388,BaseQx!$A:$A,0)),"")</f>
        <v/>
      </c>
      <c r="J388">
        <f>IF(Inputs!$B$13="rp_mp",SUMIFS(MP2016_Long!$C:$C,MP2016_Long!$A:$A,D388,MP2016_Long!$B:$B,"&gt;=2014",MP2016_Long!$B:$B,"&lt;"&amp;E388),0)</f>
        <v/>
      </c>
      <c r="K388">
        <f>MIN(0.999999,MAX(0,I388*EXP(J388)))</f>
        <v/>
      </c>
      <c r="L388">
        <f>-LN(1-K388)</f>
        <v/>
      </c>
      <c r="M388">
        <f>EXP(-L388/Inputs!$B$6)</f>
        <v/>
      </c>
      <c r="N388">
        <f>N387*M388</f>
        <v/>
      </c>
      <c r="O388">
        <f>IFERROR(INDEX(MonthlyCurve!$L:$L,MATCH(A388,MonthlyCurve!$A:$A,0)),"")</f>
        <v/>
      </c>
      <c r="P388">
        <f>IF(B388&gt;0,-LN(O388)/B388,"")</f>
        <v/>
      </c>
      <c r="Q388">
        <f>G388*N388</f>
        <v/>
      </c>
      <c r="R388">
        <f>H388*N388</f>
        <v/>
      </c>
      <c r="S388">
        <f>Q388+R388</f>
        <v/>
      </c>
      <c r="T388">
        <f>Q388*O388</f>
        <v/>
      </c>
      <c r="U388">
        <f>R388*O388</f>
        <v/>
      </c>
      <c r="V388">
        <f>SUMPRODUCT(S389:S543,O389:O543)/(N388*O388)</f>
        <v/>
      </c>
    </row>
    <row r="389">
      <c r="A389" t="n">
        <v>386</v>
      </c>
      <c r="B389">
        <f>A389/Inputs!$B$6</f>
        <v/>
      </c>
      <c r="C389">
        <f>Inputs!$B$3+B389</f>
        <v/>
      </c>
      <c r="D389">
        <f>INT(C389)</f>
        <v/>
      </c>
      <c r="E389">
        <f>Inputs!$B$7+1+INT((A389-1)/Inputs!$B$6)</f>
        <v/>
      </c>
      <c r="F389">
        <f>IFERROR(INDEX(IndexScenario!$B$4:$B$544,MATCH(A389,IndexScenario!$A$4:$A$544,0)),"")</f>
        <v/>
      </c>
      <c r="G389">
        <f>G388*F389/F388</f>
        <v/>
      </c>
      <c r="H389">
        <f>H388*(1+Inputs!$B$17)^(1/12)</f>
        <v/>
      </c>
      <c r="I389">
        <f>IFERROR(INDEX(BaseQx!$B:$B,MATCH(D389,BaseQx!$A:$A,0)),"")</f>
        <v/>
      </c>
      <c r="J389">
        <f>IF(Inputs!$B$13="rp_mp",SUMIFS(MP2016_Long!$C:$C,MP2016_Long!$A:$A,D389,MP2016_Long!$B:$B,"&gt;=2014",MP2016_Long!$B:$B,"&lt;"&amp;E389),0)</f>
        <v/>
      </c>
      <c r="K389">
        <f>MIN(0.999999,MAX(0,I389*EXP(J389)))</f>
        <v/>
      </c>
      <c r="L389">
        <f>-LN(1-K389)</f>
        <v/>
      </c>
      <c r="M389">
        <f>EXP(-L389/Inputs!$B$6)</f>
        <v/>
      </c>
      <c r="N389">
        <f>N388*M389</f>
        <v/>
      </c>
      <c r="O389">
        <f>IFERROR(INDEX(MonthlyCurve!$L:$L,MATCH(A389,MonthlyCurve!$A:$A,0)),"")</f>
        <v/>
      </c>
      <c r="P389">
        <f>IF(B389&gt;0,-LN(O389)/B389,"")</f>
        <v/>
      </c>
      <c r="Q389">
        <f>G389*N389</f>
        <v/>
      </c>
      <c r="R389">
        <f>H389*N389</f>
        <v/>
      </c>
      <c r="S389">
        <f>Q389+R389</f>
        <v/>
      </c>
      <c r="T389">
        <f>Q389*O389</f>
        <v/>
      </c>
      <c r="U389">
        <f>R389*O389</f>
        <v/>
      </c>
      <c r="V389">
        <f>SUMPRODUCT(S390:S543,O390:O543)/(N389*O389)</f>
        <v/>
      </c>
    </row>
    <row r="390">
      <c r="A390" t="n">
        <v>387</v>
      </c>
      <c r="B390">
        <f>A390/Inputs!$B$6</f>
        <v/>
      </c>
      <c r="C390">
        <f>Inputs!$B$3+B390</f>
        <v/>
      </c>
      <c r="D390">
        <f>INT(C390)</f>
        <v/>
      </c>
      <c r="E390">
        <f>Inputs!$B$7+1+INT((A390-1)/Inputs!$B$6)</f>
        <v/>
      </c>
      <c r="F390">
        <f>IFERROR(INDEX(IndexScenario!$B$4:$B$544,MATCH(A390,IndexScenario!$A$4:$A$544,0)),"")</f>
        <v/>
      </c>
      <c r="G390">
        <f>G389*F390/F389</f>
        <v/>
      </c>
      <c r="H390">
        <f>H389*(1+Inputs!$B$17)^(1/12)</f>
        <v/>
      </c>
      <c r="I390">
        <f>IFERROR(INDEX(BaseQx!$B:$B,MATCH(D390,BaseQx!$A:$A,0)),"")</f>
        <v/>
      </c>
      <c r="J390">
        <f>IF(Inputs!$B$13="rp_mp",SUMIFS(MP2016_Long!$C:$C,MP2016_Long!$A:$A,D390,MP2016_Long!$B:$B,"&gt;=2014",MP2016_Long!$B:$B,"&lt;"&amp;E390),0)</f>
        <v/>
      </c>
      <c r="K390">
        <f>MIN(0.999999,MAX(0,I390*EXP(J390)))</f>
        <v/>
      </c>
      <c r="L390">
        <f>-LN(1-K390)</f>
        <v/>
      </c>
      <c r="M390">
        <f>EXP(-L390/Inputs!$B$6)</f>
        <v/>
      </c>
      <c r="N390">
        <f>N389*M390</f>
        <v/>
      </c>
      <c r="O390">
        <f>IFERROR(INDEX(MonthlyCurve!$L:$L,MATCH(A390,MonthlyCurve!$A:$A,0)),"")</f>
        <v/>
      </c>
      <c r="P390">
        <f>IF(B390&gt;0,-LN(O390)/B390,"")</f>
        <v/>
      </c>
      <c r="Q390">
        <f>G390*N390</f>
        <v/>
      </c>
      <c r="R390">
        <f>H390*N390</f>
        <v/>
      </c>
      <c r="S390">
        <f>Q390+R390</f>
        <v/>
      </c>
      <c r="T390">
        <f>Q390*O390</f>
        <v/>
      </c>
      <c r="U390">
        <f>R390*O390</f>
        <v/>
      </c>
      <c r="V390">
        <f>SUMPRODUCT(S391:S543,O391:O543)/(N390*O390)</f>
        <v/>
      </c>
    </row>
    <row r="391">
      <c r="A391" t="n">
        <v>388</v>
      </c>
      <c r="B391">
        <f>A391/Inputs!$B$6</f>
        <v/>
      </c>
      <c r="C391">
        <f>Inputs!$B$3+B391</f>
        <v/>
      </c>
      <c r="D391">
        <f>INT(C391)</f>
        <v/>
      </c>
      <c r="E391">
        <f>Inputs!$B$7+1+INT((A391-1)/Inputs!$B$6)</f>
        <v/>
      </c>
      <c r="F391">
        <f>IFERROR(INDEX(IndexScenario!$B$4:$B$544,MATCH(A391,IndexScenario!$A$4:$A$544,0)),"")</f>
        <v/>
      </c>
      <c r="G391">
        <f>G390*F391/F390</f>
        <v/>
      </c>
      <c r="H391">
        <f>H390*(1+Inputs!$B$17)^(1/12)</f>
        <v/>
      </c>
      <c r="I391">
        <f>IFERROR(INDEX(BaseQx!$B:$B,MATCH(D391,BaseQx!$A:$A,0)),"")</f>
        <v/>
      </c>
      <c r="J391">
        <f>IF(Inputs!$B$13="rp_mp",SUMIFS(MP2016_Long!$C:$C,MP2016_Long!$A:$A,D391,MP2016_Long!$B:$B,"&gt;=2014",MP2016_Long!$B:$B,"&lt;"&amp;E391),0)</f>
        <v/>
      </c>
      <c r="K391">
        <f>MIN(0.999999,MAX(0,I391*EXP(J391)))</f>
        <v/>
      </c>
      <c r="L391">
        <f>-LN(1-K391)</f>
        <v/>
      </c>
      <c r="M391">
        <f>EXP(-L391/Inputs!$B$6)</f>
        <v/>
      </c>
      <c r="N391">
        <f>N390*M391</f>
        <v/>
      </c>
      <c r="O391">
        <f>IFERROR(INDEX(MonthlyCurve!$L:$L,MATCH(A391,MonthlyCurve!$A:$A,0)),"")</f>
        <v/>
      </c>
      <c r="P391">
        <f>IF(B391&gt;0,-LN(O391)/B391,"")</f>
        <v/>
      </c>
      <c r="Q391">
        <f>G391*N391</f>
        <v/>
      </c>
      <c r="R391">
        <f>H391*N391</f>
        <v/>
      </c>
      <c r="S391">
        <f>Q391+R391</f>
        <v/>
      </c>
      <c r="T391">
        <f>Q391*O391</f>
        <v/>
      </c>
      <c r="U391">
        <f>R391*O391</f>
        <v/>
      </c>
      <c r="V391">
        <f>SUMPRODUCT(S392:S543,O392:O543)/(N391*O391)</f>
        <v/>
      </c>
    </row>
    <row r="392">
      <c r="A392" t="n">
        <v>389</v>
      </c>
      <c r="B392">
        <f>A392/Inputs!$B$6</f>
        <v/>
      </c>
      <c r="C392">
        <f>Inputs!$B$3+B392</f>
        <v/>
      </c>
      <c r="D392">
        <f>INT(C392)</f>
        <v/>
      </c>
      <c r="E392">
        <f>Inputs!$B$7+1+INT((A392-1)/Inputs!$B$6)</f>
        <v/>
      </c>
      <c r="F392">
        <f>IFERROR(INDEX(IndexScenario!$B$4:$B$544,MATCH(A392,IndexScenario!$A$4:$A$544,0)),"")</f>
        <v/>
      </c>
      <c r="G392">
        <f>G391*F392/F391</f>
        <v/>
      </c>
      <c r="H392">
        <f>H391*(1+Inputs!$B$17)^(1/12)</f>
        <v/>
      </c>
      <c r="I392">
        <f>IFERROR(INDEX(BaseQx!$B:$B,MATCH(D392,BaseQx!$A:$A,0)),"")</f>
        <v/>
      </c>
      <c r="J392">
        <f>IF(Inputs!$B$13="rp_mp",SUMIFS(MP2016_Long!$C:$C,MP2016_Long!$A:$A,D392,MP2016_Long!$B:$B,"&gt;=2014",MP2016_Long!$B:$B,"&lt;"&amp;E392),0)</f>
        <v/>
      </c>
      <c r="K392">
        <f>MIN(0.999999,MAX(0,I392*EXP(J392)))</f>
        <v/>
      </c>
      <c r="L392">
        <f>-LN(1-K392)</f>
        <v/>
      </c>
      <c r="M392">
        <f>EXP(-L392/Inputs!$B$6)</f>
        <v/>
      </c>
      <c r="N392">
        <f>N391*M392</f>
        <v/>
      </c>
      <c r="O392">
        <f>IFERROR(INDEX(MonthlyCurve!$L:$L,MATCH(A392,MonthlyCurve!$A:$A,0)),"")</f>
        <v/>
      </c>
      <c r="P392">
        <f>IF(B392&gt;0,-LN(O392)/B392,"")</f>
        <v/>
      </c>
      <c r="Q392">
        <f>G392*N392</f>
        <v/>
      </c>
      <c r="R392">
        <f>H392*N392</f>
        <v/>
      </c>
      <c r="S392">
        <f>Q392+R392</f>
        <v/>
      </c>
      <c r="T392">
        <f>Q392*O392</f>
        <v/>
      </c>
      <c r="U392">
        <f>R392*O392</f>
        <v/>
      </c>
      <c r="V392">
        <f>SUMPRODUCT(S393:S543,O393:O543)/(N392*O392)</f>
        <v/>
      </c>
    </row>
    <row r="393">
      <c r="A393" t="n">
        <v>390</v>
      </c>
      <c r="B393">
        <f>A393/Inputs!$B$6</f>
        <v/>
      </c>
      <c r="C393">
        <f>Inputs!$B$3+B393</f>
        <v/>
      </c>
      <c r="D393">
        <f>INT(C393)</f>
        <v/>
      </c>
      <c r="E393">
        <f>Inputs!$B$7+1+INT((A393-1)/Inputs!$B$6)</f>
        <v/>
      </c>
      <c r="F393">
        <f>IFERROR(INDEX(IndexScenario!$B$4:$B$544,MATCH(A393,IndexScenario!$A$4:$A$544,0)),"")</f>
        <v/>
      </c>
      <c r="G393">
        <f>G392*F393/F392</f>
        <v/>
      </c>
      <c r="H393">
        <f>H392*(1+Inputs!$B$17)^(1/12)</f>
        <v/>
      </c>
      <c r="I393">
        <f>IFERROR(INDEX(BaseQx!$B:$B,MATCH(D393,BaseQx!$A:$A,0)),"")</f>
        <v/>
      </c>
      <c r="J393">
        <f>IF(Inputs!$B$13="rp_mp",SUMIFS(MP2016_Long!$C:$C,MP2016_Long!$A:$A,D393,MP2016_Long!$B:$B,"&gt;=2014",MP2016_Long!$B:$B,"&lt;"&amp;E393),0)</f>
        <v/>
      </c>
      <c r="K393">
        <f>MIN(0.999999,MAX(0,I393*EXP(J393)))</f>
        <v/>
      </c>
      <c r="L393">
        <f>-LN(1-K393)</f>
        <v/>
      </c>
      <c r="M393">
        <f>EXP(-L393/Inputs!$B$6)</f>
        <v/>
      </c>
      <c r="N393">
        <f>N392*M393</f>
        <v/>
      </c>
      <c r="O393">
        <f>IFERROR(INDEX(MonthlyCurve!$L:$L,MATCH(A393,MonthlyCurve!$A:$A,0)),"")</f>
        <v/>
      </c>
      <c r="P393">
        <f>IF(B393&gt;0,-LN(O393)/B393,"")</f>
        <v/>
      </c>
      <c r="Q393">
        <f>G393*N393</f>
        <v/>
      </c>
      <c r="R393">
        <f>H393*N393</f>
        <v/>
      </c>
      <c r="S393">
        <f>Q393+R393</f>
        <v/>
      </c>
      <c r="T393">
        <f>Q393*O393</f>
        <v/>
      </c>
      <c r="U393">
        <f>R393*O393</f>
        <v/>
      </c>
      <c r="V393">
        <f>SUMPRODUCT(S394:S543,O394:O543)/(N393*O393)</f>
        <v/>
      </c>
    </row>
    <row r="394">
      <c r="A394" t="n">
        <v>391</v>
      </c>
      <c r="B394">
        <f>A394/Inputs!$B$6</f>
        <v/>
      </c>
      <c r="C394">
        <f>Inputs!$B$3+B394</f>
        <v/>
      </c>
      <c r="D394">
        <f>INT(C394)</f>
        <v/>
      </c>
      <c r="E394">
        <f>Inputs!$B$7+1+INT((A394-1)/Inputs!$B$6)</f>
        <v/>
      </c>
      <c r="F394">
        <f>IFERROR(INDEX(IndexScenario!$B$4:$B$544,MATCH(A394,IndexScenario!$A$4:$A$544,0)),"")</f>
        <v/>
      </c>
      <c r="G394">
        <f>G393*F394/F393</f>
        <v/>
      </c>
      <c r="H394">
        <f>H393*(1+Inputs!$B$17)^(1/12)</f>
        <v/>
      </c>
      <c r="I394">
        <f>IFERROR(INDEX(BaseQx!$B:$B,MATCH(D394,BaseQx!$A:$A,0)),"")</f>
        <v/>
      </c>
      <c r="J394">
        <f>IF(Inputs!$B$13="rp_mp",SUMIFS(MP2016_Long!$C:$C,MP2016_Long!$A:$A,D394,MP2016_Long!$B:$B,"&gt;=2014",MP2016_Long!$B:$B,"&lt;"&amp;E394),0)</f>
        <v/>
      </c>
      <c r="K394">
        <f>MIN(0.999999,MAX(0,I394*EXP(J394)))</f>
        <v/>
      </c>
      <c r="L394">
        <f>-LN(1-K394)</f>
        <v/>
      </c>
      <c r="M394">
        <f>EXP(-L394/Inputs!$B$6)</f>
        <v/>
      </c>
      <c r="N394">
        <f>N393*M394</f>
        <v/>
      </c>
      <c r="O394">
        <f>IFERROR(INDEX(MonthlyCurve!$L:$L,MATCH(A394,MonthlyCurve!$A:$A,0)),"")</f>
        <v/>
      </c>
      <c r="P394">
        <f>IF(B394&gt;0,-LN(O394)/B394,"")</f>
        <v/>
      </c>
      <c r="Q394">
        <f>G394*N394</f>
        <v/>
      </c>
      <c r="R394">
        <f>H394*N394</f>
        <v/>
      </c>
      <c r="S394">
        <f>Q394+R394</f>
        <v/>
      </c>
      <c r="T394">
        <f>Q394*O394</f>
        <v/>
      </c>
      <c r="U394">
        <f>R394*O394</f>
        <v/>
      </c>
      <c r="V394">
        <f>SUMPRODUCT(S395:S543,O395:O543)/(N394*O394)</f>
        <v/>
      </c>
    </row>
    <row r="395">
      <c r="A395" t="n">
        <v>392</v>
      </c>
      <c r="B395">
        <f>A395/Inputs!$B$6</f>
        <v/>
      </c>
      <c r="C395">
        <f>Inputs!$B$3+B395</f>
        <v/>
      </c>
      <c r="D395">
        <f>INT(C395)</f>
        <v/>
      </c>
      <c r="E395">
        <f>Inputs!$B$7+1+INT((A395-1)/Inputs!$B$6)</f>
        <v/>
      </c>
      <c r="F395">
        <f>IFERROR(INDEX(IndexScenario!$B$4:$B$544,MATCH(A395,IndexScenario!$A$4:$A$544,0)),"")</f>
        <v/>
      </c>
      <c r="G395">
        <f>G394*F395/F394</f>
        <v/>
      </c>
      <c r="H395">
        <f>H394*(1+Inputs!$B$17)^(1/12)</f>
        <v/>
      </c>
      <c r="I395">
        <f>IFERROR(INDEX(BaseQx!$B:$B,MATCH(D395,BaseQx!$A:$A,0)),"")</f>
        <v/>
      </c>
      <c r="J395">
        <f>IF(Inputs!$B$13="rp_mp",SUMIFS(MP2016_Long!$C:$C,MP2016_Long!$A:$A,D395,MP2016_Long!$B:$B,"&gt;=2014",MP2016_Long!$B:$B,"&lt;"&amp;E395),0)</f>
        <v/>
      </c>
      <c r="K395">
        <f>MIN(0.999999,MAX(0,I395*EXP(J395)))</f>
        <v/>
      </c>
      <c r="L395">
        <f>-LN(1-K395)</f>
        <v/>
      </c>
      <c r="M395">
        <f>EXP(-L395/Inputs!$B$6)</f>
        <v/>
      </c>
      <c r="N395">
        <f>N394*M395</f>
        <v/>
      </c>
      <c r="O395">
        <f>IFERROR(INDEX(MonthlyCurve!$L:$L,MATCH(A395,MonthlyCurve!$A:$A,0)),"")</f>
        <v/>
      </c>
      <c r="P395">
        <f>IF(B395&gt;0,-LN(O395)/B395,"")</f>
        <v/>
      </c>
      <c r="Q395">
        <f>G395*N395</f>
        <v/>
      </c>
      <c r="R395">
        <f>H395*N395</f>
        <v/>
      </c>
      <c r="S395">
        <f>Q395+R395</f>
        <v/>
      </c>
      <c r="T395">
        <f>Q395*O395</f>
        <v/>
      </c>
      <c r="U395">
        <f>R395*O395</f>
        <v/>
      </c>
      <c r="V395">
        <f>SUMPRODUCT(S396:S543,O396:O543)/(N395*O395)</f>
        <v/>
      </c>
    </row>
    <row r="396">
      <c r="A396" t="n">
        <v>393</v>
      </c>
      <c r="B396">
        <f>A396/Inputs!$B$6</f>
        <v/>
      </c>
      <c r="C396">
        <f>Inputs!$B$3+B396</f>
        <v/>
      </c>
      <c r="D396">
        <f>INT(C396)</f>
        <v/>
      </c>
      <c r="E396">
        <f>Inputs!$B$7+1+INT((A396-1)/Inputs!$B$6)</f>
        <v/>
      </c>
      <c r="F396">
        <f>IFERROR(INDEX(IndexScenario!$B$4:$B$544,MATCH(A396,IndexScenario!$A$4:$A$544,0)),"")</f>
        <v/>
      </c>
      <c r="G396">
        <f>G395*F396/F395</f>
        <v/>
      </c>
      <c r="H396">
        <f>H395*(1+Inputs!$B$17)^(1/12)</f>
        <v/>
      </c>
      <c r="I396">
        <f>IFERROR(INDEX(BaseQx!$B:$B,MATCH(D396,BaseQx!$A:$A,0)),"")</f>
        <v/>
      </c>
      <c r="J396">
        <f>IF(Inputs!$B$13="rp_mp",SUMIFS(MP2016_Long!$C:$C,MP2016_Long!$A:$A,D396,MP2016_Long!$B:$B,"&gt;=2014",MP2016_Long!$B:$B,"&lt;"&amp;E396),0)</f>
        <v/>
      </c>
      <c r="K396">
        <f>MIN(0.999999,MAX(0,I396*EXP(J396)))</f>
        <v/>
      </c>
      <c r="L396">
        <f>-LN(1-K396)</f>
        <v/>
      </c>
      <c r="M396">
        <f>EXP(-L396/Inputs!$B$6)</f>
        <v/>
      </c>
      <c r="N396">
        <f>N395*M396</f>
        <v/>
      </c>
      <c r="O396">
        <f>IFERROR(INDEX(MonthlyCurve!$L:$L,MATCH(A396,MonthlyCurve!$A:$A,0)),"")</f>
        <v/>
      </c>
      <c r="P396">
        <f>IF(B396&gt;0,-LN(O396)/B396,"")</f>
        <v/>
      </c>
      <c r="Q396">
        <f>G396*N396</f>
        <v/>
      </c>
      <c r="R396">
        <f>H396*N396</f>
        <v/>
      </c>
      <c r="S396">
        <f>Q396+R396</f>
        <v/>
      </c>
      <c r="T396">
        <f>Q396*O396</f>
        <v/>
      </c>
      <c r="U396">
        <f>R396*O396</f>
        <v/>
      </c>
      <c r="V396">
        <f>SUMPRODUCT(S397:S543,O397:O543)/(N396*O396)</f>
        <v/>
      </c>
    </row>
    <row r="397">
      <c r="A397" t="n">
        <v>394</v>
      </c>
      <c r="B397">
        <f>A397/Inputs!$B$6</f>
        <v/>
      </c>
      <c r="C397">
        <f>Inputs!$B$3+B397</f>
        <v/>
      </c>
      <c r="D397">
        <f>INT(C397)</f>
        <v/>
      </c>
      <c r="E397">
        <f>Inputs!$B$7+1+INT((A397-1)/Inputs!$B$6)</f>
        <v/>
      </c>
      <c r="F397">
        <f>IFERROR(INDEX(IndexScenario!$B$4:$B$544,MATCH(A397,IndexScenario!$A$4:$A$544,0)),"")</f>
        <v/>
      </c>
      <c r="G397">
        <f>G396*F397/F396</f>
        <v/>
      </c>
      <c r="H397">
        <f>H396*(1+Inputs!$B$17)^(1/12)</f>
        <v/>
      </c>
      <c r="I397">
        <f>IFERROR(INDEX(BaseQx!$B:$B,MATCH(D397,BaseQx!$A:$A,0)),"")</f>
        <v/>
      </c>
      <c r="J397">
        <f>IF(Inputs!$B$13="rp_mp",SUMIFS(MP2016_Long!$C:$C,MP2016_Long!$A:$A,D397,MP2016_Long!$B:$B,"&gt;=2014",MP2016_Long!$B:$B,"&lt;"&amp;E397),0)</f>
        <v/>
      </c>
      <c r="K397">
        <f>MIN(0.999999,MAX(0,I397*EXP(J397)))</f>
        <v/>
      </c>
      <c r="L397">
        <f>-LN(1-K397)</f>
        <v/>
      </c>
      <c r="M397">
        <f>EXP(-L397/Inputs!$B$6)</f>
        <v/>
      </c>
      <c r="N397">
        <f>N396*M397</f>
        <v/>
      </c>
      <c r="O397">
        <f>IFERROR(INDEX(MonthlyCurve!$L:$L,MATCH(A397,MonthlyCurve!$A:$A,0)),"")</f>
        <v/>
      </c>
      <c r="P397">
        <f>IF(B397&gt;0,-LN(O397)/B397,"")</f>
        <v/>
      </c>
      <c r="Q397">
        <f>G397*N397</f>
        <v/>
      </c>
      <c r="R397">
        <f>H397*N397</f>
        <v/>
      </c>
      <c r="S397">
        <f>Q397+R397</f>
        <v/>
      </c>
      <c r="T397">
        <f>Q397*O397</f>
        <v/>
      </c>
      <c r="U397">
        <f>R397*O397</f>
        <v/>
      </c>
      <c r="V397">
        <f>SUMPRODUCT(S398:S543,O398:O543)/(N397*O397)</f>
        <v/>
      </c>
    </row>
    <row r="398">
      <c r="A398" t="n">
        <v>395</v>
      </c>
      <c r="B398">
        <f>A398/Inputs!$B$6</f>
        <v/>
      </c>
      <c r="C398">
        <f>Inputs!$B$3+B398</f>
        <v/>
      </c>
      <c r="D398">
        <f>INT(C398)</f>
        <v/>
      </c>
      <c r="E398">
        <f>Inputs!$B$7+1+INT((A398-1)/Inputs!$B$6)</f>
        <v/>
      </c>
      <c r="F398">
        <f>IFERROR(INDEX(IndexScenario!$B$4:$B$544,MATCH(A398,IndexScenario!$A$4:$A$544,0)),"")</f>
        <v/>
      </c>
      <c r="G398">
        <f>G397*F398/F397</f>
        <v/>
      </c>
      <c r="H398">
        <f>H397*(1+Inputs!$B$17)^(1/12)</f>
        <v/>
      </c>
      <c r="I398">
        <f>IFERROR(INDEX(BaseQx!$B:$B,MATCH(D398,BaseQx!$A:$A,0)),"")</f>
        <v/>
      </c>
      <c r="J398">
        <f>IF(Inputs!$B$13="rp_mp",SUMIFS(MP2016_Long!$C:$C,MP2016_Long!$A:$A,D398,MP2016_Long!$B:$B,"&gt;=2014",MP2016_Long!$B:$B,"&lt;"&amp;E398),0)</f>
        <v/>
      </c>
      <c r="K398">
        <f>MIN(0.999999,MAX(0,I398*EXP(J398)))</f>
        <v/>
      </c>
      <c r="L398">
        <f>-LN(1-K398)</f>
        <v/>
      </c>
      <c r="M398">
        <f>EXP(-L398/Inputs!$B$6)</f>
        <v/>
      </c>
      <c r="N398">
        <f>N397*M398</f>
        <v/>
      </c>
      <c r="O398">
        <f>IFERROR(INDEX(MonthlyCurve!$L:$L,MATCH(A398,MonthlyCurve!$A:$A,0)),"")</f>
        <v/>
      </c>
      <c r="P398">
        <f>IF(B398&gt;0,-LN(O398)/B398,"")</f>
        <v/>
      </c>
      <c r="Q398">
        <f>G398*N398</f>
        <v/>
      </c>
      <c r="R398">
        <f>H398*N398</f>
        <v/>
      </c>
      <c r="S398">
        <f>Q398+R398</f>
        <v/>
      </c>
      <c r="T398">
        <f>Q398*O398</f>
        <v/>
      </c>
      <c r="U398">
        <f>R398*O398</f>
        <v/>
      </c>
      <c r="V398">
        <f>SUMPRODUCT(S399:S543,O399:O543)/(N398*O398)</f>
        <v/>
      </c>
    </row>
    <row r="399">
      <c r="A399" t="n">
        <v>396</v>
      </c>
      <c r="B399">
        <f>A399/Inputs!$B$6</f>
        <v/>
      </c>
      <c r="C399">
        <f>Inputs!$B$3+B399</f>
        <v/>
      </c>
      <c r="D399">
        <f>INT(C399)</f>
        <v/>
      </c>
      <c r="E399">
        <f>Inputs!$B$7+1+INT((A399-1)/Inputs!$B$6)</f>
        <v/>
      </c>
      <c r="F399">
        <f>IFERROR(INDEX(IndexScenario!$B$4:$B$544,MATCH(A399,IndexScenario!$A$4:$A$544,0)),"")</f>
        <v/>
      </c>
      <c r="G399">
        <f>G398*F399/F398</f>
        <v/>
      </c>
      <c r="H399">
        <f>H398*(1+Inputs!$B$17)^(1/12)</f>
        <v/>
      </c>
      <c r="I399">
        <f>IFERROR(INDEX(BaseQx!$B:$B,MATCH(D399,BaseQx!$A:$A,0)),"")</f>
        <v/>
      </c>
      <c r="J399">
        <f>IF(Inputs!$B$13="rp_mp",SUMIFS(MP2016_Long!$C:$C,MP2016_Long!$A:$A,D399,MP2016_Long!$B:$B,"&gt;=2014",MP2016_Long!$B:$B,"&lt;"&amp;E399),0)</f>
        <v/>
      </c>
      <c r="K399">
        <f>MIN(0.999999,MAX(0,I399*EXP(J399)))</f>
        <v/>
      </c>
      <c r="L399">
        <f>-LN(1-K399)</f>
        <v/>
      </c>
      <c r="M399">
        <f>EXP(-L399/Inputs!$B$6)</f>
        <v/>
      </c>
      <c r="N399">
        <f>N398*M399</f>
        <v/>
      </c>
      <c r="O399">
        <f>IFERROR(INDEX(MonthlyCurve!$L:$L,MATCH(A399,MonthlyCurve!$A:$A,0)),"")</f>
        <v/>
      </c>
      <c r="P399">
        <f>IF(B399&gt;0,-LN(O399)/B399,"")</f>
        <v/>
      </c>
      <c r="Q399">
        <f>G399*N399</f>
        <v/>
      </c>
      <c r="R399">
        <f>H399*N399</f>
        <v/>
      </c>
      <c r="S399">
        <f>Q399+R399</f>
        <v/>
      </c>
      <c r="T399">
        <f>Q399*O399</f>
        <v/>
      </c>
      <c r="U399">
        <f>R399*O399</f>
        <v/>
      </c>
      <c r="V399">
        <f>SUMPRODUCT(S400:S543,O400:O543)/(N399*O399)</f>
        <v/>
      </c>
    </row>
    <row r="400">
      <c r="A400" t="n">
        <v>397</v>
      </c>
      <c r="B400">
        <f>A400/Inputs!$B$6</f>
        <v/>
      </c>
      <c r="C400">
        <f>Inputs!$B$3+B400</f>
        <v/>
      </c>
      <c r="D400">
        <f>INT(C400)</f>
        <v/>
      </c>
      <c r="E400">
        <f>Inputs!$B$7+1+INT((A400-1)/Inputs!$B$6)</f>
        <v/>
      </c>
      <c r="F400">
        <f>IFERROR(INDEX(IndexScenario!$B$4:$B$544,MATCH(A400,IndexScenario!$A$4:$A$544,0)),"")</f>
        <v/>
      </c>
      <c r="G400">
        <f>G399*F400/F399</f>
        <v/>
      </c>
      <c r="H400">
        <f>H399*(1+Inputs!$B$17)^(1/12)</f>
        <v/>
      </c>
      <c r="I400">
        <f>IFERROR(INDEX(BaseQx!$B:$B,MATCH(D400,BaseQx!$A:$A,0)),"")</f>
        <v/>
      </c>
      <c r="J400">
        <f>IF(Inputs!$B$13="rp_mp",SUMIFS(MP2016_Long!$C:$C,MP2016_Long!$A:$A,D400,MP2016_Long!$B:$B,"&gt;=2014",MP2016_Long!$B:$B,"&lt;"&amp;E400),0)</f>
        <v/>
      </c>
      <c r="K400">
        <f>MIN(0.999999,MAX(0,I400*EXP(J400)))</f>
        <v/>
      </c>
      <c r="L400">
        <f>-LN(1-K400)</f>
        <v/>
      </c>
      <c r="M400">
        <f>EXP(-L400/Inputs!$B$6)</f>
        <v/>
      </c>
      <c r="N400">
        <f>N399*M400</f>
        <v/>
      </c>
      <c r="O400">
        <f>IFERROR(INDEX(MonthlyCurve!$L:$L,MATCH(A400,MonthlyCurve!$A:$A,0)),"")</f>
        <v/>
      </c>
      <c r="P400">
        <f>IF(B400&gt;0,-LN(O400)/B400,"")</f>
        <v/>
      </c>
      <c r="Q400">
        <f>G400*N400</f>
        <v/>
      </c>
      <c r="R400">
        <f>H400*N400</f>
        <v/>
      </c>
      <c r="S400">
        <f>Q400+R400</f>
        <v/>
      </c>
      <c r="T400">
        <f>Q400*O400</f>
        <v/>
      </c>
      <c r="U400">
        <f>R400*O400</f>
        <v/>
      </c>
      <c r="V400">
        <f>SUMPRODUCT(S401:S543,O401:O543)/(N400*O400)</f>
        <v/>
      </c>
    </row>
    <row r="401">
      <c r="A401" t="n">
        <v>398</v>
      </c>
      <c r="B401">
        <f>A401/Inputs!$B$6</f>
        <v/>
      </c>
      <c r="C401">
        <f>Inputs!$B$3+B401</f>
        <v/>
      </c>
      <c r="D401">
        <f>INT(C401)</f>
        <v/>
      </c>
      <c r="E401">
        <f>Inputs!$B$7+1+INT((A401-1)/Inputs!$B$6)</f>
        <v/>
      </c>
      <c r="F401">
        <f>IFERROR(INDEX(IndexScenario!$B$4:$B$544,MATCH(A401,IndexScenario!$A$4:$A$544,0)),"")</f>
        <v/>
      </c>
      <c r="G401">
        <f>G400*F401/F400</f>
        <v/>
      </c>
      <c r="H401">
        <f>H400*(1+Inputs!$B$17)^(1/12)</f>
        <v/>
      </c>
      <c r="I401">
        <f>IFERROR(INDEX(BaseQx!$B:$B,MATCH(D401,BaseQx!$A:$A,0)),"")</f>
        <v/>
      </c>
      <c r="J401">
        <f>IF(Inputs!$B$13="rp_mp",SUMIFS(MP2016_Long!$C:$C,MP2016_Long!$A:$A,D401,MP2016_Long!$B:$B,"&gt;=2014",MP2016_Long!$B:$B,"&lt;"&amp;E401),0)</f>
        <v/>
      </c>
      <c r="K401">
        <f>MIN(0.999999,MAX(0,I401*EXP(J401)))</f>
        <v/>
      </c>
      <c r="L401">
        <f>-LN(1-K401)</f>
        <v/>
      </c>
      <c r="M401">
        <f>EXP(-L401/Inputs!$B$6)</f>
        <v/>
      </c>
      <c r="N401">
        <f>N400*M401</f>
        <v/>
      </c>
      <c r="O401">
        <f>IFERROR(INDEX(MonthlyCurve!$L:$L,MATCH(A401,MonthlyCurve!$A:$A,0)),"")</f>
        <v/>
      </c>
      <c r="P401">
        <f>IF(B401&gt;0,-LN(O401)/B401,"")</f>
        <v/>
      </c>
      <c r="Q401">
        <f>G401*N401</f>
        <v/>
      </c>
      <c r="R401">
        <f>H401*N401</f>
        <v/>
      </c>
      <c r="S401">
        <f>Q401+R401</f>
        <v/>
      </c>
      <c r="T401">
        <f>Q401*O401</f>
        <v/>
      </c>
      <c r="U401">
        <f>R401*O401</f>
        <v/>
      </c>
      <c r="V401">
        <f>SUMPRODUCT(S402:S543,O402:O543)/(N401*O401)</f>
        <v/>
      </c>
    </row>
    <row r="402">
      <c r="A402" t="n">
        <v>399</v>
      </c>
      <c r="B402">
        <f>A402/Inputs!$B$6</f>
        <v/>
      </c>
      <c r="C402">
        <f>Inputs!$B$3+B402</f>
        <v/>
      </c>
      <c r="D402">
        <f>INT(C402)</f>
        <v/>
      </c>
      <c r="E402">
        <f>Inputs!$B$7+1+INT((A402-1)/Inputs!$B$6)</f>
        <v/>
      </c>
      <c r="F402">
        <f>IFERROR(INDEX(IndexScenario!$B$4:$B$544,MATCH(A402,IndexScenario!$A$4:$A$544,0)),"")</f>
        <v/>
      </c>
      <c r="G402">
        <f>G401*F402/F401</f>
        <v/>
      </c>
      <c r="H402">
        <f>H401*(1+Inputs!$B$17)^(1/12)</f>
        <v/>
      </c>
      <c r="I402">
        <f>IFERROR(INDEX(BaseQx!$B:$B,MATCH(D402,BaseQx!$A:$A,0)),"")</f>
        <v/>
      </c>
      <c r="J402">
        <f>IF(Inputs!$B$13="rp_mp",SUMIFS(MP2016_Long!$C:$C,MP2016_Long!$A:$A,D402,MP2016_Long!$B:$B,"&gt;=2014",MP2016_Long!$B:$B,"&lt;"&amp;E402),0)</f>
        <v/>
      </c>
      <c r="K402">
        <f>MIN(0.999999,MAX(0,I402*EXP(J402)))</f>
        <v/>
      </c>
      <c r="L402">
        <f>-LN(1-K402)</f>
        <v/>
      </c>
      <c r="M402">
        <f>EXP(-L402/Inputs!$B$6)</f>
        <v/>
      </c>
      <c r="N402">
        <f>N401*M402</f>
        <v/>
      </c>
      <c r="O402">
        <f>IFERROR(INDEX(MonthlyCurve!$L:$L,MATCH(A402,MonthlyCurve!$A:$A,0)),"")</f>
        <v/>
      </c>
      <c r="P402">
        <f>IF(B402&gt;0,-LN(O402)/B402,"")</f>
        <v/>
      </c>
      <c r="Q402">
        <f>G402*N402</f>
        <v/>
      </c>
      <c r="R402">
        <f>H402*N402</f>
        <v/>
      </c>
      <c r="S402">
        <f>Q402+R402</f>
        <v/>
      </c>
      <c r="T402">
        <f>Q402*O402</f>
        <v/>
      </c>
      <c r="U402">
        <f>R402*O402</f>
        <v/>
      </c>
      <c r="V402">
        <f>SUMPRODUCT(S403:S543,O403:O543)/(N402*O402)</f>
        <v/>
      </c>
    </row>
    <row r="403">
      <c r="A403" t="n">
        <v>400</v>
      </c>
      <c r="B403">
        <f>A403/Inputs!$B$6</f>
        <v/>
      </c>
      <c r="C403">
        <f>Inputs!$B$3+B403</f>
        <v/>
      </c>
      <c r="D403">
        <f>INT(C403)</f>
        <v/>
      </c>
      <c r="E403">
        <f>Inputs!$B$7+1+INT((A403-1)/Inputs!$B$6)</f>
        <v/>
      </c>
      <c r="F403">
        <f>IFERROR(INDEX(IndexScenario!$B$4:$B$544,MATCH(A403,IndexScenario!$A$4:$A$544,0)),"")</f>
        <v/>
      </c>
      <c r="G403">
        <f>G402*F403/F402</f>
        <v/>
      </c>
      <c r="H403">
        <f>H402*(1+Inputs!$B$17)^(1/12)</f>
        <v/>
      </c>
      <c r="I403">
        <f>IFERROR(INDEX(BaseQx!$B:$B,MATCH(D403,BaseQx!$A:$A,0)),"")</f>
        <v/>
      </c>
      <c r="J403">
        <f>IF(Inputs!$B$13="rp_mp",SUMIFS(MP2016_Long!$C:$C,MP2016_Long!$A:$A,D403,MP2016_Long!$B:$B,"&gt;=2014",MP2016_Long!$B:$B,"&lt;"&amp;E403),0)</f>
        <v/>
      </c>
      <c r="K403">
        <f>MIN(0.999999,MAX(0,I403*EXP(J403)))</f>
        <v/>
      </c>
      <c r="L403">
        <f>-LN(1-K403)</f>
        <v/>
      </c>
      <c r="M403">
        <f>EXP(-L403/Inputs!$B$6)</f>
        <v/>
      </c>
      <c r="N403">
        <f>N402*M403</f>
        <v/>
      </c>
      <c r="O403">
        <f>IFERROR(INDEX(MonthlyCurve!$L:$L,MATCH(A403,MonthlyCurve!$A:$A,0)),"")</f>
        <v/>
      </c>
      <c r="P403">
        <f>IF(B403&gt;0,-LN(O403)/B403,"")</f>
        <v/>
      </c>
      <c r="Q403">
        <f>G403*N403</f>
        <v/>
      </c>
      <c r="R403">
        <f>H403*N403</f>
        <v/>
      </c>
      <c r="S403">
        <f>Q403+R403</f>
        <v/>
      </c>
      <c r="T403">
        <f>Q403*O403</f>
        <v/>
      </c>
      <c r="U403">
        <f>R403*O403</f>
        <v/>
      </c>
      <c r="V403">
        <f>SUMPRODUCT(S404:S543,O404:O543)/(N403*O403)</f>
        <v/>
      </c>
    </row>
    <row r="404">
      <c r="A404" t="n">
        <v>401</v>
      </c>
      <c r="B404">
        <f>A404/Inputs!$B$6</f>
        <v/>
      </c>
      <c r="C404">
        <f>Inputs!$B$3+B404</f>
        <v/>
      </c>
      <c r="D404">
        <f>INT(C404)</f>
        <v/>
      </c>
      <c r="E404">
        <f>Inputs!$B$7+1+INT((A404-1)/Inputs!$B$6)</f>
        <v/>
      </c>
      <c r="F404">
        <f>IFERROR(INDEX(IndexScenario!$B$4:$B$544,MATCH(A404,IndexScenario!$A$4:$A$544,0)),"")</f>
        <v/>
      </c>
      <c r="G404">
        <f>G403*F404/F403</f>
        <v/>
      </c>
      <c r="H404">
        <f>H403*(1+Inputs!$B$17)^(1/12)</f>
        <v/>
      </c>
      <c r="I404">
        <f>IFERROR(INDEX(BaseQx!$B:$B,MATCH(D404,BaseQx!$A:$A,0)),"")</f>
        <v/>
      </c>
      <c r="J404">
        <f>IF(Inputs!$B$13="rp_mp",SUMIFS(MP2016_Long!$C:$C,MP2016_Long!$A:$A,D404,MP2016_Long!$B:$B,"&gt;=2014",MP2016_Long!$B:$B,"&lt;"&amp;E404),0)</f>
        <v/>
      </c>
      <c r="K404">
        <f>MIN(0.999999,MAX(0,I404*EXP(J404)))</f>
        <v/>
      </c>
      <c r="L404">
        <f>-LN(1-K404)</f>
        <v/>
      </c>
      <c r="M404">
        <f>EXP(-L404/Inputs!$B$6)</f>
        <v/>
      </c>
      <c r="N404">
        <f>N403*M404</f>
        <v/>
      </c>
      <c r="O404">
        <f>IFERROR(INDEX(MonthlyCurve!$L:$L,MATCH(A404,MonthlyCurve!$A:$A,0)),"")</f>
        <v/>
      </c>
      <c r="P404">
        <f>IF(B404&gt;0,-LN(O404)/B404,"")</f>
        <v/>
      </c>
      <c r="Q404">
        <f>G404*N404</f>
        <v/>
      </c>
      <c r="R404">
        <f>H404*N404</f>
        <v/>
      </c>
      <c r="S404">
        <f>Q404+R404</f>
        <v/>
      </c>
      <c r="T404">
        <f>Q404*O404</f>
        <v/>
      </c>
      <c r="U404">
        <f>R404*O404</f>
        <v/>
      </c>
      <c r="V404">
        <f>SUMPRODUCT(S405:S543,O405:O543)/(N404*O404)</f>
        <v/>
      </c>
    </row>
    <row r="405">
      <c r="A405" t="n">
        <v>402</v>
      </c>
      <c r="B405">
        <f>A405/Inputs!$B$6</f>
        <v/>
      </c>
      <c r="C405">
        <f>Inputs!$B$3+B405</f>
        <v/>
      </c>
      <c r="D405">
        <f>INT(C405)</f>
        <v/>
      </c>
      <c r="E405">
        <f>Inputs!$B$7+1+INT((A405-1)/Inputs!$B$6)</f>
        <v/>
      </c>
      <c r="F405">
        <f>IFERROR(INDEX(IndexScenario!$B$4:$B$544,MATCH(A405,IndexScenario!$A$4:$A$544,0)),"")</f>
        <v/>
      </c>
      <c r="G405">
        <f>G404*F405/F404</f>
        <v/>
      </c>
      <c r="H405">
        <f>H404*(1+Inputs!$B$17)^(1/12)</f>
        <v/>
      </c>
      <c r="I405">
        <f>IFERROR(INDEX(BaseQx!$B:$B,MATCH(D405,BaseQx!$A:$A,0)),"")</f>
        <v/>
      </c>
      <c r="J405">
        <f>IF(Inputs!$B$13="rp_mp",SUMIFS(MP2016_Long!$C:$C,MP2016_Long!$A:$A,D405,MP2016_Long!$B:$B,"&gt;=2014",MP2016_Long!$B:$B,"&lt;"&amp;E405),0)</f>
        <v/>
      </c>
      <c r="K405">
        <f>MIN(0.999999,MAX(0,I405*EXP(J405)))</f>
        <v/>
      </c>
      <c r="L405">
        <f>-LN(1-K405)</f>
        <v/>
      </c>
      <c r="M405">
        <f>EXP(-L405/Inputs!$B$6)</f>
        <v/>
      </c>
      <c r="N405">
        <f>N404*M405</f>
        <v/>
      </c>
      <c r="O405">
        <f>IFERROR(INDEX(MonthlyCurve!$L:$L,MATCH(A405,MonthlyCurve!$A:$A,0)),"")</f>
        <v/>
      </c>
      <c r="P405">
        <f>IF(B405&gt;0,-LN(O405)/B405,"")</f>
        <v/>
      </c>
      <c r="Q405">
        <f>G405*N405</f>
        <v/>
      </c>
      <c r="R405">
        <f>H405*N405</f>
        <v/>
      </c>
      <c r="S405">
        <f>Q405+R405</f>
        <v/>
      </c>
      <c r="T405">
        <f>Q405*O405</f>
        <v/>
      </c>
      <c r="U405">
        <f>R405*O405</f>
        <v/>
      </c>
      <c r="V405">
        <f>SUMPRODUCT(S406:S543,O406:O543)/(N405*O405)</f>
        <v/>
      </c>
    </row>
    <row r="406">
      <c r="A406" t="n">
        <v>403</v>
      </c>
      <c r="B406">
        <f>A406/Inputs!$B$6</f>
        <v/>
      </c>
      <c r="C406">
        <f>Inputs!$B$3+B406</f>
        <v/>
      </c>
      <c r="D406">
        <f>INT(C406)</f>
        <v/>
      </c>
      <c r="E406">
        <f>Inputs!$B$7+1+INT((A406-1)/Inputs!$B$6)</f>
        <v/>
      </c>
      <c r="F406">
        <f>IFERROR(INDEX(IndexScenario!$B$4:$B$544,MATCH(A406,IndexScenario!$A$4:$A$544,0)),"")</f>
        <v/>
      </c>
      <c r="G406">
        <f>G405*F406/F405</f>
        <v/>
      </c>
      <c r="H406">
        <f>H405*(1+Inputs!$B$17)^(1/12)</f>
        <v/>
      </c>
      <c r="I406">
        <f>IFERROR(INDEX(BaseQx!$B:$B,MATCH(D406,BaseQx!$A:$A,0)),"")</f>
        <v/>
      </c>
      <c r="J406">
        <f>IF(Inputs!$B$13="rp_mp",SUMIFS(MP2016_Long!$C:$C,MP2016_Long!$A:$A,D406,MP2016_Long!$B:$B,"&gt;=2014",MP2016_Long!$B:$B,"&lt;"&amp;E406),0)</f>
        <v/>
      </c>
      <c r="K406">
        <f>MIN(0.999999,MAX(0,I406*EXP(J406)))</f>
        <v/>
      </c>
      <c r="L406">
        <f>-LN(1-K406)</f>
        <v/>
      </c>
      <c r="M406">
        <f>EXP(-L406/Inputs!$B$6)</f>
        <v/>
      </c>
      <c r="N406">
        <f>N405*M406</f>
        <v/>
      </c>
      <c r="O406">
        <f>IFERROR(INDEX(MonthlyCurve!$L:$L,MATCH(A406,MonthlyCurve!$A:$A,0)),"")</f>
        <v/>
      </c>
      <c r="P406">
        <f>IF(B406&gt;0,-LN(O406)/B406,"")</f>
        <v/>
      </c>
      <c r="Q406">
        <f>G406*N406</f>
        <v/>
      </c>
      <c r="R406">
        <f>H406*N406</f>
        <v/>
      </c>
      <c r="S406">
        <f>Q406+R406</f>
        <v/>
      </c>
      <c r="T406">
        <f>Q406*O406</f>
        <v/>
      </c>
      <c r="U406">
        <f>R406*O406</f>
        <v/>
      </c>
      <c r="V406">
        <f>SUMPRODUCT(S407:S543,O407:O543)/(N406*O406)</f>
        <v/>
      </c>
    </row>
    <row r="407">
      <c r="A407" t="n">
        <v>404</v>
      </c>
      <c r="B407">
        <f>A407/Inputs!$B$6</f>
        <v/>
      </c>
      <c r="C407">
        <f>Inputs!$B$3+B407</f>
        <v/>
      </c>
      <c r="D407">
        <f>INT(C407)</f>
        <v/>
      </c>
      <c r="E407">
        <f>Inputs!$B$7+1+INT((A407-1)/Inputs!$B$6)</f>
        <v/>
      </c>
      <c r="F407">
        <f>IFERROR(INDEX(IndexScenario!$B$4:$B$544,MATCH(A407,IndexScenario!$A$4:$A$544,0)),"")</f>
        <v/>
      </c>
      <c r="G407">
        <f>G406*F407/F406</f>
        <v/>
      </c>
      <c r="H407">
        <f>H406*(1+Inputs!$B$17)^(1/12)</f>
        <v/>
      </c>
      <c r="I407">
        <f>IFERROR(INDEX(BaseQx!$B:$B,MATCH(D407,BaseQx!$A:$A,0)),"")</f>
        <v/>
      </c>
      <c r="J407">
        <f>IF(Inputs!$B$13="rp_mp",SUMIFS(MP2016_Long!$C:$C,MP2016_Long!$A:$A,D407,MP2016_Long!$B:$B,"&gt;=2014",MP2016_Long!$B:$B,"&lt;"&amp;E407),0)</f>
        <v/>
      </c>
      <c r="K407">
        <f>MIN(0.999999,MAX(0,I407*EXP(J407)))</f>
        <v/>
      </c>
      <c r="L407">
        <f>-LN(1-K407)</f>
        <v/>
      </c>
      <c r="M407">
        <f>EXP(-L407/Inputs!$B$6)</f>
        <v/>
      </c>
      <c r="N407">
        <f>N406*M407</f>
        <v/>
      </c>
      <c r="O407">
        <f>IFERROR(INDEX(MonthlyCurve!$L:$L,MATCH(A407,MonthlyCurve!$A:$A,0)),"")</f>
        <v/>
      </c>
      <c r="P407">
        <f>IF(B407&gt;0,-LN(O407)/B407,"")</f>
        <v/>
      </c>
      <c r="Q407">
        <f>G407*N407</f>
        <v/>
      </c>
      <c r="R407">
        <f>H407*N407</f>
        <v/>
      </c>
      <c r="S407">
        <f>Q407+R407</f>
        <v/>
      </c>
      <c r="T407">
        <f>Q407*O407</f>
        <v/>
      </c>
      <c r="U407">
        <f>R407*O407</f>
        <v/>
      </c>
      <c r="V407">
        <f>SUMPRODUCT(S408:S543,O408:O543)/(N407*O407)</f>
        <v/>
      </c>
    </row>
    <row r="408">
      <c r="A408" t="n">
        <v>405</v>
      </c>
      <c r="B408">
        <f>A408/Inputs!$B$6</f>
        <v/>
      </c>
      <c r="C408">
        <f>Inputs!$B$3+B408</f>
        <v/>
      </c>
      <c r="D408">
        <f>INT(C408)</f>
        <v/>
      </c>
      <c r="E408">
        <f>Inputs!$B$7+1+INT((A408-1)/Inputs!$B$6)</f>
        <v/>
      </c>
      <c r="F408">
        <f>IFERROR(INDEX(IndexScenario!$B$4:$B$544,MATCH(A408,IndexScenario!$A$4:$A$544,0)),"")</f>
        <v/>
      </c>
      <c r="G408">
        <f>G407*F408/F407</f>
        <v/>
      </c>
      <c r="H408">
        <f>H407*(1+Inputs!$B$17)^(1/12)</f>
        <v/>
      </c>
      <c r="I408">
        <f>IFERROR(INDEX(BaseQx!$B:$B,MATCH(D408,BaseQx!$A:$A,0)),"")</f>
        <v/>
      </c>
      <c r="J408">
        <f>IF(Inputs!$B$13="rp_mp",SUMIFS(MP2016_Long!$C:$C,MP2016_Long!$A:$A,D408,MP2016_Long!$B:$B,"&gt;=2014",MP2016_Long!$B:$B,"&lt;"&amp;E408),0)</f>
        <v/>
      </c>
      <c r="K408">
        <f>MIN(0.999999,MAX(0,I408*EXP(J408)))</f>
        <v/>
      </c>
      <c r="L408">
        <f>-LN(1-K408)</f>
        <v/>
      </c>
      <c r="M408">
        <f>EXP(-L408/Inputs!$B$6)</f>
        <v/>
      </c>
      <c r="N408">
        <f>N407*M408</f>
        <v/>
      </c>
      <c r="O408">
        <f>IFERROR(INDEX(MonthlyCurve!$L:$L,MATCH(A408,MonthlyCurve!$A:$A,0)),"")</f>
        <v/>
      </c>
      <c r="P408">
        <f>IF(B408&gt;0,-LN(O408)/B408,"")</f>
        <v/>
      </c>
      <c r="Q408">
        <f>G408*N408</f>
        <v/>
      </c>
      <c r="R408">
        <f>H408*N408</f>
        <v/>
      </c>
      <c r="S408">
        <f>Q408+R408</f>
        <v/>
      </c>
      <c r="T408">
        <f>Q408*O408</f>
        <v/>
      </c>
      <c r="U408">
        <f>R408*O408</f>
        <v/>
      </c>
      <c r="V408">
        <f>SUMPRODUCT(S409:S543,O409:O543)/(N408*O408)</f>
        <v/>
      </c>
    </row>
    <row r="409">
      <c r="A409" t="n">
        <v>406</v>
      </c>
      <c r="B409">
        <f>A409/Inputs!$B$6</f>
        <v/>
      </c>
      <c r="C409">
        <f>Inputs!$B$3+B409</f>
        <v/>
      </c>
      <c r="D409">
        <f>INT(C409)</f>
        <v/>
      </c>
      <c r="E409">
        <f>Inputs!$B$7+1+INT((A409-1)/Inputs!$B$6)</f>
        <v/>
      </c>
      <c r="F409">
        <f>IFERROR(INDEX(IndexScenario!$B$4:$B$544,MATCH(A409,IndexScenario!$A$4:$A$544,0)),"")</f>
        <v/>
      </c>
      <c r="G409">
        <f>G408*F409/F408</f>
        <v/>
      </c>
      <c r="H409">
        <f>H408*(1+Inputs!$B$17)^(1/12)</f>
        <v/>
      </c>
      <c r="I409">
        <f>IFERROR(INDEX(BaseQx!$B:$B,MATCH(D409,BaseQx!$A:$A,0)),"")</f>
        <v/>
      </c>
      <c r="J409">
        <f>IF(Inputs!$B$13="rp_mp",SUMIFS(MP2016_Long!$C:$C,MP2016_Long!$A:$A,D409,MP2016_Long!$B:$B,"&gt;=2014",MP2016_Long!$B:$B,"&lt;"&amp;E409),0)</f>
        <v/>
      </c>
      <c r="K409">
        <f>MIN(0.999999,MAX(0,I409*EXP(J409)))</f>
        <v/>
      </c>
      <c r="L409">
        <f>-LN(1-K409)</f>
        <v/>
      </c>
      <c r="M409">
        <f>EXP(-L409/Inputs!$B$6)</f>
        <v/>
      </c>
      <c r="N409">
        <f>N408*M409</f>
        <v/>
      </c>
      <c r="O409">
        <f>IFERROR(INDEX(MonthlyCurve!$L:$L,MATCH(A409,MonthlyCurve!$A:$A,0)),"")</f>
        <v/>
      </c>
      <c r="P409">
        <f>IF(B409&gt;0,-LN(O409)/B409,"")</f>
        <v/>
      </c>
      <c r="Q409">
        <f>G409*N409</f>
        <v/>
      </c>
      <c r="R409">
        <f>H409*N409</f>
        <v/>
      </c>
      <c r="S409">
        <f>Q409+R409</f>
        <v/>
      </c>
      <c r="T409">
        <f>Q409*O409</f>
        <v/>
      </c>
      <c r="U409">
        <f>R409*O409</f>
        <v/>
      </c>
      <c r="V409">
        <f>SUMPRODUCT(S410:S543,O410:O543)/(N409*O409)</f>
        <v/>
      </c>
    </row>
    <row r="410">
      <c r="A410" t="n">
        <v>407</v>
      </c>
      <c r="B410">
        <f>A410/Inputs!$B$6</f>
        <v/>
      </c>
      <c r="C410">
        <f>Inputs!$B$3+B410</f>
        <v/>
      </c>
      <c r="D410">
        <f>INT(C410)</f>
        <v/>
      </c>
      <c r="E410">
        <f>Inputs!$B$7+1+INT((A410-1)/Inputs!$B$6)</f>
        <v/>
      </c>
      <c r="F410">
        <f>IFERROR(INDEX(IndexScenario!$B$4:$B$544,MATCH(A410,IndexScenario!$A$4:$A$544,0)),"")</f>
        <v/>
      </c>
      <c r="G410">
        <f>G409*F410/F409</f>
        <v/>
      </c>
      <c r="H410">
        <f>H409*(1+Inputs!$B$17)^(1/12)</f>
        <v/>
      </c>
      <c r="I410">
        <f>IFERROR(INDEX(BaseQx!$B:$B,MATCH(D410,BaseQx!$A:$A,0)),"")</f>
        <v/>
      </c>
      <c r="J410">
        <f>IF(Inputs!$B$13="rp_mp",SUMIFS(MP2016_Long!$C:$C,MP2016_Long!$A:$A,D410,MP2016_Long!$B:$B,"&gt;=2014",MP2016_Long!$B:$B,"&lt;"&amp;E410),0)</f>
        <v/>
      </c>
      <c r="K410">
        <f>MIN(0.999999,MAX(0,I410*EXP(J410)))</f>
        <v/>
      </c>
      <c r="L410">
        <f>-LN(1-K410)</f>
        <v/>
      </c>
      <c r="M410">
        <f>EXP(-L410/Inputs!$B$6)</f>
        <v/>
      </c>
      <c r="N410">
        <f>N409*M410</f>
        <v/>
      </c>
      <c r="O410">
        <f>IFERROR(INDEX(MonthlyCurve!$L:$L,MATCH(A410,MonthlyCurve!$A:$A,0)),"")</f>
        <v/>
      </c>
      <c r="P410">
        <f>IF(B410&gt;0,-LN(O410)/B410,"")</f>
        <v/>
      </c>
      <c r="Q410">
        <f>G410*N410</f>
        <v/>
      </c>
      <c r="R410">
        <f>H410*N410</f>
        <v/>
      </c>
      <c r="S410">
        <f>Q410+R410</f>
        <v/>
      </c>
      <c r="T410">
        <f>Q410*O410</f>
        <v/>
      </c>
      <c r="U410">
        <f>R410*O410</f>
        <v/>
      </c>
      <c r="V410">
        <f>SUMPRODUCT(S411:S543,O411:O543)/(N410*O410)</f>
        <v/>
      </c>
    </row>
    <row r="411">
      <c r="A411" t="n">
        <v>408</v>
      </c>
      <c r="B411">
        <f>A411/Inputs!$B$6</f>
        <v/>
      </c>
      <c r="C411">
        <f>Inputs!$B$3+B411</f>
        <v/>
      </c>
      <c r="D411">
        <f>INT(C411)</f>
        <v/>
      </c>
      <c r="E411">
        <f>Inputs!$B$7+1+INT((A411-1)/Inputs!$B$6)</f>
        <v/>
      </c>
      <c r="F411">
        <f>IFERROR(INDEX(IndexScenario!$B$4:$B$544,MATCH(A411,IndexScenario!$A$4:$A$544,0)),"")</f>
        <v/>
      </c>
      <c r="G411">
        <f>G410*F411/F410</f>
        <v/>
      </c>
      <c r="H411">
        <f>H410*(1+Inputs!$B$17)^(1/12)</f>
        <v/>
      </c>
      <c r="I411">
        <f>IFERROR(INDEX(BaseQx!$B:$B,MATCH(D411,BaseQx!$A:$A,0)),"")</f>
        <v/>
      </c>
      <c r="J411">
        <f>IF(Inputs!$B$13="rp_mp",SUMIFS(MP2016_Long!$C:$C,MP2016_Long!$A:$A,D411,MP2016_Long!$B:$B,"&gt;=2014",MP2016_Long!$B:$B,"&lt;"&amp;E411),0)</f>
        <v/>
      </c>
      <c r="K411">
        <f>MIN(0.999999,MAX(0,I411*EXP(J411)))</f>
        <v/>
      </c>
      <c r="L411">
        <f>-LN(1-K411)</f>
        <v/>
      </c>
      <c r="M411">
        <f>EXP(-L411/Inputs!$B$6)</f>
        <v/>
      </c>
      <c r="N411">
        <f>N410*M411</f>
        <v/>
      </c>
      <c r="O411">
        <f>IFERROR(INDEX(MonthlyCurve!$L:$L,MATCH(A411,MonthlyCurve!$A:$A,0)),"")</f>
        <v/>
      </c>
      <c r="P411">
        <f>IF(B411&gt;0,-LN(O411)/B411,"")</f>
        <v/>
      </c>
      <c r="Q411">
        <f>G411*N411</f>
        <v/>
      </c>
      <c r="R411">
        <f>H411*N411</f>
        <v/>
      </c>
      <c r="S411">
        <f>Q411+R411</f>
        <v/>
      </c>
      <c r="T411">
        <f>Q411*O411</f>
        <v/>
      </c>
      <c r="U411">
        <f>R411*O411</f>
        <v/>
      </c>
      <c r="V411">
        <f>SUMPRODUCT(S412:S543,O412:O543)/(N411*O411)</f>
        <v/>
      </c>
    </row>
    <row r="412">
      <c r="A412" t="n">
        <v>409</v>
      </c>
      <c r="B412">
        <f>A412/Inputs!$B$6</f>
        <v/>
      </c>
      <c r="C412">
        <f>Inputs!$B$3+B412</f>
        <v/>
      </c>
      <c r="D412">
        <f>INT(C412)</f>
        <v/>
      </c>
      <c r="E412">
        <f>Inputs!$B$7+1+INT((A412-1)/Inputs!$B$6)</f>
        <v/>
      </c>
      <c r="F412">
        <f>IFERROR(INDEX(IndexScenario!$B$4:$B$544,MATCH(A412,IndexScenario!$A$4:$A$544,0)),"")</f>
        <v/>
      </c>
      <c r="G412">
        <f>G411*F412/F411</f>
        <v/>
      </c>
      <c r="H412">
        <f>H411*(1+Inputs!$B$17)^(1/12)</f>
        <v/>
      </c>
      <c r="I412">
        <f>IFERROR(INDEX(BaseQx!$B:$B,MATCH(D412,BaseQx!$A:$A,0)),"")</f>
        <v/>
      </c>
      <c r="J412">
        <f>IF(Inputs!$B$13="rp_mp",SUMIFS(MP2016_Long!$C:$C,MP2016_Long!$A:$A,D412,MP2016_Long!$B:$B,"&gt;=2014",MP2016_Long!$B:$B,"&lt;"&amp;E412),0)</f>
        <v/>
      </c>
      <c r="K412">
        <f>MIN(0.999999,MAX(0,I412*EXP(J412)))</f>
        <v/>
      </c>
      <c r="L412">
        <f>-LN(1-K412)</f>
        <v/>
      </c>
      <c r="M412">
        <f>EXP(-L412/Inputs!$B$6)</f>
        <v/>
      </c>
      <c r="N412">
        <f>N411*M412</f>
        <v/>
      </c>
      <c r="O412">
        <f>IFERROR(INDEX(MonthlyCurve!$L:$L,MATCH(A412,MonthlyCurve!$A:$A,0)),"")</f>
        <v/>
      </c>
      <c r="P412">
        <f>IF(B412&gt;0,-LN(O412)/B412,"")</f>
        <v/>
      </c>
      <c r="Q412">
        <f>G412*N412</f>
        <v/>
      </c>
      <c r="R412">
        <f>H412*N412</f>
        <v/>
      </c>
      <c r="S412">
        <f>Q412+R412</f>
        <v/>
      </c>
      <c r="T412">
        <f>Q412*O412</f>
        <v/>
      </c>
      <c r="U412">
        <f>R412*O412</f>
        <v/>
      </c>
      <c r="V412">
        <f>SUMPRODUCT(S413:S543,O413:O543)/(N412*O412)</f>
        <v/>
      </c>
    </row>
    <row r="413">
      <c r="A413" t="n">
        <v>410</v>
      </c>
      <c r="B413">
        <f>A413/Inputs!$B$6</f>
        <v/>
      </c>
      <c r="C413">
        <f>Inputs!$B$3+B413</f>
        <v/>
      </c>
      <c r="D413">
        <f>INT(C413)</f>
        <v/>
      </c>
      <c r="E413">
        <f>Inputs!$B$7+1+INT((A413-1)/Inputs!$B$6)</f>
        <v/>
      </c>
      <c r="F413">
        <f>IFERROR(INDEX(IndexScenario!$B$4:$B$544,MATCH(A413,IndexScenario!$A$4:$A$544,0)),"")</f>
        <v/>
      </c>
      <c r="G413">
        <f>G412*F413/F412</f>
        <v/>
      </c>
      <c r="H413">
        <f>H412*(1+Inputs!$B$17)^(1/12)</f>
        <v/>
      </c>
      <c r="I413">
        <f>IFERROR(INDEX(BaseQx!$B:$B,MATCH(D413,BaseQx!$A:$A,0)),"")</f>
        <v/>
      </c>
      <c r="J413">
        <f>IF(Inputs!$B$13="rp_mp",SUMIFS(MP2016_Long!$C:$C,MP2016_Long!$A:$A,D413,MP2016_Long!$B:$B,"&gt;=2014",MP2016_Long!$B:$B,"&lt;"&amp;E413),0)</f>
        <v/>
      </c>
      <c r="K413">
        <f>MIN(0.999999,MAX(0,I413*EXP(J413)))</f>
        <v/>
      </c>
      <c r="L413">
        <f>-LN(1-K413)</f>
        <v/>
      </c>
      <c r="M413">
        <f>EXP(-L413/Inputs!$B$6)</f>
        <v/>
      </c>
      <c r="N413">
        <f>N412*M413</f>
        <v/>
      </c>
      <c r="O413">
        <f>IFERROR(INDEX(MonthlyCurve!$L:$L,MATCH(A413,MonthlyCurve!$A:$A,0)),"")</f>
        <v/>
      </c>
      <c r="P413">
        <f>IF(B413&gt;0,-LN(O413)/B413,"")</f>
        <v/>
      </c>
      <c r="Q413">
        <f>G413*N413</f>
        <v/>
      </c>
      <c r="R413">
        <f>H413*N413</f>
        <v/>
      </c>
      <c r="S413">
        <f>Q413+R413</f>
        <v/>
      </c>
      <c r="T413">
        <f>Q413*O413</f>
        <v/>
      </c>
      <c r="U413">
        <f>R413*O413</f>
        <v/>
      </c>
      <c r="V413">
        <f>SUMPRODUCT(S414:S543,O414:O543)/(N413*O413)</f>
        <v/>
      </c>
    </row>
    <row r="414">
      <c r="A414" t="n">
        <v>411</v>
      </c>
      <c r="B414">
        <f>A414/Inputs!$B$6</f>
        <v/>
      </c>
      <c r="C414">
        <f>Inputs!$B$3+B414</f>
        <v/>
      </c>
      <c r="D414">
        <f>INT(C414)</f>
        <v/>
      </c>
      <c r="E414">
        <f>Inputs!$B$7+1+INT((A414-1)/Inputs!$B$6)</f>
        <v/>
      </c>
      <c r="F414">
        <f>IFERROR(INDEX(IndexScenario!$B$4:$B$544,MATCH(A414,IndexScenario!$A$4:$A$544,0)),"")</f>
        <v/>
      </c>
      <c r="G414">
        <f>G413*F414/F413</f>
        <v/>
      </c>
      <c r="H414">
        <f>H413*(1+Inputs!$B$17)^(1/12)</f>
        <v/>
      </c>
      <c r="I414">
        <f>IFERROR(INDEX(BaseQx!$B:$B,MATCH(D414,BaseQx!$A:$A,0)),"")</f>
        <v/>
      </c>
      <c r="J414">
        <f>IF(Inputs!$B$13="rp_mp",SUMIFS(MP2016_Long!$C:$C,MP2016_Long!$A:$A,D414,MP2016_Long!$B:$B,"&gt;=2014",MP2016_Long!$B:$B,"&lt;"&amp;E414),0)</f>
        <v/>
      </c>
      <c r="K414">
        <f>MIN(0.999999,MAX(0,I414*EXP(J414)))</f>
        <v/>
      </c>
      <c r="L414">
        <f>-LN(1-K414)</f>
        <v/>
      </c>
      <c r="M414">
        <f>EXP(-L414/Inputs!$B$6)</f>
        <v/>
      </c>
      <c r="N414">
        <f>N413*M414</f>
        <v/>
      </c>
      <c r="O414">
        <f>IFERROR(INDEX(MonthlyCurve!$L:$L,MATCH(A414,MonthlyCurve!$A:$A,0)),"")</f>
        <v/>
      </c>
      <c r="P414">
        <f>IF(B414&gt;0,-LN(O414)/B414,"")</f>
        <v/>
      </c>
      <c r="Q414">
        <f>G414*N414</f>
        <v/>
      </c>
      <c r="R414">
        <f>H414*N414</f>
        <v/>
      </c>
      <c r="S414">
        <f>Q414+R414</f>
        <v/>
      </c>
      <c r="T414">
        <f>Q414*O414</f>
        <v/>
      </c>
      <c r="U414">
        <f>R414*O414</f>
        <v/>
      </c>
      <c r="V414">
        <f>SUMPRODUCT(S415:S543,O415:O543)/(N414*O414)</f>
        <v/>
      </c>
    </row>
    <row r="415">
      <c r="A415" t="n">
        <v>412</v>
      </c>
      <c r="B415">
        <f>A415/Inputs!$B$6</f>
        <v/>
      </c>
      <c r="C415">
        <f>Inputs!$B$3+B415</f>
        <v/>
      </c>
      <c r="D415">
        <f>INT(C415)</f>
        <v/>
      </c>
      <c r="E415">
        <f>Inputs!$B$7+1+INT((A415-1)/Inputs!$B$6)</f>
        <v/>
      </c>
      <c r="F415">
        <f>IFERROR(INDEX(IndexScenario!$B$4:$B$544,MATCH(A415,IndexScenario!$A$4:$A$544,0)),"")</f>
        <v/>
      </c>
      <c r="G415">
        <f>G414*F415/F414</f>
        <v/>
      </c>
      <c r="H415">
        <f>H414*(1+Inputs!$B$17)^(1/12)</f>
        <v/>
      </c>
      <c r="I415">
        <f>IFERROR(INDEX(BaseQx!$B:$B,MATCH(D415,BaseQx!$A:$A,0)),"")</f>
        <v/>
      </c>
      <c r="J415">
        <f>IF(Inputs!$B$13="rp_mp",SUMIFS(MP2016_Long!$C:$C,MP2016_Long!$A:$A,D415,MP2016_Long!$B:$B,"&gt;=2014",MP2016_Long!$B:$B,"&lt;"&amp;E415),0)</f>
        <v/>
      </c>
      <c r="K415">
        <f>MIN(0.999999,MAX(0,I415*EXP(J415)))</f>
        <v/>
      </c>
      <c r="L415">
        <f>-LN(1-K415)</f>
        <v/>
      </c>
      <c r="M415">
        <f>EXP(-L415/Inputs!$B$6)</f>
        <v/>
      </c>
      <c r="N415">
        <f>N414*M415</f>
        <v/>
      </c>
      <c r="O415">
        <f>IFERROR(INDEX(MonthlyCurve!$L:$L,MATCH(A415,MonthlyCurve!$A:$A,0)),"")</f>
        <v/>
      </c>
      <c r="P415">
        <f>IF(B415&gt;0,-LN(O415)/B415,"")</f>
        <v/>
      </c>
      <c r="Q415">
        <f>G415*N415</f>
        <v/>
      </c>
      <c r="R415">
        <f>H415*N415</f>
        <v/>
      </c>
      <c r="S415">
        <f>Q415+R415</f>
        <v/>
      </c>
      <c r="T415">
        <f>Q415*O415</f>
        <v/>
      </c>
      <c r="U415">
        <f>R415*O415</f>
        <v/>
      </c>
      <c r="V415">
        <f>SUMPRODUCT(S416:S543,O416:O543)/(N415*O415)</f>
        <v/>
      </c>
    </row>
    <row r="416">
      <c r="A416" t="n">
        <v>413</v>
      </c>
      <c r="B416">
        <f>A416/Inputs!$B$6</f>
        <v/>
      </c>
      <c r="C416">
        <f>Inputs!$B$3+B416</f>
        <v/>
      </c>
      <c r="D416">
        <f>INT(C416)</f>
        <v/>
      </c>
      <c r="E416">
        <f>Inputs!$B$7+1+INT((A416-1)/Inputs!$B$6)</f>
        <v/>
      </c>
      <c r="F416">
        <f>IFERROR(INDEX(IndexScenario!$B$4:$B$544,MATCH(A416,IndexScenario!$A$4:$A$544,0)),"")</f>
        <v/>
      </c>
      <c r="G416">
        <f>G415*F416/F415</f>
        <v/>
      </c>
      <c r="H416">
        <f>H415*(1+Inputs!$B$17)^(1/12)</f>
        <v/>
      </c>
      <c r="I416">
        <f>IFERROR(INDEX(BaseQx!$B:$B,MATCH(D416,BaseQx!$A:$A,0)),"")</f>
        <v/>
      </c>
      <c r="J416">
        <f>IF(Inputs!$B$13="rp_mp",SUMIFS(MP2016_Long!$C:$C,MP2016_Long!$A:$A,D416,MP2016_Long!$B:$B,"&gt;=2014",MP2016_Long!$B:$B,"&lt;"&amp;E416),0)</f>
        <v/>
      </c>
      <c r="K416">
        <f>MIN(0.999999,MAX(0,I416*EXP(J416)))</f>
        <v/>
      </c>
      <c r="L416">
        <f>-LN(1-K416)</f>
        <v/>
      </c>
      <c r="M416">
        <f>EXP(-L416/Inputs!$B$6)</f>
        <v/>
      </c>
      <c r="N416">
        <f>N415*M416</f>
        <v/>
      </c>
      <c r="O416">
        <f>IFERROR(INDEX(MonthlyCurve!$L:$L,MATCH(A416,MonthlyCurve!$A:$A,0)),"")</f>
        <v/>
      </c>
      <c r="P416">
        <f>IF(B416&gt;0,-LN(O416)/B416,"")</f>
        <v/>
      </c>
      <c r="Q416">
        <f>G416*N416</f>
        <v/>
      </c>
      <c r="R416">
        <f>H416*N416</f>
        <v/>
      </c>
      <c r="S416">
        <f>Q416+R416</f>
        <v/>
      </c>
      <c r="T416">
        <f>Q416*O416</f>
        <v/>
      </c>
      <c r="U416">
        <f>R416*O416</f>
        <v/>
      </c>
      <c r="V416">
        <f>SUMPRODUCT(S417:S543,O417:O543)/(N416*O416)</f>
        <v/>
      </c>
    </row>
    <row r="417">
      <c r="A417" t="n">
        <v>414</v>
      </c>
      <c r="B417">
        <f>A417/Inputs!$B$6</f>
        <v/>
      </c>
      <c r="C417">
        <f>Inputs!$B$3+B417</f>
        <v/>
      </c>
      <c r="D417">
        <f>INT(C417)</f>
        <v/>
      </c>
      <c r="E417">
        <f>Inputs!$B$7+1+INT((A417-1)/Inputs!$B$6)</f>
        <v/>
      </c>
      <c r="F417">
        <f>IFERROR(INDEX(IndexScenario!$B$4:$B$544,MATCH(A417,IndexScenario!$A$4:$A$544,0)),"")</f>
        <v/>
      </c>
      <c r="G417">
        <f>G416*F417/F416</f>
        <v/>
      </c>
      <c r="H417">
        <f>H416*(1+Inputs!$B$17)^(1/12)</f>
        <v/>
      </c>
      <c r="I417">
        <f>IFERROR(INDEX(BaseQx!$B:$B,MATCH(D417,BaseQx!$A:$A,0)),"")</f>
        <v/>
      </c>
      <c r="J417">
        <f>IF(Inputs!$B$13="rp_mp",SUMIFS(MP2016_Long!$C:$C,MP2016_Long!$A:$A,D417,MP2016_Long!$B:$B,"&gt;=2014",MP2016_Long!$B:$B,"&lt;"&amp;E417),0)</f>
        <v/>
      </c>
      <c r="K417">
        <f>MIN(0.999999,MAX(0,I417*EXP(J417)))</f>
        <v/>
      </c>
      <c r="L417">
        <f>-LN(1-K417)</f>
        <v/>
      </c>
      <c r="M417">
        <f>EXP(-L417/Inputs!$B$6)</f>
        <v/>
      </c>
      <c r="N417">
        <f>N416*M417</f>
        <v/>
      </c>
      <c r="O417">
        <f>IFERROR(INDEX(MonthlyCurve!$L:$L,MATCH(A417,MonthlyCurve!$A:$A,0)),"")</f>
        <v/>
      </c>
      <c r="P417">
        <f>IF(B417&gt;0,-LN(O417)/B417,"")</f>
        <v/>
      </c>
      <c r="Q417">
        <f>G417*N417</f>
        <v/>
      </c>
      <c r="R417">
        <f>H417*N417</f>
        <v/>
      </c>
      <c r="S417">
        <f>Q417+R417</f>
        <v/>
      </c>
      <c r="T417">
        <f>Q417*O417</f>
        <v/>
      </c>
      <c r="U417">
        <f>R417*O417</f>
        <v/>
      </c>
      <c r="V417">
        <f>SUMPRODUCT(S418:S543,O418:O543)/(N417*O417)</f>
        <v/>
      </c>
    </row>
    <row r="418">
      <c r="A418" t="n">
        <v>415</v>
      </c>
      <c r="B418">
        <f>A418/Inputs!$B$6</f>
        <v/>
      </c>
      <c r="C418">
        <f>Inputs!$B$3+B418</f>
        <v/>
      </c>
      <c r="D418">
        <f>INT(C418)</f>
        <v/>
      </c>
      <c r="E418">
        <f>Inputs!$B$7+1+INT((A418-1)/Inputs!$B$6)</f>
        <v/>
      </c>
      <c r="F418">
        <f>IFERROR(INDEX(IndexScenario!$B$4:$B$544,MATCH(A418,IndexScenario!$A$4:$A$544,0)),"")</f>
        <v/>
      </c>
      <c r="G418">
        <f>G417*F418/F417</f>
        <v/>
      </c>
      <c r="H418">
        <f>H417*(1+Inputs!$B$17)^(1/12)</f>
        <v/>
      </c>
      <c r="I418">
        <f>IFERROR(INDEX(BaseQx!$B:$B,MATCH(D418,BaseQx!$A:$A,0)),"")</f>
        <v/>
      </c>
      <c r="J418">
        <f>IF(Inputs!$B$13="rp_mp",SUMIFS(MP2016_Long!$C:$C,MP2016_Long!$A:$A,D418,MP2016_Long!$B:$B,"&gt;=2014",MP2016_Long!$B:$B,"&lt;"&amp;E418),0)</f>
        <v/>
      </c>
      <c r="K418">
        <f>MIN(0.999999,MAX(0,I418*EXP(J418)))</f>
        <v/>
      </c>
      <c r="L418">
        <f>-LN(1-K418)</f>
        <v/>
      </c>
      <c r="M418">
        <f>EXP(-L418/Inputs!$B$6)</f>
        <v/>
      </c>
      <c r="N418">
        <f>N417*M418</f>
        <v/>
      </c>
      <c r="O418">
        <f>IFERROR(INDEX(MonthlyCurve!$L:$L,MATCH(A418,MonthlyCurve!$A:$A,0)),"")</f>
        <v/>
      </c>
      <c r="P418">
        <f>IF(B418&gt;0,-LN(O418)/B418,"")</f>
        <v/>
      </c>
      <c r="Q418">
        <f>G418*N418</f>
        <v/>
      </c>
      <c r="R418">
        <f>H418*N418</f>
        <v/>
      </c>
      <c r="S418">
        <f>Q418+R418</f>
        <v/>
      </c>
      <c r="T418">
        <f>Q418*O418</f>
        <v/>
      </c>
      <c r="U418">
        <f>R418*O418</f>
        <v/>
      </c>
      <c r="V418">
        <f>SUMPRODUCT(S419:S543,O419:O543)/(N418*O418)</f>
        <v/>
      </c>
    </row>
    <row r="419">
      <c r="A419" t="n">
        <v>416</v>
      </c>
      <c r="B419">
        <f>A419/Inputs!$B$6</f>
        <v/>
      </c>
      <c r="C419">
        <f>Inputs!$B$3+B419</f>
        <v/>
      </c>
      <c r="D419">
        <f>INT(C419)</f>
        <v/>
      </c>
      <c r="E419">
        <f>Inputs!$B$7+1+INT((A419-1)/Inputs!$B$6)</f>
        <v/>
      </c>
      <c r="F419">
        <f>IFERROR(INDEX(IndexScenario!$B$4:$B$544,MATCH(A419,IndexScenario!$A$4:$A$544,0)),"")</f>
        <v/>
      </c>
      <c r="G419">
        <f>G418*F419/F418</f>
        <v/>
      </c>
      <c r="H419">
        <f>H418*(1+Inputs!$B$17)^(1/12)</f>
        <v/>
      </c>
      <c r="I419">
        <f>IFERROR(INDEX(BaseQx!$B:$B,MATCH(D419,BaseQx!$A:$A,0)),"")</f>
        <v/>
      </c>
      <c r="J419">
        <f>IF(Inputs!$B$13="rp_mp",SUMIFS(MP2016_Long!$C:$C,MP2016_Long!$A:$A,D419,MP2016_Long!$B:$B,"&gt;=2014",MP2016_Long!$B:$B,"&lt;"&amp;E419),0)</f>
        <v/>
      </c>
      <c r="K419">
        <f>MIN(0.999999,MAX(0,I419*EXP(J419)))</f>
        <v/>
      </c>
      <c r="L419">
        <f>-LN(1-K419)</f>
        <v/>
      </c>
      <c r="M419">
        <f>EXP(-L419/Inputs!$B$6)</f>
        <v/>
      </c>
      <c r="N419">
        <f>N418*M419</f>
        <v/>
      </c>
      <c r="O419">
        <f>IFERROR(INDEX(MonthlyCurve!$L:$L,MATCH(A419,MonthlyCurve!$A:$A,0)),"")</f>
        <v/>
      </c>
      <c r="P419">
        <f>IF(B419&gt;0,-LN(O419)/B419,"")</f>
        <v/>
      </c>
      <c r="Q419">
        <f>G419*N419</f>
        <v/>
      </c>
      <c r="R419">
        <f>H419*N419</f>
        <v/>
      </c>
      <c r="S419">
        <f>Q419+R419</f>
        <v/>
      </c>
      <c r="T419">
        <f>Q419*O419</f>
        <v/>
      </c>
      <c r="U419">
        <f>R419*O419</f>
        <v/>
      </c>
      <c r="V419">
        <f>SUMPRODUCT(S420:S543,O420:O543)/(N419*O419)</f>
        <v/>
      </c>
    </row>
    <row r="420">
      <c r="A420" t="n">
        <v>417</v>
      </c>
      <c r="B420">
        <f>A420/Inputs!$B$6</f>
        <v/>
      </c>
      <c r="C420">
        <f>Inputs!$B$3+B420</f>
        <v/>
      </c>
      <c r="D420">
        <f>INT(C420)</f>
        <v/>
      </c>
      <c r="E420">
        <f>Inputs!$B$7+1+INT((A420-1)/Inputs!$B$6)</f>
        <v/>
      </c>
      <c r="F420">
        <f>IFERROR(INDEX(IndexScenario!$B$4:$B$544,MATCH(A420,IndexScenario!$A$4:$A$544,0)),"")</f>
        <v/>
      </c>
      <c r="G420">
        <f>G419*F420/F419</f>
        <v/>
      </c>
      <c r="H420">
        <f>H419*(1+Inputs!$B$17)^(1/12)</f>
        <v/>
      </c>
      <c r="I420">
        <f>IFERROR(INDEX(BaseQx!$B:$B,MATCH(D420,BaseQx!$A:$A,0)),"")</f>
        <v/>
      </c>
      <c r="J420">
        <f>IF(Inputs!$B$13="rp_mp",SUMIFS(MP2016_Long!$C:$C,MP2016_Long!$A:$A,D420,MP2016_Long!$B:$B,"&gt;=2014",MP2016_Long!$B:$B,"&lt;"&amp;E420),0)</f>
        <v/>
      </c>
      <c r="K420">
        <f>MIN(0.999999,MAX(0,I420*EXP(J420)))</f>
        <v/>
      </c>
      <c r="L420">
        <f>-LN(1-K420)</f>
        <v/>
      </c>
      <c r="M420">
        <f>EXP(-L420/Inputs!$B$6)</f>
        <v/>
      </c>
      <c r="N420">
        <f>N419*M420</f>
        <v/>
      </c>
      <c r="O420">
        <f>IFERROR(INDEX(MonthlyCurve!$L:$L,MATCH(A420,MonthlyCurve!$A:$A,0)),"")</f>
        <v/>
      </c>
      <c r="P420">
        <f>IF(B420&gt;0,-LN(O420)/B420,"")</f>
        <v/>
      </c>
      <c r="Q420">
        <f>G420*N420</f>
        <v/>
      </c>
      <c r="R420">
        <f>H420*N420</f>
        <v/>
      </c>
      <c r="S420">
        <f>Q420+R420</f>
        <v/>
      </c>
      <c r="T420">
        <f>Q420*O420</f>
        <v/>
      </c>
      <c r="U420">
        <f>R420*O420</f>
        <v/>
      </c>
      <c r="V420">
        <f>SUMPRODUCT(S421:S543,O421:O543)/(N420*O420)</f>
        <v/>
      </c>
    </row>
    <row r="421">
      <c r="A421" t="n">
        <v>418</v>
      </c>
      <c r="B421">
        <f>A421/Inputs!$B$6</f>
        <v/>
      </c>
      <c r="C421">
        <f>Inputs!$B$3+B421</f>
        <v/>
      </c>
      <c r="D421">
        <f>INT(C421)</f>
        <v/>
      </c>
      <c r="E421">
        <f>Inputs!$B$7+1+INT((A421-1)/Inputs!$B$6)</f>
        <v/>
      </c>
      <c r="F421">
        <f>IFERROR(INDEX(IndexScenario!$B$4:$B$544,MATCH(A421,IndexScenario!$A$4:$A$544,0)),"")</f>
        <v/>
      </c>
      <c r="G421">
        <f>G420*F421/F420</f>
        <v/>
      </c>
      <c r="H421">
        <f>H420*(1+Inputs!$B$17)^(1/12)</f>
        <v/>
      </c>
      <c r="I421">
        <f>IFERROR(INDEX(BaseQx!$B:$B,MATCH(D421,BaseQx!$A:$A,0)),"")</f>
        <v/>
      </c>
      <c r="J421">
        <f>IF(Inputs!$B$13="rp_mp",SUMIFS(MP2016_Long!$C:$C,MP2016_Long!$A:$A,D421,MP2016_Long!$B:$B,"&gt;=2014",MP2016_Long!$B:$B,"&lt;"&amp;E421),0)</f>
        <v/>
      </c>
      <c r="K421">
        <f>MIN(0.999999,MAX(0,I421*EXP(J421)))</f>
        <v/>
      </c>
      <c r="L421">
        <f>-LN(1-K421)</f>
        <v/>
      </c>
      <c r="M421">
        <f>EXP(-L421/Inputs!$B$6)</f>
        <v/>
      </c>
      <c r="N421">
        <f>N420*M421</f>
        <v/>
      </c>
      <c r="O421">
        <f>IFERROR(INDEX(MonthlyCurve!$L:$L,MATCH(A421,MonthlyCurve!$A:$A,0)),"")</f>
        <v/>
      </c>
      <c r="P421">
        <f>IF(B421&gt;0,-LN(O421)/B421,"")</f>
        <v/>
      </c>
      <c r="Q421">
        <f>G421*N421</f>
        <v/>
      </c>
      <c r="R421">
        <f>H421*N421</f>
        <v/>
      </c>
      <c r="S421">
        <f>Q421+R421</f>
        <v/>
      </c>
      <c r="T421">
        <f>Q421*O421</f>
        <v/>
      </c>
      <c r="U421">
        <f>R421*O421</f>
        <v/>
      </c>
      <c r="V421">
        <f>SUMPRODUCT(S422:S543,O422:O543)/(N421*O421)</f>
        <v/>
      </c>
    </row>
    <row r="422">
      <c r="A422" t="n">
        <v>419</v>
      </c>
      <c r="B422">
        <f>A422/Inputs!$B$6</f>
        <v/>
      </c>
      <c r="C422">
        <f>Inputs!$B$3+B422</f>
        <v/>
      </c>
      <c r="D422">
        <f>INT(C422)</f>
        <v/>
      </c>
      <c r="E422">
        <f>Inputs!$B$7+1+INT((A422-1)/Inputs!$B$6)</f>
        <v/>
      </c>
      <c r="F422">
        <f>IFERROR(INDEX(IndexScenario!$B$4:$B$544,MATCH(A422,IndexScenario!$A$4:$A$544,0)),"")</f>
        <v/>
      </c>
      <c r="G422">
        <f>G421*F422/F421</f>
        <v/>
      </c>
      <c r="H422">
        <f>H421*(1+Inputs!$B$17)^(1/12)</f>
        <v/>
      </c>
      <c r="I422">
        <f>IFERROR(INDEX(BaseQx!$B:$B,MATCH(D422,BaseQx!$A:$A,0)),"")</f>
        <v/>
      </c>
      <c r="J422">
        <f>IF(Inputs!$B$13="rp_mp",SUMIFS(MP2016_Long!$C:$C,MP2016_Long!$A:$A,D422,MP2016_Long!$B:$B,"&gt;=2014",MP2016_Long!$B:$B,"&lt;"&amp;E422),0)</f>
        <v/>
      </c>
      <c r="K422">
        <f>MIN(0.999999,MAX(0,I422*EXP(J422)))</f>
        <v/>
      </c>
      <c r="L422">
        <f>-LN(1-K422)</f>
        <v/>
      </c>
      <c r="M422">
        <f>EXP(-L422/Inputs!$B$6)</f>
        <v/>
      </c>
      <c r="N422">
        <f>N421*M422</f>
        <v/>
      </c>
      <c r="O422">
        <f>IFERROR(INDEX(MonthlyCurve!$L:$L,MATCH(A422,MonthlyCurve!$A:$A,0)),"")</f>
        <v/>
      </c>
      <c r="P422">
        <f>IF(B422&gt;0,-LN(O422)/B422,"")</f>
        <v/>
      </c>
      <c r="Q422">
        <f>G422*N422</f>
        <v/>
      </c>
      <c r="R422">
        <f>H422*N422</f>
        <v/>
      </c>
      <c r="S422">
        <f>Q422+R422</f>
        <v/>
      </c>
      <c r="T422">
        <f>Q422*O422</f>
        <v/>
      </c>
      <c r="U422">
        <f>R422*O422</f>
        <v/>
      </c>
      <c r="V422">
        <f>SUMPRODUCT(S423:S543,O423:O543)/(N422*O422)</f>
        <v/>
      </c>
    </row>
    <row r="423">
      <c r="A423" t="n">
        <v>420</v>
      </c>
      <c r="B423">
        <f>A423/Inputs!$B$6</f>
        <v/>
      </c>
      <c r="C423">
        <f>Inputs!$B$3+B423</f>
        <v/>
      </c>
      <c r="D423">
        <f>INT(C423)</f>
        <v/>
      </c>
      <c r="E423">
        <f>Inputs!$B$7+1+INT((A423-1)/Inputs!$B$6)</f>
        <v/>
      </c>
      <c r="F423">
        <f>IFERROR(INDEX(IndexScenario!$B$4:$B$544,MATCH(A423,IndexScenario!$A$4:$A$544,0)),"")</f>
        <v/>
      </c>
      <c r="G423">
        <f>G422*F423/F422</f>
        <v/>
      </c>
      <c r="H423">
        <f>H422*(1+Inputs!$B$17)^(1/12)</f>
        <v/>
      </c>
      <c r="I423">
        <f>IFERROR(INDEX(BaseQx!$B:$B,MATCH(D423,BaseQx!$A:$A,0)),"")</f>
        <v/>
      </c>
      <c r="J423">
        <f>IF(Inputs!$B$13="rp_mp",SUMIFS(MP2016_Long!$C:$C,MP2016_Long!$A:$A,D423,MP2016_Long!$B:$B,"&gt;=2014",MP2016_Long!$B:$B,"&lt;"&amp;E423),0)</f>
        <v/>
      </c>
      <c r="K423">
        <f>MIN(0.999999,MAX(0,I423*EXP(J423)))</f>
        <v/>
      </c>
      <c r="L423">
        <f>-LN(1-K423)</f>
        <v/>
      </c>
      <c r="M423">
        <f>EXP(-L423/Inputs!$B$6)</f>
        <v/>
      </c>
      <c r="N423">
        <f>N422*M423</f>
        <v/>
      </c>
      <c r="O423">
        <f>IFERROR(INDEX(MonthlyCurve!$L:$L,MATCH(A423,MonthlyCurve!$A:$A,0)),"")</f>
        <v/>
      </c>
      <c r="P423">
        <f>IF(B423&gt;0,-LN(O423)/B423,"")</f>
        <v/>
      </c>
      <c r="Q423">
        <f>G423*N423</f>
        <v/>
      </c>
      <c r="R423">
        <f>H423*N423</f>
        <v/>
      </c>
      <c r="S423">
        <f>Q423+R423</f>
        <v/>
      </c>
      <c r="T423">
        <f>Q423*O423</f>
        <v/>
      </c>
      <c r="U423">
        <f>R423*O423</f>
        <v/>
      </c>
      <c r="V423">
        <f>SUMPRODUCT(S424:S543,O424:O543)/(N423*O423)</f>
        <v/>
      </c>
    </row>
    <row r="424">
      <c r="A424" t="n">
        <v>421</v>
      </c>
      <c r="B424">
        <f>A424/Inputs!$B$6</f>
        <v/>
      </c>
      <c r="C424">
        <f>Inputs!$B$3+B424</f>
        <v/>
      </c>
      <c r="D424">
        <f>INT(C424)</f>
        <v/>
      </c>
      <c r="E424">
        <f>Inputs!$B$7+1+INT((A424-1)/Inputs!$B$6)</f>
        <v/>
      </c>
      <c r="F424">
        <f>IFERROR(INDEX(IndexScenario!$B$4:$B$544,MATCH(A424,IndexScenario!$A$4:$A$544,0)),"")</f>
        <v/>
      </c>
      <c r="G424">
        <f>G423*F424/F423</f>
        <v/>
      </c>
      <c r="H424">
        <f>H423*(1+Inputs!$B$17)^(1/12)</f>
        <v/>
      </c>
      <c r="I424">
        <f>IFERROR(INDEX(BaseQx!$B:$B,MATCH(D424,BaseQx!$A:$A,0)),"")</f>
        <v/>
      </c>
      <c r="J424">
        <f>IF(Inputs!$B$13="rp_mp",SUMIFS(MP2016_Long!$C:$C,MP2016_Long!$A:$A,D424,MP2016_Long!$B:$B,"&gt;=2014",MP2016_Long!$B:$B,"&lt;"&amp;E424),0)</f>
        <v/>
      </c>
      <c r="K424">
        <f>MIN(0.999999,MAX(0,I424*EXP(J424)))</f>
        <v/>
      </c>
      <c r="L424">
        <f>-LN(1-K424)</f>
        <v/>
      </c>
      <c r="M424">
        <f>EXP(-L424/Inputs!$B$6)</f>
        <v/>
      </c>
      <c r="N424">
        <f>N423*M424</f>
        <v/>
      </c>
      <c r="O424">
        <f>IFERROR(INDEX(MonthlyCurve!$L:$L,MATCH(A424,MonthlyCurve!$A:$A,0)),"")</f>
        <v/>
      </c>
      <c r="P424">
        <f>IF(B424&gt;0,-LN(O424)/B424,"")</f>
        <v/>
      </c>
      <c r="Q424">
        <f>G424*N424</f>
        <v/>
      </c>
      <c r="R424">
        <f>H424*N424</f>
        <v/>
      </c>
      <c r="S424">
        <f>Q424+R424</f>
        <v/>
      </c>
      <c r="T424">
        <f>Q424*O424</f>
        <v/>
      </c>
      <c r="U424">
        <f>R424*O424</f>
        <v/>
      </c>
      <c r="V424">
        <f>SUMPRODUCT(S425:S543,O425:O543)/(N424*O424)</f>
        <v/>
      </c>
    </row>
    <row r="425">
      <c r="A425" t="n">
        <v>422</v>
      </c>
      <c r="B425">
        <f>A425/Inputs!$B$6</f>
        <v/>
      </c>
      <c r="C425">
        <f>Inputs!$B$3+B425</f>
        <v/>
      </c>
      <c r="D425">
        <f>INT(C425)</f>
        <v/>
      </c>
      <c r="E425">
        <f>Inputs!$B$7+1+INT((A425-1)/Inputs!$B$6)</f>
        <v/>
      </c>
      <c r="F425">
        <f>IFERROR(INDEX(IndexScenario!$B$4:$B$544,MATCH(A425,IndexScenario!$A$4:$A$544,0)),"")</f>
        <v/>
      </c>
      <c r="G425">
        <f>G424*F425/F424</f>
        <v/>
      </c>
      <c r="H425">
        <f>H424*(1+Inputs!$B$17)^(1/12)</f>
        <v/>
      </c>
      <c r="I425">
        <f>IFERROR(INDEX(BaseQx!$B:$B,MATCH(D425,BaseQx!$A:$A,0)),"")</f>
        <v/>
      </c>
      <c r="J425">
        <f>IF(Inputs!$B$13="rp_mp",SUMIFS(MP2016_Long!$C:$C,MP2016_Long!$A:$A,D425,MP2016_Long!$B:$B,"&gt;=2014",MP2016_Long!$B:$B,"&lt;"&amp;E425),0)</f>
        <v/>
      </c>
      <c r="K425">
        <f>MIN(0.999999,MAX(0,I425*EXP(J425)))</f>
        <v/>
      </c>
      <c r="L425">
        <f>-LN(1-K425)</f>
        <v/>
      </c>
      <c r="M425">
        <f>EXP(-L425/Inputs!$B$6)</f>
        <v/>
      </c>
      <c r="N425">
        <f>N424*M425</f>
        <v/>
      </c>
      <c r="O425">
        <f>IFERROR(INDEX(MonthlyCurve!$L:$L,MATCH(A425,MonthlyCurve!$A:$A,0)),"")</f>
        <v/>
      </c>
      <c r="P425">
        <f>IF(B425&gt;0,-LN(O425)/B425,"")</f>
        <v/>
      </c>
      <c r="Q425">
        <f>G425*N425</f>
        <v/>
      </c>
      <c r="R425">
        <f>H425*N425</f>
        <v/>
      </c>
      <c r="S425">
        <f>Q425+R425</f>
        <v/>
      </c>
      <c r="T425">
        <f>Q425*O425</f>
        <v/>
      </c>
      <c r="U425">
        <f>R425*O425</f>
        <v/>
      </c>
      <c r="V425">
        <f>SUMPRODUCT(S426:S543,O426:O543)/(N425*O425)</f>
        <v/>
      </c>
    </row>
    <row r="426">
      <c r="A426" t="n">
        <v>423</v>
      </c>
      <c r="B426">
        <f>A426/Inputs!$B$6</f>
        <v/>
      </c>
      <c r="C426">
        <f>Inputs!$B$3+B426</f>
        <v/>
      </c>
      <c r="D426">
        <f>INT(C426)</f>
        <v/>
      </c>
      <c r="E426">
        <f>Inputs!$B$7+1+INT((A426-1)/Inputs!$B$6)</f>
        <v/>
      </c>
      <c r="F426">
        <f>IFERROR(INDEX(IndexScenario!$B$4:$B$544,MATCH(A426,IndexScenario!$A$4:$A$544,0)),"")</f>
        <v/>
      </c>
      <c r="G426">
        <f>G425*F426/F425</f>
        <v/>
      </c>
      <c r="H426">
        <f>H425*(1+Inputs!$B$17)^(1/12)</f>
        <v/>
      </c>
      <c r="I426">
        <f>IFERROR(INDEX(BaseQx!$B:$B,MATCH(D426,BaseQx!$A:$A,0)),"")</f>
        <v/>
      </c>
      <c r="J426">
        <f>IF(Inputs!$B$13="rp_mp",SUMIFS(MP2016_Long!$C:$C,MP2016_Long!$A:$A,D426,MP2016_Long!$B:$B,"&gt;=2014",MP2016_Long!$B:$B,"&lt;"&amp;E426),0)</f>
        <v/>
      </c>
      <c r="K426">
        <f>MIN(0.999999,MAX(0,I426*EXP(J426)))</f>
        <v/>
      </c>
      <c r="L426">
        <f>-LN(1-K426)</f>
        <v/>
      </c>
      <c r="M426">
        <f>EXP(-L426/Inputs!$B$6)</f>
        <v/>
      </c>
      <c r="N426">
        <f>N425*M426</f>
        <v/>
      </c>
      <c r="O426">
        <f>IFERROR(INDEX(MonthlyCurve!$L:$L,MATCH(A426,MonthlyCurve!$A:$A,0)),"")</f>
        <v/>
      </c>
      <c r="P426">
        <f>IF(B426&gt;0,-LN(O426)/B426,"")</f>
        <v/>
      </c>
      <c r="Q426">
        <f>G426*N426</f>
        <v/>
      </c>
      <c r="R426">
        <f>H426*N426</f>
        <v/>
      </c>
      <c r="S426">
        <f>Q426+R426</f>
        <v/>
      </c>
      <c r="T426">
        <f>Q426*O426</f>
        <v/>
      </c>
      <c r="U426">
        <f>R426*O426</f>
        <v/>
      </c>
      <c r="V426">
        <f>SUMPRODUCT(S427:S543,O427:O543)/(N426*O426)</f>
        <v/>
      </c>
    </row>
    <row r="427">
      <c r="A427" t="n">
        <v>424</v>
      </c>
      <c r="B427">
        <f>A427/Inputs!$B$6</f>
        <v/>
      </c>
      <c r="C427">
        <f>Inputs!$B$3+B427</f>
        <v/>
      </c>
      <c r="D427">
        <f>INT(C427)</f>
        <v/>
      </c>
      <c r="E427">
        <f>Inputs!$B$7+1+INT((A427-1)/Inputs!$B$6)</f>
        <v/>
      </c>
      <c r="F427">
        <f>IFERROR(INDEX(IndexScenario!$B$4:$B$544,MATCH(A427,IndexScenario!$A$4:$A$544,0)),"")</f>
        <v/>
      </c>
      <c r="G427">
        <f>G426*F427/F426</f>
        <v/>
      </c>
      <c r="H427">
        <f>H426*(1+Inputs!$B$17)^(1/12)</f>
        <v/>
      </c>
      <c r="I427">
        <f>IFERROR(INDEX(BaseQx!$B:$B,MATCH(D427,BaseQx!$A:$A,0)),"")</f>
        <v/>
      </c>
      <c r="J427">
        <f>IF(Inputs!$B$13="rp_mp",SUMIFS(MP2016_Long!$C:$C,MP2016_Long!$A:$A,D427,MP2016_Long!$B:$B,"&gt;=2014",MP2016_Long!$B:$B,"&lt;"&amp;E427),0)</f>
        <v/>
      </c>
      <c r="K427">
        <f>MIN(0.999999,MAX(0,I427*EXP(J427)))</f>
        <v/>
      </c>
      <c r="L427">
        <f>-LN(1-K427)</f>
        <v/>
      </c>
      <c r="M427">
        <f>EXP(-L427/Inputs!$B$6)</f>
        <v/>
      </c>
      <c r="N427">
        <f>N426*M427</f>
        <v/>
      </c>
      <c r="O427">
        <f>IFERROR(INDEX(MonthlyCurve!$L:$L,MATCH(A427,MonthlyCurve!$A:$A,0)),"")</f>
        <v/>
      </c>
      <c r="P427">
        <f>IF(B427&gt;0,-LN(O427)/B427,"")</f>
        <v/>
      </c>
      <c r="Q427">
        <f>G427*N427</f>
        <v/>
      </c>
      <c r="R427">
        <f>H427*N427</f>
        <v/>
      </c>
      <c r="S427">
        <f>Q427+R427</f>
        <v/>
      </c>
      <c r="T427">
        <f>Q427*O427</f>
        <v/>
      </c>
      <c r="U427">
        <f>R427*O427</f>
        <v/>
      </c>
      <c r="V427">
        <f>SUMPRODUCT(S428:S543,O428:O543)/(N427*O427)</f>
        <v/>
      </c>
    </row>
    <row r="428">
      <c r="A428" t="n">
        <v>425</v>
      </c>
      <c r="B428">
        <f>A428/Inputs!$B$6</f>
        <v/>
      </c>
      <c r="C428">
        <f>Inputs!$B$3+B428</f>
        <v/>
      </c>
      <c r="D428">
        <f>INT(C428)</f>
        <v/>
      </c>
      <c r="E428">
        <f>Inputs!$B$7+1+INT((A428-1)/Inputs!$B$6)</f>
        <v/>
      </c>
      <c r="F428">
        <f>IFERROR(INDEX(IndexScenario!$B$4:$B$544,MATCH(A428,IndexScenario!$A$4:$A$544,0)),"")</f>
        <v/>
      </c>
      <c r="G428">
        <f>G427*F428/F427</f>
        <v/>
      </c>
      <c r="H428">
        <f>H427*(1+Inputs!$B$17)^(1/12)</f>
        <v/>
      </c>
      <c r="I428">
        <f>IFERROR(INDEX(BaseQx!$B:$B,MATCH(D428,BaseQx!$A:$A,0)),"")</f>
        <v/>
      </c>
      <c r="J428">
        <f>IF(Inputs!$B$13="rp_mp",SUMIFS(MP2016_Long!$C:$C,MP2016_Long!$A:$A,D428,MP2016_Long!$B:$B,"&gt;=2014",MP2016_Long!$B:$B,"&lt;"&amp;E428),0)</f>
        <v/>
      </c>
      <c r="K428">
        <f>MIN(0.999999,MAX(0,I428*EXP(J428)))</f>
        <v/>
      </c>
      <c r="L428">
        <f>-LN(1-K428)</f>
        <v/>
      </c>
      <c r="M428">
        <f>EXP(-L428/Inputs!$B$6)</f>
        <v/>
      </c>
      <c r="N428">
        <f>N427*M428</f>
        <v/>
      </c>
      <c r="O428">
        <f>IFERROR(INDEX(MonthlyCurve!$L:$L,MATCH(A428,MonthlyCurve!$A:$A,0)),"")</f>
        <v/>
      </c>
      <c r="P428">
        <f>IF(B428&gt;0,-LN(O428)/B428,"")</f>
        <v/>
      </c>
      <c r="Q428">
        <f>G428*N428</f>
        <v/>
      </c>
      <c r="R428">
        <f>H428*N428</f>
        <v/>
      </c>
      <c r="S428">
        <f>Q428+R428</f>
        <v/>
      </c>
      <c r="T428">
        <f>Q428*O428</f>
        <v/>
      </c>
      <c r="U428">
        <f>R428*O428</f>
        <v/>
      </c>
      <c r="V428">
        <f>SUMPRODUCT(S429:S543,O429:O543)/(N428*O428)</f>
        <v/>
      </c>
    </row>
    <row r="429">
      <c r="A429" t="n">
        <v>426</v>
      </c>
      <c r="B429">
        <f>A429/Inputs!$B$6</f>
        <v/>
      </c>
      <c r="C429">
        <f>Inputs!$B$3+B429</f>
        <v/>
      </c>
      <c r="D429">
        <f>INT(C429)</f>
        <v/>
      </c>
      <c r="E429">
        <f>Inputs!$B$7+1+INT((A429-1)/Inputs!$B$6)</f>
        <v/>
      </c>
      <c r="F429">
        <f>IFERROR(INDEX(IndexScenario!$B$4:$B$544,MATCH(A429,IndexScenario!$A$4:$A$544,0)),"")</f>
        <v/>
      </c>
      <c r="G429">
        <f>G428*F429/F428</f>
        <v/>
      </c>
      <c r="H429">
        <f>H428*(1+Inputs!$B$17)^(1/12)</f>
        <v/>
      </c>
      <c r="I429">
        <f>IFERROR(INDEX(BaseQx!$B:$B,MATCH(D429,BaseQx!$A:$A,0)),"")</f>
        <v/>
      </c>
      <c r="J429">
        <f>IF(Inputs!$B$13="rp_mp",SUMIFS(MP2016_Long!$C:$C,MP2016_Long!$A:$A,D429,MP2016_Long!$B:$B,"&gt;=2014",MP2016_Long!$B:$B,"&lt;"&amp;E429),0)</f>
        <v/>
      </c>
      <c r="K429">
        <f>MIN(0.999999,MAX(0,I429*EXP(J429)))</f>
        <v/>
      </c>
      <c r="L429">
        <f>-LN(1-K429)</f>
        <v/>
      </c>
      <c r="M429">
        <f>EXP(-L429/Inputs!$B$6)</f>
        <v/>
      </c>
      <c r="N429">
        <f>N428*M429</f>
        <v/>
      </c>
      <c r="O429">
        <f>IFERROR(INDEX(MonthlyCurve!$L:$L,MATCH(A429,MonthlyCurve!$A:$A,0)),"")</f>
        <v/>
      </c>
      <c r="P429">
        <f>IF(B429&gt;0,-LN(O429)/B429,"")</f>
        <v/>
      </c>
      <c r="Q429">
        <f>G429*N429</f>
        <v/>
      </c>
      <c r="R429">
        <f>H429*N429</f>
        <v/>
      </c>
      <c r="S429">
        <f>Q429+R429</f>
        <v/>
      </c>
      <c r="T429">
        <f>Q429*O429</f>
        <v/>
      </c>
      <c r="U429">
        <f>R429*O429</f>
        <v/>
      </c>
      <c r="V429">
        <f>SUMPRODUCT(S430:S543,O430:O543)/(N429*O429)</f>
        <v/>
      </c>
    </row>
    <row r="430">
      <c r="A430" t="n">
        <v>427</v>
      </c>
      <c r="B430">
        <f>A430/Inputs!$B$6</f>
        <v/>
      </c>
      <c r="C430">
        <f>Inputs!$B$3+B430</f>
        <v/>
      </c>
      <c r="D430">
        <f>INT(C430)</f>
        <v/>
      </c>
      <c r="E430">
        <f>Inputs!$B$7+1+INT((A430-1)/Inputs!$B$6)</f>
        <v/>
      </c>
      <c r="F430">
        <f>IFERROR(INDEX(IndexScenario!$B$4:$B$544,MATCH(A430,IndexScenario!$A$4:$A$544,0)),"")</f>
        <v/>
      </c>
      <c r="G430">
        <f>G429*F430/F429</f>
        <v/>
      </c>
      <c r="H430">
        <f>H429*(1+Inputs!$B$17)^(1/12)</f>
        <v/>
      </c>
      <c r="I430">
        <f>IFERROR(INDEX(BaseQx!$B:$B,MATCH(D430,BaseQx!$A:$A,0)),"")</f>
        <v/>
      </c>
      <c r="J430">
        <f>IF(Inputs!$B$13="rp_mp",SUMIFS(MP2016_Long!$C:$C,MP2016_Long!$A:$A,D430,MP2016_Long!$B:$B,"&gt;=2014",MP2016_Long!$B:$B,"&lt;"&amp;E430),0)</f>
        <v/>
      </c>
      <c r="K430">
        <f>MIN(0.999999,MAX(0,I430*EXP(J430)))</f>
        <v/>
      </c>
      <c r="L430">
        <f>-LN(1-K430)</f>
        <v/>
      </c>
      <c r="M430">
        <f>EXP(-L430/Inputs!$B$6)</f>
        <v/>
      </c>
      <c r="N430">
        <f>N429*M430</f>
        <v/>
      </c>
      <c r="O430">
        <f>IFERROR(INDEX(MonthlyCurve!$L:$L,MATCH(A430,MonthlyCurve!$A:$A,0)),"")</f>
        <v/>
      </c>
      <c r="P430">
        <f>IF(B430&gt;0,-LN(O430)/B430,"")</f>
        <v/>
      </c>
      <c r="Q430">
        <f>G430*N430</f>
        <v/>
      </c>
      <c r="R430">
        <f>H430*N430</f>
        <v/>
      </c>
      <c r="S430">
        <f>Q430+R430</f>
        <v/>
      </c>
      <c r="T430">
        <f>Q430*O430</f>
        <v/>
      </c>
      <c r="U430">
        <f>R430*O430</f>
        <v/>
      </c>
      <c r="V430">
        <f>SUMPRODUCT(S431:S543,O431:O543)/(N430*O430)</f>
        <v/>
      </c>
    </row>
    <row r="431">
      <c r="A431" t="n">
        <v>428</v>
      </c>
      <c r="B431">
        <f>A431/Inputs!$B$6</f>
        <v/>
      </c>
      <c r="C431">
        <f>Inputs!$B$3+B431</f>
        <v/>
      </c>
      <c r="D431">
        <f>INT(C431)</f>
        <v/>
      </c>
      <c r="E431">
        <f>Inputs!$B$7+1+INT((A431-1)/Inputs!$B$6)</f>
        <v/>
      </c>
      <c r="F431">
        <f>IFERROR(INDEX(IndexScenario!$B$4:$B$544,MATCH(A431,IndexScenario!$A$4:$A$544,0)),"")</f>
        <v/>
      </c>
      <c r="G431">
        <f>G430*F431/F430</f>
        <v/>
      </c>
      <c r="H431">
        <f>H430*(1+Inputs!$B$17)^(1/12)</f>
        <v/>
      </c>
      <c r="I431">
        <f>IFERROR(INDEX(BaseQx!$B:$B,MATCH(D431,BaseQx!$A:$A,0)),"")</f>
        <v/>
      </c>
      <c r="J431">
        <f>IF(Inputs!$B$13="rp_mp",SUMIFS(MP2016_Long!$C:$C,MP2016_Long!$A:$A,D431,MP2016_Long!$B:$B,"&gt;=2014",MP2016_Long!$B:$B,"&lt;"&amp;E431),0)</f>
        <v/>
      </c>
      <c r="K431">
        <f>MIN(0.999999,MAX(0,I431*EXP(J431)))</f>
        <v/>
      </c>
      <c r="L431">
        <f>-LN(1-K431)</f>
        <v/>
      </c>
      <c r="M431">
        <f>EXP(-L431/Inputs!$B$6)</f>
        <v/>
      </c>
      <c r="N431">
        <f>N430*M431</f>
        <v/>
      </c>
      <c r="O431">
        <f>IFERROR(INDEX(MonthlyCurve!$L:$L,MATCH(A431,MonthlyCurve!$A:$A,0)),"")</f>
        <v/>
      </c>
      <c r="P431">
        <f>IF(B431&gt;0,-LN(O431)/B431,"")</f>
        <v/>
      </c>
      <c r="Q431">
        <f>G431*N431</f>
        <v/>
      </c>
      <c r="R431">
        <f>H431*N431</f>
        <v/>
      </c>
      <c r="S431">
        <f>Q431+R431</f>
        <v/>
      </c>
      <c r="T431">
        <f>Q431*O431</f>
        <v/>
      </c>
      <c r="U431">
        <f>R431*O431</f>
        <v/>
      </c>
      <c r="V431">
        <f>SUMPRODUCT(S432:S543,O432:O543)/(N431*O431)</f>
        <v/>
      </c>
    </row>
    <row r="432">
      <c r="A432" t="n">
        <v>429</v>
      </c>
      <c r="B432">
        <f>A432/Inputs!$B$6</f>
        <v/>
      </c>
      <c r="C432">
        <f>Inputs!$B$3+B432</f>
        <v/>
      </c>
      <c r="D432">
        <f>INT(C432)</f>
        <v/>
      </c>
      <c r="E432">
        <f>Inputs!$B$7+1+INT((A432-1)/Inputs!$B$6)</f>
        <v/>
      </c>
      <c r="F432">
        <f>IFERROR(INDEX(IndexScenario!$B$4:$B$544,MATCH(A432,IndexScenario!$A$4:$A$544,0)),"")</f>
        <v/>
      </c>
      <c r="G432">
        <f>G431*F432/F431</f>
        <v/>
      </c>
      <c r="H432">
        <f>H431*(1+Inputs!$B$17)^(1/12)</f>
        <v/>
      </c>
      <c r="I432">
        <f>IFERROR(INDEX(BaseQx!$B:$B,MATCH(D432,BaseQx!$A:$A,0)),"")</f>
        <v/>
      </c>
      <c r="J432">
        <f>IF(Inputs!$B$13="rp_mp",SUMIFS(MP2016_Long!$C:$C,MP2016_Long!$A:$A,D432,MP2016_Long!$B:$B,"&gt;=2014",MP2016_Long!$B:$B,"&lt;"&amp;E432),0)</f>
        <v/>
      </c>
      <c r="K432">
        <f>MIN(0.999999,MAX(0,I432*EXP(J432)))</f>
        <v/>
      </c>
      <c r="L432">
        <f>-LN(1-K432)</f>
        <v/>
      </c>
      <c r="M432">
        <f>EXP(-L432/Inputs!$B$6)</f>
        <v/>
      </c>
      <c r="N432">
        <f>N431*M432</f>
        <v/>
      </c>
      <c r="O432">
        <f>IFERROR(INDEX(MonthlyCurve!$L:$L,MATCH(A432,MonthlyCurve!$A:$A,0)),"")</f>
        <v/>
      </c>
      <c r="P432">
        <f>IF(B432&gt;0,-LN(O432)/B432,"")</f>
        <v/>
      </c>
      <c r="Q432">
        <f>G432*N432</f>
        <v/>
      </c>
      <c r="R432">
        <f>H432*N432</f>
        <v/>
      </c>
      <c r="S432">
        <f>Q432+R432</f>
        <v/>
      </c>
      <c r="T432">
        <f>Q432*O432</f>
        <v/>
      </c>
      <c r="U432">
        <f>R432*O432</f>
        <v/>
      </c>
      <c r="V432">
        <f>SUMPRODUCT(S433:S543,O433:O543)/(N432*O432)</f>
        <v/>
      </c>
    </row>
    <row r="433">
      <c r="A433" t="n">
        <v>430</v>
      </c>
      <c r="B433">
        <f>A433/Inputs!$B$6</f>
        <v/>
      </c>
      <c r="C433">
        <f>Inputs!$B$3+B433</f>
        <v/>
      </c>
      <c r="D433">
        <f>INT(C433)</f>
        <v/>
      </c>
      <c r="E433">
        <f>Inputs!$B$7+1+INT((A433-1)/Inputs!$B$6)</f>
        <v/>
      </c>
      <c r="F433">
        <f>IFERROR(INDEX(IndexScenario!$B$4:$B$544,MATCH(A433,IndexScenario!$A$4:$A$544,0)),"")</f>
        <v/>
      </c>
      <c r="G433">
        <f>G432*F433/F432</f>
        <v/>
      </c>
      <c r="H433">
        <f>H432*(1+Inputs!$B$17)^(1/12)</f>
        <v/>
      </c>
      <c r="I433">
        <f>IFERROR(INDEX(BaseQx!$B:$B,MATCH(D433,BaseQx!$A:$A,0)),"")</f>
        <v/>
      </c>
      <c r="J433">
        <f>IF(Inputs!$B$13="rp_mp",SUMIFS(MP2016_Long!$C:$C,MP2016_Long!$A:$A,D433,MP2016_Long!$B:$B,"&gt;=2014",MP2016_Long!$B:$B,"&lt;"&amp;E433),0)</f>
        <v/>
      </c>
      <c r="K433">
        <f>MIN(0.999999,MAX(0,I433*EXP(J433)))</f>
        <v/>
      </c>
      <c r="L433">
        <f>-LN(1-K433)</f>
        <v/>
      </c>
      <c r="M433">
        <f>EXP(-L433/Inputs!$B$6)</f>
        <v/>
      </c>
      <c r="N433">
        <f>N432*M433</f>
        <v/>
      </c>
      <c r="O433">
        <f>IFERROR(INDEX(MonthlyCurve!$L:$L,MATCH(A433,MonthlyCurve!$A:$A,0)),"")</f>
        <v/>
      </c>
      <c r="P433">
        <f>IF(B433&gt;0,-LN(O433)/B433,"")</f>
        <v/>
      </c>
      <c r="Q433">
        <f>G433*N433</f>
        <v/>
      </c>
      <c r="R433">
        <f>H433*N433</f>
        <v/>
      </c>
      <c r="S433">
        <f>Q433+R433</f>
        <v/>
      </c>
      <c r="T433">
        <f>Q433*O433</f>
        <v/>
      </c>
      <c r="U433">
        <f>R433*O433</f>
        <v/>
      </c>
      <c r="V433">
        <f>SUMPRODUCT(S434:S543,O434:O543)/(N433*O433)</f>
        <v/>
      </c>
    </row>
    <row r="434">
      <c r="A434" t="n">
        <v>431</v>
      </c>
      <c r="B434">
        <f>A434/Inputs!$B$6</f>
        <v/>
      </c>
      <c r="C434">
        <f>Inputs!$B$3+B434</f>
        <v/>
      </c>
      <c r="D434">
        <f>INT(C434)</f>
        <v/>
      </c>
      <c r="E434">
        <f>Inputs!$B$7+1+INT((A434-1)/Inputs!$B$6)</f>
        <v/>
      </c>
      <c r="F434">
        <f>IFERROR(INDEX(IndexScenario!$B$4:$B$544,MATCH(A434,IndexScenario!$A$4:$A$544,0)),"")</f>
        <v/>
      </c>
      <c r="G434">
        <f>G433*F434/F433</f>
        <v/>
      </c>
      <c r="H434">
        <f>H433*(1+Inputs!$B$17)^(1/12)</f>
        <v/>
      </c>
      <c r="I434">
        <f>IFERROR(INDEX(BaseQx!$B:$B,MATCH(D434,BaseQx!$A:$A,0)),"")</f>
        <v/>
      </c>
      <c r="J434">
        <f>IF(Inputs!$B$13="rp_mp",SUMIFS(MP2016_Long!$C:$C,MP2016_Long!$A:$A,D434,MP2016_Long!$B:$B,"&gt;=2014",MP2016_Long!$B:$B,"&lt;"&amp;E434),0)</f>
        <v/>
      </c>
      <c r="K434">
        <f>MIN(0.999999,MAX(0,I434*EXP(J434)))</f>
        <v/>
      </c>
      <c r="L434">
        <f>-LN(1-K434)</f>
        <v/>
      </c>
      <c r="M434">
        <f>EXP(-L434/Inputs!$B$6)</f>
        <v/>
      </c>
      <c r="N434">
        <f>N433*M434</f>
        <v/>
      </c>
      <c r="O434">
        <f>IFERROR(INDEX(MonthlyCurve!$L:$L,MATCH(A434,MonthlyCurve!$A:$A,0)),"")</f>
        <v/>
      </c>
      <c r="P434">
        <f>IF(B434&gt;0,-LN(O434)/B434,"")</f>
        <v/>
      </c>
      <c r="Q434">
        <f>G434*N434</f>
        <v/>
      </c>
      <c r="R434">
        <f>H434*N434</f>
        <v/>
      </c>
      <c r="S434">
        <f>Q434+R434</f>
        <v/>
      </c>
      <c r="T434">
        <f>Q434*O434</f>
        <v/>
      </c>
      <c r="U434">
        <f>R434*O434</f>
        <v/>
      </c>
      <c r="V434">
        <f>SUMPRODUCT(S435:S543,O435:O543)/(N434*O434)</f>
        <v/>
      </c>
    </row>
    <row r="435">
      <c r="A435" t="n">
        <v>432</v>
      </c>
      <c r="B435">
        <f>A435/Inputs!$B$6</f>
        <v/>
      </c>
      <c r="C435">
        <f>Inputs!$B$3+B435</f>
        <v/>
      </c>
      <c r="D435">
        <f>INT(C435)</f>
        <v/>
      </c>
      <c r="E435">
        <f>Inputs!$B$7+1+INT((A435-1)/Inputs!$B$6)</f>
        <v/>
      </c>
      <c r="F435">
        <f>IFERROR(INDEX(IndexScenario!$B$4:$B$544,MATCH(A435,IndexScenario!$A$4:$A$544,0)),"")</f>
        <v/>
      </c>
      <c r="G435">
        <f>G434*F435/F434</f>
        <v/>
      </c>
      <c r="H435">
        <f>H434*(1+Inputs!$B$17)^(1/12)</f>
        <v/>
      </c>
      <c r="I435">
        <f>IFERROR(INDEX(BaseQx!$B:$B,MATCH(D435,BaseQx!$A:$A,0)),"")</f>
        <v/>
      </c>
      <c r="J435">
        <f>IF(Inputs!$B$13="rp_mp",SUMIFS(MP2016_Long!$C:$C,MP2016_Long!$A:$A,D435,MP2016_Long!$B:$B,"&gt;=2014",MP2016_Long!$B:$B,"&lt;"&amp;E435),0)</f>
        <v/>
      </c>
      <c r="K435">
        <f>MIN(0.999999,MAX(0,I435*EXP(J435)))</f>
        <v/>
      </c>
      <c r="L435">
        <f>-LN(1-K435)</f>
        <v/>
      </c>
      <c r="M435">
        <f>EXP(-L435/Inputs!$B$6)</f>
        <v/>
      </c>
      <c r="N435">
        <f>N434*M435</f>
        <v/>
      </c>
      <c r="O435">
        <f>IFERROR(INDEX(MonthlyCurve!$L:$L,MATCH(A435,MonthlyCurve!$A:$A,0)),"")</f>
        <v/>
      </c>
      <c r="P435">
        <f>IF(B435&gt;0,-LN(O435)/B435,"")</f>
        <v/>
      </c>
      <c r="Q435">
        <f>G435*N435</f>
        <v/>
      </c>
      <c r="R435">
        <f>H435*N435</f>
        <v/>
      </c>
      <c r="S435">
        <f>Q435+R435</f>
        <v/>
      </c>
      <c r="T435">
        <f>Q435*O435</f>
        <v/>
      </c>
      <c r="U435">
        <f>R435*O435</f>
        <v/>
      </c>
      <c r="V435">
        <f>SUMPRODUCT(S436:S543,O436:O543)/(N435*O435)</f>
        <v/>
      </c>
    </row>
    <row r="436">
      <c r="A436" t="n">
        <v>433</v>
      </c>
      <c r="B436">
        <f>A436/Inputs!$B$6</f>
        <v/>
      </c>
      <c r="C436">
        <f>Inputs!$B$3+B436</f>
        <v/>
      </c>
      <c r="D436">
        <f>INT(C436)</f>
        <v/>
      </c>
      <c r="E436">
        <f>Inputs!$B$7+1+INT((A436-1)/Inputs!$B$6)</f>
        <v/>
      </c>
      <c r="F436">
        <f>IFERROR(INDEX(IndexScenario!$B$4:$B$544,MATCH(A436,IndexScenario!$A$4:$A$544,0)),"")</f>
        <v/>
      </c>
      <c r="G436">
        <f>G435*F436/F435</f>
        <v/>
      </c>
      <c r="H436">
        <f>H435*(1+Inputs!$B$17)^(1/12)</f>
        <v/>
      </c>
      <c r="I436">
        <f>IFERROR(INDEX(BaseQx!$B:$B,MATCH(D436,BaseQx!$A:$A,0)),"")</f>
        <v/>
      </c>
      <c r="J436">
        <f>IF(Inputs!$B$13="rp_mp",SUMIFS(MP2016_Long!$C:$C,MP2016_Long!$A:$A,D436,MP2016_Long!$B:$B,"&gt;=2014",MP2016_Long!$B:$B,"&lt;"&amp;E436),0)</f>
        <v/>
      </c>
      <c r="K436">
        <f>MIN(0.999999,MAX(0,I436*EXP(J436)))</f>
        <v/>
      </c>
      <c r="L436">
        <f>-LN(1-K436)</f>
        <v/>
      </c>
      <c r="M436">
        <f>EXP(-L436/Inputs!$B$6)</f>
        <v/>
      </c>
      <c r="N436">
        <f>N435*M436</f>
        <v/>
      </c>
      <c r="O436">
        <f>IFERROR(INDEX(MonthlyCurve!$L:$L,MATCH(A436,MonthlyCurve!$A:$A,0)),"")</f>
        <v/>
      </c>
      <c r="P436">
        <f>IF(B436&gt;0,-LN(O436)/B436,"")</f>
        <v/>
      </c>
      <c r="Q436">
        <f>G436*N436</f>
        <v/>
      </c>
      <c r="R436">
        <f>H436*N436</f>
        <v/>
      </c>
      <c r="S436">
        <f>Q436+R436</f>
        <v/>
      </c>
      <c r="T436">
        <f>Q436*O436</f>
        <v/>
      </c>
      <c r="U436">
        <f>R436*O436</f>
        <v/>
      </c>
      <c r="V436">
        <f>SUMPRODUCT(S437:S543,O437:O543)/(N436*O436)</f>
        <v/>
      </c>
    </row>
    <row r="437">
      <c r="A437" t="n">
        <v>434</v>
      </c>
      <c r="B437">
        <f>A437/Inputs!$B$6</f>
        <v/>
      </c>
      <c r="C437">
        <f>Inputs!$B$3+B437</f>
        <v/>
      </c>
      <c r="D437">
        <f>INT(C437)</f>
        <v/>
      </c>
      <c r="E437">
        <f>Inputs!$B$7+1+INT((A437-1)/Inputs!$B$6)</f>
        <v/>
      </c>
      <c r="F437">
        <f>IFERROR(INDEX(IndexScenario!$B$4:$B$544,MATCH(A437,IndexScenario!$A$4:$A$544,0)),"")</f>
        <v/>
      </c>
      <c r="G437">
        <f>G436*F437/F436</f>
        <v/>
      </c>
      <c r="H437">
        <f>H436*(1+Inputs!$B$17)^(1/12)</f>
        <v/>
      </c>
      <c r="I437">
        <f>IFERROR(INDEX(BaseQx!$B:$B,MATCH(D437,BaseQx!$A:$A,0)),"")</f>
        <v/>
      </c>
      <c r="J437">
        <f>IF(Inputs!$B$13="rp_mp",SUMIFS(MP2016_Long!$C:$C,MP2016_Long!$A:$A,D437,MP2016_Long!$B:$B,"&gt;=2014",MP2016_Long!$B:$B,"&lt;"&amp;E437),0)</f>
        <v/>
      </c>
      <c r="K437">
        <f>MIN(0.999999,MAX(0,I437*EXP(J437)))</f>
        <v/>
      </c>
      <c r="L437">
        <f>-LN(1-K437)</f>
        <v/>
      </c>
      <c r="M437">
        <f>EXP(-L437/Inputs!$B$6)</f>
        <v/>
      </c>
      <c r="N437">
        <f>N436*M437</f>
        <v/>
      </c>
      <c r="O437">
        <f>IFERROR(INDEX(MonthlyCurve!$L:$L,MATCH(A437,MonthlyCurve!$A:$A,0)),"")</f>
        <v/>
      </c>
      <c r="P437">
        <f>IF(B437&gt;0,-LN(O437)/B437,"")</f>
        <v/>
      </c>
      <c r="Q437">
        <f>G437*N437</f>
        <v/>
      </c>
      <c r="R437">
        <f>H437*N437</f>
        <v/>
      </c>
      <c r="S437">
        <f>Q437+R437</f>
        <v/>
      </c>
      <c r="T437">
        <f>Q437*O437</f>
        <v/>
      </c>
      <c r="U437">
        <f>R437*O437</f>
        <v/>
      </c>
      <c r="V437">
        <f>SUMPRODUCT(S438:S543,O438:O543)/(N437*O437)</f>
        <v/>
      </c>
    </row>
    <row r="438">
      <c r="A438" t="n">
        <v>435</v>
      </c>
      <c r="B438">
        <f>A438/Inputs!$B$6</f>
        <v/>
      </c>
      <c r="C438">
        <f>Inputs!$B$3+B438</f>
        <v/>
      </c>
      <c r="D438">
        <f>INT(C438)</f>
        <v/>
      </c>
      <c r="E438">
        <f>Inputs!$B$7+1+INT((A438-1)/Inputs!$B$6)</f>
        <v/>
      </c>
      <c r="F438">
        <f>IFERROR(INDEX(IndexScenario!$B$4:$B$544,MATCH(A438,IndexScenario!$A$4:$A$544,0)),"")</f>
        <v/>
      </c>
      <c r="G438">
        <f>G437*F438/F437</f>
        <v/>
      </c>
      <c r="H438">
        <f>H437*(1+Inputs!$B$17)^(1/12)</f>
        <v/>
      </c>
      <c r="I438">
        <f>IFERROR(INDEX(BaseQx!$B:$B,MATCH(D438,BaseQx!$A:$A,0)),"")</f>
        <v/>
      </c>
      <c r="J438">
        <f>IF(Inputs!$B$13="rp_mp",SUMIFS(MP2016_Long!$C:$C,MP2016_Long!$A:$A,D438,MP2016_Long!$B:$B,"&gt;=2014",MP2016_Long!$B:$B,"&lt;"&amp;E438),0)</f>
        <v/>
      </c>
      <c r="K438">
        <f>MIN(0.999999,MAX(0,I438*EXP(J438)))</f>
        <v/>
      </c>
      <c r="L438">
        <f>-LN(1-K438)</f>
        <v/>
      </c>
      <c r="M438">
        <f>EXP(-L438/Inputs!$B$6)</f>
        <v/>
      </c>
      <c r="N438">
        <f>N437*M438</f>
        <v/>
      </c>
      <c r="O438">
        <f>IFERROR(INDEX(MonthlyCurve!$L:$L,MATCH(A438,MonthlyCurve!$A:$A,0)),"")</f>
        <v/>
      </c>
      <c r="P438">
        <f>IF(B438&gt;0,-LN(O438)/B438,"")</f>
        <v/>
      </c>
      <c r="Q438">
        <f>G438*N438</f>
        <v/>
      </c>
      <c r="R438">
        <f>H438*N438</f>
        <v/>
      </c>
      <c r="S438">
        <f>Q438+R438</f>
        <v/>
      </c>
      <c r="T438">
        <f>Q438*O438</f>
        <v/>
      </c>
      <c r="U438">
        <f>R438*O438</f>
        <v/>
      </c>
      <c r="V438">
        <f>SUMPRODUCT(S439:S543,O439:O543)/(N438*O438)</f>
        <v/>
      </c>
    </row>
    <row r="439">
      <c r="A439" t="n">
        <v>436</v>
      </c>
      <c r="B439">
        <f>A439/Inputs!$B$6</f>
        <v/>
      </c>
      <c r="C439">
        <f>Inputs!$B$3+B439</f>
        <v/>
      </c>
      <c r="D439">
        <f>INT(C439)</f>
        <v/>
      </c>
      <c r="E439">
        <f>Inputs!$B$7+1+INT((A439-1)/Inputs!$B$6)</f>
        <v/>
      </c>
      <c r="F439">
        <f>IFERROR(INDEX(IndexScenario!$B$4:$B$544,MATCH(A439,IndexScenario!$A$4:$A$544,0)),"")</f>
        <v/>
      </c>
      <c r="G439">
        <f>G438*F439/F438</f>
        <v/>
      </c>
      <c r="H439">
        <f>H438*(1+Inputs!$B$17)^(1/12)</f>
        <v/>
      </c>
      <c r="I439">
        <f>IFERROR(INDEX(BaseQx!$B:$B,MATCH(D439,BaseQx!$A:$A,0)),"")</f>
        <v/>
      </c>
      <c r="J439">
        <f>IF(Inputs!$B$13="rp_mp",SUMIFS(MP2016_Long!$C:$C,MP2016_Long!$A:$A,D439,MP2016_Long!$B:$B,"&gt;=2014",MP2016_Long!$B:$B,"&lt;"&amp;E439),0)</f>
        <v/>
      </c>
      <c r="K439">
        <f>MIN(0.999999,MAX(0,I439*EXP(J439)))</f>
        <v/>
      </c>
      <c r="L439">
        <f>-LN(1-K439)</f>
        <v/>
      </c>
      <c r="M439">
        <f>EXP(-L439/Inputs!$B$6)</f>
        <v/>
      </c>
      <c r="N439">
        <f>N438*M439</f>
        <v/>
      </c>
      <c r="O439">
        <f>IFERROR(INDEX(MonthlyCurve!$L:$L,MATCH(A439,MonthlyCurve!$A:$A,0)),"")</f>
        <v/>
      </c>
      <c r="P439">
        <f>IF(B439&gt;0,-LN(O439)/B439,"")</f>
        <v/>
      </c>
      <c r="Q439">
        <f>G439*N439</f>
        <v/>
      </c>
      <c r="R439">
        <f>H439*N439</f>
        <v/>
      </c>
      <c r="S439">
        <f>Q439+R439</f>
        <v/>
      </c>
      <c r="T439">
        <f>Q439*O439</f>
        <v/>
      </c>
      <c r="U439">
        <f>R439*O439</f>
        <v/>
      </c>
      <c r="V439">
        <f>SUMPRODUCT(S440:S543,O440:O543)/(N439*O439)</f>
        <v/>
      </c>
    </row>
    <row r="440">
      <c r="A440" t="n">
        <v>437</v>
      </c>
      <c r="B440">
        <f>A440/Inputs!$B$6</f>
        <v/>
      </c>
      <c r="C440">
        <f>Inputs!$B$3+B440</f>
        <v/>
      </c>
      <c r="D440">
        <f>INT(C440)</f>
        <v/>
      </c>
      <c r="E440">
        <f>Inputs!$B$7+1+INT((A440-1)/Inputs!$B$6)</f>
        <v/>
      </c>
      <c r="F440">
        <f>IFERROR(INDEX(IndexScenario!$B$4:$B$544,MATCH(A440,IndexScenario!$A$4:$A$544,0)),"")</f>
        <v/>
      </c>
      <c r="G440">
        <f>G439*F440/F439</f>
        <v/>
      </c>
      <c r="H440">
        <f>H439*(1+Inputs!$B$17)^(1/12)</f>
        <v/>
      </c>
      <c r="I440">
        <f>IFERROR(INDEX(BaseQx!$B:$B,MATCH(D440,BaseQx!$A:$A,0)),"")</f>
        <v/>
      </c>
      <c r="J440">
        <f>IF(Inputs!$B$13="rp_mp",SUMIFS(MP2016_Long!$C:$C,MP2016_Long!$A:$A,D440,MP2016_Long!$B:$B,"&gt;=2014",MP2016_Long!$B:$B,"&lt;"&amp;E440),0)</f>
        <v/>
      </c>
      <c r="K440">
        <f>MIN(0.999999,MAX(0,I440*EXP(J440)))</f>
        <v/>
      </c>
      <c r="L440">
        <f>-LN(1-K440)</f>
        <v/>
      </c>
      <c r="M440">
        <f>EXP(-L440/Inputs!$B$6)</f>
        <v/>
      </c>
      <c r="N440">
        <f>N439*M440</f>
        <v/>
      </c>
      <c r="O440">
        <f>IFERROR(INDEX(MonthlyCurve!$L:$L,MATCH(A440,MonthlyCurve!$A:$A,0)),"")</f>
        <v/>
      </c>
      <c r="P440">
        <f>IF(B440&gt;0,-LN(O440)/B440,"")</f>
        <v/>
      </c>
      <c r="Q440">
        <f>G440*N440</f>
        <v/>
      </c>
      <c r="R440">
        <f>H440*N440</f>
        <v/>
      </c>
      <c r="S440">
        <f>Q440+R440</f>
        <v/>
      </c>
      <c r="T440">
        <f>Q440*O440</f>
        <v/>
      </c>
      <c r="U440">
        <f>R440*O440</f>
        <v/>
      </c>
      <c r="V440">
        <f>SUMPRODUCT(S441:S543,O441:O543)/(N440*O440)</f>
        <v/>
      </c>
    </row>
    <row r="441">
      <c r="A441" t="n">
        <v>438</v>
      </c>
      <c r="B441">
        <f>A441/Inputs!$B$6</f>
        <v/>
      </c>
      <c r="C441">
        <f>Inputs!$B$3+B441</f>
        <v/>
      </c>
      <c r="D441">
        <f>INT(C441)</f>
        <v/>
      </c>
      <c r="E441">
        <f>Inputs!$B$7+1+INT((A441-1)/Inputs!$B$6)</f>
        <v/>
      </c>
      <c r="F441">
        <f>IFERROR(INDEX(IndexScenario!$B$4:$B$544,MATCH(A441,IndexScenario!$A$4:$A$544,0)),"")</f>
        <v/>
      </c>
      <c r="G441">
        <f>G440*F441/F440</f>
        <v/>
      </c>
      <c r="H441">
        <f>H440*(1+Inputs!$B$17)^(1/12)</f>
        <v/>
      </c>
      <c r="I441">
        <f>IFERROR(INDEX(BaseQx!$B:$B,MATCH(D441,BaseQx!$A:$A,0)),"")</f>
        <v/>
      </c>
      <c r="J441">
        <f>IF(Inputs!$B$13="rp_mp",SUMIFS(MP2016_Long!$C:$C,MP2016_Long!$A:$A,D441,MP2016_Long!$B:$B,"&gt;=2014",MP2016_Long!$B:$B,"&lt;"&amp;E441),0)</f>
        <v/>
      </c>
      <c r="K441">
        <f>MIN(0.999999,MAX(0,I441*EXP(J441)))</f>
        <v/>
      </c>
      <c r="L441">
        <f>-LN(1-K441)</f>
        <v/>
      </c>
      <c r="M441">
        <f>EXP(-L441/Inputs!$B$6)</f>
        <v/>
      </c>
      <c r="N441">
        <f>N440*M441</f>
        <v/>
      </c>
      <c r="O441">
        <f>IFERROR(INDEX(MonthlyCurve!$L:$L,MATCH(A441,MonthlyCurve!$A:$A,0)),"")</f>
        <v/>
      </c>
      <c r="P441">
        <f>IF(B441&gt;0,-LN(O441)/B441,"")</f>
        <v/>
      </c>
      <c r="Q441">
        <f>G441*N441</f>
        <v/>
      </c>
      <c r="R441">
        <f>H441*N441</f>
        <v/>
      </c>
      <c r="S441">
        <f>Q441+R441</f>
        <v/>
      </c>
      <c r="T441">
        <f>Q441*O441</f>
        <v/>
      </c>
      <c r="U441">
        <f>R441*O441</f>
        <v/>
      </c>
      <c r="V441">
        <f>SUMPRODUCT(S442:S543,O442:O543)/(N441*O441)</f>
        <v/>
      </c>
    </row>
    <row r="442">
      <c r="A442" t="n">
        <v>439</v>
      </c>
      <c r="B442">
        <f>A442/Inputs!$B$6</f>
        <v/>
      </c>
      <c r="C442">
        <f>Inputs!$B$3+B442</f>
        <v/>
      </c>
      <c r="D442">
        <f>INT(C442)</f>
        <v/>
      </c>
      <c r="E442">
        <f>Inputs!$B$7+1+INT((A442-1)/Inputs!$B$6)</f>
        <v/>
      </c>
      <c r="F442">
        <f>IFERROR(INDEX(IndexScenario!$B$4:$B$544,MATCH(A442,IndexScenario!$A$4:$A$544,0)),"")</f>
        <v/>
      </c>
      <c r="G442">
        <f>G441*F442/F441</f>
        <v/>
      </c>
      <c r="H442">
        <f>H441*(1+Inputs!$B$17)^(1/12)</f>
        <v/>
      </c>
      <c r="I442">
        <f>IFERROR(INDEX(BaseQx!$B:$B,MATCH(D442,BaseQx!$A:$A,0)),"")</f>
        <v/>
      </c>
      <c r="J442">
        <f>IF(Inputs!$B$13="rp_mp",SUMIFS(MP2016_Long!$C:$C,MP2016_Long!$A:$A,D442,MP2016_Long!$B:$B,"&gt;=2014",MP2016_Long!$B:$B,"&lt;"&amp;E442),0)</f>
        <v/>
      </c>
      <c r="K442">
        <f>MIN(0.999999,MAX(0,I442*EXP(J442)))</f>
        <v/>
      </c>
      <c r="L442">
        <f>-LN(1-K442)</f>
        <v/>
      </c>
      <c r="M442">
        <f>EXP(-L442/Inputs!$B$6)</f>
        <v/>
      </c>
      <c r="N442">
        <f>N441*M442</f>
        <v/>
      </c>
      <c r="O442">
        <f>IFERROR(INDEX(MonthlyCurve!$L:$L,MATCH(A442,MonthlyCurve!$A:$A,0)),"")</f>
        <v/>
      </c>
      <c r="P442">
        <f>IF(B442&gt;0,-LN(O442)/B442,"")</f>
        <v/>
      </c>
      <c r="Q442">
        <f>G442*N442</f>
        <v/>
      </c>
      <c r="R442">
        <f>H442*N442</f>
        <v/>
      </c>
      <c r="S442">
        <f>Q442+R442</f>
        <v/>
      </c>
      <c r="T442">
        <f>Q442*O442</f>
        <v/>
      </c>
      <c r="U442">
        <f>R442*O442</f>
        <v/>
      </c>
      <c r="V442">
        <f>SUMPRODUCT(S443:S543,O443:O543)/(N442*O442)</f>
        <v/>
      </c>
    </row>
    <row r="443">
      <c r="A443" t="n">
        <v>440</v>
      </c>
      <c r="B443">
        <f>A443/Inputs!$B$6</f>
        <v/>
      </c>
      <c r="C443">
        <f>Inputs!$B$3+B443</f>
        <v/>
      </c>
      <c r="D443">
        <f>INT(C443)</f>
        <v/>
      </c>
      <c r="E443">
        <f>Inputs!$B$7+1+INT((A443-1)/Inputs!$B$6)</f>
        <v/>
      </c>
      <c r="F443">
        <f>IFERROR(INDEX(IndexScenario!$B$4:$B$544,MATCH(A443,IndexScenario!$A$4:$A$544,0)),"")</f>
        <v/>
      </c>
      <c r="G443">
        <f>G442*F443/F442</f>
        <v/>
      </c>
      <c r="H443">
        <f>H442*(1+Inputs!$B$17)^(1/12)</f>
        <v/>
      </c>
      <c r="I443">
        <f>IFERROR(INDEX(BaseQx!$B:$B,MATCH(D443,BaseQx!$A:$A,0)),"")</f>
        <v/>
      </c>
      <c r="J443">
        <f>IF(Inputs!$B$13="rp_mp",SUMIFS(MP2016_Long!$C:$C,MP2016_Long!$A:$A,D443,MP2016_Long!$B:$B,"&gt;=2014",MP2016_Long!$B:$B,"&lt;"&amp;E443),0)</f>
        <v/>
      </c>
      <c r="K443">
        <f>MIN(0.999999,MAX(0,I443*EXP(J443)))</f>
        <v/>
      </c>
      <c r="L443">
        <f>-LN(1-K443)</f>
        <v/>
      </c>
      <c r="M443">
        <f>EXP(-L443/Inputs!$B$6)</f>
        <v/>
      </c>
      <c r="N443">
        <f>N442*M443</f>
        <v/>
      </c>
      <c r="O443">
        <f>IFERROR(INDEX(MonthlyCurve!$L:$L,MATCH(A443,MonthlyCurve!$A:$A,0)),"")</f>
        <v/>
      </c>
      <c r="P443">
        <f>IF(B443&gt;0,-LN(O443)/B443,"")</f>
        <v/>
      </c>
      <c r="Q443">
        <f>G443*N443</f>
        <v/>
      </c>
      <c r="R443">
        <f>H443*N443</f>
        <v/>
      </c>
      <c r="S443">
        <f>Q443+R443</f>
        <v/>
      </c>
      <c r="T443">
        <f>Q443*O443</f>
        <v/>
      </c>
      <c r="U443">
        <f>R443*O443</f>
        <v/>
      </c>
      <c r="V443">
        <f>SUMPRODUCT(S444:S543,O444:O543)/(N443*O443)</f>
        <v/>
      </c>
    </row>
    <row r="444">
      <c r="A444" t="n">
        <v>441</v>
      </c>
      <c r="B444">
        <f>A444/Inputs!$B$6</f>
        <v/>
      </c>
      <c r="C444">
        <f>Inputs!$B$3+B444</f>
        <v/>
      </c>
      <c r="D444">
        <f>INT(C444)</f>
        <v/>
      </c>
      <c r="E444">
        <f>Inputs!$B$7+1+INT((A444-1)/Inputs!$B$6)</f>
        <v/>
      </c>
      <c r="F444">
        <f>IFERROR(INDEX(IndexScenario!$B$4:$B$544,MATCH(A444,IndexScenario!$A$4:$A$544,0)),"")</f>
        <v/>
      </c>
      <c r="G444">
        <f>G443*F444/F443</f>
        <v/>
      </c>
      <c r="H444">
        <f>H443*(1+Inputs!$B$17)^(1/12)</f>
        <v/>
      </c>
      <c r="I444">
        <f>IFERROR(INDEX(BaseQx!$B:$B,MATCH(D444,BaseQx!$A:$A,0)),"")</f>
        <v/>
      </c>
      <c r="J444">
        <f>IF(Inputs!$B$13="rp_mp",SUMIFS(MP2016_Long!$C:$C,MP2016_Long!$A:$A,D444,MP2016_Long!$B:$B,"&gt;=2014",MP2016_Long!$B:$B,"&lt;"&amp;E444),0)</f>
        <v/>
      </c>
      <c r="K444">
        <f>MIN(0.999999,MAX(0,I444*EXP(J444)))</f>
        <v/>
      </c>
      <c r="L444">
        <f>-LN(1-K444)</f>
        <v/>
      </c>
      <c r="M444">
        <f>EXP(-L444/Inputs!$B$6)</f>
        <v/>
      </c>
      <c r="N444">
        <f>N443*M444</f>
        <v/>
      </c>
      <c r="O444">
        <f>IFERROR(INDEX(MonthlyCurve!$L:$L,MATCH(A444,MonthlyCurve!$A:$A,0)),"")</f>
        <v/>
      </c>
      <c r="P444">
        <f>IF(B444&gt;0,-LN(O444)/B444,"")</f>
        <v/>
      </c>
      <c r="Q444">
        <f>G444*N444</f>
        <v/>
      </c>
      <c r="R444">
        <f>H444*N444</f>
        <v/>
      </c>
      <c r="S444">
        <f>Q444+R444</f>
        <v/>
      </c>
      <c r="T444">
        <f>Q444*O444</f>
        <v/>
      </c>
      <c r="U444">
        <f>R444*O444</f>
        <v/>
      </c>
      <c r="V444">
        <f>SUMPRODUCT(S445:S543,O445:O543)/(N444*O444)</f>
        <v/>
      </c>
    </row>
    <row r="445">
      <c r="A445" t="n">
        <v>442</v>
      </c>
      <c r="B445">
        <f>A445/Inputs!$B$6</f>
        <v/>
      </c>
      <c r="C445">
        <f>Inputs!$B$3+B445</f>
        <v/>
      </c>
      <c r="D445">
        <f>INT(C445)</f>
        <v/>
      </c>
      <c r="E445">
        <f>Inputs!$B$7+1+INT((A445-1)/Inputs!$B$6)</f>
        <v/>
      </c>
      <c r="F445">
        <f>IFERROR(INDEX(IndexScenario!$B$4:$B$544,MATCH(A445,IndexScenario!$A$4:$A$544,0)),"")</f>
        <v/>
      </c>
      <c r="G445">
        <f>G444*F445/F444</f>
        <v/>
      </c>
      <c r="H445">
        <f>H444*(1+Inputs!$B$17)^(1/12)</f>
        <v/>
      </c>
      <c r="I445">
        <f>IFERROR(INDEX(BaseQx!$B:$B,MATCH(D445,BaseQx!$A:$A,0)),"")</f>
        <v/>
      </c>
      <c r="J445">
        <f>IF(Inputs!$B$13="rp_mp",SUMIFS(MP2016_Long!$C:$C,MP2016_Long!$A:$A,D445,MP2016_Long!$B:$B,"&gt;=2014",MP2016_Long!$B:$B,"&lt;"&amp;E445),0)</f>
        <v/>
      </c>
      <c r="K445">
        <f>MIN(0.999999,MAX(0,I445*EXP(J445)))</f>
        <v/>
      </c>
      <c r="L445">
        <f>-LN(1-K445)</f>
        <v/>
      </c>
      <c r="M445">
        <f>EXP(-L445/Inputs!$B$6)</f>
        <v/>
      </c>
      <c r="N445">
        <f>N444*M445</f>
        <v/>
      </c>
      <c r="O445">
        <f>IFERROR(INDEX(MonthlyCurve!$L:$L,MATCH(A445,MonthlyCurve!$A:$A,0)),"")</f>
        <v/>
      </c>
      <c r="P445">
        <f>IF(B445&gt;0,-LN(O445)/B445,"")</f>
        <v/>
      </c>
      <c r="Q445">
        <f>G445*N445</f>
        <v/>
      </c>
      <c r="R445">
        <f>H445*N445</f>
        <v/>
      </c>
      <c r="S445">
        <f>Q445+R445</f>
        <v/>
      </c>
      <c r="T445">
        <f>Q445*O445</f>
        <v/>
      </c>
      <c r="U445">
        <f>R445*O445</f>
        <v/>
      </c>
      <c r="V445">
        <f>SUMPRODUCT(S446:S543,O446:O543)/(N445*O445)</f>
        <v/>
      </c>
    </row>
    <row r="446">
      <c r="A446" t="n">
        <v>443</v>
      </c>
      <c r="B446">
        <f>A446/Inputs!$B$6</f>
        <v/>
      </c>
      <c r="C446">
        <f>Inputs!$B$3+B446</f>
        <v/>
      </c>
      <c r="D446">
        <f>INT(C446)</f>
        <v/>
      </c>
      <c r="E446">
        <f>Inputs!$B$7+1+INT((A446-1)/Inputs!$B$6)</f>
        <v/>
      </c>
      <c r="F446">
        <f>IFERROR(INDEX(IndexScenario!$B$4:$B$544,MATCH(A446,IndexScenario!$A$4:$A$544,0)),"")</f>
        <v/>
      </c>
      <c r="G446">
        <f>G445*F446/F445</f>
        <v/>
      </c>
      <c r="H446">
        <f>H445*(1+Inputs!$B$17)^(1/12)</f>
        <v/>
      </c>
      <c r="I446">
        <f>IFERROR(INDEX(BaseQx!$B:$B,MATCH(D446,BaseQx!$A:$A,0)),"")</f>
        <v/>
      </c>
      <c r="J446">
        <f>IF(Inputs!$B$13="rp_mp",SUMIFS(MP2016_Long!$C:$C,MP2016_Long!$A:$A,D446,MP2016_Long!$B:$B,"&gt;=2014",MP2016_Long!$B:$B,"&lt;"&amp;E446),0)</f>
        <v/>
      </c>
      <c r="K446">
        <f>MIN(0.999999,MAX(0,I446*EXP(J446)))</f>
        <v/>
      </c>
      <c r="L446">
        <f>-LN(1-K446)</f>
        <v/>
      </c>
      <c r="M446">
        <f>EXP(-L446/Inputs!$B$6)</f>
        <v/>
      </c>
      <c r="N446">
        <f>N445*M446</f>
        <v/>
      </c>
      <c r="O446">
        <f>IFERROR(INDEX(MonthlyCurve!$L:$L,MATCH(A446,MonthlyCurve!$A:$A,0)),"")</f>
        <v/>
      </c>
      <c r="P446">
        <f>IF(B446&gt;0,-LN(O446)/B446,"")</f>
        <v/>
      </c>
      <c r="Q446">
        <f>G446*N446</f>
        <v/>
      </c>
      <c r="R446">
        <f>H446*N446</f>
        <v/>
      </c>
      <c r="S446">
        <f>Q446+R446</f>
        <v/>
      </c>
      <c r="T446">
        <f>Q446*O446</f>
        <v/>
      </c>
      <c r="U446">
        <f>R446*O446</f>
        <v/>
      </c>
      <c r="V446">
        <f>SUMPRODUCT(S447:S543,O447:O543)/(N446*O446)</f>
        <v/>
      </c>
    </row>
    <row r="447">
      <c r="A447" t="n">
        <v>444</v>
      </c>
      <c r="B447">
        <f>A447/Inputs!$B$6</f>
        <v/>
      </c>
      <c r="C447">
        <f>Inputs!$B$3+B447</f>
        <v/>
      </c>
      <c r="D447">
        <f>INT(C447)</f>
        <v/>
      </c>
      <c r="E447">
        <f>Inputs!$B$7+1+INT((A447-1)/Inputs!$B$6)</f>
        <v/>
      </c>
      <c r="F447">
        <f>IFERROR(INDEX(IndexScenario!$B$4:$B$544,MATCH(A447,IndexScenario!$A$4:$A$544,0)),"")</f>
        <v/>
      </c>
      <c r="G447">
        <f>G446*F447/F446</f>
        <v/>
      </c>
      <c r="H447">
        <f>H446*(1+Inputs!$B$17)^(1/12)</f>
        <v/>
      </c>
      <c r="I447">
        <f>IFERROR(INDEX(BaseQx!$B:$B,MATCH(D447,BaseQx!$A:$A,0)),"")</f>
        <v/>
      </c>
      <c r="J447">
        <f>IF(Inputs!$B$13="rp_mp",SUMIFS(MP2016_Long!$C:$C,MP2016_Long!$A:$A,D447,MP2016_Long!$B:$B,"&gt;=2014",MP2016_Long!$B:$B,"&lt;"&amp;E447),0)</f>
        <v/>
      </c>
      <c r="K447">
        <f>MIN(0.999999,MAX(0,I447*EXP(J447)))</f>
        <v/>
      </c>
      <c r="L447">
        <f>-LN(1-K447)</f>
        <v/>
      </c>
      <c r="M447">
        <f>EXP(-L447/Inputs!$B$6)</f>
        <v/>
      </c>
      <c r="N447">
        <f>N446*M447</f>
        <v/>
      </c>
      <c r="O447">
        <f>IFERROR(INDEX(MonthlyCurve!$L:$L,MATCH(A447,MonthlyCurve!$A:$A,0)),"")</f>
        <v/>
      </c>
      <c r="P447">
        <f>IF(B447&gt;0,-LN(O447)/B447,"")</f>
        <v/>
      </c>
      <c r="Q447">
        <f>G447*N447</f>
        <v/>
      </c>
      <c r="R447">
        <f>H447*N447</f>
        <v/>
      </c>
      <c r="S447">
        <f>Q447+R447</f>
        <v/>
      </c>
      <c r="T447">
        <f>Q447*O447</f>
        <v/>
      </c>
      <c r="U447">
        <f>R447*O447</f>
        <v/>
      </c>
      <c r="V447">
        <f>SUMPRODUCT(S448:S543,O448:O543)/(N447*O447)</f>
        <v/>
      </c>
    </row>
    <row r="448">
      <c r="A448" t="n">
        <v>445</v>
      </c>
      <c r="B448">
        <f>A448/Inputs!$B$6</f>
        <v/>
      </c>
      <c r="C448">
        <f>Inputs!$B$3+B448</f>
        <v/>
      </c>
      <c r="D448">
        <f>INT(C448)</f>
        <v/>
      </c>
      <c r="E448">
        <f>Inputs!$B$7+1+INT((A448-1)/Inputs!$B$6)</f>
        <v/>
      </c>
      <c r="F448">
        <f>IFERROR(INDEX(IndexScenario!$B$4:$B$544,MATCH(A448,IndexScenario!$A$4:$A$544,0)),"")</f>
        <v/>
      </c>
      <c r="G448">
        <f>G447*F448/F447</f>
        <v/>
      </c>
      <c r="H448">
        <f>H447*(1+Inputs!$B$17)^(1/12)</f>
        <v/>
      </c>
      <c r="I448">
        <f>IFERROR(INDEX(BaseQx!$B:$B,MATCH(D448,BaseQx!$A:$A,0)),"")</f>
        <v/>
      </c>
      <c r="J448">
        <f>IF(Inputs!$B$13="rp_mp",SUMIFS(MP2016_Long!$C:$C,MP2016_Long!$A:$A,D448,MP2016_Long!$B:$B,"&gt;=2014",MP2016_Long!$B:$B,"&lt;"&amp;E448),0)</f>
        <v/>
      </c>
      <c r="K448">
        <f>MIN(0.999999,MAX(0,I448*EXP(J448)))</f>
        <v/>
      </c>
      <c r="L448">
        <f>-LN(1-K448)</f>
        <v/>
      </c>
      <c r="M448">
        <f>EXP(-L448/Inputs!$B$6)</f>
        <v/>
      </c>
      <c r="N448">
        <f>N447*M448</f>
        <v/>
      </c>
      <c r="O448">
        <f>IFERROR(INDEX(MonthlyCurve!$L:$L,MATCH(A448,MonthlyCurve!$A:$A,0)),"")</f>
        <v/>
      </c>
      <c r="P448">
        <f>IF(B448&gt;0,-LN(O448)/B448,"")</f>
        <v/>
      </c>
      <c r="Q448">
        <f>G448*N448</f>
        <v/>
      </c>
      <c r="R448">
        <f>H448*N448</f>
        <v/>
      </c>
      <c r="S448">
        <f>Q448+R448</f>
        <v/>
      </c>
      <c r="T448">
        <f>Q448*O448</f>
        <v/>
      </c>
      <c r="U448">
        <f>R448*O448</f>
        <v/>
      </c>
      <c r="V448">
        <f>SUMPRODUCT(S449:S543,O449:O543)/(N448*O448)</f>
        <v/>
      </c>
    </row>
    <row r="449">
      <c r="A449" t="n">
        <v>446</v>
      </c>
      <c r="B449">
        <f>A449/Inputs!$B$6</f>
        <v/>
      </c>
      <c r="C449">
        <f>Inputs!$B$3+B449</f>
        <v/>
      </c>
      <c r="D449">
        <f>INT(C449)</f>
        <v/>
      </c>
      <c r="E449">
        <f>Inputs!$B$7+1+INT((A449-1)/Inputs!$B$6)</f>
        <v/>
      </c>
      <c r="F449">
        <f>IFERROR(INDEX(IndexScenario!$B$4:$B$544,MATCH(A449,IndexScenario!$A$4:$A$544,0)),"")</f>
        <v/>
      </c>
      <c r="G449">
        <f>G448*F449/F448</f>
        <v/>
      </c>
      <c r="H449">
        <f>H448*(1+Inputs!$B$17)^(1/12)</f>
        <v/>
      </c>
      <c r="I449">
        <f>IFERROR(INDEX(BaseQx!$B:$B,MATCH(D449,BaseQx!$A:$A,0)),"")</f>
        <v/>
      </c>
      <c r="J449">
        <f>IF(Inputs!$B$13="rp_mp",SUMIFS(MP2016_Long!$C:$C,MP2016_Long!$A:$A,D449,MP2016_Long!$B:$B,"&gt;=2014",MP2016_Long!$B:$B,"&lt;"&amp;E449),0)</f>
        <v/>
      </c>
      <c r="K449">
        <f>MIN(0.999999,MAX(0,I449*EXP(J449)))</f>
        <v/>
      </c>
      <c r="L449">
        <f>-LN(1-K449)</f>
        <v/>
      </c>
      <c r="M449">
        <f>EXP(-L449/Inputs!$B$6)</f>
        <v/>
      </c>
      <c r="N449">
        <f>N448*M449</f>
        <v/>
      </c>
      <c r="O449">
        <f>IFERROR(INDEX(MonthlyCurve!$L:$L,MATCH(A449,MonthlyCurve!$A:$A,0)),"")</f>
        <v/>
      </c>
      <c r="P449">
        <f>IF(B449&gt;0,-LN(O449)/B449,"")</f>
        <v/>
      </c>
      <c r="Q449">
        <f>G449*N449</f>
        <v/>
      </c>
      <c r="R449">
        <f>H449*N449</f>
        <v/>
      </c>
      <c r="S449">
        <f>Q449+R449</f>
        <v/>
      </c>
      <c r="T449">
        <f>Q449*O449</f>
        <v/>
      </c>
      <c r="U449">
        <f>R449*O449</f>
        <v/>
      </c>
      <c r="V449">
        <f>SUMPRODUCT(S450:S543,O450:O543)/(N449*O449)</f>
        <v/>
      </c>
    </row>
    <row r="450">
      <c r="A450" t="n">
        <v>447</v>
      </c>
      <c r="B450">
        <f>A450/Inputs!$B$6</f>
        <v/>
      </c>
      <c r="C450">
        <f>Inputs!$B$3+B450</f>
        <v/>
      </c>
      <c r="D450">
        <f>INT(C450)</f>
        <v/>
      </c>
      <c r="E450">
        <f>Inputs!$B$7+1+INT((A450-1)/Inputs!$B$6)</f>
        <v/>
      </c>
      <c r="F450">
        <f>IFERROR(INDEX(IndexScenario!$B$4:$B$544,MATCH(A450,IndexScenario!$A$4:$A$544,0)),"")</f>
        <v/>
      </c>
      <c r="G450">
        <f>G449*F450/F449</f>
        <v/>
      </c>
      <c r="H450">
        <f>H449*(1+Inputs!$B$17)^(1/12)</f>
        <v/>
      </c>
      <c r="I450">
        <f>IFERROR(INDEX(BaseQx!$B:$B,MATCH(D450,BaseQx!$A:$A,0)),"")</f>
        <v/>
      </c>
      <c r="J450">
        <f>IF(Inputs!$B$13="rp_mp",SUMIFS(MP2016_Long!$C:$C,MP2016_Long!$A:$A,D450,MP2016_Long!$B:$B,"&gt;=2014",MP2016_Long!$B:$B,"&lt;"&amp;E450),0)</f>
        <v/>
      </c>
      <c r="K450">
        <f>MIN(0.999999,MAX(0,I450*EXP(J450)))</f>
        <v/>
      </c>
      <c r="L450">
        <f>-LN(1-K450)</f>
        <v/>
      </c>
      <c r="M450">
        <f>EXP(-L450/Inputs!$B$6)</f>
        <v/>
      </c>
      <c r="N450">
        <f>N449*M450</f>
        <v/>
      </c>
      <c r="O450">
        <f>IFERROR(INDEX(MonthlyCurve!$L:$L,MATCH(A450,MonthlyCurve!$A:$A,0)),"")</f>
        <v/>
      </c>
      <c r="P450">
        <f>IF(B450&gt;0,-LN(O450)/B450,"")</f>
        <v/>
      </c>
      <c r="Q450">
        <f>G450*N450</f>
        <v/>
      </c>
      <c r="R450">
        <f>H450*N450</f>
        <v/>
      </c>
      <c r="S450">
        <f>Q450+R450</f>
        <v/>
      </c>
      <c r="T450">
        <f>Q450*O450</f>
        <v/>
      </c>
      <c r="U450">
        <f>R450*O450</f>
        <v/>
      </c>
      <c r="V450">
        <f>SUMPRODUCT(S451:S543,O451:O543)/(N450*O450)</f>
        <v/>
      </c>
    </row>
    <row r="451">
      <c r="A451" t="n">
        <v>448</v>
      </c>
      <c r="B451">
        <f>A451/Inputs!$B$6</f>
        <v/>
      </c>
      <c r="C451">
        <f>Inputs!$B$3+B451</f>
        <v/>
      </c>
      <c r="D451">
        <f>INT(C451)</f>
        <v/>
      </c>
      <c r="E451">
        <f>Inputs!$B$7+1+INT((A451-1)/Inputs!$B$6)</f>
        <v/>
      </c>
      <c r="F451">
        <f>IFERROR(INDEX(IndexScenario!$B$4:$B$544,MATCH(A451,IndexScenario!$A$4:$A$544,0)),"")</f>
        <v/>
      </c>
      <c r="G451">
        <f>G450*F451/F450</f>
        <v/>
      </c>
      <c r="H451">
        <f>H450*(1+Inputs!$B$17)^(1/12)</f>
        <v/>
      </c>
      <c r="I451">
        <f>IFERROR(INDEX(BaseQx!$B:$B,MATCH(D451,BaseQx!$A:$A,0)),"")</f>
        <v/>
      </c>
      <c r="J451">
        <f>IF(Inputs!$B$13="rp_mp",SUMIFS(MP2016_Long!$C:$C,MP2016_Long!$A:$A,D451,MP2016_Long!$B:$B,"&gt;=2014",MP2016_Long!$B:$B,"&lt;"&amp;E451),0)</f>
        <v/>
      </c>
      <c r="K451">
        <f>MIN(0.999999,MAX(0,I451*EXP(J451)))</f>
        <v/>
      </c>
      <c r="L451">
        <f>-LN(1-K451)</f>
        <v/>
      </c>
      <c r="M451">
        <f>EXP(-L451/Inputs!$B$6)</f>
        <v/>
      </c>
      <c r="N451">
        <f>N450*M451</f>
        <v/>
      </c>
      <c r="O451">
        <f>IFERROR(INDEX(MonthlyCurve!$L:$L,MATCH(A451,MonthlyCurve!$A:$A,0)),"")</f>
        <v/>
      </c>
      <c r="P451">
        <f>IF(B451&gt;0,-LN(O451)/B451,"")</f>
        <v/>
      </c>
      <c r="Q451">
        <f>G451*N451</f>
        <v/>
      </c>
      <c r="R451">
        <f>H451*N451</f>
        <v/>
      </c>
      <c r="S451">
        <f>Q451+R451</f>
        <v/>
      </c>
      <c r="T451">
        <f>Q451*O451</f>
        <v/>
      </c>
      <c r="U451">
        <f>R451*O451</f>
        <v/>
      </c>
      <c r="V451">
        <f>SUMPRODUCT(S452:S543,O452:O543)/(N451*O451)</f>
        <v/>
      </c>
    </row>
    <row r="452">
      <c r="A452" t="n">
        <v>449</v>
      </c>
      <c r="B452">
        <f>A452/Inputs!$B$6</f>
        <v/>
      </c>
      <c r="C452">
        <f>Inputs!$B$3+B452</f>
        <v/>
      </c>
      <c r="D452">
        <f>INT(C452)</f>
        <v/>
      </c>
      <c r="E452">
        <f>Inputs!$B$7+1+INT((A452-1)/Inputs!$B$6)</f>
        <v/>
      </c>
      <c r="F452">
        <f>IFERROR(INDEX(IndexScenario!$B$4:$B$544,MATCH(A452,IndexScenario!$A$4:$A$544,0)),"")</f>
        <v/>
      </c>
      <c r="G452">
        <f>G451*F452/F451</f>
        <v/>
      </c>
      <c r="H452">
        <f>H451*(1+Inputs!$B$17)^(1/12)</f>
        <v/>
      </c>
      <c r="I452">
        <f>IFERROR(INDEX(BaseQx!$B:$B,MATCH(D452,BaseQx!$A:$A,0)),"")</f>
        <v/>
      </c>
      <c r="J452">
        <f>IF(Inputs!$B$13="rp_mp",SUMIFS(MP2016_Long!$C:$C,MP2016_Long!$A:$A,D452,MP2016_Long!$B:$B,"&gt;=2014",MP2016_Long!$B:$B,"&lt;"&amp;E452),0)</f>
        <v/>
      </c>
      <c r="K452">
        <f>MIN(0.999999,MAX(0,I452*EXP(J452)))</f>
        <v/>
      </c>
      <c r="L452">
        <f>-LN(1-K452)</f>
        <v/>
      </c>
      <c r="M452">
        <f>EXP(-L452/Inputs!$B$6)</f>
        <v/>
      </c>
      <c r="N452">
        <f>N451*M452</f>
        <v/>
      </c>
      <c r="O452">
        <f>IFERROR(INDEX(MonthlyCurve!$L:$L,MATCH(A452,MonthlyCurve!$A:$A,0)),"")</f>
        <v/>
      </c>
      <c r="P452">
        <f>IF(B452&gt;0,-LN(O452)/B452,"")</f>
        <v/>
      </c>
      <c r="Q452">
        <f>G452*N452</f>
        <v/>
      </c>
      <c r="R452">
        <f>H452*N452</f>
        <v/>
      </c>
      <c r="S452">
        <f>Q452+R452</f>
        <v/>
      </c>
      <c r="T452">
        <f>Q452*O452</f>
        <v/>
      </c>
      <c r="U452">
        <f>R452*O452</f>
        <v/>
      </c>
      <c r="V452">
        <f>SUMPRODUCT(S453:S543,O453:O543)/(N452*O452)</f>
        <v/>
      </c>
    </row>
    <row r="453">
      <c r="A453" t="n">
        <v>450</v>
      </c>
      <c r="B453">
        <f>A453/Inputs!$B$6</f>
        <v/>
      </c>
      <c r="C453">
        <f>Inputs!$B$3+B453</f>
        <v/>
      </c>
      <c r="D453">
        <f>INT(C453)</f>
        <v/>
      </c>
      <c r="E453">
        <f>Inputs!$B$7+1+INT((A453-1)/Inputs!$B$6)</f>
        <v/>
      </c>
      <c r="F453">
        <f>IFERROR(INDEX(IndexScenario!$B$4:$B$544,MATCH(A453,IndexScenario!$A$4:$A$544,0)),"")</f>
        <v/>
      </c>
      <c r="G453">
        <f>G452*F453/F452</f>
        <v/>
      </c>
      <c r="H453">
        <f>H452*(1+Inputs!$B$17)^(1/12)</f>
        <v/>
      </c>
      <c r="I453">
        <f>IFERROR(INDEX(BaseQx!$B:$B,MATCH(D453,BaseQx!$A:$A,0)),"")</f>
        <v/>
      </c>
      <c r="J453">
        <f>IF(Inputs!$B$13="rp_mp",SUMIFS(MP2016_Long!$C:$C,MP2016_Long!$A:$A,D453,MP2016_Long!$B:$B,"&gt;=2014",MP2016_Long!$B:$B,"&lt;"&amp;E453),0)</f>
        <v/>
      </c>
      <c r="K453">
        <f>MIN(0.999999,MAX(0,I453*EXP(J453)))</f>
        <v/>
      </c>
      <c r="L453">
        <f>-LN(1-K453)</f>
        <v/>
      </c>
      <c r="M453">
        <f>EXP(-L453/Inputs!$B$6)</f>
        <v/>
      </c>
      <c r="N453">
        <f>N452*M453</f>
        <v/>
      </c>
      <c r="O453">
        <f>IFERROR(INDEX(MonthlyCurve!$L:$L,MATCH(A453,MonthlyCurve!$A:$A,0)),"")</f>
        <v/>
      </c>
      <c r="P453">
        <f>IF(B453&gt;0,-LN(O453)/B453,"")</f>
        <v/>
      </c>
      <c r="Q453">
        <f>G453*N453</f>
        <v/>
      </c>
      <c r="R453">
        <f>H453*N453</f>
        <v/>
      </c>
      <c r="S453">
        <f>Q453+R453</f>
        <v/>
      </c>
      <c r="T453">
        <f>Q453*O453</f>
        <v/>
      </c>
      <c r="U453">
        <f>R453*O453</f>
        <v/>
      </c>
      <c r="V453">
        <f>SUMPRODUCT(S454:S543,O454:O543)/(N453*O453)</f>
        <v/>
      </c>
    </row>
    <row r="454">
      <c r="A454" t="n">
        <v>451</v>
      </c>
      <c r="B454">
        <f>A454/Inputs!$B$6</f>
        <v/>
      </c>
      <c r="C454">
        <f>Inputs!$B$3+B454</f>
        <v/>
      </c>
      <c r="D454">
        <f>INT(C454)</f>
        <v/>
      </c>
      <c r="E454">
        <f>Inputs!$B$7+1+INT((A454-1)/Inputs!$B$6)</f>
        <v/>
      </c>
      <c r="F454">
        <f>IFERROR(INDEX(IndexScenario!$B$4:$B$544,MATCH(A454,IndexScenario!$A$4:$A$544,0)),"")</f>
        <v/>
      </c>
      <c r="G454">
        <f>G453*F454/F453</f>
        <v/>
      </c>
      <c r="H454">
        <f>H453*(1+Inputs!$B$17)^(1/12)</f>
        <v/>
      </c>
      <c r="I454">
        <f>IFERROR(INDEX(BaseQx!$B:$B,MATCH(D454,BaseQx!$A:$A,0)),"")</f>
        <v/>
      </c>
      <c r="J454">
        <f>IF(Inputs!$B$13="rp_mp",SUMIFS(MP2016_Long!$C:$C,MP2016_Long!$A:$A,D454,MP2016_Long!$B:$B,"&gt;=2014",MP2016_Long!$B:$B,"&lt;"&amp;E454),0)</f>
        <v/>
      </c>
      <c r="K454">
        <f>MIN(0.999999,MAX(0,I454*EXP(J454)))</f>
        <v/>
      </c>
      <c r="L454">
        <f>-LN(1-K454)</f>
        <v/>
      </c>
      <c r="M454">
        <f>EXP(-L454/Inputs!$B$6)</f>
        <v/>
      </c>
      <c r="N454">
        <f>N453*M454</f>
        <v/>
      </c>
      <c r="O454">
        <f>IFERROR(INDEX(MonthlyCurve!$L:$L,MATCH(A454,MonthlyCurve!$A:$A,0)),"")</f>
        <v/>
      </c>
      <c r="P454">
        <f>IF(B454&gt;0,-LN(O454)/B454,"")</f>
        <v/>
      </c>
      <c r="Q454">
        <f>G454*N454</f>
        <v/>
      </c>
      <c r="R454">
        <f>H454*N454</f>
        <v/>
      </c>
      <c r="S454">
        <f>Q454+R454</f>
        <v/>
      </c>
      <c r="T454">
        <f>Q454*O454</f>
        <v/>
      </c>
      <c r="U454">
        <f>R454*O454</f>
        <v/>
      </c>
      <c r="V454">
        <f>SUMPRODUCT(S455:S543,O455:O543)/(N454*O454)</f>
        <v/>
      </c>
    </row>
    <row r="455">
      <c r="A455" t="n">
        <v>452</v>
      </c>
      <c r="B455">
        <f>A455/Inputs!$B$6</f>
        <v/>
      </c>
      <c r="C455">
        <f>Inputs!$B$3+B455</f>
        <v/>
      </c>
      <c r="D455">
        <f>INT(C455)</f>
        <v/>
      </c>
      <c r="E455">
        <f>Inputs!$B$7+1+INT((A455-1)/Inputs!$B$6)</f>
        <v/>
      </c>
      <c r="F455">
        <f>IFERROR(INDEX(IndexScenario!$B$4:$B$544,MATCH(A455,IndexScenario!$A$4:$A$544,0)),"")</f>
        <v/>
      </c>
      <c r="G455">
        <f>G454*F455/F454</f>
        <v/>
      </c>
      <c r="H455">
        <f>H454*(1+Inputs!$B$17)^(1/12)</f>
        <v/>
      </c>
      <c r="I455">
        <f>IFERROR(INDEX(BaseQx!$B:$B,MATCH(D455,BaseQx!$A:$A,0)),"")</f>
        <v/>
      </c>
      <c r="J455">
        <f>IF(Inputs!$B$13="rp_mp",SUMIFS(MP2016_Long!$C:$C,MP2016_Long!$A:$A,D455,MP2016_Long!$B:$B,"&gt;=2014",MP2016_Long!$B:$B,"&lt;"&amp;E455),0)</f>
        <v/>
      </c>
      <c r="K455">
        <f>MIN(0.999999,MAX(0,I455*EXP(J455)))</f>
        <v/>
      </c>
      <c r="L455">
        <f>-LN(1-K455)</f>
        <v/>
      </c>
      <c r="M455">
        <f>EXP(-L455/Inputs!$B$6)</f>
        <v/>
      </c>
      <c r="N455">
        <f>N454*M455</f>
        <v/>
      </c>
      <c r="O455">
        <f>IFERROR(INDEX(MonthlyCurve!$L:$L,MATCH(A455,MonthlyCurve!$A:$A,0)),"")</f>
        <v/>
      </c>
      <c r="P455">
        <f>IF(B455&gt;0,-LN(O455)/B455,"")</f>
        <v/>
      </c>
      <c r="Q455">
        <f>G455*N455</f>
        <v/>
      </c>
      <c r="R455">
        <f>H455*N455</f>
        <v/>
      </c>
      <c r="S455">
        <f>Q455+R455</f>
        <v/>
      </c>
      <c r="T455">
        <f>Q455*O455</f>
        <v/>
      </c>
      <c r="U455">
        <f>R455*O455</f>
        <v/>
      </c>
      <c r="V455">
        <f>SUMPRODUCT(S456:S543,O456:O543)/(N455*O455)</f>
        <v/>
      </c>
    </row>
    <row r="456">
      <c r="A456" t="n">
        <v>453</v>
      </c>
      <c r="B456">
        <f>A456/Inputs!$B$6</f>
        <v/>
      </c>
      <c r="C456">
        <f>Inputs!$B$3+B456</f>
        <v/>
      </c>
      <c r="D456">
        <f>INT(C456)</f>
        <v/>
      </c>
      <c r="E456">
        <f>Inputs!$B$7+1+INT((A456-1)/Inputs!$B$6)</f>
        <v/>
      </c>
      <c r="F456">
        <f>IFERROR(INDEX(IndexScenario!$B$4:$B$544,MATCH(A456,IndexScenario!$A$4:$A$544,0)),"")</f>
        <v/>
      </c>
      <c r="G456">
        <f>G455*F456/F455</f>
        <v/>
      </c>
      <c r="H456">
        <f>H455*(1+Inputs!$B$17)^(1/12)</f>
        <v/>
      </c>
      <c r="I456">
        <f>IFERROR(INDEX(BaseQx!$B:$B,MATCH(D456,BaseQx!$A:$A,0)),"")</f>
        <v/>
      </c>
      <c r="J456">
        <f>IF(Inputs!$B$13="rp_mp",SUMIFS(MP2016_Long!$C:$C,MP2016_Long!$A:$A,D456,MP2016_Long!$B:$B,"&gt;=2014",MP2016_Long!$B:$B,"&lt;"&amp;E456),0)</f>
        <v/>
      </c>
      <c r="K456">
        <f>MIN(0.999999,MAX(0,I456*EXP(J456)))</f>
        <v/>
      </c>
      <c r="L456">
        <f>-LN(1-K456)</f>
        <v/>
      </c>
      <c r="M456">
        <f>EXP(-L456/Inputs!$B$6)</f>
        <v/>
      </c>
      <c r="N456">
        <f>N455*M456</f>
        <v/>
      </c>
      <c r="O456">
        <f>IFERROR(INDEX(MonthlyCurve!$L:$L,MATCH(A456,MonthlyCurve!$A:$A,0)),"")</f>
        <v/>
      </c>
      <c r="P456">
        <f>IF(B456&gt;0,-LN(O456)/B456,"")</f>
        <v/>
      </c>
      <c r="Q456">
        <f>G456*N456</f>
        <v/>
      </c>
      <c r="R456">
        <f>H456*N456</f>
        <v/>
      </c>
      <c r="S456">
        <f>Q456+R456</f>
        <v/>
      </c>
      <c r="T456">
        <f>Q456*O456</f>
        <v/>
      </c>
      <c r="U456">
        <f>R456*O456</f>
        <v/>
      </c>
      <c r="V456">
        <f>SUMPRODUCT(S457:S543,O457:O543)/(N456*O456)</f>
        <v/>
      </c>
    </row>
    <row r="457">
      <c r="A457" t="n">
        <v>454</v>
      </c>
      <c r="B457">
        <f>A457/Inputs!$B$6</f>
        <v/>
      </c>
      <c r="C457">
        <f>Inputs!$B$3+B457</f>
        <v/>
      </c>
      <c r="D457">
        <f>INT(C457)</f>
        <v/>
      </c>
      <c r="E457">
        <f>Inputs!$B$7+1+INT((A457-1)/Inputs!$B$6)</f>
        <v/>
      </c>
      <c r="F457">
        <f>IFERROR(INDEX(IndexScenario!$B$4:$B$544,MATCH(A457,IndexScenario!$A$4:$A$544,0)),"")</f>
        <v/>
      </c>
      <c r="G457">
        <f>G456*F457/F456</f>
        <v/>
      </c>
      <c r="H457">
        <f>H456*(1+Inputs!$B$17)^(1/12)</f>
        <v/>
      </c>
      <c r="I457">
        <f>IFERROR(INDEX(BaseQx!$B:$B,MATCH(D457,BaseQx!$A:$A,0)),"")</f>
        <v/>
      </c>
      <c r="J457">
        <f>IF(Inputs!$B$13="rp_mp",SUMIFS(MP2016_Long!$C:$C,MP2016_Long!$A:$A,D457,MP2016_Long!$B:$B,"&gt;=2014",MP2016_Long!$B:$B,"&lt;"&amp;E457),0)</f>
        <v/>
      </c>
      <c r="K457">
        <f>MIN(0.999999,MAX(0,I457*EXP(J457)))</f>
        <v/>
      </c>
      <c r="L457">
        <f>-LN(1-K457)</f>
        <v/>
      </c>
      <c r="M457">
        <f>EXP(-L457/Inputs!$B$6)</f>
        <v/>
      </c>
      <c r="N457">
        <f>N456*M457</f>
        <v/>
      </c>
      <c r="O457">
        <f>IFERROR(INDEX(MonthlyCurve!$L:$L,MATCH(A457,MonthlyCurve!$A:$A,0)),"")</f>
        <v/>
      </c>
      <c r="P457">
        <f>IF(B457&gt;0,-LN(O457)/B457,"")</f>
        <v/>
      </c>
      <c r="Q457">
        <f>G457*N457</f>
        <v/>
      </c>
      <c r="R457">
        <f>H457*N457</f>
        <v/>
      </c>
      <c r="S457">
        <f>Q457+R457</f>
        <v/>
      </c>
      <c r="T457">
        <f>Q457*O457</f>
        <v/>
      </c>
      <c r="U457">
        <f>R457*O457</f>
        <v/>
      </c>
      <c r="V457">
        <f>SUMPRODUCT(S458:S543,O458:O543)/(N457*O457)</f>
        <v/>
      </c>
    </row>
    <row r="458">
      <c r="A458" t="n">
        <v>455</v>
      </c>
      <c r="B458">
        <f>A458/Inputs!$B$6</f>
        <v/>
      </c>
      <c r="C458">
        <f>Inputs!$B$3+B458</f>
        <v/>
      </c>
      <c r="D458">
        <f>INT(C458)</f>
        <v/>
      </c>
      <c r="E458">
        <f>Inputs!$B$7+1+INT((A458-1)/Inputs!$B$6)</f>
        <v/>
      </c>
      <c r="F458">
        <f>IFERROR(INDEX(IndexScenario!$B$4:$B$544,MATCH(A458,IndexScenario!$A$4:$A$544,0)),"")</f>
        <v/>
      </c>
      <c r="G458">
        <f>G457*F458/F457</f>
        <v/>
      </c>
      <c r="H458">
        <f>H457*(1+Inputs!$B$17)^(1/12)</f>
        <v/>
      </c>
      <c r="I458">
        <f>IFERROR(INDEX(BaseQx!$B:$B,MATCH(D458,BaseQx!$A:$A,0)),"")</f>
        <v/>
      </c>
      <c r="J458">
        <f>IF(Inputs!$B$13="rp_mp",SUMIFS(MP2016_Long!$C:$C,MP2016_Long!$A:$A,D458,MP2016_Long!$B:$B,"&gt;=2014",MP2016_Long!$B:$B,"&lt;"&amp;E458),0)</f>
        <v/>
      </c>
      <c r="K458">
        <f>MIN(0.999999,MAX(0,I458*EXP(J458)))</f>
        <v/>
      </c>
      <c r="L458">
        <f>-LN(1-K458)</f>
        <v/>
      </c>
      <c r="M458">
        <f>EXP(-L458/Inputs!$B$6)</f>
        <v/>
      </c>
      <c r="N458">
        <f>N457*M458</f>
        <v/>
      </c>
      <c r="O458">
        <f>IFERROR(INDEX(MonthlyCurve!$L:$L,MATCH(A458,MonthlyCurve!$A:$A,0)),"")</f>
        <v/>
      </c>
      <c r="P458">
        <f>IF(B458&gt;0,-LN(O458)/B458,"")</f>
        <v/>
      </c>
      <c r="Q458">
        <f>G458*N458</f>
        <v/>
      </c>
      <c r="R458">
        <f>H458*N458</f>
        <v/>
      </c>
      <c r="S458">
        <f>Q458+R458</f>
        <v/>
      </c>
      <c r="T458">
        <f>Q458*O458</f>
        <v/>
      </c>
      <c r="U458">
        <f>R458*O458</f>
        <v/>
      </c>
      <c r="V458">
        <f>SUMPRODUCT(S459:S543,O459:O543)/(N458*O458)</f>
        <v/>
      </c>
    </row>
    <row r="459">
      <c r="A459" t="n">
        <v>456</v>
      </c>
      <c r="B459">
        <f>A459/Inputs!$B$6</f>
        <v/>
      </c>
      <c r="C459">
        <f>Inputs!$B$3+B459</f>
        <v/>
      </c>
      <c r="D459">
        <f>INT(C459)</f>
        <v/>
      </c>
      <c r="E459">
        <f>Inputs!$B$7+1+INT((A459-1)/Inputs!$B$6)</f>
        <v/>
      </c>
      <c r="F459">
        <f>IFERROR(INDEX(IndexScenario!$B$4:$B$544,MATCH(A459,IndexScenario!$A$4:$A$544,0)),"")</f>
        <v/>
      </c>
      <c r="G459">
        <f>G458*F459/F458</f>
        <v/>
      </c>
      <c r="H459">
        <f>H458*(1+Inputs!$B$17)^(1/12)</f>
        <v/>
      </c>
      <c r="I459">
        <f>IFERROR(INDEX(BaseQx!$B:$B,MATCH(D459,BaseQx!$A:$A,0)),"")</f>
        <v/>
      </c>
      <c r="J459">
        <f>IF(Inputs!$B$13="rp_mp",SUMIFS(MP2016_Long!$C:$C,MP2016_Long!$A:$A,D459,MP2016_Long!$B:$B,"&gt;=2014",MP2016_Long!$B:$B,"&lt;"&amp;E459),0)</f>
        <v/>
      </c>
      <c r="K459">
        <f>MIN(0.999999,MAX(0,I459*EXP(J459)))</f>
        <v/>
      </c>
      <c r="L459">
        <f>-LN(1-K459)</f>
        <v/>
      </c>
      <c r="M459">
        <f>EXP(-L459/Inputs!$B$6)</f>
        <v/>
      </c>
      <c r="N459">
        <f>N458*M459</f>
        <v/>
      </c>
      <c r="O459">
        <f>IFERROR(INDEX(MonthlyCurve!$L:$L,MATCH(A459,MonthlyCurve!$A:$A,0)),"")</f>
        <v/>
      </c>
      <c r="P459">
        <f>IF(B459&gt;0,-LN(O459)/B459,"")</f>
        <v/>
      </c>
      <c r="Q459">
        <f>G459*N459</f>
        <v/>
      </c>
      <c r="R459">
        <f>H459*N459</f>
        <v/>
      </c>
      <c r="S459">
        <f>Q459+R459</f>
        <v/>
      </c>
      <c r="T459">
        <f>Q459*O459</f>
        <v/>
      </c>
      <c r="U459">
        <f>R459*O459</f>
        <v/>
      </c>
      <c r="V459">
        <f>SUMPRODUCT(S460:S543,O460:O543)/(N459*O459)</f>
        <v/>
      </c>
    </row>
    <row r="460">
      <c r="A460" t="n">
        <v>457</v>
      </c>
      <c r="B460">
        <f>A460/Inputs!$B$6</f>
        <v/>
      </c>
      <c r="C460">
        <f>Inputs!$B$3+B460</f>
        <v/>
      </c>
      <c r="D460">
        <f>INT(C460)</f>
        <v/>
      </c>
      <c r="E460">
        <f>Inputs!$B$7+1+INT((A460-1)/Inputs!$B$6)</f>
        <v/>
      </c>
      <c r="F460">
        <f>IFERROR(INDEX(IndexScenario!$B$4:$B$544,MATCH(A460,IndexScenario!$A$4:$A$544,0)),"")</f>
        <v/>
      </c>
      <c r="G460">
        <f>G459*F460/F459</f>
        <v/>
      </c>
      <c r="H460">
        <f>H459*(1+Inputs!$B$17)^(1/12)</f>
        <v/>
      </c>
      <c r="I460">
        <f>IFERROR(INDEX(BaseQx!$B:$B,MATCH(D460,BaseQx!$A:$A,0)),"")</f>
        <v/>
      </c>
      <c r="J460">
        <f>IF(Inputs!$B$13="rp_mp",SUMIFS(MP2016_Long!$C:$C,MP2016_Long!$A:$A,D460,MP2016_Long!$B:$B,"&gt;=2014",MP2016_Long!$B:$B,"&lt;"&amp;E460),0)</f>
        <v/>
      </c>
      <c r="K460">
        <f>MIN(0.999999,MAX(0,I460*EXP(J460)))</f>
        <v/>
      </c>
      <c r="L460">
        <f>-LN(1-K460)</f>
        <v/>
      </c>
      <c r="M460">
        <f>EXP(-L460/Inputs!$B$6)</f>
        <v/>
      </c>
      <c r="N460">
        <f>N459*M460</f>
        <v/>
      </c>
      <c r="O460">
        <f>IFERROR(INDEX(MonthlyCurve!$L:$L,MATCH(A460,MonthlyCurve!$A:$A,0)),"")</f>
        <v/>
      </c>
      <c r="P460">
        <f>IF(B460&gt;0,-LN(O460)/B460,"")</f>
        <v/>
      </c>
      <c r="Q460">
        <f>G460*N460</f>
        <v/>
      </c>
      <c r="R460">
        <f>H460*N460</f>
        <v/>
      </c>
      <c r="S460">
        <f>Q460+R460</f>
        <v/>
      </c>
      <c r="T460">
        <f>Q460*O460</f>
        <v/>
      </c>
      <c r="U460">
        <f>R460*O460</f>
        <v/>
      </c>
      <c r="V460">
        <f>SUMPRODUCT(S461:S543,O461:O543)/(N460*O460)</f>
        <v/>
      </c>
    </row>
    <row r="461">
      <c r="A461" t="n">
        <v>458</v>
      </c>
      <c r="B461">
        <f>A461/Inputs!$B$6</f>
        <v/>
      </c>
      <c r="C461">
        <f>Inputs!$B$3+B461</f>
        <v/>
      </c>
      <c r="D461">
        <f>INT(C461)</f>
        <v/>
      </c>
      <c r="E461">
        <f>Inputs!$B$7+1+INT((A461-1)/Inputs!$B$6)</f>
        <v/>
      </c>
      <c r="F461">
        <f>IFERROR(INDEX(IndexScenario!$B$4:$B$544,MATCH(A461,IndexScenario!$A$4:$A$544,0)),"")</f>
        <v/>
      </c>
      <c r="G461">
        <f>G460*F461/F460</f>
        <v/>
      </c>
      <c r="H461">
        <f>H460*(1+Inputs!$B$17)^(1/12)</f>
        <v/>
      </c>
      <c r="I461">
        <f>IFERROR(INDEX(BaseQx!$B:$B,MATCH(D461,BaseQx!$A:$A,0)),"")</f>
        <v/>
      </c>
      <c r="J461">
        <f>IF(Inputs!$B$13="rp_mp",SUMIFS(MP2016_Long!$C:$C,MP2016_Long!$A:$A,D461,MP2016_Long!$B:$B,"&gt;=2014",MP2016_Long!$B:$B,"&lt;"&amp;E461),0)</f>
        <v/>
      </c>
      <c r="K461">
        <f>MIN(0.999999,MAX(0,I461*EXP(J461)))</f>
        <v/>
      </c>
      <c r="L461">
        <f>-LN(1-K461)</f>
        <v/>
      </c>
      <c r="M461">
        <f>EXP(-L461/Inputs!$B$6)</f>
        <v/>
      </c>
      <c r="N461">
        <f>N460*M461</f>
        <v/>
      </c>
      <c r="O461">
        <f>IFERROR(INDEX(MonthlyCurve!$L:$L,MATCH(A461,MonthlyCurve!$A:$A,0)),"")</f>
        <v/>
      </c>
      <c r="P461">
        <f>IF(B461&gt;0,-LN(O461)/B461,"")</f>
        <v/>
      </c>
      <c r="Q461">
        <f>G461*N461</f>
        <v/>
      </c>
      <c r="R461">
        <f>H461*N461</f>
        <v/>
      </c>
      <c r="S461">
        <f>Q461+R461</f>
        <v/>
      </c>
      <c r="T461">
        <f>Q461*O461</f>
        <v/>
      </c>
      <c r="U461">
        <f>R461*O461</f>
        <v/>
      </c>
      <c r="V461">
        <f>SUMPRODUCT(S462:S543,O462:O543)/(N461*O461)</f>
        <v/>
      </c>
    </row>
    <row r="462">
      <c r="A462" t="n">
        <v>459</v>
      </c>
      <c r="B462">
        <f>A462/Inputs!$B$6</f>
        <v/>
      </c>
      <c r="C462">
        <f>Inputs!$B$3+B462</f>
        <v/>
      </c>
      <c r="D462">
        <f>INT(C462)</f>
        <v/>
      </c>
      <c r="E462">
        <f>Inputs!$B$7+1+INT((A462-1)/Inputs!$B$6)</f>
        <v/>
      </c>
      <c r="F462">
        <f>IFERROR(INDEX(IndexScenario!$B$4:$B$544,MATCH(A462,IndexScenario!$A$4:$A$544,0)),"")</f>
        <v/>
      </c>
      <c r="G462">
        <f>G461*F462/F461</f>
        <v/>
      </c>
      <c r="H462">
        <f>H461*(1+Inputs!$B$17)^(1/12)</f>
        <v/>
      </c>
      <c r="I462">
        <f>IFERROR(INDEX(BaseQx!$B:$B,MATCH(D462,BaseQx!$A:$A,0)),"")</f>
        <v/>
      </c>
      <c r="J462">
        <f>IF(Inputs!$B$13="rp_mp",SUMIFS(MP2016_Long!$C:$C,MP2016_Long!$A:$A,D462,MP2016_Long!$B:$B,"&gt;=2014",MP2016_Long!$B:$B,"&lt;"&amp;E462),0)</f>
        <v/>
      </c>
      <c r="K462">
        <f>MIN(0.999999,MAX(0,I462*EXP(J462)))</f>
        <v/>
      </c>
      <c r="L462">
        <f>-LN(1-K462)</f>
        <v/>
      </c>
      <c r="M462">
        <f>EXP(-L462/Inputs!$B$6)</f>
        <v/>
      </c>
      <c r="N462">
        <f>N461*M462</f>
        <v/>
      </c>
      <c r="O462">
        <f>IFERROR(INDEX(MonthlyCurve!$L:$L,MATCH(A462,MonthlyCurve!$A:$A,0)),"")</f>
        <v/>
      </c>
      <c r="P462">
        <f>IF(B462&gt;0,-LN(O462)/B462,"")</f>
        <v/>
      </c>
      <c r="Q462">
        <f>G462*N462</f>
        <v/>
      </c>
      <c r="R462">
        <f>H462*N462</f>
        <v/>
      </c>
      <c r="S462">
        <f>Q462+R462</f>
        <v/>
      </c>
      <c r="T462">
        <f>Q462*O462</f>
        <v/>
      </c>
      <c r="U462">
        <f>R462*O462</f>
        <v/>
      </c>
      <c r="V462">
        <f>SUMPRODUCT(S463:S543,O463:O543)/(N462*O462)</f>
        <v/>
      </c>
    </row>
    <row r="463">
      <c r="A463" t="n">
        <v>460</v>
      </c>
      <c r="B463">
        <f>A463/Inputs!$B$6</f>
        <v/>
      </c>
      <c r="C463">
        <f>Inputs!$B$3+B463</f>
        <v/>
      </c>
      <c r="D463">
        <f>INT(C463)</f>
        <v/>
      </c>
      <c r="E463">
        <f>Inputs!$B$7+1+INT((A463-1)/Inputs!$B$6)</f>
        <v/>
      </c>
      <c r="F463">
        <f>IFERROR(INDEX(IndexScenario!$B$4:$B$544,MATCH(A463,IndexScenario!$A$4:$A$544,0)),"")</f>
        <v/>
      </c>
      <c r="G463">
        <f>G462*F463/F462</f>
        <v/>
      </c>
      <c r="H463">
        <f>H462*(1+Inputs!$B$17)^(1/12)</f>
        <v/>
      </c>
      <c r="I463">
        <f>IFERROR(INDEX(BaseQx!$B:$B,MATCH(D463,BaseQx!$A:$A,0)),"")</f>
        <v/>
      </c>
      <c r="J463">
        <f>IF(Inputs!$B$13="rp_mp",SUMIFS(MP2016_Long!$C:$C,MP2016_Long!$A:$A,D463,MP2016_Long!$B:$B,"&gt;=2014",MP2016_Long!$B:$B,"&lt;"&amp;E463),0)</f>
        <v/>
      </c>
      <c r="K463">
        <f>MIN(0.999999,MAX(0,I463*EXP(J463)))</f>
        <v/>
      </c>
      <c r="L463">
        <f>-LN(1-K463)</f>
        <v/>
      </c>
      <c r="M463">
        <f>EXP(-L463/Inputs!$B$6)</f>
        <v/>
      </c>
      <c r="N463">
        <f>N462*M463</f>
        <v/>
      </c>
      <c r="O463">
        <f>IFERROR(INDEX(MonthlyCurve!$L:$L,MATCH(A463,MonthlyCurve!$A:$A,0)),"")</f>
        <v/>
      </c>
      <c r="P463">
        <f>IF(B463&gt;0,-LN(O463)/B463,"")</f>
        <v/>
      </c>
      <c r="Q463">
        <f>G463*N463</f>
        <v/>
      </c>
      <c r="R463">
        <f>H463*N463</f>
        <v/>
      </c>
      <c r="S463">
        <f>Q463+R463</f>
        <v/>
      </c>
      <c r="T463">
        <f>Q463*O463</f>
        <v/>
      </c>
      <c r="U463">
        <f>R463*O463</f>
        <v/>
      </c>
      <c r="V463">
        <f>SUMPRODUCT(S464:S543,O464:O543)/(N463*O463)</f>
        <v/>
      </c>
    </row>
    <row r="464">
      <c r="A464" t="n">
        <v>461</v>
      </c>
      <c r="B464">
        <f>A464/Inputs!$B$6</f>
        <v/>
      </c>
      <c r="C464">
        <f>Inputs!$B$3+B464</f>
        <v/>
      </c>
      <c r="D464">
        <f>INT(C464)</f>
        <v/>
      </c>
      <c r="E464">
        <f>Inputs!$B$7+1+INT((A464-1)/Inputs!$B$6)</f>
        <v/>
      </c>
      <c r="F464">
        <f>IFERROR(INDEX(IndexScenario!$B$4:$B$544,MATCH(A464,IndexScenario!$A$4:$A$544,0)),"")</f>
        <v/>
      </c>
      <c r="G464">
        <f>G463*F464/F463</f>
        <v/>
      </c>
      <c r="H464">
        <f>H463*(1+Inputs!$B$17)^(1/12)</f>
        <v/>
      </c>
      <c r="I464">
        <f>IFERROR(INDEX(BaseQx!$B:$B,MATCH(D464,BaseQx!$A:$A,0)),"")</f>
        <v/>
      </c>
      <c r="J464">
        <f>IF(Inputs!$B$13="rp_mp",SUMIFS(MP2016_Long!$C:$C,MP2016_Long!$A:$A,D464,MP2016_Long!$B:$B,"&gt;=2014",MP2016_Long!$B:$B,"&lt;"&amp;E464),0)</f>
        <v/>
      </c>
      <c r="K464">
        <f>MIN(0.999999,MAX(0,I464*EXP(J464)))</f>
        <v/>
      </c>
      <c r="L464">
        <f>-LN(1-K464)</f>
        <v/>
      </c>
      <c r="M464">
        <f>EXP(-L464/Inputs!$B$6)</f>
        <v/>
      </c>
      <c r="N464">
        <f>N463*M464</f>
        <v/>
      </c>
      <c r="O464">
        <f>IFERROR(INDEX(MonthlyCurve!$L:$L,MATCH(A464,MonthlyCurve!$A:$A,0)),"")</f>
        <v/>
      </c>
      <c r="P464">
        <f>IF(B464&gt;0,-LN(O464)/B464,"")</f>
        <v/>
      </c>
      <c r="Q464">
        <f>G464*N464</f>
        <v/>
      </c>
      <c r="R464">
        <f>H464*N464</f>
        <v/>
      </c>
      <c r="S464">
        <f>Q464+R464</f>
        <v/>
      </c>
      <c r="T464">
        <f>Q464*O464</f>
        <v/>
      </c>
      <c r="U464">
        <f>R464*O464</f>
        <v/>
      </c>
      <c r="V464">
        <f>SUMPRODUCT(S465:S543,O465:O543)/(N464*O464)</f>
        <v/>
      </c>
    </row>
    <row r="465">
      <c r="A465" t="n">
        <v>462</v>
      </c>
      <c r="B465">
        <f>A465/Inputs!$B$6</f>
        <v/>
      </c>
      <c r="C465">
        <f>Inputs!$B$3+B465</f>
        <v/>
      </c>
      <c r="D465">
        <f>INT(C465)</f>
        <v/>
      </c>
      <c r="E465">
        <f>Inputs!$B$7+1+INT((A465-1)/Inputs!$B$6)</f>
        <v/>
      </c>
      <c r="F465">
        <f>IFERROR(INDEX(IndexScenario!$B$4:$B$544,MATCH(A465,IndexScenario!$A$4:$A$544,0)),"")</f>
        <v/>
      </c>
      <c r="G465">
        <f>G464*F465/F464</f>
        <v/>
      </c>
      <c r="H465">
        <f>H464*(1+Inputs!$B$17)^(1/12)</f>
        <v/>
      </c>
      <c r="I465">
        <f>IFERROR(INDEX(BaseQx!$B:$B,MATCH(D465,BaseQx!$A:$A,0)),"")</f>
        <v/>
      </c>
      <c r="J465">
        <f>IF(Inputs!$B$13="rp_mp",SUMIFS(MP2016_Long!$C:$C,MP2016_Long!$A:$A,D465,MP2016_Long!$B:$B,"&gt;=2014",MP2016_Long!$B:$B,"&lt;"&amp;E465),0)</f>
        <v/>
      </c>
      <c r="K465">
        <f>MIN(0.999999,MAX(0,I465*EXP(J465)))</f>
        <v/>
      </c>
      <c r="L465">
        <f>-LN(1-K465)</f>
        <v/>
      </c>
      <c r="M465">
        <f>EXP(-L465/Inputs!$B$6)</f>
        <v/>
      </c>
      <c r="N465">
        <f>N464*M465</f>
        <v/>
      </c>
      <c r="O465">
        <f>IFERROR(INDEX(MonthlyCurve!$L:$L,MATCH(A465,MonthlyCurve!$A:$A,0)),"")</f>
        <v/>
      </c>
      <c r="P465">
        <f>IF(B465&gt;0,-LN(O465)/B465,"")</f>
        <v/>
      </c>
      <c r="Q465">
        <f>G465*N465</f>
        <v/>
      </c>
      <c r="R465">
        <f>H465*N465</f>
        <v/>
      </c>
      <c r="S465">
        <f>Q465+R465</f>
        <v/>
      </c>
      <c r="T465">
        <f>Q465*O465</f>
        <v/>
      </c>
      <c r="U465">
        <f>R465*O465</f>
        <v/>
      </c>
      <c r="V465">
        <f>SUMPRODUCT(S466:S543,O466:O543)/(N465*O465)</f>
        <v/>
      </c>
    </row>
    <row r="466">
      <c r="A466" t="n">
        <v>463</v>
      </c>
      <c r="B466">
        <f>A466/Inputs!$B$6</f>
        <v/>
      </c>
      <c r="C466">
        <f>Inputs!$B$3+B466</f>
        <v/>
      </c>
      <c r="D466">
        <f>INT(C466)</f>
        <v/>
      </c>
      <c r="E466">
        <f>Inputs!$B$7+1+INT((A466-1)/Inputs!$B$6)</f>
        <v/>
      </c>
      <c r="F466">
        <f>IFERROR(INDEX(IndexScenario!$B$4:$B$544,MATCH(A466,IndexScenario!$A$4:$A$544,0)),"")</f>
        <v/>
      </c>
      <c r="G466">
        <f>G465*F466/F465</f>
        <v/>
      </c>
      <c r="H466">
        <f>H465*(1+Inputs!$B$17)^(1/12)</f>
        <v/>
      </c>
      <c r="I466">
        <f>IFERROR(INDEX(BaseQx!$B:$B,MATCH(D466,BaseQx!$A:$A,0)),"")</f>
        <v/>
      </c>
      <c r="J466">
        <f>IF(Inputs!$B$13="rp_mp",SUMIFS(MP2016_Long!$C:$C,MP2016_Long!$A:$A,D466,MP2016_Long!$B:$B,"&gt;=2014",MP2016_Long!$B:$B,"&lt;"&amp;E466),0)</f>
        <v/>
      </c>
      <c r="K466">
        <f>MIN(0.999999,MAX(0,I466*EXP(J466)))</f>
        <v/>
      </c>
      <c r="L466">
        <f>-LN(1-K466)</f>
        <v/>
      </c>
      <c r="M466">
        <f>EXP(-L466/Inputs!$B$6)</f>
        <v/>
      </c>
      <c r="N466">
        <f>N465*M466</f>
        <v/>
      </c>
      <c r="O466">
        <f>IFERROR(INDEX(MonthlyCurve!$L:$L,MATCH(A466,MonthlyCurve!$A:$A,0)),"")</f>
        <v/>
      </c>
      <c r="P466">
        <f>IF(B466&gt;0,-LN(O466)/B466,"")</f>
        <v/>
      </c>
      <c r="Q466">
        <f>G466*N466</f>
        <v/>
      </c>
      <c r="R466">
        <f>H466*N466</f>
        <v/>
      </c>
      <c r="S466">
        <f>Q466+R466</f>
        <v/>
      </c>
      <c r="T466">
        <f>Q466*O466</f>
        <v/>
      </c>
      <c r="U466">
        <f>R466*O466</f>
        <v/>
      </c>
      <c r="V466">
        <f>SUMPRODUCT(S467:S543,O467:O543)/(N466*O466)</f>
        <v/>
      </c>
    </row>
    <row r="467">
      <c r="A467" t="n">
        <v>464</v>
      </c>
      <c r="B467">
        <f>A467/Inputs!$B$6</f>
        <v/>
      </c>
      <c r="C467">
        <f>Inputs!$B$3+B467</f>
        <v/>
      </c>
      <c r="D467">
        <f>INT(C467)</f>
        <v/>
      </c>
      <c r="E467">
        <f>Inputs!$B$7+1+INT((A467-1)/Inputs!$B$6)</f>
        <v/>
      </c>
      <c r="F467">
        <f>IFERROR(INDEX(IndexScenario!$B$4:$B$544,MATCH(A467,IndexScenario!$A$4:$A$544,0)),"")</f>
        <v/>
      </c>
      <c r="G467">
        <f>G466*F467/F466</f>
        <v/>
      </c>
      <c r="H467">
        <f>H466*(1+Inputs!$B$17)^(1/12)</f>
        <v/>
      </c>
      <c r="I467">
        <f>IFERROR(INDEX(BaseQx!$B:$B,MATCH(D467,BaseQx!$A:$A,0)),"")</f>
        <v/>
      </c>
      <c r="J467">
        <f>IF(Inputs!$B$13="rp_mp",SUMIFS(MP2016_Long!$C:$C,MP2016_Long!$A:$A,D467,MP2016_Long!$B:$B,"&gt;=2014",MP2016_Long!$B:$B,"&lt;"&amp;E467),0)</f>
        <v/>
      </c>
      <c r="K467">
        <f>MIN(0.999999,MAX(0,I467*EXP(J467)))</f>
        <v/>
      </c>
      <c r="L467">
        <f>-LN(1-K467)</f>
        <v/>
      </c>
      <c r="M467">
        <f>EXP(-L467/Inputs!$B$6)</f>
        <v/>
      </c>
      <c r="N467">
        <f>N466*M467</f>
        <v/>
      </c>
      <c r="O467">
        <f>IFERROR(INDEX(MonthlyCurve!$L:$L,MATCH(A467,MonthlyCurve!$A:$A,0)),"")</f>
        <v/>
      </c>
      <c r="P467">
        <f>IF(B467&gt;0,-LN(O467)/B467,"")</f>
        <v/>
      </c>
      <c r="Q467">
        <f>G467*N467</f>
        <v/>
      </c>
      <c r="R467">
        <f>H467*N467</f>
        <v/>
      </c>
      <c r="S467">
        <f>Q467+R467</f>
        <v/>
      </c>
      <c r="T467">
        <f>Q467*O467</f>
        <v/>
      </c>
      <c r="U467">
        <f>R467*O467</f>
        <v/>
      </c>
      <c r="V467">
        <f>SUMPRODUCT(S468:S543,O468:O543)/(N467*O467)</f>
        <v/>
      </c>
    </row>
    <row r="468">
      <c r="A468" t="n">
        <v>465</v>
      </c>
      <c r="B468">
        <f>A468/Inputs!$B$6</f>
        <v/>
      </c>
      <c r="C468">
        <f>Inputs!$B$3+B468</f>
        <v/>
      </c>
      <c r="D468">
        <f>INT(C468)</f>
        <v/>
      </c>
      <c r="E468">
        <f>Inputs!$B$7+1+INT((A468-1)/Inputs!$B$6)</f>
        <v/>
      </c>
      <c r="F468">
        <f>IFERROR(INDEX(IndexScenario!$B$4:$B$544,MATCH(A468,IndexScenario!$A$4:$A$544,0)),"")</f>
        <v/>
      </c>
      <c r="G468">
        <f>G467*F468/F467</f>
        <v/>
      </c>
      <c r="H468">
        <f>H467*(1+Inputs!$B$17)^(1/12)</f>
        <v/>
      </c>
      <c r="I468">
        <f>IFERROR(INDEX(BaseQx!$B:$B,MATCH(D468,BaseQx!$A:$A,0)),"")</f>
        <v/>
      </c>
      <c r="J468">
        <f>IF(Inputs!$B$13="rp_mp",SUMIFS(MP2016_Long!$C:$C,MP2016_Long!$A:$A,D468,MP2016_Long!$B:$B,"&gt;=2014",MP2016_Long!$B:$B,"&lt;"&amp;E468),0)</f>
        <v/>
      </c>
      <c r="K468">
        <f>MIN(0.999999,MAX(0,I468*EXP(J468)))</f>
        <v/>
      </c>
      <c r="L468">
        <f>-LN(1-K468)</f>
        <v/>
      </c>
      <c r="M468">
        <f>EXP(-L468/Inputs!$B$6)</f>
        <v/>
      </c>
      <c r="N468">
        <f>N467*M468</f>
        <v/>
      </c>
      <c r="O468">
        <f>IFERROR(INDEX(MonthlyCurve!$L:$L,MATCH(A468,MonthlyCurve!$A:$A,0)),"")</f>
        <v/>
      </c>
      <c r="P468">
        <f>IF(B468&gt;0,-LN(O468)/B468,"")</f>
        <v/>
      </c>
      <c r="Q468">
        <f>G468*N468</f>
        <v/>
      </c>
      <c r="R468">
        <f>H468*N468</f>
        <v/>
      </c>
      <c r="S468">
        <f>Q468+R468</f>
        <v/>
      </c>
      <c r="T468">
        <f>Q468*O468</f>
        <v/>
      </c>
      <c r="U468">
        <f>R468*O468</f>
        <v/>
      </c>
      <c r="V468">
        <f>SUMPRODUCT(S469:S543,O469:O543)/(N468*O468)</f>
        <v/>
      </c>
    </row>
    <row r="469">
      <c r="A469" t="n">
        <v>466</v>
      </c>
      <c r="B469">
        <f>A469/Inputs!$B$6</f>
        <v/>
      </c>
      <c r="C469">
        <f>Inputs!$B$3+B469</f>
        <v/>
      </c>
      <c r="D469">
        <f>INT(C469)</f>
        <v/>
      </c>
      <c r="E469">
        <f>Inputs!$B$7+1+INT((A469-1)/Inputs!$B$6)</f>
        <v/>
      </c>
      <c r="F469">
        <f>IFERROR(INDEX(IndexScenario!$B$4:$B$544,MATCH(A469,IndexScenario!$A$4:$A$544,0)),"")</f>
        <v/>
      </c>
      <c r="G469">
        <f>G468*F469/F468</f>
        <v/>
      </c>
      <c r="H469">
        <f>H468*(1+Inputs!$B$17)^(1/12)</f>
        <v/>
      </c>
      <c r="I469">
        <f>IFERROR(INDEX(BaseQx!$B:$B,MATCH(D469,BaseQx!$A:$A,0)),"")</f>
        <v/>
      </c>
      <c r="J469">
        <f>IF(Inputs!$B$13="rp_mp",SUMIFS(MP2016_Long!$C:$C,MP2016_Long!$A:$A,D469,MP2016_Long!$B:$B,"&gt;=2014",MP2016_Long!$B:$B,"&lt;"&amp;E469),0)</f>
        <v/>
      </c>
      <c r="K469">
        <f>MIN(0.999999,MAX(0,I469*EXP(J469)))</f>
        <v/>
      </c>
      <c r="L469">
        <f>-LN(1-K469)</f>
        <v/>
      </c>
      <c r="M469">
        <f>EXP(-L469/Inputs!$B$6)</f>
        <v/>
      </c>
      <c r="N469">
        <f>N468*M469</f>
        <v/>
      </c>
      <c r="O469">
        <f>IFERROR(INDEX(MonthlyCurve!$L:$L,MATCH(A469,MonthlyCurve!$A:$A,0)),"")</f>
        <v/>
      </c>
      <c r="P469">
        <f>IF(B469&gt;0,-LN(O469)/B469,"")</f>
        <v/>
      </c>
      <c r="Q469">
        <f>G469*N469</f>
        <v/>
      </c>
      <c r="R469">
        <f>H469*N469</f>
        <v/>
      </c>
      <c r="S469">
        <f>Q469+R469</f>
        <v/>
      </c>
      <c r="T469">
        <f>Q469*O469</f>
        <v/>
      </c>
      <c r="U469">
        <f>R469*O469</f>
        <v/>
      </c>
      <c r="V469">
        <f>SUMPRODUCT(S470:S543,O470:O543)/(N469*O469)</f>
        <v/>
      </c>
    </row>
    <row r="470">
      <c r="A470" t="n">
        <v>467</v>
      </c>
      <c r="B470">
        <f>A470/Inputs!$B$6</f>
        <v/>
      </c>
      <c r="C470">
        <f>Inputs!$B$3+B470</f>
        <v/>
      </c>
      <c r="D470">
        <f>INT(C470)</f>
        <v/>
      </c>
      <c r="E470">
        <f>Inputs!$B$7+1+INT((A470-1)/Inputs!$B$6)</f>
        <v/>
      </c>
      <c r="F470">
        <f>IFERROR(INDEX(IndexScenario!$B$4:$B$544,MATCH(A470,IndexScenario!$A$4:$A$544,0)),"")</f>
        <v/>
      </c>
      <c r="G470">
        <f>G469*F470/F469</f>
        <v/>
      </c>
      <c r="H470">
        <f>H469*(1+Inputs!$B$17)^(1/12)</f>
        <v/>
      </c>
      <c r="I470">
        <f>IFERROR(INDEX(BaseQx!$B:$B,MATCH(D470,BaseQx!$A:$A,0)),"")</f>
        <v/>
      </c>
      <c r="J470">
        <f>IF(Inputs!$B$13="rp_mp",SUMIFS(MP2016_Long!$C:$C,MP2016_Long!$A:$A,D470,MP2016_Long!$B:$B,"&gt;=2014",MP2016_Long!$B:$B,"&lt;"&amp;E470),0)</f>
        <v/>
      </c>
      <c r="K470">
        <f>MIN(0.999999,MAX(0,I470*EXP(J470)))</f>
        <v/>
      </c>
      <c r="L470">
        <f>-LN(1-K470)</f>
        <v/>
      </c>
      <c r="M470">
        <f>EXP(-L470/Inputs!$B$6)</f>
        <v/>
      </c>
      <c r="N470">
        <f>N469*M470</f>
        <v/>
      </c>
      <c r="O470">
        <f>IFERROR(INDEX(MonthlyCurve!$L:$L,MATCH(A470,MonthlyCurve!$A:$A,0)),"")</f>
        <v/>
      </c>
      <c r="P470">
        <f>IF(B470&gt;0,-LN(O470)/B470,"")</f>
        <v/>
      </c>
      <c r="Q470">
        <f>G470*N470</f>
        <v/>
      </c>
      <c r="R470">
        <f>H470*N470</f>
        <v/>
      </c>
      <c r="S470">
        <f>Q470+R470</f>
        <v/>
      </c>
      <c r="T470">
        <f>Q470*O470</f>
        <v/>
      </c>
      <c r="U470">
        <f>R470*O470</f>
        <v/>
      </c>
      <c r="V470">
        <f>SUMPRODUCT(S471:S543,O471:O543)/(N470*O470)</f>
        <v/>
      </c>
    </row>
    <row r="471">
      <c r="A471" t="n">
        <v>468</v>
      </c>
      <c r="B471">
        <f>A471/Inputs!$B$6</f>
        <v/>
      </c>
      <c r="C471">
        <f>Inputs!$B$3+B471</f>
        <v/>
      </c>
      <c r="D471">
        <f>INT(C471)</f>
        <v/>
      </c>
      <c r="E471">
        <f>Inputs!$B$7+1+INT((A471-1)/Inputs!$B$6)</f>
        <v/>
      </c>
      <c r="F471">
        <f>IFERROR(INDEX(IndexScenario!$B$4:$B$544,MATCH(A471,IndexScenario!$A$4:$A$544,0)),"")</f>
        <v/>
      </c>
      <c r="G471">
        <f>G470*F471/F470</f>
        <v/>
      </c>
      <c r="H471">
        <f>H470*(1+Inputs!$B$17)^(1/12)</f>
        <v/>
      </c>
      <c r="I471">
        <f>IFERROR(INDEX(BaseQx!$B:$B,MATCH(D471,BaseQx!$A:$A,0)),"")</f>
        <v/>
      </c>
      <c r="J471">
        <f>IF(Inputs!$B$13="rp_mp",SUMIFS(MP2016_Long!$C:$C,MP2016_Long!$A:$A,D471,MP2016_Long!$B:$B,"&gt;=2014",MP2016_Long!$B:$B,"&lt;"&amp;E471),0)</f>
        <v/>
      </c>
      <c r="K471">
        <f>MIN(0.999999,MAX(0,I471*EXP(J471)))</f>
        <v/>
      </c>
      <c r="L471">
        <f>-LN(1-K471)</f>
        <v/>
      </c>
      <c r="M471">
        <f>EXP(-L471/Inputs!$B$6)</f>
        <v/>
      </c>
      <c r="N471">
        <f>N470*M471</f>
        <v/>
      </c>
      <c r="O471">
        <f>IFERROR(INDEX(MonthlyCurve!$L:$L,MATCH(A471,MonthlyCurve!$A:$A,0)),"")</f>
        <v/>
      </c>
      <c r="P471">
        <f>IF(B471&gt;0,-LN(O471)/B471,"")</f>
        <v/>
      </c>
      <c r="Q471">
        <f>G471*N471</f>
        <v/>
      </c>
      <c r="R471">
        <f>H471*N471</f>
        <v/>
      </c>
      <c r="S471">
        <f>Q471+R471</f>
        <v/>
      </c>
      <c r="T471">
        <f>Q471*O471</f>
        <v/>
      </c>
      <c r="U471">
        <f>R471*O471</f>
        <v/>
      </c>
      <c r="V471">
        <f>SUMPRODUCT(S472:S543,O472:O543)/(N471*O471)</f>
        <v/>
      </c>
    </row>
    <row r="472">
      <c r="A472" t="n">
        <v>469</v>
      </c>
      <c r="B472">
        <f>A472/Inputs!$B$6</f>
        <v/>
      </c>
      <c r="C472">
        <f>Inputs!$B$3+B472</f>
        <v/>
      </c>
      <c r="D472">
        <f>INT(C472)</f>
        <v/>
      </c>
      <c r="E472">
        <f>Inputs!$B$7+1+INT((A472-1)/Inputs!$B$6)</f>
        <v/>
      </c>
      <c r="F472">
        <f>IFERROR(INDEX(IndexScenario!$B$4:$B$544,MATCH(A472,IndexScenario!$A$4:$A$544,0)),"")</f>
        <v/>
      </c>
      <c r="G472">
        <f>G471*F472/F471</f>
        <v/>
      </c>
      <c r="H472">
        <f>H471*(1+Inputs!$B$17)^(1/12)</f>
        <v/>
      </c>
      <c r="I472">
        <f>IFERROR(INDEX(BaseQx!$B:$B,MATCH(D472,BaseQx!$A:$A,0)),"")</f>
        <v/>
      </c>
      <c r="J472">
        <f>IF(Inputs!$B$13="rp_mp",SUMIFS(MP2016_Long!$C:$C,MP2016_Long!$A:$A,D472,MP2016_Long!$B:$B,"&gt;=2014",MP2016_Long!$B:$B,"&lt;"&amp;E472),0)</f>
        <v/>
      </c>
      <c r="K472">
        <f>MIN(0.999999,MAX(0,I472*EXP(J472)))</f>
        <v/>
      </c>
      <c r="L472">
        <f>-LN(1-K472)</f>
        <v/>
      </c>
      <c r="M472">
        <f>EXP(-L472/Inputs!$B$6)</f>
        <v/>
      </c>
      <c r="N472">
        <f>N471*M472</f>
        <v/>
      </c>
      <c r="O472">
        <f>IFERROR(INDEX(MonthlyCurve!$L:$L,MATCH(A472,MonthlyCurve!$A:$A,0)),"")</f>
        <v/>
      </c>
      <c r="P472">
        <f>IF(B472&gt;0,-LN(O472)/B472,"")</f>
        <v/>
      </c>
      <c r="Q472">
        <f>G472*N472</f>
        <v/>
      </c>
      <c r="R472">
        <f>H472*N472</f>
        <v/>
      </c>
      <c r="S472">
        <f>Q472+R472</f>
        <v/>
      </c>
      <c r="T472">
        <f>Q472*O472</f>
        <v/>
      </c>
      <c r="U472">
        <f>R472*O472</f>
        <v/>
      </c>
      <c r="V472">
        <f>SUMPRODUCT(S473:S543,O473:O543)/(N472*O472)</f>
        <v/>
      </c>
    </row>
    <row r="473">
      <c r="A473" t="n">
        <v>470</v>
      </c>
      <c r="B473">
        <f>A473/Inputs!$B$6</f>
        <v/>
      </c>
      <c r="C473">
        <f>Inputs!$B$3+B473</f>
        <v/>
      </c>
      <c r="D473">
        <f>INT(C473)</f>
        <v/>
      </c>
      <c r="E473">
        <f>Inputs!$B$7+1+INT((A473-1)/Inputs!$B$6)</f>
        <v/>
      </c>
      <c r="F473">
        <f>IFERROR(INDEX(IndexScenario!$B$4:$B$544,MATCH(A473,IndexScenario!$A$4:$A$544,0)),"")</f>
        <v/>
      </c>
      <c r="G473">
        <f>G472*F473/F472</f>
        <v/>
      </c>
      <c r="H473">
        <f>H472*(1+Inputs!$B$17)^(1/12)</f>
        <v/>
      </c>
      <c r="I473">
        <f>IFERROR(INDEX(BaseQx!$B:$B,MATCH(D473,BaseQx!$A:$A,0)),"")</f>
        <v/>
      </c>
      <c r="J473">
        <f>IF(Inputs!$B$13="rp_mp",SUMIFS(MP2016_Long!$C:$C,MP2016_Long!$A:$A,D473,MP2016_Long!$B:$B,"&gt;=2014",MP2016_Long!$B:$B,"&lt;"&amp;E473),0)</f>
        <v/>
      </c>
      <c r="K473">
        <f>MIN(0.999999,MAX(0,I473*EXP(J473)))</f>
        <v/>
      </c>
      <c r="L473">
        <f>-LN(1-K473)</f>
        <v/>
      </c>
      <c r="M473">
        <f>EXP(-L473/Inputs!$B$6)</f>
        <v/>
      </c>
      <c r="N473">
        <f>N472*M473</f>
        <v/>
      </c>
      <c r="O473">
        <f>IFERROR(INDEX(MonthlyCurve!$L:$L,MATCH(A473,MonthlyCurve!$A:$A,0)),"")</f>
        <v/>
      </c>
      <c r="P473">
        <f>IF(B473&gt;0,-LN(O473)/B473,"")</f>
        <v/>
      </c>
      <c r="Q473">
        <f>G473*N473</f>
        <v/>
      </c>
      <c r="R473">
        <f>H473*N473</f>
        <v/>
      </c>
      <c r="S473">
        <f>Q473+R473</f>
        <v/>
      </c>
      <c r="T473">
        <f>Q473*O473</f>
        <v/>
      </c>
      <c r="U473">
        <f>R473*O473</f>
        <v/>
      </c>
      <c r="V473">
        <f>SUMPRODUCT(S474:S543,O474:O543)/(N473*O473)</f>
        <v/>
      </c>
    </row>
    <row r="474">
      <c r="A474" t="n">
        <v>471</v>
      </c>
      <c r="B474">
        <f>A474/Inputs!$B$6</f>
        <v/>
      </c>
      <c r="C474">
        <f>Inputs!$B$3+B474</f>
        <v/>
      </c>
      <c r="D474">
        <f>INT(C474)</f>
        <v/>
      </c>
      <c r="E474">
        <f>Inputs!$B$7+1+INT((A474-1)/Inputs!$B$6)</f>
        <v/>
      </c>
      <c r="F474">
        <f>IFERROR(INDEX(IndexScenario!$B$4:$B$544,MATCH(A474,IndexScenario!$A$4:$A$544,0)),"")</f>
        <v/>
      </c>
      <c r="G474">
        <f>G473*F474/F473</f>
        <v/>
      </c>
      <c r="H474">
        <f>H473*(1+Inputs!$B$17)^(1/12)</f>
        <v/>
      </c>
      <c r="I474">
        <f>IFERROR(INDEX(BaseQx!$B:$B,MATCH(D474,BaseQx!$A:$A,0)),"")</f>
        <v/>
      </c>
      <c r="J474">
        <f>IF(Inputs!$B$13="rp_mp",SUMIFS(MP2016_Long!$C:$C,MP2016_Long!$A:$A,D474,MP2016_Long!$B:$B,"&gt;=2014",MP2016_Long!$B:$B,"&lt;"&amp;E474),0)</f>
        <v/>
      </c>
      <c r="K474">
        <f>MIN(0.999999,MAX(0,I474*EXP(J474)))</f>
        <v/>
      </c>
      <c r="L474">
        <f>-LN(1-K474)</f>
        <v/>
      </c>
      <c r="M474">
        <f>EXP(-L474/Inputs!$B$6)</f>
        <v/>
      </c>
      <c r="N474">
        <f>N473*M474</f>
        <v/>
      </c>
      <c r="O474">
        <f>IFERROR(INDEX(MonthlyCurve!$L:$L,MATCH(A474,MonthlyCurve!$A:$A,0)),"")</f>
        <v/>
      </c>
      <c r="P474">
        <f>IF(B474&gt;0,-LN(O474)/B474,"")</f>
        <v/>
      </c>
      <c r="Q474">
        <f>G474*N474</f>
        <v/>
      </c>
      <c r="R474">
        <f>H474*N474</f>
        <v/>
      </c>
      <c r="S474">
        <f>Q474+R474</f>
        <v/>
      </c>
      <c r="T474">
        <f>Q474*O474</f>
        <v/>
      </c>
      <c r="U474">
        <f>R474*O474</f>
        <v/>
      </c>
      <c r="V474">
        <f>SUMPRODUCT(S475:S543,O475:O543)/(N474*O474)</f>
        <v/>
      </c>
    </row>
    <row r="475">
      <c r="A475" t="n">
        <v>472</v>
      </c>
      <c r="B475">
        <f>A475/Inputs!$B$6</f>
        <v/>
      </c>
      <c r="C475">
        <f>Inputs!$B$3+B475</f>
        <v/>
      </c>
      <c r="D475">
        <f>INT(C475)</f>
        <v/>
      </c>
      <c r="E475">
        <f>Inputs!$B$7+1+INT((A475-1)/Inputs!$B$6)</f>
        <v/>
      </c>
      <c r="F475">
        <f>IFERROR(INDEX(IndexScenario!$B$4:$B$544,MATCH(A475,IndexScenario!$A$4:$A$544,0)),"")</f>
        <v/>
      </c>
      <c r="G475">
        <f>G474*F475/F474</f>
        <v/>
      </c>
      <c r="H475">
        <f>H474*(1+Inputs!$B$17)^(1/12)</f>
        <v/>
      </c>
      <c r="I475">
        <f>IFERROR(INDEX(BaseQx!$B:$B,MATCH(D475,BaseQx!$A:$A,0)),"")</f>
        <v/>
      </c>
      <c r="J475">
        <f>IF(Inputs!$B$13="rp_mp",SUMIFS(MP2016_Long!$C:$C,MP2016_Long!$A:$A,D475,MP2016_Long!$B:$B,"&gt;=2014",MP2016_Long!$B:$B,"&lt;"&amp;E475),0)</f>
        <v/>
      </c>
      <c r="K475">
        <f>MIN(0.999999,MAX(0,I475*EXP(J475)))</f>
        <v/>
      </c>
      <c r="L475">
        <f>-LN(1-K475)</f>
        <v/>
      </c>
      <c r="M475">
        <f>EXP(-L475/Inputs!$B$6)</f>
        <v/>
      </c>
      <c r="N475">
        <f>N474*M475</f>
        <v/>
      </c>
      <c r="O475">
        <f>IFERROR(INDEX(MonthlyCurve!$L:$L,MATCH(A475,MonthlyCurve!$A:$A,0)),"")</f>
        <v/>
      </c>
      <c r="P475">
        <f>IF(B475&gt;0,-LN(O475)/B475,"")</f>
        <v/>
      </c>
      <c r="Q475">
        <f>G475*N475</f>
        <v/>
      </c>
      <c r="R475">
        <f>H475*N475</f>
        <v/>
      </c>
      <c r="S475">
        <f>Q475+R475</f>
        <v/>
      </c>
      <c r="T475">
        <f>Q475*O475</f>
        <v/>
      </c>
      <c r="U475">
        <f>R475*O475</f>
        <v/>
      </c>
      <c r="V475">
        <f>SUMPRODUCT(S476:S543,O476:O543)/(N475*O475)</f>
        <v/>
      </c>
    </row>
    <row r="476">
      <c r="A476" t="n">
        <v>473</v>
      </c>
      <c r="B476">
        <f>A476/Inputs!$B$6</f>
        <v/>
      </c>
      <c r="C476">
        <f>Inputs!$B$3+B476</f>
        <v/>
      </c>
      <c r="D476">
        <f>INT(C476)</f>
        <v/>
      </c>
      <c r="E476">
        <f>Inputs!$B$7+1+INT((A476-1)/Inputs!$B$6)</f>
        <v/>
      </c>
      <c r="F476">
        <f>IFERROR(INDEX(IndexScenario!$B$4:$B$544,MATCH(A476,IndexScenario!$A$4:$A$544,0)),"")</f>
        <v/>
      </c>
      <c r="G476">
        <f>G475*F476/F475</f>
        <v/>
      </c>
      <c r="H476">
        <f>H475*(1+Inputs!$B$17)^(1/12)</f>
        <v/>
      </c>
      <c r="I476">
        <f>IFERROR(INDEX(BaseQx!$B:$B,MATCH(D476,BaseQx!$A:$A,0)),"")</f>
        <v/>
      </c>
      <c r="J476">
        <f>IF(Inputs!$B$13="rp_mp",SUMIFS(MP2016_Long!$C:$C,MP2016_Long!$A:$A,D476,MP2016_Long!$B:$B,"&gt;=2014",MP2016_Long!$B:$B,"&lt;"&amp;E476),0)</f>
        <v/>
      </c>
      <c r="K476">
        <f>MIN(0.999999,MAX(0,I476*EXP(J476)))</f>
        <v/>
      </c>
      <c r="L476">
        <f>-LN(1-K476)</f>
        <v/>
      </c>
      <c r="M476">
        <f>EXP(-L476/Inputs!$B$6)</f>
        <v/>
      </c>
      <c r="N476">
        <f>N475*M476</f>
        <v/>
      </c>
      <c r="O476">
        <f>IFERROR(INDEX(MonthlyCurve!$L:$L,MATCH(A476,MonthlyCurve!$A:$A,0)),"")</f>
        <v/>
      </c>
      <c r="P476">
        <f>IF(B476&gt;0,-LN(O476)/B476,"")</f>
        <v/>
      </c>
      <c r="Q476">
        <f>G476*N476</f>
        <v/>
      </c>
      <c r="R476">
        <f>H476*N476</f>
        <v/>
      </c>
      <c r="S476">
        <f>Q476+R476</f>
        <v/>
      </c>
      <c r="T476">
        <f>Q476*O476</f>
        <v/>
      </c>
      <c r="U476">
        <f>R476*O476</f>
        <v/>
      </c>
      <c r="V476">
        <f>SUMPRODUCT(S477:S543,O477:O543)/(N476*O476)</f>
        <v/>
      </c>
    </row>
    <row r="477">
      <c r="A477" t="n">
        <v>474</v>
      </c>
      <c r="B477">
        <f>A477/Inputs!$B$6</f>
        <v/>
      </c>
      <c r="C477">
        <f>Inputs!$B$3+B477</f>
        <v/>
      </c>
      <c r="D477">
        <f>INT(C477)</f>
        <v/>
      </c>
      <c r="E477">
        <f>Inputs!$B$7+1+INT((A477-1)/Inputs!$B$6)</f>
        <v/>
      </c>
      <c r="F477">
        <f>IFERROR(INDEX(IndexScenario!$B$4:$B$544,MATCH(A477,IndexScenario!$A$4:$A$544,0)),"")</f>
        <v/>
      </c>
      <c r="G477">
        <f>G476*F477/F476</f>
        <v/>
      </c>
      <c r="H477">
        <f>H476*(1+Inputs!$B$17)^(1/12)</f>
        <v/>
      </c>
      <c r="I477">
        <f>IFERROR(INDEX(BaseQx!$B:$B,MATCH(D477,BaseQx!$A:$A,0)),"")</f>
        <v/>
      </c>
      <c r="J477">
        <f>IF(Inputs!$B$13="rp_mp",SUMIFS(MP2016_Long!$C:$C,MP2016_Long!$A:$A,D477,MP2016_Long!$B:$B,"&gt;=2014",MP2016_Long!$B:$B,"&lt;"&amp;E477),0)</f>
        <v/>
      </c>
      <c r="K477">
        <f>MIN(0.999999,MAX(0,I477*EXP(J477)))</f>
        <v/>
      </c>
      <c r="L477">
        <f>-LN(1-K477)</f>
        <v/>
      </c>
      <c r="M477">
        <f>EXP(-L477/Inputs!$B$6)</f>
        <v/>
      </c>
      <c r="N477">
        <f>N476*M477</f>
        <v/>
      </c>
      <c r="O477">
        <f>IFERROR(INDEX(MonthlyCurve!$L:$L,MATCH(A477,MonthlyCurve!$A:$A,0)),"")</f>
        <v/>
      </c>
      <c r="P477">
        <f>IF(B477&gt;0,-LN(O477)/B477,"")</f>
        <v/>
      </c>
      <c r="Q477">
        <f>G477*N477</f>
        <v/>
      </c>
      <c r="R477">
        <f>H477*N477</f>
        <v/>
      </c>
      <c r="S477">
        <f>Q477+R477</f>
        <v/>
      </c>
      <c r="T477">
        <f>Q477*O477</f>
        <v/>
      </c>
      <c r="U477">
        <f>R477*O477</f>
        <v/>
      </c>
      <c r="V477">
        <f>SUMPRODUCT(S478:S543,O478:O543)/(N477*O477)</f>
        <v/>
      </c>
    </row>
    <row r="478">
      <c r="A478" t="n">
        <v>475</v>
      </c>
      <c r="B478">
        <f>A478/Inputs!$B$6</f>
        <v/>
      </c>
      <c r="C478">
        <f>Inputs!$B$3+B478</f>
        <v/>
      </c>
      <c r="D478">
        <f>INT(C478)</f>
        <v/>
      </c>
      <c r="E478">
        <f>Inputs!$B$7+1+INT((A478-1)/Inputs!$B$6)</f>
        <v/>
      </c>
      <c r="F478">
        <f>IFERROR(INDEX(IndexScenario!$B$4:$B$544,MATCH(A478,IndexScenario!$A$4:$A$544,0)),"")</f>
        <v/>
      </c>
      <c r="G478">
        <f>G477*F478/F477</f>
        <v/>
      </c>
      <c r="H478">
        <f>H477*(1+Inputs!$B$17)^(1/12)</f>
        <v/>
      </c>
      <c r="I478">
        <f>IFERROR(INDEX(BaseQx!$B:$B,MATCH(D478,BaseQx!$A:$A,0)),"")</f>
        <v/>
      </c>
      <c r="J478">
        <f>IF(Inputs!$B$13="rp_mp",SUMIFS(MP2016_Long!$C:$C,MP2016_Long!$A:$A,D478,MP2016_Long!$B:$B,"&gt;=2014",MP2016_Long!$B:$B,"&lt;"&amp;E478),0)</f>
        <v/>
      </c>
      <c r="K478">
        <f>MIN(0.999999,MAX(0,I478*EXP(J478)))</f>
        <v/>
      </c>
      <c r="L478">
        <f>-LN(1-K478)</f>
        <v/>
      </c>
      <c r="M478">
        <f>EXP(-L478/Inputs!$B$6)</f>
        <v/>
      </c>
      <c r="N478">
        <f>N477*M478</f>
        <v/>
      </c>
      <c r="O478">
        <f>IFERROR(INDEX(MonthlyCurve!$L:$L,MATCH(A478,MonthlyCurve!$A:$A,0)),"")</f>
        <v/>
      </c>
      <c r="P478">
        <f>IF(B478&gt;0,-LN(O478)/B478,"")</f>
        <v/>
      </c>
      <c r="Q478">
        <f>G478*N478</f>
        <v/>
      </c>
      <c r="R478">
        <f>H478*N478</f>
        <v/>
      </c>
      <c r="S478">
        <f>Q478+R478</f>
        <v/>
      </c>
      <c r="T478">
        <f>Q478*O478</f>
        <v/>
      </c>
      <c r="U478">
        <f>R478*O478</f>
        <v/>
      </c>
      <c r="V478">
        <f>SUMPRODUCT(S479:S543,O479:O543)/(N478*O478)</f>
        <v/>
      </c>
    </row>
    <row r="479">
      <c r="A479" t="n">
        <v>476</v>
      </c>
      <c r="B479">
        <f>A479/Inputs!$B$6</f>
        <v/>
      </c>
      <c r="C479">
        <f>Inputs!$B$3+B479</f>
        <v/>
      </c>
      <c r="D479">
        <f>INT(C479)</f>
        <v/>
      </c>
      <c r="E479">
        <f>Inputs!$B$7+1+INT((A479-1)/Inputs!$B$6)</f>
        <v/>
      </c>
      <c r="F479">
        <f>IFERROR(INDEX(IndexScenario!$B$4:$B$544,MATCH(A479,IndexScenario!$A$4:$A$544,0)),"")</f>
        <v/>
      </c>
      <c r="G479">
        <f>G478*F479/F478</f>
        <v/>
      </c>
      <c r="H479">
        <f>H478*(1+Inputs!$B$17)^(1/12)</f>
        <v/>
      </c>
      <c r="I479">
        <f>IFERROR(INDEX(BaseQx!$B:$B,MATCH(D479,BaseQx!$A:$A,0)),"")</f>
        <v/>
      </c>
      <c r="J479">
        <f>IF(Inputs!$B$13="rp_mp",SUMIFS(MP2016_Long!$C:$C,MP2016_Long!$A:$A,D479,MP2016_Long!$B:$B,"&gt;=2014",MP2016_Long!$B:$B,"&lt;"&amp;E479),0)</f>
        <v/>
      </c>
      <c r="K479">
        <f>MIN(0.999999,MAX(0,I479*EXP(J479)))</f>
        <v/>
      </c>
      <c r="L479">
        <f>-LN(1-K479)</f>
        <v/>
      </c>
      <c r="M479">
        <f>EXP(-L479/Inputs!$B$6)</f>
        <v/>
      </c>
      <c r="N479">
        <f>N478*M479</f>
        <v/>
      </c>
      <c r="O479">
        <f>IFERROR(INDEX(MonthlyCurve!$L:$L,MATCH(A479,MonthlyCurve!$A:$A,0)),"")</f>
        <v/>
      </c>
      <c r="P479">
        <f>IF(B479&gt;0,-LN(O479)/B479,"")</f>
        <v/>
      </c>
      <c r="Q479">
        <f>G479*N479</f>
        <v/>
      </c>
      <c r="R479">
        <f>H479*N479</f>
        <v/>
      </c>
      <c r="S479">
        <f>Q479+R479</f>
        <v/>
      </c>
      <c r="T479">
        <f>Q479*O479</f>
        <v/>
      </c>
      <c r="U479">
        <f>R479*O479</f>
        <v/>
      </c>
      <c r="V479">
        <f>SUMPRODUCT(S480:S543,O480:O543)/(N479*O479)</f>
        <v/>
      </c>
    </row>
    <row r="480">
      <c r="A480" t="n">
        <v>477</v>
      </c>
      <c r="B480">
        <f>A480/Inputs!$B$6</f>
        <v/>
      </c>
      <c r="C480">
        <f>Inputs!$B$3+B480</f>
        <v/>
      </c>
      <c r="D480">
        <f>INT(C480)</f>
        <v/>
      </c>
      <c r="E480">
        <f>Inputs!$B$7+1+INT((A480-1)/Inputs!$B$6)</f>
        <v/>
      </c>
      <c r="F480">
        <f>IFERROR(INDEX(IndexScenario!$B$4:$B$544,MATCH(A480,IndexScenario!$A$4:$A$544,0)),"")</f>
        <v/>
      </c>
      <c r="G480">
        <f>G479*F480/F479</f>
        <v/>
      </c>
      <c r="H480">
        <f>H479*(1+Inputs!$B$17)^(1/12)</f>
        <v/>
      </c>
      <c r="I480">
        <f>IFERROR(INDEX(BaseQx!$B:$B,MATCH(D480,BaseQx!$A:$A,0)),"")</f>
        <v/>
      </c>
      <c r="J480">
        <f>IF(Inputs!$B$13="rp_mp",SUMIFS(MP2016_Long!$C:$C,MP2016_Long!$A:$A,D480,MP2016_Long!$B:$B,"&gt;=2014",MP2016_Long!$B:$B,"&lt;"&amp;E480),0)</f>
        <v/>
      </c>
      <c r="K480">
        <f>MIN(0.999999,MAX(0,I480*EXP(J480)))</f>
        <v/>
      </c>
      <c r="L480">
        <f>-LN(1-K480)</f>
        <v/>
      </c>
      <c r="M480">
        <f>EXP(-L480/Inputs!$B$6)</f>
        <v/>
      </c>
      <c r="N480">
        <f>N479*M480</f>
        <v/>
      </c>
      <c r="O480">
        <f>IFERROR(INDEX(MonthlyCurve!$L:$L,MATCH(A480,MonthlyCurve!$A:$A,0)),"")</f>
        <v/>
      </c>
      <c r="P480">
        <f>IF(B480&gt;0,-LN(O480)/B480,"")</f>
        <v/>
      </c>
      <c r="Q480">
        <f>G480*N480</f>
        <v/>
      </c>
      <c r="R480">
        <f>H480*N480</f>
        <v/>
      </c>
      <c r="S480">
        <f>Q480+R480</f>
        <v/>
      </c>
      <c r="T480">
        <f>Q480*O480</f>
        <v/>
      </c>
      <c r="U480">
        <f>R480*O480</f>
        <v/>
      </c>
      <c r="V480">
        <f>SUMPRODUCT(S481:S543,O481:O543)/(N480*O480)</f>
        <v/>
      </c>
    </row>
    <row r="481">
      <c r="A481" t="n">
        <v>478</v>
      </c>
      <c r="B481">
        <f>A481/Inputs!$B$6</f>
        <v/>
      </c>
      <c r="C481">
        <f>Inputs!$B$3+B481</f>
        <v/>
      </c>
      <c r="D481">
        <f>INT(C481)</f>
        <v/>
      </c>
      <c r="E481">
        <f>Inputs!$B$7+1+INT((A481-1)/Inputs!$B$6)</f>
        <v/>
      </c>
      <c r="F481">
        <f>IFERROR(INDEX(IndexScenario!$B$4:$B$544,MATCH(A481,IndexScenario!$A$4:$A$544,0)),"")</f>
        <v/>
      </c>
      <c r="G481">
        <f>G480*F481/F480</f>
        <v/>
      </c>
      <c r="H481">
        <f>H480*(1+Inputs!$B$17)^(1/12)</f>
        <v/>
      </c>
      <c r="I481">
        <f>IFERROR(INDEX(BaseQx!$B:$B,MATCH(D481,BaseQx!$A:$A,0)),"")</f>
        <v/>
      </c>
      <c r="J481">
        <f>IF(Inputs!$B$13="rp_mp",SUMIFS(MP2016_Long!$C:$C,MP2016_Long!$A:$A,D481,MP2016_Long!$B:$B,"&gt;=2014",MP2016_Long!$B:$B,"&lt;"&amp;E481),0)</f>
        <v/>
      </c>
      <c r="K481">
        <f>MIN(0.999999,MAX(0,I481*EXP(J481)))</f>
        <v/>
      </c>
      <c r="L481">
        <f>-LN(1-K481)</f>
        <v/>
      </c>
      <c r="M481">
        <f>EXP(-L481/Inputs!$B$6)</f>
        <v/>
      </c>
      <c r="N481">
        <f>N480*M481</f>
        <v/>
      </c>
      <c r="O481">
        <f>IFERROR(INDEX(MonthlyCurve!$L:$L,MATCH(A481,MonthlyCurve!$A:$A,0)),"")</f>
        <v/>
      </c>
      <c r="P481">
        <f>IF(B481&gt;0,-LN(O481)/B481,"")</f>
        <v/>
      </c>
      <c r="Q481">
        <f>G481*N481</f>
        <v/>
      </c>
      <c r="R481">
        <f>H481*N481</f>
        <v/>
      </c>
      <c r="S481">
        <f>Q481+R481</f>
        <v/>
      </c>
      <c r="T481">
        <f>Q481*O481</f>
        <v/>
      </c>
      <c r="U481">
        <f>R481*O481</f>
        <v/>
      </c>
      <c r="V481">
        <f>SUMPRODUCT(S482:S543,O482:O543)/(N481*O481)</f>
        <v/>
      </c>
    </row>
    <row r="482">
      <c r="A482" t="n">
        <v>479</v>
      </c>
      <c r="B482">
        <f>A482/Inputs!$B$6</f>
        <v/>
      </c>
      <c r="C482">
        <f>Inputs!$B$3+B482</f>
        <v/>
      </c>
      <c r="D482">
        <f>INT(C482)</f>
        <v/>
      </c>
      <c r="E482">
        <f>Inputs!$B$7+1+INT((A482-1)/Inputs!$B$6)</f>
        <v/>
      </c>
      <c r="F482">
        <f>IFERROR(INDEX(IndexScenario!$B$4:$B$544,MATCH(A482,IndexScenario!$A$4:$A$544,0)),"")</f>
        <v/>
      </c>
      <c r="G482">
        <f>G481*F482/F481</f>
        <v/>
      </c>
      <c r="H482">
        <f>H481*(1+Inputs!$B$17)^(1/12)</f>
        <v/>
      </c>
      <c r="I482">
        <f>IFERROR(INDEX(BaseQx!$B:$B,MATCH(D482,BaseQx!$A:$A,0)),"")</f>
        <v/>
      </c>
      <c r="J482">
        <f>IF(Inputs!$B$13="rp_mp",SUMIFS(MP2016_Long!$C:$C,MP2016_Long!$A:$A,D482,MP2016_Long!$B:$B,"&gt;=2014",MP2016_Long!$B:$B,"&lt;"&amp;E482),0)</f>
        <v/>
      </c>
      <c r="K482">
        <f>MIN(0.999999,MAX(0,I482*EXP(J482)))</f>
        <v/>
      </c>
      <c r="L482">
        <f>-LN(1-K482)</f>
        <v/>
      </c>
      <c r="M482">
        <f>EXP(-L482/Inputs!$B$6)</f>
        <v/>
      </c>
      <c r="N482">
        <f>N481*M482</f>
        <v/>
      </c>
      <c r="O482">
        <f>IFERROR(INDEX(MonthlyCurve!$L:$L,MATCH(A482,MonthlyCurve!$A:$A,0)),"")</f>
        <v/>
      </c>
      <c r="P482">
        <f>IF(B482&gt;0,-LN(O482)/B482,"")</f>
        <v/>
      </c>
      <c r="Q482">
        <f>G482*N482</f>
        <v/>
      </c>
      <c r="R482">
        <f>H482*N482</f>
        <v/>
      </c>
      <c r="S482">
        <f>Q482+R482</f>
        <v/>
      </c>
      <c r="T482">
        <f>Q482*O482</f>
        <v/>
      </c>
      <c r="U482">
        <f>R482*O482</f>
        <v/>
      </c>
      <c r="V482">
        <f>SUMPRODUCT(S483:S543,O483:O543)/(N482*O482)</f>
        <v/>
      </c>
    </row>
    <row r="483">
      <c r="A483" t="n">
        <v>480</v>
      </c>
      <c r="B483">
        <f>A483/Inputs!$B$6</f>
        <v/>
      </c>
      <c r="C483">
        <f>Inputs!$B$3+B483</f>
        <v/>
      </c>
      <c r="D483">
        <f>INT(C483)</f>
        <v/>
      </c>
      <c r="E483">
        <f>Inputs!$B$7+1+INT((A483-1)/Inputs!$B$6)</f>
        <v/>
      </c>
      <c r="F483">
        <f>IFERROR(INDEX(IndexScenario!$B$4:$B$544,MATCH(A483,IndexScenario!$A$4:$A$544,0)),"")</f>
        <v/>
      </c>
      <c r="G483">
        <f>G482*F483/F482</f>
        <v/>
      </c>
      <c r="H483">
        <f>H482*(1+Inputs!$B$17)^(1/12)</f>
        <v/>
      </c>
      <c r="I483">
        <f>IFERROR(INDEX(BaseQx!$B:$B,MATCH(D483,BaseQx!$A:$A,0)),"")</f>
        <v/>
      </c>
      <c r="J483">
        <f>IF(Inputs!$B$13="rp_mp",SUMIFS(MP2016_Long!$C:$C,MP2016_Long!$A:$A,D483,MP2016_Long!$B:$B,"&gt;=2014",MP2016_Long!$B:$B,"&lt;"&amp;E483),0)</f>
        <v/>
      </c>
      <c r="K483">
        <f>MIN(0.999999,MAX(0,I483*EXP(J483)))</f>
        <v/>
      </c>
      <c r="L483">
        <f>-LN(1-K483)</f>
        <v/>
      </c>
      <c r="M483">
        <f>EXP(-L483/Inputs!$B$6)</f>
        <v/>
      </c>
      <c r="N483">
        <f>N482*M483</f>
        <v/>
      </c>
      <c r="O483">
        <f>IFERROR(INDEX(MonthlyCurve!$L:$L,MATCH(A483,MonthlyCurve!$A:$A,0)),"")</f>
        <v/>
      </c>
      <c r="P483">
        <f>IF(B483&gt;0,-LN(O483)/B483,"")</f>
        <v/>
      </c>
      <c r="Q483">
        <f>G483*N483</f>
        <v/>
      </c>
      <c r="R483">
        <f>H483*N483</f>
        <v/>
      </c>
      <c r="S483">
        <f>Q483+R483</f>
        <v/>
      </c>
      <c r="T483">
        <f>Q483*O483</f>
        <v/>
      </c>
      <c r="U483">
        <f>R483*O483</f>
        <v/>
      </c>
      <c r="V483">
        <f>SUMPRODUCT(S484:S543,O484:O543)/(N483*O483)</f>
        <v/>
      </c>
    </row>
    <row r="484">
      <c r="A484" t="n">
        <v>481</v>
      </c>
      <c r="B484">
        <f>A484/Inputs!$B$6</f>
        <v/>
      </c>
      <c r="C484">
        <f>Inputs!$B$3+B484</f>
        <v/>
      </c>
      <c r="D484">
        <f>INT(C484)</f>
        <v/>
      </c>
      <c r="E484">
        <f>Inputs!$B$7+1+INT((A484-1)/Inputs!$B$6)</f>
        <v/>
      </c>
      <c r="F484">
        <f>IFERROR(INDEX(IndexScenario!$B$4:$B$544,MATCH(A484,IndexScenario!$A$4:$A$544,0)),"")</f>
        <v/>
      </c>
      <c r="G484">
        <f>G483*F484/F483</f>
        <v/>
      </c>
      <c r="H484">
        <f>H483*(1+Inputs!$B$17)^(1/12)</f>
        <v/>
      </c>
      <c r="I484">
        <f>IFERROR(INDEX(BaseQx!$B:$B,MATCH(D484,BaseQx!$A:$A,0)),"")</f>
        <v/>
      </c>
      <c r="J484">
        <f>IF(Inputs!$B$13="rp_mp",SUMIFS(MP2016_Long!$C:$C,MP2016_Long!$A:$A,D484,MP2016_Long!$B:$B,"&gt;=2014",MP2016_Long!$B:$B,"&lt;"&amp;E484),0)</f>
        <v/>
      </c>
      <c r="K484">
        <f>MIN(0.999999,MAX(0,I484*EXP(J484)))</f>
        <v/>
      </c>
      <c r="L484">
        <f>-LN(1-K484)</f>
        <v/>
      </c>
      <c r="M484">
        <f>EXP(-L484/Inputs!$B$6)</f>
        <v/>
      </c>
      <c r="N484">
        <f>N483*M484</f>
        <v/>
      </c>
      <c r="O484">
        <f>IFERROR(INDEX(MonthlyCurve!$L:$L,MATCH(A484,MonthlyCurve!$A:$A,0)),"")</f>
        <v/>
      </c>
      <c r="P484">
        <f>IF(B484&gt;0,-LN(O484)/B484,"")</f>
        <v/>
      </c>
      <c r="Q484">
        <f>G484*N484</f>
        <v/>
      </c>
      <c r="R484">
        <f>H484*N484</f>
        <v/>
      </c>
      <c r="S484">
        <f>Q484+R484</f>
        <v/>
      </c>
      <c r="T484">
        <f>Q484*O484</f>
        <v/>
      </c>
      <c r="U484">
        <f>R484*O484</f>
        <v/>
      </c>
      <c r="V484">
        <f>SUMPRODUCT(S485:S543,O485:O543)/(N484*O484)</f>
        <v/>
      </c>
    </row>
    <row r="485">
      <c r="A485" t="n">
        <v>482</v>
      </c>
      <c r="B485">
        <f>A485/Inputs!$B$6</f>
        <v/>
      </c>
      <c r="C485">
        <f>Inputs!$B$3+B485</f>
        <v/>
      </c>
      <c r="D485">
        <f>INT(C485)</f>
        <v/>
      </c>
      <c r="E485">
        <f>Inputs!$B$7+1+INT((A485-1)/Inputs!$B$6)</f>
        <v/>
      </c>
      <c r="F485">
        <f>IFERROR(INDEX(IndexScenario!$B$4:$B$544,MATCH(A485,IndexScenario!$A$4:$A$544,0)),"")</f>
        <v/>
      </c>
      <c r="G485">
        <f>G484*F485/F484</f>
        <v/>
      </c>
      <c r="H485">
        <f>H484*(1+Inputs!$B$17)^(1/12)</f>
        <v/>
      </c>
      <c r="I485">
        <f>IFERROR(INDEX(BaseQx!$B:$B,MATCH(D485,BaseQx!$A:$A,0)),"")</f>
        <v/>
      </c>
      <c r="J485">
        <f>IF(Inputs!$B$13="rp_mp",SUMIFS(MP2016_Long!$C:$C,MP2016_Long!$A:$A,D485,MP2016_Long!$B:$B,"&gt;=2014",MP2016_Long!$B:$B,"&lt;"&amp;E485),0)</f>
        <v/>
      </c>
      <c r="K485">
        <f>MIN(0.999999,MAX(0,I485*EXP(J485)))</f>
        <v/>
      </c>
      <c r="L485">
        <f>-LN(1-K485)</f>
        <v/>
      </c>
      <c r="M485">
        <f>EXP(-L485/Inputs!$B$6)</f>
        <v/>
      </c>
      <c r="N485">
        <f>N484*M485</f>
        <v/>
      </c>
      <c r="O485">
        <f>IFERROR(INDEX(MonthlyCurve!$L:$L,MATCH(A485,MonthlyCurve!$A:$A,0)),"")</f>
        <v/>
      </c>
      <c r="P485">
        <f>IF(B485&gt;0,-LN(O485)/B485,"")</f>
        <v/>
      </c>
      <c r="Q485">
        <f>G485*N485</f>
        <v/>
      </c>
      <c r="R485">
        <f>H485*N485</f>
        <v/>
      </c>
      <c r="S485">
        <f>Q485+R485</f>
        <v/>
      </c>
      <c r="T485">
        <f>Q485*O485</f>
        <v/>
      </c>
      <c r="U485">
        <f>R485*O485</f>
        <v/>
      </c>
      <c r="V485">
        <f>SUMPRODUCT(S486:S543,O486:O543)/(N485*O485)</f>
        <v/>
      </c>
    </row>
    <row r="486">
      <c r="A486" t="n">
        <v>483</v>
      </c>
      <c r="B486">
        <f>A486/Inputs!$B$6</f>
        <v/>
      </c>
      <c r="C486">
        <f>Inputs!$B$3+B486</f>
        <v/>
      </c>
      <c r="D486">
        <f>INT(C486)</f>
        <v/>
      </c>
      <c r="E486">
        <f>Inputs!$B$7+1+INT((A486-1)/Inputs!$B$6)</f>
        <v/>
      </c>
      <c r="F486">
        <f>IFERROR(INDEX(IndexScenario!$B$4:$B$544,MATCH(A486,IndexScenario!$A$4:$A$544,0)),"")</f>
        <v/>
      </c>
      <c r="G486">
        <f>G485*F486/F485</f>
        <v/>
      </c>
      <c r="H486">
        <f>H485*(1+Inputs!$B$17)^(1/12)</f>
        <v/>
      </c>
      <c r="I486">
        <f>IFERROR(INDEX(BaseQx!$B:$B,MATCH(D486,BaseQx!$A:$A,0)),"")</f>
        <v/>
      </c>
      <c r="J486">
        <f>IF(Inputs!$B$13="rp_mp",SUMIFS(MP2016_Long!$C:$C,MP2016_Long!$A:$A,D486,MP2016_Long!$B:$B,"&gt;=2014",MP2016_Long!$B:$B,"&lt;"&amp;E486),0)</f>
        <v/>
      </c>
      <c r="K486">
        <f>MIN(0.999999,MAX(0,I486*EXP(J486)))</f>
        <v/>
      </c>
      <c r="L486">
        <f>-LN(1-K486)</f>
        <v/>
      </c>
      <c r="M486">
        <f>EXP(-L486/Inputs!$B$6)</f>
        <v/>
      </c>
      <c r="N486">
        <f>N485*M486</f>
        <v/>
      </c>
      <c r="O486">
        <f>IFERROR(INDEX(MonthlyCurve!$L:$L,MATCH(A486,MonthlyCurve!$A:$A,0)),"")</f>
        <v/>
      </c>
      <c r="P486">
        <f>IF(B486&gt;0,-LN(O486)/B486,"")</f>
        <v/>
      </c>
      <c r="Q486">
        <f>G486*N486</f>
        <v/>
      </c>
      <c r="R486">
        <f>H486*N486</f>
        <v/>
      </c>
      <c r="S486">
        <f>Q486+R486</f>
        <v/>
      </c>
      <c r="T486">
        <f>Q486*O486</f>
        <v/>
      </c>
      <c r="U486">
        <f>R486*O486</f>
        <v/>
      </c>
      <c r="V486">
        <f>SUMPRODUCT(S487:S543,O487:O543)/(N486*O486)</f>
        <v/>
      </c>
    </row>
    <row r="487">
      <c r="A487" t="n">
        <v>484</v>
      </c>
      <c r="B487">
        <f>A487/Inputs!$B$6</f>
        <v/>
      </c>
      <c r="C487">
        <f>Inputs!$B$3+B487</f>
        <v/>
      </c>
      <c r="D487">
        <f>INT(C487)</f>
        <v/>
      </c>
      <c r="E487">
        <f>Inputs!$B$7+1+INT((A487-1)/Inputs!$B$6)</f>
        <v/>
      </c>
      <c r="F487">
        <f>IFERROR(INDEX(IndexScenario!$B$4:$B$544,MATCH(A487,IndexScenario!$A$4:$A$544,0)),"")</f>
        <v/>
      </c>
      <c r="G487">
        <f>G486*F487/F486</f>
        <v/>
      </c>
      <c r="H487">
        <f>H486*(1+Inputs!$B$17)^(1/12)</f>
        <v/>
      </c>
      <c r="I487">
        <f>IFERROR(INDEX(BaseQx!$B:$B,MATCH(D487,BaseQx!$A:$A,0)),"")</f>
        <v/>
      </c>
      <c r="J487">
        <f>IF(Inputs!$B$13="rp_mp",SUMIFS(MP2016_Long!$C:$C,MP2016_Long!$A:$A,D487,MP2016_Long!$B:$B,"&gt;=2014",MP2016_Long!$B:$B,"&lt;"&amp;E487),0)</f>
        <v/>
      </c>
      <c r="K487">
        <f>MIN(0.999999,MAX(0,I487*EXP(J487)))</f>
        <v/>
      </c>
      <c r="L487">
        <f>-LN(1-K487)</f>
        <v/>
      </c>
      <c r="M487">
        <f>EXP(-L487/Inputs!$B$6)</f>
        <v/>
      </c>
      <c r="N487">
        <f>N486*M487</f>
        <v/>
      </c>
      <c r="O487">
        <f>IFERROR(INDEX(MonthlyCurve!$L:$L,MATCH(A487,MonthlyCurve!$A:$A,0)),"")</f>
        <v/>
      </c>
      <c r="P487">
        <f>IF(B487&gt;0,-LN(O487)/B487,"")</f>
        <v/>
      </c>
      <c r="Q487">
        <f>G487*N487</f>
        <v/>
      </c>
      <c r="R487">
        <f>H487*N487</f>
        <v/>
      </c>
      <c r="S487">
        <f>Q487+R487</f>
        <v/>
      </c>
      <c r="T487">
        <f>Q487*O487</f>
        <v/>
      </c>
      <c r="U487">
        <f>R487*O487</f>
        <v/>
      </c>
      <c r="V487">
        <f>SUMPRODUCT(S488:S543,O488:O543)/(N487*O487)</f>
        <v/>
      </c>
    </row>
    <row r="488">
      <c r="A488" t="n">
        <v>485</v>
      </c>
      <c r="B488">
        <f>A488/Inputs!$B$6</f>
        <v/>
      </c>
      <c r="C488">
        <f>Inputs!$B$3+B488</f>
        <v/>
      </c>
      <c r="D488">
        <f>INT(C488)</f>
        <v/>
      </c>
      <c r="E488">
        <f>Inputs!$B$7+1+INT((A488-1)/Inputs!$B$6)</f>
        <v/>
      </c>
      <c r="F488">
        <f>IFERROR(INDEX(IndexScenario!$B$4:$B$544,MATCH(A488,IndexScenario!$A$4:$A$544,0)),"")</f>
        <v/>
      </c>
      <c r="G488">
        <f>G487*F488/F487</f>
        <v/>
      </c>
      <c r="H488">
        <f>H487*(1+Inputs!$B$17)^(1/12)</f>
        <v/>
      </c>
      <c r="I488">
        <f>IFERROR(INDEX(BaseQx!$B:$B,MATCH(D488,BaseQx!$A:$A,0)),"")</f>
        <v/>
      </c>
      <c r="J488">
        <f>IF(Inputs!$B$13="rp_mp",SUMIFS(MP2016_Long!$C:$C,MP2016_Long!$A:$A,D488,MP2016_Long!$B:$B,"&gt;=2014",MP2016_Long!$B:$B,"&lt;"&amp;E488),0)</f>
        <v/>
      </c>
      <c r="K488">
        <f>MIN(0.999999,MAX(0,I488*EXP(J488)))</f>
        <v/>
      </c>
      <c r="L488">
        <f>-LN(1-K488)</f>
        <v/>
      </c>
      <c r="M488">
        <f>EXP(-L488/Inputs!$B$6)</f>
        <v/>
      </c>
      <c r="N488">
        <f>N487*M488</f>
        <v/>
      </c>
      <c r="O488">
        <f>IFERROR(INDEX(MonthlyCurve!$L:$L,MATCH(A488,MonthlyCurve!$A:$A,0)),"")</f>
        <v/>
      </c>
      <c r="P488">
        <f>IF(B488&gt;0,-LN(O488)/B488,"")</f>
        <v/>
      </c>
      <c r="Q488">
        <f>G488*N488</f>
        <v/>
      </c>
      <c r="R488">
        <f>H488*N488</f>
        <v/>
      </c>
      <c r="S488">
        <f>Q488+R488</f>
        <v/>
      </c>
      <c r="T488">
        <f>Q488*O488</f>
        <v/>
      </c>
      <c r="U488">
        <f>R488*O488</f>
        <v/>
      </c>
      <c r="V488">
        <f>SUMPRODUCT(S489:S543,O489:O543)/(N488*O488)</f>
        <v/>
      </c>
    </row>
    <row r="489">
      <c r="A489" t="n">
        <v>486</v>
      </c>
      <c r="B489">
        <f>A489/Inputs!$B$6</f>
        <v/>
      </c>
      <c r="C489">
        <f>Inputs!$B$3+B489</f>
        <v/>
      </c>
      <c r="D489">
        <f>INT(C489)</f>
        <v/>
      </c>
      <c r="E489">
        <f>Inputs!$B$7+1+INT((A489-1)/Inputs!$B$6)</f>
        <v/>
      </c>
      <c r="F489">
        <f>IFERROR(INDEX(IndexScenario!$B$4:$B$544,MATCH(A489,IndexScenario!$A$4:$A$544,0)),"")</f>
        <v/>
      </c>
      <c r="G489">
        <f>G488*F489/F488</f>
        <v/>
      </c>
      <c r="H489">
        <f>H488*(1+Inputs!$B$17)^(1/12)</f>
        <v/>
      </c>
      <c r="I489">
        <f>IFERROR(INDEX(BaseQx!$B:$B,MATCH(D489,BaseQx!$A:$A,0)),"")</f>
        <v/>
      </c>
      <c r="J489">
        <f>IF(Inputs!$B$13="rp_mp",SUMIFS(MP2016_Long!$C:$C,MP2016_Long!$A:$A,D489,MP2016_Long!$B:$B,"&gt;=2014",MP2016_Long!$B:$B,"&lt;"&amp;E489),0)</f>
        <v/>
      </c>
      <c r="K489">
        <f>MIN(0.999999,MAX(0,I489*EXP(J489)))</f>
        <v/>
      </c>
      <c r="L489">
        <f>-LN(1-K489)</f>
        <v/>
      </c>
      <c r="M489">
        <f>EXP(-L489/Inputs!$B$6)</f>
        <v/>
      </c>
      <c r="N489">
        <f>N488*M489</f>
        <v/>
      </c>
      <c r="O489">
        <f>IFERROR(INDEX(MonthlyCurve!$L:$L,MATCH(A489,MonthlyCurve!$A:$A,0)),"")</f>
        <v/>
      </c>
      <c r="P489">
        <f>IF(B489&gt;0,-LN(O489)/B489,"")</f>
        <v/>
      </c>
      <c r="Q489">
        <f>G489*N489</f>
        <v/>
      </c>
      <c r="R489">
        <f>H489*N489</f>
        <v/>
      </c>
      <c r="S489">
        <f>Q489+R489</f>
        <v/>
      </c>
      <c r="T489">
        <f>Q489*O489</f>
        <v/>
      </c>
      <c r="U489">
        <f>R489*O489</f>
        <v/>
      </c>
      <c r="V489">
        <f>SUMPRODUCT(S490:S543,O490:O543)/(N489*O489)</f>
        <v/>
      </c>
    </row>
    <row r="490">
      <c r="A490" t="n">
        <v>487</v>
      </c>
      <c r="B490">
        <f>A490/Inputs!$B$6</f>
        <v/>
      </c>
      <c r="C490">
        <f>Inputs!$B$3+B490</f>
        <v/>
      </c>
      <c r="D490">
        <f>INT(C490)</f>
        <v/>
      </c>
      <c r="E490">
        <f>Inputs!$B$7+1+INT((A490-1)/Inputs!$B$6)</f>
        <v/>
      </c>
      <c r="F490">
        <f>IFERROR(INDEX(IndexScenario!$B$4:$B$544,MATCH(A490,IndexScenario!$A$4:$A$544,0)),"")</f>
        <v/>
      </c>
      <c r="G490">
        <f>G489*F490/F489</f>
        <v/>
      </c>
      <c r="H490">
        <f>H489*(1+Inputs!$B$17)^(1/12)</f>
        <v/>
      </c>
      <c r="I490">
        <f>IFERROR(INDEX(BaseQx!$B:$B,MATCH(D490,BaseQx!$A:$A,0)),"")</f>
        <v/>
      </c>
      <c r="J490">
        <f>IF(Inputs!$B$13="rp_mp",SUMIFS(MP2016_Long!$C:$C,MP2016_Long!$A:$A,D490,MP2016_Long!$B:$B,"&gt;=2014",MP2016_Long!$B:$B,"&lt;"&amp;E490),0)</f>
        <v/>
      </c>
      <c r="K490">
        <f>MIN(0.999999,MAX(0,I490*EXP(J490)))</f>
        <v/>
      </c>
      <c r="L490">
        <f>-LN(1-K490)</f>
        <v/>
      </c>
      <c r="M490">
        <f>EXP(-L490/Inputs!$B$6)</f>
        <v/>
      </c>
      <c r="N490">
        <f>N489*M490</f>
        <v/>
      </c>
      <c r="O490">
        <f>IFERROR(INDEX(MonthlyCurve!$L:$L,MATCH(A490,MonthlyCurve!$A:$A,0)),"")</f>
        <v/>
      </c>
      <c r="P490">
        <f>IF(B490&gt;0,-LN(O490)/B490,"")</f>
        <v/>
      </c>
      <c r="Q490">
        <f>G490*N490</f>
        <v/>
      </c>
      <c r="R490">
        <f>H490*N490</f>
        <v/>
      </c>
      <c r="S490">
        <f>Q490+R490</f>
        <v/>
      </c>
      <c r="T490">
        <f>Q490*O490</f>
        <v/>
      </c>
      <c r="U490">
        <f>R490*O490</f>
        <v/>
      </c>
      <c r="V490">
        <f>SUMPRODUCT(S491:S543,O491:O543)/(N490*O490)</f>
        <v/>
      </c>
    </row>
    <row r="491">
      <c r="A491" t="n">
        <v>488</v>
      </c>
      <c r="B491">
        <f>A491/Inputs!$B$6</f>
        <v/>
      </c>
      <c r="C491">
        <f>Inputs!$B$3+B491</f>
        <v/>
      </c>
      <c r="D491">
        <f>INT(C491)</f>
        <v/>
      </c>
      <c r="E491">
        <f>Inputs!$B$7+1+INT((A491-1)/Inputs!$B$6)</f>
        <v/>
      </c>
      <c r="F491">
        <f>IFERROR(INDEX(IndexScenario!$B$4:$B$544,MATCH(A491,IndexScenario!$A$4:$A$544,0)),"")</f>
        <v/>
      </c>
      <c r="G491">
        <f>G490*F491/F490</f>
        <v/>
      </c>
      <c r="H491">
        <f>H490*(1+Inputs!$B$17)^(1/12)</f>
        <v/>
      </c>
      <c r="I491">
        <f>IFERROR(INDEX(BaseQx!$B:$B,MATCH(D491,BaseQx!$A:$A,0)),"")</f>
        <v/>
      </c>
      <c r="J491">
        <f>IF(Inputs!$B$13="rp_mp",SUMIFS(MP2016_Long!$C:$C,MP2016_Long!$A:$A,D491,MP2016_Long!$B:$B,"&gt;=2014",MP2016_Long!$B:$B,"&lt;"&amp;E491),0)</f>
        <v/>
      </c>
      <c r="K491">
        <f>MIN(0.999999,MAX(0,I491*EXP(J491)))</f>
        <v/>
      </c>
      <c r="L491">
        <f>-LN(1-K491)</f>
        <v/>
      </c>
      <c r="M491">
        <f>EXP(-L491/Inputs!$B$6)</f>
        <v/>
      </c>
      <c r="N491">
        <f>N490*M491</f>
        <v/>
      </c>
      <c r="O491">
        <f>IFERROR(INDEX(MonthlyCurve!$L:$L,MATCH(A491,MonthlyCurve!$A:$A,0)),"")</f>
        <v/>
      </c>
      <c r="P491">
        <f>IF(B491&gt;0,-LN(O491)/B491,"")</f>
        <v/>
      </c>
      <c r="Q491">
        <f>G491*N491</f>
        <v/>
      </c>
      <c r="R491">
        <f>H491*N491</f>
        <v/>
      </c>
      <c r="S491">
        <f>Q491+R491</f>
        <v/>
      </c>
      <c r="T491">
        <f>Q491*O491</f>
        <v/>
      </c>
      <c r="U491">
        <f>R491*O491</f>
        <v/>
      </c>
      <c r="V491">
        <f>SUMPRODUCT(S492:S543,O492:O543)/(N491*O491)</f>
        <v/>
      </c>
    </row>
    <row r="492">
      <c r="A492" t="n">
        <v>489</v>
      </c>
      <c r="B492">
        <f>A492/Inputs!$B$6</f>
        <v/>
      </c>
      <c r="C492">
        <f>Inputs!$B$3+B492</f>
        <v/>
      </c>
      <c r="D492">
        <f>INT(C492)</f>
        <v/>
      </c>
      <c r="E492">
        <f>Inputs!$B$7+1+INT((A492-1)/Inputs!$B$6)</f>
        <v/>
      </c>
      <c r="F492">
        <f>IFERROR(INDEX(IndexScenario!$B$4:$B$544,MATCH(A492,IndexScenario!$A$4:$A$544,0)),"")</f>
        <v/>
      </c>
      <c r="G492">
        <f>G491*F492/F491</f>
        <v/>
      </c>
      <c r="H492">
        <f>H491*(1+Inputs!$B$17)^(1/12)</f>
        <v/>
      </c>
      <c r="I492">
        <f>IFERROR(INDEX(BaseQx!$B:$B,MATCH(D492,BaseQx!$A:$A,0)),"")</f>
        <v/>
      </c>
      <c r="J492">
        <f>IF(Inputs!$B$13="rp_mp",SUMIFS(MP2016_Long!$C:$C,MP2016_Long!$A:$A,D492,MP2016_Long!$B:$B,"&gt;=2014",MP2016_Long!$B:$B,"&lt;"&amp;E492),0)</f>
        <v/>
      </c>
      <c r="K492">
        <f>MIN(0.999999,MAX(0,I492*EXP(J492)))</f>
        <v/>
      </c>
      <c r="L492">
        <f>-LN(1-K492)</f>
        <v/>
      </c>
      <c r="M492">
        <f>EXP(-L492/Inputs!$B$6)</f>
        <v/>
      </c>
      <c r="N492">
        <f>N491*M492</f>
        <v/>
      </c>
      <c r="O492">
        <f>IFERROR(INDEX(MonthlyCurve!$L:$L,MATCH(A492,MonthlyCurve!$A:$A,0)),"")</f>
        <v/>
      </c>
      <c r="P492">
        <f>IF(B492&gt;0,-LN(O492)/B492,"")</f>
        <v/>
      </c>
      <c r="Q492">
        <f>G492*N492</f>
        <v/>
      </c>
      <c r="R492">
        <f>H492*N492</f>
        <v/>
      </c>
      <c r="S492">
        <f>Q492+R492</f>
        <v/>
      </c>
      <c r="T492">
        <f>Q492*O492</f>
        <v/>
      </c>
      <c r="U492">
        <f>R492*O492</f>
        <v/>
      </c>
      <c r="V492">
        <f>SUMPRODUCT(S493:S543,O493:O543)/(N492*O492)</f>
        <v/>
      </c>
    </row>
    <row r="493">
      <c r="A493" t="n">
        <v>490</v>
      </c>
      <c r="B493">
        <f>A493/Inputs!$B$6</f>
        <v/>
      </c>
      <c r="C493">
        <f>Inputs!$B$3+B493</f>
        <v/>
      </c>
      <c r="D493">
        <f>INT(C493)</f>
        <v/>
      </c>
      <c r="E493">
        <f>Inputs!$B$7+1+INT((A493-1)/Inputs!$B$6)</f>
        <v/>
      </c>
      <c r="F493">
        <f>IFERROR(INDEX(IndexScenario!$B$4:$B$544,MATCH(A493,IndexScenario!$A$4:$A$544,0)),"")</f>
        <v/>
      </c>
      <c r="G493">
        <f>G492*F493/F492</f>
        <v/>
      </c>
      <c r="H493">
        <f>H492*(1+Inputs!$B$17)^(1/12)</f>
        <v/>
      </c>
      <c r="I493">
        <f>IFERROR(INDEX(BaseQx!$B:$B,MATCH(D493,BaseQx!$A:$A,0)),"")</f>
        <v/>
      </c>
      <c r="J493">
        <f>IF(Inputs!$B$13="rp_mp",SUMIFS(MP2016_Long!$C:$C,MP2016_Long!$A:$A,D493,MP2016_Long!$B:$B,"&gt;=2014",MP2016_Long!$B:$B,"&lt;"&amp;E493),0)</f>
        <v/>
      </c>
      <c r="K493">
        <f>MIN(0.999999,MAX(0,I493*EXP(J493)))</f>
        <v/>
      </c>
      <c r="L493">
        <f>-LN(1-K493)</f>
        <v/>
      </c>
      <c r="M493">
        <f>EXP(-L493/Inputs!$B$6)</f>
        <v/>
      </c>
      <c r="N493">
        <f>N492*M493</f>
        <v/>
      </c>
      <c r="O493">
        <f>IFERROR(INDEX(MonthlyCurve!$L:$L,MATCH(A493,MonthlyCurve!$A:$A,0)),"")</f>
        <v/>
      </c>
      <c r="P493">
        <f>IF(B493&gt;0,-LN(O493)/B493,"")</f>
        <v/>
      </c>
      <c r="Q493">
        <f>G493*N493</f>
        <v/>
      </c>
      <c r="R493">
        <f>H493*N493</f>
        <v/>
      </c>
      <c r="S493">
        <f>Q493+R493</f>
        <v/>
      </c>
      <c r="T493">
        <f>Q493*O493</f>
        <v/>
      </c>
      <c r="U493">
        <f>R493*O493</f>
        <v/>
      </c>
      <c r="V493">
        <f>SUMPRODUCT(S494:S543,O494:O543)/(N493*O493)</f>
        <v/>
      </c>
    </row>
    <row r="494">
      <c r="A494" t="n">
        <v>491</v>
      </c>
      <c r="B494">
        <f>A494/Inputs!$B$6</f>
        <v/>
      </c>
      <c r="C494">
        <f>Inputs!$B$3+B494</f>
        <v/>
      </c>
      <c r="D494">
        <f>INT(C494)</f>
        <v/>
      </c>
      <c r="E494">
        <f>Inputs!$B$7+1+INT((A494-1)/Inputs!$B$6)</f>
        <v/>
      </c>
      <c r="F494">
        <f>IFERROR(INDEX(IndexScenario!$B$4:$B$544,MATCH(A494,IndexScenario!$A$4:$A$544,0)),"")</f>
        <v/>
      </c>
      <c r="G494">
        <f>G493*F494/F493</f>
        <v/>
      </c>
      <c r="H494">
        <f>H493*(1+Inputs!$B$17)^(1/12)</f>
        <v/>
      </c>
      <c r="I494">
        <f>IFERROR(INDEX(BaseQx!$B:$B,MATCH(D494,BaseQx!$A:$A,0)),"")</f>
        <v/>
      </c>
      <c r="J494">
        <f>IF(Inputs!$B$13="rp_mp",SUMIFS(MP2016_Long!$C:$C,MP2016_Long!$A:$A,D494,MP2016_Long!$B:$B,"&gt;=2014",MP2016_Long!$B:$B,"&lt;"&amp;E494),0)</f>
        <v/>
      </c>
      <c r="K494">
        <f>MIN(0.999999,MAX(0,I494*EXP(J494)))</f>
        <v/>
      </c>
      <c r="L494">
        <f>-LN(1-K494)</f>
        <v/>
      </c>
      <c r="M494">
        <f>EXP(-L494/Inputs!$B$6)</f>
        <v/>
      </c>
      <c r="N494">
        <f>N493*M494</f>
        <v/>
      </c>
      <c r="O494">
        <f>IFERROR(INDEX(MonthlyCurve!$L:$L,MATCH(A494,MonthlyCurve!$A:$A,0)),"")</f>
        <v/>
      </c>
      <c r="P494">
        <f>IF(B494&gt;0,-LN(O494)/B494,"")</f>
        <v/>
      </c>
      <c r="Q494">
        <f>G494*N494</f>
        <v/>
      </c>
      <c r="R494">
        <f>H494*N494</f>
        <v/>
      </c>
      <c r="S494">
        <f>Q494+R494</f>
        <v/>
      </c>
      <c r="T494">
        <f>Q494*O494</f>
        <v/>
      </c>
      <c r="U494">
        <f>R494*O494</f>
        <v/>
      </c>
      <c r="V494">
        <f>SUMPRODUCT(S495:S543,O495:O543)/(N494*O494)</f>
        <v/>
      </c>
    </row>
    <row r="495">
      <c r="A495" t="n">
        <v>492</v>
      </c>
      <c r="B495">
        <f>A495/Inputs!$B$6</f>
        <v/>
      </c>
      <c r="C495">
        <f>Inputs!$B$3+B495</f>
        <v/>
      </c>
      <c r="D495">
        <f>INT(C495)</f>
        <v/>
      </c>
      <c r="E495">
        <f>Inputs!$B$7+1+INT((A495-1)/Inputs!$B$6)</f>
        <v/>
      </c>
      <c r="F495">
        <f>IFERROR(INDEX(IndexScenario!$B$4:$B$544,MATCH(A495,IndexScenario!$A$4:$A$544,0)),"")</f>
        <v/>
      </c>
      <c r="G495">
        <f>G494*F495/F494</f>
        <v/>
      </c>
      <c r="H495">
        <f>H494*(1+Inputs!$B$17)^(1/12)</f>
        <v/>
      </c>
      <c r="I495">
        <f>IFERROR(INDEX(BaseQx!$B:$B,MATCH(D495,BaseQx!$A:$A,0)),"")</f>
        <v/>
      </c>
      <c r="J495">
        <f>IF(Inputs!$B$13="rp_mp",SUMIFS(MP2016_Long!$C:$C,MP2016_Long!$A:$A,D495,MP2016_Long!$B:$B,"&gt;=2014",MP2016_Long!$B:$B,"&lt;"&amp;E495),0)</f>
        <v/>
      </c>
      <c r="K495">
        <f>MIN(0.999999,MAX(0,I495*EXP(J495)))</f>
        <v/>
      </c>
      <c r="L495">
        <f>-LN(1-K495)</f>
        <v/>
      </c>
      <c r="M495">
        <f>EXP(-L495/Inputs!$B$6)</f>
        <v/>
      </c>
      <c r="N495">
        <f>N494*M495</f>
        <v/>
      </c>
      <c r="O495">
        <f>IFERROR(INDEX(MonthlyCurve!$L:$L,MATCH(A495,MonthlyCurve!$A:$A,0)),"")</f>
        <v/>
      </c>
      <c r="P495">
        <f>IF(B495&gt;0,-LN(O495)/B495,"")</f>
        <v/>
      </c>
      <c r="Q495">
        <f>G495*N495</f>
        <v/>
      </c>
      <c r="R495">
        <f>H495*N495</f>
        <v/>
      </c>
      <c r="S495">
        <f>Q495+R495</f>
        <v/>
      </c>
      <c r="T495">
        <f>Q495*O495</f>
        <v/>
      </c>
      <c r="U495">
        <f>R495*O495</f>
        <v/>
      </c>
      <c r="V495">
        <f>SUMPRODUCT(S496:S543,O496:O543)/(N495*O495)</f>
        <v/>
      </c>
    </row>
    <row r="496">
      <c r="A496" t="n">
        <v>493</v>
      </c>
      <c r="B496">
        <f>A496/Inputs!$B$6</f>
        <v/>
      </c>
      <c r="C496">
        <f>Inputs!$B$3+B496</f>
        <v/>
      </c>
      <c r="D496">
        <f>INT(C496)</f>
        <v/>
      </c>
      <c r="E496">
        <f>Inputs!$B$7+1+INT((A496-1)/Inputs!$B$6)</f>
        <v/>
      </c>
      <c r="F496">
        <f>IFERROR(INDEX(IndexScenario!$B$4:$B$544,MATCH(A496,IndexScenario!$A$4:$A$544,0)),"")</f>
        <v/>
      </c>
      <c r="G496">
        <f>G495*F496/F495</f>
        <v/>
      </c>
      <c r="H496">
        <f>H495*(1+Inputs!$B$17)^(1/12)</f>
        <v/>
      </c>
      <c r="I496">
        <f>IFERROR(INDEX(BaseQx!$B:$B,MATCH(D496,BaseQx!$A:$A,0)),"")</f>
        <v/>
      </c>
      <c r="J496">
        <f>IF(Inputs!$B$13="rp_mp",SUMIFS(MP2016_Long!$C:$C,MP2016_Long!$A:$A,D496,MP2016_Long!$B:$B,"&gt;=2014",MP2016_Long!$B:$B,"&lt;"&amp;E496),0)</f>
        <v/>
      </c>
      <c r="K496">
        <f>MIN(0.999999,MAX(0,I496*EXP(J496)))</f>
        <v/>
      </c>
      <c r="L496">
        <f>-LN(1-K496)</f>
        <v/>
      </c>
      <c r="M496">
        <f>EXP(-L496/Inputs!$B$6)</f>
        <v/>
      </c>
      <c r="N496">
        <f>N495*M496</f>
        <v/>
      </c>
      <c r="O496">
        <f>IFERROR(INDEX(MonthlyCurve!$L:$L,MATCH(A496,MonthlyCurve!$A:$A,0)),"")</f>
        <v/>
      </c>
      <c r="P496">
        <f>IF(B496&gt;0,-LN(O496)/B496,"")</f>
        <v/>
      </c>
      <c r="Q496">
        <f>G496*N496</f>
        <v/>
      </c>
      <c r="R496">
        <f>H496*N496</f>
        <v/>
      </c>
      <c r="S496">
        <f>Q496+R496</f>
        <v/>
      </c>
      <c r="T496">
        <f>Q496*O496</f>
        <v/>
      </c>
      <c r="U496">
        <f>R496*O496</f>
        <v/>
      </c>
      <c r="V496">
        <f>SUMPRODUCT(S497:S543,O497:O543)/(N496*O496)</f>
        <v/>
      </c>
    </row>
    <row r="497">
      <c r="A497" t="n">
        <v>494</v>
      </c>
      <c r="B497">
        <f>A497/Inputs!$B$6</f>
        <v/>
      </c>
      <c r="C497">
        <f>Inputs!$B$3+B497</f>
        <v/>
      </c>
      <c r="D497">
        <f>INT(C497)</f>
        <v/>
      </c>
      <c r="E497">
        <f>Inputs!$B$7+1+INT((A497-1)/Inputs!$B$6)</f>
        <v/>
      </c>
      <c r="F497">
        <f>IFERROR(INDEX(IndexScenario!$B$4:$B$544,MATCH(A497,IndexScenario!$A$4:$A$544,0)),"")</f>
        <v/>
      </c>
      <c r="G497">
        <f>G496*F497/F496</f>
        <v/>
      </c>
      <c r="H497">
        <f>H496*(1+Inputs!$B$17)^(1/12)</f>
        <v/>
      </c>
      <c r="I497">
        <f>IFERROR(INDEX(BaseQx!$B:$B,MATCH(D497,BaseQx!$A:$A,0)),"")</f>
        <v/>
      </c>
      <c r="J497">
        <f>IF(Inputs!$B$13="rp_mp",SUMIFS(MP2016_Long!$C:$C,MP2016_Long!$A:$A,D497,MP2016_Long!$B:$B,"&gt;=2014",MP2016_Long!$B:$B,"&lt;"&amp;E497),0)</f>
        <v/>
      </c>
      <c r="K497">
        <f>MIN(0.999999,MAX(0,I497*EXP(J497)))</f>
        <v/>
      </c>
      <c r="L497">
        <f>-LN(1-K497)</f>
        <v/>
      </c>
      <c r="M497">
        <f>EXP(-L497/Inputs!$B$6)</f>
        <v/>
      </c>
      <c r="N497">
        <f>N496*M497</f>
        <v/>
      </c>
      <c r="O497">
        <f>IFERROR(INDEX(MonthlyCurve!$L:$L,MATCH(A497,MonthlyCurve!$A:$A,0)),"")</f>
        <v/>
      </c>
      <c r="P497">
        <f>IF(B497&gt;0,-LN(O497)/B497,"")</f>
        <v/>
      </c>
      <c r="Q497">
        <f>G497*N497</f>
        <v/>
      </c>
      <c r="R497">
        <f>H497*N497</f>
        <v/>
      </c>
      <c r="S497">
        <f>Q497+R497</f>
        <v/>
      </c>
      <c r="T497">
        <f>Q497*O497</f>
        <v/>
      </c>
      <c r="U497">
        <f>R497*O497</f>
        <v/>
      </c>
      <c r="V497">
        <f>SUMPRODUCT(S498:S543,O498:O543)/(N497*O497)</f>
        <v/>
      </c>
    </row>
    <row r="498">
      <c r="A498" t="n">
        <v>495</v>
      </c>
      <c r="B498">
        <f>A498/Inputs!$B$6</f>
        <v/>
      </c>
      <c r="C498">
        <f>Inputs!$B$3+B498</f>
        <v/>
      </c>
      <c r="D498">
        <f>INT(C498)</f>
        <v/>
      </c>
      <c r="E498">
        <f>Inputs!$B$7+1+INT((A498-1)/Inputs!$B$6)</f>
        <v/>
      </c>
      <c r="F498">
        <f>IFERROR(INDEX(IndexScenario!$B$4:$B$544,MATCH(A498,IndexScenario!$A$4:$A$544,0)),"")</f>
        <v/>
      </c>
      <c r="G498">
        <f>G497*F498/F497</f>
        <v/>
      </c>
      <c r="H498">
        <f>H497*(1+Inputs!$B$17)^(1/12)</f>
        <v/>
      </c>
      <c r="I498">
        <f>IFERROR(INDEX(BaseQx!$B:$B,MATCH(D498,BaseQx!$A:$A,0)),"")</f>
        <v/>
      </c>
      <c r="J498">
        <f>IF(Inputs!$B$13="rp_mp",SUMIFS(MP2016_Long!$C:$C,MP2016_Long!$A:$A,D498,MP2016_Long!$B:$B,"&gt;=2014",MP2016_Long!$B:$B,"&lt;"&amp;E498),0)</f>
        <v/>
      </c>
      <c r="K498">
        <f>MIN(0.999999,MAX(0,I498*EXP(J498)))</f>
        <v/>
      </c>
      <c r="L498">
        <f>-LN(1-K498)</f>
        <v/>
      </c>
      <c r="M498">
        <f>EXP(-L498/Inputs!$B$6)</f>
        <v/>
      </c>
      <c r="N498">
        <f>N497*M498</f>
        <v/>
      </c>
      <c r="O498">
        <f>IFERROR(INDEX(MonthlyCurve!$L:$L,MATCH(A498,MonthlyCurve!$A:$A,0)),"")</f>
        <v/>
      </c>
      <c r="P498">
        <f>IF(B498&gt;0,-LN(O498)/B498,"")</f>
        <v/>
      </c>
      <c r="Q498">
        <f>G498*N498</f>
        <v/>
      </c>
      <c r="R498">
        <f>H498*N498</f>
        <v/>
      </c>
      <c r="S498">
        <f>Q498+R498</f>
        <v/>
      </c>
      <c r="T498">
        <f>Q498*O498</f>
        <v/>
      </c>
      <c r="U498">
        <f>R498*O498</f>
        <v/>
      </c>
      <c r="V498">
        <f>SUMPRODUCT(S499:S543,O499:O543)/(N498*O498)</f>
        <v/>
      </c>
    </row>
    <row r="499">
      <c r="A499" t="n">
        <v>496</v>
      </c>
      <c r="B499">
        <f>A499/Inputs!$B$6</f>
        <v/>
      </c>
      <c r="C499">
        <f>Inputs!$B$3+B499</f>
        <v/>
      </c>
      <c r="D499">
        <f>INT(C499)</f>
        <v/>
      </c>
      <c r="E499">
        <f>Inputs!$B$7+1+INT((A499-1)/Inputs!$B$6)</f>
        <v/>
      </c>
      <c r="F499">
        <f>IFERROR(INDEX(IndexScenario!$B$4:$B$544,MATCH(A499,IndexScenario!$A$4:$A$544,0)),"")</f>
        <v/>
      </c>
      <c r="G499">
        <f>G498*F499/F498</f>
        <v/>
      </c>
      <c r="H499">
        <f>H498*(1+Inputs!$B$17)^(1/12)</f>
        <v/>
      </c>
      <c r="I499">
        <f>IFERROR(INDEX(BaseQx!$B:$B,MATCH(D499,BaseQx!$A:$A,0)),"")</f>
        <v/>
      </c>
      <c r="J499">
        <f>IF(Inputs!$B$13="rp_mp",SUMIFS(MP2016_Long!$C:$C,MP2016_Long!$A:$A,D499,MP2016_Long!$B:$B,"&gt;=2014",MP2016_Long!$B:$B,"&lt;"&amp;E499),0)</f>
        <v/>
      </c>
      <c r="K499">
        <f>MIN(0.999999,MAX(0,I499*EXP(J499)))</f>
        <v/>
      </c>
      <c r="L499">
        <f>-LN(1-K499)</f>
        <v/>
      </c>
      <c r="M499">
        <f>EXP(-L499/Inputs!$B$6)</f>
        <v/>
      </c>
      <c r="N499">
        <f>N498*M499</f>
        <v/>
      </c>
      <c r="O499">
        <f>IFERROR(INDEX(MonthlyCurve!$L:$L,MATCH(A499,MonthlyCurve!$A:$A,0)),"")</f>
        <v/>
      </c>
      <c r="P499">
        <f>IF(B499&gt;0,-LN(O499)/B499,"")</f>
        <v/>
      </c>
      <c r="Q499">
        <f>G499*N499</f>
        <v/>
      </c>
      <c r="R499">
        <f>H499*N499</f>
        <v/>
      </c>
      <c r="S499">
        <f>Q499+R499</f>
        <v/>
      </c>
      <c r="T499">
        <f>Q499*O499</f>
        <v/>
      </c>
      <c r="U499">
        <f>R499*O499</f>
        <v/>
      </c>
      <c r="V499">
        <f>SUMPRODUCT(S500:S543,O500:O543)/(N499*O499)</f>
        <v/>
      </c>
    </row>
    <row r="500">
      <c r="A500" t="n">
        <v>497</v>
      </c>
      <c r="B500">
        <f>A500/Inputs!$B$6</f>
        <v/>
      </c>
      <c r="C500">
        <f>Inputs!$B$3+B500</f>
        <v/>
      </c>
      <c r="D500">
        <f>INT(C500)</f>
        <v/>
      </c>
      <c r="E500">
        <f>Inputs!$B$7+1+INT((A500-1)/Inputs!$B$6)</f>
        <v/>
      </c>
      <c r="F500">
        <f>IFERROR(INDEX(IndexScenario!$B$4:$B$544,MATCH(A500,IndexScenario!$A$4:$A$544,0)),"")</f>
        <v/>
      </c>
      <c r="G500">
        <f>G499*F500/F499</f>
        <v/>
      </c>
      <c r="H500">
        <f>H499*(1+Inputs!$B$17)^(1/12)</f>
        <v/>
      </c>
      <c r="I500">
        <f>IFERROR(INDEX(BaseQx!$B:$B,MATCH(D500,BaseQx!$A:$A,0)),"")</f>
        <v/>
      </c>
      <c r="J500">
        <f>IF(Inputs!$B$13="rp_mp",SUMIFS(MP2016_Long!$C:$C,MP2016_Long!$A:$A,D500,MP2016_Long!$B:$B,"&gt;=2014",MP2016_Long!$B:$B,"&lt;"&amp;E500),0)</f>
        <v/>
      </c>
      <c r="K500">
        <f>MIN(0.999999,MAX(0,I500*EXP(J500)))</f>
        <v/>
      </c>
      <c r="L500">
        <f>-LN(1-K500)</f>
        <v/>
      </c>
      <c r="M500">
        <f>EXP(-L500/Inputs!$B$6)</f>
        <v/>
      </c>
      <c r="N500">
        <f>N499*M500</f>
        <v/>
      </c>
      <c r="O500">
        <f>IFERROR(INDEX(MonthlyCurve!$L:$L,MATCH(A500,MonthlyCurve!$A:$A,0)),"")</f>
        <v/>
      </c>
      <c r="P500">
        <f>IF(B500&gt;0,-LN(O500)/B500,"")</f>
        <v/>
      </c>
      <c r="Q500">
        <f>G500*N500</f>
        <v/>
      </c>
      <c r="R500">
        <f>H500*N500</f>
        <v/>
      </c>
      <c r="S500">
        <f>Q500+R500</f>
        <v/>
      </c>
      <c r="T500">
        <f>Q500*O500</f>
        <v/>
      </c>
      <c r="U500">
        <f>R500*O500</f>
        <v/>
      </c>
      <c r="V500">
        <f>SUMPRODUCT(S501:S543,O501:O543)/(N500*O500)</f>
        <v/>
      </c>
    </row>
    <row r="501">
      <c r="A501" t="n">
        <v>498</v>
      </c>
      <c r="B501">
        <f>A501/Inputs!$B$6</f>
        <v/>
      </c>
      <c r="C501">
        <f>Inputs!$B$3+B501</f>
        <v/>
      </c>
      <c r="D501">
        <f>INT(C501)</f>
        <v/>
      </c>
      <c r="E501">
        <f>Inputs!$B$7+1+INT((A501-1)/Inputs!$B$6)</f>
        <v/>
      </c>
      <c r="F501">
        <f>IFERROR(INDEX(IndexScenario!$B$4:$B$544,MATCH(A501,IndexScenario!$A$4:$A$544,0)),"")</f>
        <v/>
      </c>
      <c r="G501">
        <f>G500*F501/F500</f>
        <v/>
      </c>
      <c r="H501">
        <f>H500*(1+Inputs!$B$17)^(1/12)</f>
        <v/>
      </c>
      <c r="I501">
        <f>IFERROR(INDEX(BaseQx!$B:$B,MATCH(D501,BaseQx!$A:$A,0)),"")</f>
        <v/>
      </c>
      <c r="J501">
        <f>IF(Inputs!$B$13="rp_mp",SUMIFS(MP2016_Long!$C:$C,MP2016_Long!$A:$A,D501,MP2016_Long!$B:$B,"&gt;=2014",MP2016_Long!$B:$B,"&lt;"&amp;E501),0)</f>
        <v/>
      </c>
      <c r="K501">
        <f>MIN(0.999999,MAX(0,I501*EXP(J501)))</f>
        <v/>
      </c>
      <c r="L501">
        <f>-LN(1-K501)</f>
        <v/>
      </c>
      <c r="M501">
        <f>EXP(-L501/Inputs!$B$6)</f>
        <v/>
      </c>
      <c r="N501">
        <f>N500*M501</f>
        <v/>
      </c>
      <c r="O501">
        <f>IFERROR(INDEX(MonthlyCurve!$L:$L,MATCH(A501,MonthlyCurve!$A:$A,0)),"")</f>
        <v/>
      </c>
      <c r="P501">
        <f>IF(B501&gt;0,-LN(O501)/B501,"")</f>
        <v/>
      </c>
      <c r="Q501">
        <f>G501*N501</f>
        <v/>
      </c>
      <c r="R501">
        <f>H501*N501</f>
        <v/>
      </c>
      <c r="S501">
        <f>Q501+R501</f>
        <v/>
      </c>
      <c r="T501">
        <f>Q501*O501</f>
        <v/>
      </c>
      <c r="U501">
        <f>R501*O501</f>
        <v/>
      </c>
      <c r="V501">
        <f>SUMPRODUCT(S502:S543,O502:O543)/(N501*O501)</f>
        <v/>
      </c>
    </row>
    <row r="502">
      <c r="A502" t="n">
        <v>499</v>
      </c>
      <c r="B502">
        <f>A502/Inputs!$B$6</f>
        <v/>
      </c>
      <c r="C502">
        <f>Inputs!$B$3+B502</f>
        <v/>
      </c>
      <c r="D502">
        <f>INT(C502)</f>
        <v/>
      </c>
      <c r="E502">
        <f>Inputs!$B$7+1+INT((A502-1)/Inputs!$B$6)</f>
        <v/>
      </c>
      <c r="F502">
        <f>IFERROR(INDEX(IndexScenario!$B$4:$B$544,MATCH(A502,IndexScenario!$A$4:$A$544,0)),"")</f>
        <v/>
      </c>
      <c r="G502">
        <f>G501*F502/F501</f>
        <v/>
      </c>
      <c r="H502">
        <f>H501*(1+Inputs!$B$17)^(1/12)</f>
        <v/>
      </c>
      <c r="I502">
        <f>IFERROR(INDEX(BaseQx!$B:$B,MATCH(D502,BaseQx!$A:$A,0)),"")</f>
        <v/>
      </c>
      <c r="J502">
        <f>IF(Inputs!$B$13="rp_mp",SUMIFS(MP2016_Long!$C:$C,MP2016_Long!$A:$A,D502,MP2016_Long!$B:$B,"&gt;=2014",MP2016_Long!$B:$B,"&lt;"&amp;E502),0)</f>
        <v/>
      </c>
      <c r="K502">
        <f>MIN(0.999999,MAX(0,I502*EXP(J502)))</f>
        <v/>
      </c>
      <c r="L502">
        <f>-LN(1-K502)</f>
        <v/>
      </c>
      <c r="M502">
        <f>EXP(-L502/Inputs!$B$6)</f>
        <v/>
      </c>
      <c r="N502">
        <f>N501*M502</f>
        <v/>
      </c>
      <c r="O502">
        <f>IFERROR(INDEX(MonthlyCurve!$L:$L,MATCH(A502,MonthlyCurve!$A:$A,0)),"")</f>
        <v/>
      </c>
      <c r="P502">
        <f>IF(B502&gt;0,-LN(O502)/B502,"")</f>
        <v/>
      </c>
      <c r="Q502">
        <f>G502*N502</f>
        <v/>
      </c>
      <c r="R502">
        <f>H502*N502</f>
        <v/>
      </c>
      <c r="S502">
        <f>Q502+R502</f>
        <v/>
      </c>
      <c r="T502">
        <f>Q502*O502</f>
        <v/>
      </c>
      <c r="U502">
        <f>R502*O502</f>
        <v/>
      </c>
      <c r="V502">
        <f>SUMPRODUCT(S503:S543,O503:O543)/(N502*O502)</f>
        <v/>
      </c>
    </row>
    <row r="503">
      <c r="A503" t="n">
        <v>500</v>
      </c>
      <c r="B503">
        <f>A503/Inputs!$B$6</f>
        <v/>
      </c>
      <c r="C503">
        <f>Inputs!$B$3+B503</f>
        <v/>
      </c>
      <c r="D503">
        <f>INT(C503)</f>
        <v/>
      </c>
      <c r="E503">
        <f>Inputs!$B$7+1+INT((A503-1)/Inputs!$B$6)</f>
        <v/>
      </c>
      <c r="F503">
        <f>IFERROR(INDEX(IndexScenario!$B$4:$B$544,MATCH(A503,IndexScenario!$A$4:$A$544,0)),"")</f>
        <v/>
      </c>
      <c r="G503">
        <f>G502*F503/F502</f>
        <v/>
      </c>
      <c r="H503">
        <f>H502*(1+Inputs!$B$17)^(1/12)</f>
        <v/>
      </c>
      <c r="I503">
        <f>IFERROR(INDEX(BaseQx!$B:$B,MATCH(D503,BaseQx!$A:$A,0)),"")</f>
        <v/>
      </c>
      <c r="J503">
        <f>IF(Inputs!$B$13="rp_mp",SUMIFS(MP2016_Long!$C:$C,MP2016_Long!$A:$A,D503,MP2016_Long!$B:$B,"&gt;=2014",MP2016_Long!$B:$B,"&lt;"&amp;E503),0)</f>
        <v/>
      </c>
      <c r="K503">
        <f>MIN(0.999999,MAX(0,I503*EXP(J503)))</f>
        <v/>
      </c>
      <c r="L503">
        <f>-LN(1-K503)</f>
        <v/>
      </c>
      <c r="M503">
        <f>EXP(-L503/Inputs!$B$6)</f>
        <v/>
      </c>
      <c r="N503">
        <f>N502*M503</f>
        <v/>
      </c>
      <c r="O503">
        <f>IFERROR(INDEX(MonthlyCurve!$L:$L,MATCH(A503,MonthlyCurve!$A:$A,0)),"")</f>
        <v/>
      </c>
      <c r="P503">
        <f>IF(B503&gt;0,-LN(O503)/B503,"")</f>
        <v/>
      </c>
      <c r="Q503">
        <f>G503*N503</f>
        <v/>
      </c>
      <c r="R503">
        <f>H503*N503</f>
        <v/>
      </c>
      <c r="S503">
        <f>Q503+R503</f>
        <v/>
      </c>
      <c r="T503">
        <f>Q503*O503</f>
        <v/>
      </c>
      <c r="U503">
        <f>R503*O503</f>
        <v/>
      </c>
      <c r="V503">
        <f>SUMPRODUCT(S504:S543,O504:O543)/(N503*O503)</f>
        <v/>
      </c>
    </row>
    <row r="504">
      <c r="A504" t="n">
        <v>501</v>
      </c>
      <c r="B504">
        <f>A504/Inputs!$B$6</f>
        <v/>
      </c>
      <c r="C504">
        <f>Inputs!$B$3+B504</f>
        <v/>
      </c>
      <c r="D504">
        <f>INT(C504)</f>
        <v/>
      </c>
      <c r="E504">
        <f>Inputs!$B$7+1+INT((A504-1)/Inputs!$B$6)</f>
        <v/>
      </c>
      <c r="F504">
        <f>IFERROR(INDEX(IndexScenario!$B$4:$B$544,MATCH(A504,IndexScenario!$A$4:$A$544,0)),"")</f>
        <v/>
      </c>
      <c r="G504">
        <f>G503*F504/F503</f>
        <v/>
      </c>
      <c r="H504">
        <f>H503*(1+Inputs!$B$17)^(1/12)</f>
        <v/>
      </c>
      <c r="I504">
        <f>IFERROR(INDEX(BaseQx!$B:$B,MATCH(D504,BaseQx!$A:$A,0)),"")</f>
        <v/>
      </c>
      <c r="J504">
        <f>IF(Inputs!$B$13="rp_mp",SUMIFS(MP2016_Long!$C:$C,MP2016_Long!$A:$A,D504,MP2016_Long!$B:$B,"&gt;=2014",MP2016_Long!$B:$B,"&lt;"&amp;E504),0)</f>
        <v/>
      </c>
      <c r="K504">
        <f>MIN(0.999999,MAX(0,I504*EXP(J504)))</f>
        <v/>
      </c>
      <c r="L504">
        <f>-LN(1-K504)</f>
        <v/>
      </c>
      <c r="M504">
        <f>EXP(-L504/Inputs!$B$6)</f>
        <v/>
      </c>
      <c r="N504">
        <f>N503*M504</f>
        <v/>
      </c>
      <c r="O504">
        <f>IFERROR(INDEX(MonthlyCurve!$L:$L,MATCH(A504,MonthlyCurve!$A:$A,0)),"")</f>
        <v/>
      </c>
      <c r="P504">
        <f>IF(B504&gt;0,-LN(O504)/B504,"")</f>
        <v/>
      </c>
      <c r="Q504">
        <f>G504*N504</f>
        <v/>
      </c>
      <c r="R504">
        <f>H504*N504</f>
        <v/>
      </c>
      <c r="S504">
        <f>Q504+R504</f>
        <v/>
      </c>
      <c r="T504">
        <f>Q504*O504</f>
        <v/>
      </c>
      <c r="U504">
        <f>R504*O504</f>
        <v/>
      </c>
      <c r="V504">
        <f>SUMPRODUCT(S505:S543,O505:O543)/(N504*O504)</f>
        <v/>
      </c>
    </row>
    <row r="505">
      <c r="A505" t="n">
        <v>502</v>
      </c>
      <c r="B505">
        <f>A505/Inputs!$B$6</f>
        <v/>
      </c>
      <c r="C505">
        <f>Inputs!$B$3+B505</f>
        <v/>
      </c>
      <c r="D505">
        <f>INT(C505)</f>
        <v/>
      </c>
      <c r="E505">
        <f>Inputs!$B$7+1+INT((A505-1)/Inputs!$B$6)</f>
        <v/>
      </c>
      <c r="F505">
        <f>IFERROR(INDEX(IndexScenario!$B$4:$B$544,MATCH(A505,IndexScenario!$A$4:$A$544,0)),"")</f>
        <v/>
      </c>
      <c r="G505">
        <f>G504*F505/F504</f>
        <v/>
      </c>
      <c r="H505">
        <f>H504*(1+Inputs!$B$17)^(1/12)</f>
        <v/>
      </c>
      <c r="I505">
        <f>IFERROR(INDEX(BaseQx!$B:$B,MATCH(D505,BaseQx!$A:$A,0)),"")</f>
        <v/>
      </c>
      <c r="J505">
        <f>IF(Inputs!$B$13="rp_mp",SUMIFS(MP2016_Long!$C:$C,MP2016_Long!$A:$A,D505,MP2016_Long!$B:$B,"&gt;=2014",MP2016_Long!$B:$B,"&lt;"&amp;E505),0)</f>
        <v/>
      </c>
      <c r="K505">
        <f>MIN(0.999999,MAX(0,I505*EXP(J505)))</f>
        <v/>
      </c>
      <c r="L505">
        <f>-LN(1-K505)</f>
        <v/>
      </c>
      <c r="M505">
        <f>EXP(-L505/Inputs!$B$6)</f>
        <v/>
      </c>
      <c r="N505">
        <f>N504*M505</f>
        <v/>
      </c>
      <c r="O505">
        <f>IFERROR(INDEX(MonthlyCurve!$L:$L,MATCH(A505,MonthlyCurve!$A:$A,0)),"")</f>
        <v/>
      </c>
      <c r="P505">
        <f>IF(B505&gt;0,-LN(O505)/B505,"")</f>
        <v/>
      </c>
      <c r="Q505">
        <f>G505*N505</f>
        <v/>
      </c>
      <c r="R505">
        <f>H505*N505</f>
        <v/>
      </c>
      <c r="S505">
        <f>Q505+R505</f>
        <v/>
      </c>
      <c r="T505">
        <f>Q505*O505</f>
        <v/>
      </c>
      <c r="U505">
        <f>R505*O505</f>
        <v/>
      </c>
      <c r="V505">
        <f>SUMPRODUCT(S506:S543,O506:O543)/(N505*O505)</f>
        <v/>
      </c>
    </row>
    <row r="506">
      <c r="A506" t="n">
        <v>503</v>
      </c>
      <c r="B506">
        <f>A506/Inputs!$B$6</f>
        <v/>
      </c>
      <c r="C506">
        <f>Inputs!$B$3+B506</f>
        <v/>
      </c>
      <c r="D506">
        <f>INT(C506)</f>
        <v/>
      </c>
      <c r="E506">
        <f>Inputs!$B$7+1+INT((A506-1)/Inputs!$B$6)</f>
        <v/>
      </c>
      <c r="F506">
        <f>IFERROR(INDEX(IndexScenario!$B$4:$B$544,MATCH(A506,IndexScenario!$A$4:$A$544,0)),"")</f>
        <v/>
      </c>
      <c r="G506">
        <f>G505*F506/F505</f>
        <v/>
      </c>
      <c r="H506">
        <f>H505*(1+Inputs!$B$17)^(1/12)</f>
        <v/>
      </c>
      <c r="I506">
        <f>IFERROR(INDEX(BaseQx!$B:$B,MATCH(D506,BaseQx!$A:$A,0)),"")</f>
        <v/>
      </c>
      <c r="J506">
        <f>IF(Inputs!$B$13="rp_mp",SUMIFS(MP2016_Long!$C:$C,MP2016_Long!$A:$A,D506,MP2016_Long!$B:$B,"&gt;=2014",MP2016_Long!$B:$B,"&lt;"&amp;E506),0)</f>
        <v/>
      </c>
      <c r="K506">
        <f>MIN(0.999999,MAX(0,I506*EXP(J506)))</f>
        <v/>
      </c>
      <c r="L506">
        <f>-LN(1-K506)</f>
        <v/>
      </c>
      <c r="M506">
        <f>EXP(-L506/Inputs!$B$6)</f>
        <v/>
      </c>
      <c r="N506">
        <f>N505*M506</f>
        <v/>
      </c>
      <c r="O506">
        <f>IFERROR(INDEX(MonthlyCurve!$L:$L,MATCH(A506,MonthlyCurve!$A:$A,0)),"")</f>
        <v/>
      </c>
      <c r="P506">
        <f>IF(B506&gt;0,-LN(O506)/B506,"")</f>
        <v/>
      </c>
      <c r="Q506">
        <f>G506*N506</f>
        <v/>
      </c>
      <c r="R506">
        <f>H506*N506</f>
        <v/>
      </c>
      <c r="S506">
        <f>Q506+R506</f>
        <v/>
      </c>
      <c r="T506">
        <f>Q506*O506</f>
        <v/>
      </c>
      <c r="U506">
        <f>R506*O506</f>
        <v/>
      </c>
      <c r="V506">
        <f>SUMPRODUCT(S507:S543,O507:O543)/(N506*O506)</f>
        <v/>
      </c>
    </row>
    <row r="507">
      <c r="A507" t="n">
        <v>504</v>
      </c>
      <c r="B507">
        <f>A507/Inputs!$B$6</f>
        <v/>
      </c>
      <c r="C507">
        <f>Inputs!$B$3+B507</f>
        <v/>
      </c>
      <c r="D507">
        <f>INT(C507)</f>
        <v/>
      </c>
      <c r="E507">
        <f>Inputs!$B$7+1+INT((A507-1)/Inputs!$B$6)</f>
        <v/>
      </c>
      <c r="F507">
        <f>IFERROR(INDEX(IndexScenario!$B$4:$B$544,MATCH(A507,IndexScenario!$A$4:$A$544,0)),"")</f>
        <v/>
      </c>
      <c r="G507">
        <f>G506*F507/F506</f>
        <v/>
      </c>
      <c r="H507">
        <f>H506*(1+Inputs!$B$17)^(1/12)</f>
        <v/>
      </c>
      <c r="I507">
        <f>IFERROR(INDEX(BaseQx!$B:$B,MATCH(D507,BaseQx!$A:$A,0)),"")</f>
        <v/>
      </c>
      <c r="J507">
        <f>IF(Inputs!$B$13="rp_mp",SUMIFS(MP2016_Long!$C:$C,MP2016_Long!$A:$A,D507,MP2016_Long!$B:$B,"&gt;=2014",MP2016_Long!$B:$B,"&lt;"&amp;E507),0)</f>
        <v/>
      </c>
      <c r="K507">
        <f>MIN(0.999999,MAX(0,I507*EXP(J507)))</f>
        <v/>
      </c>
      <c r="L507">
        <f>-LN(1-K507)</f>
        <v/>
      </c>
      <c r="M507">
        <f>EXP(-L507/Inputs!$B$6)</f>
        <v/>
      </c>
      <c r="N507">
        <f>N506*M507</f>
        <v/>
      </c>
      <c r="O507">
        <f>IFERROR(INDEX(MonthlyCurve!$L:$L,MATCH(A507,MonthlyCurve!$A:$A,0)),"")</f>
        <v/>
      </c>
      <c r="P507">
        <f>IF(B507&gt;0,-LN(O507)/B507,"")</f>
        <v/>
      </c>
      <c r="Q507">
        <f>G507*N507</f>
        <v/>
      </c>
      <c r="R507">
        <f>H507*N507</f>
        <v/>
      </c>
      <c r="S507">
        <f>Q507+R507</f>
        <v/>
      </c>
      <c r="T507">
        <f>Q507*O507</f>
        <v/>
      </c>
      <c r="U507">
        <f>R507*O507</f>
        <v/>
      </c>
      <c r="V507">
        <f>SUMPRODUCT(S508:S543,O508:O543)/(N507*O507)</f>
        <v/>
      </c>
    </row>
    <row r="508">
      <c r="A508" t="n">
        <v>505</v>
      </c>
      <c r="B508">
        <f>A508/Inputs!$B$6</f>
        <v/>
      </c>
      <c r="C508">
        <f>Inputs!$B$3+B508</f>
        <v/>
      </c>
      <c r="D508">
        <f>INT(C508)</f>
        <v/>
      </c>
      <c r="E508">
        <f>Inputs!$B$7+1+INT((A508-1)/Inputs!$B$6)</f>
        <v/>
      </c>
      <c r="F508">
        <f>IFERROR(INDEX(IndexScenario!$B$4:$B$544,MATCH(A508,IndexScenario!$A$4:$A$544,0)),"")</f>
        <v/>
      </c>
      <c r="G508">
        <f>G507*F508/F507</f>
        <v/>
      </c>
      <c r="H508">
        <f>H507*(1+Inputs!$B$17)^(1/12)</f>
        <v/>
      </c>
      <c r="I508">
        <f>IFERROR(INDEX(BaseQx!$B:$B,MATCH(D508,BaseQx!$A:$A,0)),"")</f>
        <v/>
      </c>
      <c r="J508">
        <f>IF(Inputs!$B$13="rp_mp",SUMIFS(MP2016_Long!$C:$C,MP2016_Long!$A:$A,D508,MP2016_Long!$B:$B,"&gt;=2014",MP2016_Long!$B:$B,"&lt;"&amp;E508),0)</f>
        <v/>
      </c>
      <c r="K508">
        <f>MIN(0.999999,MAX(0,I508*EXP(J508)))</f>
        <v/>
      </c>
      <c r="L508">
        <f>-LN(1-K508)</f>
        <v/>
      </c>
      <c r="M508">
        <f>EXP(-L508/Inputs!$B$6)</f>
        <v/>
      </c>
      <c r="N508">
        <f>N507*M508</f>
        <v/>
      </c>
      <c r="O508">
        <f>IFERROR(INDEX(MonthlyCurve!$L:$L,MATCH(A508,MonthlyCurve!$A:$A,0)),"")</f>
        <v/>
      </c>
      <c r="P508">
        <f>IF(B508&gt;0,-LN(O508)/B508,"")</f>
        <v/>
      </c>
      <c r="Q508">
        <f>G508*N508</f>
        <v/>
      </c>
      <c r="R508">
        <f>H508*N508</f>
        <v/>
      </c>
      <c r="S508">
        <f>Q508+R508</f>
        <v/>
      </c>
      <c r="T508">
        <f>Q508*O508</f>
        <v/>
      </c>
      <c r="U508">
        <f>R508*O508</f>
        <v/>
      </c>
      <c r="V508">
        <f>SUMPRODUCT(S509:S543,O509:O543)/(N508*O508)</f>
        <v/>
      </c>
    </row>
    <row r="509">
      <c r="A509" t="n">
        <v>506</v>
      </c>
      <c r="B509">
        <f>A509/Inputs!$B$6</f>
        <v/>
      </c>
      <c r="C509">
        <f>Inputs!$B$3+B509</f>
        <v/>
      </c>
      <c r="D509">
        <f>INT(C509)</f>
        <v/>
      </c>
      <c r="E509">
        <f>Inputs!$B$7+1+INT((A509-1)/Inputs!$B$6)</f>
        <v/>
      </c>
      <c r="F509">
        <f>IFERROR(INDEX(IndexScenario!$B$4:$B$544,MATCH(A509,IndexScenario!$A$4:$A$544,0)),"")</f>
        <v/>
      </c>
      <c r="G509">
        <f>G508*F509/F508</f>
        <v/>
      </c>
      <c r="H509">
        <f>H508*(1+Inputs!$B$17)^(1/12)</f>
        <v/>
      </c>
      <c r="I509">
        <f>IFERROR(INDEX(BaseQx!$B:$B,MATCH(D509,BaseQx!$A:$A,0)),"")</f>
        <v/>
      </c>
      <c r="J509">
        <f>IF(Inputs!$B$13="rp_mp",SUMIFS(MP2016_Long!$C:$C,MP2016_Long!$A:$A,D509,MP2016_Long!$B:$B,"&gt;=2014",MP2016_Long!$B:$B,"&lt;"&amp;E509),0)</f>
        <v/>
      </c>
      <c r="K509">
        <f>MIN(0.999999,MAX(0,I509*EXP(J509)))</f>
        <v/>
      </c>
      <c r="L509">
        <f>-LN(1-K509)</f>
        <v/>
      </c>
      <c r="M509">
        <f>EXP(-L509/Inputs!$B$6)</f>
        <v/>
      </c>
      <c r="N509">
        <f>N508*M509</f>
        <v/>
      </c>
      <c r="O509">
        <f>IFERROR(INDEX(MonthlyCurve!$L:$L,MATCH(A509,MonthlyCurve!$A:$A,0)),"")</f>
        <v/>
      </c>
      <c r="P509">
        <f>IF(B509&gt;0,-LN(O509)/B509,"")</f>
        <v/>
      </c>
      <c r="Q509">
        <f>G509*N509</f>
        <v/>
      </c>
      <c r="R509">
        <f>H509*N509</f>
        <v/>
      </c>
      <c r="S509">
        <f>Q509+R509</f>
        <v/>
      </c>
      <c r="T509">
        <f>Q509*O509</f>
        <v/>
      </c>
      <c r="U509">
        <f>R509*O509</f>
        <v/>
      </c>
      <c r="V509">
        <f>SUMPRODUCT(S510:S543,O510:O543)/(N509*O509)</f>
        <v/>
      </c>
    </row>
    <row r="510">
      <c r="A510" t="n">
        <v>507</v>
      </c>
      <c r="B510">
        <f>A510/Inputs!$B$6</f>
        <v/>
      </c>
      <c r="C510">
        <f>Inputs!$B$3+B510</f>
        <v/>
      </c>
      <c r="D510">
        <f>INT(C510)</f>
        <v/>
      </c>
      <c r="E510">
        <f>Inputs!$B$7+1+INT((A510-1)/Inputs!$B$6)</f>
        <v/>
      </c>
      <c r="F510">
        <f>IFERROR(INDEX(IndexScenario!$B$4:$B$544,MATCH(A510,IndexScenario!$A$4:$A$544,0)),"")</f>
        <v/>
      </c>
      <c r="G510">
        <f>G509*F510/F509</f>
        <v/>
      </c>
      <c r="H510">
        <f>H509*(1+Inputs!$B$17)^(1/12)</f>
        <v/>
      </c>
      <c r="I510">
        <f>IFERROR(INDEX(BaseQx!$B:$B,MATCH(D510,BaseQx!$A:$A,0)),"")</f>
        <v/>
      </c>
      <c r="J510">
        <f>IF(Inputs!$B$13="rp_mp",SUMIFS(MP2016_Long!$C:$C,MP2016_Long!$A:$A,D510,MP2016_Long!$B:$B,"&gt;=2014",MP2016_Long!$B:$B,"&lt;"&amp;E510),0)</f>
        <v/>
      </c>
      <c r="K510">
        <f>MIN(0.999999,MAX(0,I510*EXP(J510)))</f>
        <v/>
      </c>
      <c r="L510">
        <f>-LN(1-K510)</f>
        <v/>
      </c>
      <c r="M510">
        <f>EXP(-L510/Inputs!$B$6)</f>
        <v/>
      </c>
      <c r="N510">
        <f>N509*M510</f>
        <v/>
      </c>
      <c r="O510">
        <f>IFERROR(INDEX(MonthlyCurve!$L:$L,MATCH(A510,MonthlyCurve!$A:$A,0)),"")</f>
        <v/>
      </c>
      <c r="P510">
        <f>IF(B510&gt;0,-LN(O510)/B510,"")</f>
        <v/>
      </c>
      <c r="Q510">
        <f>G510*N510</f>
        <v/>
      </c>
      <c r="R510">
        <f>H510*N510</f>
        <v/>
      </c>
      <c r="S510">
        <f>Q510+R510</f>
        <v/>
      </c>
      <c r="T510">
        <f>Q510*O510</f>
        <v/>
      </c>
      <c r="U510">
        <f>R510*O510</f>
        <v/>
      </c>
      <c r="V510">
        <f>SUMPRODUCT(S511:S543,O511:O543)/(N510*O510)</f>
        <v/>
      </c>
    </row>
    <row r="511">
      <c r="A511" t="n">
        <v>508</v>
      </c>
      <c r="B511">
        <f>A511/Inputs!$B$6</f>
        <v/>
      </c>
      <c r="C511">
        <f>Inputs!$B$3+B511</f>
        <v/>
      </c>
      <c r="D511">
        <f>INT(C511)</f>
        <v/>
      </c>
      <c r="E511">
        <f>Inputs!$B$7+1+INT((A511-1)/Inputs!$B$6)</f>
        <v/>
      </c>
      <c r="F511">
        <f>IFERROR(INDEX(IndexScenario!$B$4:$B$544,MATCH(A511,IndexScenario!$A$4:$A$544,0)),"")</f>
        <v/>
      </c>
      <c r="G511">
        <f>G510*F511/F510</f>
        <v/>
      </c>
      <c r="H511">
        <f>H510*(1+Inputs!$B$17)^(1/12)</f>
        <v/>
      </c>
      <c r="I511">
        <f>IFERROR(INDEX(BaseQx!$B:$B,MATCH(D511,BaseQx!$A:$A,0)),"")</f>
        <v/>
      </c>
      <c r="J511">
        <f>IF(Inputs!$B$13="rp_mp",SUMIFS(MP2016_Long!$C:$C,MP2016_Long!$A:$A,D511,MP2016_Long!$B:$B,"&gt;=2014",MP2016_Long!$B:$B,"&lt;"&amp;E511),0)</f>
        <v/>
      </c>
      <c r="K511">
        <f>MIN(0.999999,MAX(0,I511*EXP(J511)))</f>
        <v/>
      </c>
      <c r="L511">
        <f>-LN(1-K511)</f>
        <v/>
      </c>
      <c r="M511">
        <f>EXP(-L511/Inputs!$B$6)</f>
        <v/>
      </c>
      <c r="N511">
        <f>N510*M511</f>
        <v/>
      </c>
      <c r="O511">
        <f>IFERROR(INDEX(MonthlyCurve!$L:$L,MATCH(A511,MonthlyCurve!$A:$A,0)),"")</f>
        <v/>
      </c>
      <c r="P511">
        <f>IF(B511&gt;0,-LN(O511)/B511,"")</f>
        <v/>
      </c>
      <c r="Q511">
        <f>G511*N511</f>
        <v/>
      </c>
      <c r="R511">
        <f>H511*N511</f>
        <v/>
      </c>
      <c r="S511">
        <f>Q511+R511</f>
        <v/>
      </c>
      <c r="T511">
        <f>Q511*O511</f>
        <v/>
      </c>
      <c r="U511">
        <f>R511*O511</f>
        <v/>
      </c>
      <c r="V511">
        <f>SUMPRODUCT(S512:S543,O512:O543)/(N511*O511)</f>
        <v/>
      </c>
    </row>
    <row r="512">
      <c r="A512" t="n">
        <v>509</v>
      </c>
      <c r="B512">
        <f>A512/Inputs!$B$6</f>
        <v/>
      </c>
      <c r="C512">
        <f>Inputs!$B$3+B512</f>
        <v/>
      </c>
      <c r="D512">
        <f>INT(C512)</f>
        <v/>
      </c>
      <c r="E512">
        <f>Inputs!$B$7+1+INT((A512-1)/Inputs!$B$6)</f>
        <v/>
      </c>
      <c r="F512">
        <f>IFERROR(INDEX(IndexScenario!$B$4:$B$544,MATCH(A512,IndexScenario!$A$4:$A$544,0)),"")</f>
        <v/>
      </c>
      <c r="G512">
        <f>G511*F512/F511</f>
        <v/>
      </c>
      <c r="H512">
        <f>H511*(1+Inputs!$B$17)^(1/12)</f>
        <v/>
      </c>
      <c r="I512">
        <f>IFERROR(INDEX(BaseQx!$B:$B,MATCH(D512,BaseQx!$A:$A,0)),"")</f>
        <v/>
      </c>
      <c r="J512">
        <f>IF(Inputs!$B$13="rp_mp",SUMIFS(MP2016_Long!$C:$C,MP2016_Long!$A:$A,D512,MP2016_Long!$B:$B,"&gt;=2014",MP2016_Long!$B:$B,"&lt;"&amp;E512),0)</f>
        <v/>
      </c>
      <c r="K512">
        <f>MIN(0.999999,MAX(0,I512*EXP(J512)))</f>
        <v/>
      </c>
      <c r="L512">
        <f>-LN(1-K512)</f>
        <v/>
      </c>
      <c r="M512">
        <f>EXP(-L512/Inputs!$B$6)</f>
        <v/>
      </c>
      <c r="N512">
        <f>N511*M512</f>
        <v/>
      </c>
      <c r="O512">
        <f>IFERROR(INDEX(MonthlyCurve!$L:$L,MATCH(A512,MonthlyCurve!$A:$A,0)),"")</f>
        <v/>
      </c>
      <c r="P512">
        <f>IF(B512&gt;0,-LN(O512)/B512,"")</f>
        <v/>
      </c>
      <c r="Q512">
        <f>G512*N512</f>
        <v/>
      </c>
      <c r="R512">
        <f>H512*N512</f>
        <v/>
      </c>
      <c r="S512">
        <f>Q512+R512</f>
        <v/>
      </c>
      <c r="T512">
        <f>Q512*O512</f>
        <v/>
      </c>
      <c r="U512">
        <f>R512*O512</f>
        <v/>
      </c>
      <c r="V512">
        <f>SUMPRODUCT(S513:S543,O513:O543)/(N512*O512)</f>
        <v/>
      </c>
    </row>
    <row r="513">
      <c r="A513" t="n">
        <v>510</v>
      </c>
      <c r="B513">
        <f>A513/Inputs!$B$6</f>
        <v/>
      </c>
      <c r="C513">
        <f>Inputs!$B$3+B513</f>
        <v/>
      </c>
      <c r="D513">
        <f>INT(C513)</f>
        <v/>
      </c>
      <c r="E513">
        <f>Inputs!$B$7+1+INT((A513-1)/Inputs!$B$6)</f>
        <v/>
      </c>
      <c r="F513">
        <f>IFERROR(INDEX(IndexScenario!$B$4:$B$544,MATCH(A513,IndexScenario!$A$4:$A$544,0)),"")</f>
        <v/>
      </c>
      <c r="G513">
        <f>G512*F513/F512</f>
        <v/>
      </c>
      <c r="H513">
        <f>H512*(1+Inputs!$B$17)^(1/12)</f>
        <v/>
      </c>
      <c r="I513">
        <f>IFERROR(INDEX(BaseQx!$B:$B,MATCH(D513,BaseQx!$A:$A,0)),"")</f>
        <v/>
      </c>
      <c r="J513">
        <f>IF(Inputs!$B$13="rp_mp",SUMIFS(MP2016_Long!$C:$C,MP2016_Long!$A:$A,D513,MP2016_Long!$B:$B,"&gt;=2014",MP2016_Long!$B:$B,"&lt;"&amp;E513),0)</f>
        <v/>
      </c>
      <c r="K513">
        <f>MIN(0.999999,MAX(0,I513*EXP(J513)))</f>
        <v/>
      </c>
      <c r="L513">
        <f>-LN(1-K513)</f>
        <v/>
      </c>
      <c r="M513">
        <f>EXP(-L513/Inputs!$B$6)</f>
        <v/>
      </c>
      <c r="N513">
        <f>N512*M513</f>
        <v/>
      </c>
      <c r="O513">
        <f>IFERROR(INDEX(MonthlyCurve!$L:$L,MATCH(A513,MonthlyCurve!$A:$A,0)),"")</f>
        <v/>
      </c>
      <c r="P513">
        <f>IF(B513&gt;0,-LN(O513)/B513,"")</f>
        <v/>
      </c>
      <c r="Q513">
        <f>G513*N513</f>
        <v/>
      </c>
      <c r="R513">
        <f>H513*N513</f>
        <v/>
      </c>
      <c r="S513">
        <f>Q513+R513</f>
        <v/>
      </c>
      <c r="T513">
        <f>Q513*O513</f>
        <v/>
      </c>
      <c r="U513">
        <f>R513*O513</f>
        <v/>
      </c>
      <c r="V513">
        <f>SUMPRODUCT(S514:S543,O514:O543)/(N513*O513)</f>
        <v/>
      </c>
    </row>
    <row r="514">
      <c r="A514" t="n">
        <v>511</v>
      </c>
      <c r="B514">
        <f>A514/Inputs!$B$6</f>
        <v/>
      </c>
      <c r="C514">
        <f>Inputs!$B$3+B514</f>
        <v/>
      </c>
      <c r="D514">
        <f>INT(C514)</f>
        <v/>
      </c>
      <c r="E514">
        <f>Inputs!$B$7+1+INT((A514-1)/Inputs!$B$6)</f>
        <v/>
      </c>
      <c r="F514">
        <f>IFERROR(INDEX(IndexScenario!$B$4:$B$544,MATCH(A514,IndexScenario!$A$4:$A$544,0)),"")</f>
        <v/>
      </c>
      <c r="G514">
        <f>G513*F514/F513</f>
        <v/>
      </c>
      <c r="H514">
        <f>H513*(1+Inputs!$B$17)^(1/12)</f>
        <v/>
      </c>
      <c r="I514">
        <f>IFERROR(INDEX(BaseQx!$B:$B,MATCH(D514,BaseQx!$A:$A,0)),"")</f>
        <v/>
      </c>
      <c r="J514">
        <f>IF(Inputs!$B$13="rp_mp",SUMIFS(MP2016_Long!$C:$C,MP2016_Long!$A:$A,D514,MP2016_Long!$B:$B,"&gt;=2014",MP2016_Long!$B:$B,"&lt;"&amp;E514),0)</f>
        <v/>
      </c>
      <c r="K514">
        <f>MIN(0.999999,MAX(0,I514*EXP(J514)))</f>
        <v/>
      </c>
      <c r="L514">
        <f>-LN(1-K514)</f>
        <v/>
      </c>
      <c r="M514">
        <f>EXP(-L514/Inputs!$B$6)</f>
        <v/>
      </c>
      <c r="N514">
        <f>N513*M514</f>
        <v/>
      </c>
      <c r="O514">
        <f>IFERROR(INDEX(MonthlyCurve!$L:$L,MATCH(A514,MonthlyCurve!$A:$A,0)),"")</f>
        <v/>
      </c>
      <c r="P514">
        <f>IF(B514&gt;0,-LN(O514)/B514,"")</f>
        <v/>
      </c>
      <c r="Q514">
        <f>G514*N514</f>
        <v/>
      </c>
      <c r="R514">
        <f>H514*N514</f>
        <v/>
      </c>
      <c r="S514">
        <f>Q514+R514</f>
        <v/>
      </c>
      <c r="T514">
        <f>Q514*O514</f>
        <v/>
      </c>
      <c r="U514">
        <f>R514*O514</f>
        <v/>
      </c>
      <c r="V514">
        <f>SUMPRODUCT(S515:S543,O515:O543)/(N514*O514)</f>
        <v/>
      </c>
    </row>
    <row r="515">
      <c r="A515" t="n">
        <v>512</v>
      </c>
      <c r="B515">
        <f>A515/Inputs!$B$6</f>
        <v/>
      </c>
      <c r="C515">
        <f>Inputs!$B$3+B515</f>
        <v/>
      </c>
      <c r="D515">
        <f>INT(C515)</f>
        <v/>
      </c>
      <c r="E515">
        <f>Inputs!$B$7+1+INT((A515-1)/Inputs!$B$6)</f>
        <v/>
      </c>
      <c r="F515">
        <f>IFERROR(INDEX(IndexScenario!$B$4:$B$544,MATCH(A515,IndexScenario!$A$4:$A$544,0)),"")</f>
        <v/>
      </c>
      <c r="G515">
        <f>G514*F515/F514</f>
        <v/>
      </c>
      <c r="H515">
        <f>H514*(1+Inputs!$B$17)^(1/12)</f>
        <v/>
      </c>
      <c r="I515">
        <f>IFERROR(INDEX(BaseQx!$B:$B,MATCH(D515,BaseQx!$A:$A,0)),"")</f>
        <v/>
      </c>
      <c r="J515">
        <f>IF(Inputs!$B$13="rp_mp",SUMIFS(MP2016_Long!$C:$C,MP2016_Long!$A:$A,D515,MP2016_Long!$B:$B,"&gt;=2014",MP2016_Long!$B:$B,"&lt;"&amp;E515),0)</f>
        <v/>
      </c>
      <c r="K515">
        <f>MIN(0.999999,MAX(0,I515*EXP(J515)))</f>
        <v/>
      </c>
      <c r="L515">
        <f>-LN(1-K515)</f>
        <v/>
      </c>
      <c r="M515">
        <f>EXP(-L515/Inputs!$B$6)</f>
        <v/>
      </c>
      <c r="N515">
        <f>N514*M515</f>
        <v/>
      </c>
      <c r="O515">
        <f>IFERROR(INDEX(MonthlyCurve!$L:$L,MATCH(A515,MonthlyCurve!$A:$A,0)),"")</f>
        <v/>
      </c>
      <c r="P515">
        <f>IF(B515&gt;0,-LN(O515)/B515,"")</f>
        <v/>
      </c>
      <c r="Q515">
        <f>G515*N515</f>
        <v/>
      </c>
      <c r="R515">
        <f>H515*N515</f>
        <v/>
      </c>
      <c r="S515">
        <f>Q515+R515</f>
        <v/>
      </c>
      <c r="T515">
        <f>Q515*O515</f>
        <v/>
      </c>
      <c r="U515">
        <f>R515*O515</f>
        <v/>
      </c>
      <c r="V515">
        <f>SUMPRODUCT(S516:S543,O516:O543)/(N515*O515)</f>
        <v/>
      </c>
    </row>
    <row r="516">
      <c r="A516" t="n">
        <v>513</v>
      </c>
      <c r="B516">
        <f>A516/Inputs!$B$6</f>
        <v/>
      </c>
      <c r="C516">
        <f>Inputs!$B$3+B516</f>
        <v/>
      </c>
      <c r="D516">
        <f>INT(C516)</f>
        <v/>
      </c>
      <c r="E516">
        <f>Inputs!$B$7+1+INT((A516-1)/Inputs!$B$6)</f>
        <v/>
      </c>
      <c r="F516">
        <f>IFERROR(INDEX(IndexScenario!$B$4:$B$544,MATCH(A516,IndexScenario!$A$4:$A$544,0)),"")</f>
        <v/>
      </c>
      <c r="G516">
        <f>G515*F516/F515</f>
        <v/>
      </c>
      <c r="H516">
        <f>H515*(1+Inputs!$B$17)^(1/12)</f>
        <v/>
      </c>
      <c r="I516">
        <f>IFERROR(INDEX(BaseQx!$B:$B,MATCH(D516,BaseQx!$A:$A,0)),"")</f>
        <v/>
      </c>
      <c r="J516">
        <f>IF(Inputs!$B$13="rp_mp",SUMIFS(MP2016_Long!$C:$C,MP2016_Long!$A:$A,D516,MP2016_Long!$B:$B,"&gt;=2014",MP2016_Long!$B:$B,"&lt;"&amp;E516),0)</f>
        <v/>
      </c>
      <c r="K516">
        <f>MIN(0.999999,MAX(0,I516*EXP(J516)))</f>
        <v/>
      </c>
      <c r="L516">
        <f>-LN(1-K516)</f>
        <v/>
      </c>
      <c r="M516">
        <f>EXP(-L516/Inputs!$B$6)</f>
        <v/>
      </c>
      <c r="N516">
        <f>N515*M516</f>
        <v/>
      </c>
      <c r="O516">
        <f>IFERROR(INDEX(MonthlyCurve!$L:$L,MATCH(A516,MonthlyCurve!$A:$A,0)),"")</f>
        <v/>
      </c>
      <c r="P516">
        <f>IF(B516&gt;0,-LN(O516)/B516,"")</f>
        <v/>
      </c>
      <c r="Q516">
        <f>G516*N516</f>
        <v/>
      </c>
      <c r="R516">
        <f>H516*N516</f>
        <v/>
      </c>
      <c r="S516">
        <f>Q516+R516</f>
        <v/>
      </c>
      <c r="T516">
        <f>Q516*O516</f>
        <v/>
      </c>
      <c r="U516">
        <f>R516*O516</f>
        <v/>
      </c>
      <c r="V516">
        <f>SUMPRODUCT(S517:S543,O517:O543)/(N516*O516)</f>
        <v/>
      </c>
    </row>
    <row r="517">
      <c r="A517" t="n">
        <v>514</v>
      </c>
      <c r="B517">
        <f>A517/Inputs!$B$6</f>
        <v/>
      </c>
      <c r="C517">
        <f>Inputs!$B$3+B517</f>
        <v/>
      </c>
      <c r="D517">
        <f>INT(C517)</f>
        <v/>
      </c>
      <c r="E517">
        <f>Inputs!$B$7+1+INT((A517-1)/Inputs!$B$6)</f>
        <v/>
      </c>
      <c r="F517">
        <f>IFERROR(INDEX(IndexScenario!$B$4:$B$544,MATCH(A517,IndexScenario!$A$4:$A$544,0)),"")</f>
        <v/>
      </c>
      <c r="G517">
        <f>G516*F517/F516</f>
        <v/>
      </c>
      <c r="H517">
        <f>H516*(1+Inputs!$B$17)^(1/12)</f>
        <v/>
      </c>
      <c r="I517">
        <f>IFERROR(INDEX(BaseQx!$B:$B,MATCH(D517,BaseQx!$A:$A,0)),"")</f>
        <v/>
      </c>
      <c r="J517">
        <f>IF(Inputs!$B$13="rp_mp",SUMIFS(MP2016_Long!$C:$C,MP2016_Long!$A:$A,D517,MP2016_Long!$B:$B,"&gt;=2014",MP2016_Long!$B:$B,"&lt;"&amp;E517),0)</f>
        <v/>
      </c>
      <c r="K517">
        <f>MIN(0.999999,MAX(0,I517*EXP(J517)))</f>
        <v/>
      </c>
      <c r="L517">
        <f>-LN(1-K517)</f>
        <v/>
      </c>
      <c r="M517">
        <f>EXP(-L517/Inputs!$B$6)</f>
        <v/>
      </c>
      <c r="N517">
        <f>N516*M517</f>
        <v/>
      </c>
      <c r="O517">
        <f>IFERROR(INDEX(MonthlyCurve!$L:$L,MATCH(A517,MonthlyCurve!$A:$A,0)),"")</f>
        <v/>
      </c>
      <c r="P517">
        <f>IF(B517&gt;0,-LN(O517)/B517,"")</f>
        <v/>
      </c>
      <c r="Q517">
        <f>G517*N517</f>
        <v/>
      </c>
      <c r="R517">
        <f>H517*N517</f>
        <v/>
      </c>
      <c r="S517">
        <f>Q517+R517</f>
        <v/>
      </c>
      <c r="T517">
        <f>Q517*O517</f>
        <v/>
      </c>
      <c r="U517">
        <f>R517*O517</f>
        <v/>
      </c>
      <c r="V517">
        <f>SUMPRODUCT(S518:S543,O518:O543)/(N517*O517)</f>
        <v/>
      </c>
    </row>
    <row r="518">
      <c r="A518" t="n">
        <v>515</v>
      </c>
      <c r="B518">
        <f>A518/Inputs!$B$6</f>
        <v/>
      </c>
      <c r="C518">
        <f>Inputs!$B$3+B518</f>
        <v/>
      </c>
      <c r="D518">
        <f>INT(C518)</f>
        <v/>
      </c>
      <c r="E518">
        <f>Inputs!$B$7+1+INT((A518-1)/Inputs!$B$6)</f>
        <v/>
      </c>
      <c r="F518">
        <f>IFERROR(INDEX(IndexScenario!$B$4:$B$544,MATCH(A518,IndexScenario!$A$4:$A$544,0)),"")</f>
        <v/>
      </c>
      <c r="G518">
        <f>G517*F518/F517</f>
        <v/>
      </c>
      <c r="H518">
        <f>H517*(1+Inputs!$B$17)^(1/12)</f>
        <v/>
      </c>
      <c r="I518">
        <f>IFERROR(INDEX(BaseQx!$B:$B,MATCH(D518,BaseQx!$A:$A,0)),"")</f>
        <v/>
      </c>
      <c r="J518">
        <f>IF(Inputs!$B$13="rp_mp",SUMIFS(MP2016_Long!$C:$C,MP2016_Long!$A:$A,D518,MP2016_Long!$B:$B,"&gt;=2014",MP2016_Long!$B:$B,"&lt;"&amp;E518),0)</f>
        <v/>
      </c>
      <c r="K518">
        <f>MIN(0.999999,MAX(0,I518*EXP(J518)))</f>
        <v/>
      </c>
      <c r="L518">
        <f>-LN(1-K518)</f>
        <v/>
      </c>
      <c r="M518">
        <f>EXP(-L518/Inputs!$B$6)</f>
        <v/>
      </c>
      <c r="N518">
        <f>N517*M518</f>
        <v/>
      </c>
      <c r="O518">
        <f>IFERROR(INDEX(MonthlyCurve!$L:$L,MATCH(A518,MonthlyCurve!$A:$A,0)),"")</f>
        <v/>
      </c>
      <c r="P518">
        <f>IF(B518&gt;0,-LN(O518)/B518,"")</f>
        <v/>
      </c>
      <c r="Q518">
        <f>G518*N518</f>
        <v/>
      </c>
      <c r="R518">
        <f>H518*N518</f>
        <v/>
      </c>
      <c r="S518">
        <f>Q518+R518</f>
        <v/>
      </c>
      <c r="T518">
        <f>Q518*O518</f>
        <v/>
      </c>
      <c r="U518">
        <f>R518*O518</f>
        <v/>
      </c>
      <c r="V518">
        <f>SUMPRODUCT(S519:S543,O519:O543)/(N518*O518)</f>
        <v/>
      </c>
    </row>
    <row r="519">
      <c r="A519" t="n">
        <v>516</v>
      </c>
      <c r="B519">
        <f>A519/Inputs!$B$6</f>
        <v/>
      </c>
      <c r="C519">
        <f>Inputs!$B$3+B519</f>
        <v/>
      </c>
      <c r="D519">
        <f>INT(C519)</f>
        <v/>
      </c>
      <c r="E519">
        <f>Inputs!$B$7+1+INT((A519-1)/Inputs!$B$6)</f>
        <v/>
      </c>
      <c r="F519">
        <f>IFERROR(INDEX(IndexScenario!$B$4:$B$544,MATCH(A519,IndexScenario!$A$4:$A$544,0)),"")</f>
        <v/>
      </c>
      <c r="G519">
        <f>G518*F519/F518</f>
        <v/>
      </c>
      <c r="H519">
        <f>H518*(1+Inputs!$B$17)^(1/12)</f>
        <v/>
      </c>
      <c r="I519">
        <f>IFERROR(INDEX(BaseQx!$B:$B,MATCH(D519,BaseQx!$A:$A,0)),"")</f>
        <v/>
      </c>
      <c r="J519">
        <f>IF(Inputs!$B$13="rp_mp",SUMIFS(MP2016_Long!$C:$C,MP2016_Long!$A:$A,D519,MP2016_Long!$B:$B,"&gt;=2014",MP2016_Long!$B:$B,"&lt;"&amp;E519),0)</f>
        <v/>
      </c>
      <c r="K519">
        <f>MIN(0.999999,MAX(0,I519*EXP(J519)))</f>
        <v/>
      </c>
      <c r="L519">
        <f>-LN(1-K519)</f>
        <v/>
      </c>
      <c r="M519">
        <f>EXP(-L519/Inputs!$B$6)</f>
        <v/>
      </c>
      <c r="N519">
        <f>N518*M519</f>
        <v/>
      </c>
      <c r="O519">
        <f>IFERROR(INDEX(MonthlyCurve!$L:$L,MATCH(A519,MonthlyCurve!$A:$A,0)),"")</f>
        <v/>
      </c>
      <c r="P519">
        <f>IF(B519&gt;0,-LN(O519)/B519,"")</f>
        <v/>
      </c>
      <c r="Q519">
        <f>G519*N519</f>
        <v/>
      </c>
      <c r="R519">
        <f>H519*N519</f>
        <v/>
      </c>
      <c r="S519">
        <f>Q519+R519</f>
        <v/>
      </c>
      <c r="T519">
        <f>Q519*O519</f>
        <v/>
      </c>
      <c r="U519">
        <f>R519*O519</f>
        <v/>
      </c>
      <c r="V519">
        <f>SUMPRODUCT(S520:S543,O520:O543)/(N519*O519)</f>
        <v/>
      </c>
    </row>
    <row r="520">
      <c r="A520" t="n">
        <v>517</v>
      </c>
      <c r="B520">
        <f>A520/Inputs!$B$6</f>
        <v/>
      </c>
      <c r="C520">
        <f>Inputs!$B$3+B520</f>
        <v/>
      </c>
      <c r="D520">
        <f>INT(C520)</f>
        <v/>
      </c>
      <c r="E520">
        <f>Inputs!$B$7+1+INT((A520-1)/Inputs!$B$6)</f>
        <v/>
      </c>
      <c r="F520">
        <f>IFERROR(INDEX(IndexScenario!$B$4:$B$544,MATCH(A520,IndexScenario!$A$4:$A$544,0)),"")</f>
        <v/>
      </c>
      <c r="G520">
        <f>G519*F520/F519</f>
        <v/>
      </c>
      <c r="H520">
        <f>H519*(1+Inputs!$B$17)^(1/12)</f>
        <v/>
      </c>
      <c r="I520">
        <f>IFERROR(INDEX(BaseQx!$B:$B,MATCH(D520,BaseQx!$A:$A,0)),"")</f>
        <v/>
      </c>
      <c r="J520">
        <f>IF(Inputs!$B$13="rp_mp",SUMIFS(MP2016_Long!$C:$C,MP2016_Long!$A:$A,D520,MP2016_Long!$B:$B,"&gt;=2014",MP2016_Long!$B:$B,"&lt;"&amp;E520),0)</f>
        <v/>
      </c>
      <c r="K520">
        <f>MIN(0.999999,MAX(0,I520*EXP(J520)))</f>
        <v/>
      </c>
      <c r="L520">
        <f>-LN(1-K520)</f>
        <v/>
      </c>
      <c r="M520">
        <f>EXP(-L520/Inputs!$B$6)</f>
        <v/>
      </c>
      <c r="N520">
        <f>N519*M520</f>
        <v/>
      </c>
      <c r="O520">
        <f>IFERROR(INDEX(MonthlyCurve!$L:$L,MATCH(A520,MonthlyCurve!$A:$A,0)),"")</f>
        <v/>
      </c>
      <c r="P520">
        <f>IF(B520&gt;0,-LN(O520)/B520,"")</f>
        <v/>
      </c>
      <c r="Q520">
        <f>G520*N520</f>
        <v/>
      </c>
      <c r="R520">
        <f>H520*N520</f>
        <v/>
      </c>
      <c r="S520">
        <f>Q520+R520</f>
        <v/>
      </c>
      <c r="T520">
        <f>Q520*O520</f>
        <v/>
      </c>
      <c r="U520">
        <f>R520*O520</f>
        <v/>
      </c>
      <c r="V520">
        <f>SUMPRODUCT(S521:S543,O521:O543)/(N520*O520)</f>
        <v/>
      </c>
    </row>
    <row r="521">
      <c r="A521" t="n">
        <v>518</v>
      </c>
      <c r="B521">
        <f>A521/Inputs!$B$6</f>
        <v/>
      </c>
      <c r="C521">
        <f>Inputs!$B$3+B521</f>
        <v/>
      </c>
      <c r="D521">
        <f>INT(C521)</f>
        <v/>
      </c>
      <c r="E521">
        <f>Inputs!$B$7+1+INT((A521-1)/Inputs!$B$6)</f>
        <v/>
      </c>
      <c r="F521">
        <f>IFERROR(INDEX(IndexScenario!$B$4:$B$544,MATCH(A521,IndexScenario!$A$4:$A$544,0)),"")</f>
        <v/>
      </c>
      <c r="G521">
        <f>G520*F521/F520</f>
        <v/>
      </c>
      <c r="H521">
        <f>H520*(1+Inputs!$B$17)^(1/12)</f>
        <v/>
      </c>
      <c r="I521">
        <f>IFERROR(INDEX(BaseQx!$B:$B,MATCH(D521,BaseQx!$A:$A,0)),"")</f>
        <v/>
      </c>
      <c r="J521">
        <f>IF(Inputs!$B$13="rp_mp",SUMIFS(MP2016_Long!$C:$C,MP2016_Long!$A:$A,D521,MP2016_Long!$B:$B,"&gt;=2014",MP2016_Long!$B:$B,"&lt;"&amp;E521),0)</f>
        <v/>
      </c>
      <c r="K521">
        <f>MIN(0.999999,MAX(0,I521*EXP(J521)))</f>
        <v/>
      </c>
      <c r="L521">
        <f>-LN(1-K521)</f>
        <v/>
      </c>
      <c r="M521">
        <f>EXP(-L521/Inputs!$B$6)</f>
        <v/>
      </c>
      <c r="N521">
        <f>N520*M521</f>
        <v/>
      </c>
      <c r="O521">
        <f>IFERROR(INDEX(MonthlyCurve!$L:$L,MATCH(A521,MonthlyCurve!$A:$A,0)),"")</f>
        <v/>
      </c>
      <c r="P521">
        <f>IF(B521&gt;0,-LN(O521)/B521,"")</f>
        <v/>
      </c>
      <c r="Q521">
        <f>G521*N521</f>
        <v/>
      </c>
      <c r="R521">
        <f>H521*N521</f>
        <v/>
      </c>
      <c r="S521">
        <f>Q521+R521</f>
        <v/>
      </c>
      <c r="T521">
        <f>Q521*O521</f>
        <v/>
      </c>
      <c r="U521">
        <f>R521*O521</f>
        <v/>
      </c>
      <c r="V521">
        <f>SUMPRODUCT(S522:S543,O522:O543)/(N521*O521)</f>
        <v/>
      </c>
    </row>
    <row r="522">
      <c r="A522" t="n">
        <v>519</v>
      </c>
      <c r="B522">
        <f>A522/Inputs!$B$6</f>
        <v/>
      </c>
      <c r="C522">
        <f>Inputs!$B$3+B522</f>
        <v/>
      </c>
      <c r="D522">
        <f>INT(C522)</f>
        <v/>
      </c>
      <c r="E522">
        <f>Inputs!$B$7+1+INT((A522-1)/Inputs!$B$6)</f>
        <v/>
      </c>
      <c r="F522">
        <f>IFERROR(INDEX(IndexScenario!$B$4:$B$544,MATCH(A522,IndexScenario!$A$4:$A$544,0)),"")</f>
        <v/>
      </c>
      <c r="G522">
        <f>G521*F522/F521</f>
        <v/>
      </c>
      <c r="H522">
        <f>H521*(1+Inputs!$B$17)^(1/12)</f>
        <v/>
      </c>
      <c r="I522">
        <f>IFERROR(INDEX(BaseQx!$B:$B,MATCH(D522,BaseQx!$A:$A,0)),"")</f>
        <v/>
      </c>
      <c r="J522">
        <f>IF(Inputs!$B$13="rp_mp",SUMIFS(MP2016_Long!$C:$C,MP2016_Long!$A:$A,D522,MP2016_Long!$B:$B,"&gt;=2014",MP2016_Long!$B:$B,"&lt;"&amp;E522),0)</f>
        <v/>
      </c>
      <c r="K522">
        <f>MIN(0.999999,MAX(0,I522*EXP(J522)))</f>
        <v/>
      </c>
      <c r="L522">
        <f>-LN(1-K522)</f>
        <v/>
      </c>
      <c r="M522">
        <f>EXP(-L522/Inputs!$B$6)</f>
        <v/>
      </c>
      <c r="N522">
        <f>N521*M522</f>
        <v/>
      </c>
      <c r="O522">
        <f>IFERROR(INDEX(MonthlyCurve!$L:$L,MATCH(A522,MonthlyCurve!$A:$A,0)),"")</f>
        <v/>
      </c>
      <c r="P522">
        <f>IF(B522&gt;0,-LN(O522)/B522,"")</f>
        <v/>
      </c>
      <c r="Q522">
        <f>G522*N522</f>
        <v/>
      </c>
      <c r="R522">
        <f>H522*N522</f>
        <v/>
      </c>
      <c r="S522">
        <f>Q522+R522</f>
        <v/>
      </c>
      <c r="T522">
        <f>Q522*O522</f>
        <v/>
      </c>
      <c r="U522">
        <f>R522*O522</f>
        <v/>
      </c>
      <c r="V522">
        <f>SUMPRODUCT(S523:S543,O523:O543)/(N522*O522)</f>
        <v/>
      </c>
    </row>
    <row r="523">
      <c r="A523" t="n">
        <v>520</v>
      </c>
      <c r="B523">
        <f>A523/Inputs!$B$6</f>
        <v/>
      </c>
      <c r="C523">
        <f>Inputs!$B$3+B523</f>
        <v/>
      </c>
      <c r="D523">
        <f>INT(C523)</f>
        <v/>
      </c>
      <c r="E523">
        <f>Inputs!$B$7+1+INT((A523-1)/Inputs!$B$6)</f>
        <v/>
      </c>
      <c r="F523">
        <f>IFERROR(INDEX(IndexScenario!$B$4:$B$544,MATCH(A523,IndexScenario!$A$4:$A$544,0)),"")</f>
        <v/>
      </c>
      <c r="G523">
        <f>G522*F523/F522</f>
        <v/>
      </c>
      <c r="H523">
        <f>H522*(1+Inputs!$B$17)^(1/12)</f>
        <v/>
      </c>
      <c r="I523">
        <f>IFERROR(INDEX(BaseQx!$B:$B,MATCH(D523,BaseQx!$A:$A,0)),"")</f>
        <v/>
      </c>
      <c r="J523">
        <f>IF(Inputs!$B$13="rp_mp",SUMIFS(MP2016_Long!$C:$C,MP2016_Long!$A:$A,D523,MP2016_Long!$B:$B,"&gt;=2014",MP2016_Long!$B:$B,"&lt;"&amp;E523),0)</f>
        <v/>
      </c>
      <c r="K523">
        <f>MIN(0.999999,MAX(0,I523*EXP(J523)))</f>
        <v/>
      </c>
      <c r="L523">
        <f>-LN(1-K523)</f>
        <v/>
      </c>
      <c r="M523">
        <f>EXP(-L523/Inputs!$B$6)</f>
        <v/>
      </c>
      <c r="N523">
        <f>N522*M523</f>
        <v/>
      </c>
      <c r="O523">
        <f>IFERROR(INDEX(MonthlyCurve!$L:$L,MATCH(A523,MonthlyCurve!$A:$A,0)),"")</f>
        <v/>
      </c>
      <c r="P523">
        <f>IF(B523&gt;0,-LN(O523)/B523,"")</f>
        <v/>
      </c>
      <c r="Q523">
        <f>G523*N523</f>
        <v/>
      </c>
      <c r="R523">
        <f>H523*N523</f>
        <v/>
      </c>
      <c r="S523">
        <f>Q523+R523</f>
        <v/>
      </c>
      <c r="T523">
        <f>Q523*O523</f>
        <v/>
      </c>
      <c r="U523">
        <f>R523*O523</f>
        <v/>
      </c>
      <c r="V523">
        <f>SUMPRODUCT(S524:S543,O524:O543)/(N523*O523)</f>
        <v/>
      </c>
    </row>
    <row r="524">
      <c r="A524" t="n">
        <v>521</v>
      </c>
      <c r="B524">
        <f>A524/Inputs!$B$6</f>
        <v/>
      </c>
      <c r="C524">
        <f>Inputs!$B$3+B524</f>
        <v/>
      </c>
      <c r="D524">
        <f>INT(C524)</f>
        <v/>
      </c>
      <c r="E524">
        <f>Inputs!$B$7+1+INT((A524-1)/Inputs!$B$6)</f>
        <v/>
      </c>
      <c r="F524">
        <f>IFERROR(INDEX(IndexScenario!$B$4:$B$544,MATCH(A524,IndexScenario!$A$4:$A$544,0)),"")</f>
        <v/>
      </c>
      <c r="G524">
        <f>G523*F524/F523</f>
        <v/>
      </c>
      <c r="H524">
        <f>H523*(1+Inputs!$B$17)^(1/12)</f>
        <v/>
      </c>
      <c r="I524">
        <f>IFERROR(INDEX(BaseQx!$B:$B,MATCH(D524,BaseQx!$A:$A,0)),"")</f>
        <v/>
      </c>
      <c r="J524">
        <f>IF(Inputs!$B$13="rp_mp",SUMIFS(MP2016_Long!$C:$C,MP2016_Long!$A:$A,D524,MP2016_Long!$B:$B,"&gt;=2014",MP2016_Long!$B:$B,"&lt;"&amp;E524),0)</f>
        <v/>
      </c>
      <c r="K524">
        <f>MIN(0.999999,MAX(0,I524*EXP(J524)))</f>
        <v/>
      </c>
      <c r="L524">
        <f>-LN(1-K524)</f>
        <v/>
      </c>
      <c r="M524">
        <f>EXP(-L524/Inputs!$B$6)</f>
        <v/>
      </c>
      <c r="N524">
        <f>N523*M524</f>
        <v/>
      </c>
      <c r="O524">
        <f>IFERROR(INDEX(MonthlyCurve!$L:$L,MATCH(A524,MonthlyCurve!$A:$A,0)),"")</f>
        <v/>
      </c>
      <c r="P524">
        <f>IF(B524&gt;0,-LN(O524)/B524,"")</f>
        <v/>
      </c>
      <c r="Q524">
        <f>G524*N524</f>
        <v/>
      </c>
      <c r="R524">
        <f>H524*N524</f>
        <v/>
      </c>
      <c r="S524">
        <f>Q524+R524</f>
        <v/>
      </c>
      <c r="T524">
        <f>Q524*O524</f>
        <v/>
      </c>
      <c r="U524">
        <f>R524*O524</f>
        <v/>
      </c>
      <c r="V524">
        <f>SUMPRODUCT(S525:S543,O525:O543)/(N524*O524)</f>
        <v/>
      </c>
    </row>
    <row r="525">
      <c r="A525" t="n">
        <v>522</v>
      </c>
      <c r="B525">
        <f>A525/Inputs!$B$6</f>
        <v/>
      </c>
      <c r="C525">
        <f>Inputs!$B$3+B525</f>
        <v/>
      </c>
      <c r="D525">
        <f>INT(C525)</f>
        <v/>
      </c>
      <c r="E525">
        <f>Inputs!$B$7+1+INT((A525-1)/Inputs!$B$6)</f>
        <v/>
      </c>
      <c r="F525">
        <f>IFERROR(INDEX(IndexScenario!$B$4:$B$544,MATCH(A525,IndexScenario!$A$4:$A$544,0)),"")</f>
        <v/>
      </c>
      <c r="G525">
        <f>G524*F525/F524</f>
        <v/>
      </c>
      <c r="H525">
        <f>H524*(1+Inputs!$B$17)^(1/12)</f>
        <v/>
      </c>
      <c r="I525">
        <f>IFERROR(INDEX(BaseQx!$B:$B,MATCH(D525,BaseQx!$A:$A,0)),"")</f>
        <v/>
      </c>
      <c r="J525">
        <f>IF(Inputs!$B$13="rp_mp",SUMIFS(MP2016_Long!$C:$C,MP2016_Long!$A:$A,D525,MP2016_Long!$B:$B,"&gt;=2014",MP2016_Long!$B:$B,"&lt;"&amp;E525),0)</f>
        <v/>
      </c>
      <c r="K525">
        <f>MIN(0.999999,MAX(0,I525*EXP(J525)))</f>
        <v/>
      </c>
      <c r="L525">
        <f>-LN(1-K525)</f>
        <v/>
      </c>
      <c r="M525">
        <f>EXP(-L525/Inputs!$B$6)</f>
        <v/>
      </c>
      <c r="N525">
        <f>N524*M525</f>
        <v/>
      </c>
      <c r="O525">
        <f>IFERROR(INDEX(MonthlyCurve!$L:$L,MATCH(A525,MonthlyCurve!$A:$A,0)),"")</f>
        <v/>
      </c>
      <c r="P525">
        <f>IF(B525&gt;0,-LN(O525)/B525,"")</f>
        <v/>
      </c>
      <c r="Q525">
        <f>G525*N525</f>
        <v/>
      </c>
      <c r="R525">
        <f>H525*N525</f>
        <v/>
      </c>
      <c r="S525">
        <f>Q525+R525</f>
        <v/>
      </c>
      <c r="T525">
        <f>Q525*O525</f>
        <v/>
      </c>
      <c r="U525">
        <f>R525*O525</f>
        <v/>
      </c>
      <c r="V525">
        <f>SUMPRODUCT(S526:S543,O526:O543)/(N525*O525)</f>
        <v/>
      </c>
    </row>
    <row r="526">
      <c r="A526" t="n">
        <v>523</v>
      </c>
      <c r="B526">
        <f>A526/Inputs!$B$6</f>
        <v/>
      </c>
      <c r="C526">
        <f>Inputs!$B$3+B526</f>
        <v/>
      </c>
      <c r="D526">
        <f>INT(C526)</f>
        <v/>
      </c>
      <c r="E526">
        <f>Inputs!$B$7+1+INT((A526-1)/Inputs!$B$6)</f>
        <v/>
      </c>
      <c r="F526">
        <f>IFERROR(INDEX(IndexScenario!$B$4:$B$544,MATCH(A526,IndexScenario!$A$4:$A$544,0)),"")</f>
        <v/>
      </c>
      <c r="G526">
        <f>G525*F526/F525</f>
        <v/>
      </c>
      <c r="H526">
        <f>H525*(1+Inputs!$B$17)^(1/12)</f>
        <v/>
      </c>
      <c r="I526">
        <f>IFERROR(INDEX(BaseQx!$B:$B,MATCH(D526,BaseQx!$A:$A,0)),"")</f>
        <v/>
      </c>
      <c r="J526">
        <f>IF(Inputs!$B$13="rp_mp",SUMIFS(MP2016_Long!$C:$C,MP2016_Long!$A:$A,D526,MP2016_Long!$B:$B,"&gt;=2014",MP2016_Long!$B:$B,"&lt;"&amp;E526),0)</f>
        <v/>
      </c>
      <c r="K526">
        <f>MIN(0.999999,MAX(0,I526*EXP(J526)))</f>
        <v/>
      </c>
      <c r="L526">
        <f>-LN(1-K526)</f>
        <v/>
      </c>
      <c r="M526">
        <f>EXP(-L526/Inputs!$B$6)</f>
        <v/>
      </c>
      <c r="N526">
        <f>N525*M526</f>
        <v/>
      </c>
      <c r="O526">
        <f>IFERROR(INDEX(MonthlyCurve!$L:$L,MATCH(A526,MonthlyCurve!$A:$A,0)),"")</f>
        <v/>
      </c>
      <c r="P526">
        <f>IF(B526&gt;0,-LN(O526)/B526,"")</f>
        <v/>
      </c>
      <c r="Q526">
        <f>G526*N526</f>
        <v/>
      </c>
      <c r="R526">
        <f>H526*N526</f>
        <v/>
      </c>
      <c r="S526">
        <f>Q526+R526</f>
        <v/>
      </c>
      <c r="T526">
        <f>Q526*O526</f>
        <v/>
      </c>
      <c r="U526">
        <f>R526*O526</f>
        <v/>
      </c>
      <c r="V526">
        <f>SUMPRODUCT(S527:S543,O527:O543)/(N526*O526)</f>
        <v/>
      </c>
    </row>
    <row r="527">
      <c r="A527" t="n">
        <v>524</v>
      </c>
      <c r="B527">
        <f>A527/Inputs!$B$6</f>
        <v/>
      </c>
      <c r="C527">
        <f>Inputs!$B$3+B527</f>
        <v/>
      </c>
      <c r="D527">
        <f>INT(C527)</f>
        <v/>
      </c>
      <c r="E527">
        <f>Inputs!$B$7+1+INT((A527-1)/Inputs!$B$6)</f>
        <v/>
      </c>
      <c r="F527">
        <f>IFERROR(INDEX(IndexScenario!$B$4:$B$544,MATCH(A527,IndexScenario!$A$4:$A$544,0)),"")</f>
        <v/>
      </c>
      <c r="G527">
        <f>G526*F527/F526</f>
        <v/>
      </c>
      <c r="H527">
        <f>H526*(1+Inputs!$B$17)^(1/12)</f>
        <v/>
      </c>
      <c r="I527">
        <f>IFERROR(INDEX(BaseQx!$B:$B,MATCH(D527,BaseQx!$A:$A,0)),"")</f>
        <v/>
      </c>
      <c r="J527">
        <f>IF(Inputs!$B$13="rp_mp",SUMIFS(MP2016_Long!$C:$C,MP2016_Long!$A:$A,D527,MP2016_Long!$B:$B,"&gt;=2014",MP2016_Long!$B:$B,"&lt;"&amp;E527),0)</f>
        <v/>
      </c>
      <c r="K527">
        <f>MIN(0.999999,MAX(0,I527*EXP(J527)))</f>
        <v/>
      </c>
      <c r="L527">
        <f>-LN(1-K527)</f>
        <v/>
      </c>
      <c r="M527">
        <f>EXP(-L527/Inputs!$B$6)</f>
        <v/>
      </c>
      <c r="N527">
        <f>N526*M527</f>
        <v/>
      </c>
      <c r="O527">
        <f>IFERROR(INDEX(MonthlyCurve!$L:$L,MATCH(A527,MonthlyCurve!$A:$A,0)),"")</f>
        <v/>
      </c>
      <c r="P527">
        <f>IF(B527&gt;0,-LN(O527)/B527,"")</f>
        <v/>
      </c>
      <c r="Q527">
        <f>G527*N527</f>
        <v/>
      </c>
      <c r="R527">
        <f>H527*N527</f>
        <v/>
      </c>
      <c r="S527">
        <f>Q527+R527</f>
        <v/>
      </c>
      <c r="T527">
        <f>Q527*O527</f>
        <v/>
      </c>
      <c r="U527">
        <f>R527*O527</f>
        <v/>
      </c>
      <c r="V527">
        <f>SUMPRODUCT(S528:S543,O528:O543)/(N527*O527)</f>
        <v/>
      </c>
    </row>
    <row r="528">
      <c r="A528" t="n">
        <v>525</v>
      </c>
      <c r="B528">
        <f>A528/Inputs!$B$6</f>
        <v/>
      </c>
      <c r="C528">
        <f>Inputs!$B$3+B528</f>
        <v/>
      </c>
      <c r="D528">
        <f>INT(C528)</f>
        <v/>
      </c>
      <c r="E528">
        <f>Inputs!$B$7+1+INT((A528-1)/Inputs!$B$6)</f>
        <v/>
      </c>
      <c r="F528">
        <f>IFERROR(INDEX(IndexScenario!$B$4:$B$544,MATCH(A528,IndexScenario!$A$4:$A$544,0)),"")</f>
        <v/>
      </c>
      <c r="G528">
        <f>G527*F528/F527</f>
        <v/>
      </c>
      <c r="H528">
        <f>H527*(1+Inputs!$B$17)^(1/12)</f>
        <v/>
      </c>
      <c r="I528">
        <f>IFERROR(INDEX(BaseQx!$B:$B,MATCH(D528,BaseQx!$A:$A,0)),"")</f>
        <v/>
      </c>
      <c r="J528">
        <f>IF(Inputs!$B$13="rp_mp",SUMIFS(MP2016_Long!$C:$C,MP2016_Long!$A:$A,D528,MP2016_Long!$B:$B,"&gt;=2014",MP2016_Long!$B:$B,"&lt;"&amp;E528),0)</f>
        <v/>
      </c>
      <c r="K528">
        <f>MIN(0.999999,MAX(0,I528*EXP(J528)))</f>
        <v/>
      </c>
      <c r="L528">
        <f>-LN(1-K528)</f>
        <v/>
      </c>
      <c r="M528">
        <f>EXP(-L528/Inputs!$B$6)</f>
        <v/>
      </c>
      <c r="N528">
        <f>N527*M528</f>
        <v/>
      </c>
      <c r="O528">
        <f>IFERROR(INDEX(MonthlyCurve!$L:$L,MATCH(A528,MonthlyCurve!$A:$A,0)),"")</f>
        <v/>
      </c>
      <c r="P528">
        <f>IF(B528&gt;0,-LN(O528)/B528,"")</f>
        <v/>
      </c>
      <c r="Q528">
        <f>G528*N528</f>
        <v/>
      </c>
      <c r="R528">
        <f>H528*N528</f>
        <v/>
      </c>
      <c r="S528">
        <f>Q528+R528</f>
        <v/>
      </c>
      <c r="T528">
        <f>Q528*O528</f>
        <v/>
      </c>
      <c r="U528">
        <f>R528*O528</f>
        <v/>
      </c>
      <c r="V528">
        <f>SUMPRODUCT(S529:S543,O529:O543)/(N528*O528)</f>
        <v/>
      </c>
    </row>
    <row r="529">
      <c r="A529" t="n">
        <v>526</v>
      </c>
      <c r="B529">
        <f>A529/Inputs!$B$6</f>
        <v/>
      </c>
      <c r="C529">
        <f>Inputs!$B$3+B529</f>
        <v/>
      </c>
      <c r="D529">
        <f>INT(C529)</f>
        <v/>
      </c>
      <c r="E529">
        <f>Inputs!$B$7+1+INT((A529-1)/Inputs!$B$6)</f>
        <v/>
      </c>
      <c r="F529">
        <f>IFERROR(INDEX(IndexScenario!$B$4:$B$544,MATCH(A529,IndexScenario!$A$4:$A$544,0)),"")</f>
        <v/>
      </c>
      <c r="G529">
        <f>G528*F529/F528</f>
        <v/>
      </c>
      <c r="H529">
        <f>H528*(1+Inputs!$B$17)^(1/12)</f>
        <v/>
      </c>
      <c r="I529">
        <f>IFERROR(INDEX(BaseQx!$B:$B,MATCH(D529,BaseQx!$A:$A,0)),"")</f>
        <v/>
      </c>
      <c r="J529">
        <f>IF(Inputs!$B$13="rp_mp",SUMIFS(MP2016_Long!$C:$C,MP2016_Long!$A:$A,D529,MP2016_Long!$B:$B,"&gt;=2014",MP2016_Long!$B:$B,"&lt;"&amp;E529),0)</f>
        <v/>
      </c>
      <c r="K529">
        <f>MIN(0.999999,MAX(0,I529*EXP(J529)))</f>
        <v/>
      </c>
      <c r="L529">
        <f>-LN(1-K529)</f>
        <v/>
      </c>
      <c r="M529">
        <f>EXP(-L529/Inputs!$B$6)</f>
        <v/>
      </c>
      <c r="N529">
        <f>N528*M529</f>
        <v/>
      </c>
      <c r="O529">
        <f>IFERROR(INDEX(MonthlyCurve!$L:$L,MATCH(A529,MonthlyCurve!$A:$A,0)),"")</f>
        <v/>
      </c>
      <c r="P529">
        <f>IF(B529&gt;0,-LN(O529)/B529,"")</f>
        <v/>
      </c>
      <c r="Q529">
        <f>G529*N529</f>
        <v/>
      </c>
      <c r="R529">
        <f>H529*N529</f>
        <v/>
      </c>
      <c r="S529">
        <f>Q529+R529</f>
        <v/>
      </c>
      <c r="T529">
        <f>Q529*O529</f>
        <v/>
      </c>
      <c r="U529">
        <f>R529*O529</f>
        <v/>
      </c>
      <c r="V529">
        <f>SUMPRODUCT(S530:S543,O530:O543)/(N529*O529)</f>
        <v/>
      </c>
    </row>
    <row r="530">
      <c r="A530" t="n">
        <v>527</v>
      </c>
      <c r="B530">
        <f>A530/Inputs!$B$6</f>
        <v/>
      </c>
      <c r="C530">
        <f>Inputs!$B$3+B530</f>
        <v/>
      </c>
      <c r="D530">
        <f>INT(C530)</f>
        <v/>
      </c>
      <c r="E530">
        <f>Inputs!$B$7+1+INT((A530-1)/Inputs!$B$6)</f>
        <v/>
      </c>
      <c r="F530">
        <f>IFERROR(INDEX(IndexScenario!$B$4:$B$544,MATCH(A530,IndexScenario!$A$4:$A$544,0)),"")</f>
        <v/>
      </c>
      <c r="G530">
        <f>G529*F530/F529</f>
        <v/>
      </c>
      <c r="H530">
        <f>H529*(1+Inputs!$B$17)^(1/12)</f>
        <v/>
      </c>
      <c r="I530">
        <f>IFERROR(INDEX(BaseQx!$B:$B,MATCH(D530,BaseQx!$A:$A,0)),"")</f>
        <v/>
      </c>
      <c r="J530">
        <f>IF(Inputs!$B$13="rp_mp",SUMIFS(MP2016_Long!$C:$C,MP2016_Long!$A:$A,D530,MP2016_Long!$B:$B,"&gt;=2014",MP2016_Long!$B:$B,"&lt;"&amp;E530),0)</f>
        <v/>
      </c>
      <c r="K530">
        <f>MIN(0.999999,MAX(0,I530*EXP(J530)))</f>
        <v/>
      </c>
      <c r="L530">
        <f>-LN(1-K530)</f>
        <v/>
      </c>
      <c r="M530">
        <f>EXP(-L530/Inputs!$B$6)</f>
        <v/>
      </c>
      <c r="N530">
        <f>N529*M530</f>
        <v/>
      </c>
      <c r="O530">
        <f>IFERROR(INDEX(MonthlyCurve!$L:$L,MATCH(A530,MonthlyCurve!$A:$A,0)),"")</f>
        <v/>
      </c>
      <c r="P530">
        <f>IF(B530&gt;0,-LN(O530)/B530,"")</f>
        <v/>
      </c>
      <c r="Q530">
        <f>G530*N530</f>
        <v/>
      </c>
      <c r="R530">
        <f>H530*N530</f>
        <v/>
      </c>
      <c r="S530">
        <f>Q530+R530</f>
        <v/>
      </c>
      <c r="T530">
        <f>Q530*O530</f>
        <v/>
      </c>
      <c r="U530">
        <f>R530*O530</f>
        <v/>
      </c>
      <c r="V530">
        <f>SUMPRODUCT(S531:S543,O531:O543)/(N530*O530)</f>
        <v/>
      </c>
    </row>
    <row r="531">
      <c r="A531" t="n">
        <v>528</v>
      </c>
      <c r="B531">
        <f>A531/Inputs!$B$6</f>
        <v/>
      </c>
      <c r="C531">
        <f>Inputs!$B$3+B531</f>
        <v/>
      </c>
      <c r="D531">
        <f>INT(C531)</f>
        <v/>
      </c>
      <c r="E531">
        <f>Inputs!$B$7+1+INT((A531-1)/Inputs!$B$6)</f>
        <v/>
      </c>
      <c r="F531">
        <f>IFERROR(INDEX(IndexScenario!$B$4:$B$544,MATCH(A531,IndexScenario!$A$4:$A$544,0)),"")</f>
        <v/>
      </c>
      <c r="G531">
        <f>G530*F531/F530</f>
        <v/>
      </c>
      <c r="H531">
        <f>H530*(1+Inputs!$B$17)^(1/12)</f>
        <v/>
      </c>
      <c r="I531">
        <f>IFERROR(INDEX(BaseQx!$B:$B,MATCH(D531,BaseQx!$A:$A,0)),"")</f>
        <v/>
      </c>
      <c r="J531">
        <f>IF(Inputs!$B$13="rp_mp",SUMIFS(MP2016_Long!$C:$C,MP2016_Long!$A:$A,D531,MP2016_Long!$B:$B,"&gt;=2014",MP2016_Long!$B:$B,"&lt;"&amp;E531),0)</f>
        <v/>
      </c>
      <c r="K531">
        <f>MIN(0.999999,MAX(0,I531*EXP(J531)))</f>
        <v/>
      </c>
      <c r="L531">
        <f>-LN(1-K531)</f>
        <v/>
      </c>
      <c r="M531">
        <f>EXP(-L531/Inputs!$B$6)</f>
        <v/>
      </c>
      <c r="N531">
        <f>N530*M531</f>
        <v/>
      </c>
      <c r="O531">
        <f>IFERROR(INDEX(MonthlyCurve!$L:$L,MATCH(A531,MonthlyCurve!$A:$A,0)),"")</f>
        <v/>
      </c>
      <c r="P531">
        <f>IF(B531&gt;0,-LN(O531)/B531,"")</f>
        <v/>
      </c>
      <c r="Q531">
        <f>G531*N531</f>
        <v/>
      </c>
      <c r="R531">
        <f>H531*N531</f>
        <v/>
      </c>
      <c r="S531">
        <f>Q531+R531</f>
        <v/>
      </c>
      <c r="T531">
        <f>Q531*O531</f>
        <v/>
      </c>
      <c r="U531">
        <f>R531*O531</f>
        <v/>
      </c>
      <c r="V531">
        <f>SUMPRODUCT(S532:S543,O532:O543)/(N531*O531)</f>
        <v/>
      </c>
    </row>
    <row r="532">
      <c r="A532" t="n">
        <v>529</v>
      </c>
      <c r="B532">
        <f>A532/Inputs!$B$6</f>
        <v/>
      </c>
      <c r="C532">
        <f>Inputs!$B$3+B532</f>
        <v/>
      </c>
      <c r="D532">
        <f>INT(C532)</f>
        <v/>
      </c>
      <c r="E532">
        <f>Inputs!$B$7+1+INT((A532-1)/Inputs!$B$6)</f>
        <v/>
      </c>
      <c r="F532">
        <f>IFERROR(INDEX(IndexScenario!$B$4:$B$544,MATCH(A532,IndexScenario!$A$4:$A$544,0)),"")</f>
        <v/>
      </c>
      <c r="G532">
        <f>G531*F532/F531</f>
        <v/>
      </c>
      <c r="H532">
        <f>H531*(1+Inputs!$B$17)^(1/12)</f>
        <v/>
      </c>
      <c r="I532">
        <f>IFERROR(INDEX(BaseQx!$B:$B,MATCH(D532,BaseQx!$A:$A,0)),"")</f>
        <v/>
      </c>
      <c r="J532">
        <f>IF(Inputs!$B$13="rp_mp",SUMIFS(MP2016_Long!$C:$C,MP2016_Long!$A:$A,D532,MP2016_Long!$B:$B,"&gt;=2014",MP2016_Long!$B:$B,"&lt;"&amp;E532),0)</f>
        <v/>
      </c>
      <c r="K532">
        <f>MIN(0.999999,MAX(0,I532*EXP(J532)))</f>
        <v/>
      </c>
      <c r="L532">
        <f>-LN(1-K532)</f>
        <v/>
      </c>
      <c r="M532">
        <f>EXP(-L532/Inputs!$B$6)</f>
        <v/>
      </c>
      <c r="N532">
        <f>N531*M532</f>
        <v/>
      </c>
      <c r="O532">
        <f>IFERROR(INDEX(MonthlyCurve!$L:$L,MATCH(A532,MonthlyCurve!$A:$A,0)),"")</f>
        <v/>
      </c>
      <c r="P532">
        <f>IF(B532&gt;0,-LN(O532)/B532,"")</f>
        <v/>
      </c>
      <c r="Q532">
        <f>G532*N532</f>
        <v/>
      </c>
      <c r="R532">
        <f>H532*N532</f>
        <v/>
      </c>
      <c r="S532">
        <f>Q532+R532</f>
        <v/>
      </c>
      <c r="T532">
        <f>Q532*O532</f>
        <v/>
      </c>
      <c r="U532">
        <f>R532*O532</f>
        <v/>
      </c>
      <c r="V532">
        <f>SUMPRODUCT(S533:S543,O533:O543)/(N532*O532)</f>
        <v/>
      </c>
    </row>
    <row r="533">
      <c r="A533" t="n">
        <v>530</v>
      </c>
      <c r="B533">
        <f>A533/Inputs!$B$6</f>
        <v/>
      </c>
      <c r="C533">
        <f>Inputs!$B$3+B533</f>
        <v/>
      </c>
      <c r="D533">
        <f>INT(C533)</f>
        <v/>
      </c>
      <c r="E533">
        <f>Inputs!$B$7+1+INT((A533-1)/Inputs!$B$6)</f>
        <v/>
      </c>
      <c r="F533">
        <f>IFERROR(INDEX(IndexScenario!$B$4:$B$544,MATCH(A533,IndexScenario!$A$4:$A$544,0)),"")</f>
        <v/>
      </c>
      <c r="G533">
        <f>G532*F533/F532</f>
        <v/>
      </c>
      <c r="H533">
        <f>H532*(1+Inputs!$B$17)^(1/12)</f>
        <v/>
      </c>
      <c r="I533">
        <f>IFERROR(INDEX(BaseQx!$B:$B,MATCH(D533,BaseQx!$A:$A,0)),"")</f>
        <v/>
      </c>
      <c r="J533">
        <f>IF(Inputs!$B$13="rp_mp",SUMIFS(MP2016_Long!$C:$C,MP2016_Long!$A:$A,D533,MP2016_Long!$B:$B,"&gt;=2014",MP2016_Long!$B:$B,"&lt;"&amp;E533),0)</f>
        <v/>
      </c>
      <c r="K533">
        <f>MIN(0.999999,MAX(0,I533*EXP(J533)))</f>
        <v/>
      </c>
      <c r="L533">
        <f>-LN(1-K533)</f>
        <v/>
      </c>
      <c r="M533">
        <f>EXP(-L533/Inputs!$B$6)</f>
        <v/>
      </c>
      <c r="N533">
        <f>N532*M533</f>
        <v/>
      </c>
      <c r="O533">
        <f>IFERROR(INDEX(MonthlyCurve!$L:$L,MATCH(A533,MonthlyCurve!$A:$A,0)),"")</f>
        <v/>
      </c>
      <c r="P533">
        <f>IF(B533&gt;0,-LN(O533)/B533,"")</f>
        <v/>
      </c>
      <c r="Q533">
        <f>G533*N533</f>
        <v/>
      </c>
      <c r="R533">
        <f>H533*N533</f>
        <v/>
      </c>
      <c r="S533">
        <f>Q533+R533</f>
        <v/>
      </c>
      <c r="T533">
        <f>Q533*O533</f>
        <v/>
      </c>
      <c r="U533">
        <f>R533*O533</f>
        <v/>
      </c>
      <c r="V533">
        <f>SUMPRODUCT(S534:S543,O534:O543)/(N533*O533)</f>
        <v/>
      </c>
    </row>
    <row r="534">
      <c r="A534" t="n">
        <v>531</v>
      </c>
      <c r="B534">
        <f>A534/Inputs!$B$6</f>
        <v/>
      </c>
      <c r="C534">
        <f>Inputs!$B$3+B534</f>
        <v/>
      </c>
      <c r="D534">
        <f>INT(C534)</f>
        <v/>
      </c>
      <c r="E534">
        <f>Inputs!$B$7+1+INT((A534-1)/Inputs!$B$6)</f>
        <v/>
      </c>
      <c r="F534">
        <f>IFERROR(INDEX(IndexScenario!$B$4:$B$544,MATCH(A534,IndexScenario!$A$4:$A$544,0)),"")</f>
        <v/>
      </c>
      <c r="G534">
        <f>G533*F534/F533</f>
        <v/>
      </c>
      <c r="H534">
        <f>H533*(1+Inputs!$B$17)^(1/12)</f>
        <v/>
      </c>
      <c r="I534">
        <f>IFERROR(INDEX(BaseQx!$B:$B,MATCH(D534,BaseQx!$A:$A,0)),"")</f>
        <v/>
      </c>
      <c r="J534">
        <f>IF(Inputs!$B$13="rp_mp",SUMIFS(MP2016_Long!$C:$C,MP2016_Long!$A:$A,D534,MP2016_Long!$B:$B,"&gt;=2014",MP2016_Long!$B:$B,"&lt;"&amp;E534),0)</f>
        <v/>
      </c>
      <c r="K534">
        <f>MIN(0.999999,MAX(0,I534*EXP(J534)))</f>
        <v/>
      </c>
      <c r="L534">
        <f>-LN(1-K534)</f>
        <v/>
      </c>
      <c r="M534">
        <f>EXP(-L534/Inputs!$B$6)</f>
        <v/>
      </c>
      <c r="N534">
        <f>N533*M534</f>
        <v/>
      </c>
      <c r="O534">
        <f>IFERROR(INDEX(MonthlyCurve!$L:$L,MATCH(A534,MonthlyCurve!$A:$A,0)),"")</f>
        <v/>
      </c>
      <c r="P534">
        <f>IF(B534&gt;0,-LN(O534)/B534,"")</f>
        <v/>
      </c>
      <c r="Q534">
        <f>G534*N534</f>
        <v/>
      </c>
      <c r="R534">
        <f>H534*N534</f>
        <v/>
      </c>
      <c r="S534">
        <f>Q534+R534</f>
        <v/>
      </c>
      <c r="T534">
        <f>Q534*O534</f>
        <v/>
      </c>
      <c r="U534">
        <f>R534*O534</f>
        <v/>
      </c>
      <c r="V534">
        <f>SUMPRODUCT(S535:S543,O535:O543)/(N534*O534)</f>
        <v/>
      </c>
    </row>
    <row r="535">
      <c r="A535" t="n">
        <v>532</v>
      </c>
      <c r="B535">
        <f>A535/Inputs!$B$6</f>
        <v/>
      </c>
      <c r="C535">
        <f>Inputs!$B$3+B535</f>
        <v/>
      </c>
      <c r="D535">
        <f>INT(C535)</f>
        <v/>
      </c>
      <c r="E535">
        <f>Inputs!$B$7+1+INT((A535-1)/Inputs!$B$6)</f>
        <v/>
      </c>
      <c r="F535">
        <f>IFERROR(INDEX(IndexScenario!$B$4:$B$544,MATCH(A535,IndexScenario!$A$4:$A$544,0)),"")</f>
        <v/>
      </c>
      <c r="G535">
        <f>G534*F535/F534</f>
        <v/>
      </c>
      <c r="H535">
        <f>H534*(1+Inputs!$B$17)^(1/12)</f>
        <v/>
      </c>
      <c r="I535">
        <f>IFERROR(INDEX(BaseQx!$B:$B,MATCH(D535,BaseQx!$A:$A,0)),"")</f>
        <v/>
      </c>
      <c r="J535">
        <f>IF(Inputs!$B$13="rp_mp",SUMIFS(MP2016_Long!$C:$C,MP2016_Long!$A:$A,D535,MP2016_Long!$B:$B,"&gt;=2014",MP2016_Long!$B:$B,"&lt;"&amp;E535),0)</f>
        <v/>
      </c>
      <c r="K535">
        <f>MIN(0.999999,MAX(0,I535*EXP(J535)))</f>
        <v/>
      </c>
      <c r="L535">
        <f>-LN(1-K535)</f>
        <v/>
      </c>
      <c r="M535">
        <f>EXP(-L535/Inputs!$B$6)</f>
        <v/>
      </c>
      <c r="N535">
        <f>N534*M535</f>
        <v/>
      </c>
      <c r="O535">
        <f>IFERROR(INDEX(MonthlyCurve!$L:$L,MATCH(A535,MonthlyCurve!$A:$A,0)),"")</f>
        <v/>
      </c>
      <c r="P535">
        <f>IF(B535&gt;0,-LN(O535)/B535,"")</f>
        <v/>
      </c>
      <c r="Q535">
        <f>G535*N535</f>
        <v/>
      </c>
      <c r="R535">
        <f>H535*N535</f>
        <v/>
      </c>
      <c r="S535">
        <f>Q535+R535</f>
        <v/>
      </c>
      <c r="T535">
        <f>Q535*O535</f>
        <v/>
      </c>
      <c r="U535">
        <f>R535*O535</f>
        <v/>
      </c>
      <c r="V535">
        <f>SUMPRODUCT(S536:S543,O536:O543)/(N535*O535)</f>
        <v/>
      </c>
    </row>
    <row r="536">
      <c r="A536" t="n">
        <v>533</v>
      </c>
      <c r="B536">
        <f>A536/Inputs!$B$6</f>
        <v/>
      </c>
      <c r="C536">
        <f>Inputs!$B$3+B536</f>
        <v/>
      </c>
      <c r="D536">
        <f>INT(C536)</f>
        <v/>
      </c>
      <c r="E536">
        <f>Inputs!$B$7+1+INT((A536-1)/Inputs!$B$6)</f>
        <v/>
      </c>
      <c r="F536">
        <f>IFERROR(INDEX(IndexScenario!$B$4:$B$544,MATCH(A536,IndexScenario!$A$4:$A$544,0)),"")</f>
        <v/>
      </c>
      <c r="G536">
        <f>G535*F536/F535</f>
        <v/>
      </c>
      <c r="H536">
        <f>H535*(1+Inputs!$B$17)^(1/12)</f>
        <v/>
      </c>
      <c r="I536">
        <f>IFERROR(INDEX(BaseQx!$B:$B,MATCH(D536,BaseQx!$A:$A,0)),"")</f>
        <v/>
      </c>
      <c r="J536">
        <f>IF(Inputs!$B$13="rp_mp",SUMIFS(MP2016_Long!$C:$C,MP2016_Long!$A:$A,D536,MP2016_Long!$B:$B,"&gt;=2014",MP2016_Long!$B:$B,"&lt;"&amp;E536),0)</f>
        <v/>
      </c>
      <c r="K536">
        <f>MIN(0.999999,MAX(0,I536*EXP(J536)))</f>
        <v/>
      </c>
      <c r="L536">
        <f>-LN(1-K536)</f>
        <v/>
      </c>
      <c r="M536">
        <f>EXP(-L536/Inputs!$B$6)</f>
        <v/>
      </c>
      <c r="N536">
        <f>N535*M536</f>
        <v/>
      </c>
      <c r="O536">
        <f>IFERROR(INDEX(MonthlyCurve!$L:$L,MATCH(A536,MonthlyCurve!$A:$A,0)),"")</f>
        <v/>
      </c>
      <c r="P536">
        <f>IF(B536&gt;0,-LN(O536)/B536,"")</f>
        <v/>
      </c>
      <c r="Q536">
        <f>G536*N536</f>
        <v/>
      </c>
      <c r="R536">
        <f>H536*N536</f>
        <v/>
      </c>
      <c r="S536">
        <f>Q536+R536</f>
        <v/>
      </c>
      <c r="T536">
        <f>Q536*O536</f>
        <v/>
      </c>
      <c r="U536">
        <f>R536*O536</f>
        <v/>
      </c>
      <c r="V536">
        <f>SUMPRODUCT(S537:S543,O537:O543)/(N536*O536)</f>
        <v/>
      </c>
    </row>
    <row r="537">
      <c r="A537" t="n">
        <v>534</v>
      </c>
      <c r="B537">
        <f>A537/Inputs!$B$6</f>
        <v/>
      </c>
      <c r="C537">
        <f>Inputs!$B$3+B537</f>
        <v/>
      </c>
      <c r="D537">
        <f>INT(C537)</f>
        <v/>
      </c>
      <c r="E537">
        <f>Inputs!$B$7+1+INT((A537-1)/Inputs!$B$6)</f>
        <v/>
      </c>
      <c r="F537">
        <f>IFERROR(INDEX(IndexScenario!$B$4:$B$544,MATCH(A537,IndexScenario!$A$4:$A$544,0)),"")</f>
        <v/>
      </c>
      <c r="G537">
        <f>G536*F537/F536</f>
        <v/>
      </c>
      <c r="H537">
        <f>H536*(1+Inputs!$B$17)^(1/12)</f>
        <v/>
      </c>
      <c r="I537">
        <f>IFERROR(INDEX(BaseQx!$B:$B,MATCH(D537,BaseQx!$A:$A,0)),"")</f>
        <v/>
      </c>
      <c r="J537">
        <f>IF(Inputs!$B$13="rp_mp",SUMIFS(MP2016_Long!$C:$C,MP2016_Long!$A:$A,D537,MP2016_Long!$B:$B,"&gt;=2014",MP2016_Long!$B:$B,"&lt;"&amp;E537),0)</f>
        <v/>
      </c>
      <c r="K537">
        <f>MIN(0.999999,MAX(0,I537*EXP(J537)))</f>
        <v/>
      </c>
      <c r="L537">
        <f>-LN(1-K537)</f>
        <v/>
      </c>
      <c r="M537">
        <f>EXP(-L537/Inputs!$B$6)</f>
        <v/>
      </c>
      <c r="N537">
        <f>N536*M537</f>
        <v/>
      </c>
      <c r="O537">
        <f>IFERROR(INDEX(MonthlyCurve!$L:$L,MATCH(A537,MonthlyCurve!$A:$A,0)),"")</f>
        <v/>
      </c>
      <c r="P537">
        <f>IF(B537&gt;0,-LN(O537)/B537,"")</f>
        <v/>
      </c>
      <c r="Q537">
        <f>G537*N537</f>
        <v/>
      </c>
      <c r="R537">
        <f>H537*N537</f>
        <v/>
      </c>
      <c r="S537">
        <f>Q537+R537</f>
        <v/>
      </c>
      <c r="T537">
        <f>Q537*O537</f>
        <v/>
      </c>
      <c r="U537">
        <f>R537*O537</f>
        <v/>
      </c>
      <c r="V537">
        <f>SUMPRODUCT(S538:S543,O538:O543)/(N537*O537)</f>
        <v/>
      </c>
    </row>
    <row r="538">
      <c r="A538" t="n">
        <v>535</v>
      </c>
      <c r="B538">
        <f>A538/Inputs!$B$6</f>
        <v/>
      </c>
      <c r="C538">
        <f>Inputs!$B$3+B538</f>
        <v/>
      </c>
      <c r="D538">
        <f>INT(C538)</f>
        <v/>
      </c>
      <c r="E538">
        <f>Inputs!$B$7+1+INT((A538-1)/Inputs!$B$6)</f>
        <v/>
      </c>
      <c r="F538">
        <f>IFERROR(INDEX(IndexScenario!$B$4:$B$544,MATCH(A538,IndexScenario!$A$4:$A$544,0)),"")</f>
        <v/>
      </c>
      <c r="G538">
        <f>G537*F538/F537</f>
        <v/>
      </c>
      <c r="H538">
        <f>H537*(1+Inputs!$B$17)^(1/12)</f>
        <v/>
      </c>
      <c r="I538">
        <f>IFERROR(INDEX(BaseQx!$B:$B,MATCH(D538,BaseQx!$A:$A,0)),"")</f>
        <v/>
      </c>
      <c r="J538">
        <f>IF(Inputs!$B$13="rp_mp",SUMIFS(MP2016_Long!$C:$C,MP2016_Long!$A:$A,D538,MP2016_Long!$B:$B,"&gt;=2014",MP2016_Long!$B:$B,"&lt;"&amp;E538),0)</f>
        <v/>
      </c>
      <c r="K538">
        <f>MIN(0.999999,MAX(0,I538*EXP(J538)))</f>
        <v/>
      </c>
      <c r="L538">
        <f>-LN(1-K538)</f>
        <v/>
      </c>
      <c r="M538">
        <f>EXP(-L538/Inputs!$B$6)</f>
        <v/>
      </c>
      <c r="N538">
        <f>N537*M538</f>
        <v/>
      </c>
      <c r="O538">
        <f>IFERROR(INDEX(MonthlyCurve!$L:$L,MATCH(A538,MonthlyCurve!$A:$A,0)),"")</f>
        <v/>
      </c>
      <c r="P538">
        <f>IF(B538&gt;0,-LN(O538)/B538,"")</f>
        <v/>
      </c>
      <c r="Q538">
        <f>G538*N538</f>
        <v/>
      </c>
      <c r="R538">
        <f>H538*N538</f>
        <v/>
      </c>
      <c r="S538">
        <f>Q538+R538</f>
        <v/>
      </c>
      <c r="T538">
        <f>Q538*O538</f>
        <v/>
      </c>
      <c r="U538">
        <f>R538*O538</f>
        <v/>
      </c>
      <c r="V538">
        <f>SUMPRODUCT(S539:S543,O539:O543)/(N538*O538)</f>
        <v/>
      </c>
    </row>
    <row r="539">
      <c r="A539" t="n">
        <v>536</v>
      </c>
      <c r="B539">
        <f>A539/Inputs!$B$6</f>
        <v/>
      </c>
      <c r="C539">
        <f>Inputs!$B$3+B539</f>
        <v/>
      </c>
      <c r="D539">
        <f>INT(C539)</f>
        <v/>
      </c>
      <c r="E539">
        <f>Inputs!$B$7+1+INT((A539-1)/Inputs!$B$6)</f>
        <v/>
      </c>
      <c r="F539">
        <f>IFERROR(INDEX(IndexScenario!$B$4:$B$544,MATCH(A539,IndexScenario!$A$4:$A$544,0)),"")</f>
        <v/>
      </c>
      <c r="G539">
        <f>G538*F539/F538</f>
        <v/>
      </c>
      <c r="H539">
        <f>H538*(1+Inputs!$B$17)^(1/12)</f>
        <v/>
      </c>
      <c r="I539">
        <f>IFERROR(INDEX(BaseQx!$B:$B,MATCH(D539,BaseQx!$A:$A,0)),"")</f>
        <v/>
      </c>
      <c r="J539">
        <f>IF(Inputs!$B$13="rp_mp",SUMIFS(MP2016_Long!$C:$C,MP2016_Long!$A:$A,D539,MP2016_Long!$B:$B,"&gt;=2014",MP2016_Long!$B:$B,"&lt;"&amp;E539),0)</f>
        <v/>
      </c>
      <c r="K539">
        <f>MIN(0.999999,MAX(0,I539*EXP(J539)))</f>
        <v/>
      </c>
      <c r="L539">
        <f>-LN(1-K539)</f>
        <v/>
      </c>
      <c r="M539">
        <f>EXP(-L539/Inputs!$B$6)</f>
        <v/>
      </c>
      <c r="N539">
        <f>N538*M539</f>
        <v/>
      </c>
      <c r="O539">
        <f>IFERROR(INDEX(MonthlyCurve!$L:$L,MATCH(A539,MonthlyCurve!$A:$A,0)),"")</f>
        <v/>
      </c>
      <c r="P539">
        <f>IF(B539&gt;0,-LN(O539)/B539,"")</f>
        <v/>
      </c>
      <c r="Q539">
        <f>G539*N539</f>
        <v/>
      </c>
      <c r="R539">
        <f>H539*N539</f>
        <v/>
      </c>
      <c r="S539">
        <f>Q539+R539</f>
        <v/>
      </c>
      <c r="T539">
        <f>Q539*O539</f>
        <v/>
      </c>
      <c r="U539">
        <f>R539*O539</f>
        <v/>
      </c>
      <c r="V539">
        <f>SUMPRODUCT(S540:S543,O540:O543)/(N539*O539)</f>
        <v/>
      </c>
    </row>
    <row r="540">
      <c r="A540" t="n">
        <v>537</v>
      </c>
      <c r="B540">
        <f>A540/Inputs!$B$6</f>
        <v/>
      </c>
      <c r="C540">
        <f>Inputs!$B$3+B540</f>
        <v/>
      </c>
      <c r="D540">
        <f>INT(C540)</f>
        <v/>
      </c>
      <c r="E540">
        <f>Inputs!$B$7+1+INT((A540-1)/Inputs!$B$6)</f>
        <v/>
      </c>
      <c r="F540">
        <f>IFERROR(INDEX(IndexScenario!$B$4:$B$544,MATCH(A540,IndexScenario!$A$4:$A$544,0)),"")</f>
        <v/>
      </c>
      <c r="G540">
        <f>G539*F540/F539</f>
        <v/>
      </c>
      <c r="H540">
        <f>H539*(1+Inputs!$B$17)^(1/12)</f>
        <v/>
      </c>
      <c r="I540">
        <f>IFERROR(INDEX(BaseQx!$B:$B,MATCH(D540,BaseQx!$A:$A,0)),"")</f>
        <v/>
      </c>
      <c r="J540">
        <f>IF(Inputs!$B$13="rp_mp",SUMIFS(MP2016_Long!$C:$C,MP2016_Long!$A:$A,D540,MP2016_Long!$B:$B,"&gt;=2014",MP2016_Long!$B:$B,"&lt;"&amp;E540),0)</f>
        <v/>
      </c>
      <c r="K540">
        <f>MIN(0.999999,MAX(0,I540*EXP(J540)))</f>
        <v/>
      </c>
      <c r="L540">
        <f>-LN(1-K540)</f>
        <v/>
      </c>
      <c r="M540">
        <f>EXP(-L540/Inputs!$B$6)</f>
        <v/>
      </c>
      <c r="N540">
        <f>N539*M540</f>
        <v/>
      </c>
      <c r="O540">
        <f>IFERROR(INDEX(MonthlyCurve!$L:$L,MATCH(A540,MonthlyCurve!$A:$A,0)),"")</f>
        <v/>
      </c>
      <c r="P540">
        <f>IF(B540&gt;0,-LN(O540)/B540,"")</f>
        <v/>
      </c>
      <c r="Q540">
        <f>G540*N540</f>
        <v/>
      </c>
      <c r="R540">
        <f>H540*N540</f>
        <v/>
      </c>
      <c r="S540">
        <f>Q540+R540</f>
        <v/>
      </c>
      <c r="T540">
        <f>Q540*O540</f>
        <v/>
      </c>
      <c r="U540">
        <f>R540*O540</f>
        <v/>
      </c>
      <c r="V540">
        <f>SUMPRODUCT(S541:S543,O541:O543)/(N540*O540)</f>
        <v/>
      </c>
    </row>
    <row r="541">
      <c r="A541" t="n">
        <v>538</v>
      </c>
      <c r="B541">
        <f>A541/Inputs!$B$6</f>
        <v/>
      </c>
      <c r="C541">
        <f>Inputs!$B$3+B541</f>
        <v/>
      </c>
      <c r="D541">
        <f>INT(C541)</f>
        <v/>
      </c>
      <c r="E541">
        <f>Inputs!$B$7+1+INT((A541-1)/Inputs!$B$6)</f>
        <v/>
      </c>
      <c r="F541">
        <f>IFERROR(INDEX(IndexScenario!$B$4:$B$544,MATCH(A541,IndexScenario!$A$4:$A$544,0)),"")</f>
        <v/>
      </c>
      <c r="G541">
        <f>G540*F541/F540</f>
        <v/>
      </c>
      <c r="H541">
        <f>H540*(1+Inputs!$B$17)^(1/12)</f>
        <v/>
      </c>
      <c r="I541">
        <f>IFERROR(INDEX(BaseQx!$B:$B,MATCH(D541,BaseQx!$A:$A,0)),"")</f>
        <v/>
      </c>
      <c r="J541">
        <f>IF(Inputs!$B$13="rp_mp",SUMIFS(MP2016_Long!$C:$C,MP2016_Long!$A:$A,D541,MP2016_Long!$B:$B,"&gt;=2014",MP2016_Long!$B:$B,"&lt;"&amp;E541),0)</f>
        <v/>
      </c>
      <c r="K541">
        <f>MIN(0.999999,MAX(0,I541*EXP(J541)))</f>
        <v/>
      </c>
      <c r="L541">
        <f>-LN(1-K541)</f>
        <v/>
      </c>
      <c r="M541">
        <f>EXP(-L541/Inputs!$B$6)</f>
        <v/>
      </c>
      <c r="N541">
        <f>N540*M541</f>
        <v/>
      </c>
      <c r="O541">
        <f>IFERROR(INDEX(MonthlyCurve!$L:$L,MATCH(A541,MonthlyCurve!$A:$A,0)),"")</f>
        <v/>
      </c>
      <c r="P541">
        <f>IF(B541&gt;0,-LN(O541)/B541,"")</f>
        <v/>
      </c>
      <c r="Q541">
        <f>G541*N541</f>
        <v/>
      </c>
      <c r="R541">
        <f>H541*N541</f>
        <v/>
      </c>
      <c r="S541">
        <f>Q541+R541</f>
        <v/>
      </c>
      <c r="T541">
        <f>Q541*O541</f>
        <v/>
      </c>
      <c r="U541">
        <f>R541*O541</f>
        <v/>
      </c>
      <c r="V541">
        <f>SUMPRODUCT(S542:S543,O542:O543)/(N541*O541)</f>
        <v/>
      </c>
    </row>
    <row r="542">
      <c r="A542" t="n">
        <v>539</v>
      </c>
      <c r="B542">
        <f>A542/Inputs!$B$6</f>
        <v/>
      </c>
      <c r="C542">
        <f>Inputs!$B$3+B542</f>
        <v/>
      </c>
      <c r="D542">
        <f>INT(C542)</f>
        <v/>
      </c>
      <c r="E542">
        <f>Inputs!$B$7+1+INT((A542-1)/Inputs!$B$6)</f>
        <v/>
      </c>
      <c r="F542">
        <f>IFERROR(INDEX(IndexScenario!$B$4:$B$544,MATCH(A542,IndexScenario!$A$4:$A$544,0)),"")</f>
        <v/>
      </c>
      <c r="G542">
        <f>G541*F542/F541</f>
        <v/>
      </c>
      <c r="H542">
        <f>H541*(1+Inputs!$B$17)^(1/12)</f>
        <v/>
      </c>
      <c r="I542">
        <f>IFERROR(INDEX(BaseQx!$B:$B,MATCH(D542,BaseQx!$A:$A,0)),"")</f>
        <v/>
      </c>
      <c r="J542">
        <f>IF(Inputs!$B$13="rp_mp",SUMIFS(MP2016_Long!$C:$C,MP2016_Long!$A:$A,D542,MP2016_Long!$B:$B,"&gt;=2014",MP2016_Long!$B:$B,"&lt;"&amp;E542),0)</f>
        <v/>
      </c>
      <c r="K542">
        <f>MIN(0.999999,MAX(0,I542*EXP(J542)))</f>
        <v/>
      </c>
      <c r="L542">
        <f>-LN(1-K542)</f>
        <v/>
      </c>
      <c r="M542">
        <f>EXP(-L542/Inputs!$B$6)</f>
        <v/>
      </c>
      <c r="N542">
        <f>N541*M542</f>
        <v/>
      </c>
      <c r="O542">
        <f>IFERROR(INDEX(MonthlyCurve!$L:$L,MATCH(A542,MonthlyCurve!$A:$A,0)),"")</f>
        <v/>
      </c>
      <c r="P542">
        <f>IF(B542&gt;0,-LN(O542)/B542,"")</f>
        <v/>
      </c>
      <c r="Q542">
        <f>G542*N542</f>
        <v/>
      </c>
      <c r="R542">
        <f>H542*N542</f>
        <v/>
      </c>
      <c r="S542">
        <f>Q542+R542</f>
        <v/>
      </c>
      <c r="T542">
        <f>Q542*O542</f>
        <v/>
      </c>
      <c r="U542">
        <f>R542*O542</f>
        <v/>
      </c>
      <c r="V542">
        <f>SUMPRODUCT(S543:S543,O543:O543)/(N542*O542)</f>
        <v/>
      </c>
    </row>
    <row r="543">
      <c r="A543" t="n">
        <v>540</v>
      </c>
      <c r="B543">
        <f>A543/Inputs!$B$6</f>
        <v/>
      </c>
      <c r="C543">
        <f>Inputs!$B$3+B543</f>
        <v/>
      </c>
      <c r="D543">
        <f>INT(C543)</f>
        <v/>
      </c>
      <c r="E543">
        <f>Inputs!$B$7+1+INT((A543-1)/Inputs!$B$6)</f>
        <v/>
      </c>
      <c r="F543">
        <f>IFERROR(INDEX(IndexScenario!$B$4:$B$544,MATCH(A543,IndexScenario!$A$4:$A$544,0)),"")</f>
        <v/>
      </c>
      <c r="G543">
        <f>G542*F543/F542</f>
        <v/>
      </c>
      <c r="H543">
        <f>H542*(1+Inputs!$B$17)^(1/12)</f>
        <v/>
      </c>
      <c r="I543">
        <f>IFERROR(INDEX(BaseQx!$B:$B,MATCH(D543,BaseQx!$A:$A,0)),"")</f>
        <v/>
      </c>
      <c r="J543">
        <f>IF(Inputs!$B$13="rp_mp",SUMIFS(MP2016_Long!$C:$C,MP2016_Long!$A:$A,D543,MP2016_Long!$B:$B,"&gt;=2014",MP2016_Long!$B:$B,"&lt;"&amp;E543),0)</f>
        <v/>
      </c>
      <c r="K543">
        <f>MIN(0.999999,MAX(0,I543*EXP(J543)))</f>
        <v/>
      </c>
      <c r="L543">
        <f>-LN(1-K543)</f>
        <v/>
      </c>
      <c r="M543">
        <f>EXP(-L543/Inputs!$B$6)</f>
        <v/>
      </c>
      <c r="N543">
        <f>N542*M543</f>
        <v/>
      </c>
      <c r="O543">
        <f>IFERROR(INDEX(MonthlyCurve!$L:$L,MATCH(A543,MonthlyCurve!$A:$A,0)),"")</f>
        <v/>
      </c>
      <c r="P543">
        <f>IF(B543&gt;0,-LN(O543)/B543,"")</f>
        <v/>
      </c>
      <c r="Q543">
        <f>G543*N543</f>
        <v/>
      </c>
      <c r="R543">
        <f>H543*N543</f>
        <v/>
      </c>
      <c r="S543">
        <f>Q543+R543</f>
        <v/>
      </c>
      <c r="T543">
        <f>Q543*O543</f>
        <v/>
      </c>
      <c r="U543">
        <f>R543*O543</f>
        <v/>
      </c>
      <c r="V543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SPIA Policy Projection Dashboard</t>
        </is>
      </c>
    </row>
    <row r="3">
      <c r="A3" s="2" t="inlineStr">
        <is>
          <t>Policy Inputs</t>
        </is>
      </c>
      <c r="D3" s="2" t="inlineStr">
        <is>
          <t>Expense Assumptions</t>
        </is>
      </c>
    </row>
    <row r="4">
      <c r="A4" t="inlineStr">
        <is>
          <t>Issue Age</t>
        </is>
      </c>
      <c r="B4">
        <f>Inputs!B3</f>
        <v/>
      </c>
      <c r="D4" t="inlineStr">
        <is>
          <t>Policy Expense ($)</t>
        </is>
      </c>
      <c r="E4" s="4">
        <f>Inputs!B10</f>
        <v/>
      </c>
    </row>
    <row r="5">
      <c r="A5" t="inlineStr">
        <is>
          <t>Sex</t>
        </is>
      </c>
      <c r="B5">
        <f>Inputs!B4</f>
        <v/>
      </c>
      <c r="D5" t="inlineStr">
        <is>
          <t>Premium Expense Rate (decimal)</t>
        </is>
      </c>
      <c r="E5" s="5">
        <f>Inputs!B11</f>
        <v/>
      </c>
    </row>
    <row r="6">
      <c r="A6" t="inlineStr">
        <is>
          <t>Annual Benefit</t>
        </is>
      </c>
      <c r="B6" s="4">
        <f>Inputs!B5</f>
        <v/>
      </c>
      <c r="D6" t="inlineStr">
        <is>
          <t>Monthly Expense ($)</t>
        </is>
      </c>
      <c r="E6" s="4">
        <f>Inputs!B12</f>
        <v/>
      </c>
    </row>
    <row r="7">
      <c r="A7" t="inlineStr">
        <is>
          <t>Valuation Year (12/31)</t>
        </is>
      </c>
      <c r="B7">
        <f>Inputs!B7</f>
        <v/>
      </c>
    </row>
    <row r="8">
      <c r="A8" t="inlineStr">
        <is>
          <t>Horizon Age</t>
        </is>
      </c>
      <c r="B8">
        <f>Inputs!B8</f>
        <v/>
      </c>
    </row>
    <row r="9">
      <c r="A9" t="inlineStr">
        <is>
          <t>Spread</t>
        </is>
      </c>
      <c r="B9">
        <f>Inputs!B9</f>
        <v/>
      </c>
    </row>
    <row r="11">
      <c r="A11" s="2" t="inlineStr">
        <is>
          <t>Pricing &amp; Reserve Summary</t>
        </is>
      </c>
    </row>
    <row r="12">
      <c r="A12" t="inlineStr">
        <is>
          <t>Single Premium</t>
        </is>
      </c>
      <c r="B12" s="4">
        <f>Projection!X8</f>
        <v/>
      </c>
    </row>
    <row r="13">
      <c r="A13" t="inlineStr">
        <is>
          <t>PV Benefits</t>
        </is>
      </c>
      <c r="B13" s="4">
        <f>Projection!X4</f>
        <v/>
      </c>
    </row>
    <row r="14">
      <c r="A14" t="inlineStr">
        <is>
          <t>PV Monthly Expenses</t>
        </is>
      </c>
      <c r="B14" s="4">
        <f>Projection!X5</f>
        <v/>
      </c>
    </row>
    <row r="15">
      <c r="A15" t="inlineStr">
        <is>
          <t>PV Monthly Total</t>
        </is>
      </c>
      <c r="B15" s="4">
        <f>Projection!X7</f>
        <v/>
      </c>
    </row>
    <row r="16">
      <c r="A16" t="inlineStr">
        <is>
          <t>Annuity Factor</t>
        </is>
      </c>
      <c r="B16" s="6">
        <f>Projection!X6</f>
        <v/>
      </c>
    </row>
    <row r="17">
      <c r="A17" t="inlineStr">
        <is>
          <t>Economic Reserve at t=0</t>
        </is>
      </c>
      <c r="B17" s="4">
        <f>Projection!V2</f>
        <v/>
      </c>
    </row>
    <row r="54">
      <c r="A54" s="2" t="inlineStr">
        <is>
          <t>Checkpoint Metrics (Nearest Monthly Projection Point)</t>
        </is>
      </c>
    </row>
    <row r="55">
      <c r="A55" s="2" t="inlineStr">
        <is>
          <t>Target Age</t>
        </is>
      </c>
      <c r="B55" s="2" t="inlineStr">
        <is>
          <t>Projection Row</t>
        </is>
      </c>
      <c r="C55" s="2" t="inlineStr">
        <is>
          <t>Survival</t>
        </is>
      </c>
      <c r="D55" s="2" t="inlineStr">
        <is>
          <t>Exp Benefit ($)</t>
        </is>
      </c>
      <c r="E55" s="2" t="inlineStr">
        <is>
          <t>Exp Expense ($)</t>
        </is>
      </c>
      <c r="F55" s="2" t="inlineStr">
        <is>
          <t>Reserve ($)</t>
        </is>
      </c>
    </row>
    <row r="56">
      <c r="A56" t="n">
        <v>65</v>
      </c>
      <c r="B56">
        <f>IFERROR(MATCH(A56,Projection!$C$4:$C$543,0)+3,IF(A56&lt;INDEX(Projection!$C$4:$C$543,1),4,MATCH(A56,Projection!$C$4:$C$543,1)+3))</f>
        <v/>
      </c>
      <c r="C56" s="6">
        <f>INDEX(Projection!$N:$N,B56)</f>
        <v/>
      </c>
      <c r="D56" s="4">
        <f>INDEX(Projection!$Q:$Q,B56)</f>
        <v/>
      </c>
      <c r="E56" s="4">
        <f>INDEX(Projection!$R:$R,B56)</f>
        <v/>
      </c>
      <c r="F56" s="4">
        <f>INDEX(Projection!$V:$V,B56)</f>
        <v/>
      </c>
    </row>
    <row r="57">
      <c r="A57" t="n">
        <v>70</v>
      </c>
      <c r="B57">
        <f>IFERROR(MATCH(A57,Projection!$C$4:$C$543,0)+3,IF(A57&lt;INDEX(Projection!$C$4:$C$543,1),4,MATCH(A57,Projection!$C$4:$C$543,1)+3))</f>
        <v/>
      </c>
      <c r="C57" s="6">
        <f>INDEX(Projection!$N:$N,B57)</f>
        <v/>
      </c>
      <c r="D57" s="4">
        <f>INDEX(Projection!$Q:$Q,B57)</f>
        <v/>
      </c>
      <c r="E57" s="4">
        <f>INDEX(Projection!$R:$R,B57)</f>
        <v/>
      </c>
      <c r="F57" s="4">
        <f>INDEX(Projection!$V:$V,B57)</f>
        <v/>
      </c>
    </row>
    <row r="58">
      <c r="A58" t="n">
        <v>75</v>
      </c>
      <c r="B58">
        <f>IFERROR(MATCH(A58,Projection!$C$4:$C$543,0)+3,IF(A58&lt;INDEX(Projection!$C$4:$C$543,1),4,MATCH(A58,Projection!$C$4:$C$543,1)+3))</f>
        <v/>
      </c>
      <c r="C58" s="6">
        <f>INDEX(Projection!$N:$N,B58)</f>
        <v/>
      </c>
      <c r="D58" s="4">
        <f>INDEX(Projection!$Q:$Q,B58)</f>
        <v/>
      </c>
      <c r="E58" s="4">
        <f>INDEX(Projection!$R:$R,B58)</f>
        <v/>
      </c>
      <c r="F58" s="4">
        <f>INDEX(Projection!$V:$V,B58)</f>
        <v/>
      </c>
    </row>
    <row r="59">
      <c r="A59" t="n">
        <v>80</v>
      </c>
      <c r="B59">
        <f>IFERROR(MATCH(A59,Projection!$C$4:$C$543,0)+3,IF(A59&lt;INDEX(Projection!$C$4:$C$543,1),4,MATCH(A59,Projection!$C$4:$C$543,1)+3))</f>
        <v/>
      </c>
      <c r="C59" s="6">
        <f>INDEX(Projection!$N:$N,B59)</f>
        <v/>
      </c>
      <c r="D59" s="4">
        <f>INDEX(Projection!$Q:$Q,B59)</f>
        <v/>
      </c>
      <c r="E59" s="4">
        <f>INDEX(Projection!$R:$R,B59)</f>
        <v/>
      </c>
      <c r="F59" s="4">
        <f>INDEX(Projection!$V:$V,B59)</f>
        <v/>
      </c>
    </row>
    <row r="60">
      <c r="A60" t="n">
        <v>85</v>
      </c>
      <c r="B60">
        <f>IFERROR(MATCH(A60,Projection!$C$4:$C$543,0)+3,IF(A60&lt;INDEX(Projection!$C$4:$C$543,1),4,MATCH(A60,Projection!$C$4:$C$543,1)+3))</f>
        <v/>
      </c>
      <c r="C60" s="6">
        <f>INDEX(Projection!$N:$N,B60)</f>
        <v/>
      </c>
      <c r="D60" s="4">
        <f>INDEX(Projection!$Q:$Q,B60)</f>
        <v/>
      </c>
      <c r="E60" s="4">
        <f>INDEX(Projection!$R:$R,B60)</f>
        <v/>
      </c>
      <c r="F60" s="4">
        <f>INDEX(Projection!$V:$V,B60)</f>
        <v/>
      </c>
    </row>
    <row r="61">
      <c r="A61" t="n">
        <v>90</v>
      </c>
      <c r="B61">
        <f>IFERROR(MATCH(A61,Projection!$C$4:$C$543,0)+3,IF(A61&lt;INDEX(Projection!$C$4:$C$543,1),4,MATCH(A61,Projection!$C$4:$C$543,1)+3))</f>
        <v/>
      </c>
      <c r="C61" s="6">
        <f>INDEX(Projection!$N:$N,B61)</f>
        <v/>
      </c>
      <c r="D61" s="4">
        <f>INDEX(Projection!$Q:$Q,B61)</f>
        <v/>
      </c>
      <c r="E61" s="4">
        <f>INDEX(Projection!$R:$R,B61)</f>
        <v/>
      </c>
      <c r="F61" s="4">
        <f>INDEX(Projection!$V:$V,B61)</f>
        <v/>
      </c>
    </row>
    <row r="62">
      <c r="A62" t="n">
        <v>100</v>
      </c>
      <c r="B62">
        <f>IFERROR(MATCH(A62,Projection!$C$4:$C$543,0)+3,IF(A62&lt;INDEX(Projection!$C$4:$C$543,1),4,MATCH(A62,Projection!$C$4:$C$543,1)+3))</f>
        <v/>
      </c>
      <c r="C62" s="6">
        <f>INDEX(Projection!$N:$N,B62)</f>
        <v/>
      </c>
      <c r="D62" s="4">
        <f>INDEX(Projection!$Q:$Q,B62)</f>
        <v/>
      </c>
      <c r="E62" s="4">
        <f>INDEX(Projection!$R:$R,B62)</f>
        <v/>
      </c>
      <c r="F62" s="4">
        <f>INDEX(Projection!$V:$V,B62)</f>
        <v/>
      </c>
    </row>
    <row r="63">
      <c r="A63" t="n">
        <v>110</v>
      </c>
      <c r="B63">
        <f>IFERROR(MATCH(A63,Projection!$C$4:$C$543,0)+3,IF(A63&lt;INDEX(Projection!$C$4:$C$543,1),4,MATCH(A63,Projection!$C$4:$C$543,1)+3))</f>
        <v/>
      </c>
      <c r="C63" s="6">
        <f>INDEX(Projection!$N:$N,B63)</f>
        <v/>
      </c>
      <c r="D63" s="4">
        <f>INDEX(Projection!$Q:$Q,B63)</f>
        <v/>
      </c>
      <c r="E63" s="4">
        <f>INDEX(Projection!$R:$R,B63)</f>
        <v/>
      </c>
      <c r="F63" s="4">
        <f>INDEX(Projection!$V:$V,B63)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3" t="inlineStr">
        <is>
          <t>Python / Launcher Runbook</t>
        </is>
      </c>
    </row>
    <row r="3">
      <c r="A3" s="2" t="inlineStr">
        <is>
          <t>Purpose</t>
        </is>
      </c>
      <c r="B3" t="inlineStr">
        <is>
          <t>Regenerate inputs and this workbook from the Python SPIA scaffold.</t>
        </is>
      </c>
    </row>
    <row r="4">
      <c r="A4" t="inlineStr">
        <is>
          <t>Working folder</t>
        </is>
      </c>
      <c r="B4" t="inlineStr">
        <is>
          <t>annuity_model</t>
        </is>
      </c>
    </row>
    <row r="5">
      <c r="A5" t="inlineStr">
        <is>
          <t>Streamlit UI</t>
        </is>
      </c>
      <c r="B5" t="inlineStr">
        <is>
          <t>streamlit run spia_ui.py — Run &amp; results, then download Excel for the same assumptions.</t>
        </is>
      </c>
    </row>
    <row r="6">
      <c r="A6" t="inlineStr"/>
      <c r="B6" t="inlineStr"/>
    </row>
    <row r="7">
      <c r="A7" s="2" t="inlineStr">
        <is>
          <t>Core commands</t>
        </is>
      </c>
      <c r="B7" t="inlineStr">
        <is>
          <t>From the annuity_model folder:</t>
        </is>
      </c>
    </row>
    <row r="8">
      <c r="A8" t="inlineStr">
        <is>
          <t>1</t>
        </is>
      </c>
      <c r="B8" t="inlineStr">
        <is>
          <t>python spia_projection.py</t>
        </is>
      </c>
    </row>
    <row r="9">
      <c r="A9" t="inlineStr">
        <is>
          <t>2</t>
        </is>
      </c>
      <c r="B9" t="inlineStr">
        <is>
          <t>python illustrate_spia_projection.py</t>
        </is>
      </c>
    </row>
    <row r="10">
      <c r="A10" t="inlineStr">
        <is>
          <t>3</t>
        </is>
      </c>
      <c r="B10" t="inlineStr">
        <is>
          <t>python build_spia_excel_workbook.py</t>
        </is>
      </c>
    </row>
    <row r="11">
      <c r="A11" t="inlineStr"/>
      <c r="B11" t="inlineStr"/>
    </row>
    <row r="12">
      <c r="A12" s="2" t="inlineStr">
        <is>
          <t>Typical CSV inputs</t>
        </is>
      </c>
      <c r="B12" t="inlineStr">
        <is>
          <t>treasury_zero_rate_curve_latest.csv (or par curve + bootstrap in UI)</t>
        </is>
      </c>
    </row>
    <row r="13">
      <c r="A13" t="inlineStr"/>
      <c r="B13" t="inlineStr">
        <is>
          <t>rp2014_male_healthy_annuitant_qx_2014.csv / custom q_x CSV</t>
        </is>
      </c>
    </row>
    <row r="14">
      <c r="A14" t="inlineStr"/>
      <c r="B14" t="inlineStr">
        <is>
          <t>mp2016_male_improvement_rates.csv (long: age, year, improvement_rate)</t>
        </is>
      </c>
    </row>
    <row r="15">
      <c r="A15" t="inlineStr"/>
      <c r="B15" t="inlineStr">
        <is>
          <t>expenses_assumptions_us_placeholders.csv</t>
        </is>
      </c>
    </row>
    <row r="16">
      <c r="A16" t="inlineStr"/>
      <c r="B16" t="inlineStr">
        <is>
          <t>sp500_scenario_projection_monthly.csv (month, sp500_level for months 0..N)</t>
        </is>
      </c>
    </row>
    <row r="17">
      <c r="A17" t="inlineStr"/>
      <c r="B17" t="inlineStr"/>
    </row>
    <row r="18">
      <c r="A18" s="2" t="inlineStr">
        <is>
          <t>Outputs</t>
        </is>
      </c>
      <c r="B18" t="inlineStr">
        <is>
          <t>spia_projection_model.xlsx, illustrations/*.png</t>
        </is>
      </c>
    </row>
    <row r="19">
      <c r="A19" t="inlineStr"/>
      <c r="B19" t="inlineStr"/>
    </row>
    <row r="20">
      <c r="A20" s="2" t="inlineStr">
        <is>
          <t>Note</t>
        </is>
      </c>
      <c r="B20" t="inlineStr">
        <is>
          <t>This workbook is built for a fixed row count; change issue/horizon in the launcher and re-download.</t>
        </is>
      </c>
    </row>
    <row r="28">
      <c r="A28" s="2" t="inlineStr">
        <is>
          <t>spia_projection.py (excerpt)</t>
        </is>
      </c>
    </row>
    <row r="29">
      <c r="A29" t="inlineStr">
        <is>
          <t>"""
Single Premium Immediate Annuity (SPIA) projection scaffolding.
Contract assumptions (set from the conversation):
- Single life
- Level monthly payments, benefit is provided as an annual amount (default: 100_000)
- Payment timing: end of period
- Payments stop at death (i.e., pay at time t_k iff alive at that payment date)
Pricing (single premium):
    Premium = policy_expense + PV(benefits + monthly expenses), grossed up for premium tax,
    where monthly benefits can grow by **return indexation** from an S&amp;P 500 proxy scenario
    (monthly index levels by payment month) and monthly expenses grow by a **fixed annual
    inflation** rate compounded monthly (independent of the equity index).
Interest:
- Uses continuous-compounding "zero rates" z(t).
  Discount factors: DF(t) = exp(-(z(t) + spread) * t)
- Risk-free by default: spread = 0.
US industry mortality (table selection, data must be supplied):
- RP-2014 Healthy Annuitant Male base table
- MP-2016 mortality improvement scale
Important:
- RP-2014 and MP-2016 are proprietary to SOA.
- This code does NOT embed the table rates.
- Provide annual one-year death probabilities q_x (or equivalent) in a CSV.
"""
from __future__ import annotations
from dataclasses import dataclass
from typing import Literal, Optional, Sequence, Tuple
import math
import numpy as np
import pandas as pd
Compounding = Literal["continuous"]
DEFAULT_ZERO_CURVE_CSV = "treasury_zero_rate_curve_latest.csv"
DEFAULT_PAR_CURVE_CSV = "treasury_par_yield_curve_latest.csv"
DEFAULT_MORTALITY_QX_CSV = "rp2014_male_annuitant_qx.csv"
DEFAULT_RP2014_XLSX = "rp2014_mort_tab_rates_exposure.xlsx"
DEFAULT_MP2016_XLSX = "mp2016_rates.xlsx"
DEFAULT_RP2014_MALE_HEALTHY_QX_CSV = "rp2014_male_healthy_annuitant_qx_2014.csv"
DEFAULT_MP2016_MALE_IMPROVEMENT_CSV = "mp2016_male_improvement_rates.csv"
DEFAULT_EXPENSES_CSV = "expenses_assumptions_us_placeholders.csv"
DEFAULT_SP500_SCENARIO_CSV = "sp500_scenario_projection_monthly.csv"
def load_index_scenario_monthly_csv(
    path: str,
    *,
    n_months: int,
    month_col: str = "month",
    level_col: str = "sp500_level",
) -&gt; tuple[float, np.ndarray]:
    """
    Load index levels for payment months 0..n_months.
    The CSV must include rows for month=0 (issue / index at first accrual date) and
    month=1..n_months (index at each monthly payment date), in any order (sorted internally).
    Returns
    -------
    s0:
        Index level at month 0.
    levels_payment:
        Shape (n_months,); levels_payment[k-1] is the index at payment month k.
    """
    if n_months &lt; 1:
        raise ValueError("n_months must be positive.")
    df = pd.read_csv(path)
    if month_col not in df.columns or level_col not in df.columns:
        raise ValueError(f"CSV must contain columns '{month_col}' and '{level_col}'.")
    months = df[month_col].to_numpy(dtype=int)
    levels = df[level_col].to_numpy(dtype=float)
    if np.any(levels &lt;= 0.0) or np.any(np.isnan(levels)):
        raise ValueError("Index levels must be finite and strictly positive.")
    order = np.argsort(months)
    months = months[order]
    levels = levels[order]
    required = set(range(0, n_months + 1))
    got = set(months.tolist())
    if got != required:
        missing = sorted(required - got)
        extra = sorted(got - required)
        msg = f"Index scenario must contain exactly months 0..{n_months}."
        if missing:
            msg += f" Missing: {missing[:20]}{'...' if len(missing) &gt; 20 else ''}."
        if extra:
            msg += f" Extra: {extra[:20]}{'...' if len(extra) &gt; 20 else ''}."
        raise ValueError(msg)
    s0 = float(levels[months == 0][0])
    levels_payment = np.zeros(n_months, dtype=float)
    for k in range(1, n_months + 1):
        levels_payment[k - 1] = float(levels[months == k][0])
    return s0, levels_payment
def flat_index_scenario(n_months: int, *, level: float = 100.0) -&gt; tuple[float, np.ndarray]:
    """Constant index (zero returns) for n_months payments after month-0 level."""
    s0 = float(level)
    return s0, np.full(n_months, s0, dtype=float)
def monthly_rate_from_annual_inflation(annual_inflation: float) -&gt; float:
    """Convert annual CPI-style inflation to an equivalent monthly compound rate."""
    if annual_inflation &lt; -0.9999:
        raise ValueError("annual_inflation must be &gt; -1 (approximately).")
    return float((1.0 + annual_inflation) ** (1.0 / 12.0) - 1.0)
def _benefit_expense_and_index_returns(
    *,
    base_monthly: float,
    monthly_expense: float,
    s0: float,
    levels_payment: np.ndarray,
    expense_annual_inflation: float,
) -&gt; tuple[np.ndarray, np.ndarray, np.ndarray, np.ndarray, np.ndarray]:
    """
    Return-indexed benefits, inflation-only expenses, and per-payment index return metrics.
    Benefit month k (1-based payment): b_k = b_{k-1} * (S_k / S_{k-1}) with
    b_1 = base_monthly * (S_1 / S_0).
    """
    n = int(levels_payment.shape[0])
    if n &lt; 1:
        raise ValueError("levels_payment must be non-empty.")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2026-03-22T21:52:09Z</dcterms:created>
  <dcterms:modified xsi:type="dcterms:W3CDTF">2026-03-22T21:52:09Z</dcterms:modified>
</cp:coreProperties>
</file>